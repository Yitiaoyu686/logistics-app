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5" authorId="0">
      <text>
        <r>
          <rPr>
            <sz val="9"/>
            <rFont val="宋体"/>
            <charset val="134"/>
          </rPr>
          <t xml:space="preserve">预付1035转到付SD146.18.
</t>
        </r>
      </text>
    </comment>
    <comment ref="M9" authorId="0">
      <text>
        <r>
          <rPr>
            <sz val="9"/>
            <rFont val="宋体"/>
            <charset val="134"/>
          </rPr>
          <t xml:space="preserve">预付239转㻆 USD33.75.
</t>
        </r>
      </text>
    </comment>
    <comment ref="M18" authorId="0">
      <text>
        <r>
          <rPr>
            <sz val="9"/>
            <rFont val="宋体"/>
            <charset val="134"/>
          </rPr>
          <t xml:space="preserve">预付845转到付USD119.35.
</t>
        </r>
      </text>
    </comment>
    <comment ref="M34" authorId="0">
      <text>
        <r>
          <rPr>
            <sz val="9"/>
            <rFont val="宋体"/>
            <charset val="134"/>
          </rPr>
          <t>预付150转到付USD21.13.</t>
        </r>
      </text>
    </comment>
    <comment ref="M59" authorId="0">
      <text>
        <r>
          <rPr>
            <sz val="9"/>
            <rFont val="宋体"/>
            <charset val="134"/>
          </rPr>
          <t xml:space="preserve">预付303转到付USD42.68.
</t>
        </r>
      </text>
    </comment>
    <comment ref="M62" authorId="0">
      <text>
        <r>
          <rPr>
            <sz val="9"/>
            <rFont val="宋体"/>
            <charset val="134"/>
          </rPr>
          <t>预付661.5转到付SD93.43</t>
        </r>
      </text>
    </comment>
    <comment ref="M74" authorId="0">
      <text>
        <r>
          <rPr>
            <sz val="9"/>
            <rFont val="宋体"/>
            <charset val="134"/>
          </rPr>
          <t xml:space="preserve">预付392转到付USD55.36.
</t>
        </r>
      </text>
    </comment>
    <comment ref="M75" authorId="0">
      <text>
        <r>
          <rPr>
            <sz val="9"/>
            <rFont val="宋体"/>
            <charset val="134"/>
          </rPr>
          <t>预付1016.5转到付USD143.57.</t>
        </r>
      </text>
    </comment>
    <comment ref="M82" authorId="0">
      <text>
        <r>
          <rPr>
            <sz val="9"/>
            <rFont val="宋体"/>
            <charset val="134"/>
          </rPr>
          <t xml:space="preserve">预付11756转到付USD1660.45.
</t>
        </r>
      </text>
    </comment>
    <comment ref="M85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M90" authorId="0">
      <text>
        <r>
          <rPr>
            <sz val="9"/>
            <rFont val="宋体"/>
            <charset val="134"/>
          </rPr>
          <t xml:space="preserve">预付402.5转到位USD56.85
</t>
        </r>
      </text>
    </comment>
    <comment ref="M95" authorId="0">
      <text>
        <r>
          <rPr>
            <sz val="9"/>
            <rFont val="宋体"/>
            <charset val="134"/>
          </rPr>
          <t xml:space="preserve">预付75转到付USD10.59.
</t>
        </r>
      </text>
    </comment>
    <comment ref="M99" authorId="0">
      <text>
        <r>
          <rPr>
            <sz val="9"/>
            <rFont val="宋体"/>
            <charset val="134"/>
          </rPr>
          <t xml:space="preserve">预付120转到付USD16.94.
</t>
        </r>
      </text>
    </comment>
    <comment ref="M102" authorId="0">
      <text>
        <r>
          <rPr>
            <sz val="9"/>
            <rFont val="宋体"/>
            <charset val="134"/>
          </rPr>
          <t xml:space="preserve">预付510转到付USD72.03
</t>
        </r>
      </text>
    </comment>
    <comment ref="M105" authorId="0">
      <text>
        <r>
          <rPr>
            <sz val="9"/>
            <rFont val="宋体"/>
            <charset val="134"/>
          </rPr>
          <t xml:space="preserve">预付115转到付USD16.2.
</t>
        </r>
      </text>
    </comment>
    <comment ref="M114" authorId="0">
      <text>
        <r>
          <rPr>
            <sz val="9"/>
            <rFont val="宋体"/>
            <charset val="134"/>
          </rPr>
          <t xml:space="preserve">预付227.5转到付USD32.04.
</t>
        </r>
      </text>
    </comment>
    <comment ref="M131" authorId="0">
      <text>
        <r>
          <rPr>
            <sz val="9"/>
            <rFont val="宋体"/>
            <charset val="134"/>
          </rPr>
          <t xml:space="preserve">预付214.2转到付USD30.25
</t>
        </r>
      </text>
    </comment>
    <comment ref="M132" authorId="0">
      <text>
        <r>
          <rPr>
            <sz val="9"/>
            <rFont val="宋体"/>
            <charset val="134"/>
          </rPr>
          <t xml:space="preserve">预付69.3转到付USD9.78.
</t>
        </r>
      </text>
    </comment>
    <comment ref="M133" authorId="0">
      <text>
        <r>
          <rPr>
            <sz val="9"/>
            <rFont val="宋体"/>
            <charset val="134"/>
          </rPr>
          <t xml:space="preserve">预付69.3转到付USD9.78.
</t>
        </r>
      </text>
    </comment>
    <comment ref="M144" authorId="0">
      <text>
        <r>
          <rPr>
            <sz val="9"/>
            <rFont val="宋体"/>
            <charset val="134"/>
          </rPr>
          <t xml:space="preserve">预付1558转到付USD220.05
</t>
        </r>
      </text>
    </comment>
    <comment ref="M145" authorId="0">
      <text>
        <r>
          <rPr>
            <sz val="9"/>
            <rFont val="宋体"/>
            <charset val="134"/>
          </rPr>
          <t xml:space="preserve">预付130转到付USD18.3.
</t>
        </r>
      </text>
    </comment>
    <comment ref="M159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M163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M165" authorId="0">
      <text>
        <r>
          <rPr>
            <sz val="9"/>
            <rFont val="宋体"/>
            <charset val="134"/>
          </rPr>
          <t>预付8855.5转到付USD1250.77.</t>
        </r>
      </text>
    </comment>
    <comment ref="M166" authorId="0">
      <text>
        <r>
          <rPr>
            <sz val="9"/>
            <rFont val="宋体"/>
            <charset val="134"/>
          </rPr>
          <t xml:space="preserve">预付7224转到付USD1020.33
</t>
        </r>
      </text>
    </comment>
    <comment ref="M171" authorId="0">
      <text>
        <r>
          <rPr>
            <sz val="9"/>
            <rFont val="宋体"/>
            <charset val="134"/>
          </rPr>
          <t xml:space="preserve">预付812转到付USD114.36.
</t>
        </r>
      </text>
    </comment>
    <comment ref="M187" authorId="0">
      <text>
        <r>
          <rPr>
            <sz val="9"/>
            <rFont val="宋体"/>
            <charset val="134"/>
          </rPr>
          <t xml:space="preserve">预付302.5转到付USD42.72.
</t>
        </r>
      </text>
    </comment>
    <comment ref="M192" authorId="0">
      <text>
        <r>
          <rPr>
            <sz val="9"/>
            <rFont val="宋体"/>
            <charset val="134"/>
          </rPr>
          <t xml:space="preserve">预付830转到付USD117.23
</t>
        </r>
      </text>
    </comment>
    <comment ref="M200" authorId="0">
      <text>
        <r>
          <rPr>
            <sz val="9"/>
            <rFont val="宋体"/>
            <charset val="134"/>
          </rPr>
          <t xml:space="preserve">预付3444转到付USD485.07.
</t>
        </r>
      </text>
    </comment>
    <comment ref="M203" authorId="0">
      <text>
        <r>
          <rPr>
            <sz val="9"/>
            <rFont val="宋体"/>
            <charset val="134"/>
          </rPr>
          <t xml:space="preserve">预付3034.5转到付SD428.6.
</t>
        </r>
      </text>
    </comment>
    <comment ref="M209" authorId="0">
      <text>
        <r>
          <rPr>
            <sz val="9"/>
            <rFont val="宋体"/>
            <charset val="134"/>
          </rPr>
          <t xml:space="preserve">预付153转到付SD21.54.
</t>
        </r>
      </text>
    </comment>
    <comment ref="M212" authorId="0">
      <text>
        <r>
          <rPr>
            <sz val="9"/>
            <rFont val="宋体"/>
            <charset val="134"/>
          </rPr>
          <t xml:space="preserve">预付5945转到付USD837.32.
</t>
        </r>
      </text>
    </comment>
    <comment ref="M227" authorId="0">
      <text>
        <r>
          <rPr>
            <sz val="9"/>
            <rFont val="宋体"/>
            <charset val="134"/>
          </rPr>
          <t xml:space="preserve">预付170转到付USD24.01.
</t>
        </r>
      </text>
    </comment>
    <comment ref="M231" authorId="0">
      <text>
        <r>
          <rPr>
            <sz val="9"/>
            <rFont val="宋体"/>
            <charset val="134"/>
          </rPr>
          <t xml:space="preserve">预付5290转到付USD747.17.
</t>
        </r>
      </text>
    </comment>
    <comment ref="M240" authorId="0">
      <text>
        <r>
          <rPr>
            <sz val="9"/>
            <rFont val="宋体"/>
            <charset val="134"/>
          </rPr>
          <t xml:space="preserve">预付821.7默认到付USD116.05.
</t>
        </r>
      </text>
    </comment>
    <comment ref="M254" authorId="0">
      <text>
        <r>
          <rPr>
            <sz val="9"/>
            <rFont val="宋体"/>
            <charset val="134"/>
          </rPr>
          <t xml:space="preserve">预付975转到付USD137.71.
</t>
        </r>
      </text>
    </comment>
    <comment ref="M258" authorId="0">
      <text>
        <r>
          <rPr>
            <sz val="9"/>
            <rFont val="宋体"/>
            <charset val="134"/>
          </rPr>
          <t xml:space="preserve">预付665转到付SD93.92.
</t>
        </r>
      </text>
    </comment>
    <comment ref="M271" authorId="0">
      <text>
        <r>
          <rPr>
            <sz val="9"/>
            <rFont val="宋体"/>
            <charset val="134"/>
          </rPr>
          <t xml:space="preserve">预付227.5转到付USD32.13.
</t>
        </r>
      </text>
    </comment>
    <comment ref="M272" authorId="0">
      <text>
        <r>
          <rPr>
            <sz val="9"/>
            <rFont val="宋体"/>
            <charset val="134"/>
          </rPr>
          <t xml:space="preserve">预付1800转致命地USD254.23.
</t>
        </r>
      </text>
    </comment>
    <comment ref="H275" authorId="0">
      <text>
        <r>
          <rPr>
            <sz val="9"/>
            <rFont val="宋体"/>
            <charset val="134"/>
          </rPr>
          <t xml:space="preserve">实际507.5.航空公司收抛重153公斤.实收661公斤.
</t>
        </r>
      </text>
    </comment>
    <comment ref="M277" authorId="0">
      <text>
        <r>
          <rPr>
            <sz val="9"/>
            <rFont val="宋体"/>
            <charset val="134"/>
          </rPr>
          <t xml:space="preserve">预付 17827转到付USD2517.93.
</t>
        </r>
      </text>
    </comment>
    <comment ref="M283" authorId="0">
      <text>
        <r>
          <rPr>
            <sz val="9"/>
            <rFont val="宋体"/>
            <charset val="134"/>
          </rPr>
          <t xml:space="preserve">预付2177转到付USD307.48.
</t>
        </r>
      </text>
    </comment>
    <comment ref="M286" authorId="0">
      <text>
        <r>
          <rPr>
            <sz val="9"/>
            <rFont val="宋体"/>
            <charset val="134"/>
          </rPr>
          <t xml:space="preserve">预付5992转 到付USD846.32.
</t>
        </r>
      </text>
    </comment>
    <comment ref="M289" authorId="0">
      <text>
        <r>
          <rPr>
            <sz val="9"/>
            <rFont val="宋体"/>
            <charset val="134"/>
          </rPr>
          <t xml:space="preserve">预付1275转到付USD180.08.
</t>
        </r>
      </text>
    </comment>
    <comment ref="M301" authorId="0">
      <text>
        <r>
          <rPr>
            <sz val="9"/>
            <rFont val="宋体"/>
            <charset val="134"/>
          </rPr>
          <t xml:space="preserve">预付10990.5转到付USD1552.33
</t>
        </r>
      </text>
    </comment>
    <comment ref="M302" authorId="0">
      <text>
        <r>
          <rPr>
            <sz val="9"/>
            <rFont val="宋体"/>
            <charset val="134"/>
          </rPr>
          <t xml:space="preserve">预付3414.5转到付USD482.27.
</t>
        </r>
      </text>
    </comment>
    <comment ref="M309" authorId="0">
      <text>
        <r>
          <rPr>
            <sz val="9"/>
            <rFont val="宋体"/>
            <charset val="134"/>
          </rPr>
          <t xml:space="preserve">预付153转到付USD21.61.
</t>
        </r>
      </text>
    </comment>
    <comment ref="M313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M315" authorId="0">
      <text>
        <r>
          <rPr>
            <sz val="9"/>
            <rFont val="宋体"/>
            <charset val="134"/>
          </rPr>
          <t xml:space="preserve">预付210转到付SD29.66.
</t>
        </r>
      </text>
    </comment>
    <comment ref="M317" authorId="0">
      <text>
        <r>
          <rPr>
            <sz val="9"/>
            <rFont val="宋体"/>
            <charset val="134"/>
          </rPr>
          <t xml:space="preserve">预付969转到付USD136.86.
</t>
        </r>
      </text>
    </comment>
    <comment ref="M320" authorId="0">
      <text>
        <r>
          <rPr>
            <sz val="9"/>
            <rFont val="宋体"/>
            <charset val="134"/>
          </rPr>
          <t xml:space="preserve">预付1899.5转到付USD268.29.
</t>
        </r>
      </text>
    </comment>
    <comment ref="M335" authorId="0">
      <text>
        <r>
          <rPr>
            <sz val="9"/>
            <rFont val="宋体"/>
            <charset val="134"/>
          </rPr>
          <t xml:space="preserve">预付2015.5转到付USD284.67.
</t>
        </r>
      </text>
    </comment>
    <comment ref="M337" authorId="0">
      <text>
        <r>
          <rPr>
            <sz val="9"/>
            <rFont val="宋体"/>
            <charset val="134"/>
          </rPr>
          <t xml:space="preserve">预付63转到付USD8.89.
</t>
        </r>
      </text>
    </comment>
    <comment ref="M338" authorId="0">
      <text>
        <r>
          <rPr>
            <sz val="9"/>
            <rFont val="宋体"/>
            <charset val="134"/>
          </rPr>
          <t xml:space="preserve">预付804转到付USD113.55
</t>
        </r>
      </text>
    </comment>
    <comment ref="I341" authorId="0">
      <text>
        <r>
          <rPr>
            <sz val="9"/>
            <rFont val="宋体"/>
            <charset val="134"/>
          </rPr>
          <t>240910000019  6000USD
240915000012  4274.4USD
6000+4274.4=10274.4*7.08=72742.752元
240910000019   718.5*51=36643.5
240915000012   548*51+350=28298
合计64941.5元  72742.752-64941.5=7801.252元  这部份运费可抵扣客户其它订单欠费</t>
        </r>
      </text>
    </comment>
    <comment ref="K341" authorId="0">
      <text>
        <r>
          <rPr>
            <sz val="9"/>
            <rFont val="宋体"/>
            <charset val="134"/>
          </rPr>
          <t xml:space="preserve">国内收美金
</t>
        </r>
      </text>
    </comment>
    <comment ref="M345" authorId="0">
      <text>
        <r>
          <rPr>
            <sz val="9"/>
            <rFont val="宋体"/>
            <charset val="134"/>
          </rPr>
          <t xml:space="preserve">预付172.5转到付SD24.36.
</t>
        </r>
      </text>
    </comment>
    <comment ref="M347" authorId="0">
      <text>
        <r>
          <rPr>
            <sz val="9"/>
            <rFont val="宋体"/>
            <charset val="134"/>
          </rPr>
          <t xml:space="preserve">预付1552.5转到付USD219.27.
</t>
        </r>
      </text>
    </comment>
    <comment ref="M352" authorId="0">
      <text>
        <r>
          <rPr>
            <sz val="9"/>
            <rFont val="宋体"/>
            <charset val="134"/>
          </rPr>
          <t xml:space="preserve">预付402.5转到付USD56.85.
</t>
        </r>
      </text>
    </comment>
    <comment ref="M358" authorId="0">
      <text>
        <r>
          <rPr>
            <sz val="9"/>
            <rFont val="宋体"/>
            <charset val="134"/>
          </rPr>
          <t xml:space="preserve">预付510转到付USD72.03
</t>
        </r>
      </text>
    </comment>
    <comment ref="I372" authorId="0">
      <text>
        <r>
          <rPr>
            <sz val="9"/>
            <rFont val="宋体"/>
            <charset val="134"/>
          </rPr>
          <t xml:space="preserve">抵扣冠粤9月运费JOB090352.
</t>
        </r>
      </text>
    </comment>
    <comment ref="M395" authorId="0">
      <text>
        <r>
          <rPr>
            <sz val="9"/>
            <rFont val="宋体"/>
            <charset val="134"/>
          </rPr>
          <t xml:space="preserve">预付968转到付USD136.72.
</t>
        </r>
      </text>
    </comment>
    <comment ref="M398" authorId="0">
      <text>
        <r>
          <rPr>
            <sz val="9"/>
            <rFont val="宋体"/>
            <charset val="134"/>
          </rPr>
          <t xml:space="preserve">预付1428.9转到付USD201.82.
</t>
        </r>
      </text>
    </comment>
    <comment ref="I401" authorId="0">
      <text>
        <r>
          <rPr>
            <sz val="9"/>
            <rFont val="宋体"/>
            <charset val="134"/>
          </rPr>
          <t xml:space="preserve">到付USD22.4转预付161.57.
</t>
        </r>
      </text>
    </comment>
    <comment ref="M402" authorId="0">
      <text>
        <r>
          <rPr>
            <sz val="9"/>
            <rFont val="宋体"/>
            <charset val="134"/>
          </rPr>
          <t xml:space="preserve">预付168转到付USD23.72.
</t>
        </r>
      </text>
    </comment>
    <comment ref="M408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M411" authorId="0">
      <text>
        <r>
          <rPr>
            <sz val="9"/>
            <rFont val="宋体"/>
            <charset val="134"/>
          </rPr>
          <t xml:space="preserve">预付884.4转到付USD124.9.
</t>
        </r>
      </text>
    </comment>
    <comment ref="I416" authorId="0">
      <text>
        <r>
          <rPr>
            <b/>
            <sz val="9"/>
            <rFont val="宋体"/>
            <charset val="134"/>
          </rPr>
          <t>11/10公账支付13871.45欠20040.55.09/11结清</t>
        </r>
        <r>
          <rPr>
            <sz val="9"/>
            <rFont val="宋体"/>
            <charset val="134"/>
          </rPr>
          <t xml:space="preserve">
</t>
        </r>
      </text>
    </comment>
    <comment ref="M417" authorId="0">
      <text>
        <r>
          <rPr>
            <sz val="9"/>
            <rFont val="宋体"/>
            <charset val="134"/>
          </rPr>
          <t xml:space="preserve">预付630转到付USD88.98.
</t>
        </r>
      </text>
    </comment>
    <comment ref="M420" authorId="0">
      <text>
        <r>
          <rPr>
            <sz val="9"/>
            <rFont val="宋体"/>
            <charset val="134"/>
          </rPr>
          <t xml:space="preserve">预付915.75转到付USD129.34.
</t>
        </r>
      </text>
    </comment>
    <comment ref="M424" authorId="0">
      <text>
        <r>
          <rPr>
            <sz val="9"/>
            <rFont val="宋体"/>
            <charset val="134"/>
          </rPr>
          <t xml:space="preserve">预付4338.5转到付USD612.78.
</t>
        </r>
      </text>
    </comment>
    <comment ref="M425" authorId="0">
      <text>
        <r>
          <rPr>
            <sz val="9"/>
            <rFont val="宋体"/>
            <charset val="134"/>
          </rPr>
          <t xml:space="preserve">预付1287转到付SD181.77.
</t>
        </r>
      </text>
    </comment>
    <comment ref="M430" authorId="0">
      <text>
        <r>
          <rPr>
            <sz val="9"/>
            <rFont val="宋体"/>
            <charset val="134"/>
          </rPr>
          <t xml:space="preserve">预付218转到付USD30.79.
</t>
        </r>
      </text>
    </comment>
    <comment ref="M432" authorId="0">
      <text>
        <r>
          <rPr>
            <sz val="9"/>
            <rFont val="宋体"/>
            <charset val="134"/>
          </rPr>
          <t xml:space="preserve">预付1253转到付USD176.97.
</t>
        </r>
      </text>
    </comment>
    <comment ref="M437" authorId="0">
      <text>
        <r>
          <rPr>
            <sz val="9"/>
            <rFont val="宋体"/>
            <charset val="134"/>
          </rPr>
          <t xml:space="preserve">预付459转到付USD64.83.
</t>
        </r>
      </text>
    </comment>
    <comment ref="M444" authorId="0">
      <text>
        <r>
          <rPr>
            <sz val="9"/>
            <rFont val="宋体"/>
            <charset val="134"/>
          </rPr>
          <t xml:space="preserve">预付1575.5转到付SD222.52.
</t>
        </r>
      </text>
    </comment>
    <comment ref="M450" authorId="0">
      <text>
        <r>
          <rPr>
            <sz val="9"/>
            <rFont val="宋体"/>
            <charset val="134"/>
          </rPr>
          <t xml:space="preserve">预付604.5转到付USD85.38.
</t>
        </r>
      </text>
    </comment>
    <comment ref="M460" authorId="0">
      <text>
        <r>
          <rPr>
            <sz val="9"/>
            <rFont val="宋体"/>
            <charset val="134"/>
          </rPr>
          <t xml:space="preserve">预付739.5转到付USD104.44.
</t>
        </r>
      </text>
    </comment>
    <comment ref="M461" authorId="0">
      <text>
        <r>
          <rPr>
            <sz val="9"/>
            <rFont val="宋体"/>
            <charset val="134"/>
          </rPr>
          <t xml:space="preserve">预付837转到付USD118.22.
</t>
        </r>
      </text>
    </comment>
    <comment ref="M465" authorId="0">
      <text>
        <r>
          <rPr>
            <sz val="9"/>
            <rFont val="宋体"/>
            <charset val="134"/>
          </rPr>
          <t xml:space="preserve">预付3306转到付USD466.94.
</t>
        </r>
      </text>
    </comment>
    <comment ref="I471" authorId="0">
      <text>
        <r>
          <rPr>
            <sz val="9"/>
            <rFont val="宋体"/>
            <charset val="134"/>
          </rPr>
          <t xml:space="preserve">到付USD36转预付260.
</t>
        </r>
      </text>
    </comment>
    <comment ref="M479" authorId="0">
      <text>
        <r>
          <rPr>
            <sz val="9"/>
            <rFont val="宋体"/>
            <charset val="134"/>
          </rPr>
          <t xml:space="preserve">预付8036转到付USD1135.02
</t>
        </r>
      </text>
    </comment>
    <comment ref="M490" authorId="0">
      <text>
        <r>
          <rPr>
            <sz val="9"/>
            <rFont val="宋体"/>
            <charset val="134"/>
          </rPr>
          <t>预付667.5转到付USD94.27.</t>
        </r>
      </text>
    </comment>
    <comment ref="M492" authorId="0">
      <text>
        <r>
          <rPr>
            <sz val="9"/>
            <rFont val="宋体"/>
            <charset val="134"/>
          </rPr>
          <t xml:space="preserve">预付699转到付USD98.72.
</t>
        </r>
      </text>
    </comment>
    <comment ref="M494" authorId="0">
      <text>
        <r>
          <rPr>
            <sz val="9"/>
            <rFont val="宋体"/>
            <charset val="134"/>
          </rPr>
          <t xml:space="preserve">预付405转到付USD57.2.
</t>
        </r>
      </text>
    </comment>
    <comment ref="M497" authorId="0">
      <text>
        <r>
          <rPr>
            <sz val="9"/>
            <rFont val="宋体"/>
            <charset val="134"/>
          </rPr>
          <t xml:space="preserve">预付4756转到付USD671.75.
</t>
        </r>
      </text>
    </comment>
    <comment ref="M503" authorId="0">
      <text>
        <r>
          <rPr>
            <sz val="9"/>
            <rFont val="宋体"/>
            <charset val="134"/>
          </rPr>
          <t>预付153转到付USD21.61.</t>
        </r>
      </text>
    </comment>
    <comment ref="M536" authorId="0">
      <text>
        <r>
          <rPr>
            <sz val="9"/>
            <rFont val="宋体"/>
            <charset val="134"/>
          </rPr>
          <t xml:space="preserve">预付120转到付USD16.94.
</t>
        </r>
      </text>
    </comment>
    <comment ref="M540" authorId="0">
      <text>
        <r>
          <rPr>
            <sz val="9"/>
            <rFont val="宋体"/>
            <charset val="134"/>
          </rPr>
          <t xml:space="preserve">预付1325转到付USD187.14.
</t>
        </r>
      </text>
    </comment>
    <comment ref="M553" authorId="0">
      <text>
        <r>
          <rPr>
            <sz val="9"/>
            <rFont val="宋体"/>
            <charset val="134"/>
          </rPr>
          <t xml:space="preserve">预付441转到付USD62.28.
</t>
        </r>
      </text>
    </comment>
    <comment ref="M554" authorId="0">
      <text>
        <r>
          <rPr>
            <sz val="9"/>
            <rFont val="宋体"/>
            <charset val="134"/>
          </rPr>
          <t xml:space="preserve">预付75.9转到付USD10.72.
</t>
        </r>
      </text>
    </comment>
    <comment ref="I555" authorId="0">
      <text>
        <r>
          <rPr>
            <sz val="9"/>
            <rFont val="宋体"/>
            <charset val="134"/>
          </rPr>
          <t xml:space="preserve">客户拒收，当亏损
</t>
        </r>
      </text>
    </comment>
    <comment ref="M577" authorId="0">
      <text>
        <r>
          <rPr>
            <sz val="9"/>
            <rFont val="宋体"/>
            <charset val="134"/>
          </rPr>
          <t xml:space="preserve">预付60转USD8.47.
</t>
        </r>
      </text>
    </comment>
    <comment ref="I579" authorId="0">
      <text>
        <r>
          <rPr>
            <sz val="9"/>
            <rFont val="宋体"/>
            <charset val="134"/>
          </rPr>
          <t xml:space="preserve">到付IUSD66.17转预付487.
</t>
        </r>
      </text>
    </comment>
    <comment ref="M587" authorId="0">
      <text>
        <r>
          <rPr>
            <sz val="9"/>
            <rFont val="宋体"/>
            <charset val="134"/>
          </rPr>
          <t xml:space="preserve">预付440转到付USD62.14.
</t>
        </r>
      </text>
    </comment>
    <comment ref="M588" authorId="0">
      <text>
        <r>
          <rPr>
            <sz val="9"/>
            <rFont val="宋体"/>
            <charset val="134"/>
          </rPr>
          <t xml:space="preserve">预付97.5转到付USD13.77.
</t>
        </r>
      </text>
    </comment>
    <comment ref="I599" authorId="0">
      <text>
        <r>
          <rPr>
            <b/>
            <sz val="9"/>
            <rFont val="宋体"/>
            <charset val="134"/>
          </rPr>
          <t>9/10赔偿货物丢失款491元。实收4862元</t>
        </r>
        <r>
          <rPr>
            <sz val="9"/>
            <rFont val="宋体"/>
            <charset val="134"/>
          </rPr>
          <t xml:space="preserve">
</t>
        </r>
      </text>
    </comment>
    <comment ref="M606" authorId="0">
      <text>
        <r>
          <rPr>
            <sz val="9"/>
            <rFont val="宋体"/>
            <charset val="134"/>
          </rPr>
          <t xml:space="preserve">预付11850转到付USD1673.72.
</t>
        </r>
      </text>
    </comment>
    <comment ref="M607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M620" authorId="0">
      <text>
        <r>
          <rPr>
            <sz val="9"/>
            <rFont val="宋体"/>
            <charset val="134"/>
          </rPr>
          <t>预付267转到付USD37.71.</t>
        </r>
      </text>
    </comment>
    <comment ref="I621" authorId="0">
      <text>
        <r>
          <rPr>
            <sz val="9"/>
            <rFont val="宋体"/>
            <charset val="134"/>
          </rPr>
          <t xml:space="preserve">对冲阿米拉9月海运费.
</t>
        </r>
      </text>
    </comment>
    <comment ref="I623" authorId="0">
      <text>
        <r>
          <rPr>
            <sz val="9"/>
            <rFont val="宋体"/>
            <charset val="134"/>
          </rPr>
          <t xml:space="preserve">240910000019  6000USD
240915000012  4274.4USD
6000+4274.4=10274.4*7.08=72742.752元
240910000019   718.5*51=36643.5
240915000012   548*51+350=28298
合计64941.5元  72742.752-64941.5=7801.252元  这部份运费可抵扣客户其它订单欠费
</t>
        </r>
      </text>
    </comment>
    <comment ref="K623" authorId="0">
      <text>
        <r>
          <rPr>
            <sz val="9"/>
            <rFont val="宋体"/>
            <charset val="134"/>
          </rPr>
          <t xml:space="preserve">国内收美金
</t>
        </r>
      </text>
    </comment>
    <comment ref="M625" authorId="0">
      <text>
        <r>
          <rPr>
            <sz val="9"/>
            <rFont val="宋体"/>
            <charset val="134"/>
          </rPr>
          <t xml:space="preserve">预付1530转到付USD216.1.
</t>
        </r>
      </text>
    </comment>
    <comment ref="M628" authorId="0">
      <text>
        <r>
          <rPr>
            <sz val="9"/>
            <rFont val="宋体"/>
            <charset val="134"/>
          </rPr>
          <t xml:space="preserve">预付319转到付SD45.05.
</t>
        </r>
      </text>
    </comment>
    <comment ref="M633" authorId="0">
      <text>
        <r>
          <rPr>
            <sz val="9"/>
            <rFont val="宋体"/>
            <charset val="134"/>
          </rPr>
          <t xml:space="preserve">预付918转到付USD129.66.
</t>
        </r>
      </text>
    </comment>
    <comment ref="M635" authorId="0">
      <text>
        <r>
          <rPr>
            <sz val="9"/>
            <rFont val="宋体"/>
            <charset val="134"/>
          </rPr>
          <t xml:space="preserve">预付63转到付USD8.89
</t>
        </r>
      </text>
    </comment>
    <comment ref="M642" authorId="0">
      <text>
        <r>
          <rPr>
            <sz val="9"/>
            <rFont val="宋体"/>
            <charset val="134"/>
          </rPr>
          <t xml:space="preserve">预付69转到付USD9.74.
</t>
        </r>
      </text>
    </comment>
    <comment ref="M643" authorId="0">
      <text>
        <r>
          <rPr>
            <sz val="9"/>
            <rFont val="宋体"/>
            <charset val="134"/>
          </rPr>
          <t xml:space="preserve">预付8280转到付USD1169.49.
</t>
        </r>
      </text>
    </comment>
    <comment ref="M646" authorId="0">
      <text>
        <r>
          <rPr>
            <sz val="9"/>
            <rFont val="宋体"/>
            <charset val="134"/>
          </rPr>
          <t xml:space="preserve">预付447转到付USD63.13
</t>
        </r>
      </text>
    </comment>
    <comment ref="M663" authorId="0">
      <text>
        <r>
          <rPr>
            <sz val="9"/>
            <rFont val="宋体"/>
            <charset val="134"/>
          </rPr>
          <t xml:space="preserve">预付747转到付USD105.5.
</t>
        </r>
      </text>
    </comment>
    <comment ref="M668" authorId="0">
      <text>
        <r>
          <rPr>
            <sz val="9"/>
            <rFont val="宋体"/>
            <charset val="134"/>
          </rPr>
          <t xml:space="preserve">预付2142转到付USD302.54.
</t>
        </r>
      </text>
    </comment>
    <comment ref="M670" authorId="0">
      <text>
        <r>
          <rPr>
            <sz val="9"/>
            <rFont val="宋体"/>
            <charset val="134"/>
          </rPr>
          <t xml:space="preserve">预付183转到付USD25.84.
</t>
        </r>
      </text>
    </comment>
    <comment ref="M671" authorId="0">
      <text>
        <r>
          <rPr>
            <sz val="9"/>
            <rFont val="宋体"/>
            <charset val="134"/>
          </rPr>
          <t xml:space="preserve">预付3933转到付USD555.5
</t>
        </r>
      </text>
    </comment>
    <comment ref="M674" authorId="0">
      <text>
        <r>
          <rPr>
            <sz val="9"/>
            <rFont val="宋体"/>
            <charset val="134"/>
          </rPr>
          <t xml:space="preserve">预付2385转到付USD336.86.
</t>
        </r>
      </text>
    </comment>
    <comment ref="M680" authorId="0">
      <text>
        <r>
          <rPr>
            <sz val="9"/>
            <rFont val="宋体"/>
            <charset val="134"/>
          </rPr>
          <t xml:space="preserve">预付148转到位USD20.9.
</t>
        </r>
      </text>
    </comment>
    <comment ref="M705" authorId="0">
      <text>
        <r>
          <rPr>
            <sz val="9"/>
            <rFont val="宋体"/>
            <charset val="134"/>
          </rPr>
          <t xml:space="preserve">预付300转到付SD42.37.
</t>
        </r>
      </text>
    </comment>
    <comment ref="M714" authorId="0">
      <text>
        <r>
          <rPr>
            <sz val="9"/>
            <rFont val="宋体"/>
            <charset val="134"/>
          </rPr>
          <t>预付1012.8转到付USD143.05.</t>
        </r>
      </text>
    </comment>
    <comment ref="M723" authorId="0">
      <text>
        <r>
          <rPr>
            <sz val="9"/>
            <rFont val="宋体"/>
            <charset val="134"/>
          </rPr>
          <t xml:space="preserve">预付6652转到付USD939.54.
</t>
        </r>
      </text>
    </comment>
    <comment ref="I731" authorId="0">
      <text>
        <r>
          <rPr>
            <sz val="9"/>
            <rFont val="宋体"/>
            <charset val="134"/>
          </rPr>
          <t xml:space="preserve">到付USD87.89转预付646.
</t>
        </r>
      </text>
    </comment>
    <comment ref="I739" authorId="0">
      <text>
        <r>
          <rPr>
            <sz val="9"/>
            <rFont val="宋体"/>
            <charset val="134"/>
          </rPr>
          <t xml:space="preserve">到付USD344.61转预付2360.
</t>
        </r>
      </text>
    </comment>
    <comment ref="M752" authorId="0">
      <text>
        <r>
          <rPr>
            <sz val="9"/>
            <rFont val="宋体"/>
            <charset val="134"/>
          </rPr>
          <t xml:space="preserve">预付832.5转到付USD117.58.
</t>
        </r>
      </text>
    </comment>
    <comment ref="M767" authorId="0">
      <text>
        <r>
          <rPr>
            <sz val="9"/>
            <rFont val="宋体"/>
            <charset val="134"/>
          </rPr>
          <t xml:space="preserve">预付75转到付SD10.59.
</t>
        </r>
      </text>
    </comment>
    <comment ref="M771" authorId="0">
      <text>
        <r>
          <rPr>
            <sz val="9"/>
            <rFont val="宋体"/>
            <charset val="134"/>
          </rPr>
          <t xml:space="preserve">预付115转到付USD16.24.
</t>
        </r>
      </text>
    </comment>
    <comment ref="M779" authorId="0">
      <text>
        <r>
          <rPr>
            <sz val="9"/>
            <rFont val="宋体"/>
            <charset val="134"/>
          </rPr>
          <t xml:space="preserve">预付11102转到付USD1568.07.
</t>
        </r>
      </text>
    </comment>
    <comment ref="I780" authorId="0">
      <text>
        <r>
          <rPr>
            <sz val="9"/>
            <rFont val="宋体"/>
            <charset val="134"/>
          </rPr>
          <t xml:space="preserve">对冲阿米拉9月海运费.
</t>
        </r>
      </text>
    </comment>
    <comment ref="I790" authorId="0">
      <text>
        <r>
          <rPr>
            <sz val="9"/>
            <rFont val="宋体"/>
            <charset val="134"/>
          </rPr>
          <t xml:space="preserve">到付USD217.1转预付1596.
</t>
        </r>
      </text>
    </comment>
    <comment ref="M791" authorId="0">
      <text>
        <r>
          <rPr>
            <sz val="9"/>
            <rFont val="宋体"/>
            <charset val="134"/>
          </rPr>
          <t xml:space="preserve">预付5768转到付USD14.68.
</t>
        </r>
      </text>
    </comment>
    <comment ref="M792" authorId="0">
      <text>
        <r>
          <rPr>
            <sz val="9"/>
            <rFont val="宋体"/>
            <charset val="134"/>
          </rPr>
          <t xml:space="preserve">预付1204转到付USD170.05.
</t>
        </r>
      </text>
    </comment>
    <comment ref="M793" authorId="0">
      <text>
        <r>
          <rPr>
            <sz val="9"/>
            <rFont val="宋体"/>
            <charset val="134"/>
          </rPr>
          <t xml:space="preserve">预付660转到付USD93.22
</t>
        </r>
      </text>
    </comment>
    <comment ref="M797" authorId="0">
      <text>
        <r>
          <rPr>
            <sz val="9"/>
            <rFont val="宋体"/>
            <charset val="134"/>
          </rPr>
          <t xml:space="preserve">预付1705转到付USD240.81.
</t>
        </r>
      </text>
    </comment>
    <comment ref="M798" authorId="0">
      <text>
        <r>
          <rPr>
            <sz val="9"/>
            <rFont val="宋体"/>
            <charset val="134"/>
          </rPr>
          <t xml:space="preserve">预付3159转到付USD446.18.
</t>
        </r>
      </text>
    </comment>
    <comment ref="M815" authorId="0">
      <text>
        <r>
          <rPr>
            <sz val="9"/>
            <rFont val="宋体"/>
            <charset val="134"/>
          </rPr>
          <t xml:space="preserve">预付1909转到付USD269.63.
</t>
        </r>
      </text>
    </comment>
    <comment ref="M816" authorId="0">
      <text>
        <r>
          <rPr>
            <sz val="9"/>
            <rFont val="宋体"/>
            <charset val="134"/>
          </rPr>
          <t xml:space="preserve">预付1667.5转到付USD235.52.
</t>
        </r>
      </text>
    </comment>
    <comment ref="M817" authorId="0">
      <text>
        <r>
          <rPr>
            <sz val="9"/>
            <rFont val="宋体"/>
            <charset val="134"/>
          </rPr>
          <t xml:space="preserve">预付1989转到付USD280.93.
</t>
        </r>
      </text>
    </comment>
    <comment ref="M851" authorId="0">
      <text>
        <r>
          <rPr>
            <sz val="9"/>
            <rFont val="宋体"/>
            <charset val="134"/>
          </rPr>
          <t xml:space="preserve">预付1110.9转到付USD156.9.
</t>
        </r>
      </text>
    </comment>
    <comment ref="M854" authorId="0">
      <text>
        <r>
          <rPr>
            <sz val="9"/>
            <rFont val="宋体"/>
            <charset val="134"/>
          </rPr>
          <t xml:space="preserve">预付5551转到付USD784.03
</t>
        </r>
      </text>
    </comment>
    <comment ref="M869" authorId="0">
      <text>
        <r>
          <rPr>
            <sz val="9"/>
            <rFont val="宋体"/>
            <charset val="134"/>
          </rPr>
          <t xml:space="preserve">预付699.6转到付USD98.81.
</t>
        </r>
      </text>
    </comment>
    <comment ref="M870" authorId="0">
      <text>
        <r>
          <rPr>
            <sz val="9"/>
            <rFont val="宋体"/>
            <charset val="134"/>
          </rPr>
          <t xml:space="preserve">预付85转到付USD12.
</t>
        </r>
      </text>
    </comment>
    <comment ref="M878" authorId="0">
      <text>
        <r>
          <rPr>
            <sz val="9"/>
            <rFont val="宋体"/>
            <charset val="134"/>
          </rPr>
          <t>预付8107转到付USD1130.5</t>
        </r>
      </text>
    </comment>
    <comment ref="M884" authorId="0">
      <text>
        <r>
          <rPr>
            <sz val="9"/>
            <rFont val="宋体"/>
            <charset val="134"/>
          </rPr>
          <t xml:space="preserve">预付337.5转到付USD47.66.
</t>
        </r>
      </text>
    </comment>
    <comment ref="I890" authorId="0">
      <text>
        <r>
          <rPr>
            <sz val="9"/>
            <rFont val="宋体"/>
            <charset val="134"/>
          </rPr>
          <t xml:space="preserve">到付USD839.76转预付5979.09.
</t>
        </r>
      </text>
    </comment>
    <comment ref="M897" authorId="0">
      <text>
        <r>
          <rPr>
            <sz val="9"/>
            <rFont val="宋体"/>
            <charset val="134"/>
          </rPr>
          <t xml:space="preserve">预付2095转到付USD295.9.
</t>
        </r>
      </text>
    </comment>
    <comment ref="M904" authorId="0">
      <text>
        <r>
          <rPr>
            <sz val="9"/>
            <rFont val="宋体"/>
            <charset val="134"/>
          </rPr>
          <t xml:space="preserve">预付366.3转到付USD51.73.
</t>
        </r>
      </text>
    </comment>
    <comment ref="M917" authorId="0">
      <text>
        <r>
          <rPr>
            <sz val="9"/>
            <rFont val="宋体"/>
            <charset val="134"/>
          </rPr>
          <t xml:space="preserve">预付183转到付USD25.84.
</t>
        </r>
      </text>
    </comment>
    <comment ref="M932" authorId="0">
      <text>
        <r>
          <rPr>
            <sz val="9"/>
            <rFont val="宋体"/>
            <charset val="134"/>
          </rPr>
          <t xml:space="preserve">预付3524.5转到付USD497.81.
</t>
        </r>
      </text>
    </comment>
    <comment ref="M933" authorId="0">
      <text>
        <r>
          <rPr>
            <sz val="9"/>
            <rFont val="宋体"/>
            <charset val="134"/>
          </rPr>
          <t xml:space="preserve">预付433.5转到付USD61.22
</t>
        </r>
      </text>
    </comment>
    <comment ref="M946" authorId="0">
      <text>
        <r>
          <rPr>
            <sz val="9"/>
            <rFont val="宋体"/>
            <charset val="134"/>
          </rPr>
          <t xml:space="preserve">预付648.5转到付USD91.59.
</t>
        </r>
      </text>
    </comment>
    <comment ref="M950" authorId="0">
      <text>
        <r>
          <rPr>
            <sz val="9"/>
            <rFont val="宋体"/>
            <charset val="134"/>
          </rPr>
          <t xml:space="preserve">预付1850.5转到付USD261.37.
</t>
        </r>
      </text>
    </comment>
    <comment ref="M958" authorId="0">
      <text>
        <r>
          <rPr>
            <sz val="9"/>
            <rFont val="宋体"/>
            <charset val="134"/>
          </rPr>
          <t xml:space="preserve">预付536转到付USD75.7.
</t>
        </r>
      </text>
    </comment>
    <comment ref="M964" authorId="0">
      <text>
        <r>
          <rPr>
            <sz val="9"/>
            <rFont val="宋体"/>
            <charset val="134"/>
          </rPr>
          <t xml:space="preserve">预付2090转到付USD295.19.
</t>
        </r>
      </text>
    </comment>
    <comment ref="M965" authorId="0">
      <text>
        <r>
          <rPr>
            <sz val="9"/>
            <rFont val="宋体"/>
            <charset val="134"/>
          </rPr>
          <t xml:space="preserve">预付1430转到付USD201.97.
</t>
        </r>
      </text>
    </comment>
    <comment ref="M966" authorId="0">
      <text>
        <r>
          <rPr>
            <sz val="9"/>
            <rFont val="宋体"/>
            <charset val="134"/>
          </rPr>
          <t xml:space="preserve">预付243转到付SD34.32.
</t>
        </r>
      </text>
    </comment>
    <comment ref="M969" authorId="0">
      <text>
        <r>
          <rPr>
            <sz val="9"/>
            <rFont val="宋体"/>
            <charset val="134"/>
          </rPr>
          <t xml:space="preserve">预付14867.6转到付USD2099.94
</t>
        </r>
      </text>
    </comment>
    <comment ref="M970" authorId="0">
      <text>
        <r>
          <rPr>
            <sz val="9"/>
            <rFont val="宋体"/>
            <charset val="134"/>
          </rPr>
          <t xml:space="preserve">预付347.5转到付USD49.08.
</t>
        </r>
      </text>
    </comment>
    <comment ref="M971" authorId="0">
      <text>
        <r>
          <rPr>
            <sz val="9"/>
            <rFont val="宋体"/>
            <charset val="134"/>
          </rPr>
          <t xml:space="preserve">预付406转到付USD57.34
</t>
        </r>
      </text>
    </comment>
    <comment ref="M974" authorId="0">
      <text>
        <r>
          <rPr>
            <sz val="9"/>
            <rFont val="宋体"/>
            <charset val="134"/>
          </rPr>
          <t xml:space="preserve">预付8745转到付USD1235.16.
</t>
        </r>
      </text>
    </comment>
    <comment ref="I978" authorId="0">
      <text>
        <r>
          <rPr>
            <b/>
            <sz val="9"/>
            <rFont val="宋体"/>
            <charset val="134"/>
          </rPr>
          <t>24/12支付到付9796.5欠594</t>
        </r>
        <r>
          <rPr>
            <sz val="9"/>
            <rFont val="宋体"/>
            <charset val="134"/>
          </rPr>
          <t xml:space="preserve">
</t>
        </r>
      </text>
    </comment>
    <comment ref="M978" authorId="0">
      <text>
        <r>
          <rPr>
            <sz val="9"/>
            <rFont val="宋体"/>
            <charset val="134"/>
          </rPr>
          <t xml:space="preserve">预付9796.5L转预付1377.84
</t>
        </r>
      </text>
    </comment>
    <comment ref="M982" authorId="0">
      <text>
        <r>
          <rPr>
            <sz val="9"/>
            <rFont val="宋体"/>
            <charset val="134"/>
          </rPr>
          <t xml:space="preserve">预付4144转到付USD585.31.
</t>
        </r>
      </text>
    </comment>
    <comment ref="M984" authorId="0">
      <text>
        <r>
          <rPr>
            <sz val="9"/>
            <rFont val="宋体"/>
            <charset val="134"/>
          </rPr>
          <t xml:space="preserve">预付135转到付USD19.06.
</t>
        </r>
      </text>
    </comment>
    <comment ref="M989" authorId="0">
      <text>
        <r>
          <rPr>
            <sz val="9"/>
            <rFont val="宋体"/>
            <charset val="134"/>
          </rPr>
          <t xml:space="preserve">预付1108.5转到付USD156.56.
</t>
        </r>
      </text>
    </comment>
    <comment ref="M993" authorId="0">
      <text>
        <r>
          <rPr>
            <sz val="9"/>
            <rFont val="宋体"/>
            <charset val="134"/>
          </rPr>
          <t>预付990转到付USD139.83.</t>
        </r>
      </text>
    </comment>
    <comment ref="M995" authorId="0">
      <text>
        <r>
          <rPr>
            <sz val="9"/>
            <rFont val="宋体"/>
            <charset val="134"/>
          </rPr>
          <t xml:space="preserve">预付5032.5转到付USD710.8.
</t>
        </r>
      </text>
    </comment>
    <comment ref="M1006" authorId="0">
      <text>
        <r>
          <rPr>
            <sz val="9"/>
            <rFont val="宋体"/>
            <charset val="134"/>
          </rPr>
          <t xml:space="preserve">预付1548转到付SD218.64.
</t>
        </r>
      </text>
    </comment>
    <comment ref="M1017" authorId="0">
      <text>
        <r>
          <rPr>
            <sz val="9"/>
            <rFont val="宋体"/>
            <charset val="134"/>
          </rPr>
          <t xml:space="preserve">预付3390转到付SD478.81.
</t>
        </r>
      </text>
    </comment>
    <comment ref="M1020" authorId="0">
      <text>
        <r>
          <rPr>
            <sz val="9"/>
            <rFont val="宋体"/>
            <charset val="134"/>
          </rPr>
          <t xml:space="preserve">预付433.25转到付USD61.22
</t>
        </r>
      </text>
    </comment>
    <comment ref="M1023" authorId="0">
      <text>
        <r>
          <rPr>
            <sz val="9"/>
            <rFont val="宋体"/>
            <charset val="134"/>
          </rPr>
          <t xml:space="preserve">预付12760转到付USD1802.25.
</t>
        </r>
      </text>
    </comment>
    <comment ref="M1027" authorId="0">
      <text>
        <r>
          <rPr>
            <sz val="9"/>
            <rFont val="宋体"/>
            <charset val="134"/>
          </rPr>
          <t xml:space="preserve">预付28782转到付SD4065.25.
</t>
        </r>
      </text>
    </comment>
    <comment ref="M1032" authorId="0">
      <text>
        <r>
          <rPr>
            <sz val="9"/>
            <rFont val="宋体"/>
            <charset val="134"/>
          </rPr>
          <t xml:space="preserve">预付1785转到付USD252.11.
</t>
        </r>
      </text>
    </comment>
    <comment ref="M1034" authorId="0">
      <text>
        <r>
          <rPr>
            <sz val="9"/>
            <rFont val="宋体"/>
            <charset val="134"/>
          </rPr>
          <t xml:space="preserve">预付7214.5转到付USD1018.99.
</t>
        </r>
      </text>
    </comment>
    <comment ref="M1048" authorId="0">
      <text>
        <r>
          <rPr>
            <sz val="9"/>
            <rFont val="宋体"/>
            <charset val="134"/>
          </rPr>
          <t xml:space="preserve">预付615转USD86.836.
</t>
        </r>
      </text>
    </comment>
    <comment ref="M1055" authorId="0">
      <text>
        <r>
          <rPr>
            <sz val="9"/>
            <rFont val="宋体"/>
            <charset val="134"/>
          </rPr>
          <t xml:space="preserve">预付250转到付USD35.31.
</t>
        </r>
      </text>
    </comment>
    <comment ref="M1061" authorId="0">
      <text>
        <r>
          <rPr>
            <sz val="9"/>
            <rFont val="宋体"/>
            <charset val="134"/>
          </rPr>
          <t xml:space="preserve">预付2300转USD324.85.
</t>
        </r>
      </text>
    </comment>
  </commentList>
</comments>
</file>

<file path=xl/sharedStrings.xml><?xml version="1.0" encoding="utf-8"?>
<sst xmlns="http://schemas.openxmlformats.org/spreadsheetml/2006/main" count="3316" uniqueCount="603">
  <si>
    <t>2024年09月份LOS毛利表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</si>
  <si>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</si>
  <si>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</si>
  <si>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</si>
  <si>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</si>
  <si>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</si>
  <si>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</si>
  <si>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</si>
  <si>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</si>
  <si>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</si>
  <si>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</si>
  <si>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</si>
  <si>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</si>
  <si>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</si>
  <si>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</si>
  <si>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</si>
  <si>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</si>
  <si>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</si>
  <si>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</si>
  <si>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</si>
  <si>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</si>
  <si>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</si>
  <si>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</si>
  <si>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</si>
  <si>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</si>
  <si>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</si>
  <si>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</si>
  <si>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</si>
  <si>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</si>
  <si>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</si>
  <si>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</si>
  <si>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</si>
  <si>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</si>
  <si>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</si>
  <si>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</si>
  <si>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JOB090348</t>
  </si>
  <si>
    <t>COLL004137</t>
  </si>
  <si>
    <t>罗伟健</t>
  </si>
  <si>
    <t>MailMail速运-演员</t>
  </si>
  <si>
    <t>chenchen</t>
  </si>
  <si>
    <t>富姐</t>
  </si>
  <si>
    <t>Sam.Pao</t>
  </si>
  <si>
    <t>YunLong Hu</t>
  </si>
  <si>
    <t>朱小飞</t>
  </si>
  <si>
    <t>Isabel Zhu</t>
  </si>
  <si>
    <t>KeKe</t>
  </si>
  <si>
    <t>Bella</t>
  </si>
  <si>
    <t>Bella Chan</t>
  </si>
  <si>
    <t>Ai Ge Li</t>
  </si>
  <si>
    <t>Jumoke</t>
  </si>
  <si>
    <t>吕沛霖</t>
  </si>
  <si>
    <t>喵喵速运-Layne</t>
  </si>
  <si>
    <t>Chen Yi</t>
  </si>
  <si>
    <t>Mr.Jin</t>
  </si>
  <si>
    <t>NAN GUA</t>
  </si>
  <si>
    <t>MA ZONG</t>
  </si>
  <si>
    <t>Liu Mao</t>
  </si>
  <si>
    <t>Lin Qing Yuan</t>
  </si>
  <si>
    <t>ChenBin</t>
  </si>
  <si>
    <t>JOB090349</t>
  </si>
  <si>
    <t>COLL004140</t>
  </si>
  <si>
    <t>Jahnson</t>
  </si>
  <si>
    <t>黄颖</t>
  </si>
  <si>
    <t>ying</t>
  </si>
  <si>
    <t>luzong</t>
  </si>
  <si>
    <t>LING</t>
  </si>
  <si>
    <t>Han</t>
  </si>
  <si>
    <t>Zheng Hao</t>
  </si>
  <si>
    <t>Julie LEE</t>
  </si>
  <si>
    <t>Julie lee</t>
  </si>
  <si>
    <t>Sule Adekunle</t>
  </si>
  <si>
    <t>Rabiu Mohammed</t>
  </si>
  <si>
    <t>JOB090353</t>
  </si>
  <si>
    <t>COLL004146</t>
  </si>
  <si>
    <t>jj</t>
  </si>
  <si>
    <t>Lee Wen Wei</t>
  </si>
  <si>
    <t>Mr.Wang Mian</t>
  </si>
  <si>
    <t>Long Er</t>
  </si>
  <si>
    <t>shangyafei</t>
  </si>
  <si>
    <t>MaiKaiNian</t>
  </si>
  <si>
    <t>Japhia 于佳慧</t>
  </si>
  <si>
    <t>xu ming</t>
  </si>
  <si>
    <t>JOB090354</t>
  </si>
  <si>
    <t>COLL004141</t>
  </si>
  <si>
    <t>los徐周鹏</t>
  </si>
  <si>
    <t>顶派</t>
  </si>
  <si>
    <t>Leng Feng</t>
  </si>
  <si>
    <t>REMI</t>
  </si>
  <si>
    <t>Hillter</t>
  </si>
  <si>
    <t>Olatunde Mustapha</t>
  </si>
  <si>
    <t>Tom chen</t>
  </si>
  <si>
    <t>zhang long ting</t>
  </si>
  <si>
    <t>Cui Jinghui</t>
  </si>
  <si>
    <t>Ayo</t>
  </si>
  <si>
    <t>fast hours DM NIGHT LED</t>
  </si>
  <si>
    <t>Ah Jie</t>
  </si>
  <si>
    <t>无人</t>
  </si>
  <si>
    <t>javen</t>
  </si>
  <si>
    <t>JoJo</t>
  </si>
  <si>
    <t>Desmond</t>
  </si>
  <si>
    <t>Shijianguo</t>
  </si>
  <si>
    <t>Cindy</t>
  </si>
  <si>
    <t>Frank</t>
  </si>
  <si>
    <t>clarkzeng2</t>
  </si>
  <si>
    <t>zengyugui</t>
  </si>
  <si>
    <t>HRH Iowe Augustine Nwankwo</t>
  </si>
  <si>
    <t>Mr Zhou Jia Liang</t>
  </si>
  <si>
    <t>Lizzy</t>
  </si>
  <si>
    <t>Wu Jiao Xing</t>
  </si>
  <si>
    <t>Joy</t>
  </si>
  <si>
    <t>Halifa Success</t>
  </si>
  <si>
    <t>FENG</t>
  </si>
  <si>
    <t>Unique Desh logistics</t>
  </si>
  <si>
    <t>Mailmail/Taiwo</t>
  </si>
  <si>
    <t>SF Jerry 顾</t>
  </si>
  <si>
    <t>William Xu</t>
  </si>
  <si>
    <t>LEO WEI</t>
  </si>
  <si>
    <t>Li Si Zhe</t>
  </si>
  <si>
    <t>Annie</t>
  </si>
  <si>
    <t>Jason</t>
  </si>
  <si>
    <t>Yang yinhua</t>
  </si>
  <si>
    <t>Mr Ola</t>
  </si>
  <si>
    <t>Mu Shi Shi</t>
  </si>
  <si>
    <t>JOB090355</t>
  </si>
  <si>
    <t>COLL004148</t>
  </si>
  <si>
    <t>Karl</t>
  </si>
  <si>
    <t>Zhang Wen Hao</t>
  </si>
  <si>
    <t>zhounengquan</t>
  </si>
  <si>
    <t>huang</t>
  </si>
  <si>
    <t>dejare James</t>
  </si>
  <si>
    <t>James</t>
  </si>
  <si>
    <t>yunus</t>
  </si>
  <si>
    <t>Laura</t>
  </si>
  <si>
    <t>鸿</t>
  </si>
  <si>
    <t>Alice08105750388</t>
  </si>
  <si>
    <t>JOB090356</t>
  </si>
  <si>
    <t>COLL004150</t>
  </si>
  <si>
    <t>Omolade</t>
  </si>
  <si>
    <t>LU FANG YAN</t>
  </si>
  <si>
    <t>Allen Answer</t>
  </si>
  <si>
    <t>weng zixian</t>
  </si>
  <si>
    <t>Sue</t>
  </si>
  <si>
    <t>Anthony</t>
  </si>
  <si>
    <t>a niu ge</t>
  </si>
  <si>
    <t>Iko Musa</t>
  </si>
  <si>
    <t>JOB090357</t>
  </si>
  <si>
    <t>COLL004151</t>
  </si>
  <si>
    <t>LiuJun</t>
  </si>
  <si>
    <t>Charles</t>
  </si>
  <si>
    <t>Dan Dan</t>
  </si>
  <si>
    <t>Mr</t>
  </si>
  <si>
    <t>Tosin</t>
  </si>
  <si>
    <t>JOB090358</t>
  </si>
  <si>
    <t>COLL004145</t>
  </si>
  <si>
    <t>YUE</t>
  </si>
  <si>
    <t>CJ</t>
  </si>
  <si>
    <t>Michael</t>
  </si>
  <si>
    <t>Zhao Wei</t>
  </si>
  <si>
    <t>Ke Ren</t>
  </si>
  <si>
    <t>GONG</t>
  </si>
  <si>
    <t>Jerry Zhang</t>
  </si>
  <si>
    <t>Martin</t>
  </si>
  <si>
    <t> Kevin</t>
  </si>
  <si>
    <t>linzong</t>
  </si>
  <si>
    <t>BFSH</t>
  </si>
  <si>
    <t>Zeng Gu</t>
  </si>
  <si>
    <t>A SHUN</t>
  </si>
  <si>
    <t>Hu Wen Cheng</t>
  </si>
  <si>
    <t>Xiao Dan</t>
  </si>
  <si>
    <t>艾 国 星</t>
  </si>
  <si>
    <t>Liang Liu Liu</t>
  </si>
  <si>
    <t>Lisa</t>
  </si>
  <si>
    <t>Elijah</t>
  </si>
  <si>
    <t>Henry</t>
  </si>
  <si>
    <t>ANTHONY</t>
  </si>
  <si>
    <t>li tao</t>
  </si>
  <si>
    <t>ShanShan</t>
  </si>
  <si>
    <t>陈 权</t>
  </si>
  <si>
    <t>Ryan</t>
  </si>
  <si>
    <t>Hu Hai Liang</t>
  </si>
  <si>
    <t>Gayus</t>
  </si>
  <si>
    <t>Lu Hu</t>
  </si>
  <si>
    <t>Ope Olofinjana</t>
  </si>
  <si>
    <t>Nkechi</t>
  </si>
  <si>
    <t>haowangjun</t>
  </si>
  <si>
    <t>Rachel</t>
  </si>
  <si>
    <t>zhangjian</t>
  </si>
  <si>
    <t>SKY JET</t>
  </si>
  <si>
    <t>JOB090359</t>
  </si>
  <si>
    <t>COLL004153</t>
  </si>
  <si>
    <t>Mr Cheng</t>
  </si>
  <si>
    <t>苏慧琪</t>
  </si>
  <si>
    <t>KAY</t>
  </si>
  <si>
    <t>SHANSHAN</t>
  </si>
  <si>
    <t>Jack</t>
  </si>
  <si>
    <t>JOB090360</t>
  </si>
  <si>
    <t>COLL004147</t>
  </si>
  <si>
    <t>Gbenga</t>
  </si>
  <si>
    <t>maohaiming</t>
  </si>
  <si>
    <t>Joseph</t>
  </si>
  <si>
    <t>Bridge</t>
  </si>
  <si>
    <t>zhang guang li</t>
  </si>
  <si>
    <t>Lawson Gbola</t>
  </si>
  <si>
    <t>Robin Tai</t>
  </si>
  <si>
    <t>CHENG ZHONG</t>
  </si>
  <si>
    <t>fang ming</t>
  </si>
  <si>
    <t>Zhao Xin</t>
  </si>
  <si>
    <t>Shu He</t>
  </si>
  <si>
    <t>AiGeLi</t>
  </si>
  <si>
    <t>Mailmail Abv sales person 1</t>
  </si>
  <si>
    <t>Mr Gbolahan</t>
  </si>
  <si>
    <t>Amy</t>
  </si>
  <si>
    <t>caohuixian</t>
  </si>
  <si>
    <t>ZOU Qiyang</t>
  </si>
  <si>
    <t>yangyang</t>
  </si>
  <si>
    <t>Wilson Liang</t>
  </si>
  <si>
    <t>DING</t>
  </si>
  <si>
    <t>YAN YI</t>
  </si>
  <si>
    <t>Val</t>
  </si>
  <si>
    <t>chenxiaojie</t>
  </si>
  <si>
    <t>Damilola</t>
  </si>
  <si>
    <t>Mr.Joseph Ezekiel</t>
  </si>
  <si>
    <t>Oluwatobi Ajayi</t>
  </si>
  <si>
    <t>MIranda</t>
  </si>
  <si>
    <t>Xin Ting</t>
  </si>
  <si>
    <t>Lu Shi Huang</t>
  </si>
  <si>
    <t>Spring 盛世飞扬</t>
  </si>
  <si>
    <t>JOB090361</t>
  </si>
  <si>
    <t>COLL004154</t>
  </si>
  <si>
    <t>Pu Ning</t>
  </si>
  <si>
    <t>太阳能，逆变器09065760799</t>
  </si>
  <si>
    <t>sun</t>
  </si>
  <si>
    <t>Xiang Hong Shi</t>
  </si>
  <si>
    <t>kunbao</t>
  </si>
  <si>
    <t>JOB090362</t>
  </si>
  <si>
    <t>COLL004156</t>
  </si>
  <si>
    <t>Echo</t>
  </si>
  <si>
    <t>JOB090363</t>
  </si>
  <si>
    <t>COLL004149</t>
  </si>
  <si>
    <t>Kaylee Tan</t>
  </si>
  <si>
    <t>EY</t>
  </si>
  <si>
    <t>BOSS</t>
  </si>
  <si>
    <t>Lucy</t>
  </si>
  <si>
    <t>You Qian Hua</t>
  </si>
  <si>
    <t>Mr. Jiang</t>
  </si>
  <si>
    <t>wangli</t>
  </si>
  <si>
    <t>陆总</t>
  </si>
  <si>
    <t>陆梓龙</t>
  </si>
  <si>
    <t>luk</t>
  </si>
  <si>
    <t>Yang Yang</t>
  </si>
  <si>
    <t>Mr.Yang</t>
  </si>
  <si>
    <t>LIU ZHONG HUA</t>
  </si>
  <si>
    <t>Alex</t>
  </si>
  <si>
    <t>Mr.Bernie</t>
  </si>
  <si>
    <t>Andy Yuan</t>
  </si>
  <si>
    <t>William Wei</t>
  </si>
  <si>
    <t>Jing</t>
  </si>
  <si>
    <t>Zoey</t>
  </si>
  <si>
    <t>Eric Mao</t>
  </si>
  <si>
    <t>Olodeokuta Abiodun</t>
  </si>
  <si>
    <t>GONG ABV</t>
  </si>
  <si>
    <t>A JUN</t>
  </si>
  <si>
    <t>James Mr.Yuan</t>
  </si>
  <si>
    <t>Ka Ka 4分部</t>
  </si>
  <si>
    <t>Peng Yong Tao</t>
  </si>
  <si>
    <t>Xu Bin</t>
  </si>
  <si>
    <t>Patrick Mbano</t>
  </si>
  <si>
    <t>JOB090365</t>
  </si>
  <si>
    <t>COLL004152</t>
  </si>
  <si>
    <t>Wang Ming Quan</t>
  </si>
  <si>
    <t>SHAEK</t>
  </si>
  <si>
    <t>Wen Da</t>
  </si>
  <si>
    <t>new hope 边鹏飞</t>
  </si>
  <si>
    <t>Chiboy</t>
  </si>
  <si>
    <t>liangyu</t>
  </si>
  <si>
    <t>Nicole li</t>
  </si>
  <si>
    <t>Huang Xiang Jun</t>
  </si>
  <si>
    <t>Elsie Xu</t>
  </si>
  <si>
    <t>Emma YE</t>
  </si>
  <si>
    <t>Alessandra A</t>
  </si>
  <si>
    <t>A TIAN</t>
  </si>
  <si>
    <t>Gao Yun</t>
  </si>
  <si>
    <t>DAVID ZHAO</t>
  </si>
  <si>
    <t>Kalio Edith</t>
  </si>
  <si>
    <t>Atten Engr Kola Balogun</t>
  </si>
  <si>
    <t>liyunguo</t>
  </si>
  <si>
    <t>CCECC</t>
  </si>
  <si>
    <t>praise</t>
  </si>
  <si>
    <t>MO JI</t>
  </si>
  <si>
    <t>Pang Xie</t>
  </si>
  <si>
    <t>WANG WEI</t>
  </si>
  <si>
    <t>Mr Folabidayo</t>
  </si>
  <si>
    <t>CHEN + SHUI</t>
  </si>
  <si>
    <t>David</t>
  </si>
  <si>
    <t>Mr Luo</t>
  </si>
  <si>
    <t>Micheal Chen</t>
  </si>
  <si>
    <t>zhang yong chong</t>
  </si>
  <si>
    <t>Wang Hui Feng</t>
  </si>
  <si>
    <t>wangweijun</t>
  </si>
  <si>
    <t>Alex Jian</t>
  </si>
  <si>
    <t>Angel</t>
  </si>
  <si>
    <t>Song</t>
  </si>
  <si>
    <t>JOB090369</t>
  </si>
  <si>
    <t>COLL004160</t>
  </si>
  <si>
    <t>Guo Ze Xi</t>
  </si>
  <si>
    <t>Lu</t>
  </si>
  <si>
    <t>WangBangMin王帮敏</t>
  </si>
  <si>
    <t>Huang Qiang</t>
  </si>
  <si>
    <t>ROY</t>
  </si>
  <si>
    <t>JOB090370</t>
  </si>
  <si>
    <t>COLL004164</t>
  </si>
  <si>
    <t>Li Li</t>
  </si>
  <si>
    <t>LOUIS</t>
  </si>
  <si>
    <t>Tony</t>
  </si>
  <si>
    <t>JOB090371</t>
  </si>
  <si>
    <t>COLL004165</t>
  </si>
  <si>
    <t>leoyang</t>
  </si>
  <si>
    <t>LingLing</t>
  </si>
  <si>
    <t>YEMI</t>
  </si>
  <si>
    <t>JOB090372</t>
  </si>
  <si>
    <t>COLL004166</t>
  </si>
  <si>
    <t>Li Jiang</t>
  </si>
  <si>
    <t>Nduur Samuel John</t>
  </si>
  <si>
    <t>Mary Oyebade</t>
  </si>
  <si>
    <t>Zhang Sheng</t>
  </si>
  <si>
    <t>MR HE</t>
  </si>
  <si>
    <t>JOB090373</t>
  </si>
  <si>
    <t>COLL004155</t>
  </si>
  <si>
    <t>ROSS NIAN</t>
  </si>
  <si>
    <t>Mr Yinka.</t>
  </si>
  <si>
    <t>Uduak Moses</t>
  </si>
  <si>
    <t>kasle</t>
  </si>
  <si>
    <t>TT</t>
  </si>
  <si>
    <t>Ugochukwu</t>
  </si>
  <si>
    <t>Lin Bao Zhen</t>
  </si>
  <si>
    <t>Mr Huang</t>
  </si>
  <si>
    <t>Yu</t>
  </si>
  <si>
    <t>CHENG QI</t>
  </si>
  <si>
    <t>ZHANGXIAN</t>
  </si>
  <si>
    <t>HUANGXIAOLONG</t>
  </si>
  <si>
    <t>jackson</t>
  </si>
  <si>
    <t>Eva sule</t>
  </si>
  <si>
    <t>WENCY</t>
  </si>
  <si>
    <t>Wa Wa Jun</t>
  </si>
  <si>
    <t>Zhu Xuetao</t>
  </si>
  <si>
    <t>Declan LU</t>
  </si>
  <si>
    <t>Yue yue</t>
  </si>
  <si>
    <t>Adam e</t>
  </si>
  <si>
    <t>JOB090374</t>
  </si>
  <si>
    <t>COLL004157</t>
  </si>
  <si>
    <t>方显</t>
  </si>
  <si>
    <t>WANG</t>
  </si>
  <si>
    <t>huangzhangheng</t>
  </si>
  <si>
    <t>JOB090376</t>
  </si>
  <si>
    <t>COLL004159</t>
  </si>
  <si>
    <t>Rotimi</t>
  </si>
  <si>
    <t>CHIGBO CHIDOZIE CHRISTIAN</t>
  </si>
  <si>
    <t>Yangbin</t>
  </si>
  <si>
    <t>Vicky Kuo</t>
  </si>
  <si>
    <t>Huang peng</t>
  </si>
  <si>
    <t>Wole Rasak</t>
  </si>
  <si>
    <t>sam</t>
  </si>
  <si>
    <t>Denis</t>
  </si>
  <si>
    <t>Alex Zhu</t>
  </si>
  <si>
    <t>Chimezie</t>
  </si>
  <si>
    <t>WEYINMI</t>
  </si>
  <si>
    <t>Mr Zhang</t>
  </si>
  <si>
    <t>MING MING</t>
  </si>
  <si>
    <t>BEEDAR FZE</t>
  </si>
  <si>
    <t>JING XIN ZHI LV</t>
  </si>
  <si>
    <t>Xia Tian</t>
  </si>
  <si>
    <t>Mr. Tobun</t>
  </si>
  <si>
    <t>zhang jian fei</t>
  </si>
  <si>
    <t>Funtua Mr Lee</t>
  </si>
  <si>
    <t>Miss Yemisi</t>
  </si>
  <si>
    <t>Lynne</t>
  </si>
  <si>
    <t>OTW 埃德维</t>
  </si>
  <si>
    <t>Li Chang Rong</t>
  </si>
  <si>
    <t>Rose 徐艳秋</t>
  </si>
  <si>
    <t>Xi Ning</t>
  </si>
  <si>
    <t>yangweiqiang</t>
  </si>
  <si>
    <t>zhuanglan</t>
  </si>
  <si>
    <t>Zhuang</t>
  </si>
  <si>
    <t>JAMES Felicity</t>
  </si>
  <si>
    <t>LI XING MAO</t>
  </si>
  <si>
    <t>Hui Zi</t>
  </si>
  <si>
    <t>JOB090377</t>
  </si>
  <si>
    <t>COLL004170</t>
  </si>
  <si>
    <t>Xie Yi</t>
  </si>
  <si>
    <t>Mr Yang</t>
  </si>
  <si>
    <t>yiwei</t>
  </si>
  <si>
    <t>Li Shi Jiang</t>
  </si>
  <si>
    <t>JOB090378</t>
  </si>
  <si>
    <t>COLL004163</t>
  </si>
  <si>
    <t>yezhi</t>
  </si>
  <si>
    <t>qi qi</t>
  </si>
  <si>
    <t>Ella Feng</t>
  </si>
  <si>
    <t>chenwei</t>
  </si>
  <si>
    <t>Leo Chen</t>
  </si>
  <si>
    <t>Su Su</t>
  </si>
  <si>
    <t>Xiao Xiao</t>
  </si>
  <si>
    <t>zheng郑创珊</t>
  </si>
  <si>
    <t>taizhong huochetou</t>
  </si>
  <si>
    <t>Dami</t>
  </si>
  <si>
    <t>Bison</t>
  </si>
  <si>
    <t>Adams</t>
  </si>
  <si>
    <t>Ishaya Kwagga</t>
  </si>
  <si>
    <t>lituo</t>
  </si>
  <si>
    <t>YAORONGHUA</t>
  </si>
  <si>
    <t>Eric Qu</t>
  </si>
  <si>
    <t>Lily</t>
  </si>
  <si>
    <t>Ms XU</t>
  </si>
  <si>
    <t>zhang feng</t>
  </si>
  <si>
    <t>xuhui</t>
  </si>
  <si>
    <t>ADEBOWALE DAMILARE</t>
  </si>
  <si>
    <t>Phil</t>
  </si>
  <si>
    <t>Mr Guo Chun Zhong</t>
  </si>
  <si>
    <t>Arthur Chen</t>
  </si>
  <si>
    <t>wale</t>
  </si>
  <si>
    <t>Yuanyuan Lyu</t>
  </si>
  <si>
    <t>Mr.Richard 志强</t>
  </si>
  <si>
    <t>Yang Xin Hua</t>
  </si>
  <si>
    <t>CH</t>
  </si>
  <si>
    <t>Felix Lee</t>
  </si>
  <si>
    <t>huang peng</t>
  </si>
  <si>
    <t>JOB090379</t>
  </si>
  <si>
    <t>COLL004168</t>
  </si>
  <si>
    <t>Henry Adelaye</t>
  </si>
  <si>
    <t>Tang Li</t>
  </si>
  <si>
    <t>Xiao Hai Tun</t>
  </si>
  <si>
    <t>Muji</t>
  </si>
  <si>
    <t>Wole Solanke</t>
  </si>
  <si>
    <t>ANQI</t>
  </si>
  <si>
    <t>Steven Abuja</t>
  </si>
  <si>
    <t>Mr.Abubaka</t>
  </si>
  <si>
    <t>liangshuai</t>
  </si>
  <si>
    <t>jiaqi huang</t>
  </si>
  <si>
    <t>songdianchen</t>
  </si>
  <si>
    <t>Lihongyin</t>
  </si>
  <si>
    <t>SHI</t>
  </si>
  <si>
    <t>Kenny Oyekunle</t>
  </si>
  <si>
    <t>Aminu</t>
  </si>
  <si>
    <t>ayin</t>
  </si>
  <si>
    <t>Mr. Yang</t>
  </si>
  <si>
    <t>Mr Song</t>
  </si>
  <si>
    <t>Jiang Xiaomin</t>
  </si>
  <si>
    <t>los牛晨晖</t>
  </si>
  <si>
    <t>Sun Peng Cheng</t>
  </si>
  <si>
    <t>weiweisheng</t>
  </si>
  <si>
    <t>Leo Liang</t>
  </si>
  <si>
    <t>Ye Hui</t>
  </si>
  <si>
    <t>Chukwu Ogbonna</t>
  </si>
  <si>
    <t>DUDUHE鹤</t>
  </si>
  <si>
    <t>SHAN NAN</t>
  </si>
  <si>
    <t>WYLB</t>
  </si>
  <si>
    <t>Ke Zong</t>
  </si>
  <si>
    <t>JOB090380</t>
  </si>
  <si>
    <t>COLL004173</t>
  </si>
  <si>
    <t>SAMPAO</t>
  </si>
  <si>
    <t>榴莲</t>
  </si>
  <si>
    <t>JOB090381</t>
  </si>
  <si>
    <t>COLL004172</t>
  </si>
  <si>
    <t>zhusufei</t>
  </si>
  <si>
    <t xml:space="preserve">无人 </t>
  </si>
  <si>
    <t>COD victor</t>
  </si>
  <si>
    <t>Lv Yang</t>
  </si>
  <si>
    <t>XiaWei</t>
  </si>
  <si>
    <t>Qin Zi</t>
  </si>
  <si>
    <t>dingweifeng</t>
  </si>
  <si>
    <t>JOB090384</t>
  </si>
  <si>
    <t>COLL004169</t>
  </si>
  <si>
    <t>Adindu</t>
  </si>
  <si>
    <t>Kevin</t>
  </si>
  <si>
    <t>Jonathan Leo</t>
  </si>
  <si>
    <t>Weiwei</t>
  </si>
  <si>
    <t>方 丽 娟</t>
  </si>
  <si>
    <t>Angelo biotech international (Nig) Ltd.</t>
  </si>
  <si>
    <t>Fadiran Adebowale</t>
  </si>
  <si>
    <t>gaotian</t>
  </si>
  <si>
    <t>chenlu</t>
  </si>
  <si>
    <t>lucy</t>
  </si>
  <si>
    <t>kevin</t>
  </si>
  <si>
    <t>Bin</t>
  </si>
  <si>
    <t>Mr.Chao</t>
  </si>
  <si>
    <t>lixiangnian</t>
  </si>
  <si>
    <t>袁安医生 Dr. Andy</t>
  </si>
  <si>
    <t>Kim</t>
  </si>
  <si>
    <t>Liu Ming Rui</t>
  </si>
  <si>
    <t>Yusky</t>
  </si>
  <si>
    <t>ZhuYunLian</t>
  </si>
  <si>
    <t>gaoyanhua</t>
  </si>
  <si>
    <t>Xiao Cai</t>
  </si>
  <si>
    <t>Paul</t>
  </si>
  <si>
    <t>KE ZONG</t>
  </si>
  <si>
    <t>Dou Dou</t>
  </si>
  <si>
    <t>Zhan Li Pin</t>
  </si>
  <si>
    <t>JOB090385</t>
  </si>
  <si>
    <t>COLL004177</t>
  </si>
  <si>
    <t>Mr Chen</t>
  </si>
  <si>
    <t>Yu Bin</t>
  </si>
  <si>
    <t>Zhao Zi Cheng</t>
  </si>
  <si>
    <t>CHIMEZIE MARTIN</t>
  </si>
  <si>
    <t>JOB090386</t>
  </si>
  <si>
    <t>COLL004171</t>
  </si>
  <si>
    <t>yuzhiwang</t>
  </si>
  <si>
    <t>Forrest</t>
  </si>
  <si>
    <t>wanghui</t>
  </si>
  <si>
    <t>Mr ou</t>
  </si>
  <si>
    <t>Zou Qiyang</t>
  </si>
  <si>
    <t>SUN XINGLONG</t>
  </si>
  <si>
    <t>Wang Minghong</t>
  </si>
  <si>
    <t>Henry Li</t>
  </si>
  <si>
    <t>Ella</t>
  </si>
  <si>
    <t>Emmanuel Agwegiokhe</t>
  </si>
  <si>
    <t>Jhon</t>
  </si>
  <si>
    <t>Adam Labaran</t>
  </si>
  <si>
    <t>JOB090389</t>
  </si>
  <si>
    <t>COLL004179</t>
  </si>
  <si>
    <t>Miss 💋 Chen陈晓如</t>
  </si>
  <si>
    <t>XianShiRenSheng</t>
  </si>
  <si>
    <t>Samuel</t>
  </si>
  <si>
    <t>SULYMAN</t>
  </si>
  <si>
    <t>JiaFeng</t>
  </si>
  <si>
    <t>jiafeng</t>
  </si>
  <si>
    <t>JOB090391</t>
  </si>
  <si>
    <t>COLL004176</t>
  </si>
  <si>
    <t>Leonessa food and agro allied industries ltd</t>
  </si>
  <si>
    <t>Liu Qing</t>
  </si>
  <si>
    <t>Da Wang</t>
  </si>
  <si>
    <t>Olawale Faniyi</t>
  </si>
  <si>
    <t>Summer</t>
  </si>
  <si>
    <t>A Duo Ni Si</t>
  </si>
  <si>
    <t>Lao Bai</t>
  </si>
  <si>
    <t>Xiao Yong</t>
  </si>
  <si>
    <t>Mmesoma</t>
  </si>
  <si>
    <t>Panda</t>
  </si>
  <si>
    <t>lilaijuan</t>
  </si>
  <si>
    <t>东东</t>
  </si>
  <si>
    <t>Yang</t>
  </si>
  <si>
    <t>Abba</t>
  </si>
  <si>
    <t>zhou ji kao rou</t>
  </si>
  <si>
    <t>Gao Tian</t>
  </si>
  <si>
    <t>UbochiAmakoh</t>
  </si>
  <si>
    <t>musa birma</t>
  </si>
  <si>
    <t>Sophia</t>
  </si>
  <si>
    <t>YI NUO</t>
  </si>
  <si>
    <t>H.</t>
  </si>
  <si>
    <t>Joseph abba</t>
  </si>
  <si>
    <t>liuqingyuan</t>
  </si>
  <si>
    <t>Yang Peng Tao</t>
  </si>
  <si>
    <t>Richard</t>
  </si>
  <si>
    <t>OLIVER</t>
  </si>
  <si>
    <t>ALH RAKIM</t>
  </si>
  <si>
    <t>dengwenyong</t>
  </si>
  <si>
    <t>baikaibo</t>
  </si>
  <si>
    <t>Mr.Cheng</t>
  </si>
  <si>
    <t>JOB090392</t>
  </si>
  <si>
    <t>COLL004178</t>
  </si>
  <si>
    <t>V.C</t>
  </si>
  <si>
    <t>Shuai ge</t>
  </si>
  <si>
    <t>NAFIU</t>
  </si>
  <si>
    <t>CHM IRON AND STEEL FZE</t>
  </si>
  <si>
    <t>Mr Xiang</t>
  </si>
  <si>
    <t>Hellen</t>
  </si>
  <si>
    <t>Wangxiangru</t>
  </si>
  <si>
    <t>jeason Cai</t>
  </si>
  <si>
    <t>Jones</t>
  </si>
  <si>
    <t>Mr. Ibe Chijioke</t>
  </si>
  <si>
    <t>Madam Mary</t>
  </si>
  <si>
    <t>Shirley</t>
  </si>
  <si>
    <t>Ola</t>
  </si>
  <si>
    <t>Cheng Zi</t>
  </si>
  <si>
    <t>Recipient: Terkura Sugh</t>
  </si>
  <si>
    <t>wang hong sheng</t>
  </si>
  <si>
    <t>Mr Tian</t>
  </si>
  <si>
    <t>Aluminium Smelter</t>
  </si>
  <si>
    <t>Focus</t>
  </si>
  <si>
    <t>Lin Dan</t>
  </si>
  <si>
    <t>Jane</t>
  </si>
  <si>
    <t>CENTURY INDUSTRIAL FZE</t>
  </si>
  <si>
    <t>Adeniyi</t>
  </si>
  <si>
    <t>JOB090393</t>
  </si>
  <si>
    <t>COLL004183</t>
  </si>
  <si>
    <t>顶派=91585
广州通达=4378.8</t>
  </si>
  <si>
    <t>Tomonsachi</t>
  </si>
  <si>
    <t>Tong Tong</t>
  </si>
  <si>
    <t>Abdullateef baba mustapha</t>
  </si>
  <si>
    <t>Wang Jian</t>
  </si>
  <si>
    <t>Mr Olatunde</t>
  </si>
  <si>
    <t>土狗泥</t>
  </si>
  <si>
    <t>TOYIN S.ADEKUNLE</t>
  </si>
  <si>
    <t>Lin Ming Ze</t>
  </si>
  <si>
    <t>Jessie</t>
  </si>
  <si>
    <t>Jimmy</t>
  </si>
  <si>
    <t>Liu Shi Cheng</t>
  </si>
  <si>
    <t>MISS Huang</t>
  </si>
  <si>
    <t>JOB090394</t>
  </si>
  <si>
    <t>COLL004185</t>
  </si>
  <si>
    <t>赛捷</t>
  </si>
  <si>
    <t>Jocelyn</t>
  </si>
  <si>
    <t>Zhou Xiao Yu</t>
  </si>
  <si>
    <t>LII XING MAO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</si>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</sst>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1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9" borderId="14" applyNumberFormat="0" applyAlignment="0" applyProtection="0">
      <alignment vertical="center"/>
    </xf>
    <xf numFmtId="0" fontId="30" fillId="9" borderId="13" applyNumberFormat="0" applyAlignment="0" applyProtection="0">
      <alignment vertical="center"/>
    </xf>
    <xf numFmtId="0" fontId="31" fillId="10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2" fillId="0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81" fontId="2" fillId="3" borderId="2" xfId="0" applyNumberFormat="1" applyFont="1" applyFill="1" applyBorder="1">
      <alignment vertical="center"/>
    </xf>
    <xf numFmtId="58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182" fontId="13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15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82" fontId="2" fillId="0" borderId="1" xfId="0" applyNumberFormat="1" applyFont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14" fillId="2" borderId="2" xfId="0" applyNumberFormat="1" applyFont="1" applyFill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>
      <alignment vertical="center"/>
    </xf>
    <xf numFmtId="182" fontId="2" fillId="0" borderId="3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182" fontId="14" fillId="3" borderId="2" xfId="0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6" fillId="0" borderId="0" xfId="0" applyNumberFormat="1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7" fontId="16" fillId="3" borderId="1" xfId="0" applyNumberFormat="1" applyFont="1" applyFill="1" applyBorder="1" applyAlignment="1">
      <alignment horizontal="center" vertical="center" wrapText="1"/>
    </xf>
    <xf numFmtId="177" fontId="12" fillId="3" borderId="2" xfId="0" applyNumberFormat="1" applyFont="1" applyFill="1" applyBorder="1" applyAlignment="1">
      <alignment horizontal="center" vertical="center"/>
    </xf>
    <xf numFmtId="183" fontId="17" fillId="5" borderId="2" xfId="4" applyNumberFormat="1" applyFont="1" applyFill="1" applyBorder="1" applyAlignment="1">
      <alignment horizontal="center" vertical="center"/>
    </xf>
    <xf numFmtId="182" fontId="13" fillId="5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2" fontId="13" fillId="0" borderId="2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7" fontId="16" fillId="3" borderId="3" xfId="0" applyNumberFormat="1" applyFont="1" applyFill="1" applyBorder="1" applyAlignment="1">
      <alignment horizontal="center" vertical="center" wrapText="1"/>
    </xf>
    <xf numFmtId="177" fontId="18" fillId="3" borderId="2" xfId="0" applyNumberFormat="1" applyFont="1" applyFill="1" applyBorder="1" applyAlignment="1">
      <alignment vertical="center" wrapText="1"/>
    </xf>
    <xf numFmtId="182" fontId="2" fillId="0" borderId="2" xfId="0" applyNumberFormat="1" applyFont="1" applyBorder="1" applyAlignment="1">
      <alignment vertical="center"/>
    </xf>
    <xf numFmtId="182" fontId="2" fillId="3" borderId="2" xfId="0" applyNumberFormat="1" applyFont="1" applyFill="1" applyBorder="1" applyAlignment="1">
      <alignment vertical="center"/>
    </xf>
    <xf numFmtId="7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76" fontId="12" fillId="3" borderId="2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6" fontId="16" fillId="3" borderId="2" xfId="0" applyNumberFormat="1" applyFont="1" applyFill="1" applyBorder="1" applyAlignment="1">
      <alignment horizontal="center" vertical="center"/>
    </xf>
    <xf numFmtId="182" fontId="12" fillId="3" borderId="2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82" fontId="19" fillId="3" borderId="2" xfId="0" applyNumberFormat="1" applyFont="1" applyFill="1" applyBorder="1">
      <alignment vertical="center"/>
    </xf>
    <xf numFmtId="58" fontId="8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176" fontId="14" fillId="0" borderId="2" xfId="0" applyNumberFormat="1" applyFont="1" applyFill="1" applyBorder="1" applyAlignment="1">
      <alignment horizontal="center" vertical="center"/>
    </xf>
    <xf numFmtId="177" fontId="14" fillId="3" borderId="2" xfId="0" applyNumberFormat="1" applyFont="1" applyFill="1" applyBorder="1">
      <alignment vertical="center"/>
    </xf>
    <xf numFmtId="182" fontId="14" fillId="2" borderId="2" xfId="0" applyNumberFormat="1" applyFont="1" applyFill="1" applyBorder="1">
      <alignment vertical="center"/>
    </xf>
    <xf numFmtId="177" fontId="7" fillId="3" borderId="2" xfId="0" applyNumberFormat="1" applyFont="1" applyFill="1" applyBorder="1">
      <alignment vertical="center"/>
    </xf>
    <xf numFmtId="182" fontId="7" fillId="0" borderId="2" xfId="0" applyNumberFormat="1" applyFont="1" applyFill="1" applyBorder="1">
      <alignment vertical="center"/>
    </xf>
    <xf numFmtId="182" fontId="15" fillId="0" borderId="2" xfId="0" applyNumberFormat="1" applyFont="1" applyFill="1" applyBorder="1">
      <alignment vertical="center"/>
    </xf>
    <xf numFmtId="182" fontId="7" fillId="0" borderId="2" xfId="0" applyNumberFormat="1" applyFont="1" applyFill="1" applyBorder="1" applyAlignment="1">
      <alignment horizontal="right" vertical="center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>
      <alignment vertical="center"/>
    </xf>
    <xf numFmtId="177" fontId="2" fillId="0" borderId="2" xfId="0" applyNumberFormat="1" applyFont="1" applyFill="1" applyBorder="1" applyAlignment="1">
      <alignment horizontal="center" vertical="center"/>
    </xf>
    <xf numFmtId="182" fontId="15" fillId="2" borderId="2" xfId="0" applyNumberFormat="1" applyFont="1" applyFill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82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098"/>
  <sheetViews>
    <sheetView tabSelected="1" zoomScale="110" zoomScaleNormal="110" workbookViewId="0">
      <pane xSplit="3" ySplit="3" topLeftCell="D4" activePane="bottomRight" state="frozen"/>
      <selection/>
      <selection pane="topRight"/>
      <selection pane="bottomLeft"/>
      <selection pane="bottomRight" activeCell="K1076" sqref="K10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7"/>
    <col min="10" max="10" width="15.125" style="3"/>
    <col min="11" max="11" width="15.125" style="4"/>
    <col min="12" max="12" width="13.875" style="3"/>
    <col min="13" max="13" width="13.625"/>
    <col min="14" max="14" width="13.75"/>
    <col min="15" max="15" width="17"/>
    <col min="16" max="16" width="18.8583333333333" customWidth="1"/>
    <col min="17" max="17" width="11.25" customWidth="1"/>
    <col min="18" max="18" width="16.125"/>
    <col min="19" max="19" width="11.25" style="5" customWidth="1"/>
    <col min="20" max="20" width="10.25" style="5"/>
    <col min="21" max="22" width="11.25" style="5"/>
    <col min="23" max="23" width="14.75" style="6"/>
    <col min="24" max="24" width="11.875" style="4" customWidth="1"/>
    <col min="25" max="25" width="11.125" style="4" customWidth="1"/>
    <col min="26" max="26" width="11.375" style="4"/>
    <col min="27" max="27" width="12.625" style="4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5"/>
      <c r="K1" s="26"/>
      <c r="L1" s="25"/>
      <c r="M1" s="7"/>
      <c r="N1" s="27"/>
      <c r="O1" s="7"/>
      <c r="P1" s="7"/>
      <c r="Q1" s="7"/>
      <c r="R1" s="7"/>
      <c r="S1" s="56"/>
      <c r="T1" s="56"/>
      <c r="U1" s="57"/>
      <c r="V1" s="56"/>
      <c r="W1" s="58"/>
      <c r="X1" s="26"/>
      <c r="Y1" s="26"/>
      <c r="Z1" s="26"/>
      <c r="AA1" s="26"/>
      <c r="AB1" s="25"/>
      <c r="AC1" s="26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8" t="s">
        <v>9</v>
      </c>
      <c r="J2" s="29"/>
      <c r="K2" s="30"/>
      <c r="L2" s="29"/>
      <c r="M2" s="30"/>
      <c r="N2" s="31"/>
      <c r="O2" s="32"/>
      <c r="P2" s="33" t="s">
        <v>10</v>
      </c>
      <c r="Q2" s="59" t="s">
        <v>11</v>
      </c>
      <c r="R2" s="60"/>
      <c r="S2" s="61"/>
      <c r="T2" s="62"/>
      <c r="U2" s="63"/>
      <c r="V2" s="64" t="s">
        <v>12</v>
      </c>
      <c r="W2" s="65" t="s">
        <v>13</v>
      </c>
      <c r="X2" s="66" t="s">
        <v>14</v>
      </c>
      <c r="Y2" s="66"/>
      <c r="Z2" s="66"/>
      <c r="AA2" s="66"/>
      <c r="AB2" s="78"/>
      <c r="AC2" s="66"/>
      <c r="AD2" s="79" t="s">
        <v>15</v>
      </c>
      <c r="AE2" s="80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4" t="s">
        <v>17</v>
      </c>
      <c r="J3" s="35" t="s">
        <v>18</v>
      </c>
      <c r="K3" s="36" t="s">
        <v>19</v>
      </c>
      <c r="L3" s="35" t="s">
        <v>20</v>
      </c>
      <c r="M3" s="37" t="s">
        <v>21</v>
      </c>
      <c r="N3" s="38" t="s">
        <v>22</v>
      </c>
      <c r="O3" s="39" t="s">
        <v>23</v>
      </c>
      <c r="P3" s="40"/>
      <c r="Q3" s="67" t="s">
        <v>24</v>
      </c>
      <c r="R3" s="68" t="s">
        <v>25</v>
      </c>
      <c r="S3" s="69" t="s">
        <v>26</v>
      </c>
      <c r="T3" s="70" t="s">
        <v>27</v>
      </c>
      <c r="U3" s="69" t="s">
        <v>28</v>
      </c>
      <c r="V3" s="71"/>
      <c r="W3" s="72"/>
      <c r="X3" s="73" t="s">
        <v>29</v>
      </c>
      <c r="Y3" s="73" t="s">
        <v>30</v>
      </c>
      <c r="Z3" s="73" t="s">
        <v>31</v>
      </c>
      <c r="AA3" s="81" t="s">
        <v>32</v>
      </c>
      <c r="AB3" s="82" t="s">
        <v>33</v>
      </c>
      <c r="AC3" s="83" t="s">
        <v>23</v>
      </c>
      <c r="AD3" s="84" t="s">
        <v>34</v>
      </c>
      <c r="AE3" s="85"/>
    </row>
    <row r="4" customFormat="1" spans="1:31">
      <c r="A4" s="18" t="s">
        <v>35</v>
      </c>
      <c r="B4" s="19" t="s">
        <v>36</v>
      </c>
      <c r="C4" s="20">
        <v>240823000023</v>
      </c>
      <c r="D4" s="21">
        <v>45537</v>
      </c>
      <c r="E4" s="21" t="s">
        <v>37</v>
      </c>
      <c r="F4" s="19" t="s">
        <v>38</v>
      </c>
      <c r="G4" s="19" t="s">
        <v>39</v>
      </c>
      <c r="H4" s="19">
        <v>2.5</v>
      </c>
      <c r="I4" s="41">
        <v>319.5</v>
      </c>
      <c r="J4" s="42"/>
      <c r="K4" s="43"/>
      <c r="L4" s="19"/>
      <c r="M4" s="43"/>
      <c r="N4" s="44"/>
      <c r="O4" s="45">
        <f t="shared" ref="O4:O8" si="0">SUM(I4)</f>
        <v>319.5</v>
      </c>
      <c r="P4" s="46">
        <f>SUM(O4:O19)</f>
        <v>5142.9024</v>
      </c>
      <c r="Q4" s="46" t="s">
        <v>40</v>
      </c>
      <c r="R4" s="74">
        <f>SUM(2500/32)*H4</f>
        <v>195.3125</v>
      </c>
      <c r="S4" s="74"/>
      <c r="T4" s="75">
        <f>SUM(71.98/32)*H4</f>
        <v>5.6234375</v>
      </c>
      <c r="U4" s="74"/>
      <c r="V4" s="74"/>
      <c r="W4" s="76">
        <f>SUM(R4:V4)</f>
        <v>200.9359375</v>
      </c>
      <c r="X4" s="77">
        <f>SUM(129.27/32)*H4</f>
        <v>10.09921875</v>
      </c>
      <c r="Y4" s="77"/>
      <c r="Z4" s="77"/>
      <c r="AA4" s="77">
        <f>SUM(X4:Z4)</f>
        <v>10.09921875</v>
      </c>
      <c r="AB4" s="86">
        <v>7.08</v>
      </c>
      <c r="AC4" s="74">
        <f>SUM(AA4*AB4)</f>
        <v>71.50246875</v>
      </c>
      <c r="AD4" s="74">
        <f>SUM(W4+AC4)</f>
        <v>272.43840625</v>
      </c>
      <c r="AE4" s="74">
        <f>SUM(O4-AD4)</f>
        <v>47.06159375</v>
      </c>
    </row>
    <row r="5" customFormat="1" spans="1:31">
      <c r="A5" s="18"/>
      <c r="B5" s="19"/>
      <c r="C5" s="20">
        <v>240828000001</v>
      </c>
      <c r="D5" s="21">
        <v>45537</v>
      </c>
      <c r="E5" s="21" t="s">
        <v>41</v>
      </c>
      <c r="F5" s="19" t="s">
        <v>41</v>
      </c>
      <c r="G5" s="19" t="s">
        <v>42</v>
      </c>
      <c r="H5" s="19">
        <v>9</v>
      </c>
      <c r="I5" s="47"/>
      <c r="J5" s="48">
        <v>238050</v>
      </c>
      <c r="K5" s="43"/>
      <c r="L5" s="49">
        <f>SUM(J5/M5)</f>
        <v>1628.47174716103</v>
      </c>
      <c r="M5" s="50">
        <v>146.18</v>
      </c>
      <c r="N5" s="44">
        <v>7.08</v>
      </c>
      <c r="O5" s="45">
        <f>SUM(M5*N5)</f>
        <v>1034.9544</v>
      </c>
      <c r="P5" s="51"/>
      <c r="Q5" s="51"/>
      <c r="R5" s="74">
        <f t="shared" ref="R5:R19" si="1">SUM(2500/32)*H5</f>
        <v>703.125</v>
      </c>
      <c r="S5" s="74"/>
      <c r="T5" s="75">
        <f t="shared" ref="T5:T19" si="2">SUM(71.98/32)*H5</f>
        <v>20.244375</v>
      </c>
      <c r="U5" s="74"/>
      <c r="V5" s="74"/>
      <c r="W5" s="76">
        <f t="shared" ref="W5:W19" si="3">SUM(R5:V5)</f>
        <v>723.369375</v>
      </c>
      <c r="X5" s="77">
        <f t="shared" ref="X5:X19" si="4">SUM(129.27/32)*H5</f>
        <v>36.3571875</v>
      </c>
      <c r="Y5" s="77"/>
      <c r="Z5" s="77"/>
      <c r="AA5" s="77">
        <f t="shared" ref="AA5:AA19" si="5">SUM(X5:Z5)</f>
        <v>36.3571875</v>
      </c>
      <c r="AB5" s="86">
        <v>7.08</v>
      </c>
      <c r="AC5" s="74">
        <f t="shared" ref="AC5:AC19" si="6">SUM(AA5*AB5)</f>
        <v>257.4088875</v>
      </c>
      <c r="AD5" s="74">
        <f t="shared" ref="AD5:AD19" si="7">SUM(W5+AC5)</f>
        <v>980.7782625</v>
      </c>
      <c r="AE5" s="74">
        <f t="shared" ref="AE5:AE19" si="8">SUM(O5-AD5)</f>
        <v>54.1761375000001</v>
      </c>
    </row>
    <row r="6" customFormat="1" spans="1:31">
      <c r="A6" s="18"/>
      <c r="B6" s="19"/>
      <c r="C6" s="20">
        <v>240828000006</v>
      </c>
      <c r="D6" s="21">
        <v>45537</v>
      </c>
      <c r="E6" s="21" t="s">
        <v>43</v>
      </c>
      <c r="F6" s="19" t="s">
        <v>44</v>
      </c>
      <c r="G6" s="19" t="s">
        <v>45</v>
      </c>
      <c r="H6" s="19">
        <v>3.5</v>
      </c>
      <c r="I6" s="41">
        <v>420</v>
      </c>
      <c r="J6" s="42"/>
      <c r="K6" s="43"/>
      <c r="L6" s="19"/>
      <c r="M6" s="43"/>
      <c r="N6" s="44"/>
      <c r="O6" s="45">
        <f t="shared" si="0"/>
        <v>420</v>
      </c>
      <c r="P6" s="51"/>
      <c r="Q6" s="51"/>
      <c r="R6" s="74">
        <f t="shared" si="1"/>
        <v>273.4375</v>
      </c>
      <c r="S6" s="74"/>
      <c r="T6" s="75">
        <f t="shared" si="2"/>
        <v>7.8728125</v>
      </c>
      <c r="U6" s="74"/>
      <c r="V6" s="74"/>
      <c r="W6" s="76">
        <f t="shared" si="3"/>
        <v>281.3103125</v>
      </c>
      <c r="X6" s="77">
        <f t="shared" si="4"/>
        <v>14.13890625</v>
      </c>
      <c r="Y6" s="77"/>
      <c r="Z6" s="77"/>
      <c r="AA6" s="77">
        <f t="shared" si="5"/>
        <v>14.13890625</v>
      </c>
      <c r="AB6" s="86">
        <v>7.08</v>
      </c>
      <c r="AC6" s="74">
        <f t="shared" si="6"/>
        <v>100.10345625</v>
      </c>
      <c r="AD6" s="74">
        <f t="shared" si="7"/>
        <v>381.41376875</v>
      </c>
      <c r="AE6" s="74">
        <f t="shared" si="8"/>
        <v>38.58623125</v>
      </c>
    </row>
    <row r="7" customFormat="1" spans="1:31">
      <c r="A7" s="18"/>
      <c r="B7" s="19"/>
      <c r="C7" s="20">
        <v>240828000068</v>
      </c>
      <c r="D7" s="21">
        <v>45537</v>
      </c>
      <c r="E7" s="21" t="s">
        <v>46</v>
      </c>
      <c r="F7" s="19" t="s">
        <v>47</v>
      </c>
      <c r="G7" s="19" t="s">
        <v>48</v>
      </c>
      <c r="H7" s="19">
        <v>0.85866666</v>
      </c>
      <c r="I7" s="41">
        <v>255</v>
      </c>
      <c r="J7" s="42"/>
      <c r="K7" s="43"/>
      <c r="L7" s="19"/>
      <c r="M7" s="43"/>
      <c r="N7" s="44"/>
      <c r="O7" s="45">
        <f t="shared" si="0"/>
        <v>255</v>
      </c>
      <c r="P7" s="51"/>
      <c r="Q7" s="51"/>
      <c r="R7" s="74">
        <f t="shared" si="1"/>
        <v>67.0833328125</v>
      </c>
      <c r="S7" s="74"/>
      <c r="T7" s="75">
        <f t="shared" si="2"/>
        <v>1.9314633183375</v>
      </c>
      <c r="U7" s="74"/>
      <c r="V7" s="74"/>
      <c r="W7" s="76">
        <f t="shared" si="3"/>
        <v>69.0147961308375</v>
      </c>
      <c r="X7" s="77">
        <f t="shared" si="4"/>
        <v>3.46874497306875</v>
      </c>
      <c r="Y7" s="77"/>
      <c r="Z7" s="77"/>
      <c r="AA7" s="77">
        <f t="shared" si="5"/>
        <v>3.46874497306875</v>
      </c>
      <c r="AB7" s="86">
        <v>7.08</v>
      </c>
      <c r="AC7" s="74">
        <f t="shared" si="6"/>
        <v>24.5587144093268</v>
      </c>
      <c r="AD7" s="74">
        <f t="shared" si="7"/>
        <v>93.5735105401643</v>
      </c>
      <c r="AE7" s="74">
        <f t="shared" si="8"/>
        <v>161.426489459836</v>
      </c>
    </row>
    <row r="8" customFormat="1" spans="1:31">
      <c r="A8" s="18"/>
      <c r="B8" s="19"/>
      <c r="C8" s="20">
        <v>240829000002</v>
      </c>
      <c r="D8" s="21">
        <v>45537</v>
      </c>
      <c r="E8" s="21" t="s">
        <v>43</v>
      </c>
      <c r="F8" s="19" t="s">
        <v>44</v>
      </c>
      <c r="G8" s="19" t="s">
        <v>49</v>
      </c>
      <c r="H8" s="19">
        <v>3.5</v>
      </c>
      <c r="I8" s="41">
        <v>402</v>
      </c>
      <c r="J8" s="42"/>
      <c r="K8" s="43"/>
      <c r="L8" s="19"/>
      <c r="M8" s="43"/>
      <c r="N8" s="44"/>
      <c r="O8" s="45">
        <f t="shared" si="0"/>
        <v>402</v>
      </c>
      <c r="P8" s="51"/>
      <c r="Q8" s="51"/>
      <c r="R8" s="74">
        <f t="shared" si="1"/>
        <v>273.4375</v>
      </c>
      <c r="S8" s="74"/>
      <c r="T8" s="75">
        <f t="shared" si="2"/>
        <v>7.8728125</v>
      </c>
      <c r="U8" s="74"/>
      <c r="V8" s="74"/>
      <c r="W8" s="76">
        <f t="shared" si="3"/>
        <v>281.3103125</v>
      </c>
      <c r="X8" s="77">
        <f t="shared" si="4"/>
        <v>14.13890625</v>
      </c>
      <c r="Y8" s="77"/>
      <c r="Z8" s="77"/>
      <c r="AA8" s="77">
        <f t="shared" si="5"/>
        <v>14.13890625</v>
      </c>
      <c r="AB8" s="86">
        <v>7.08</v>
      </c>
      <c r="AC8" s="74">
        <f t="shared" si="6"/>
        <v>100.10345625</v>
      </c>
      <c r="AD8" s="74">
        <f t="shared" si="7"/>
        <v>381.41376875</v>
      </c>
      <c r="AE8" s="74">
        <f t="shared" si="8"/>
        <v>20.58623125</v>
      </c>
    </row>
    <row r="9" customFormat="1" spans="1:31">
      <c r="A9" s="18"/>
      <c r="B9" s="19"/>
      <c r="C9" s="20">
        <v>240829000008</v>
      </c>
      <c r="D9" s="21">
        <v>45537</v>
      </c>
      <c r="E9" s="21" t="s">
        <v>50</v>
      </c>
      <c r="F9" s="19" t="s">
        <v>51</v>
      </c>
      <c r="G9" s="19" t="s">
        <v>52</v>
      </c>
      <c r="H9" s="19">
        <v>1.5</v>
      </c>
      <c r="I9" s="47"/>
      <c r="J9" s="48">
        <v>56643</v>
      </c>
      <c r="K9" s="43"/>
      <c r="L9" s="49">
        <f>SUM(J9/M9)</f>
        <v>1678.31111111111</v>
      </c>
      <c r="M9" s="50">
        <v>33.75</v>
      </c>
      <c r="N9" s="44">
        <v>7.08</v>
      </c>
      <c r="O9" s="45">
        <f>SUM(M9*N9)</f>
        <v>238.95</v>
      </c>
      <c r="P9" s="51"/>
      <c r="Q9" s="51"/>
      <c r="R9" s="74">
        <f t="shared" si="1"/>
        <v>117.1875</v>
      </c>
      <c r="S9" s="74"/>
      <c r="T9" s="75">
        <f t="shared" si="2"/>
        <v>3.3740625</v>
      </c>
      <c r="U9" s="74"/>
      <c r="V9" s="74"/>
      <c r="W9" s="76">
        <f t="shared" si="3"/>
        <v>120.5615625</v>
      </c>
      <c r="X9" s="77">
        <f t="shared" si="4"/>
        <v>6.05953125</v>
      </c>
      <c r="Y9" s="77"/>
      <c r="Z9" s="77"/>
      <c r="AA9" s="77">
        <f t="shared" si="5"/>
        <v>6.05953125</v>
      </c>
      <c r="AB9" s="86">
        <v>7.08</v>
      </c>
      <c r="AC9" s="74">
        <f t="shared" si="6"/>
        <v>42.90148125</v>
      </c>
      <c r="AD9" s="74">
        <f t="shared" si="7"/>
        <v>163.46304375</v>
      </c>
      <c r="AE9" s="74">
        <f t="shared" si="8"/>
        <v>75.48695625</v>
      </c>
    </row>
    <row r="10" customFormat="1" spans="1:31">
      <c r="A10" s="18"/>
      <c r="B10" s="19"/>
      <c r="C10" s="20">
        <v>240829000027</v>
      </c>
      <c r="D10" s="21">
        <v>45537</v>
      </c>
      <c r="E10" s="21" t="s">
        <v>50</v>
      </c>
      <c r="F10" s="19" t="s">
        <v>51</v>
      </c>
      <c r="G10" s="19" t="s">
        <v>53</v>
      </c>
      <c r="H10" s="19">
        <v>1.5</v>
      </c>
      <c r="I10" s="41">
        <v>172.5</v>
      </c>
      <c r="J10" s="42"/>
      <c r="K10" s="43"/>
      <c r="L10" s="19"/>
      <c r="M10" s="43"/>
      <c r="N10" s="44"/>
      <c r="O10" s="45">
        <f t="shared" ref="O10:O17" si="9">SUM(I10)</f>
        <v>172.5</v>
      </c>
      <c r="P10" s="51"/>
      <c r="Q10" s="51"/>
      <c r="R10" s="74">
        <f t="shared" si="1"/>
        <v>117.1875</v>
      </c>
      <c r="S10" s="74"/>
      <c r="T10" s="75">
        <f t="shared" si="2"/>
        <v>3.3740625</v>
      </c>
      <c r="U10" s="74"/>
      <c r="V10" s="74"/>
      <c r="W10" s="76">
        <f t="shared" si="3"/>
        <v>120.5615625</v>
      </c>
      <c r="X10" s="77">
        <f t="shared" si="4"/>
        <v>6.05953125</v>
      </c>
      <c r="Y10" s="77"/>
      <c r="Z10" s="77"/>
      <c r="AA10" s="77">
        <f t="shared" si="5"/>
        <v>6.05953125</v>
      </c>
      <c r="AB10" s="86">
        <v>7.08</v>
      </c>
      <c r="AC10" s="74">
        <f t="shared" si="6"/>
        <v>42.90148125</v>
      </c>
      <c r="AD10" s="74">
        <f t="shared" si="7"/>
        <v>163.46304375</v>
      </c>
      <c r="AE10" s="74">
        <f t="shared" si="8"/>
        <v>9.03695625</v>
      </c>
    </row>
    <row r="11" customFormat="1" spans="1:31">
      <c r="A11" s="18"/>
      <c r="B11" s="19"/>
      <c r="C11" s="20">
        <v>240829000035</v>
      </c>
      <c r="D11" s="21">
        <v>45537</v>
      </c>
      <c r="E11" s="21" t="s">
        <v>50</v>
      </c>
      <c r="F11" s="19" t="s">
        <v>51</v>
      </c>
      <c r="G11" s="19" t="s">
        <v>54</v>
      </c>
      <c r="H11" s="19">
        <v>0.52</v>
      </c>
      <c r="I11" s="41">
        <v>170</v>
      </c>
      <c r="J11" s="42"/>
      <c r="K11" s="43"/>
      <c r="L11" s="19"/>
      <c r="M11" s="43"/>
      <c r="N11" s="44"/>
      <c r="O11" s="45">
        <f t="shared" si="9"/>
        <v>170</v>
      </c>
      <c r="P11" s="51"/>
      <c r="Q11" s="51"/>
      <c r="R11" s="74">
        <f t="shared" si="1"/>
        <v>40.625</v>
      </c>
      <c r="S11" s="74"/>
      <c r="T11" s="75">
        <f t="shared" si="2"/>
        <v>1.169675</v>
      </c>
      <c r="U11" s="74"/>
      <c r="V11" s="74"/>
      <c r="W11" s="76">
        <f t="shared" si="3"/>
        <v>41.794675</v>
      </c>
      <c r="X11" s="77">
        <f t="shared" si="4"/>
        <v>2.1006375</v>
      </c>
      <c r="Y11" s="77"/>
      <c r="Z11" s="77"/>
      <c r="AA11" s="77">
        <f t="shared" si="5"/>
        <v>2.1006375</v>
      </c>
      <c r="AB11" s="86">
        <v>7.08</v>
      </c>
      <c r="AC11" s="74">
        <f t="shared" si="6"/>
        <v>14.8725135</v>
      </c>
      <c r="AD11" s="74">
        <f t="shared" si="7"/>
        <v>56.6671885</v>
      </c>
      <c r="AE11" s="74">
        <f t="shared" si="8"/>
        <v>113.3328115</v>
      </c>
    </row>
    <row r="12" customFormat="1" spans="1:31">
      <c r="A12" s="18"/>
      <c r="B12" s="19"/>
      <c r="C12" s="20">
        <v>240829000038</v>
      </c>
      <c r="D12" s="21">
        <v>45537</v>
      </c>
      <c r="E12" s="21" t="s">
        <v>50</v>
      </c>
      <c r="F12" s="19" t="s">
        <v>51</v>
      </c>
      <c r="G12" s="19" t="s">
        <v>55</v>
      </c>
      <c r="H12" s="19">
        <v>0.94</v>
      </c>
      <c r="I12" s="41">
        <v>120</v>
      </c>
      <c r="J12" s="42"/>
      <c r="K12" s="43"/>
      <c r="L12" s="19"/>
      <c r="M12" s="43"/>
      <c r="N12" s="44"/>
      <c r="O12" s="45">
        <f t="shared" si="9"/>
        <v>120</v>
      </c>
      <c r="P12" s="51"/>
      <c r="Q12" s="51"/>
      <c r="R12" s="74">
        <f t="shared" si="1"/>
        <v>73.4375</v>
      </c>
      <c r="S12" s="74"/>
      <c r="T12" s="75">
        <f t="shared" si="2"/>
        <v>2.1144125</v>
      </c>
      <c r="U12" s="74"/>
      <c r="V12" s="74"/>
      <c r="W12" s="76">
        <f t="shared" si="3"/>
        <v>75.5519125</v>
      </c>
      <c r="X12" s="77">
        <f t="shared" si="4"/>
        <v>3.79730625</v>
      </c>
      <c r="Y12" s="77"/>
      <c r="Z12" s="77"/>
      <c r="AA12" s="77">
        <f t="shared" si="5"/>
        <v>3.79730625</v>
      </c>
      <c r="AB12" s="86">
        <v>7.08</v>
      </c>
      <c r="AC12" s="74">
        <f t="shared" si="6"/>
        <v>26.88492825</v>
      </c>
      <c r="AD12" s="74">
        <f t="shared" si="7"/>
        <v>102.43684075</v>
      </c>
      <c r="AE12" s="74">
        <f t="shared" si="8"/>
        <v>17.56315925</v>
      </c>
    </row>
    <row r="13" customFormat="1" spans="1:31">
      <c r="A13" s="18"/>
      <c r="B13" s="19"/>
      <c r="C13" s="20">
        <v>240830000006</v>
      </c>
      <c r="D13" s="21">
        <v>45537</v>
      </c>
      <c r="E13" s="21" t="s">
        <v>43</v>
      </c>
      <c r="F13" s="19" t="s">
        <v>44</v>
      </c>
      <c r="G13" s="19" t="s">
        <v>56</v>
      </c>
      <c r="H13" s="19">
        <v>0.5</v>
      </c>
      <c r="I13" s="41">
        <v>170</v>
      </c>
      <c r="J13" s="42"/>
      <c r="K13" s="43"/>
      <c r="L13" s="19"/>
      <c r="M13" s="43"/>
      <c r="N13" s="44"/>
      <c r="O13" s="45">
        <f t="shared" si="9"/>
        <v>170</v>
      </c>
      <c r="P13" s="51"/>
      <c r="Q13" s="51"/>
      <c r="R13" s="74">
        <f t="shared" si="1"/>
        <v>39.0625</v>
      </c>
      <c r="S13" s="74"/>
      <c r="T13" s="75">
        <f t="shared" si="2"/>
        <v>1.1246875</v>
      </c>
      <c r="U13" s="74"/>
      <c r="V13" s="74"/>
      <c r="W13" s="76">
        <f t="shared" si="3"/>
        <v>40.1871875</v>
      </c>
      <c r="X13" s="77">
        <f t="shared" si="4"/>
        <v>2.01984375</v>
      </c>
      <c r="Y13" s="77"/>
      <c r="Z13" s="77"/>
      <c r="AA13" s="77">
        <f t="shared" si="5"/>
        <v>2.01984375</v>
      </c>
      <c r="AB13" s="86">
        <v>7.08</v>
      </c>
      <c r="AC13" s="74">
        <f t="shared" si="6"/>
        <v>14.30049375</v>
      </c>
      <c r="AD13" s="74">
        <f t="shared" si="7"/>
        <v>54.48768125</v>
      </c>
      <c r="AE13" s="74">
        <f t="shared" si="8"/>
        <v>115.51231875</v>
      </c>
    </row>
    <row r="14" customFormat="1" spans="1:31">
      <c r="A14" s="18"/>
      <c r="B14" s="19"/>
      <c r="C14" s="20">
        <v>240830000007</v>
      </c>
      <c r="D14" s="21">
        <v>45537</v>
      </c>
      <c r="E14" s="21" t="s">
        <v>43</v>
      </c>
      <c r="F14" s="19" t="s">
        <v>44</v>
      </c>
      <c r="G14" s="19" t="s">
        <v>56</v>
      </c>
      <c r="H14" s="19">
        <v>0.8</v>
      </c>
      <c r="I14" s="41">
        <v>255</v>
      </c>
      <c r="J14" s="42"/>
      <c r="K14" s="43"/>
      <c r="L14" s="19"/>
      <c r="M14" s="43"/>
      <c r="N14" s="44"/>
      <c r="O14" s="45">
        <f t="shared" si="9"/>
        <v>255</v>
      </c>
      <c r="P14" s="51"/>
      <c r="Q14" s="51"/>
      <c r="R14" s="74">
        <f t="shared" si="1"/>
        <v>62.5</v>
      </c>
      <c r="S14" s="74"/>
      <c r="T14" s="75">
        <f t="shared" si="2"/>
        <v>1.7995</v>
      </c>
      <c r="U14" s="74"/>
      <c r="V14" s="74"/>
      <c r="W14" s="76">
        <f t="shared" si="3"/>
        <v>64.2995</v>
      </c>
      <c r="X14" s="77">
        <f t="shared" si="4"/>
        <v>3.23175</v>
      </c>
      <c r="Y14" s="77"/>
      <c r="Z14" s="77"/>
      <c r="AA14" s="77">
        <f t="shared" si="5"/>
        <v>3.23175</v>
      </c>
      <c r="AB14" s="86">
        <v>7.08</v>
      </c>
      <c r="AC14" s="74">
        <f t="shared" si="6"/>
        <v>22.88079</v>
      </c>
      <c r="AD14" s="74">
        <f t="shared" si="7"/>
        <v>87.18029</v>
      </c>
      <c r="AE14" s="74">
        <f t="shared" si="8"/>
        <v>167.81971</v>
      </c>
    </row>
    <row r="15" customFormat="1" spans="1:31">
      <c r="A15" s="18"/>
      <c r="B15" s="19"/>
      <c r="C15" s="20">
        <v>240830000008</v>
      </c>
      <c r="D15" s="21">
        <v>45537</v>
      </c>
      <c r="E15" s="21" t="s">
        <v>43</v>
      </c>
      <c r="F15" s="19" t="s">
        <v>44</v>
      </c>
      <c r="G15" s="19" t="s">
        <v>56</v>
      </c>
      <c r="H15" s="19">
        <v>0.9</v>
      </c>
      <c r="I15" s="41">
        <v>170</v>
      </c>
      <c r="J15" s="42"/>
      <c r="K15" s="43"/>
      <c r="L15" s="19"/>
      <c r="M15" s="43"/>
      <c r="N15" s="44"/>
      <c r="O15" s="45">
        <f t="shared" si="9"/>
        <v>170</v>
      </c>
      <c r="P15" s="51"/>
      <c r="Q15" s="51"/>
      <c r="R15" s="74">
        <f t="shared" si="1"/>
        <v>70.3125</v>
      </c>
      <c r="S15" s="74"/>
      <c r="T15" s="75">
        <f t="shared" si="2"/>
        <v>2.0244375</v>
      </c>
      <c r="U15" s="74"/>
      <c r="V15" s="74"/>
      <c r="W15" s="76">
        <f t="shared" si="3"/>
        <v>72.3369375</v>
      </c>
      <c r="X15" s="77">
        <f t="shared" si="4"/>
        <v>3.63571875</v>
      </c>
      <c r="Y15" s="77"/>
      <c r="Z15" s="77"/>
      <c r="AA15" s="77">
        <f t="shared" si="5"/>
        <v>3.63571875</v>
      </c>
      <c r="AB15" s="86">
        <v>7.08</v>
      </c>
      <c r="AC15" s="74">
        <f t="shared" si="6"/>
        <v>25.74088875</v>
      </c>
      <c r="AD15" s="74">
        <f t="shared" si="7"/>
        <v>98.07782625</v>
      </c>
      <c r="AE15" s="74">
        <f t="shared" si="8"/>
        <v>71.92217375</v>
      </c>
    </row>
    <row r="16" customFormat="1" spans="1:31">
      <c r="A16" s="18"/>
      <c r="B16" s="19"/>
      <c r="C16" s="20">
        <v>240830000009</v>
      </c>
      <c r="D16" s="21">
        <v>45537</v>
      </c>
      <c r="E16" s="21" t="s">
        <v>43</v>
      </c>
      <c r="F16" s="19" t="s">
        <v>44</v>
      </c>
      <c r="G16" s="19" t="s">
        <v>56</v>
      </c>
      <c r="H16" s="19">
        <v>0.8</v>
      </c>
      <c r="I16" s="41">
        <v>170</v>
      </c>
      <c r="J16" s="42"/>
      <c r="K16" s="43"/>
      <c r="L16" s="19"/>
      <c r="M16" s="43"/>
      <c r="N16" s="44"/>
      <c r="O16" s="45">
        <f t="shared" si="9"/>
        <v>170</v>
      </c>
      <c r="P16" s="51"/>
      <c r="Q16" s="51"/>
      <c r="R16" s="74">
        <f t="shared" si="1"/>
        <v>62.5</v>
      </c>
      <c r="S16" s="74"/>
      <c r="T16" s="75">
        <f t="shared" si="2"/>
        <v>1.7995</v>
      </c>
      <c r="U16" s="74"/>
      <c r="V16" s="74"/>
      <c r="W16" s="76">
        <f t="shared" si="3"/>
        <v>64.2995</v>
      </c>
      <c r="X16" s="77">
        <f t="shared" si="4"/>
        <v>3.23175</v>
      </c>
      <c r="Y16" s="77"/>
      <c r="Z16" s="77"/>
      <c r="AA16" s="77">
        <f t="shared" si="5"/>
        <v>3.23175</v>
      </c>
      <c r="AB16" s="86">
        <v>7.08</v>
      </c>
      <c r="AC16" s="74">
        <f t="shared" si="6"/>
        <v>22.88079</v>
      </c>
      <c r="AD16" s="74">
        <f t="shared" si="7"/>
        <v>87.18029</v>
      </c>
      <c r="AE16" s="74">
        <f t="shared" si="8"/>
        <v>82.81971</v>
      </c>
    </row>
    <row r="17" customFormat="1" spans="1:31">
      <c r="A17" s="18"/>
      <c r="B17" s="19"/>
      <c r="C17" s="20">
        <v>240830000011</v>
      </c>
      <c r="D17" s="21">
        <v>45537</v>
      </c>
      <c r="E17" s="21" t="s">
        <v>43</v>
      </c>
      <c r="F17" s="19" t="s">
        <v>44</v>
      </c>
      <c r="G17" s="19" t="s">
        <v>56</v>
      </c>
      <c r="H17" s="19">
        <v>0.68</v>
      </c>
      <c r="I17" s="41">
        <v>170</v>
      </c>
      <c r="J17" s="42"/>
      <c r="K17" s="43"/>
      <c r="L17" s="19"/>
      <c r="M17" s="43"/>
      <c r="N17" s="44"/>
      <c r="O17" s="45">
        <f t="shared" si="9"/>
        <v>170</v>
      </c>
      <c r="P17" s="51"/>
      <c r="Q17" s="51"/>
      <c r="R17" s="74">
        <f t="shared" si="1"/>
        <v>53.125</v>
      </c>
      <c r="S17" s="74"/>
      <c r="T17" s="75">
        <f t="shared" si="2"/>
        <v>1.529575</v>
      </c>
      <c r="U17" s="74"/>
      <c r="V17" s="74"/>
      <c r="W17" s="76">
        <f t="shared" si="3"/>
        <v>54.654575</v>
      </c>
      <c r="X17" s="77">
        <f t="shared" si="4"/>
        <v>2.7469875</v>
      </c>
      <c r="Y17" s="77"/>
      <c r="Z17" s="77"/>
      <c r="AA17" s="77">
        <f t="shared" si="5"/>
        <v>2.7469875</v>
      </c>
      <c r="AB17" s="86">
        <v>7.08</v>
      </c>
      <c r="AC17" s="74">
        <f t="shared" si="6"/>
        <v>19.4486715</v>
      </c>
      <c r="AD17" s="74">
        <f t="shared" si="7"/>
        <v>74.1032465</v>
      </c>
      <c r="AE17" s="74">
        <f t="shared" si="8"/>
        <v>95.8967535</v>
      </c>
    </row>
    <row r="18" customFormat="1" spans="1:31">
      <c r="A18" s="18"/>
      <c r="B18" s="19"/>
      <c r="C18" s="20">
        <v>240830000043</v>
      </c>
      <c r="D18" s="21">
        <v>45537</v>
      </c>
      <c r="E18" s="21" t="s">
        <v>50</v>
      </c>
      <c r="F18" s="19" t="s">
        <v>51</v>
      </c>
      <c r="G18" s="19" t="s">
        <v>57</v>
      </c>
      <c r="H18" s="19">
        <v>6.5</v>
      </c>
      <c r="I18" s="47"/>
      <c r="J18" s="48">
        <v>207025</v>
      </c>
      <c r="K18" s="43"/>
      <c r="L18" s="49">
        <f>SUM(J18/M18)</f>
        <v>1734.60410557185</v>
      </c>
      <c r="M18" s="50">
        <v>119.35</v>
      </c>
      <c r="N18" s="44">
        <v>7.08</v>
      </c>
      <c r="O18" s="45">
        <f>SUM(M18*N18)</f>
        <v>844.998</v>
      </c>
      <c r="P18" s="51"/>
      <c r="Q18" s="51"/>
      <c r="R18" s="74">
        <f t="shared" si="1"/>
        <v>507.8125</v>
      </c>
      <c r="S18" s="74"/>
      <c r="T18" s="75">
        <f t="shared" si="2"/>
        <v>14.6209375</v>
      </c>
      <c r="U18" s="74"/>
      <c r="V18" s="75">
        <v>98</v>
      </c>
      <c r="W18" s="76">
        <f t="shared" ref="W18:W33" si="10">SUM(R18:V18)</f>
        <v>620.4334375</v>
      </c>
      <c r="X18" s="77">
        <f t="shared" si="4"/>
        <v>26.25796875</v>
      </c>
      <c r="Y18" s="77"/>
      <c r="Z18" s="77"/>
      <c r="AA18" s="77">
        <f t="shared" si="5"/>
        <v>26.25796875</v>
      </c>
      <c r="AB18" s="86">
        <v>7.08</v>
      </c>
      <c r="AC18" s="74">
        <f t="shared" si="6"/>
        <v>185.90641875</v>
      </c>
      <c r="AD18" s="74">
        <f t="shared" si="7"/>
        <v>806.33985625</v>
      </c>
      <c r="AE18" s="74">
        <f t="shared" ref="AE18:AE33" si="11">SUM(O18-AD18)</f>
        <v>38.65814375</v>
      </c>
    </row>
    <row r="19" customFormat="1" spans="1:31">
      <c r="A19" s="18"/>
      <c r="B19" s="19"/>
      <c r="C19" s="20">
        <v>240831000001</v>
      </c>
      <c r="D19" s="21">
        <v>45537</v>
      </c>
      <c r="E19" s="21" t="s">
        <v>41</v>
      </c>
      <c r="F19" s="19" t="s">
        <v>41</v>
      </c>
      <c r="G19" s="19" t="s">
        <v>58</v>
      </c>
      <c r="H19" s="19">
        <v>2</v>
      </c>
      <c r="I19" s="41">
        <v>230</v>
      </c>
      <c r="J19" s="42"/>
      <c r="K19" s="43"/>
      <c r="L19" s="19"/>
      <c r="M19" s="43"/>
      <c r="N19" s="44"/>
      <c r="O19" s="45">
        <f t="shared" ref="O19:O33" si="12">SUM(I19)</f>
        <v>230</v>
      </c>
      <c r="P19" s="52"/>
      <c r="Q19" s="52"/>
      <c r="R19" s="74">
        <f t="shared" si="1"/>
        <v>156.25</v>
      </c>
      <c r="S19" s="74"/>
      <c r="T19" s="75">
        <f t="shared" si="2"/>
        <v>4.49875</v>
      </c>
      <c r="U19" s="74"/>
      <c r="V19" s="74"/>
      <c r="W19" s="76">
        <f t="shared" si="10"/>
        <v>160.74875</v>
      </c>
      <c r="X19" s="77">
        <f t="shared" si="4"/>
        <v>8.079375</v>
      </c>
      <c r="Y19" s="77"/>
      <c r="Z19" s="77"/>
      <c r="AA19" s="77">
        <f t="shared" ref="AA19:AA33" si="13">SUM(X19:Z19)</f>
        <v>8.079375</v>
      </c>
      <c r="AB19" s="86">
        <v>7.08</v>
      </c>
      <c r="AC19" s="74">
        <f t="shared" ref="AC19:AC33" si="14">SUM(AA19*AB19)</f>
        <v>57.201975</v>
      </c>
      <c r="AD19" s="74">
        <f t="shared" ref="AD19:AD33" si="15">SUM(W19+AC19)</f>
        <v>217.950725</v>
      </c>
      <c r="AE19" s="74">
        <f t="shared" si="11"/>
        <v>12.049275</v>
      </c>
    </row>
    <row r="20" customFormat="1" spans="1:31">
      <c r="A20" s="18" t="s">
        <v>59</v>
      </c>
      <c r="B20" s="19" t="s">
        <v>60</v>
      </c>
      <c r="C20" s="20">
        <v>240829000031</v>
      </c>
      <c r="D20" s="21">
        <v>45538</v>
      </c>
      <c r="E20" s="21" t="s">
        <v>46</v>
      </c>
      <c r="F20" s="19" t="s">
        <v>47</v>
      </c>
      <c r="G20" s="19" t="s">
        <v>61</v>
      </c>
      <c r="H20" s="19">
        <v>2</v>
      </c>
      <c r="I20" s="41">
        <v>360</v>
      </c>
      <c r="J20" s="53"/>
      <c r="K20" s="43"/>
      <c r="L20" s="19"/>
      <c r="M20" s="43"/>
      <c r="N20" s="44"/>
      <c r="O20" s="45">
        <f t="shared" si="12"/>
        <v>360</v>
      </c>
      <c r="P20" s="46">
        <f>SUM(O20:O33)</f>
        <v>10760</v>
      </c>
      <c r="Q20" s="46" t="s">
        <v>40</v>
      </c>
      <c r="R20" s="74">
        <f>SUM(4800/64)*H20</f>
        <v>150</v>
      </c>
      <c r="S20" s="74"/>
      <c r="T20" s="75">
        <f>SUM(55.98/64)*H20</f>
        <v>1.749375</v>
      </c>
      <c r="U20" s="74"/>
      <c r="V20" s="74"/>
      <c r="W20" s="76">
        <f t="shared" si="10"/>
        <v>151.749375</v>
      </c>
      <c r="X20" s="77">
        <f>SUM(252.83/64)*H20</f>
        <v>7.9009375</v>
      </c>
      <c r="Y20" s="77"/>
      <c r="Z20" s="77"/>
      <c r="AA20" s="77">
        <f t="shared" si="13"/>
        <v>7.9009375</v>
      </c>
      <c r="AB20" s="86">
        <v>7.08</v>
      </c>
      <c r="AC20" s="74">
        <f t="shared" si="14"/>
        <v>55.9386375</v>
      </c>
      <c r="AD20" s="74">
        <f t="shared" si="15"/>
        <v>207.6880125</v>
      </c>
      <c r="AE20" s="74">
        <f t="shared" si="11"/>
        <v>152.3119875</v>
      </c>
    </row>
    <row r="21" customFormat="1" spans="1:31">
      <c r="A21" s="18"/>
      <c r="B21" s="19"/>
      <c r="C21" s="20">
        <v>240830000010</v>
      </c>
      <c r="D21" s="21">
        <v>45538</v>
      </c>
      <c r="E21" s="21" t="s">
        <v>43</v>
      </c>
      <c r="F21" s="19" t="s">
        <v>44</v>
      </c>
      <c r="G21" s="19" t="s">
        <v>56</v>
      </c>
      <c r="H21" s="19">
        <v>0.68</v>
      </c>
      <c r="I21" s="41">
        <v>170</v>
      </c>
      <c r="J21" s="53"/>
      <c r="K21" s="43"/>
      <c r="L21" s="19"/>
      <c r="M21" s="43"/>
      <c r="N21" s="44"/>
      <c r="O21" s="45">
        <f t="shared" si="12"/>
        <v>170</v>
      </c>
      <c r="P21" s="51"/>
      <c r="Q21" s="51"/>
      <c r="R21" s="74">
        <f t="shared" ref="R21:R34" si="16">SUM(4800/64)*H21</f>
        <v>51</v>
      </c>
      <c r="S21" s="74"/>
      <c r="T21" s="75">
        <f t="shared" ref="T21:T33" si="17">SUM(55.98/64)*H21</f>
        <v>0.5947875</v>
      </c>
      <c r="U21" s="74"/>
      <c r="V21" s="74"/>
      <c r="W21" s="76">
        <f t="shared" si="10"/>
        <v>51.5947875</v>
      </c>
      <c r="X21" s="77">
        <f t="shared" ref="X21:X33" si="18">SUM(252.83/64)*H21</f>
        <v>2.68631875</v>
      </c>
      <c r="Y21" s="77"/>
      <c r="Z21" s="77"/>
      <c r="AA21" s="77">
        <f t="shared" si="13"/>
        <v>2.68631875</v>
      </c>
      <c r="AB21" s="86">
        <v>7.08</v>
      </c>
      <c r="AC21" s="74">
        <f t="shared" si="14"/>
        <v>19.01913675</v>
      </c>
      <c r="AD21" s="74">
        <f t="shared" si="15"/>
        <v>70.61392425</v>
      </c>
      <c r="AE21" s="74">
        <f t="shared" si="11"/>
        <v>99.38607575</v>
      </c>
    </row>
    <row r="22" customFormat="1" spans="1:31">
      <c r="A22" s="18"/>
      <c r="B22" s="19"/>
      <c r="C22" s="20">
        <v>240830000012</v>
      </c>
      <c r="D22" s="21">
        <v>45538</v>
      </c>
      <c r="E22" s="21" t="s">
        <v>43</v>
      </c>
      <c r="F22" s="19" t="s">
        <v>44</v>
      </c>
      <c r="G22" s="19" t="s">
        <v>56</v>
      </c>
      <c r="H22" s="19">
        <v>0.9</v>
      </c>
      <c r="I22" s="41">
        <v>170</v>
      </c>
      <c r="J22" s="53"/>
      <c r="K22" s="43"/>
      <c r="L22" s="19"/>
      <c r="M22" s="43"/>
      <c r="N22" s="44"/>
      <c r="O22" s="45">
        <f t="shared" si="12"/>
        <v>170</v>
      </c>
      <c r="P22" s="51"/>
      <c r="Q22" s="51"/>
      <c r="R22" s="74">
        <f t="shared" si="16"/>
        <v>67.5</v>
      </c>
      <c r="S22" s="74"/>
      <c r="T22" s="75">
        <f t="shared" si="17"/>
        <v>0.78721875</v>
      </c>
      <c r="U22" s="74"/>
      <c r="V22" s="74"/>
      <c r="W22" s="76">
        <f t="shared" si="10"/>
        <v>68.28721875</v>
      </c>
      <c r="X22" s="77">
        <f t="shared" si="18"/>
        <v>3.555421875</v>
      </c>
      <c r="Y22" s="77"/>
      <c r="Z22" s="77"/>
      <c r="AA22" s="77">
        <f t="shared" si="13"/>
        <v>3.555421875</v>
      </c>
      <c r="AB22" s="86">
        <v>7.08</v>
      </c>
      <c r="AC22" s="74">
        <f t="shared" si="14"/>
        <v>25.172386875</v>
      </c>
      <c r="AD22" s="74">
        <f t="shared" si="15"/>
        <v>93.459605625</v>
      </c>
      <c r="AE22" s="74">
        <f t="shared" si="11"/>
        <v>76.540394375</v>
      </c>
    </row>
    <row r="23" customFormat="1" spans="1:31">
      <c r="A23" s="18"/>
      <c r="B23" s="19"/>
      <c r="C23" s="20">
        <v>240830000032</v>
      </c>
      <c r="D23" s="21">
        <v>45538</v>
      </c>
      <c r="E23" s="21" t="s">
        <v>62</v>
      </c>
      <c r="F23" s="19" t="s">
        <v>63</v>
      </c>
      <c r="G23" s="19" t="s">
        <v>64</v>
      </c>
      <c r="H23" s="19">
        <v>0.56</v>
      </c>
      <c r="I23" s="41">
        <v>115</v>
      </c>
      <c r="J23" s="53"/>
      <c r="K23" s="43"/>
      <c r="L23" s="19"/>
      <c r="M23" s="43"/>
      <c r="N23" s="44"/>
      <c r="O23" s="45">
        <f t="shared" si="12"/>
        <v>115</v>
      </c>
      <c r="P23" s="51"/>
      <c r="Q23" s="51"/>
      <c r="R23" s="74">
        <f t="shared" si="16"/>
        <v>42</v>
      </c>
      <c r="S23" s="74"/>
      <c r="T23" s="75">
        <f t="shared" si="17"/>
        <v>0.489825</v>
      </c>
      <c r="U23" s="74"/>
      <c r="V23" s="74"/>
      <c r="W23" s="76">
        <f t="shared" si="10"/>
        <v>42.489825</v>
      </c>
      <c r="X23" s="77">
        <f t="shared" si="18"/>
        <v>2.2122625</v>
      </c>
      <c r="Y23" s="77"/>
      <c r="Z23" s="77"/>
      <c r="AA23" s="77">
        <f t="shared" si="13"/>
        <v>2.2122625</v>
      </c>
      <c r="AB23" s="86">
        <v>7.08</v>
      </c>
      <c r="AC23" s="74">
        <f t="shared" si="14"/>
        <v>15.6628185</v>
      </c>
      <c r="AD23" s="74">
        <f t="shared" si="15"/>
        <v>58.1526435</v>
      </c>
      <c r="AE23" s="74">
        <f t="shared" si="11"/>
        <v>56.8473565</v>
      </c>
    </row>
    <row r="24" customFormat="1" spans="1:31">
      <c r="A24" s="18"/>
      <c r="B24" s="19"/>
      <c r="C24" s="20">
        <v>240831000017</v>
      </c>
      <c r="D24" s="21">
        <v>45538</v>
      </c>
      <c r="E24" s="21" t="s">
        <v>50</v>
      </c>
      <c r="F24" s="19" t="s">
        <v>51</v>
      </c>
      <c r="G24" s="19" t="s">
        <v>65</v>
      </c>
      <c r="H24" s="19">
        <v>2</v>
      </c>
      <c r="I24" s="41">
        <v>340</v>
      </c>
      <c r="J24" s="53"/>
      <c r="K24" s="43"/>
      <c r="L24" s="19"/>
      <c r="M24" s="43"/>
      <c r="N24" s="44"/>
      <c r="O24" s="45">
        <f t="shared" si="12"/>
        <v>340</v>
      </c>
      <c r="P24" s="51"/>
      <c r="Q24" s="51"/>
      <c r="R24" s="74">
        <f t="shared" si="16"/>
        <v>150</v>
      </c>
      <c r="S24" s="74"/>
      <c r="T24" s="75">
        <f t="shared" si="17"/>
        <v>1.749375</v>
      </c>
      <c r="U24" s="74"/>
      <c r="V24" s="74"/>
      <c r="W24" s="76">
        <f t="shared" si="10"/>
        <v>151.749375</v>
      </c>
      <c r="X24" s="77">
        <f t="shared" si="18"/>
        <v>7.9009375</v>
      </c>
      <c r="Y24" s="77"/>
      <c r="Z24" s="77"/>
      <c r="AA24" s="77">
        <f t="shared" si="13"/>
        <v>7.9009375</v>
      </c>
      <c r="AB24" s="86">
        <v>7.08</v>
      </c>
      <c r="AC24" s="74">
        <f t="shared" si="14"/>
        <v>55.9386375</v>
      </c>
      <c r="AD24" s="74">
        <f t="shared" si="15"/>
        <v>207.6880125</v>
      </c>
      <c r="AE24" s="74">
        <f t="shared" si="11"/>
        <v>132.3119875</v>
      </c>
    </row>
    <row r="25" customFormat="1" spans="1:31">
      <c r="A25" s="18"/>
      <c r="B25" s="19"/>
      <c r="C25" s="20">
        <v>240831000018</v>
      </c>
      <c r="D25" s="21">
        <v>45538</v>
      </c>
      <c r="E25" s="21" t="s">
        <v>50</v>
      </c>
      <c r="F25" s="19" t="s">
        <v>51</v>
      </c>
      <c r="G25" s="19" t="s">
        <v>55</v>
      </c>
      <c r="H25" s="19">
        <v>6.5</v>
      </c>
      <c r="I25" s="41">
        <v>780</v>
      </c>
      <c r="J25" s="53"/>
      <c r="K25" s="43"/>
      <c r="L25" s="19"/>
      <c r="M25" s="43"/>
      <c r="N25" s="44"/>
      <c r="O25" s="45">
        <f t="shared" si="12"/>
        <v>780</v>
      </c>
      <c r="P25" s="51"/>
      <c r="Q25" s="51"/>
      <c r="R25" s="74">
        <f t="shared" si="16"/>
        <v>487.5</v>
      </c>
      <c r="S25" s="74"/>
      <c r="T25" s="75">
        <f t="shared" si="17"/>
        <v>5.68546875</v>
      </c>
      <c r="U25" s="74"/>
      <c r="V25" s="74"/>
      <c r="W25" s="76">
        <f t="shared" si="10"/>
        <v>493.18546875</v>
      </c>
      <c r="X25" s="77">
        <f t="shared" si="18"/>
        <v>25.678046875</v>
      </c>
      <c r="Y25" s="77"/>
      <c r="Z25" s="77"/>
      <c r="AA25" s="77">
        <f t="shared" si="13"/>
        <v>25.678046875</v>
      </c>
      <c r="AB25" s="86">
        <v>7.08</v>
      </c>
      <c r="AC25" s="74">
        <f t="shared" si="14"/>
        <v>181.800571875</v>
      </c>
      <c r="AD25" s="74">
        <f t="shared" si="15"/>
        <v>674.986040625</v>
      </c>
      <c r="AE25" s="74">
        <f t="shared" si="11"/>
        <v>105.013959375</v>
      </c>
    </row>
    <row r="26" customFormat="1" spans="1:31">
      <c r="A26" s="18"/>
      <c r="B26" s="19"/>
      <c r="C26" s="20">
        <v>240901000007</v>
      </c>
      <c r="D26" s="21">
        <v>45538</v>
      </c>
      <c r="E26" s="21" t="s">
        <v>62</v>
      </c>
      <c r="F26" s="19" t="s">
        <v>63</v>
      </c>
      <c r="G26" s="19" t="s">
        <v>66</v>
      </c>
      <c r="H26" s="19">
        <v>2</v>
      </c>
      <c r="I26" s="41">
        <v>300</v>
      </c>
      <c r="J26" s="53"/>
      <c r="K26" s="43"/>
      <c r="L26" s="19"/>
      <c r="M26" s="43"/>
      <c r="N26" s="44"/>
      <c r="O26" s="45">
        <f t="shared" si="12"/>
        <v>300</v>
      </c>
      <c r="P26" s="51"/>
      <c r="Q26" s="51"/>
      <c r="R26" s="74">
        <f t="shared" si="16"/>
        <v>150</v>
      </c>
      <c r="S26" s="74"/>
      <c r="T26" s="75">
        <f t="shared" si="17"/>
        <v>1.749375</v>
      </c>
      <c r="U26" s="74"/>
      <c r="V26" s="74"/>
      <c r="W26" s="76">
        <f t="shared" si="10"/>
        <v>151.749375</v>
      </c>
      <c r="X26" s="77">
        <f t="shared" si="18"/>
        <v>7.9009375</v>
      </c>
      <c r="Y26" s="77"/>
      <c r="Z26" s="77"/>
      <c r="AA26" s="77">
        <f t="shared" si="13"/>
        <v>7.9009375</v>
      </c>
      <c r="AB26" s="86">
        <v>7.08</v>
      </c>
      <c r="AC26" s="74">
        <f t="shared" si="14"/>
        <v>55.9386375</v>
      </c>
      <c r="AD26" s="74">
        <f t="shared" si="15"/>
        <v>207.6880125</v>
      </c>
      <c r="AE26" s="74">
        <f t="shared" si="11"/>
        <v>92.3119875</v>
      </c>
    </row>
    <row r="27" customFormat="1" spans="1:31">
      <c r="A27" s="18"/>
      <c r="B27" s="19"/>
      <c r="C27" s="20">
        <v>240901000008</v>
      </c>
      <c r="D27" s="21">
        <v>45538</v>
      </c>
      <c r="E27" s="21" t="s">
        <v>50</v>
      </c>
      <c r="F27" s="19" t="s">
        <v>51</v>
      </c>
      <c r="G27" s="19" t="s">
        <v>67</v>
      </c>
      <c r="H27" s="19">
        <v>15</v>
      </c>
      <c r="I27" s="41">
        <v>1800</v>
      </c>
      <c r="J27" s="53"/>
      <c r="K27" s="43"/>
      <c r="L27" s="19"/>
      <c r="M27" s="43"/>
      <c r="N27" s="44"/>
      <c r="O27" s="45">
        <f t="shared" si="12"/>
        <v>1800</v>
      </c>
      <c r="P27" s="51"/>
      <c r="Q27" s="51"/>
      <c r="R27" s="74">
        <f t="shared" si="16"/>
        <v>1125</v>
      </c>
      <c r="S27" s="74"/>
      <c r="T27" s="75">
        <f t="shared" si="17"/>
        <v>13.1203125</v>
      </c>
      <c r="U27" s="74"/>
      <c r="V27" s="74"/>
      <c r="W27" s="76">
        <f t="shared" si="10"/>
        <v>1138.1203125</v>
      </c>
      <c r="X27" s="77">
        <f t="shared" si="18"/>
        <v>59.25703125</v>
      </c>
      <c r="Y27" s="77"/>
      <c r="Z27" s="77"/>
      <c r="AA27" s="77">
        <f t="shared" si="13"/>
        <v>59.25703125</v>
      </c>
      <c r="AB27" s="86">
        <v>7.08</v>
      </c>
      <c r="AC27" s="74">
        <f t="shared" si="14"/>
        <v>419.53978125</v>
      </c>
      <c r="AD27" s="74">
        <f t="shared" si="15"/>
        <v>1557.66009375</v>
      </c>
      <c r="AE27" s="74">
        <f t="shared" si="11"/>
        <v>242.33990625</v>
      </c>
    </row>
    <row r="28" customFormat="1" spans="1:31">
      <c r="A28" s="18"/>
      <c r="B28" s="19"/>
      <c r="C28" s="20">
        <v>240902000001</v>
      </c>
      <c r="D28" s="21">
        <v>45538</v>
      </c>
      <c r="E28" s="21" t="s">
        <v>41</v>
      </c>
      <c r="F28" s="19" t="s">
        <v>68</v>
      </c>
      <c r="G28" s="19" t="s">
        <v>69</v>
      </c>
      <c r="H28" s="19">
        <v>6</v>
      </c>
      <c r="I28" s="41">
        <v>720</v>
      </c>
      <c r="J28" s="53"/>
      <c r="K28" s="43"/>
      <c r="L28" s="19"/>
      <c r="M28" s="43"/>
      <c r="N28" s="44"/>
      <c r="O28" s="45">
        <f t="shared" si="12"/>
        <v>720</v>
      </c>
      <c r="P28" s="51"/>
      <c r="Q28" s="51"/>
      <c r="R28" s="74">
        <f t="shared" si="16"/>
        <v>450</v>
      </c>
      <c r="S28" s="74"/>
      <c r="T28" s="75">
        <f t="shared" si="17"/>
        <v>5.248125</v>
      </c>
      <c r="U28" s="74"/>
      <c r="V28" s="74"/>
      <c r="W28" s="76">
        <f t="shared" si="10"/>
        <v>455.248125</v>
      </c>
      <c r="X28" s="77">
        <f t="shared" si="18"/>
        <v>23.7028125</v>
      </c>
      <c r="Y28" s="77"/>
      <c r="Z28" s="77"/>
      <c r="AA28" s="77">
        <f t="shared" si="13"/>
        <v>23.7028125</v>
      </c>
      <c r="AB28" s="86">
        <v>7.08</v>
      </c>
      <c r="AC28" s="74">
        <f t="shared" si="14"/>
        <v>167.8159125</v>
      </c>
      <c r="AD28" s="74">
        <f t="shared" si="15"/>
        <v>623.0640375</v>
      </c>
      <c r="AE28" s="74">
        <f t="shared" si="11"/>
        <v>96.9359625</v>
      </c>
    </row>
    <row r="29" customFormat="1" spans="1:31">
      <c r="A29" s="18"/>
      <c r="B29" s="19"/>
      <c r="C29" s="20">
        <v>240902000004</v>
      </c>
      <c r="D29" s="21">
        <v>45538</v>
      </c>
      <c r="E29" s="21" t="s">
        <v>41</v>
      </c>
      <c r="F29" s="19" t="s">
        <v>68</v>
      </c>
      <c r="G29" s="19" t="s">
        <v>69</v>
      </c>
      <c r="H29" s="19">
        <v>1.5</v>
      </c>
      <c r="I29" s="41">
        <v>180</v>
      </c>
      <c r="J29" s="53"/>
      <c r="K29" s="43"/>
      <c r="L29" s="19"/>
      <c r="M29" s="43"/>
      <c r="N29" s="44"/>
      <c r="O29" s="45">
        <f t="shared" si="12"/>
        <v>180</v>
      </c>
      <c r="P29" s="51"/>
      <c r="Q29" s="51"/>
      <c r="R29" s="74">
        <f t="shared" si="16"/>
        <v>112.5</v>
      </c>
      <c r="S29" s="74"/>
      <c r="T29" s="75">
        <f t="shared" si="17"/>
        <v>1.31203125</v>
      </c>
      <c r="U29" s="74"/>
      <c r="V29" s="74"/>
      <c r="W29" s="76">
        <f t="shared" si="10"/>
        <v>113.81203125</v>
      </c>
      <c r="X29" s="77">
        <f t="shared" si="18"/>
        <v>5.925703125</v>
      </c>
      <c r="Y29" s="77"/>
      <c r="Z29" s="77"/>
      <c r="AA29" s="77">
        <f t="shared" si="13"/>
        <v>5.925703125</v>
      </c>
      <c r="AB29" s="86">
        <v>7.08</v>
      </c>
      <c r="AC29" s="74">
        <f t="shared" si="14"/>
        <v>41.953978125</v>
      </c>
      <c r="AD29" s="74">
        <f t="shared" si="15"/>
        <v>155.766009375</v>
      </c>
      <c r="AE29" s="74">
        <f t="shared" si="11"/>
        <v>24.233990625</v>
      </c>
    </row>
    <row r="30" customFormat="1" spans="1:31">
      <c r="A30" s="18"/>
      <c r="B30" s="19"/>
      <c r="C30" s="20">
        <v>240902000019</v>
      </c>
      <c r="D30" s="21">
        <v>45538</v>
      </c>
      <c r="E30" s="21" t="s">
        <v>50</v>
      </c>
      <c r="F30" s="19" t="s">
        <v>51</v>
      </c>
      <c r="G30" s="19" t="s">
        <v>70</v>
      </c>
      <c r="H30" s="19">
        <v>8</v>
      </c>
      <c r="I30" s="41">
        <v>950</v>
      </c>
      <c r="J30" s="53"/>
      <c r="K30" s="43"/>
      <c r="L30" s="19"/>
      <c r="M30" s="43"/>
      <c r="N30" s="44"/>
      <c r="O30" s="45">
        <f t="shared" si="12"/>
        <v>950</v>
      </c>
      <c r="P30" s="51"/>
      <c r="Q30" s="51"/>
      <c r="R30" s="74">
        <f t="shared" si="16"/>
        <v>600</v>
      </c>
      <c r="S30" s="74"/>
      <c r="T30" s="75">
        <f t="shared" si="17"/>
        <v>6.9975</v>
      </c>
      <c r="U30" s="74"/>
      <c r="V30" s="74"/>
      <c r="W30" s="76">
        <f t="shared" si="10"/>
        <v>606.9975</v>
      </c>
      <c r="X30" s="77">
        <f t="shared" si="18"/>
        <v>31.60375</v>
      </c>
      <c r="Y30" s="77">
        <v>16.12</v>
      </c>
      <c r="Z30" s="77"/>
      <c r="AA30" s="77">
        <f t="shared" si="13"/>
        <v>47.72375</v>
      </c>
      <c r="AB30" s="86">
        <v>7.08</v>
      </c>
      <c r="AC30" s="74">
        <f t="shared" si="14"/>
        <v>337.88415</v>
      </c>
      <c r="AD30" s="74">
        <f t="shared" si="15"/>
        <v>944.88165</v>
      </c>
      <c r="AE30" s="74">
        <f t="shared" si="11"/>
        <v>5.11834999999996</v>
      </c>
    </row>
    <row r="31" customFormat="1" spans="1:31">
      <c r="A31" s="18"/>
      <c r="B31" s="19"/>
      <c r="C31" s="20">
        <v>240902000051</v>
      </c>
      <c r="D31" s="21">
        <v>45538</v>
      </c>
      <c r="E31" s="21" t="s">
        <v>50</v>
      </c>
      <c r="F31" s="19" t="s">
        <v>51</v>
      </c>
      <c r="G31" s="19" t="s">
        <v>71</v>
      </c>
      <c r="H31" s="19">
        <v>7.5</v>
      </c>
      <c r="I31" s="41">
        <v>1560</v>
      </c>
      <c r="J31" s="53"/>
      <c r="K31" s="43"/>
      <c r="L31" s="19"/>
      <c r="M31" s="43"/>
      <c r="N31" s="44"/>
      <c r="O31" s="45">
        <f t="shared" si="12"/>
        <v>1560</v>
      </c>
      <c r="P31" s="51"/>
      <c r="Q31" s="51"/>
      <c r="R31" s="74">
        <f t="shared" si="16"/>
        <v>562.5</v>
      </c>
      <c r="S31" s="74"/>
      <c r="T31" s="75">
        <f t="shared" si="17"/>
        <v>6.56015625</v>
      </c>
      <c r="U31" s="74"/>
      <c r="V31" s="74"/>
      <c r="W31" s="76">
        <f t="shared" si="10"/>
        <v>569.06015625</v>
      </c>
      <c r="X31" s="77">
        <f t="shared" si="18"/>
        <v>29.628515625</v>
      </c>
      <c r="Y31" s="77"/>
      <c r="Z31" s="77"/>
      <c r="AA31" s="77">
        <f t="shared" si="13"/>
        <v>29.628515625</v>
      </c>
      <c r="AB31" s="86">
        <v>7.08</v>
      </c>
      <c r="AC31" s="74">
        <f t="shared" si="14"/>
        <v>209.769890625</v>
      </c>
      <c r="AD31" s="74">
        <f t="shared" si="15"/>
        <v>778.830046875</v>
      </c>
      <c r="AE31" s="74">
        <f t="shared" ref="AE31:AE42" si="19">SUM(O31-AD31)</f>
        <v>781.169953125</v>
      </c>
    </row>
    <row r="32" customFormat="1" spans="1:31">
      <c r="A32" s="18"/>
      <c r="B32" s="19"/>
      <c r="C32" s="20">
        <v>240902000052</v>
      </c>
      <c r="D32" s="21">
        <v>45538</v>
      </c>
      <c r="E32" s="21" t="s">
        <v>50</v>
      </c>
      <c r="F32" s="19" t="s">
        <v>51</v>
      </c>
      <c r="G32" s="19" t="s">
        <v>71</v>
      </c>
      <c r="H32" s="19">
        <v>5.5</v>
      </c>
      <c r="I32" s="41">
        <v>1365</v>
      </c>
      <c r="J32" s="53"/>
      <c r="K32" s="43"/>
      <c r="L32" s="19"/>
      <c r="M32" s="43"/>
      <c r="N32" s="44"/>
      <c r="O32" s="45">
        <f t="shared" si="12"/>
        <v>1365</v>
      </c>
      <c r="P32" s="51"/>
      <c r="Q32" s="51"/>
      <c r="R32" s="74">
        <f t="shared" si="16"/>
        <v>412.5</v>
      </c>
      <c r="S32" s="74"/>
      <c r="T32" s="75">
        <f t="shared" si="17"/>
        <v>4.81078125</v>
      </c>
      <c r="U32" s="74"/>
      <c r="V32" s="74"/>
      <c r="W32" s="76">
        <f t="shared" si="10"/>
        <v>417.31078125</v>
      </c>
      <c r="X32" s="77">
        <f t="shared" si="18"/>
        <v>21.727578125</v>
      </c>
      <c r="Y32" s="77"/>
      <c r="Z32" s="77"/>
      <c r="AA32" s="77">
        <f t="shared" si="13"/>
        <v>21.727578125</v>
      </c>
      <c r="AB32" s="86">
        <v>7.08</v>
      </c>
      <c r="AC32" s="74">
        <f t="shared" ref="AC32:AC42" si="20">SUM(AA32*AB32)</f>
        <v>153.831253125</v>
      </c>
      <c r="AD32" s="74">
        <f t="shared" ref="AD32:AD42" si="21">SUM(W32+AC32)</f>
        <v>571.142034375</v>
      </c>
      <c r="AE32" s="74">
        <f t="shared" si="19"/>
        <v>793.857965625</v>
      </c>
    </row>
    <row r="33" customFormat="1" spans="1:31">
      <c r="A33" s="18"/>
      <c r="B33" s="19"/>
      <c r="C33" s="20">
        <v>240902000053</v>
      </c>
      <c r="D33" s="21">
        <v>45538</v>
      </c>
      <c r="E33" s="21" t="s">
        <v>50</v>
      </c>
      <c r="F33" s="19" t="s">
        <v>51</v>
      </c>
      <c r="G33" s="19" t="s">
        <v>71</v>
      </c>
      <c r="H33" s="19">
        <v>9</v>
      </c>
      <c r="I33" s="41">
        <v>1950</v>
      </c>
      <c r="J33" s="53"/>
      <c r="K33" s="43"/>
      <c r="L33" s="19"/>
      <c r="M33" s="43"/>
      <c r="N33" s="44"/>
      <c r="O33" s="45">
        <f t="shared" si="12"/>
        <v>1950</v>
      </c>
      <c r="P33" s="52"/>
      <c r="Q33" s="52"/>
      <c r="R33" s="74">
        <f t="shared" si="16"/>
        <v>675</v>
      </c>
      <c r="S33" s="74"/>
      <c r="T33" s="75">
        <f t="shared" si="17"/>
        <v>7.8721875</v>
      </c>
      <c r="U33" s="74"/>
      <c r="V33" s="74"/>
      <c r="W33" s="76">
        <f t="shared" ref="W33:W42" si="22">SUM(R33:V33)</f>
        <v>682.8721875</v>
      </c>
      <c r="X33" s="77">
        <f t="shared" si="18"/>
        <v>35.55421875</v>
      </c>
      <c r="Y33" s="77"/>
      <c r="Z33" s="77"/>
      <c r="AA33" s="77">
        <f t="shared" ref="AA33:AA42" si="23">SUM(X33:Z33)</f>
        <v>35.55421875</v>
      </c>
      <c r="AB33" s="86">
        <v>7.08</v>
      </c>
      <c r="AC33" s="74">
        <f t="shared" si="20"/>
        <v>251.72386875</v>
      </c>
      <c r="AD33" s="74">
        <f t="shared" si="21"/>
        <v>934.59605625</v>
      </c>
      <c r="AE33" s="74">
        <f t="shared" si="19"/>
        <v>1015.40394375</v>
      </c>
    </row>
    <row r="34" customFormat="1" spans="1:31">
      <c r="A34" s="18" t="s">
        <v>72</v>
      </c>
      <c r="B34" s="19" t="s">
        <v>73</v>
      </c>
      <c r="C34" s="20">
        <v>240830000034</v>
      </c>
      <c r="D34" s="21">
        <v>45540</v>
      </c>
      <c r="E34" s="21" t="s">
        <v>62</v>
      </c>
      <c r="F34" s="19" t="s">
        <v>63</v>
      </c>
      <c r="G34" s="19" t="s">
        <v>74</v>
      </c>
      <c r="H34" s="19">
        <v>0.7475</v>
      </c>
      <c r="I34" s="47"/>
      <c r="J34" s="54">
        <v>35550</v>
      </c>
      <c r="K34" s="43"/>
      <c r="L34" s="49">
        <f>SUM(J34/M34)</f>
        <v>1678.47025495751</v>
      </c>
      <c r="M34" s="50">
        <v>21.18</v>
      </c>
      <c r="N34" s="44">
        <v>7.08</v>
      </c>
      <c r="O34" s="45">
        <f>SUM(M34*N34)</f>
        <v>149.9544</v>
      </c>
      <c r="P34" s="46">
        <f>SUM(O34:O42)</f>
        <v>8272.4544</v>
      </c>
      <c r="Q34" s="46" t="s">
        <v>40</v>
      </c>
      <c r="R34" s="74">
        <f t="shared" si="16"/>
        <v>56.0625</v>
      </c>
      <c r="S34" s="74"/>
      <c r="T34" s="75">
        <f>SUM(51.08/64)*H34</f>
        <v>0.5965984375</v>
      </c>
      <c r="U34" s="74"/>
      <c r="V34" s="74"/>
      <c r="W34" s="76">
        <f t="shared" si="22"/>
        <v>56.6590984375</v>
      </c>
      <c r="X34" s="77">
        <f>SUM(177.2/64)*H34</f>
        <v>2.069640625</v>
      </c>
      <c r="Y34" s="77"/>
      <c r="Z34" s="77"/>
      <c r="AA34" s="77">
        <f t="shared" si="23"/>
        <v>2.069640625</v>
      </c>
      <c r="AB34" s="86">
        <v>7.08</v>
      </c>
      <c r="AC34" s="74">
        <f t="shared" si="20"/>
        <v>14.653055625</v>
      </c>
      <c r="AD34" s="74">
        <f t="shared" si="21"/>
        <v>71.3121540625</v>
      </c>
      <c r="AE34" s="74">
        <f t="shared" si="19"/>
        <v>78.6422459375</v>
      </c>
    </row>
    <row r="35" customFormat="1" spans="1:31">
      <c r="A35" s="18"/>
      <c r="B35" s="19"/>
      <c r="C35" s="20">
        <v>240902000002</v>
      </c>
      <c r="D35" s="21">
        <v>45540</v>
      </c>
      <c r="E35" s="21" t="s">
        <v>41</v>
      </c>
      <c r="F35" s="19" t="s">
        <v>68</v>
      </c>
      <c r="G35" s="19" t="s">
        <v>69</v>
      </c>
      <c r="H35" s="19">
        <v>1.5</v>
      </c>
      <c r="I35" s="41">
        <v>120</v>
      </c>
      <c r="J35" s="53"/>
      <c r="K35" s="43"/>
      <c r="L35" s="19"/>
      <c r="M35" s="43"/>
      <c r="N35" s="44"/>
      <c r="O35" s="45">
        <f t="shared" ref="O35:O42" si="24">SUM(I35)</f>
        <v>120</v>
      </c>
      <c r="P35" s="51"/>
      <c r="Q35" s="51"/>
      <c r="R35" s="74">
        <f t="shared" ref="R35:R42" si="25">SUM(4800/64)*H35</f>
        <v>112.5</v>
      </c>
      <c r="S35" s="74"/>
      <c r="T35" s="75">
        <f t="shared" ref="T35:T42" si="26">SUM(51.08/64)*H35</f>
        <v>1.1971875</v>
      </c>
      <c r="U35" s="74"/>
      <c r="V35" s="74"/>
      <c r="W35" s="76">
        <f t="shared" si="22"/>
        <v>113.6971875</v>
      </c>
      <c r="X35" s="77">
        <f t="shared" ref="X35:X42" si="27">SUM(177.2/64)*H35</f>
        <v>4.153125</v>
      </c>
      <c r="Y35" s="77"/>
      <c r="Z35" s="77"/>
      <c r="AA35" s="77">
        <f t="shared" si="23"/>
        <v>4.153125</v>
      </c>
      <c r="AB35" s="86">
        <v>7.08</v>
      </c>
      <c r="AC35" s="74">
        <f t="shared" si="20"/>
        <v>29.404125</v>
      </c>
      <c r="AD35" s="74">
        <f t="shared" si="21"/>
        <v>143.1013125</v>
      </c>
      <c r="AE35" s="74">
        <f t="shared" si="19"/>
        <v>-23.1013125</v>
      </c>
    </row>
    <row r="36" customFormat="1" spans="1:31">
      <c r="A36" s="18"/>
      <c r="B36" s="19"/>
      <c r="C36" s="20">
        <v>240902000010</v>
      </c>
      <c r="D36" s="21">
        <v>45540</v>
      </c>
      <c r="E36" s="21" t="s">
        <v>50</v>
      </c>
      <c r="F36" s="19" t="s">
        <v>51</v>
      </c>
      <c r="G36" s="19" t="s">
        <v>75</v>
      </c>
      <c r="H36" s="19">
        <v>5</v>
      </c>
      <c r="I36" s="41">
        <v>800</v>
      </c>
      <c r="J36" s="53"/>
      <c r="K36" s="43"/>
      <c r="L36" s="19"/>
      <c r="M36" s="43"/>
      <c r="N36" s="44"/>
      <c r="O36" s="45">
        <f t="shared" si="24"/>
        <v>800</v>
      </c>
      <c r="P36" s="51"/>
      <c r="Q36" s="51"/>
      <c r="R36" s="74">
        <f t="shared" si="25"/>
        <v>375</v>
      </c>
      <c r="S36" s="74"/>
      <c r="T36" s="75">
        <f t="shared" si="26"/>
        <v>3.990625</v>
      </c>
      <c r="U36" s="74"/>
      <c r="V36" s="74"/>
      <c r="W36" s="76">
        <f t="shared" si="22"/>
        <v>378.990625</v>
      </c>
      <c r="X36" s="77">
        <f t="shared" si="27"/>
        <v>13.84375</v>
      </c>
      <c r="Y36" s="77"/>
      <c r="Z36" s="77"/>
      <c r="AA36" s="77">
        <f t="shared" si="23"/>
        <v>13.84375</v>
      </c>
      <c r="AB36" s="86">
        <v>7.08</v>
      </c>
      <c r="AC36" s="74">
        <f t="shared" si="20"/>
        <v>98.01375</v>
      </c>
      <c r="AD36" s="74">
        <f t="shared" si="21"/>
        <v>477.004375</v>
      </c>
      <c r="AE36" s="74">
        <f t="shared" si="19"/>
        <v>322.995625</v>
      </c>
    </row>
    <row r="37" customFormat="1" spans="1:31">
      <c r="A37" s="18"/>
      <c r="B37" s="19"/>
      <c r="C37" s="20">
        <v>240902000026</v>
      </c>
      <c r="D37" s="21">
        <v>45540</v>
      </c>
      <c r="E37" s="21" t="s">
        <v>43</v>
      </c>
      <c r="F37" s="19" t="s">
        <v>44</v>
      </c>
      <c r="G37" s="19" t="s">
        <v>76</v>
      </c>
      <c r="H37" s="19">
        <v>0.76</v>
      </c>
      <c r="I37" s="41">
        <v>115</v>
      </c>
      <c r="J37" s="53"/>
      <c r="K37" s="43"/>
      <c r="L37" s="19"/>
      <c r="M37" s="43"/>
      <c r="N37" s="44"/>
      <c r="O37" s="45">
        <f t="shared" si="24"/>
        <v>115</v>
      </c>
      <c r="P37" s="51"/>
      <c r="Q37" s="51"/>
      <c r="R37" s="74">
        <f t="shared" si="25"/>
        <v>57</v>
      </c>
      <c r="S37" s="74"/>
      <c r="T37" s="75">
        <f t="shared" si="26"/>
        <v>0.606575</v>
      </c>
      <c r="U37" s="74"/>
      <c r="V37" s="74"/>
      <c r="W37" s="76">
        <f t="shared" si="22"/>
        <v>57.606575</v>
      </c>
      <c r="X37" s="77">
        <f t="shared" si="27"/>
        <v>2.10425</v>
      </c>
      <c r="Y37" s="77"/>
      <c r="Z37" s="77"/>
      <c r="AA37" s="77">
        <f t="shared" si="23"/>
        <v>2.10425</v>
      </c>
      <c r="AB37" s="86">
        <v>7.08</v>
      </c>
      <c r="AC37" s="74">
        <f t="shared" si="20"/>
        <v>14.89809</v>
      </c>
      <c r="AD37" s="74">
        <f t="shared" si="21"/>
        <v>72.504665</v>
      </c>
      <c r="AE37" s="74">
        <f t="shared" si="19"/>
        <v>42.495335</v>
      </c>
    </row>
    <row r="38" customFormat="1" spans="1:31">
      <c r="A38" s="18"/>
      <c r="B38" s="19"/>
      <c r="C38" s="20">
        <v>240902000035</v>
      </c>
      <c r="D38" s="21">
        <v>45540</v>
      </c>
      <c r="E38" s="21" t="s">
        <v>43</v>
      </c>
      <c r="F38" s="19" t="s">
        <v>44</v>
      </c>
      <c r="G38" s="19" t="s">
        <v>77</v>
      </c>
      <c r="H38" s="19">
        <v>9</v>
      </c>
      <c r="I38" s="41">
        <v>1080</v>
      </c>
      <c r="J38" s="53"/>
      <c r="K38" s="43"/>
      <c r="L38" s="19"/>
      <c r="M38" s="43"/>
      <c r="N38" s="44"/>
      <c r="O38" s="45">
        <f t="shared" si="24"/>
        <v>1080</v>
      </c>
      <c r="P38" s="51"/>
      <c r="Q38" s="51"/>
      <c r="R38" s="74">
        <f t="shared" si="25"/>
        <v>675</v>
      </c>
      <c r="S38" s="74"/>
      <c r="T38" s="75">
        <f t="shared" si="26"/>
        <v>7.183125</v>
      </c>
      <c r="U38" s="74"/>
      <c r="V38" s="74"/>
      <c r="W38" s="76">
        <f t="shared" si="22"/>
        <v>682.183125</v>
      </c>
      <c r="X38" s="77">
        <f t="shared" si="27"/>
        <v>24.91875</v>
      </c>
      <c r="Y38" s="77"/>
      <c r="Z38" s="77"/>
      <c r="AA38" s="77">
        <f t="shared" si="23"/>
        <v>24.91875</v>
      </c>
      <c r="AB38" s="86">
        <v>7.08</v>
      </c>
      <c r="AC38" s="74">
        <f t="shared" si="20"/>
        <v>176.42475</v>
      </c>
      <c r="AD38" s="74">
        <f t="shared" si="21"/>
        <v>858.607875</v>
      </c>
      <c r="AE38" s="74">
        <f t="shared" si="19"/>
        <v>221.392125</v>
      </c>
    </row>
    <row r="39" customFormat="1" spans="1:31">
      <c r="A39" s="18"/>
      <c r="B39" s="19"/>
      <c r="C39" s="20">
        <v>240903000023</v>
      </c>
      <c r="D39" s="21">
        <v>45540</v>
      </c>
      <c r="E39" s="21" t="s">
        <v>46</v>
      </c>
      <c r="F39" s="19" t="s">
        <v>47</v>
      </c>
      <c r="G39" s="19" t="s">
        <v>78</v>
      </c>
      <c r="H39" s="19">
        <v>45.5</v>
      </c>
      <c r="I39" s="41">
        <v>5555</v>
      </c>
      <c r="J39" s="53"/>
      <c r="K39" s="43"/>
      <c r="L39" s="19"/>
      <c r="M39" s="43"/>
      <c r="N39" s="44"/>
      <c r="O39" s="45">
        <f t="shared" si="24"/>
        <v>5555</v>
      </c>
      <c r="P39" s="51"/>
      <c r="Q39" s="51"/>
      <c r="R39" s="74">
        <f t="shared" si="25"/>
        <v>3412.5</v>
      </c>
      <c r="S39" s="74"/>
      <c r="T39" s="75">
        <f t="shared" si="26"/>
        <v>36.3146875</v>
      </c>
      <c r="U39" s="75">
        <v>95</v>
      </c>
      <c r="V39" s="74"/>
      <c r="W39" s="76">
        <f t="shared" si="22"/>
        <v>3543.8146875</v>
      </c>
      <c r="X39" s="77">
        <f t="shared" si="27"/>
        <v>125.978125</v>
      </c>
      <c r="Y39" s="77"/>
      <c r="Z39" s="77"/>
      <c r="AA39" s="77">
        <f t="shared" si="23"/>
        <v>125.978125</v>
      </c>
      <c r="AB39" s="86">
        <v>7.08</v>
      </c>
      <c r="AC39" s="74">
        <f t="shared" si="20"/>
        <v>891.925125</v>
      </c>
      <c r="AD39" s="74">
        <f t="shared" si="21"/>
        <v>4435.7398125</v>
      </c>
      <c r="AE39" s="74">
        <f t="shared" si="19"/>
        <v>1119.2601875</v>
      </c>
    </row>
    <row r="40" customFormat="1" spans="1:31">
      <c r="A40" s="18"/>
      <c r="B40" s="19"/>
      <c r="C40" s="20">
        <v>240903000036</v>
      </c>
      <c r="D40" s="21">
        <v>45540</v>
      </c>
      <c r="E40" s="21" t="s">
        <v>41</v>
      </c>
      <c r="F40" s="19" t="s">
        <v>41</v>
      </c>
      <c r="G40" s="19" t="s">
        <v>79</v>
      </c>
      <c r="H40" s="19">
        <v>1.5</v>
      </c>
      <c r="I40" s="41">
        <v>172.5</v>
      </c>
      <c r="J40" s="53"/>
      <c r="K40" s="43"/>
      <c r="L40" s="19"/>
      <c r="M40" s="43"/>
      <c r="N40" s="44"/>
      <c r="O40" s="45">
        <f t="shared" si="24"/>
        <v>172.5</v>
      </c>
      <c r="P40" s="51"/>
      <c r="Q40" s="51"/>
      <c r="R40" s="74">
        <f t="shared" si="25"/>
        <v>112.5</v>
      </c>
      <c r="S40" s="74"/>
      <c r="T40" s="75">
        <f t="shared" si="26"/>
        <v>1.1971875</v>
      </c>
      <c r="U40" s="74"/>
      <c r="V40" s="74"/>
      <c r="W40" s="76">
        <f t="shared" si="22"/>
        <v>113.6971875</v>
      </c>
      <c r="X40" s="77">
        <f t="shared" si="27"/>
        <v>4.153125</v>
      </c>
      <c r="Y40" s="77"/>
      <c r="Z40" s="77"/>
      <c r="AA40" s="77">
        <f t="shared" si="23"/>
        <v>4.153125</v>
      </c>
      <c r="AB40" s="86">
        <v>7.08</v>
      </c>
      <c r="AC40" s="74">
        <f t="shared" si="20"/>
        <v>29.404125</v>
      </c>
      <c r="AD40" s="74">
        <f t="shared" si="21"/>
        <v>143.1013125</v>
      </c>
      <c r="AE40" s="74">
        <f t="shared" si="19"/>
        <v>29.3986875</v>
      </c>
    </row>
    <row r="41" customFormat="1" spans="1:31">
      <c r="A41" s="18"/>
      <c r="B41" s="19"/>
      <c r="C41" s="20">
        <v>240903000049</v>
      </c>
      <c r="D41" s="21">
        <v>45540</v>
      </c>
      <c r="E41" s="21" t="s">
        <v>50</v>
      </c>
      <c r="F41" s="19" t="s">
        <v>51</v>
      </c>
      <c r="G41" s="19" t="s">
        <v>80</v>
      </c>
      <c r="H41" s="19">
        <v>1</v>
      </c>
      <c r="I41" s="41">
        <v>100</v>
      </c>
      <c r="J41" s="53"/>
      <c r="K41" s="43"/>
      <c r="L41" s="19"/>
      <c r="M41" s="43"/>
      <c r="N41" s="44"/>
      <c r="O41" s="45">
        <f t="shared" si="24"/>
        <v>100</v>
      </c>
      <c r="P41" s="51"/>
      <c r="Q41" s="51"/>
      <c r="R41" s="74">
        <f t="shared" si="25"/>
        <v>75</v>
      </c>
      <c r="S41" s="74"/>
      <c r="T41" s="75">
        <f t="shared" si="26"/>
        <v>0.798125</v>
      </c>
      <c r="U41" s="74"/>
      <c r="V41" s="74"/>
      <c r="W41" s="76">
        <f t="shared" si="22"/>
        <v>75.798125</v>
      </c>
      <c r="X41" s="77">
        <f t="shared" si="27"/>
        <v>2.76875</v>
      </c>
      <c r="Y41" s="77"/>
      <c r="Z41" s="77"/>
      <c r="AA41" s="77">
        <f t="shared" si="23"/>
        <v>2.76875</v>
      </c>
      <c r="AB41" s="86">
        <v>7.08</v>
      </c>
      <c r="AC41" s="74">
        <f t="shared" si="20"/>
        <v>19.60275</v>
      </c>
      <c r="AD41" s="74">
        <f t="shared" si="21"/>
        <v>95.400875</v>
      </c>
      <c r="AE41" s="74">
        <f t="shared" si="19"/>
        <v>4.599125</v>
      </c>
    </row>
    <row r="42" customFormat="1" spans="1:31">
      <c r="A42" s="18"/>
      <c r="B42" s="19"/>
      <c r="C42" s="20">
        <v>240904000019</v>
      </c>
      <c r="D42" s="21">
        <v>45540</v>
      </c>
      <c r="E42" s="21" t="s">
        <v>46</v>
      </c>
      <c r="F42" s="19" t="s">
        <v>47</v>
      </c>
      <c r="G42" s="19" t="s">
        <v>81</v>
      </c>
      <c r="H42" s="19">
        <v>0.48</v>
      </c>
      <c r="I42" s="41">
        <v>180</v>
      </c>
      <c r="J42" s="53"/>
      <c r="K42" s="43"/>
      <c r="L42" s="19"/>
      <c r="M42" s="43"/>
      <c r="N42" s="44"/>
      <c r="O42" s="45">
        <f t="shared" si="24"/>
        <v>180</v>
      </c>
      <c r="P42" s="52"/>
      <c r="Q42" s="52"/>
      <c r="R42" s="74">
        <f t="shared" si="25"/>
        <v>36</v>
      </c>
      <c r="S42" s="74"/>
      <c r="T42" s="75">
        <f t="shared" si="26"/>
        <v>0.3831</v>
      </c>
      <c r="U42" s="74"/>
      <c r="V42" s="74"/>
      <c r="W42" s="76">
        <f t="shared" ref="W42:W84" si="28">SUM(R42:V42)</f>
        <v>36.3831</v>
      </c>
      <c r="X42" s="77">
        <f t="shared" si="27"/>
        <v>1.329</v>
      </c>
      <c r="Y42" s="77"/>
      <c r="Z42" s="77"/>
      <c r="AA42" s="77">
        <f t="shared" ref="AA42:AA84" si="29">SUM(X42:Z42)</f>
        <v>1.329</v>
      </c>
      <c r="AB42" s="86">
        <v>7.08</v>
      </c>
      <c r="AC42" s="74">
        <f t="shared" ref="AC42:AC84" si="30">SUM(AA42*AB42)</f>
        <v>9.40932</v>
      </c>
      <c r="AD42" s="74">
        <f t="shared" ref="AD42:AD84" si="31">SUM(W42+AC42)</f>
        <v>45.79242</v>
      </c>
      <c r="AE42" s="74">
        <f t="shared" ref="AE42:AE84" si="32">SUM(O42-AD42)</f>
        <v>134.20758</v>
      </c>
    </row>
    <row r="43" customFormat="1" spans="1:31">
      <c r="A43" s="18" t="s">
        <v>82</v>
      </c>
      <c r="B43" s="19" t="s">
        <v>83</v>
      </c>
      <c r="C43" s="20">
        <v>240826000043</v>
      </c>
      <c r="D43" s="21">
        <v>45541</v>
      </c>
      <c r="E43" s="21" t="s">
        <v>46</v>
      </c>
      <c r="F43" s="19" t="s">
        <v>47</v>
      </c>
      <c r="G43" s="19" t="s">
        <v>84</v>
      </c>
      <c r="H43" s="19">
        <v>21.5</v>
      </c>
      <c r="I43" s="45"/>
      <c r="J43" s="54">
        <v>271814.4</v>
      </c>
      <c r="K43" s="43"/>
      <c r="L43" s="49">
        <f t="shared" ref="L43:L48" si="33">SUM(J43/M43)</f>
        <v>1760</v>
      </c>
      <c r="M43" s="50">
        <v>154.44</v>
      </c>
      <c r="N43" s="44">
        <v>7.08</v>
      </c>
      <c r="O43" s="45">
        <f t="shared" ref="O43:O48" si="34">SUM(M43*N43)</f>
        <v>1093.4352</v>
      </c>
      <c r="P43" s="46">
        <f>SUM(O43:O84)</f>
        <v>63532.4776</v>
      </c>
      <c r="Q43" s="46" t="s">
        <v>85</v>
      </c>
      <c r="R43" s="74">
        <f>SUM(44582/1040)*H43</f>
        <v>921.647115384615</v>
      </c>
      <c r="S43" s="74"/>
      <c r="T43" s="75">
        <f>SUM(172.75/1040)*H43</f>
        <v>3.57127403846154</v>
      </c>
      <c r="U43" s="74"/>
      <c r="V43" s="74"/>
      <c r="W43" s="76">
        <f t="shared" si="28"/>
        <v>925.218389423077</v>
      </c>
      <c r="X43" s="77">
        <f>SUM(1040.23/1040)*H43</f>
        <v>21.5047548076923</v>
      </c>
      <c r="Y43" s="77"/>
      <c r="Z43" s="77"/>
      <c r="AA43" s="77">
        <f t="shared" si="29"/>
        <v>21.5047548076923</v>
      </c>
      <c r="AB43" s="86">
        <v>7.08</v>
      </c>
      <c r="AC43" s="74">
        <f t="shared" si="30"/>
        <v>152.253664038462</v>
      </c>
      <c r="AD43" s="74">
        <f t="shared" si="31"/>
        <v>1077.47205346154</v>
      </c>
      <c r="AE43" s="74">
        <f t="shared" si="32"/>
        <v>15.9631465384616</v>
      </c>
    </row>
    <row r="44" customFormat="1" spans="1:31">
      <c r="A44" s="18"/>
      <c r="B44" s="19"/>
      <c r="C44" s="20">
        <v>240828000039</v>
      </c>
      <c r="D44" s="21">
        <v>45541</v>
      </c>
      <c r="E44" s="21" t="s">
        <v>50</v>
      </c>
      <c r="F44" s="19" t="s">
        <v>51</v>
      </c>
      <c r="G44" s="19" t="s">
        <v>86</v>
      </c>
      <c r="H44" s="19">
        <v>4.5</v>
      </c>
      <c r="I44" s="41">
        <v>360</v>
      </c>
      <c r="J44" s="53"/>
      <c r="K44" s="43"/>
      <c r="L44" s="19"/>
      <c r="M44" s="43"/>
      <c r="N44" s="44"/>
      <c r="O44" s="45">
        <f t="shared" ref="O44:O47" si="35">SUM(I44)</f>
        <v>360</v>
      </c>
      <c r="P44" s="51"/>
      <c r="Q44" s="51"/>
      <c r="R44" s="74">
        <f t="shared" ref="R44:R84" si="36">SUM(44582/1040)*H44</f>
        <v>192.902884615385</v>
      </c>
      <c r="S44" s="74"/>
      <c r="T44" s="75">
        <f t="shared" ref="T44:T84" si="37">SUM(172.75/1040)*H44</f>
        <v>0.747475961538462</v>
      </c>
      <c r="U44" s="74"/>
      <c r="V44" s="74"/>
      <c r="W44" s="76">
        <f t="shared" si="28"/>
        <v>193.650360576923</v>
      </c>
      <c r="X44" s="77">
        <f t="shared" ref="X44:X84" si="38">SUM(1040.23/1040)*H44</f>
        <v>4.50099519230769</v>
      </c>
      <c r="Y44" s="77"/>
      <c r="Z44" s="77"/>
      <c r="AA44" s="77">
        <f t="shared" si="29"/>
        <v>4.50099519230769</v>
      </c>
      <c r="AB44" s="86">
        <v>7.08</v>
      </c>
      <c r="AC44" s="74">
        <f t="shared" si="30"/>
        <v>31.8670459615385</v>
      </c>
      <c r="AD44" s="74">
        <f t="shared" si="31"/>
        <v>225.517406538462</v>
      </c>
      <c r="AE44" s="74">
        <f t="shared" si="32"/>
        <v>134.482593461538</v>
      </c>
    </row>
    <row r="45" customFormat="1" spans="1:31">
      <c r="A45" s="18"/>
      <c r="B45" s="19"/>
      <c r="C45" s="20">
        <v>240828000059</v>
      </c>
      <c r="D45" s="21">
        <v>45541</v>
      </c>
      <c r="E45" s="21" t="s">
        <v>50</v>
      </c>
      <c r="F45" s="19" t="s">
        <v>51</v>
      </c>
      <c r="G45" s="19" t="s">
        <v>87</v>
      </c>
      <c r="H45" s="19">
        <v>11.5</v>
      </c>
      <c r="I45" s="55"/>
      <c r="J45" s="54">
        <v>143692.5</v>
      </c>
      <c r="K45" s="43"/>
      <c r="L45" s="49">
        <f t="shared" si="33"/>
        <v>1734.78812024629</v>
      </c>
      <c r="M45" s="50">
        <v>82.83</v>
      </c>
      <c r="N45" s="44">
        <v>7.08</v>
      </c>
      <c r="O45" s="45">
        <f t="shared" si="34"/>
        <v>586.4364</v>
      </c>
      <c r="P45" s="51"/>
      <c r="Q45" s="51"/>
      <c r="R45" s="74">
        <f t="shared" si="36"/>
        <v>492.974038461538</v>
      </c>
      <c r="S45" s="74"/>
      <c r="T45" s="75">
        <f t="shared" si="37"/>
        <v>1.91021634615385</v>
      </c>
      <c r="U45" s="74"/>
      <c r="V45" s="74"/>
      <c r="W45" s="76">
        <f t="shared" si="28"/>
        <v>494.884254807692</v>
      </c>
      <c r="X45" s="77">
        <f t="shared" si="38"/>
        <v>11.5025432692308</v>
      </c>
      <c r="Y45" s="77"/>
      <c r="Z45" s="77"/>
      <c r="AA45" s="77">
        <f t="shared" si="29"/>
        <v>11.5025432692308</v>
      </c>
      <c r="AB45" s="86">
        <v>7.08</v>
      </c>
      <c r="AC45" s="74">
        <f t="shared" si="30"/>
        <v>81.4380063461538</v>
      </c>
      <c r="AD45" s="74">
        <f t="shared" si="31"/>
        <v>576.322261153846</v>
      </c>
      <c r="AE45" s="74">
        <f t="shared" si="32"/>
        <v>10.1141388461539</v>
      </c>
    </row>
    <row r="46" customFormat="1" spans="1:31">
      <c r="A46" s="18"/>
      <c r="B46" s="19"/>
      <c r="C46" s="20">
        <v>240829000014</v>
      </c>
      <c r="D46" s="21">
        <v>45541</v>
      </c>
      <c r="E46" s="21" t="s">
        <v>62</v>
      </c>
      <c r="F46" s="19" t="s">
        <v>63</v>
      </c>
      <c r="G46" s="19" t="s">
        <v>88</v>
      </c>
      <c r="H46" s="19">
        <v>0.7</v>
      </c>
      <c r="I46" s="41">
        <v>51</v>
      </c>
      <c r="J46" s="53"/>
      <c r="K46" s="43"/>
      <c r="L46" s="19"/>
      <c r="M46" s="43"/>
      <c r="N46" s="44"/>
      <c r="O46" s="45">
        <f t="shared" si="35"/>
        <v>51</v>
      </c>
      <c r="P46" s="51"/>
      <c r="Q46" s="51"/>
      <c r="R46" s="74">
        <f t="shared" si="36"/>
        <v>30.0071153846154</v>
      </c>
      <c r="S46" s="74"/>
      <c r="T46" s="75">
        <f t="shared" si="37"/>
        <v>0.116274038461538</v>
      </c>
      <c r="U46" s="74"/>
      <c r="V46" s="74"/>
      <c r="W46" s="76">
        <f t="shared" si="28"/>
        <v>30.1233894230769</v>
      </c>
      <c r="X46" s="77">
        <f t="shared" si="38"/>
        <v>0.700154807692308</v>
      </c>
      <c r="Y46" s="77"/>
      <c r="Z46" s="77"/>
      <c r="AA46" s="77">
        <f t="shared" si="29"/>
        <v>0.700154807692308</v>
      </c>
      <c r="AB46" s="86">
        <v>7.08</v>
      </c>
      <c r="AC46" s="74">
        <f t="shared" si="30"/>
        <v>4.95709603846154</v>
      </c>
      <c r="AD46" s="74">
        <f t="shared" si="31"/>
        <v>35.0804854615385</v>
      </c>
      <c r="AE46" s="74">
        <f t="shared" si="32"/>
        <v>15.9195145384615</v>
      </c>
    </row>
    <row r="47" customFormat="1" spans="1:31">
      <c r="A47" s="18"/>
      <c r="B47" s="19"/>
      <c r="C47" s="20">
        <v>240829000024</v>
      </c>
      <c r="D47" s="21">
        <v>45541</v>
      </c>
      <c r="E47" s="21" t="s">
        <v>43</v>
      </c>
      <c r="F47" s="19" t="s">
        <v>44</v>
      </c>
      <c r="G47" s="19" t="s">
        <v>89</v>
      </c>
      <c r="H47" s="19">
        <v>7</v>
      </c>
      <c r="I47" s="41">
        <v>399</v>
      </c>
      <c r="J47" s="53"/>
      <c r="K47" s="43"/>
      <c r="L47" s="19"/>
      <c r="M47" s="43"/>
      <c r="N47" s="44"/>
      <c r="O47" s="45">
        <f t="shared" si="35"/>
        <v>399</v>
      </c>
      <c r="P47" s="51"/>
      <c r="Q47" s="51"/>
      <c r="R47" s="74">
        <f t="shared" si="36"/>
        <v>300.071153846154</v>
      </c>
      <c r="S47" s="74"/>
      <c r="T47" s="75">
        <f t="shared" si="37"/>
        <v>1.16274038461538</v>
      </c>
      <c r="U47" s="74"/>
      <c r="V47" s="74"/>
      <c r="W47" s="76">
        <f t="shared" si="28"/>
        <v>301.233894230769</v>
      </c>
      <c r="X47" s="77">
        <f t="shared" si="38"/>
        <v>7.00154807692308</v>
      </c>
      <c r="Y47" s="77"/>
      <c r="Z47" s="77"/>
      <c r="AA47" s="77">
        <f t="shared" si="29"/>
        <v>7.00154807692308</v>
      </c>
      <c r="AB47" s="86">
        <v>7.08</v>
      </c>
      <c r="AC47" s="74">
        <f t="shared" si="30"/>
        <v>49.5709603846154</v>
      </c>
      <c r="AD47" s="74">
        <f t="shared" si="31"/>
        <v>350.804854615385</v>
      </c>
      <c r="AE47" s="74">
        <f t="shared" si="32"/>
        <v>48.1951453846154</v>
      </c>
    </row>
    <row r="48" customFormat="1" spans="1:31">
      <c r="A48" s="18"/>
      <c r="B48" s="19"/>
      <c r="C48" s="20">
        <v>240830000025</v>
      </c>
      <c r="D48" s="21">
        <v>45541</v>
      </c>
      <c r="E48" s="21" t="s">
        <v>62</v>
      </c>
      <c r="F48" s="19" t="s">
        <v>63</v>
      </c>
      <c r="G48" s="19" t="s">
        <v>90</v>
      </c>
      <c r="H48" s="19">
        <v>0.51</v>
      </c>
      <c r="I48" s="45"/>
      <c r="J48" s="54">
        <v>16326</v>
      </c>
      <c r="K48" s="43"/>
      <c r="L48" s="49">
        <f t="shared" si="33"/>
        <v>1700.625</v>
      </c>
      <c r="M48" s="50">
        <v>9.6</v>
      </c>
      <c r="N48" s="44">
        <v>7.08</v>
      </c>
      <c r="O48" s="45">
        <f t="shared" si="34"/>
        <v>67.968</v>
      </c>
      <c r="P48" s="51"/>
      <c r="Q48" s="51"/>
      <c r="R48" s="74">
        <f t="shared" si="36"/>
        <v>21.8623269230769</v>
      </c>
      <c r="S48" s="74"/>
      <c r="T48" s="75">
        <f t="shared" si="37"/>
        <v>0.0847139423076923</v>
      </c>
      <c r="U48" s="74"/>
      <c r="V48" s="74"/>
      <c r="W48" s="76">
        <f t="shared" si="28"/>
        <v>21.9470408653846</v>
      </c>
      <c r="X48" s="77">
        <f t="shared" si="38"/>
        <v>0.510112788461539</v>
      </c>
      <c r="Y48" s="77"/>
      <c r="Z48" s="77"/>
      <c r="AA48" s="77">
        <f t="shared" si="29"/>
        <v>0.510112788461539</v>
      </c>
      <c r="AB48" s="86">
        <v>7.08</v>
      </c>
      <c r="AC48" s="74">
        <f t="shared" si="30"/>
        <v>3.61159854230769</v>
      </c>
      <c r="AD48" s="74">
        <f t="shared" si="31"/>
        <v>25.5586394076923</v>
      </c>
      <c r="AE48" s="74">
        <f t="shared" si="32"/>
        <v>42.4093605923077</v>
      </c>
    </row>
    <row r="49" customFormat="1" spans="1:31">
      <c r="A49" s="18"/>
      <c r="B49" s="19"/>
      <c r="C49" s="20">
        <v>240830000031</v>
      </c>
      <c r="D49" s="21">
        <v>45541</v>
      </c>
      <c r="E49" s="21" t="s">
        <v>46</v>
      </c>
      <c r="F49" s="19" t="s">
        <v>47</v>
      </c>
      <c r="G49" s="19" t="s">
        <v>91</v>
      </c>
      <c r="H49" s="19">
        <v>11</v>
      </c>
      <c r="I49" s="41">
        <v>633</v>
      </c>
      <c r="J49" s="53"/>
      <c r="K49" s="43"/>
      <c r="L49" s="19"/>
      <c r="M49" s="43"/>
      <c r="N49" s="44"/>
      <c r="O49" s="45">
        <f t="shared" ref="O49:O52" si="39">SUM(I49)</f>
        <v>633</v>
      </c>
      <c r="P49" s="51"/>
      <c r="Q49" s="51"/>
      <c r="R49" s="74">
        <f t="shared" si="36"/>
        <v>471.540384615385</v>
      </c>
      <c r="S49" s="74"/>
      <c r="T49" s="75">
        <f t="shared" si="37"/>
        <v>1.82716346153846</v>
      </c>
      <c r="U49" s="74"/>
      <c r="V49" s="74"/>
      <c r="W49" s="76">
        <f t="shared" si="28"/>
        <v>473.367548076923</v>
      </c>
      <c r="X49" s="77">
        <f t="shared" si="38"/>
        <v>11.0024326923077</v>
      </c>
      <c r="Y49" s="77"/>
      <c r="Z49" s="77"/>
      <c r="AA49" s="77">
        <f t="shared" si="29"/>
        <v>11.0024326923077</v>
      </c>
      <c r="AB49" s="86">
        <v>7.08</v>
      </c>
      <c r="AC49" s="74">
        <f t="shared" si="30"/>
        <v>77.8972234615385</v>
      </c>
      <c r="AD49" s="74">
        <f t="shared" si="31"/>
        <v>551.264771538462</v>
      </c>
      <c r="AE49" s="74">
        <f t="shared" si="32"/>
        <v>81.7352284615384</v>
      </c>
    </row>
    <row r="50" customFormat="1" spans="1:31">
      <c r="A50" s="18"/>
      <c r="B50" s="19"/>
      <c r="C50" s="20">
        <v>240830000036</v>
      </c>
      <c r="D50" s="21">
        <v>45541</v>
      </c>
      <c r="E50" s="21" t="s">
        <v>62</v>
      </c>
      <c r="F50" s="19" t="s">
        <v>63</v>
      </c>
      <c r="G50" s="19" t="s">
        <v>92</v>
      </c>
      <c r="H50" s="19">
        <v>22.5</v>
      </c>
      <c r="I50" s="41">
        <v>1427</v>
      </c>
      <c r="J50" s="53"/>
      <c r="K50" s="43"/>
      <c r="L50" s="19"/>
      <c r="M50" s="43"/>
      <c r="N50" s="44"/>
      <c r="O50" s="45">
        <f t="shared" si="39"/>
        <v>1427</v>
      </c>
      <c r="P50" s="51"/>
      <c r="Q50" s="51"/>
      <c r="R50" s="74">
        <f t="shared" si="36"/>
        <v>964.514423076923</v>
      </c>
      <c r="S50" s="74"/>
      <c r="T50" s="75">
        <f t="shared" si="37"/>
        <v>3.73737980769231</v>
      </c>
      <c r="U50" s="74"/>
      <c r="V50" s="74"/>
      <c r="W50" s="76">
        <f t="shared" si="28"/>
        <v>968.251802884615</v>
      </c>
      <c r="X50" s="77">
        <f t="shared" si="38"/>
        <v>22.5049759615385</v>
      </c>
      <c r="Y50" s="77"/>
      <c r="Z50" s="77"/>
      <c r="AA50" s="77">
        <f t="shared" si="29"/>
        <v>22.5049759615385</v>
      </c>
      <c r="AB50" s="86">
        <v>7.08</v>
      </c>
      <c r="AC50" s="74">
        <f t="shared" si="30"/>
        <v>159.335229807692</v>
      </c>
      <c r="AD50" s="74">
        <f t="shared" si="31"/>
        <v>1127.58703269231</v>
      </c>
      <c r="AE50" s="74">
        <f t="shared" si="32"/>
        <v>299.412967307692</v>
      </c>
    </row>
    <row r="51" customFormat="1" spans="1:31">
      <c r="A51" s="18"/>
      <c r="B51" s="19"/>
      <c r="C51" s="20">
        <v>240830000038</v>
      </c>
      <c r="D51" s="21">
        <v>45541</v>
      </c>
      <c r="E51" s="21" t="s">
        <v>62</v>
      </c>
      <c r="F51" s="19" t="s">
        <v>63</v>
      </c>
      <c r="G51" s="19" t="s">
        <v>93</v>
      </c>
      <c r="H51" s="19">
        <v>353.5</v>
      </c>
      <c r="I51" s="41">
        <v>20503</v>
      </c>
      <c r="J51" s="53"/>
      <c r="K51" s="43"/>
      <c r="L51" s="19"/>
      <c r="M51" s="43"/>
      <c r="N51" s="44"/>
      <c r="O51" s="45">
        <f t="shared" si="39"/>
        <v>20503</v>
      </c>
      <c r="P51" s="51"/>
      <c r="Q51" s="51"/>
      <c r="R51" s="74">
        <f t="shared" si="36"/>
        <v>15153.5932692308</v>
      </c>
      <c r="S51" s="74"/>
      <c r="T51" s="75">
        <f t="shared" si="37"/>
        <v>58.7183894230769</v>
      </c>
      <c r="U51" s="74"/>
      <c r="V51" s="74"/>
      <c r="W51" s="76">
        <f t="shared" si="28"/>
        <v>15212.3116586538</v>
      </c>
      <c r="X51" s="77">
        <f t="shared" si="38"/>
        <v>353.578177884615</v>
      </c>
      <c r="Y51" s="77"/>
      <c r="Z51" s="77"/>
      <c r="AA51" s="77">
        <f t="shared" si="29"/>
        <v>353.578177884615</v>
      </c>
      <c r="AB51" s="86">
        <v>7.08</v>
      </c>
      <c r="AC51" s="74">
        <f t="shared" si="30"/>
        <v>2503.33349942308</v>
      </c>
      <c r="AD51" s="74">
        <f t="shared" si="31"/>
        <v>17715.6451580769</v>
      </c>
      <c r="AE51" s="74">
        <f t="shared" si="32"/>
        <v>2787.35484192308</v>
      </c>
    </row>
    <row r="52" customFormat="1" spans="1:31">
      <c r="A52" s="18"/>
      <c r="B52" s="19"/>
      <c r="C52" s="20">
        <v>240830000039</v>
      </c>
      <c r="D52" s="21">
        <v>45541</v>
      </c>
      <c r="E52" s="21" t="s">
        <v>50</v>
      </c>
      <c r="F52" s="19" t="s">
        <v>51</v>
      </c>
      <c r="G52" s="19" t="s">
        <v>94</v>
      </c>
      <c r="H52" s="19">
        <v>0.34</v>
      </c>
      <c r="I52" s="41">
        <v>63</v>
      </c>
      <c r="J52" s="53"/>
      <c r="K52" s="43"/>
      <c r="L52" s="19"/>
      <c r="M52" s="43"/>
      <c r="N52" s="44"/>
      <c r="O52" s="45">
        <f t="shared" si="39"/>
        <v>63</v>
      </c>
      <c r="P52" s="51"/>
      <c r="Q52" s="51"/>
      <c r="R52" s="74">
        <f t="shared" si="36"/>
        <v>14.5748846153846</v>
      </c>
      <c r="S52" s="74"/>
      <c r="T52" s="75">
        <f t="shared" si="37"/>
        <v>0.0564759615384615</v>
      </c>
      <c r="U52" s="74"/>
      <c r="V52" s="74"/>
      <c r="W52" s="76">
        <f t="shared" si="28"/>
        <v>14.6313605769231</v>
      </c>
      <c r="X52" s="77">
        <f t="shared" si="38"/>
        <v>0.340075192307692</v>
      </c>
      <c r="Y52" s="77"/>
      <c r="Z52" s="77"/>
      <c r="AA52" s="77">
        <f t="shared" si="29"/>
        <v>0.340075192307692</v>
      </c>
      <c r="AB52" s="86">
        <v>7.08</v>
      </c>
      <c r="AC52" s="74">
        <f t="shared" si="30"/>
        <v>2.40773236153846</v>
      </c>
      <c r="AD52" s="74">
        <f t="shared" si="31"/>
        <v>17.0390929384615</v>
      </c>
      <c r="AE52" s="74">
        <f t="shared" si="32"/>
        <v>45.9609070615385</v>
      </c>
    </row>
    <row r="53" customFormat="1" spans="1:31">
      <c r="A53" s="18"/>
      <c r="B53" s="19"/>
      <c r="C53" s="20">
        <v>240830000042</v>
      </c>
      <c r="D53" s="21">
        <v>45541</v>
      </c>
      <c r="E53" s="21" t="s">
        <v>41</v>
      </c>
      <c r="F53" s="19" t="s">
        <v>41</v>
      </c>
      <c r="G53" s="19" t="s">
        <v>95</v>
      </c>
      <c r="H53" s="19">
        <v>32.5</v>
      </c>
      <c r="I53" s="45"/>
      <c r="J53" s="54">
        <v>463767</v>
      </c>
      <c r="K53" s="43"/>
      <c r="L53" s="49">
        <f t="shared" ref="L53:L55" si="40">SUM(J53/M53)</f>
        <v>1711.00166021029</v>
      </c>
      <c r="M53" s="50">
        <v>271.05</v>
      </c>
      <c r="N53" s="44">
        <v>7.08</v>
      </c>
      <c r="O53" s="45">
        <f t="shared" ref="O53:O55" si="41">SUM(M53*N53)</f>
        <v>1919.034</v>
      </c>
      <c r="P53" s="51"/>
      <c r="Q53" s="51"/>
      <c r="R53" s="74">
        <f t="shared" si="36"/>
        <v>1393.1875</v>
      </c>
      <c r="S53" s="74"/>
      <c r="T53" s="75">
        <f t="shared" si="37"/>
        <v>5.3984375</v>
      </c>
      <c r="U53" s="74"/>
      <c r="V53" s="74"/>
      <c r="W53" s="76">
        <f t="shared" si="28"/>
        <v>1398.5859375</v>
      </c>
      <c r="X53" s="77">
        <f t="shared" si="38"/>
        <v>32.5071875</v>
      </c>
      <c r="Y53" s="77"/>
      <c r="Z53" s="77"/>
      <c r="AA53" s="77">
        <f t="shared" si="29"/>
        <v>32.5071875</v>
      </c>
      <c r="AB53" s="86">
        <v>7.08</v>
      </c>
      <c r="AC53" s="74">
        <f t="shared" si="30"/>
        <v>230.1508875</v>
      </c>
      <c r="AD53" s="74">
        <f t="shared" si="31"/>
        <v>1628.736825</v>
      </c>
      <c r="AE53" s="74">
        <f t="shared" si="32"/>
        <v>290.297175</v>
      </c>
    </row>
    <row r="54" customFormat="1" spans="1:31">
      <c r="A54" s="18"/>
      <c r="B54" s="19"/>
      <c r="C54" s="20">
        <v>240830000049</v>
      </c>
      <c r="D54" s="21">
        <v>45541</v>
      </c>
      <c r="E54" s="21" t="s">
        <v>96</v>
      </c>
      <c r="F54" s="19"/>
      <c r="G54" s="19" t="s">
        <v>97</v>
      </c>
      <c r="H54" s="19">
        <v>0.45</v>
      </c>
      <c r="I54" s="45"/>
      <c r="J54" s="54">
        <v>14916</v>
      </c>
      <c r="K54" s="43"/>
      <c r="L54" s="49">
        <f t="shared" si="40"/>
        <v>1695</v>
      </c>
      <c r="M54" s="50">
        <v>8.8</v>
      </c>
      <c r="N54" s="44">
        <v>7.08</v>
      </c>
      <c r="O54" s="45">
        <f t="shared" si="41"/>
        <v>62.304</v>
      </c>
      <c r="P54" s="51"/>
      <c r="Q54" s="51"/>
      <c r="R54" s="74">
        <f t="shared" si="36"/>
        <v>19.2902884615385</v>
      </c>
      <c r="S54" s="74"/>
      <c r="T54" s="75">
        <f t="shared" si="37"/>
        <v>0.0747475961538462</v>
      </c>
      <c r="U54" s="74"/>
      <c r="V54" s="74"/>
      <c r="W54" s="76">
        <f t="shared" si="28"/>
        <v>19.3650360576923</v>
      </c>
      <c r="X54" s="77">
        <f t="shared" si="38"/>
        <v>0.450099519230769</v>
      </c>
      <c r="Y54" s="77"/>
      <c r="Z54" s="77"/>
      <c r="AA54" s="77">
        <f t="shared" si="29"/>
        <v>0.450099519230769</v>
      </c>
      <c r="AB54" s="86">
        <v>7.08</v>
      </c>
      <c r="AC54" s="74">
        <f t="shared" si="30"/>
        <v>3.18670459615385</v>
      </c>
      <c r="AD54" s="74">
        <f t="shared" si="31"/>
        <v>22.5517406538462</v>
      </c>
      <c r="AE54" s="74">
        <f t="shared" si="32"/>
        <v>39.7522593461538</v>
      </c>
    </row>
    <row r="55" customFormat="1" spans="1:31">
      <c r="A55" s="18"/>
      <c r="B55" s="19"/>
      <c r="C55" s="20">
        <v>240831000005</v>
      </c>
      <c r="D55" s="21">
        <v>45541</v>
      </c>
      <c r="E55" s="21" t="s">
        <v>50</v>
      </c>
      <c r="F55" s="19" t="s">
        <v>51</v>
      </c>
      <c r="G55" s="19" t="s">
        <v>98</v>
      </c>
      <c r="H55" s="19">
        <v>1</v>
      </c>
      <c r="I55" s="45"/>
      <c r="J55" s="54">
        <v>20170.5</v>
      </c>
      <c r="K55" s="43"/>
      <c r="L55" s="49">
        <f t="shared" si="40"/>
        <v>1695</v>
      </c>
      <c r="M55" s="50">
        <v>11.9</v>
      </c>
      <c r="N55" s="44">
        <v>7.08</v>
      </c>
      <c r="O55" s="45">
        <f t="shared" si="41"/>
        <v>84.252</v>
      </c>
      <c r="P55" s="51"/>
      <c r="Q55" s="51"/>
      <c r="R55" s="74">
        <f t="shared" si="36"/>
        <v>42.8673076923077</v>
      </c>
      <c r="S55" s="74"/>
      <c r="T55" s="75">
        <f t="shared" si="37"/>
        <v>0.166105769230769</v>
      </c>
      <c r="U55" s="74"/>
      <c r="V55" s="75">
        <v>22</v>
      </c>
      <c r="W55" s="76">
        <f t="shared" si="28"/>
        <v>65.0334134615385</v>
      </c>
      <c r="X55" s="77">
        <f t="shared" si="38"/>
        <v>1.00022115384615</v>
      </c>
      <c r="Y55" s="77"/>
      <c r="Z55" s="77"/>
      <c r="AA55" s="77">
        <f t="shared" si="29"/>
        <v>1.00022115384615</v>
      </c>
      <c r="AB55" s="86">
        <v>7.08</v>
      </c>
      <c r="AC55" s="74">
        <f t="shared" si="30"/>
        <v>7.08156576923077</v>
      </c>
      <c r="AD55" s="74">
        <f t="shared" si="31"/>
        <v>72.1149792307692</v>
      </c>
      <c r="AE55" s="74">
        <f t="shared" si="32"/>
        <v>12.1370207692308</v>
      </c>
    </row>
    <row r="56" customFormat="1" spans="1:31">
      <c r="A56" s="18"/>
      <c r="B56" s="19"/>
      <c r="C56" s="20">
        <v>240831000007</v>
      </c>
      <c r="D56" s="21">
        <v>45541</v>
      </c>
      <c r="E56" s="21" t="s">
        <v>62</v>
      </c>
      <c r="F56" s="19" t="s">
        <v>63</v>
      </c>
      <c r="G56" s="19" t="s">
        <v>99</v>
      </c>
      <c r="H56" s="19">
        <v>17.5</v>
      </c>
      <c r="I56" s="41">
        <v>1100</v>
      </c>
      <c r="J56" s="53"/>
      <c r="K56" s="43"/>
      <c r="L56" s="19"/>
      <c r="M56" s="43"/>
      <c r="N56" s="44"/>
      <c r="O56" s="45">
        <f t="shared" ref="O56:O58" si="42">SUM(I56)</f>
        <v>1100</v>
      </c>
      <c r="P56" s="51"/>
      <c r="Q56" s="51"/>
      <c r="R56" s="74">
        <f t="shared" si="36"/>
        <v>750.177884615385</v>
      </c>
      <c r="S56" s="74"/>
      <c r="T56" s="75">
        <f t="shared" si="37"/>
        <v>2.90685096153846</v>
      </c>
      <c r="U56" s="74"/>
      <c r="V56" s="74"/>
      <c r="W56" s="76">
        <f t="shared" si="28"/>
        <v>753.084735576923</v>
      </c>
      <c r="X56" s="77">
        <f t="shared" si="38"/>
        <v>17.5038701923077</v>
      </c>
      <c r="Y56" s="77"/>
      <c r="Z56" s="77"/>
      <c r="AA56" s="77">
        <f t="shared" si="29"/>
        <v>17.5038701923077</v>
      </c>
      <c r="AB56" s="86">
        <v>7.08</v>
      </c>
      <c r="AC56" s="74">
        <f t="shared" si="30"/>
        <v>123.927400961538</v>
      </c>
      <c r="AD56" s="74">
        <f t="shared" si="31"/>
        <v>877.012136538461</v>
      </c>
      <c r="AE56" s="74">
        <f t="shared" si="32"/>
        <v>222.987863461539</v>
      </c>
    </row>
    <row r="57" customFormat="1" spans="1:31">
      <c r="A57" s="18"/>
      <c r="B57" s="19"/>
      <c r="C57" s="20">
        <v>240831000010</v>
      </c>
      <c r="D57" s="21">
        <v>45541</v>
      </c>
      <c r="E57" s="21" t="s">
        <v>62</v>
      </c>
      <c r="F57" s="19" t="s">
        <v>63</v>
      </c>
      <c r="G57" s="19" t="s">
        <v>100</v>
      </c>
      <c r="H57" s="19">
        <v>2</v>
      </c>
      <c r="I57" s="41">
        <v>123</v>
      </c>
      <c r="J57" s="53"/>
      <c r="K57" s="43"/>
      <c r="L57" s="19"/>
      <c r="M57" s="43"/>
      <c r="N57" s="44"/>
      <c r="O57" s="45">
        <f t="shared" si="42"/>
        <v>123</v>
      </c>
      <c r="P57" s="51"/>
      <c r="Q57" s="51"/>
      <c r="R57" s="74">
        <f t="shared" si="36"/>
        <v>85.7346153846154</v>
      </c>
      <c r="S57" s="74"/>
      <c r="T57" s="75">
        <f t="shared" si="37"/>
        <v>0.332211538461538</v>
      </c>
      <c r="U57" s="74"/>
      <c r="V57" s="74"/>
      <c r="W57" s="76">
        <f t="shared" si="28"/>
        <v>86.0668269230769</v>
      </c>
      <c r="X57" s="77">
        <f t="shared" si="38"/>
        <v>2.00044230769231</v>
      </c>
      <c r="Y57" s="77"/>
      <c r="Z57" s="77"/>
      <c r="AA57" s="77">
        <f t="shared" si="29"/>
        <v>2.00044230769231</v>
      </c>
      <c r="AB57" s="86">
        <v>7.08</v>
      </c>
      <c r="AC57" s="74">
        <f t="shared" si="30"/>
        <v>14.1631315384615</v>
      </c>
      <c r="AD57" s="74">
        <f t="shared" si="31"/>
        <v>100.229958461538</v>
      </c>
      <c r="AE57" s="74">
        <f t="shared" si="32"/>
        <v>22.7700415384615</v>
      </c>
    </row>
    <row r="58" customFormat="1" spans="1:31">
      <c r="A58" s="18"/>
      <c r="B58" s="19"/>
      <c r="C58" s="20">
        <v>240901000002</v>
      </c>
      <c r="D58" s="21">
        <v>45541</v>
      </c>
      <c r="E58" s="21" t="s">
        <v>62</v>
      </c>
      <c r="F58" s="19" t="s">
        <v>63</v>
      </c>
      <c r="G58" s="19" t="s">
        <v>101</v>
      </c>
      <c r="H58" s="19">
        <v>8</v>
      </c>
      <c r="I58" s="41">
        <v>462</v>
      </c>
      <c r="J58" s="53"/>
      <c r="K58" s="43"/>
      <c r="L58" s="19"/>
      <c r="M58" s="43"/>
      <c r="N58" s="44"/>
      <c r="O58" s="45">
        <f t="shared" si="42"/>
        <v>462</v>
      </c>
      <c r="P58" s="51"/>
      <c r="Q58" s="51"/>
      <c r="R58" s="74">
        <f t="shared" si="36"/>
        <v>342.938461538462</v>
      </c>
      <c r="S58" s="74"/>
      <c r="T58" s="75">
        <f t="shared" si="37"/>
        <v>1.32884615384615</v>
      </c>
      <c r="U58" s="74"/>
      <c r="V58" s="74"/>
      <c r="W58" s="76">
        <f t="shared" si="28"/>
        <v>344.267307692308</v>
      </c>
      <c r="X58" s="77">
        <f t="shared" si="38"/>
        <v>8.00176923076923</v>
      </c>
      <c r="Y58" s="77"/>
      <c r="Z58" s="77"/>
      <c r="AA58" s="77">
        <f t="shared" si="29"/>
        <v>8.00176923076923</v>
      </c>
      <c r="AB58" s="86">
        <v>7.08</v>
      </c>
      <c r="AC58" s="74">
        <f t="shared" si="30"/>
        <v>56.6525261538462</v>
      </c>
      <c r="AD58" s="74">
        <f t="shared" si="31"/>
        <v>400.919833846154</v>
      </c>
      <c r="AE58" s="74">
        <f t="shared" si="32"/>
        <v>61.0801661538462</v>
      </c>
    </row>
    <row r="59" customFormat="1" spans="1:31">
      <c r="A59" s="18"/>
      <c r="B59" s="19"/>
      <c r="C59" s="20">
        <v>240901000004</v>
      </c>
      <c r="D59" s="21">
        <v>45541</v>
      </c>
      <c r="E59" s="21" t="s">
        <v>62</v>
      </c>
      <c r="F59" s="19" t="s">
        <v>63</v>
      </c>
      <c r="G59" s="19" t="s">
        <v>102</v>
      </c>
      <c r="H59" s="19">
        <v>5</v>
      </c>
      <c r="I59" s="47"/>
      <c r="J59" s="54">
        <v>71659.5</v>
      </c>
      <c r="K59" s="43"/>
      <c r="L59" s="49">
        <f>SUM(J59/M59)</f>
        <v>1674.67866323907</v>
      </c>
      <c r="M59" s="50">
        <v>42.79</v>
      </c>
      <c r="N59" s="44">
        <v>7.08</v>
      </c>
      <c r="O59" s="45">
        <f t="shared" ref="O59:O63" si="43">SUM(M59*N59)</f>
        <v>302.9532</v>
      </c>
      <c r="P59" s="51"/>
      <c r="Q59" s="51"/>
      <c r="R59" s="74">
        <f t="shared" si="36"/>
        <v>214.336538461538</v>
      </c>
      <c r="S59" s="74"/>
      <c r="T59" s="75">
        <f t="shared" si="37"/>
        <v>0.830528846153846</v>
      </c>
      <c r="U59" s="74"/>
      <c r="V59" s="74"/>
      <c r="W59" s="76">
        <f t="shared" si="28"/>
        <v>215.167067307692</v>
      </c>
      <c r="X59" s="77">
        <f t="shared" si="38"/>
        <v>5.00110576923077</v>
      </c>
      <c r="Y59" s="77"/>
      <c r="Z59" s="77"/>
      <c r="AA59" s="77">
        <f t="shared" si="29"/>
        <v>5.00110576923077</v>
      </c>
      <c r="AB59" s="86">
        <v>7.08</v>
      </c>
      <c r="AC59" s="74">
        <f t="shared" si="30"/>
        <v>35.4078288461538</v>
      </c>
      <c r="AD59" s="74">
        <f t="shared" si="31"/>
        <v>250.574896153846</v>
      </c>
      <c r="AE59" s="74">
        <f t="shared" si="32"/>
        <v>52.3783038461538</v>
      </c>
    </row>
    <row r="60" customFormat="1" spans="1:31">
      <c r="A60" s="18"/>
      <c r="B60" s="19"/>
      <c r="C60" s="20">
        <v>240901000006</v>
      </c>
      <c r="D60" s="21">
        <v>45541</v>
      </c>
      <c r="E60" s="21" t="s">
        <v>62</v>
      </c>
      <c r="F60" s="19" t="s">
        <v>103</v>
      </c>
      <c r="G60" s="19" t="s">
        <v>104</v>
      </c>
      <c r="H60" s="19">
        <v>25.5</v>
      </c>
      <c r="I60" s="41">
        <v>1539</v>
      </c>
      <c r="J60" s="53"/>
      <c r="K60" s="43"/>
      <c r="L60" s="19"/>
      <c r="M60" s="43"/>
      <c r="N60" s="44"/>
      <c r="O60" s="45">
        <f t="shared" ref="O60:O65" si="44">SUM(I60)</f>
        <v>1539</v>
      </c>
      <c r="P60" s="51"/>
      <c r="Q60" s="51"/>
      <c r="R60" s="74">
        <f t="shared" si="36"/>
        <v>1093.11634615385</v>
      </c>
      <c r="S60" s="74"/>
      <c r="T60" s="75">
        <f t="shared" si="37"/>
        <v>4.23569711538461</v>
      </c>
      <c r="U60" s="74"/>
      <c r="V60" s="74"/>
      <c r="W60" s="76">
        <f t="shared" si="28"/>
        <v>1097.35204326923</v>
      </c>
      <c r="X60" s="77">
        <f t="shared" si="38"/>
        <v>25.5056394230769</v>
      </c>
      <c r="Y60" s="77"/>
      <c r="Z60" s="77"/>
      <c r="AA60" s="77">
        <f t="shared" si="29"/>
        <v>25.5056394230769</v>
      </c>
      <c r="AB60" s="86">
        <v>7.08</v>
      </c>
      <c r="AC60" s="74">
        <f t="shared" si="30"/>
        <v>180.579927115385</v>
      </c>
      <c r="AD60" s="74">
        <f t="shared" si="31"/>
        <v>1277.93197038462</v>
      </c>
      <c r="AE60" s="74">
        <f t="shared" si="32"/>
        <v>261.068029615385</v>
      </c>
    </row>
    <row r="61" customFormat="1" spans="1:31">
      <c r="A61" s="18"/>
      <c r="B61" s="19"/>
      <c r="C61" s="20">
        <v>240902000018</v>
      </c>
      <c r="D61" s="21">
        <v>45541</v>
      </c>
      <c r="E61" s="21" t="s">
        <v>37</v>
      </c>
      <c r="F61" s="19" t="s">
        <v>38</v>
      </c>
      <c r="G61" s="19" t="s">
        <v>105</v>
      </c>
      <c r="H61" s="19">
        <v>2</v>
      </c>
      <c r="I61" s="41">
        <v>123</v>
      </c>
      <c r="J61" s="53"/>
      <c r="K61" s="43"/>
      <c r="L61" s="19"/>
      <c r="M61" s="43"/>
      <c r="N61" s="44"/>
      <c r="O61" s="45">
        <f t="shared" si="44"/>
        <v>123</v>
      </c>
      <c r="P61" s="51"/>
      <c r="Q61" s="51"/>
      <c r="R61" s="74">
        <f t="shared" si="36"/>
        <v>85.7346153846154</v>
      </c>
      <c r="S61" s="74"/>
      <c r="T61" s="75">
        <f t="shared" si="37"/>
        <v>0.332211538461538</v>
      </c>
      <c r="U61" s="74"/>
      <c r="V61" s="74"/>
      <c r="W61" s="76">
        <f t="shared" si="28"/>
        <v>86.0668269230769</v>
      </c>
      <c r="X61" s="77">
        <f t="shared" si="38"/>
        <v>2.00044230769231</v>
      </c>
      <c r="Y61" s="77"/>
      <c r="Z61" s="77"/>
      <c r="AA61" s="77">
        <f t="shared" si="29"/>
        <v>2.00044230769231</v>
      </c>
      <c r="AB61" s="86">
        <v>7.08</v>
      </c>
      <c r="AC61" s="74">
        <f t="shared" si="30"/>
        <v>14.1631315384615</v>
      </c>
      <c r="AD61" s="74">
        <f t="shared" si="31"/>
        <v>100.229958461538</v>
      </c>
      <c r="AE61" s="74">
        <f t="shared" si="32"/>
        <v>22.7700415384615</v>
      </c>
    </row>
    <row r="62" customFormat="1" spans="1:31">
      <c r="A62" s="18"/>
      <c r="B62" s="19"/>
      <c r="C62" s="20">
        <v>240902000022</v>
      </c>
      <c r="D62" s="21">
        <v>45541</v>
      </c>
      <c r="E62" s="21" t="s">
        <v>43</v>
      </c>
      <c r="F62" s="19" t="s">
        <v>44</v>
      </c>
      <c r="G62" s="19" t="s">
        <v>106</v>
      </c>
      <c r="H62" s="19">
        <v>11.5</v>
      </c>
      <c r="I62" s="47"/>
      <c r="J62" s="54">
        <v>157100</v>
      </c>
      <c r="K62" s="43"/>
      <c r="L62" s="49">
        <f t="shared" ref="L62:L66" si="45">SUM(J62/M62)</f>
        <v>1681.47276035535</v>
      </c>
      <c r="M62" s="50">
        <v>93.43</v>
      </c>
      <c r="N62" s="44">
        <v>7.08</v>
      </c>
      <c r="O62" s="45">
        <f t="shared" si="43"/>
        <v>661.4844</v>
      </c>
      <c r="P62" s="51"/>
      <c r="Q62" s="51"/>
      <c r="R62" s="74">
        <f t="shared" si="36"/>
        <v>492.974038461538</v>
      </c>
      <c r="S62" s="74"/>
      <c r="T62" s="75">
        <f t="shared" si="37"/>
        <v>1.91021634615385</v>
      </c>
      <c r="U62" s="74"/>
      <c r="V62" s="74"/>
      <c r="W62" s="76">
        <f t="shared" si="28"/>
        <v>494.884254807692</v>
      </c>
      <c r="X62" s="77">
        <f t="shared" si="38"/>
        <v>11.5025432692308</v>
      </c>
      <c r="Y62" s="77"/>
      <c r="Z62" s="77"/>
      <c r="AA62" s="77">
        <f t="shared" si="29"/>
        <v>11.5025432692308</v>
      </c>
      <c r="AB62" s="86">
        <v>7.08</v>
      </c>
      <c r="AC62" s="74">
        <f t="shared" si="30"/>
        <v>81.4380063461538</v>
      </c>
      <c r="AD62" s="74">
        <f t="shared" si="31"/>
        <v>576.322261153846</v>
      </c>
      <c r="AE62" s="74">
        <f t="shared" si="32"/>
        <v>85.1621388461539</v>
      </c>
    </row>
    <row r="63" customFormat="1" spans="1:31">
      <c r="A63" s="18"/>
      <c r="B63" s="19"/>
      <c r="C63" s="20">
        <v>240902000028</v>
      </c>
      <c r="D63" s="21">
        <v>45541</v>
      </c>
      <c r="E63" s="21" t="s">
        <v>43</v>
      </c>
      <c r="F63" s="19" t="s">
        <v>44</v>
      </c>
      <c r="G63" s="19" t="s">
        <v>107</v>
      </c>
      <c r="H63" s="19">
        <v>4.5</v>
      </c>
      <c r="I63" s="45"/>
      <c r="J63" s="54">
        <v>64156</v>
      </c>
      <c r="K63" s="43"/>
      <c r="L63" s="49">
        <f t="shared" si="45"/>
        <v>1695.00660501981</v>
      </c>
      <c r="M63" s="50">
        <v>37.85</v>
      </c>
      <c r="N63" s="44">
        <v>7.08</v>
      </c>
      <c r="O63" s="45">
        <f t="shared" si="43"/>
        <v>267.978</v>
      </c>
      <c r="P63" s="51"/>
      <c r="Q63" s="51"/>
      <c r="R63" s="74">
        <f t="shared" si="36"/>
        <v>192.902884615385</v>
      </c>
      <c r="S63" s="74"/>
      <c r="T63" s="75">
        <f t="shared" si="37"/>
        <v>0.747475961538462</v>
      </c>
      <c r="U63" s="74"/>
      <c r="V63" s="74"/>
      <c r="W63" s="76">
        <f t="shared" si="28"/>
        <v>193.650360576923</v>
      </c>
      <c r="X63" s="77">
        <f t="shared" si="38"/>
        <v>4.50099519230769</v>
      </c>
      <c r="Y63" s="77"/>
      <c r="Z63" s="77"/>
      <c r="AA63" s="77">
        <f t="shared" si="29"/>
        <v>4.50099519230769</v>
      </c>
      <c r="AB63" s="86">
        <v>7.08</v>
      </c>
      <c r="AC63" s="74">
        <f t="shared" si="30"/>
        <v>31.8670459615385</v>
      </c>
      <c r="AD63" s="74">
        <f t="shared" si="31"/>
        <v>225.517406538462</v>
      </c>
      <c r="AE63" s="74">
        <f t="shared" si="32"/>
        <v>42.4605934615385</v>
      </c>
    </row>
    <row r="64" customFormat="1" spans="1:31">
      <c r="A64" s="18"/>
      <c r="B64" s="19"/>
      <c r="C64" s="22">
        <v>240902000029</v>
      </c>
      <c r="D64" s="23">
        <v>45541</v>
      </c>
      <c r="E64" s="21" t="s">
        <v>50</v>
      </c>
      <c r="F64" s="24" t="s">
        <v>51</v>
      </c>
      <c r="G64" s="24" t="s">
        <v>86</v>
      </c>
      <c r="H64" s="24">
        <v>0.62</v>
      </c>
      <c r="I64" s="55">
        <v>65</v>
      </c>
      <c r="J64" s="53"/>
      <c r="K64" s="43"/>
      <c r="L64" s="19"/>
      <c r="M64" s="43"/>
      <c r="N64" s="44"/>
      <c r="O64" s="45">
        <f t="shared" si="44"/>
        <v>65</v>
      </c>
      <c r="P64" s="51"/>
      <c r="Q64" s="51"/>
      <c r="R64" s="74">
        <f t="shared" si="36"/>
        <v>26.5777307692308</v>
      </c>
      <c r="S64" s="74"/>
      <c r="T64" s="75">
        <f t="shared" si="37"/>
        <v>0.102985576923077</v>
      </c>
      <c r="U64" s="74"/>
      <c r="V64" s="74"/>
      <c r="W64" s="76">
        <f t="shared" si="28"/>
        <v>26.6807163461538</v>
      </c>
      <c r="X64" s="77">
        <f t="shared" si="38"/>
        <v>0.620137115384615</v>
      </c>
      <c r="Y64" s="77"/>
      <c r="Z64" s="77"/>
      <c r="AA64" s="77">
        <f t="shared" si="29"/>
        <v>0.620137115384615</v>
      </c>
      <c r="AB64" s="86">
        <v>7.08</v>
      </c>
      <c r="AC64" s="74">
        <f t="shared" si="30"/>
        <v>4.39057077692308</v>
      </c>
      <c r="AD64" s="74">
        <f t="shared" si="31"/>
        <v>31.0712871230769</v>
      </c>
      <c r="AE64" s="74">
        <f t="shared" si="32"/>
        <v>33.9287128769231</v>
      </c>
    </row>
    <row r="65" customFormat="1" spans="1:31">
      <c r="A65" s="18"/>
      <c r="B65" s="19"/>
      <c r="C65" s="20">
        <v>240902000030</v>
      </c>
      <c r="D65" s="21">
        <v>45541</v>
      </c>
      <c r="E65" s="21" t="s">
        <v>43</v>
      </c>
      <c r="F65" s="19" t="s">
        <v>44</v>
      </c>
      <c r="G65" s="19" t="s">
        <v>108</v>
      </c>
      <c r="H65" s="19">
        <v>5.5</v>
      </c>
      <c r="I65" s="41">
        <v>333</v>
      </c>
      <c r="J65" s="53"/>
      <c r="K65" s="43"/>
      <c r="L65" s="19"/>
      <c r="M65" s="43"/>
      <c r="N65" s="44"/>
      <c r="O65" s="45">
        <f t="shared" si="44"/>
        <v>333</v>
      </c>
      <c r="P65" s="51"/>
      <c r="Q65" s="51"/>
      <c r="R65" s="74">
        <f t="shared" si="36"/>
        <v>235.770192307692</v>
      </c>
      <c r="S65" s="74"/>
      <c r="T65" s="75">
        <f t="shared" si="37"/>
        <v>0.913581730769231</v>
      </c>
      <c r="U65" s="74"/>
      <c r="V65" s="74"/>
      <c r="W65" s="76">
        <f t="shared" si="28"/>
        <v>236.683774038462</v>
      </c>
      <c r="X65" s="77">
        <f t="shared" si="38"/>
        <v>5.50121634615385</v>
      </c>
      <c r="Y65" s="77"/>
      <c r="Z65" s="77"/>
      <c r="AA65" s="77">
        <f t="shared" si="29"/>
        <v>5.50121634615385</v>
      </c>
      <c r="AB65" s="86">
        <v>7.08</v>
      </c>
      <c r="AC65" s="74">
        <f t="shared" si="30"/>
        <v>38.9486117307692</v>
      </c>
      <c r="AD65" s="74">
        <f t="shared" si="31"/>
        <v>275.632385769231</v>
      </c>
      <c r="AE65" s="74">
        <f t="shared" si="32"/>
        <v>57.3676142307692</v>
      </c>
    </row>
    <row r="66" customFormat="1" spans="1:31">
      <c r="A66" s="18"/>
      <c r="B66" s="19"/>
      <c r="C66" s="20">
        <v>240902000033</v>
      </c>
      <c r="D66" s="21">
        <v>45541</v>
      </c>
      <c r="E66" s="21" t="s">
        <v>43</v>
      </c>
      <c r="F66" s="19" t="s">
        <v>44</v>
      </c>
      <c r="G66" s="19" t="s">
        <v>109</v>
      </c>
      <c r="H66" s="19">
        <v>57</v>
      </c>
      <c r="I66" s="45"/>
      <c r="J66" s="54">
        <v>966150</v>
      </c>
      <c r="K66" s="43"/>
      <c r="L66" s="49">
        <f t="shared" si="45"/>
        <v>1695</v>
      </c>
      <c r="M66" s="50">
        <v>570</v>
      </c>
      <c r="N66" s="44">
        <v>7.08</v>
      </c>
      <c r="O66" s="45">
        <f>SUM(M66*N66)</f>
        <v>4035.6</v>
      </c>
      <c r="P66" s="51"/>
      <c r="Q66" s="51"/>
      <c r="R66" s="74">
        <f t="shared" si="36"/>
        <v>2443.43653846154</v>
      </c>
      <c r="S66" s="74"/>
      <c r="T66" s="75">
        <f t="shared" si="37"/>
        <v>9.46802884615385</v>
      </c>
      <c r="U66" s="74"/>
      <c r="V66" s="74"/>
      <c r="W66" s="76">
        <f t="shared" si="28"/>
        <v>2452.90456730769</v>
      </c>
      <c r="X66" s="77">
        <f t="shared" si="38"/>
        <v>57.0126057692308</v>
      </c>
      <c r="Y66" s="77"/>
      <c r="Z66" s="77"/>
      <c r="AA66" s="77">
        <f t="shared" si="29"/>
        <v>57.0126057692308</v>
      </c>
      <c r="AB66" s="86">
        <v>7.08</v>
      </c>
      <c r="AC66" s="74">
        <f t="shared" si="30"/>
        <v>403.649248846154</v>
      </c>
      <c r="AD66" s="74">
        <f t="shared" si="31"/>
        <v>2856.55381615385</v>
      </c>
      <c r="AE66" s="74">
        <f t="shared" si="32"/>
        <v>1179.04618384615</v>
      </c>
    </row>
    <row r="67" customFormat="1" spans="1:31">
      <c r="A67" s="18"/>
      <c r="B67" s="19"/>
      <c r="C67" s="20">
        <v>240902000034</v>
      </c>
      <c r="D67" s="21">
        <v>45541</v>
      </c>
      <c r="E67" s="21" t="s">
        <v>62</v>
      </c>
      <c r="F67" s="19" t="s">
        <v>63</v>
      </c>
      <c r="G67" s="19" t="s">
        <v>88</v>
      </c>
      <c r="H67" s="19">
        <v>6</v>
      </c>
      <c r="I67" s="41">
        <v>306</v>
      </c>
      <c r="J67" s="53"/>
      <c r="K67" s="43"/>
      <c r="L67" s="19"/>
      <c r="M67" s="43"/>
      <c r="N67" s="44"/>
      <c r="O67" s="45">
        <f t="shared" ref="O67:O70" si="46">SUM(I67)</f>
        <v>306</v>
      </c>
      <c r="P67" s="51"/>
      <c r="Q67" s="51"/>
      <c r="R67" s="74">
        <f t="shared" si="36"/>
        <v>257.203846153846</v>
      </c>
      <c r="S67" s="74"/>
      <c r="T67" s="75">
        <f t="shared" si="37"/>
        <v>0.996634615384615</v>
      </c>
      <c r="U67" s="74"/>
      <c r="V67" s="74"/>
      <c r="W67" s="76">
        <f t="shared" si="28"/>
        <v>258.200480769231</v>
      </c>
      <c r="X67" s="77">
        <f t="shared" si="38"/>
        <v>6.00132692307692</v>
      </c>
      <c r="Y67" s="77"/>
      <c r="Z67" s="77"/>
      <c r="AA67" s="77">
        <f t="shared" si="29"/>
        <v>6.00132692307692</v>
      </c>
      <c r="AB67" s="86">
        <v>7.08</v>
      </c>
      <c r="AC67" s="74">
        <f t="shared" si="30"/>
        <v>42.4893946153846</v>
      </c>
      <c r="AD67" s="74">
        <f t="shared" si="31"/>
        <v>300.689875384615</v>
      </c>
      <c r="AE67" s="74">
        <f t="shared" si="32"/>
        <v>5.31012461538461</v>
      </c>
    </row>
    <row r="68" customFormat="1" spans="1:31">
      <c r="A68" s="18"/>
      <c r="B68" s="19"/>
      <c r="C68" s="20">
        <v>240902000036</v>
      </c>
      <c r="D68" s="21">
        <v>45541</v>
      </c>
      <c r="E68" s="21" t="s">
        <v>43</v>
      </c>
      <c r="F68" s="19" t="s">
        <v>44</v>
      </c>
      <c r="G68" s="19" t="s">
        <v>110</v>
      </c>
      <c r="H68" s="19">
        <v>8.5</v>
      </c>
      <c r="I68" s="41">
        <v>578</v>
      </c>
      <c r="J68" s="53"/>
      <c r="K68" s="43"/>
      <c r="L68" s="19"/>
      <c r="M68" s="43"/>
      <c r="N68" s="44"/>
      <c r="O68" s="45">
        <f t="shared" si="46"/>
        <v>578</v>
      </c>
      <c r="P68" s="51"/>
      <c r="Q68" s="51"/>
      <c r="R68" s="74">
        <f t="shared" si="36"/>
        <v>364.372115384615</v>
      </c>
      <c r="S68" s="74"/>
      <c r="T68" s="75">
        <f t="shared" si="37"/>
        <v>1.41189903846154</v>
      </c>
      <c r="U68" s="74"/>
      <c r="V68" s="74"/>
      <c r="W68" s="76">
        <f t="shared" si="28"/>
        <v>365.784014423077</v>
      </c>
      <c r="X68" s="77">
        <f t="shared" si="38"/>
        <v>8.50187980769231</v>
      </c>
      <c r="Y68" s="77"/>
      <c r="Z68" s="77"/>
      <c r="AA68" s="77">
        <f t="shared" si="29"/>
        <v>8.50187980769231</v>
      </c>
      <c r="AB68" s="86">
        <v>7.08</v>
      </c>
      <c r="AC68" s="74">
        <f t="shared" si="30"/>
        <v>60.1933090384615</v>
      </c>
      <c r="AD68" s="74">
        <f t="shared" si="31"/>
        <v>425.977323461538</v>
      </c>
      <c r="AE68" s="74">
        <f t="shared" si="32"/>
        <v>152.022676538462</v>
      </c>
    </row>
    <row r="69" customFormat="1" spans="1:31">
      <c r="A69" s="18"/>
      <c r="B69" s="19"/>
      <c r="C69" s="20">
        <v>240902000037</v>
      </c>
      <c r="D69" s="21">
        <v>45541</v>
      </c>
      <c r="E69" s="21" t="s">
        <v>43</v>
      </c>
      <c r="F69" s="19" t="s">
        <v>44</v>
      </c>
      <c r="G69" s="19" t="s">
        <v>110</v>
      </c>
      <c r="H69" s="19">
        <v>15</v>
      </c>
      <c r="I69" s="41">
        <v>986</v>
      </c>
      <c r="J69" s="53"/>
      <c r="K69" s="43"/>
      <c r="L69" s="19"/>
      <c r="M69" s="43"/>
      <c r="N69" s="44"/>
      <c r="O69" s="45">
        <f t="shared" si="46"/>
        <v>986</v>
      </c>
      <c r="P69" s="51"/>
      <c r="Q69" s="51"/>
      <c r="R69" s="74">
        <f t="shared" si="36"/>
        <v>643.009615384615</v>
      </c>
      <c r="S69" s="74"/>
      <c r="T69" s="75">
        <f t="shared" si="37"/>
        <v>2.49158653846154</v>
      </c>
      <c r="U69" s="74"/>
      <c r="V69" s="74"/>
      <c r="W69" s="76">
        <f t="shared" si="28"/>
        <v>645.501201923077</v>
      </c>
      <c r="X69" s="77">
        <f t="shared" si="38"/>
        <v>15.0033173076923</v>
      </c>
      <c r="Y69" s="77"/>
      <c r="Z69" s="77"/>
      <c r="AA69" s="77">
        <f t="shared" si="29"/>
        <v>15.0033173076923</v>
      </c>
      <c r="AB69" s="86">
        <v>7.08</v>
      </c>
      <c r="AC69" s="74">
        <f t="shared" si="30"/>
        <v>106.223486538462</v>
      </c>
      <c r="AD69" s="74">
        <f t="shared" si="31"/>
        <v>751.724688461538</v>
      </c>
      <c r="AE69" s="74">
        <f t="shared" si="32"/>
        <v>234.275311538462</v>
      </c>
    </row>
    <row r="70" customFormat="1" spans="1:31">
      <c r="A70" s="18"/>
      <c r="B70" s="19"/>
      <c r="C70" s="20">
        <v>240902000045</v>
      </c>
      <c r="D70" s="21">
        <v>45541</v>
      </c>
      <c r="E70" s="21" t="s">
        <v>46</v>
      </c>
      <c r="F70" s="19" t="s">
        <v>47</v>
      </c>
      <c r="G70" s="19" t="s">
        <v>91</v>
      </c>
      <c r="H70" s="19">
        <v>22.5</v>
      </c>
      <c r="I70" s="41">
        <v>1415.05</v>
      </c>
      <c r="J70" s="53"/>
      <c r="K70" s="43"/>
      <c r="L70" s="19"/>
      <c r="M70" s="43"/>
      <c r="N70" s="44"/>
      <c r="O70" s="45">
        <f t="shared" si="46"/>
        <v>1415.05</v>
      </c>
      <c r="P70" s="51"/>
      <c r="Q70" s="51"/>
      <c r="R70" s="74">
        <f t="shared" si="36"/>
        <v>964.514423076923</v>
      </c>
      <c r="S70" s="74"/>
      <c r="T70" s="75">
        <f t="shared" si="37"/>
        <v>3.73737980769231</v>
      </c>
      <c r="U70" s="74"/>
      <c r="V70" s="75">
        <v>45</v>
      </c>
      <c r="W70" s="76">
        <f t="shared" si="28"/>
        <v>1013.25180288462</v>
      </c>
      <c r="X70" s="77">
        <f t="shared" si="38"/>
        <v>22.5049759615385</v>
      </c>
      <c r="Y70" s="77"/>
      <c r="Z70" s="77"/>
      <c r="AA70" s="77">
        <f t="shared" si="29"/>
        <v>22.5049759615385</v>
      </c>
      <c r="AB70" s="86">
        <v>7.08</v>
      </c>
      <c r="AC70" s="74">
        <f t="shared" si="30"/>
        <v>159.335229807692</v>
      </c>
      <c r="AD70" s="74">
        <f t="shared" si="31"/>
        <v>1172.58703269231</v>
      </c>
      <c r="AE70" s="74">
        <f t="shared" si="32"/>
        <v>242.462967307692</v>
      </c>
    </row>
    <row r="71" customFormat="1" spans="1:31">
      <c r="A71" s="18"/>
      <c r="B71" s="19"/>
      <c r="C71" s="20">
        <v>240902000047</v>
      </c>
      <c r="D71" s="21">
        <v>45541</v>
      </c>
      <c r="E71" s="21" t="s">
        <v>46</v>
      </c>
      <c r="F71" s="19" t="s">
        <v>47</v>
      </c>
      <c r="G71" s="19" t="s">
        <v>111</v>
      </c>
      <c r="H71" s="19">
        <v>0.18</v>
      </c>
      <c r="I71" s="45"/>
      <c r="J71" s="54">
        <v>14746</v>
      </c>
      <c r="K71" s="43"/>
      <c r="L71" s="49">
        <f t="shared" ref="L71:L75" si="47">SUM(J71/M71)</f>
        <v>1694.94252873563</v>
      </c>
      <c r="M71" s="50">
        <v>8.7</v>
      </c>
      <c r="N71" s="44">
        <v>7.08</v>
      </c>
      <c r="O71" s="45">
        <f t="shared" ref="O71:O75" si="48">SUM(M71*N71)</f>
        <v>61.596</v>
      </c>
      <c r="P71" s="51"/>
      <c r="Q71" s="51"/>
      <c r="R71" s="74">
        <f t="shared" si="36"/>
        <v>7.71611538461538</v>
      </c>
      <c r="S71" s="74"/>
      <c r="T71" s="75">
        <f t="shared" si="37"/>
        <v>0.0298990384615385</v>
      </c>
      <c r="U71" s="74"/>
      <c r="V71" s="74"/>
      <c r="W71" s="76">
        <f t="shared" si="28"/>
        <v>7.74601442307692</v>
      </c>
      <c r="X71" s="77">
        <f t="shared" si="38"/>
        <v>0.180039807692308</v>
      </c>
      <c r="Y71" s="77"/>
      <c r="Z71" s="77"/>
      <c r="AA71" s="77">
        <f t="shared" si="29"/>
        <v>0.180039807692308</v>
      </c>
      <c r="AB71" s="86">
        <v>7.08</v>
      </c>
      <c r="AC71" s="74">
        <f t="shared" si="30"/>
        <v>1.27468183846154</v>
      </c>
      <c r="AD71" s="74">
        <f t="shared" si="31"/>
        <v>9.02069626153846</v>
      </c>
      <c r="AE71" s="74">
        <f t="shared" si="32"/>
        <v>52.5753037384615</v>
      </c>
    </row>
    <row r="72" customFormat="1" spans="1:31">
      <c r="A72" s="18"/>
      <c r="B72" s="19"/>
      <c r="C72" s="20">
        <v>240902000050</v>
      </c>
      <c r="D72" s="21">
        <v>45541</v>
      </c>
      <c r="E72" s="21" t="s">
        <v>96</v>
      </c>
      <c r="F72" s="19" t="s">
        <v>112</v>
      </c>
      <c r="G72" s="19" t="s">
        <v>113</v>
      </c>
      <c r="H72" s="19">
        <v>2.5</v>
      </c>
      <c r="I72" s="45"/>
      <c r="J72" s="54">
        <v>32544</v>
      </c>
      <c r="K72" s="43"/>
      <c r="L72" s="49">
        <f t="shared" si="47"/>
        <v>1531.48235294118</v>
      </c>
      <c r="M72" s="50">
        <v>21.25</v>
      </c>
      <c r="N72" s="44">
        <v>7.08</v>
      </c>
      <c r="O72" s="45">
        <f t="shared" si="48"/>
        <v>150.45</v>
      </c>
      <c r="P72" s="51"/>
      <c r="Q72" s="51"/>
      <c r="R72" s="74">
        <f t="shared" si="36"/>
        <v>107.168269230769</v>
      </c>
      <c r="S72" s="74"/>
      <c r="T72" s="75">
        <f t="shared" si="37"/>
        <v>0.415264423076923</v>
      </c>
      <c r="U72" s="74"/>
      <c r="V72" s="74"/>
      <c r="W72" s="76">
        <f t="shared" si="28"/>
        <v>107.583533653846</v>
      </c>
      <c r="X72" s="77">
        <f t="shared" si="38"/>
        <v>2.50055288461538</v>
      </c>
      <c r="Y72" s="77"/>
      <c r="Z72" s="77"/>
      <c r="AA72" s="77">
        <f t="shared" si="29"/>
        <v>2.50055288461538</v>
      </c>
      <c r="AB72" s="86">
        <v>7.08</v>
      </c>
      <c r="AC72" s="74">
        <f t="shared" si="30"/>
        <v>17.7039144230769</v>
      </c>
      <c r="AD72" s="74">
        <f t="shared" si="31"/>
        <v>125.287448076923</v>
      </c>
      <c r="AE72" s="74">
        <f t="shared" si="32"/>
        <v>25.1625519230769</v>
      </c>
    </row>
    <row r="73" customFormat="1" spans="1:31">
      <c r="A73" s="18"/>
      <c r="B73" s="19"/>
      <c r="C73" s="20">
        <v>240902000054</v>
      </c>
      <c r="D73" s="21">
        <v>45541</v>
      </c>
      <c r="E73" s="21" t="s">
        <v>50</v>
      </c>
      <c r="F73" s="19" t="s">
        <v>51</v>
      </c>
      <c r="G73" s="19" t="s">
        <v>114</v>
      </c>
      <c r="H73" s="19">
        <v>17</v>
      </c>
      <c r="I73" s="41">
        <v>1150</v>
      </c>
      <c r="J73" s="53"/>
      <c r="K73" s="43"/>
      <c r="L73" s="19"/>
      <c r="M73" s="43"/>
      <c r="N73" s="44"/>
      <c r="O73" s="45">
        <f t="shared" ref="O73:O80" si="49">SUM(I73)</f>
        <v>1150</v>
      </c>
      <c r="P73" s="51"/>
      <c r="Q73" s="51"/>
      <c r="R73" s="74">
        <f t="shared" si="36"/>
        <v>728.744230769231</v>
      </c>
      <c r="S73" s="74"/>
      <c r="T73" s="75">
        <f t="shared" si="37"/>
        <v>2.82379807692308</v>
      </c>
      <c r="U73" s="74"/>
      <c r="V73" s="74"/>
      <c r="W73" s="76">
        <f t="shared" si="28"/>
        <v>731.568028846154</v>
      </c>
      <c r="X73" s="77">
        <f t="shared" si="38"/>
        <v>17.0037596153846</v>
      </c>
      <c r="Y73" s="77"/>
      <c r="Z73" s="77"/>
      <c r="AA73" s="77">
        <f t="shared" si="29"/>
        <v>17.0037596153846</v>
      </c>
      <c r="AB73" s="86">
        <v>7.08</v>
      </c>
      <c r="AC73" s="74">
        <f t="shared" si="30"/>
        <v>120.386618076923</v>
      </c>
      <c r="AD73" s="74">
        <f t="shared" si="31"/>
        <v>851.954646923077</v>
      </c>
      <c r="AE73" s="74">
        <f t="shared" si="32"/>
        <v>298.045353076923</v>
      </c>
    </row>
    <row r="74" customFormat="1" spans="1:31">
      <c r="A74" s="18"/>
      <c r="B74" s="19"/>
      <c r="C74" s="20">
        <v>240903000001</v>
      </c>
      <c r="D74" s="21">
        <v>45541</v>
      </c>
      <c r="E74" s="21" t="s">
        <v>50</v>
      </c>
      <c r="F74" s="19" t="s">
        <v>51</v>
      </c>
      <c r="G74" s="19" t="s">
        <v>115</v>
      </c>
      <c r="H74" s="19">
        <v>7</v>
      </c>
      <c r="I74" s="47"/>
      <c r="J74" s="54">
        <v>95256</v>
      </c>
      <c r="K74" s="43"/>
      <c r="L74" s="49">
        <f t="shared" si="47"/>
        <v>1720.66473988439</v>
      </c>
      <c r="M74" s="50">
        <v>55.36</v>
      </c>
      <c r="N74" s="44">
        <v>7.08</v>
      </c>
      <c r="O74" s="45">
        <f t="shared" si="48"/>
        <v>391.9488</v>
      </c>
      <c r="P74" s="51"/>
      <c r="Q74" s="51"/>
      <c r="R74" s="74">
        <f t="shared" si="36"/>
        <v>300.071153846154</v>
      </c>
      <c r="S74" s="74"/>
      <c r="T74" s="75">
        <f t="shared" si="37"/>
        <v>1.16274038461538</v>
      </c>
      <c r="U74" s="74"/>
      <c r="V74" s="74"/>
      <c r="W74" s="76">
        <f t="shared" si="28"/>
        <v>301.233894230769</v>
      </c>
      <c r="X74" s="77">
        <f t="shared" si="38"/>
        <v>7.00154807692308</v>
      </c>
      <c r="Y74" s="77"/>
      <c r="Z74" s="77"/>
      <c r="AA74" s="77">
        <f t="shared" si="29"/>
        <v>7.00154807692308</v>
      </c>
      <c r="AB74" s="86">
        <v>7.08</v>
      </c>
      <c r="AC74" s="74">
        <f t="shared" si="30"/>
        <v>49.5709603846154</v>
      </c>
      <c r="AD74" s="74">
        <f t="shared" si="31"/>
        <v>350.804854615385</v>
      </c>
      <c r="AE74" s="74">
        <f t="shared" si="32"/>
        <v>41.1439453846154</v>
      </c>
    </row>
    <row r="75" customFormat="1" spans="1:31">
      <c r="A75" s="18"/>
      <c r="B75" s="19"/>
      <c r="C75" s="20">
        <v>240903000003</v>
      </c>
      <c r="D75" s="21">
        <v>45541</v>
      </c>
      <c r="E75" s="21" t="s">
        <v>50</v>
      </c>
      <c r="F75" s="19" t="s">
        <v>51</v>
      </c>
      <c r="G75" s="19" t="s">
        <v>116</v>
      </c>
      <c r="H75" s="19">
        <v>15.5</v>
      </c>
      <c r="I75" s="47"/>
      <c r="J75" s="54">
        <v>238877</v>
      </c>
      <c r="K75" s="43"/>
      <c r="L75" s="49">
        <f t="shared" si="47"/>
        <v>1663.83645608414</v>
      </c>
      <c r="M75" s="50">
        <v>143.57</v>
      </c>
      <c r="N75" s="44">
        <v>7.08</v>
      </c>
      <c r="O75" s="45">
        <f t="shared" si="48"/>
        <v>1016.4756</v>
      </c>
      <c r="P75" s="51"/>
      <c r="Q75" s="51"/>
      <c r="R75" s="74">
        <f t="shared" si="36"/>
        <v>664.443269230769</v>
      </c>
      <c r="S75" s="74"/>
      <c r="T75" s="75">
        <f t="shared" si="37"/>
        <v>2.57463942307692</v>
      </c>
      <c r="U75" s="74"/>
      <c r="V75" s="75">
        <v>226</v>
      </c>
      <c r="W75" s="76">
        <f t="shared" si="28"/>
        <v>893.017908653846</v>
      </c>
      <c r="X75" s="77">
        <f t="shared" si="38"/>
        <v>15.5034278846154</v>
      </c>
      <c r="Y75" s="77"/>
      <c r="Z75" s="77"/>
      <c r="AA75" s="77">
        <f t="shared" si="29"/>
        <v>15.5034278846154</v>
      </c>
      <c r="AB75" s="86">
        <v>7.08</v>
      </c>
      <c r="AC75" s="74">
        <f t="shared" si="30"/>
        <v>109.764269423077</v>
      </c>
      <c r="AD75" s="74">
        <f t="shared" si="31"/>
        <v>1002.78217807692</v>
      </c>
      <c r="AE75" s="74">
        <f t="shared" si="32"/>
        <v>13.6934219230769</v>
      </c>
    </row>
    <row r="76" customFormat="1" spans="1:31">
      <c r="A76" s="18"/>
      <c r="B76" s="19"/>
      <c r="C76" s="20">
        <v>240903000013</v>
      </c>
      <c r="D76" s="21">
        <v>45541</v>
      </c>
      <c r="E76" s="21" t="s">
        <v>43</v>
      </c>
      <c r="F76" s="19" t="s">
        <v>44</v>
      </c>
      <c r="G76" s="19" t="s">
        <v>117</v>
      </c>
      <c r="H76" s="19">
        <v>0.46</v>
      </c>
      <c r="I76" s="41">
        <v>63</v>
      </c>
      <c r="J76" s="53"/>
      <c r="K76" s="43"/>
      <c r="L76" s="19"/>
      <c r="M76" s="43"/>
      <c r="N76" s="44"/>
      <c r="O76" s="45">
        <f t="shared" si="49"/>
        <v>63</v>
      </c>
      <c r="P76" s="51"/>
      <c r="Q76" s="51"/>
      <c r="R76" s="74">
        <f t="shared" si="36"/>
        <v>19.7189615384615</v>
      </c>
      <c r="S76" s="74"/>
      <c r="T76" s="75">
        <f t="shared" si="37"/>
        <v>0.0764086538461538</v>
      </c>
      <c r="U76" s="74"/>
      <c r="V76" s="74"/>
      <c r="W76" s="76">
        <f t="shared" si="28"/>
        <v>19.7953701923077</v>
      </c>
      <c r="X76" s="77">
        <f t="shared" si="38"/>
        <v>0.460101730769231</v>
      </c>
      <c r="Y76" s="77"/>
      <c r="Z76" s="77"/>
      <c r="AA76" s="77">
        <f t="shared" si="29"/>
        <v>0.460101730769231</v>
      </c>
      <c r="AB76" s="86">
        <v>7.08</v>
      </c>
      <c r="AC76" s="74">
        <f t="shared" si="30"/>
        <v>3.25752025384615</v>
      </c>
      <c r="AD76" s="74">
        <f t="shared" si="31"/>
        <v>23.0528904461538</v>
      </c>
      <c r="AE76" s="74">
        <f t="shared" si="32"/>
        <v>39.9471095538462</v>
      </c>
    </row>
    <row r="77" customFormat="1" spans="1:31">
      <c r="A77" s="18"/>
      <c r="B77" s="19"/>
      <c r="C77" s="20">
        <v>240903000016</v>
      </c>
      <c r="D77" s="21">
        <v>45541</v>
      </c>
      <c r="E77" s="21" t="s">
        <v>43</v>
      </c>
      <c r="F77" s="19" t="s">
        <v>44</v>
      </c>
      <c r="G77" s="19" t="s">
        <v>118</v>
      </c>
      <c r="H77" s="19">
        <v>81.5</v>
      </c>
      <c r="I77" s="45"/>
      <c r="J77" s="54">
        <v>1132768</v>
      </c>
      <c r="K77" s="43"/>
      <c r="L77" s="49">
        <f t="shared" ref="L77:L83" si="50">SUM(J77/M77)</f>
        <v>1694.99925183301</v>
      </c>
      <c r="M77" s="50">
        <v>668.3</v>
      </c>
      <c r="N77" s="44">
        <v>7.08</v>
      </c>
      <c r="O77" s="45">
        <f t="shared" ref="O77:O83" si="51">SUM(M77*N77)</f>
        <v>4731.564</v>
      </c>
      <c r="P77" s="51"/>
      <c r="Q77" s="51"/>
      <c r="R77" s="74">
        <f t="shared" si="36"/>
        <v>3493.68557692308</v>
      </c>
      <c r="S77" s="74"/>
      <c r="T77" s="75">
        <f t="shared" si="37"/>
        <v>13.5376201923077</v>
      </c>
      <c r="U77" s="74"/>
      <c r="V77" s="74"/>
      <c r="W77" s="76">
        <f t="shared" si="28"/>
        <v>3507.22319711538</v>
      </c>
      <c r="X77" s="77">
        <f t="shared" si="38"/>
        <v>81.5180240384615</v>
      </c>
      <c r="Y77" s="77"/>
      <c r="Z77" s="77"/>
      <c r="AA77" s="77">
        <f t="shared" si="29"/>
        <v>81.5180240384615</v>
      </c>
      <c r="AB77" s="86">
        <v>7.08</v>
      </c>
      <c r="AC77" s="74">
        <f t="shared" si="30"/>
        <v>577.147610192308</v>
      </c>
      <c r="AD77" s="74">
        <f t="shared" si="31"/>
        <v>4084.37080730769</v>
      </c>
      <c r="AE77" s="74">
        <f t="shared" si="32"/>
        <v>647.193192692308</v>
      </c>
    </row>
    <row r="78" customFormat="1" spans="1:31">
      <c r="A78" s="18"/>
      <c r="B78" s="19"/>
      <c r="C78" s="20">
        <v>240903000018</v>
      </c>
      <c r="D78" s="21">
        <v>45541</v>
      </c>
      <c r="E78" s="21" t="s">
        <v>46</v>
      </c>
      <c r="F78" s="19" t="s">
        <v>47</v>
      </c>
      <c r="G78" s="19" t="s">
        <v>91</v>
      </c>
      <c r="H78" s="19">
        <v>6.5</v>
      </c>
      <c r="I78" s="41">
        <v>411.5</v>
      </c>
      <c r="J78" s="53"/>
      <c r="K78" s="43"/>
      <c r="L78" s="19"/>
      <c r="M78" s="43"/>
      <c r="N78" s="44"/>
      <c r="O78" s="45">
        <f t="shared" si="49"/>
        <v>411.5</v>
      </c>
      <c r="P78" s="51"/>
      <c r="Q78" s="51"/>
      <c r="R78" s="74">
        <f t="shared" si="36"/>
        <v>278.6375</v>
      </c>
      <c r="S78" s="74"/>
      <c r="T78" s="75">
        <f t="shared" si="37"/>
        <v>1.0796875</v>
      </c>
      <c r="U78" s="75">
        <v>35</v>
      </c>
      <c r="V78" s="74"/>
      <c r="W78" s="76">
        <f t="shared" si="28"/>
        <v>314.7171875</v>
      </c>
      <c r="X78" s="77">
        <f t="shared" si="38"/>
        <v>6.5014375</v>
      </c>
      <c r="Y78" s="77"/>
      <c r="Z78" s="77"/>
      <c r="AA78" s="77">
        <f t="shared" si="29"/>
        <v>6.5014375</v>
      </c>
      <c r="AB78" s="86">
        <v>7.08</v>
      </c>
      <c r="AC78" s="74">
        <f t="shared" si="30"/>
        <v>46.0301775</v>
      </c>
      <c r="AD78" s="74">
        <f t="shared" si="31"/>
        <v>360.747365</v>
      </c>
      <c r="AE78" s="74">
        <f t="shared" si="32"/>
        <v>50.7526350000001</v>
      </c>
    </row>
    <row r="79" customFormat="1" spans="1:31">
      <c r="A79" s="18"/>
      <c r="B79" s="19"/>
      <c r="C79" s="20">
        <v>240903000026</v>
      </c>
      <c r="D79" s="21">
        <v>45541</v>
      </c>
      <c r="E79" s="21" t="s">
        <v>46</v>
      </c>
      <c r="F79" s="19" t="s">
        <v>47</v>
      </c>
      <c r="G79" s="19" t="s">
        <v>119</v>
      </c>
      <c r="H79" s="19">
        <v>0.92</v>
      </c>
      <c r="I79" s="41">
        <v>69</v>
      </c>
      <c r="J79" s="53"/>
      <c r="K79" s="43"/>
      <c r="L79" s="19"/>
      <c r="M79" s="43"/>
      <c r="N79" s="44"/>
      <c r="O79" s="45">
        <f t="shared" si="49"/>
        <v>69</v>
      </c>
      <c r="P79" s="51"/>
      <c r="Q79" s="51"/>
      <c r="R79" s="74">
        <f t="shared" si="36"/>
        <v>39.4379230769231</v>
      </c>
      <c r="S79" s="74"/>
      <c r="T79" s="75">
        <f t="shared" si="37"/>
        <v>0.152817307692308</v>
      </c>
      <c r="U79" s="74"/>
      <c r="V79" s="74"/>
      <c r="W79" s="76">
        <f t="shared" si="28"/>
        <v>39.5907403846154</v>
      </c>
      <c r="X79" s="77">
        <f t="shared" si="38"/>
        <v>0.920203461538462</v>
      </c>
      <c r="Y79" s="77"/>
      <c r="Z79" s="77"/>
      <c r="AA79" s="77">
        <f t="shared" si="29"/>
        <v>0.920203461538462</v>
      </c>
      <c r="AB79" s="86">
        <v>7.08</v>
      </c>
      <c r="AC79" s="74">
        <f t="shared" si="30"/>
        <v>6.51504050769231</v>
      </c>
      <c r="AD79" s="74">
        <f t="shared" si="31"/>
        <v>46.1057808923077</v>
      </c>
      <c r="AE79" s="74">
        <f t="shared" si="32"/>
        <v>22.8942191076923</v>
      </c>
    </row>
    <row r="80" customFormat="1" spans="1:31">
      <c r="A80" s="18"/>
      <c r="B80" s="19"/>
      <c r="C80" s="20">
        <v>240903000027</v>
      </c>
      <c r="D80" s="21">
        <v>45541</v>
      </c>
      <c r="E80" s="21" t="s">
        <v>62</v>
      </c>
      <c r="F80" s="19" t="s">
        <v>63</v>
      </c>
      <c r="G80" s="19" t="s">
        <v>120</v>
      </c>
      <c r="H80" s="19">
        <v>3.5</v>
      </c>
      <c r="I80" s="41">
        <v>234</v>
      </c>
      <c r="J80" s="53"/>
      <c r="K80" s="43"/>
      <c r="L80" s="19"/>
      <c r="M80" s="43"/>
      <c r="N80" s="44"/>
      <c r="O80" s="45">
        <f t="shared" si="49"/>
        <v>234</v>
      </c>
      <c r="P80" s="51"/>
      <c r="Q80" s="51"/>
      <c r="R80" s="74">
        <f t="shared" si="36"/>
        <v>150.035576923077</v>
      </c>
      <c r="S80" s="74"/>
      <c r="T80" s="75">
        <f t="shared" si="37"/>
        <v>0.581370192307692</v>
      </c>
      <c r="U80" s="74"/>
      <c r="V80" s="74"/>
      <c r="W80" s="76">
        <f t="shared" si="28"/>
        <v>150.616947115385</v>
      </c>
      <c r="X80" s="77">
        <f t="shared" si="38"/>
        <v>3.50077403846154</v>
      </c>
      <c r="Y80" s="77"/>
      <c r="Z80" s="77"/>
      <c r="AA80" s="77">
        <f t="shared" si="29"/>
        <v>3.50077403846154</v>
      </c>
      <c r="AB80" s="86">
        <v>7.08</v>
      </c>
      <c r="AC80" s="74">
        <f t="shared" si="30"/>
        <v>24.7854801923077</v>
      </c>
      <c r="AD80" s="74">
        <f t="shared" si="31"/>
        <v>175.402427307692</v>
      </c>
      <c r="AE80" s="74">
        <f t="shared" si="32"/>
        <v>58.5975726923077</v>
      </c>
    </row>
    <row r="81" customFormat="1" spans="1:31">
      <c r="A81" s="18"/>
      <c r="B81" s="19"/>
      <c r="C81" s="20">
        <v>240903000034</v>
      </c>
      <c r="D81" s="21">
        <v>45541</v>
      </c>
      <c r="E81" s="21" t="s">
        <v>50</v>
      </c>
      <c r="F81" s="19" t="s">
        <v>51</v>
      </c>
      <c r="G81" s="19" t="s">
        <v>87</v>
      </c>
      <c r="H81" s="19">
        <v>46</v>
      </c>
      <c r="I81" s="55"/>
      <c r="J81" s="54">
        <v>574770</v>
      </c>
      <c r="K81" s="43"/>
      <c r="L81" s="49">
        <f t="shared" si="50"/>
        <v>1734.63105477592</v>
      </c>
      <c r="M81" s="50">
        <v>331.35</v>
      </c>
      <c r="N81" s="44">
        <v>7.08</v>
      </c>
      <c r="O81" s="45">
        <f t="shared" si="51"/>
        <v>2345.958</v>
      </c>
      <c r="P81" s="51"/>
      <c r="Q81" s="51"/>
      <c r="R81" s="74">
        <f t="shared" si="36"/>
        <v>1971.89615384615</v>
      </c>
      <c r="S81" s="74"/>
      <c r="T81" s="75">
        <f t="shared" si="37"/>
        <v>7.64086538461538</v>
      </c>
      <c r="U81" s="74"/>
      <c r="V81" s="74"/>
      <c r="W81" s="76">
        <f t="shared" si="28"/>
        <v>1979.53701923077</v>
      </c>
      <c r="X81" s="77">
        <f t="shared" si="38"/>
        <v>46.0101730769231</v>
      </c>
      <c r="Y81" s="77"/>
      <c r="Z81" s="77"/>
      <c r="AA81" s="77">
        <f t="shared" si="29"/>
        <v>46.0101730769231</v>
      </c>
      <c r="AB81" s="86">
        <v>7.08</v>
      </c>
      <c r="AC81" s="74">
        <f t="shared" si="30"/>
        <v>325.752025384615</v>
      </c>
      <c r="AD81" s="74">
        <f t="shared" si="31"/>
        <v>2305.28904461538</v>
      </c>
      <c r="AE81" s="74">
        <f t="shared" si="32"/>
        <v>40.6689553846154</v>
      </c>
    </row>
    <row r="82" customFormat="1" spans="1:31">
      <c r="A82" s="18"/>
      <c r="B82" s="19"/>
      <c r="C82" s="20">
        <v>240903000039</v>
      </c>
      <c r="D82" s="21">
        <v>45541</v>
      </c>
      <c r="E82" s="21" t="s">
        <v>50</v>
      </c>
      <c r="F82" s="19" t="s">
        <v>51</v>
      </c>
      <c r="G82" s="19" t="s">
        <v>115</v>
      </c>
      <c r="H82" s="19">
        <v>201</v>
      </c>
      <c r="I82" s="47"/>
      <c r="J82" s="54">
        <v>2856708</v>
      </c>
      <c r="K82" s="43"/>
      <c r="L82" s="49">
        <f t="shared" si="50"/>
        <v>1720.44204884218</v>
      </c>
      <c r="M82" s="50">
        <v>1660.45</v>
      </c>
      <c r="N82" s="44">
        <v>7.08</v>
      </c>
      <c r="O82" s="45">
        <f t="shared" si="51"/>
        <v>11755.986</v>
      </c>
      <c r="P82" s="51"/>
      <c r="Q82" s="51"/>
      <c r="R82" s="74">
        <f t="shared" si="36"/>
        <v>8616.32884615384</v>
      </c>
      <c r="S82" s="74"/>
      <c r="T82" s="75">
        <f t="shared" si="37"/>
        <v>33.3872596153846</v>
      </c>
      <c r="U82" s="74"/>
      <c r="V82" s="74"/>
      <c r="W82" s="76">
        <f t="shared" si="28"/>
        <v>8649.71610576923</v>
      </c>
      <c r="X82" s="77">
        <f t="shared" si="38"/>
        <v>201.044451923077</v>
      </c>
      <c r="Y82" s="77"/>
      <c r="Z82" s="77"/>
      <c r="AA82" s="77">
        <f t="shared" si="29"/>
        <v>201.044451923077</v>
      </c>
      <c r="AB82" s="86">
        <v>7.08</v>
      </c>
      <c r="AC82" s="74">
        <f t="shared" si="30"/>
        <v>1423.39471961538</v>
      </c>
      <c r="AD82" s="74">
        <f t="shared" si="31"/>
        <v>10073.1108253846</v>
      </c>
      <c r="AE82" s="74">
        <f t="shared" si="32"/>
        <v>1682.87517461539</v>
      </c>
    </row>
    <row r="83" customFormat="1" spans="1:31">
      <c r="A83" s="18"/>
      <c r="B83" s="19"/>
      <c r="C83" s="20">
        <v>240903000042</v>
      </c>
      <c r="D83" s="21">
        <v>45541</v>
      </c>
      <c r="E83" s="21" t="s">
        <v>43</v>
      </c>
      <c r="F83" s="19" t="s">
        <v>44</v>
      </c>
      <c r="G83" s="19" t="s">
        <v>121</v>
      </c>
      <c r="H83" s="19">
        <v>26</v>
      </c>
      <c r="I83" s="45"/>
      <c r="J83" s="54">
        <v>336966</v>
      </c>
      <c r="K83" s="43"/>
      <c r="L83" s="49">
        <f t="shared" si="50"/>
        <v>1695</v>
      </c>
      <c r="M83" s="50">
        <v>198.8</v>
      </c>
      <c r="N83" s="44">
        <v>7.08</v>
      </c>
      <c r="O83" s="45">
        <f t="shared" si="51"/>
        <v>1407.504</v>
      </c>
      <c r="P83" s="51"/>
      <c r="Q83" s="51"/>
      <c r="R83" s="74">
        <f t="shared" si="36"/>
        <v>1114.55</v>
      </c>
      <c r="S83" s="74"/>
      <c r="T83" s="75">
        <f t="shared" si="37"/>
        <v>4.31875</v>
      </c>
      <c r="U83" s="74"/>
      <c r="V83" s="74"/>
      <c r="W83" s="76">
        <f t="shared" si="28"/>
        <v>1118.86875</v>
      </c>
      <c r="X83" s="77">
        <f t="shared" si="38"/>
        <v>26.00575</v>
      </c>
      <c r="Y83" s="77"/>
      <c r="Z83" s="77"/>
      <c r="AA83" s="77">
        <f t="shared" si="29"/>
        <v>26.00575</v>
      </c>
      <c r="AB83" s="86">
        <v>7.08</v>
      </c>
      <c r="AC83" s="74">
        <f t="shared" si="30"/>
        <v>184.12071</v>
      </c>
      <c r="AD83" s="74">
        <f t="shared" ref="AD83:AD92" si="52">SUM(W83+AC83)</f>
        <v>1302.98946</v>
      </c>
      <c r="AE83" s="74">
        <f t="shared" si="32"/>
        <v>104.51454</v>
      </c>
    </row>
    <row r="84" customFormat="1" spans="1:31">
      <c r="A84" s="18"/>
      <c r="B84" s="19"/>
      <c r="C84" s="20">
        <v>240903000043</v>
      </c>
      <c r="D84" s="21">
        <v>45541</v>
      </c>
      <c r="E84" s="21" t="s">
        <v>50</v>
      </c>
      <c r="F84" s="19" t="s">
        <v>51</v>
      </c>
      <c r="G84" s="19" t="s">
        <v>122</v>
      </c>
      <c r="H84" s="19">
        <v>3.5</v>
      </c>
      <c r="I84" s="41">
        <v>196</v>
      </c>
      <c r="J84" s="53"/>
      <c r="K84" s="43"/>
      <c r="L84" s="19"/>
      <c r="M84" s="43"/>
      <c r="N84" s="44"/>
      <c r="O84" s="45">
        <f t="shared" ref="O84:O88" si="53">SUM(I84)</f>
        <v>196</v>
      </c>
      <c r="P84" s="52"/>
      <c r="Q84" s="52"/>
      <c r="R84" s="74">
        <f t="shared" si="36"/>
        <v>150.035576923077</v>
      </c>
      <c r="S84" s="74"/>
      <c r="T84" s="75">
        <f t="shared" si="37"/>
        <v>0.581370192307692</v>
      </c>
      <c r="U84" s="74"/>
      <c r="V84" s="74"/>
      <c r="W84" s="76">
        <f t="shared" ref="W84:W92" si="54">SUM(R84:V84)</f>
        <v>150.616947115385</v>
      </c>
      <c r="X84" s="77">
        <f t="shared" si="38"/>
        <v>3.50077403846154</v>
      </c>
      <c r="Y84" s="77"/>
      <c r="Z84" s="77"/>
      <c r="AA84" s="77">
        <f t="shared" ref="AA84:AA92" si="55">SUM(X84:Z84)</f>
        <v>3.50077403846154</v>
      </c>
      <c r="AB84" s="86">
        <v>7.08</v>
      </c>
      <c r="AC84" s="74">
        <f t="shared" ref="AC84:AC92" si="56">SUM(AA84*AB84)</f>
        <v>24.7854801923077</v>
      </c>
      <c r="AD84" s="74">
        <f t="shared" si="52"/>
        <v>175.402427307692</v>
      </c>
      <c r="AE84" s="74">
        <f t="shared" ref="AE84:AE92" si="57">SUM(O84-AD84)</f>
        <v>20.5975726923077</v>
      </c>
    </row>
    <row r="85" customFormat="1" spans="1:31">
      <c r="A85" s="18" t="s">
        <v>123</v>
      </c>
      <c r="B85" s="19" t="s">
        <v>124</v>
      </c>
      <c r="C85" s="20">
        <v>240902000012</v>
      </c>
      <c r="D85" s="21">
        <v>45542</v>
      </c>
      <c r="E85" s="21" t="s">
        <v>50</v>
      </c>
      <c r="F85" s="19" t="s">
        <v>51</v>
      </c>
      <c r="G85" s="19" t="s">
        <v>125</v>
      </c>
      <c r="H85" s="19">
        <v>0.98</v>
      </c>
      <c r="I85" s="47"/>
      <c r="J85" s="54">
        <v>27025</v>
      </c>
      <c r="K85" s="43"/>
      <c r="L85" s="49">
        <f t="shared" ref="L85:L90" si="58">SUM(J85/M85)</f>
        <v>1664.10098522168</v>
      </c>
      <c r="M85" s="50">
        <v>16.24</v>
      </c>
      <c r="N85" s="44">
        <v>7.08</v>
      </c>
      <c r="O85" s="45">
        <f t="shared" ref="O85:O90" si="59">SUM(M85*N85)</f>
        <v>114.9792</v>
      </c>
      <c r="P85" s="46">
        <f>SUM(O85:O92)</f>
        <v>4862.1636</v>
      </c>
      <c r="Q85" s="46" t="s">
        <v>40</v>
      </c>
      <c r="R85" s="74">
        <f>SUM(2400/32)*H85</f>
        <v>73.5</v>
      </c>
      <c r="S85" s="74"/>
      <c r="T85" s="75">
        <f>SUM(87.49/32)*H85</f>
        <v>2.67938125</v>
      </c>
      <c r="U85" s="74"/>
      <c r="V85" s="74"/>
      <c r="W85" s="76">
        <f t="shared" si="54"/>
        <v>76.17938125</v>
      </c>
      <c r="X85" s="77">
        <f>SUM(129.49/32)*H85</f>
        <v>3.96563125</v>
      </c>
      <c r="Y85" s="77"/>
      <c r="Z85" s="77"/>
      <c r="AA85" s="77">
        <f t="shared" si="55"/>
        <v>3.96563125</v>
      </c>
      <c r="AB85" s="86">
        <v>7.08</v>
      </c>
      <c r="AC85" s="74">
        <f t="shared" si="56"/>
        <v>28.07666925</v>
      </c>
      <c r="AD85" s="74">
        <f t="shared" si="52"/>
        <v>104.2560505</v>
      </c>
      <c r="AE85" s="74">
        <f t="shared" si="57"/>
        <v>10.7231495</v>
      </c>
    </row>
    <row r="86" customFormat="1" spans="1:31">
      <c r="A86" s="18"/>
      <c r="B86" s="19"/>
      <c r="C86" s="20">
        <v>240902000027</v>
      </c>
      <c r="D86" s="21">
        <v>45542</v>
      </c>
      <c r="E86" s="21" t="s">
        <v>43</v>
      </c>
      <c r="F86" s="19" t="s">
        <v>44</v>
      </c>
      <c r="G86" s="19" t="s">
        <v>126</v>
      </c>
      <c r="H86" s="19">
        <v>2.5</v>
      </c>
      <c r="I86" s="41">
        <v>345</v>
      </c>
      <c r="J86" s="53"/>
      <c r="K86" s="43"/>
      <c r="L86" s="19"/>
      <c r="M86" s="43"/>
      <c r="N86" s="44"/>
      <c r="O86" s="45">
        <f t="shared" si="53"/>
        <v>345</v>
      </c>
      <c r="P86" s="51"/>
      <c r="Q86" s="51"/>
      <c r="R86" s="74">
        <f t="shared" ref="R86:R93" si="60">SUM(2400/32)*H86</f>
        <v>187.5</v>
      </c>
      <c r="S86" s="74"/>
      <c r="T86" s="75">
        <f t="shared" ref="T86:T92" si="61">SUM(87.49/32)*H86</f>
        <v>6.83515625</v>
      </c>
      <c r="U86" s="74"/>
      <c r="V86" s="74"/>
      <c r="W86" s="76">
        <f t="shared" si="54"/>
        <v>194.33515625</v>
      </c>
      <c r="X86" s="77">
        <f t="shared" ref="X86:X92" si="62">SUM(129.49/32)*H86</f>
        <v>10.11640625</v>
      </c>
      <c r="Y86" s="77"/>
      <c r="Z86" s="77"/>
      <c r="AA86" s="77">
        <f t="shared" si="55"/>
        <v>10.11640625</v>
      </c>
      <c r="AB86" s="86">
        <v>7.08</v>
      </c>
      <c r="AC86" s="74">
        <f t="shared" si="56"/>
        <v>71.62415625</v>
      </c>
      <c r="AD86" s="74">
        <f t="shared" si="52"/>
        <v>265.9593125</v>
      </c>
      <c r="AE86" s="74">
        <f t="shared" si="57"/>
        <v>79.0406875</v>
      </c>
    </row>
    <row r="87" customFormat="1" spans="1:31">
      <c r="A87" s="18"/>
      <c r="B87" s="19"/>
      <c r="C87" s="20">
        <v>240902000058</v>
      </c>
      <c r="D87" s="21">
        <v>45542</v>
      </c>
      <c r="E87" s="21" t="s">
        <v>62</v>
      </c>
      <c r="F87" s="19" t="s">
        <v>63</v>
      </c>
      <c r="G87" s="19" t="s">
        <v>127</v>
      </c>
      <c r="H87" s="19">
        <v>4</v>
      </c>
      <c r="I87" s="41">
        <v>460</v>
      </c>
      <c r="J87" s="53"/>
      <c r="K87" s="43"/>
      <c r="L87" s="19"/>
      <c r="M87" s="43"/>
      <c r="N87" s="44"/>
      <c r="O87" s="45">
        <f t="shared" si="53"/>
        <v>460</v>
      </c>
      <c r="P87" s="51"/>
      <c r="Q87" s="51"/>
      <c r="R87" s="74">
        <f t="shared" si="60"/>
        <v>300</v>
      </c>
      <c r="S87" s="74"/>
      <c r="T87" s="75">
        <f t="shared" si="61"/>
        <v>10.93625</v>
      </c>
      <c r="U87" s="74"/>
      <c r="V87" s="74"/>
      <c r="W87" s="76">
        <f t="shared" si="54"/>
        <v>310.93625</v>
      </c>
      <c r="X87" s="77">
        <f t="shared" si="62"/>
        <v>16.18625</v>
      </c>
      <c r="Y87" s="77"/>
      <c r="Z87" s="77"/>
      <c r="AA87" s="77">
        <f t="shared" si="55"/>
        <v>16.18625</v>
      </c>
      <c r="AB87" s="86">
        <v>7.08</v>
      </c>
      <c r="AC87" s="74">
        <f t="shared" si="56"/>
        <v>114.59865</v>
      </c>
      <c r="AD87" s="74">
        <f t="shared" si="52"/>
        <v>425.5349</v>
      </c>
      <c r="AE87" s="74">
        <f t="shared" si="57"/>
        <v>34.4651</v>
      </c>
    </row>
    <row r="88" customFormat="1" spans="1:31">
      <c r="A88" s="18"/>
      <c r="B88" s="19"/>
      <c r="C88" s="20">
        <v>240903000022</v>
      </c>
      <c r="D88" s="21">
        <v>45542</v>
      </c>
      <c r="E88" s="21" t="s">
        <v>46</v>
      </c>
      <c r="F88" s="19" t="s">
        <v>47</v>
      </c>
      <c r="G88" s="19" t="s">
        <v>128</v>
      </c>
      <c r="H88" s="19">
        <v>7</v>
      </c>
      <c r="I88" s="41">
        <v>805</v>
      </c>
      <c r="J88" s="53"/>
      <c r="K88" s="43"/>
      <c r="L88" s="19"/>
      <c r="M88" s="43"/>
      <c r="N88" s="44"/>
      <c r="O88" s="45">
        <f t="shared" si="53"/>
        <v>805</v>
      </c>
      <c r="P88" s="51"/>
      <c r="Q88" s="51"/>
      <c r="R88" s="74">
        <f t="shared" si="60"/>
        <v>525</v>
      </c>
      <c r="S88" s="74"/>
      <c r="T88" s="75">
        <f t="shared" si="61"/>
        <v>19.1384375</v>
      </c>
      <c r="U88" s="74"/>
      <c r="V88" s="74"/>
      <c r="W88" s="76">
        <f t="shared" si="54"/>
        <v>544.1384375</v>
      </c>
      <c r="X88" s="77">
        <f t="shared" si="62"/>
        <v>28.3259375</v>
      </c>
      <c r="Y88" s="77"/>
      <c r="Z88" s="77"/>
      <c r="AA88" s="77">
        <f t="shared" si="55"/>
        <v>28.3259375</v>
      </c>
      <c r="AB88" s="86">
        <v>7.08</v>
      </c>
      <c r="AC88" s="74">
        <f t="shared" si="56"/>
        <v>200.5476375</v>
      </c>
      <c r="AD88" s="74">
        <f t="shared" si="52"/>
        <v>744.686075</v>
      </c>
      <c r="AE88" s="74">
        <f t="shared" si="57"/>
        <v>60.3139249999999</v>
      </c>
    </row>
    <row r="89" customFormat="1" spans="1:31">
      <c r="A89" s="18"/>
      <c r="B89" s="19"/>
      <c r="C89" s="20">
        <v>240903000032</v>
      </c>
      <c r="D89" s="21">
        <v>45542</v>
      </c>
      <c r="E89" s="21" t="s">
        <v>96</v>
      </c>
      <c r="F89" s="19" t="s">
        <v>129</v>
      </c>
      <c r="G89" s="19" t="s">
        <v>130</v>
      </c>
      <c r="H89" s="19">
        <v>2</v>
      </c>
      <c r="I89" s="45"/>
      <c r="J89" s="54">
        <v>57291</v>
      </c>
      <c r="K89" s="43"/>
      <c r="L89" s="49">
        <f t="shared" si="58"/>
        <v>1695</v>
      </c>
      <c r="M89" s="50">
        <v>33.8</v>
      </c>
      <c r="N89" s="44">
        <v>7.08</v>
      </c>
      <c r="O89" s="45">
        <f t="shared" si="59"/>
        <v>239.304</v>
      </c>
      <c r="P89" s="51"/>
      <c r="Q89" s="51"/>
      <c r="R89" s="74">
        <f t="shared" si="60"/>
        <v>150</v>
      </c>
      <c r="S89" s="74"/>
      <c r="T89" s="75">
        <f t="shared" si="61"/>
        <v>5.468125</v>
      </c>
      <c r="U89" s="74"/>
      <c r="V89" s="74"/>
      <c r="W89" s="76">
        <f t="shared" si="54"/>
        <v>155.468125</v>
      </c>
      <c r="X89" s="77">
        <f t="shared" si="62"/>
        <v>8.093125</v>
      </c>
      <c r="Y89" s="77"/>
      <c r="Z89" s="77"/>
      <c r="AA89" s="77">
        <f t="shared" si="55"/>
        <v>8.093125</v>
      </c>
      <c r="AB89" s="86">
        <v>7.08</v>
      </c>
      <c r="AC89" s="74">
        <f t="shared" si="56"/>
        <v>57.299325</v>
      </c>
      <c r="AD89" s="74">
        <f t="shared" si="52"/>
        <v>212.76745</v>
      </c>
      <c r="AE89" s="74">
        <f t="shared" si="57"/>
        <v>26.53655</v>
      </c>
    </row>
    <row r="90" customFormat="1" spans="1:31">
      <c r="A90" s="18"/>
      <c r="B90" s="19"/>
      <c r="C90" s="20">
        <v>240903000048</v>
      </c>
      <c r="D90" s="21">
        <v>45542</v>
      </c>
      <c r="E90" s="21" t="s">
        <v>62</v>
      </c>
      <c r="F90" s="19" t="s">
        <v>63</v>
      </c>
      <c r="G90" s="19" t="s">
        <v>131</v>
      </c>
      <c r="H90" s="19">
        <v>3.5</v>
      </c>
      <c r="I90" s="47"/>
      <c r="J90" s="54">
        <v>94587</v>
      </c>
      <c r="K90" s="43"/>
      <c r="L90" s="49">
        <f t="shared" si="58"/>
        <v>1663.79947229551</v>
      </c>
      <c r="M90" s="50">
        <v>56.85</v>
      </c>
      <c r="N90" s="44">
        <v>7.08</v>
      </c>
      <c r="O90" s="45">
        <f t="shared" si="59"/>
        <v>402.498</v>
      </c>
      <c r="P90" s="51"/>
      <c r="Q90" s="51"/>
      <c r="R90" s="74">
        <f t="shared" si="60"/>
        <v>262.5</v>
      </c>
      <c r="S90" s="74"/>
      <c r="T90" s="75">
        <f t="shared" si="61"/>
        <v>9.56921875</v>
      </c>
      <c r="U90" s="74"/>
      <c r="V90" s="74"/>
      <c r="W90" s="76">
        <f t="shared" si="54"/>
        <v>272.06921875</v>
      </c>
      <c r="X90" s="77">
        <f t="shared" si="62"/>
        <v>14.16296875</v>
      </c>
      <c r="Y90" s="77"/>
      <c r="Z90" s="77"/>
      <c r="AA90" s="77">
        <f t="shared" si="55"/>
        <v>14.16296875</v>
      </c>
      <c r="AB90" s="86">
        <v>7.08</v>
      </c>
      <c r="AC90" s="74">
        <f t="shared" si="56"/>
        <v>100.27381875</v>
      </c>
      <c r="AD90" s="74">
        <f t="shared" si="52"/>
        <v>372.3430375</v>
      </c>
      <c r="AE90" s="74">
        <f t="shared" ref="AE90:AE101" si="63">SUM(O90-AD90)</f>
        <v>30.1549625</v>
      </c>
    </row>
    <row r="91" customFormat="1" spans="1:31">
      <c r="A91" s="18"/>
      <c r="B91" s="19"/>
      <c r="C91" s="20">
        <v>240905000006</v>
      </c>
      <c r="D91" s="21">
        <v>45542</v>
      </c>
      <c r="E91" s="21" t="s">
        <v>50</v>
      </c>
      <c r="F91" s="19" t="s">
        <v>51</v>
      </c>
      <c r="G91" s="19" t="s">
        <v>132</v>
      </c>
      <c r="H91" s="19">
        <v>7.5</v>
      </c>
      <c r="I91" s="41">
        <v>1750</v>
      </c>
      <c r="J91" s="53"/>
      <c r="K91" s="43"/>
      <c r="L91" s="19"/>
      <c r="M91" s="43"/>
      <c r="N91" s="44"/>
      <c r="O91" s="45">
        <f t="shared" ref="O91:O94" si="64">SUM(I91)</f>
        <v>1750</v>
      </c>
      <c r="P91" s="51"/>
      <c r="Q91" s="51"/>
      <c r="R91" s="74">
        <f t="shared" si="60"/>
        <v>562.5</v>
      </c>
      <c r="S91" s="74"/>
      <c r="T91" s="75">
        <f t="shared" si="61"/>
        <v>20.50546875</v>
      </c>
      <c r="U91" s="74"/>
      <c r="V91" s="74"/>
      <c r="W91" s="76">
        <f t="shared" si="54"/>
        <v>583.00546875</v>
      </c>
      <c r="X91" s="77">
        <f t="shared" si="62"/>
        <v>30.34921875</v>
      </c>
      <c r="Y91" s="77"/>
      <c r="Z91" s="77"/>
      <c r="AA91" s="77">
        <f t="shared" ref="AA91:AA101" si="65">SUM(X91:Z91)</f>
        <v>30.34921875</v>
      </c>
      <c r="AB91" s="86">
        <v>7.08</v>
      </c>
      <c r="AC91" s="74">
        <f t="shared" ref="AC91:AC101" si="66">SUM(AA91*AB91)</f>
        <v>214.87246875</v>
      </c>
      <c r="AD91" s="74">
        <f t="shared" ref="AD91:AD101" si="67">SUM(W91+AC91)</f>
        <v>797.8779375</v>
      </c>
      <c r="AE91" s="74">
        <f t="shared" si="63"/>
        <v>952.1220625</v>
      </c>
    </row>
    <row r="92" customFormat="1" spans="1:31">
      <c r="A92" s="18"/>
      <c r="B92" s="19"/>
      <c r="C92" s="20">
        <v>240906000012</v>
      </c>
      <c r="D92" s="21">
        <v>45542</v>
      </c>
      <c r="E92" s="21" t="s">
        <v>41</v>
      </c>
      <c r="F92" s="19" t="s">
        <v>133</v>
      </c>
      <c r="G92" s="19" t="s">
        <v>134</v>
      </c>
      <c r="H92" s="19">
        <v>6.5</v>
      </c>
      <c r="I92" s="45"/>
      <c r="J92" s="54">
        <v>178450</v>
      </c>
      <c r="K92" s="43"/>
      <c r="L92" s="49">
        <f t="shared" ref="L92:L97" si="68">SUM(J92/M92)</f>
        <v>1695.0037993921</v>
      </c>
      <c r="M92" s="50">
        <v>105.28</v>
      </c>
      <c r="N92" s="44">
        <v>7.08</v>
      </c>
      <c r="O92" s="45">
        <f t="shared" ref="O92:O97" si="69">SUM(M92*N92)</f>
        <v>745.3824</v>
      </c>
      <c r="P92" s="52"/>
      <c r="Q92" s="52"/>
      <c r="R92" s="74">
        <f t="shared" si="60"/>
        <v>487.5</v>
      </c>
      <c r="S92" s="74"/>
      <c r="T92" s="75">
        <f t="shared" si="61"/>
        <v>17.77140625</v>
      </c>
      <c r="U92" s="74"/>
      <c r="V92" s="74"/>
      <c r="W92" s="76">
        <f t="shared" ref="W92:W101" si="70">SUM(R92:V92)</f>
        <v>505.27140625</v>
      </c>
      <c r="X92" s="77">
        <f t="shared" si="62"/>
        <v>26.30265625</v>
      </c>
      <c r="Y92" s="77"/>
      <c r="Z92" s="77"/>
      <c r="AA92" s="77">
        <f t="shared" si="65"/>
        <v>26.30265625</v>
      </c>
      <c r="AB92" s="86">
        <v>7.08</v>
      </c>
      <c r="AC92" s="74">
        <f t="shared" si="66"/>
        <v>186.22280625</v>
      </c>
      <c r="AD92" s="74">
        <f t="shared" si="67"/>
        <v>691.4942125</v>
      </c>
      <c r="AE92" s="74">
        <f t="shared" si="63"/>
        <v>53.8881875</v>
      </c>
    </row>
    <row r="93" customFormat="1" spans="1:31">
      <c r="A93" s="18" t="s">
        <v>135</v>
      </c>
      <c r="B93" s="19" t="s">
        <v>136</v>
      </c>
      <c r="C93" s="20">
        <v>240903000010</v>
      </c>
      <c r="D93" s="21">
        <v>45543</v>
      </c>
      <c r="E93" s="21" t="s">
        <v>43</v>
      </c>
      <c r="F93" s="19" t="s">
        <v>44</v>
      </c>
      <c r="G93" s="19" t="s">
        <v>137</v>
      </c>
      <c r="H93" s="19">
        <v>0.8</v>
      </c>
      <c r="I93" s="41">
        <v>150</v>
      </c>
      <c r="J93" s="53"/>
      <c r="K93" s="43"/>
      <c r="L93" s="19"/>
      <c r="M93" s="43"/>
      <c r="N93" s="44"/>
      <c r="O93" s="45">
        <f t="shared" si="64"/>
        <v>150</v>
      </c>
      <c r="P93" s="46">
        <f>SUM(O93:O101)</f>
        <v>4865.3652</v>
      </c>
      <c r="Q93" s="46" t="s">
        <v>40</v>
      </c>
      <c r="R93" s="74">
        <f t="shared" si="60"/>
        <v>60</v>
      </c>
      <c r="S93" s="74"/>
      <c r="T93" s="74">
        <v>0</v>
      </c>
      <c r="U93" s="74"/>
      <c r="V93" s="74"/>
      <c r="W93" s="76">
        <f t="shared" si="70"/>
        <v>60</v>
      </c>
      <c r="X93" s="77">
        <f>SUM(77.05/32)*H93</f>
        <v>1.92625</v>
      </c>
      <c r="Y93" s="77"/>
      <c r="Z93" s="77"/>
      <c r="AA93" s="77">
        <f t="shared" si="65"/>
        <v>1.92625</v>
      </c>
      <c r="AB93" s="86">
        <v>7.08</v>
      </c>
      <c r="AC93" s="74">
        <f t="shared" si="66"/>
        <v>13.63785</v>
      </c>
      <c r="AD93" s="74">
        <f t="shared" si="67"/>
        <v>73.63785</v>
      </c>
      <c r="AE93" s="74">
        <f t="shared" si="63"/>
        <v>76.36215</v>
      </c>
    </row>
    <row r="94" customFormat="1" spans="1:31">
      <c r="A94" s="18"/>
      <c r="B94" s="19"/>
      <c r="C94" s="20">
        <v>240904000043</v>
      </c>
      <c r="D94" s="21">
        <v>45543</v>
      </c>
      <c r="E94" s="21" t="s">
        <v>41</v>
      </c>
      <c r="F94" s="19" t="s">
        <v>68</v>
      </c>
      <c r="G94" s="19" t="s">
        <v>69</v>
      </c>
      <c r="H94" s="19">
        <v>7</v>
      </c>
      <c r="I94" s="41">
        <v>1050</v>
      </c>
      <c r="J94" s="53"/>
      <c r="K94" s="43"/>
      <c r="L94" s="19"/>
      <c r="M94" s="43"/>
      <c r="N94" s="44"/>
      <c r="O94" s="45">
        <f t="shared" si="64"/>
        <v>1050</v>
      </c>
      <c r="P94" s="51"/>
      <c r="Q94" s="51"/>
      <c r="R94" s="74">
        <f t="shared" ref="R94:R102" si="71">SUM(2400/32)*H94</f>
        <v>525</v>
      </c>
      <c r="S94" s="74"/>
      <c r="T94" s="74">
        <v>0</v>
      </c>
      <c r="U94" s="74"/>
      <c r="V94" s="74"/>
      <c r="W94" s="76">
        <f t="shared" si="70"/>
        <v>525</v>
      </c>
      <c r="X94" s="77">
        <f t="shared" ref="X94:X101" si="72">SUM(77.05/32)*H94</f>
        <v>16.8546875</v>
      </c>
      <c r="Y94" s="77"/>
      <c r="Z94" s="77"/>
      <c r="AA94" s="77">
        <f t="shared" si="65"/>
        <v>16.8546875</v>
      </c>
      <c r="AB94" s="86">
        <v>7.08</v>
      </c>
      <c r="AC94" s="74">
        <f t="shared" si="66"/>
        <v>119.3311875</v>
      </c>
      <c r="AD94" s="74">
        <f t="shared" si="67"/>
        <v>644.3311875</v>
      </c>
      <c r="AE94" s="74">
        <f t="shared" si="63"/>
        <v>405.6688125</v>
      </c>
    </row>
    <row r="95" customFormat="1" spans="1:31">
      <c r="A95" s="18"/>
      <c r="B95" s="19"/>
      <c r="C95" s="20">
        <v>240905000002</v>
      </c>
      <c r="D95" s="21">
        <v>45543</v>
      </c>
      <c r="E95" s="21" t="s">
        <v>50</v>
      </c>
      <c r="F95" s="19" t="s">
        <v>51</v>
      </c>
      <c r="G95" s="19" t="s">
        <v>138</v>
      </c>
      <c r="H95" s="19">
        <v>0.52</v>
      </c>
      <c r="I95" s="47"/>
      <c r="J95" s="54">
        <v>18375</v>
      </c>
      <c r="K95" s="43"/>
      <c r="L95" s="49">
        <f t="shared" si="68"/>
        <v>1735.12747875354</v>
      </c>
      <c r="M95" s="50">
        <v>10.59</v>
      </c>
      <c r="N95" s="44">
        <v>7.08</v>
      </c>
      <c r="O95" s="45">
        <f t="shared" si="69"/>
        <v>74.9772</v>
      </c>
      <c r="P95" s="51"/>
      <c r="Q95" s="51"/>
      <c r="R95" s="74">
        <f t="shared" si="71"/>
        <v>39</v>
      </c>
      <c r="S95" s="74"/>
      <c r="T95" s="74">
        <v>0</v>
      </c>
      <c r="U95" s="74"/>
      <c r="V95" s="74"/>
      <c r="W95" s="76">
        <f t="shared" si="70"/>
        <v>39</v>
      </c>
      <c r="X95" s="77">
        <f t="shared" si="72"/>
        <v>1.2520625</v>
      </c>
      <c r="Y95" s="77"/>
      <c r="Z95" s="77"/>
      <c r="AA95" s="77">
        <f t="shared" si="65"/>
        <v>1.2520625</v>
      </c>
      <c r="AB95" s="86">
        <v>7.08</v>
      </c>
      <c r="AC95" s="74">
        <f t="shared" si="66"/>
        <v>8.8646025</v>
      </c>
      <c r="AD95" s="74">
        <f t="shared" si="67"/>
        <v>47.8646025</v>
      </c>
      <c r="AE95" s="74">
        <f t="shared" si="63"/>
        <v>27.1125975</v>
      </c>
    </row>
    <row r="96" customFormat="1" spans="1:31">
      <c r="A96" s="18"/>
      <c r="B96" s="19"/>
      <c r="C96" s="20">
        <v>240905000003</v>
      </c>
      <c r="D96" s="21">
        <v>45543</v>
      </c>
      <c r="E96" s="21" t="s">
        <v>50</v>
      </c>
      <c r="F96" s="19" t="s">
        <v>51</v>
      </c>
      <c r="G96" s="19" t="s">
        <v>139</v>
      </c>
      <c r="H96" s="19">
        <v>3.5</v>
      </c>
      <c r="I96" s="41">
        <v>402.5</v>
      </c>
      <c r="J96" s="53"/>
      <c r="K96" s="43"/>
      <c r="L96" s="19"/>
      <c r="M96" s="43"/>
      <c r="N96" s="44"/>
      <c r="O96" s="45">
        <f t="shared" ref="O96:O101" si="73">SUM(I96)</f>
        <v>402.5</v>
      </c>
      <c r="P96" s="51"/>
      <c r="Q96" s="51"/>
      <c r="R96" s="74">
        <f t="shared" si="71"/>
        <v>262.5</v>
      </c>
      <c r="S96" s="74"/>
      <c r="T96" s="74">
        <v>0</v>
      </c>
      <c r="U96" s="74"/>
      <c r="V96" s="74"/>
      <c r="W96" s="76">
        <f t="shared" si="70"/>
        <v>262.5</v>
      </c>
      <c r="X96" s="77">
        <f t="shared" si="72"/>
        <v>8.42734375</v>
      </c>
      <c r="Y96" s="77"/>
      <c r="Z96" s="77"/>
      <c r="AA96" s="77">
        <f t="shared" si="65"/>
        <v>8.42734375</v>
      </c>
      <c r="AB96" s="86">
        <v>7.08</v>
      </c>
      <c r="AC96" s="74">
        <f t="shared" si="66"/>
        <v>59.66559375</v>
      </c>
      <c r="AD96" s="74">
        <f t="shared" si="67"/>
        <v>322.16559375</v>
      </c>
      <c r="AE96" s="74">
        <f t="shared" si="63"/>
        <v>80.33440625</v>
      </c>
    </row>
    <row r="97" customFormat="1" spans="1:31">
      <c r="A97" s="18"/>
      <c r="B97" s="19"/>
      <c r="C97" s="20">
        <v>240905000013</v>
      </c>
      <c r="D97" s="21">
        <v>45543</v>
      </c>
      <c r="E97" s="21" t="s">
        <v>46</v>
      </c>
      <c r="F97" s="19">
        <v>13635229849</v>
      </c>
      <c r="G97" s="19" t="s">
        <v>140</v>
      </c>
      <c r="H97" s="19">
        <v>0.55</v>
      </c>
      <c r="I97" s="45"/>
      <c r="J97" s="54">
        <v>28239</v>
      </c>
      <c r="K97" s="43"/>
      <c r="L97" s="49">
        <f t="shared" si="68"/>
        <v>1695.01800720288</v>
      </c>
      <c r="M97" s="50">
        <v>16.66</v>
      </c>
      <c r="N97" s="44">
        <v>7.08</v>
      </c>
      <c r="O97" s="45">
        <f t="shared" si="69"/>
        <v>117.9528</v>
      </c>
      <c r="P97" s="51"/>
      <c r="Q97" s="51"/>
      <c r="R97" s="74">
        <f t="shared" si="71"/>
        <v>41.25</v>
      </c>
      <c r="S97" s="74"/>
      <c r="T97" s="74">
        <v>0</v>
      </c>
      <c r="U97" s="74"/>
      <c r="V97" s="74"/>
      <c r="W97" s="76">
        <f t="shared" si="70"/>
        <v>41.25</v>
      </c>
      <c r="X97" s="77">
        <f t="shared" si="72"/>
        <v>1.324296875</v>
      </c>
      <c r="Y97" s="77"/>
      <c r="Z97" s="77"/>
      <c r="AA97" s="77">
        <f t="shared" si="65"/>
        <v>1.324296875</v>
      </c>
      <c r="AB97" s="86">
        <v>7.08</v>
      </c>
      <c r="AC97" s="74">
        <f t="shared" si="66"/>
        <v>9.376021875</v>
      </c>
      <c r="AD97" s="74">
        <f t="shared" si="67"/>
        <v>50.626021875</v>
      </c>
      <c r="AE97" s="74">
        <f t="shared" si="63"/>
        <v>67.326778125</v>
      </c>
    </row>
    <row r="98" customFormat="1" spans="1:31">
      <c r="A98" s="18"/>
      <c r="B98" s="19"/>
      <c r="C98" s="20">
        <v>240905000035</v>
      </c>
      <c r="D98" s="21">
        <v>45543</v>
      </c>
      <c r="E98" s="21" t="s">
        <v>50</v>
      </c>
      <c r="F98" s="19" t="s">
        <v>51</v>
      </c>
      <c r="G98" s="19" t="s">
        <v>141</v>
      </c>
      <c r="H98" s="19">
        <v>10.5</v>
      </c>
      <c r="I98" s="41">
        <v>1417.5</v>
      </c>
      <c r="J98" s="53"/>
      <c r="K98" s="43"/>
      <c r="L98" s="19"/>
      <c r="M98" s="43"/>
      <c r="N98" s="44"/>
      <c r="O98" s="45">
        <f t="shared" si="73"/>
        <v>1417.5</v>
      </c>
      <c r="P98" s="51"/>
      <c r="Q98" s="51"/>
      <c r="R98" s="74">
        <f t="shared" si="71"/>
        <v>787.5</v>
      </c>
      <c r="S98" s="74"/>
      <c r="T98" s="74">
        <v>0</v>
      </c>
      <c r="U98" s="74"/>
      <c r="V98" s="74"/>
      <c r="W98" s="76">
        <f t="shared" si="70"/>
        <v>787.5</v>
      </c>
      <c r="X98" s="77">
        <f t="shared" si="72"/>
        <v>25.28203125</v>
      </c>
      <c r="Y98" s="77"/>
      <c r="Z98" s="77"/>
      <c r="AA98" s="77">
        <f t="shared" si="65"/>
        <v>25.28203125</v>
      </c>
      <c r="AB98" s="86">
        <v>7.08</v>
      </c>
      <c r="AC98" s="74">
        <f t="shared" si="66"/>
        <v>178.99678125</v>
      </c>
      <c r="AD98" s="74">
        <f t="shared" si="67"/>
        <v>966.49678125</v>
      </c>
      <c r="AE98" s="74">
        <f t="shared" si="63"/>
        <v>451.00321875</v>
      </c>
    </row>
    <row r="99" customFormat="1" spans="1:31">
      <c r="A99" s="18"/>
      <c r="B99" s="19"/>
      <c r="C99" s="20">
        <v>240906000001</v>
      </c>
      <c r="D99" s="21">
        <v>45543</v>
      </c>
      <c r="E99" s="21" t="s">
        <v>43</v>
      </c>
      <c r="F99" s="19" t="s">
        <v>44</v>
      </c>
      <c r="G99" s="19" t="s">
        <v>142</v>
      </c>
      <c r="H99" s="19">
        <v>0.64</v>
      </c>
      <c r="I99" s="87"/>
      <c r="J99" s="54">
        <v>28500</v>
      </c>
      <c r="K99" s="43"/>
      <c r="L99" s="49">
        <f>SUM(J99/M99)</f>
        <v>1682.40850059032</v>
      </c>
      <c r="M99" s="50">
        <v>16.94</v>
      </c>
      <c r="N99" s="44">
        <v>7.08</v>
      </c>
      <c r="O99" s="45">
        <f>SUM(M99*N99)</f>
        <v>119.9352</v>
      </c>
      <c r="P99" s="51"/>
      <c r="Q99" s="51"/>
      <c r="R99" s="74">
        <f t="shared" si="71"/>
        <v>48</v>
      </c>
      <c r="S99" s="74"/>
      <c r="T99" s="74">
        <v>0</v>
      </c>
      <c r="U99" s="74"/>
      <c r="V99" s="74"/>
      <c r="W99" s="76">
        <f t="shared" si="70"/>
        <v>48</v>
      </c>
      <c r="X99" s="77">
        <f t="shared" si="72"/>
        <v>1.541</v>
      </c>
      <c r="Y99" s="77"/>
      <c r="Z99" s="77"/>
      <c r="AA99" s="77">
        <f t="shared" si="65"/>
        <v>1.541</v>
      </c>
      <c r="AB99" s="86">
        <v>7.08</v>
      </c>
      <c r="AC99" s="74">
        <f t="shared" si="66"/>
        <v>10.91028</v>
      </c>
      <c r="AD99" s="74">
        <f t="shared" si="67"/>
        <v>58.91028</v>
      </c>
      <c r="AE99" s="74">
        <f t="shared" ref="AE99:AE108" si="74">SUM(O99-AD99)</f>
        <v>61.02492</v>
      </c>
    </row>
    <row r="100" customFormat="1" spans="1:31">
      <c r="A100" s="18"/>
      <c r="B100" s="19"/>
      <c r="C100" s="20">
        <v>240906000015</v>
      </c>
      <c r="D100" s="21">
        <v>45543</v>
      </c>
      <c r="E100" s="21" t="s">
        <v>46</v>
      </c>
      <c r="F100" s="19" t="s">
        <v>47</v>
      </c>
      <c r="G100" s="19" t="s">
        <v>143</v>
      </c>
      <c r="H100" s="19">
        <v>5.5</v>
      </c>
      <c r="I100" s="41">
        <v>632.5</v>
      </c>
      <c r="J100" s="53"/>
      <c r="K100" s="43"/>
      <c r="L100" s="19"/>
      <c r="M100" s="43"/>
      <c r="N100" s="44"/>
      <c r="O100" s="45">
        <f t="shared" si="73"/>
        <v>632.5</v>
      </c>
      <c r="P100" s="51"/>
      <c r="Q100" s="51"/>
      <c r="R100" s="74">
        <f t="shared" si="71"/>
        <v>412.5</v>
      </c>
      <c r="S100" s="74"/>
      <c r="T100" s="74">
        <v>0</v>
      </c>
      <c r="U100" s="74"/>
      <c r="V100" s="74"/>
      <c r="W100" s="76">
        <f t="shared" si="70"/>
        <v>412.5</v>
      </c>
      <c r="X100" s="77">
        <f t="shared" si="72"/>
        <v>13.24296875</v>
      </c>
      <c r="Y100" s="77"/>
      <c r="Z100" s="77"/>
      <c r="AA100" s="77">
        <f t="shared" si="65"/>
        <v>13.24296875</v>
      </c>
      <c r="AB100" s="86">
        <v>7.08</v>
      </c>
      <c r="AC100" s="74">
        <f t="shared" si="66"/>
        <v>93.76021875</v>
      </c>
      <c r="AD100" s="74">
        <f t="shared" ref="AD100:AD108" si="75">SUM(W100+AC100)</f>
        <v>506.26021875</v>
      </c>
      <c r="AE100" s="74">
        <f t="shared" si="74"/>
        <v>126.23978125</v>
      </c>
    </row>
    <row r="101" customFormat="1" spans="1:31">
      <c r="A101" s="18"/>
      <c r="B101" s="19"/>
      <c r="C101" s="20">
        <v>240906000025</v>
      </c>
      <c r="D101" s="21">
        <v>45543</v>
      </c>
      <c r="E101" s="21" t="s">
        <v>50</v>
      </c>
      <c r="F101" s="19" t="s">
        <v>51</v>
      </c>
      <c r="G101" s="19" t="s">
        <v>144</v>
      </c>
      <c r="H101" s="19">
        <v>7.5</v>
      </c>
      <c r="I101" s="41">
        <v>900</v>
      </c>
      <c r="J101" s="53"/>
      <c r="K101" s="43"/>
      <c r="L101" s="19"/>
      <c r="M101" s="43"/>
      <c r="N101" s="44"/>
      <c r="O101" s="45">
        <f t="shared" si="73"/>
        <v>900</v>
      </c>
      <c r="P101" s="52"/>
      <c r="Q101" s="52"/>
      <c r="R101" s="74">
        <f t="shared" si="71"/>
        <v>562.5</v>
      </c>
      <c r="S101" s="74"/>
      <c r="T101" s="74">
        <v>0</v>
      </c>
      <c r="U101" s="74"/>
      <c r="V101" s="74"/>
      <c r="W101" s="76">
        <f t="shared" ref="W101:W108" si="76">SUM(R101:V101)</f>
        <v>562.5</v>
      </c>
      <c r="X101" s="77">
        <f t="shared" si="72"/>
        <v>18.05859375</v>
      </c>
      <c r="Y101" s="77"/>
      <c r="Z101" s="77"/>
      <c r="AA101" s="77">
        <f t="shared" ref="AA101:AA108" si="77">SUM(X101:Z101)</f>
        <v>18.05859375</v>
      </c>
      <c r="AB101" s="86">
        <v>7.08</v>
      </c>
      <c r="AC101" s="74">
        <f t="shared" ref="AC101:AC108" si="78">SUM(AA101*AB101)</f>
        <v>127.85484375</v>
      </c>
      <c r="AD101" s="74">
        <f t="shared" si="75"/>
        <v>690.35484375</v>
      </c>
      <c r="AE101" s="74">
        <f t="shared" si="74"/>
        <v>209.64515625</v>
      </c>
    </row>
    <row r="102" customFormat="1" spans="1:31">
      <c r="A102" s="18" t="s">
        <v>145</v>
      </c>
      <c r="B102" s="19" t="s">
        <v>146</v>
      </c>
      <c r="C102" s="20">
        <v>240904000013</v>
      </c>
      <c r="D102" s="21">
        <v>45544</v>
      </c>
      <c r="E102" s="21" t="s">
        <v>50</v>
      </c>
      <c r="F102" s="19" t="s">
        <v>51</v>
      </c>
      <c r="G102" s="19" t="s">
        <v>52</v>
      </c>
      <c r="H102" s="19">
        <v>2</v>
      </c>
      <c r="I102" s="47"/>
      <c r="J102" s="54">
        <v>120105</v>
      </c>
      <c r="K102" s="43"/>
      <c r="L102" s="49">
        <f>SUM(J102/M102)</f>
        <v>1667.43023740108</v>
      </c>
      <c r="M102" s="50">
        <v>72.03</v>
      </c>
      <c r="N102" s="44">
        <v>7.08</v>
      </c>
      <c r="O102" s="45">
        <f>SUM(M102*N102)</f>
        <v>509.9724</v>
      </c>
      <c r="P102" s="46">
        <f>SUM(O102:O108)</f>
        <v>4564.2556</v>
      </c>
      <c r="Q102" s="46" t="s">
        <v>40</v>
      </c>
      <c r="R102" s="74">
        <f t="shared" si="71"/>
        <v>150</v>
      </c>
      <c r="S102" s="74"/>
      <c r="T102" s="75">
        <f>SUM(82.49/32)*H102</f>
        <v>5.155625</v>
      </c>
      <c r="U102" s="74"/>
      <c r="V102" s="74"/>
      <c r="W102" s="76">
        <f t="shared" si="76"/>
        <v>155.155625</v>
      </c>
      <c r="X102" s="77">
        <f>SUM(139.47/32)*H102</f>
        <v>8.716875</v>
      </c>
      <c r="Y102" s="77"/>
      <c r="Z102" s="77"/>
      <c r="AA102" s="77">
        <f t="shared" si="77"/>
        <v>8.716875</v>
      </c>
      <c r="AB102" s="86">
        <v>7.08</v>
      </c>
      <c r="AC102" s="74">
        <f t="shared" si="78"/>
        <v>61.715475</v>
      </c>
      <c r="AD102" s="74">
        <f t="shared" si="75"/>
        <v>216.8711</v>
      </c>
      <c r="AE102" s="74">
        <f t="shared" si="74"/>
        <v>293.1013</v>
      </c>
    </row>
    <row r="103" customFormat="1" spans="1:31">
      <c r="A103" s="18"/>
      <c r="B103" s="19"/>
      <c r="C103" s="20">
        <v>240905000037</v>
      </c>
      <c r="D103" s="21">
        <v>45544</v>
      </c>
      <c r="E103" s="21" t="s">
        <v>41</v>
      </c>
      <c r="F103" s="19" t="s">
        <v>41</v>
      </c>
      <c r="G103" s="19" t="s">
        <v>147</v>
      </c>
      <c r="H103" s="19">
        <v>1.5</v>
      </c>
      <c r="I103" s="41">
        <v>180</v>
      </c>
      <c r="J103" s="53"/>
      <c r="K103" s="43"/>
      <c r="L103" s="19"/>
      <c r="M103" s="43"/>
      <c r="N103" s="44"/>
      <c r="O103" s="45">
        <f t="shared" ref="O103:O107" si="79">SUM(I103)</f>
        <v>180</v>
      </c>
      <c r="P103" s="51"/>
      <c r="Q103" s="51"/>
      <c r="R103" s="74">
        <f t="shared" ref="R103:R108" si="80">SUM(2400/32)*H103</f>
        <v>112.5</v>
      </c>
      <c r="S103" s="74"/>
      <c r="T103" s="75">
        <f t="shared" ref="T103:T108" si="81">SUM(82.49/32)*H103</f>
        <v>3.86671875</v>
      </c>
      <c r="U103" s="74"/>
      <c r="V103" s="74"/>
      <c r="W103" s="76">
        <f t="shared" si="76"/>
        <v>116.36671875</v>
      </c>
      <c r="X103" s="77">
        <f t="shared" ref="X103:X108" si="82">SUM(139.47/32)*H103</f>
        <v>6.53765625</v>
      </c>
      <c r="Y103" s="77"/>
      <c r="Z103" s="77"/>
      <c r="AA103" s="77">
        <f t="shared" si="77"/>
        <v>6.53765625</v>
      </c>
      <c r="AB103" s="86">
        <v>7.08</v>
      </c>
      <c r="AC103" s="74">
        <f t="shared" si="78"/>
        <v>46.28660625</v>
      </c>
      <c r="AD103" s="74">
        <f t="shared" si="75"/>
        <v>162.653325</v>
      </c>
      <c r="AE103" s="74">
        <f t="shared" si="74"/>
        <v>17.346675</v>
      </c>
    </row>
    <row r="104" customFormat="1" spans="1:31">
      <c r="A104" s="18"/>
      <c r="B104" s="19"/>
      <c r="C104" s="20">
        <v>240906000007</v>
      </c>
      <c r="D104" s="21">
        <v>45544</v>
      </c>
      <c r="E104" s="21" t="s">
        <v>46</v>
      </c>
      <c r="F104" s="19" t="s">
        <v>47</v>
      </c>
      <c r="G104" s="19" t="s">
        <v>78</v>
      </c>
      <c r="H104" s="19">
        <v>7</v>
      </c>
      <c r="I104" s="41">
        <v>840</v>
      </c>
      <c r="J104" s="53"/>
      <c r="K104" s="43"/>
      <c r="L104" s="19"/>
      <c r="M104" s="43"/>
      <c r="N104" s="44"/>
      <c r="O104" s="45">
        <f t="shared" si="79"/>
        <v>840</v>
      </c>
      <c r="P104" s="51"/>
      <c r="Q104" s="51"/>
      <c r="R104" s="74">
        <f t="shared" si="80"/>
        <v>525</v>
      </c>
      <c r="S104" s="74"/>
      <c r="T104" s="75">
        <f t="shared" si="81"/>
        <v>18.0446875</v>
      </c>
      <c r="U104" s="74"/>
      <c r="V104" s="74"/>
      <c r="W104" s="76">
        <f t="shared" si="76"/>
        <v>543.0446875</v>
      </c>
      <c r="X104" s="77">
        <f t="shared" si="82"/>
        <v>30.5090625</v>
      </c>
      <c r="Y104" s="77"/>
      <c r="Z104" s="77"/>
      <c r="AA104" s="77">
        <f t="shared" si="77"/>
        <v>30.5090625</v>
      </c>
      <c r="AB104" s="86">
        <v>7.08</v>
      </c>
      <c r="AC104" s="74">
        <f t="shared" si="78"/>
        <v>216.0041625</v>
      </c>
      <c r="AD104" s="74">
        <f t="shared" si="75"/>
        <v>759.04885</v>
      </c>
      <c r="AE104" s="74">
        <f t="shared" ref="AE104:AE135" si="83">SUM(O104-AD104)</f>
        <v>80.95115</v>
      </c>
    </row>
    <row r="105" customFormat="1" spans="1:31">
      <c r="A105" s="18"/>
      <c r="B105" s="19"/>
      <c r="C105" s="20">
        <v>240906000010</v>
      </c>
      <c r="D105" s="21">
        <v>45544</v>
      </c>
      <c r="E105" s="21" t="s">
        <v>62</v>
      </c>
      <c r="F105" s="19" t="s">
        <v>63</v>
      </c>
      <c r="G105" s="19" t="s">
        <v>148</v>
      </c>
      <c r="H105" s="19">
        <v>0.58</v>
      </c>
      <c r="I105" s="47"/>
      <c r="J105" s="54">
        <v>27197.5</v>
      </c>
      <c r="K105" s="43"/>
      <c r="L105" s="49">
        <f>SUM(J105/M105)</f>
        <v>1674.72290640394</v>
      </c>
      <c r="M105" s="50">
        <v>16.24</v>
      </c>
      <c r="N105" s="44">
        <v>7.08</v>
      </c>
      <c r="O105" s="45">
        <f>SUM(M105*N105)</f>
        <v>114.9792</v>
      </c>
      <c r="P105" s="51"/>
      <c r="Q105" s="51"/>
      <c r="R105" s="74">
        <f t="shared" si="80"/>
        <v>43.5</v>
      </c>
      <c r="S105" s="74"/>
      <c r="T105" s="75">
        <f t="shared" si="81"/>
        <v>1.49513125</v>
      </c>
      <c r="U105" s="74"/>
      <c r="V105" s="74"/>
      <c r="W105" s="76">
        <f t="shared" si="76"/>
        <v>44.99513125</v>
      </c>
      <c r="X105" s="77">
        <f t="shared" si="82"/>
        <v>2.52789375</v>
      </c>
      <c r="Y105" s="77"/>
      <c r="Z105" s="77"/>
      <c r="AA105" s="77">
        <f t="shared" si="77"/>
        <v>2.52789375</v>
      </c>
      <c r="AB105" s="86">
        <v>7.08</v>
      </c>
      <c r="AC105" s="74">
        <f t="shared" si="78"/>
        <v>17.89748775</v>
      </c>
      <c r="AD105" s="74">
        <f t="shared" si="75"/>
        <v>62.892619</v>
      </c>
      <c r="AE105" s="74">
        <f t="shared" si="83"/>
        <v>52.086581</v>
      </c>
    </row>
    <row r="106" customFormat="1" spans="1:31">
      <c r="A106" s="18"/>
      <c r="B106" s="19"/>
      <c r="C106" s="20">
        <v>240906000029</v>
      </c>
      <c r="D106" s="21">
        <v>45544</v>
      </c>
      <c r="E106" s="21" t="s">
        <v>46</v>
      </c>
      <c r="F106" s="19" t="s">
        <v>47</v>
      </c>
      <c r="G106" s="19" t="s">
        <v>149</v>
      </c>
      <c r="H106" s="19">
        <v>20</v>
      </c>
      <c r="I106" s="41">
        <v>2400</v>
      </c>
      <c r="J106" s="53"/>
      <c r="K106" s="43"/>
      <c r="L106" s="19"/>
      <c r="M106" s="43"/>
      <c r="N106" s="44"/>
      <c r="O106" s="45">
        <f t="shared" si="79"/>
        <v>2400</v>
      </c>
      <c r="P106" s="51"/>
      <c r="Q106" s="51"/>
      <c r="R106" s="74">
        <f t="shared" si="80"/>
        <v>1500</v>
      </c>
      <c r="S106" s="74"/>
      <c r="T106" s="75">
        <f t="shared" si="81"/>
        <v>51.55625</v>
      </c>
      <c r="U106" s="74"/>
      <c r="V106" s="74"/>
      <c r="W106" s="76">
        <f t="shared" si="76"/>
        <v>1551.55625</v>
      </c>
      <c r="X106" s="77">
        <f t="shared" si="82"/>
        <v>87.16875</v>
      </c>
      <c r="Y106" s="77"/>
      <c r="Z106" s="77"/>
      <c r="AA106" s="77">
        <f t="shared" si="77"/>
        <v>87.16875</v>
      </c>
      <c r="AB106" s="86">
        <v>7.08</v>
      </c>
      <c r="AC106" s="74">
        <f t="shared" si="78"/>
        <v>617.15475</v>
      </c>
      <c r="AD106" s="74">
        <f t="shared" si="75"/>
        <v>2168.711</v>
      </c>
      <c r="AE106" s="74">
        <f t="shared" si="83"/>
        <v>231.289</v>
      </c>
    </row>
    <row r="107" customFormat="1" spans="1:31">
      <c r="A107" s="18"/>
      <c r="B107" s="19"/>
      <c r="C107" s="20">
        <v>240907000002</v>
      </c>
      <c r="D107" s="21">
        <v>45544</v>
      </c>
      <c r="E107" s="21" t="s">
        <v>62</v>
      </c>
      <c r="F107" s="19" t="s">
        <v>63</v>
      </c>
      <c r="G107" s="19" t="s">
        <v>150</v>
      </c>
      <c r="H107" s="19">
        <v>2</v>
      </c>
      <c r="I107" s="41">
        <v>280</v>
      </c>
      <c r="J107" s="53"/>
      <c r="K107" s="43"/>
      <c r="L107" s="19"/>
      <c r="M107" s="43"/>
      <c r="N107" s="44"/>
      <c r="O107" s="45">
        <f t="shared" si="79"/>
        <v>280</v>
      </c>
      <c r="P107" s="51"/>
      <c r="Q107" s="51"/>
      <c r="R107" s="74">
        <f t="shared" si="80"/>
        <v>150</v>
      </c>
      <c r="S107" s="74"/>
      <c r="T107" s="75">
        <f t="shared" si="81"/>
        <v>5.155625</v>
      </c>
      <c r="U107" s="74"/>
      <c r="V107" s="74"/>
      <c r="W107" s="76">
        <f t="shared" si="76"/>
        <v>155.155625</v>
      </c>
      <c r="X107" s="77">
        <f t="shared" si="82"/>
        <v>8.716875</v>
      </c>
      <c r="Y107" s="77">
        <v>6.9</v>
      </c>
      <c r="Z107" s="77"/>
      <c r="AA107" s="77">
        <f t="shared" si="77"/>
        <v>15.616875</v>
      </c>
      <c r="AB107" s="86">
        <v>7.08</v>
      </c>
      <c r="AC107" s="74">
        <f t="shared" ref="AC107:AC138" si="84">SUM(AA107*AB107)</f>
        <v>110.567475</v>
      </c>
      <c r="AD107" s="74">
        <f t="shared" ref="AD107:AD138" si="85">SUM(W107+AC107)</f>
        <v>265.7231</v>
      </c>
      <c r="AE107" s="74">
        <f t="shared" si="83"/>
        <v>14.2769</v>
      </c>
    </row>
    <row r="108" customFormat="1" spans="1:31">
      <c r="A108" s="18"/>
      <c r="B108" s="19"/>
      <c r="C108" s="20">
        <v>240907000013</v>
      </c>
      <c r="D108" s="21">
        <v>45544</v>
      </c>
      <c r="E108" s="21" t="s">
        <v>96</v>
      </c>
      <c r="F108" s="19" t="s">
        <v>129</v>
      </c>
      <c r="G108" s="19" t="s">
        <v>151</v>
      </c>
      <c r="H108" s="19">
        <v>2</v>
      </c>
      <c r="I108" s="45"/>
      <c r="J108" s="54">
        <v>57291</v>
      </c>
      <c r="K108" s="43"/>
      <c r="L108" s="49">
        <f>SUM(J108/M108)</f>
        <v>1695</v>
      </c>
      <c r="M108" s="50">
        <v>33.8</v>
      </c>
      <c r="N108" s="44">
        <v>7.08</v>
      </c>
      <c r="O108" s="45">
        <f>SUM(M108*N108)</f>
        <v>239.304</v>
      </c>
      <c r="P108" s="52"/>
      <c r="Q108" s="52"/>
      <c r="R108" s="74">
        <f t="shared" si="80"/>
        <v>150</v>
      </c>
      <c r="S108" s="74"/>
      <c r="T108" s="75">
        <f t="shared" si="81"/>
        <v>5.155625</v>
      </c>
      <c r="U108" s="74"/>
      <c r="V108" s="74"/>
      <c r="W108" s="76">
        <f t="shared" ref="W108:W139" si="86">SUM(R108:V108)</f>
        <v>155.155625</v>
      </c>
      <c r="X108" s="77">
        <f t="shared" si="82"/>
        <v>8.716875</v>
      </c>
      <c r="Y108" s="77"/>
      <c r="Z108" s="77"/>
      <c r="AA108" s="77">
        <f t="shared" ref="AA108:AA139" si="87">SUM(X108:Z108)</f>
        <v>8.716875</v>
      </c>
      <c r="AB108" s="86">
        <v>7.08</v>
      </c>
      <c r="AC108" s="74">
        <f t="shared" si="84"/>
        <v>61.715475</v>
      </c>
      <c r="AD108" s="74">
        <f t="shared" si="85"/>
        <v>216.8711</v>
      </c>
      <c r="AE108" s="74">
        <f t="shared" si="83"/>
        <v>22.4329</v>
      </c>
    </row>
    <row r="109" customFormat="1" spans="1:31">
      <c r="A109" s="18" t="s">
        <v>152</v>
      </c>
      <c r="B109" s="19" t="s">
        <v>153</v>
      </c>
      <c r="C109" s="20">
        <v>240827000003</v>
      </c>
      <c r="D109" s="21">
        <v>45544</v>
      </c>
      <c r="E109" s="21" t="s">
        <v>50</v>
      </c>
      <c r="F109" s="19" t="s">
        <v>51</v>
      </c>
      <c r="G109" s="19" t="s">
        <v>154</v>
      </c>
      <c r="H109" s="19">
        <v>4</v>
      </c>
      <c r="I109" s="41">
        <v>300</v>
      </c>
      <c r="J109" s="53"/>
      <c r="K109" s="43"/>
      <c r="L109" s="19"/>
      <c r="M109" s="43"/>
      <c r="N109" s="44"/>
      <c r="O109" s="45">
        <f t="shared" ref="O109:O113" si="88">SUM(I109)</f>
        <v>300</v>
      </c>
      <c r="P109" s="46">
        <f>SUM(O109:O157)</f>
        <v>127446.47277876</v>
      </c>
      <c r="Q109" s="46" t="s">
        <v>85</v>
      </c>
      <c r="R109" s="74">
        <f>SUM(99367.2/2029)*H109</f>
        <v>195.893937900444</v>
      </c>
      <c r="S109" s="74"/>
      <c r="T109" s="75">
        <f>SUM(125.87/2029)*H109</f>
        <v>0.248141941843273</v>
      </c>
      <c r="U109" s="74"/>
      <c r="V109" s="74"/>
      <c r="W109" s="76">
        <f t="shared" si="86"/>
        <v>196.142079842287</v>
      </c>
      <c r="X109" s="77">
        <f>SUM(1440.1/2029)*H109</f>
        <v>2.83903400689995</v>
      </c>
      <c r="Y109" s="77"/>
      <c r="Z109" s="77"/>
      <c r="AA109" s="77">
        <f t="shared" si="87"/>
        <v>2.83903400689995</v>
      </c>
      <c r="AB109" s="86">
        <v>7.08</v>
      </c>
      <c r="AC109" s="74">
        <f t="shared" si="84"/>
        <v>20.1003607688517</v>
      </c>
      <c r="AD109" s="74">
        <f t="shared" si="85"/>
        <v>216.242440611139</v>
      </c>
      <c r="AE109" s="74">
        <f t="shared" si="83"/>
        <v>83.7575593888615</v>
      </c>
    </row>
    <row r="110" customFormat="1" spans="1:31">
      <c r="A110" s="18"/>
      <c r="B110" s="19"/>
      <c r="C110" s="20">
        <v>240828000038</v>
      </c>
      <c r="D110" s="21">
        <v>45544</v>
      </c>
      <c r="E110" s="21" t="s">
        <v>50</v>
      </c>
      <c r="F110" s="19" t="s">
        <v>51</v>
      </c>
      <c r="G110" s="19" t="s">
        <v>86</v>
      </c>
      <c r="H110" s="19">
        <v>7</v>
      </c>
      <c r="I110" s="41">
        <v>442</v>
      </c>
      <c r="J110" s="53"/>
      <c r="K110" s="43"/>
      <c r="L110" s="19"/>
      <c r="M110" s="43"/>
      <c r="N110" s="44"/>
      <c r="O110" s="45">
        <f t="shared" si="88"/>
        <v>442</v>
      </c>
      <c r="P110" s="51"/>
      <c r="Q110" s="51"/>
      <c r="R110" s="74">
        <f t="shared" ref="R110:R157" si="89">SUM(99367.2/2029)*H110</f>
        <v>342.814391325776</v>
      </c>
      <c r="S110" s="74"/>
      <c r="T110" s="75">
        <f t="shared" ref="T110:T157" si="90">SUM(125.87/2029)*H110</f>
        <v>0.434248398225727</v>
      </c>
      <c r="U110" s="74"/>
      <c r="V110" s="74"/>
      <c r="W110" s="76">
        <f t="shared" si="86"/>
        <v>343.248639724002</v>
      </c>
      <c r="X110" s="77">
        <f t="shared" ref="X110:X157" si="91">SUM(1440.1/2029)*H110</f>
        <v>4.96830951207491</v>
      </c>
      <c r="Y110" s="77"/>
      <c r="Z110" s="77"/>
      <c r="AA110" s="77">
        <f t="shared" si="87"/>
        <v>4.96830951207491</v>
      </c>
      <c r="AB110" s="86">
        <v>7.08</v>
      </c>
      <c r="AC110" s="74">
        <f t="shared" si="84"/>
        <v>35.1756313454904</v>
      </c>
      <c r="AD110" s="74">
        <f t="shared" si="85"/>
        <v>378.424271069492</v>
      </c>
      <c r="AE110" s="74">
        <f t="shared" si="83"/>
        <v>63.5757289305076</v>
      </c>
    </row>
    <row r="111" customFormat="1" spans="1:31">
      <c r="A111" s="18"/>
      <c r="B111" s="19"/>
      <c r="C111" s="20">
        <v>240829000025</v>
      </c>
      <c r="D111" s="21">
        <v>45544</v>
      </c>
      <c r="E111" s="21" t="s">
        <v>37</v>
      </c>
      <c r="F111" s="19" t="s">
        <v>38</v>
      </c>
      <c r="G111" s="19" t="s">
        <v>155</v>
      </c>
      <c r="H111" s="19">
        <v>19.5</v>
      </c>
      <c r="I111" s="41">
        <v>1334</v>
      </c>
      <c r="J111" s="53"/>
      <c r="K111" s="43"/>
      <c r="L111" s="19"/>
      <c r="M111" s="43"/>
      <c r="N111" s="44"/>
      <c r="O111" s="45">
        <f t="shared" si="88"/>
        <v>1334</v>
      </c>
      <c r="P111" s="51"/>
      <c r="Q111" s="51"/>
      <c r="R111" s="74">
        <f t="shared" si="89"/>
        <v>954.982947264662</v>
      </c>
      <c r="S111" s="74"/>
      <c r="T111" s="75">
        <f t="shared" si="90"/>
        <v>1.20969196648595</v>
      </c>
      <c r="U111" s="74"/>
      <c r="V111" s="74"/>
      <c r="W111" s="76">
        <f t="shared" si="86"/>
        <v>956.192639231148</v>
      </c>
      <c r="X111" s="77">
        <f t="shared" si="91"/>
        <v>13.8402907836373</v>
      </c>
      <c r="Y111" s="77"/>
      <c r="Z111" s="77"/>
      <c r="AA111" s="77">
        <f t="shared" si="87"/>
        <v>13.8402907836373</v>
      </c>
      <c r="AB111" s="86">
        <v>7.08</v>
      </c>
      <c r="AC111" s="74">
        <f t="shared" si="84"/>
        <v>97.9892587481518</v>
      </c>
      <c r="AD111" s="74">
        <f t="shared" si="85"/>
        <v>1054.1818979793</v>
      </c>
      <c r="AE111" s="74">
        <f t="shared" si="83"/>
        <v>279.8181020207</v>
      </c>
    </row>
    <row r="112" customFormat="1" spans="1:31">
      <c r="A112" s="18"/>
      <c r="B112" s="19"/>
      <c r="C112" s="20">
        <v>240830000035</v>
      </c>
      <c r="D112" s="21">
        <v>45544</v>
      </c>
      <c r="E112" s="21" t="s">
        <v>41</v>
      </c>
      <c r="F112" s="19" t="s">
        <v>41</v>
      </c>
      <c r="G112" s="19" t="s">
        <v>156</v>
      </c>
      <c r="H112" s="19">
        <v>0.64</v>
      </c>
      <c r="I112" s="41">
        <v>69.3</v>
      </c>
      <c r="J112" s="53"/>
      <c r="K112" s="43"/>
      <c r="L112" s="19"/>
      <c r="M112" s="43"/>
      <c r="N112" s="44"/>
      <c r="O112" s="45">
        <f t="shared" si="88"/>
        <v>69.3</v>
      </c>
      <c r="P112" s="51"/>
      <c r="Q112" s="51"/>
      <c r="R112" s="74">
        <f t="shared" si="89"/>
        <v>31.343030064071</v>
      </c>
      <c r="S112" s="74"/>
      <c r="T112" s="75">
        <f t="shared" si="90"/>
        <v>0.0397027106949236</v>
      </c>
      <c r="U112" s="74"/>
      <c r="V112" s="74"/>
      <c r="W112" s="76">
        <f t="shared" si="86"/>
        <v>31.3827327747659</v>
      </c>
      <c r="X112" s="77">
        <f t="shared" si="91"/>
        <v>0.454245441103992</v>
      </c>
      <c r="Y112" s="77"/>
      <c r="Z112" s="77"/>
      <c r="AA112" s="77">
        <f t="shared" si="87"/>
        <v>0.454245441103992</v>
      </c>
      <c r="AB112" s="86">
        <v>7.08</v>
      </c>
      <c r="AC112" s="74">
        <f t="shared" si="84"/>
        <v>3.21605772301626</v>
      </c>
      <c r="AD112" s="74">
        <f t="shared" si="85"/>
        <v>34.5987904977822</v>
      </c>
      <c r="AE112" s="74">
        <f t="shared" si="83"/>
        <v>34.7012095022178</v>
      </c>
    </row>
    <row r="113" customFormat="1" spans="1:31">
      <c r="A113" s="18"/>
      <c r="B113" s="19"/>
      <c r="C113" s="20">
        <v>240830000041</v>
      </c>
      <c r="D113" s="21">
        <v>45544</v>
      </c>
      <c r="E113" s="21" t="s">
        <v>50</v>
      </c>
      <c r="F113" s="19" t="s">
        <v>51</v>
      </c>
      <c r="G113" s="19" t="s">
        <v>157</v>
      </c>
      <c r="H113" s="19">
        <v>1.5</v>
      </c>
      <c r="I113" s="41">
        <v>112.2</v>
      </c>
      <c r="J113" s="53"/>
      <c r="K113" s="43"/>
      <c r="L113" s="19"/>
      <c r="M113" s="43"/>
      <c r="N113" s="44"/>
      <c r="O113" s="45">
        <f t="shared" si="88"/>
        <v>112.2</v>
      </c>
      <c r="P113" s="51"/>
      <c r="Q113" s="51"/>
      <c r="R113" s="74">
        <f t="shared" si="89"/>
        <v>73.4602267126663</v>
      </c>
      <c r="S113" s="74"/>
      <c r="T113" s="75">
        <f t="shared" si="90"/>
        <v>0.0930532281912272</v>
      </c>
      <c r="U113" s="74"/>
      <c r="V113" s="74"/>
      <c r="W113" s="76">
        <f t="shared" si="86"/>
        <v>73.5532799408576</v>
      </c>
      <c r="X113" s="77">
        <f t="shared" si="91"/>
        <v>1.06463775258748</v>
      </c>
      <c r="Y113" s="77"/>
      <c r="Z113" s="77"/>
      <c r="AA113" s="77">
        <f t="shared" si="87"/>
        <v>1.06463775258748</v>
      </c>
      <c r="AB113" s="86">
        <v>7.08</v>
      </c>
      <c r="AC113" s="74">
        <f t="shared" si="84"/>
        <v>7.53763528831937</v>
      </c>
      <c r="AD113" s="74">
        <f t="shared" si="85"/>
        <v>81.0909152291769</v>
      </c>
      <c r="AE113" s="74">
        <f t="shared" si="83"/>
        <v>31.1090847708231</v>
      </c>
    </row>
    <row r="114" customFormat="1" spans="1:31">
      <c r="A114" s="18"/>
      <c r="B114" s="19"/>
      <c r="C114" s="20">
        <v>240831000003</v>
      </c>
      <c r="D114" s="21">
        <v>45544</v>
      </c>
      <c r="E114" s="21" t="s">
        <v>50</v>
      </c>
      <c r="F114" s="19" t="s">
        <v>51</v>
      </c>
      <c r="G114" s="19" t="s">
        <v>158</v>
      </c>
      <c r="H114" s="19">
        <v>3.5</v>
      </c>
      <c r="I114" s="47"/>
      <c r="J114" s="54">
        <v>54300</v>
      </c>
      <c r="K114" s="43"/>
      <c r="L114" s="49">
        <f>SUM(J114/M114)</f>
        <v>1690.00933706816</v>
      </c>
      <c r="M114" s="50">
        <v>32.13</v>
      </c>
      <c r="N114" s="44">
        <v>7.08</v>
      </c>
      <c r="O114" s="45">
        <f>SUM(M114*N114)</f>
        <v>227.4804</v>
      </c>
      <c r="P114" s="51"/>
      <c r="Q114" s="51"/>
      <c r="R114" s="74">
        <f t="shared" si="89"/>
        <v>171.407195662888</v>
      </c>
      <c r="S114" s="74"/>
      <c r="T114" s="75">
        <f t="shared" si="90"/>
        <v>0.217124199112863</v>
      </c>
      <c r="U114" s="74"/>
      <c r="V114" s="74"/>
      <c r="W114" s="76">
        <f t="shared" si="86"/>
        <v>171.624319862001</v>
      </c>
      <c r="X114" s="77">
        <f t="shared" si="91"/>
        <v>2.48415475603746</v>
      </c>
      <c r="Y114" s="77"/>
      <c r="Z114" s="77"/>
      <c r="AA114" s="77">
        <f t="shared" si="87"/>
        <v>2.48415475603746</v>
      </c>
      <c r="AB114" s="86">
        <v>7.08</v>
      </c>
      <c r="AC114" s="74">
        <f t="shared" si="84"/>
        <v>17.5878156727452</v>
      </c>
      <c r="AD114" s="74">
        <f t="shared" si="85"/>
        <v>189.212135534746</v>
      </c>
      <c r="AE114" s="74">
        <f t="shared" si="83"/>
        <v>38.2682644652538</v>
      </c>
    </row>
    <row r="115" customFormat="1" spans="1:31">
      <c r="A115" s="18"/>
      <c r="B115" s="19"/>
      <c r="C115" s="20">
        <v>240831000014</v>
      </c>
      <c r="D115" s="21">
        <v>45544</v>
      </c>
      <c r="E115" s="21" t="s">
        <v>50</v>
      </c>
      <c r="F115" s="19" t="s">
        <v>51</v>
      </c>
      <c r="G115" s="19" t="s">
        <v>159</v>
      </c>
      <c r="H115" s="19">
        <v>3.5</v>
      </c>
      <c r="I115" s="41">
        <v>203</v>
      </c>
      <c r="J115" s="53"/>
      <c r="K115" s="43"/>
      <c r="L115" s="19"/>
      <c r="M115" s="43"/>
      <c r="N115" s="44"/>
      <c r="O115" s="45">
        <f t="shared" ref="O115:O124" si="92">SUM(I115)</f>
        <v>203</v>
      </c>
      <c r="P115" s="51"/>
      <c r="Q115" s="51"/>
      <c r="R115" s="74">
        <f t="shared" si="89"/>
        <v>171.407195662888</v>
      </c>
      <c r="S115" s="74"/>
      <c r="T115" s="75">
        <f t="shared" si="90"/>
        <v>0.217124199112863</v>
      </c>
      <c r="U115" s="74"/>
      <c r="V115" s="74"/>
      <c r="W115" s="76">
        <f t="shared" si="86"/>
        <v>171.624319862001</v>
      </c>
      <c r="X115" s="77">
        <f t="shared" si="91"/>
        <v>2.48415475603746</v>
      </c>
      <c r="Y115" s="77"/>
      <c r="Z115" s="77"/>
      <c r="AA115" s="77">
        <f t="shared" si="87"/>
        <v>2.48415475603746</v>
      </c>
      <c r="AB115" s="86">
        <v>7.08</v>
      </c>
      <c r="AC115" s="74">
        <f t="shared" si="84"/>
        <v>17.5878156727452</v>
      </c>
      <c r="AD115" s="74">
        <f t="shared" si="85"/>
        <v>189.212135534746</v>
      </c>
      <c r="AE115" s="74">
        <f t="shared" si="83"/>
        <v>13.7878644652538</v>
      </c>
    </row>
    <row r="116" customFormat="1" spans="1:31">
      <c r="A116" s="18"/>
      <c r="B116" s="19"/>
      <c r="C116" s="20">
        <v>240831000019</v>
      </c>
      <c r="D116" s="21">
        <v>45544</v>
      </c>
      <c r="E116" s="21" t="s">
        <v>50</v>
      </c>
      <c r="F116" s="19" t="s">
        <v>51</v>
      </c>
      <c r="G116" s="19" t="s">
        <v>160</v>
      </c>
      <c r="H116" s="19">
        <v>7</v>
      </c>
      <c r="I116" s="41">
        <v>406</v>
      </c>
      <c r="J116" s="53"/>
      <c r="K116" s="43"/>
      <c r="L116" s="19"/>
      <c r="M116" s="43"/>
      <c r="N116" s="44"/>
      <c r="O116" s="45">
        <f t="shared" si="92"/>
        <v>406</v>
      </c>
      <c r="P116" s="51"/>
      <c r="Q116" s="51"/>
      <c r="R116" s="74">
        <f t="shared" si="89"/>
        <v>342.814391325776</v>
      </c>
      <c r="S116" s="74"/>
      <c r="T116" s="75">
        <f t="shared" si="90"/>
        <v>0.434248398225727</v>
      </c>
      <c r="U116" s="74"/>
      <c r="V116" s="74"/>
      <c r="W116" s="76">
        <f t="shared" si="86"/>
        <v>343.248639724002</v>
      </c>
      <c r="X116" s="77">
        <f t="shared" si="91"/>
        <v>4.96830951207491</v>
      </c>
      <c r="Y116" s="77"/>
      <c r="Z116" s="77"/>
      <c r="AA116" s="77">
        <f t="shared" si="87"/>
        <v>4.96830951207491</v>
      </c>
      <c r="AB116" s="86">
        <v>7.08</v>
      </c>
      <c r="AC116" s="74">
        <f t="shared" si="84"/>
        <v>35.1756313454904</v>
      </c>
      <c r="AD116" s="74">
        <f t="shared" si="85"/>
        <v>378.424271069492</v>
      </c>
      <c r="AE116" s="74">
        <f t="shared" si="83"/>
        <v>27.5757289305076</v>
      </c>
    </row>
    <row r="117" customFormat="1" spans="1:31">
      <c r="A117" s="18"/>
      <c r="B117" s="19"/>
      <c r="C117" s="20">
        <v>240901000001</v>
      </c>
      <c r="D117" s="21">
        <v>45544</v>
      </c>
      <c r="E117" s="21" t="s">
        <v>41</v>
      </c>
      <c r="F117" s="19" t="s">
        <v>41</v>
      </c>
      <c r="G117" s="19" t="s">
        <v>161</v>
      </c>
      <c r="H117" s="19">
        <v>7.5</v>
      </c>
      <c r="I117" s="41">
        <v>606.9</v>
      </c>
      <c r="J117" s="53"/>
      <c r="K117" s="43"/>
      <c r="L117" s="19"/>
      <c r="M117" s="43"/>
      <c r="N117" s="44"/>
      <c r="O117" s="45">
        <f t="shared" si="92"/>
        <v>606.9</v>
      </c>
      <c r="P117" s="51"/>
      <c r="Q117" s="51"/>
      <c r="R117" s="74">
        <f t="shared" si="89"/>
        <v>367.301133563332</v>
      </c>
      <c r="S117" s="74"/>
      <c r="T117" s="75">
        <f t="shared" si="90"/>
        <v>0.465266140956136</v>
      </c>
      <c r="U117" s="74"/>
      <c r="V117" s="74"/>
      <c r="W117" s="76">
        <f t="shared" si="86"/>
        <v>367.766399704288</v>
      </c>
      <c r="X117" s="77">
        <f t="shared" si="91"/>
        <v>5.32318876293741</v>
      </c>
      <c r="Y117" s="77"/>
      <c r="Z117" s="77"/>
      <c r="AA117" s="77">
        <f t="shared" si="87"/>
        <v>5.32318876293741</v>
      </c>
      <c r="AB117" s="86">
        <v>7.08</v>
      </c>
      <c r="AC117" s="74">
        <f t="shared" si="84"/>
        <v>37.6881764415968</v>
      </c>
      <c r="AD117" s="74">
        <f t="shared" si="85"/>
        <v>405.454576145885</v>
      </c>
      <c r="AE117" s="74">
        <f t="shared" si="83"/>
        <v>201.445423854115</v>
      </c>
    </row>
    <row r="118" customFormat="1" spans="1:31">
      <c r="A118" s="18"/>
      <c r="B118" s="19"/>
      <c r="C118" s="20">
        <v>240901000003</v>
      </c>
      <c r="D118" s="21">
        <v>45544</v>
      </c>
      <c r="E118" s="21" t="s">
        <v>62</v>
      </c>
      <c r="F118" s="19" t="s">
        <v>63</v>
      </c>
      <c r="G118" s="19" t="s">
        <v>162</v>
      </c>
      <c r="H118" s="19">
        <v>3</v>
      </c>
      <c r="I118" s="41">
        <v>201.3</v>
      </c>
      <c r="J118" s="53"/>
      <c r="K118" s="43"/>
      <c r="L118" s="19"/>
      <c r="M118" s="43"/>
      <c r="N118" s="44"/>
      <c r="O118" s="45">
        <f t="shared" si="92"/>
        <v>201.3</v>
      </c>
      <c r="P118" s="51"/>
      <c r="Q118" s="51"/>
      <c r="R118" s="74">
        <f t="shared" si="89"/>
        <v>146.920453425333</v>
      </c>
      <c r="S118" s="74"/>
      <c r="T118" s="75">
        <f t="shared" si="90"/>
        <v>0.186106456382454</v>
      </c>
      <c r="U118" s="74"/>
      <c r="V118" s="74"/>
      <c r="W118" s="76">
        <f t="shared" si="86"/>
        <v>147.106559881715</v>
      </c>
      <c r="X118" s="77">
        <f t="shared" si="91"/>
        <v>2.12927550517496</v>
      </c>
      <c r="Y118" s="77"/>
      <c r="Z118" s="77"/>
      <c r="AA118" s="77">
        <f t="shared" si="87"/>
        <v>2.12927550517496</v>
      </c>
      <c r="AB118" s="86">
        <v>7.08</v>
      </c>
      <c r="AC118" s="74">
        <f t="shared" si="84"/>
        <v>15.0752705766387</v>
      </c>
      <c r="AD118" s="74">
        <f t="shared" si="85"/>
        <v>162.181830458354</v>
      </c>
      <c r="AE118" s="74">
        <f t="shared" si="83"/>
        <v>39.1181695416462</v>
      </c>
    </row>
    <row r="119" customFormat="1" spans="1:31">
      <c r="A119" s="18"/>
      <c r="B119" s="19"/>
      <c r="C119" s="20">
        <v>240901000005</v>
      </c>
      <c r="D119" s="21">
        <v>45544</v>
      </c>
      <c r="E119" s="21" t="s">
        <v>62</v>
      </c>
      <c r="F119" s="19" t="s">
        <v>63</v>
      </c>
      <c r="G119" s="19" t="s">
        <v>163</v>
      </c>
      <c r="H119" s="19">
        <v>5.5</v>
      </c>
      <c r="I119" s="41">
        <v>384.3</v>
      </c>
      <c r="J119" s="53"/>
      <c r="K119" s="43"/>
      <c r="L119" s="19"/>
      <c r="M119" s="43"/>
      <c r="N119" s="44"/>
      <c r="O119" s="45">
        <f t="shared" si="92"/>
        <v>384.3</v>
      </c>
      <c r="P119" s="51"/>
      <c r="Q119" s="51"/>
      <c r="R119" s="74">
        <f t="shared" si="89"/>
        <v>269.35416461311</v>
      </c>
      <c r="S119" s="74"/>
      <c r="T119" s="75">
        <f t="shared" si="90"/>
        <v>0.3411951700345</v>
      </c>
      <c r="U119" s="74"/>
      <c r="V119" s="74"/>
      <c r="W119" s="76">
        <f t="shared" si="86"/>
        <v>269.695359783144</v>
      </c>
      <c r="X119" s="77">
        <f t="shared" si="91"/>
        <v>3.90367175948743</v>
      </c>
      <c r="Y119" s="77"/>
      <c r="Z119" s="77"/>
      <c r="AA119" s="77">
        <f t="shared" si="87"/>
        <v>3.90367175948743</v>
      </c>
      <c r="AB119" s="86">
        <v>7.08</v>
      </c>
      <c r="AC119" s="74">
        <f t="shared" si="84"/>
        <v>27.637996057171</v>
      </c>
      <c r="AD119" s="74">
        <f t="shared" si="85"/>
        <v>297.333355840315</v>
      </c>
      <c r="AE119" s="74">
        <f t="shared" si="83"/>
        <v>86.9666441596846</v>
      </c>
    </row>
    <row r="120" customFormat="1" spans="1:31">
      <c r="A120" s="18"/>
      <c r="B120" s="19"/>
      <c r="C120" s="20">
        <v>240902000003</v>
      </c>
      <c r="D120" s="21">
        <v>45544</v>
      </c>
      <c r="E120" s="21" t="s">
        <v>41</v>
      </c>
      <c r="F120" s="19" t="s">
        <v>68</v>
      </c>
      <c r="G120" s="19" t="s">
        <v>69</v>
      </c>
      <c r="H120" s="19">
        <v>2.5</v>
      </c>
      <c r="I120" s="41">
        <v>184.8</v>
      </c>
      <c r="J120" s="53"/>
      <c r="K120" s="43"/>
      <c r="L120" s="19"/>
      <c r="M120" s="43"/>
      <c r="N120" s="44"/>
      <c r="O120" s="45">
        <f t="shared" si="92"/>
        <v>184.8</v>
      </c>
      <c r="P120" s="51"/>
      <c r="Q120" s="51"/>
      <c r="R120" s="74">
        <f t="shared" si="89"/>
        <v>122.433711187777</v>
      </c>
      <c r="S120" s="74"/>
      <c r="T120" s="75">
        <f t="shared" si="90"/>
        <v>0.155088713652045</v>
      </c>
      <c r="U120" s="74"/>
      <c r="V120" s="74"/>
      <c r="W120" s="76">
        <f t="shared" si="86"/>
        <v>122.588799901429</v>
      </c>
      <c r="X120" s="77">
        <f t="shared" si="91"/>
        <v>1.77439625431247</v>
      </c>
      <c r="Y120" s="77"/>
      <c r="Z120" s="77"/>
      <c r="AA120" s="77">
        <f t="shared" si="87"/>
        <v>1.77439625431247</v>
      </c>
      <c r="AB120" s="86">
        <v>7.08</v>
      </c>
      <c r="AC120" s="74">
        <f t="shared" si="84"/>
        <v>12.5627254805323</v>
      </c>
      <c r="AD120" s="74">
        <f t="shared" si="85"/>
        <v>135.151525381962</v>
      </c>
      <c r="AE120" s="74">
        <f t="shared" si="83"/>
        <v>49.6484746180384</v>
      </c>
    </row>
    <row r="121" customFormat="1" spans="1:31">
      <c r="A121" s="18"/>
      <c r="B121" s="19"/>
      <c r="C121" s="20">
        <v>240902000005</v>
      </c>
      <c r="D121" s="21">
        <v>45544</v>
      </c>
      <c r="E121" s="21" t="s">
        <v>50</v>
      </c>
      <c r="F121" s="19" t="s">
        <v>51</v>
      </c>
      <c r="G121" s="19" t="s">
        <v>164</v>
      </c>
      <c r="H121" s="19">
        <v>6.5</v>
      </c>
      <c r="I121" s="41">
        <v>665</v>
      </c>
      <c r="J121" s="53"/>
      <c r="K121" s="43"/>
      <c r="L121" s="19"/>
      <c r="M121" s="43"/>
      <c r="N121" s="44"/>
      <c r="O121" s="45">
        <f t="shared" si="92"/>
        <v>665</v>
      </c>
      <c r="P121" s="51"/>
      <c r="Q121" s="51"/>
      <c r="R121" s="74">
        <f t="shared" si="89"/>
        <v>318.327649088221</v>
      </c>
      <c r="S121" s="74"/>
      <c r="T121" s="75">
        <f t="shared" si="90"/>
        <v>0.403230655495318</v>
      </c>
      <c r="U121" s="74"/>
      <c r="V121" s="74"/>
      <c r="W121" s="76">
        <f t="shared" si="86"/>
        <v>318.730879743716</v>
      </c>
      <c r="X121" s="77">
        <f t="shared" si="91"/>
        <v>4.61343026121242</v>
      </c>
      <c r="Y121" s="77"/>
      <c r="Z121" s="77"/>
      <c r="AA121" s="77">
        <f t="shared" si="87"/>
        <v>4.61343026121242</v>
      </c>
      <c r="AB121" s="86">
        <v>7.08</v>
      </c>
      <c r="AC121" s="74">
        <f t="shared" si="84"/>
        <v>32.6630862493839</v>
      </c>
      <c r="AD121" s="74">
        <f t="shared" si="85"/>
        <v>351.3939659931</v>
      </c>
      <c r="AE121" s="74">
        <f t="shared" si="83"/>
        <v>313.6060340069</v>
      </c>
    </row>
    <row r="122" customFormat="1" spans="1:31">
      <c r="A122" s="18"/>
      <c r="B122" s="19"/>
      <c r="C122" s="20">
        <v>240902000007</v>
      </c>
      <c r="D122" s="21">
        <v>45544</v>
      </c>
      <c r="E122" s="21" t="s">
        <v>50</v>
      </c>
      <c r="F122" s="19" t="s">
        <v>51</v>
      </c>
      <c r="G122" s="19" t="s">
        <v>165</v>
      </c>
      <c r="H122" s="19">
        <v>0.68</v>
      </c>
      <c r="I122" s="41">
        <v>85</v>
      </c>
      <c r="J122" s="53"/>
      <c r="K122" s="43"/>
      <c r="L122" s="19"/>
      <c r="M122" s="43"/>
      <c r="N122" s="44"/>
      <c r="O122" s="45">
        <f t="shared" si="92"/>
        <v>85</v>
      </c>
      <c r="P122" s="51"/>
      <c r="Q122" s="51"/>
      <c r="R122" s="74">
        <f t="shared" si="89"/>
        <v>33.3019694430754</v>
      </c>
      <c r="S122" s="74"/>
      <c r="T122" s="75">
        <f t="shared" si="90"/>
        <v>0.0421841301133563</v>
      </c>
      <c r="U122" s="74"/>
      <c r="V122" s="74"/>
      <c r="W122" s="76">
        <f t="shared" si="86"/>
        <v>33.3441535731888</v>
      </c>
      <c r="X122" s="77">
        <f t="shared" si="91"/>
        <v>0.482635781172992</v>
      </c>
      <c r="Y122" s="77"/>
      <c r="Z122" s="77"/>
      <c r="AA122" s="77">
        <f t="shared" si="87"/>
        <v>0.482635781172992</v>
      </c>
      <c r="AB122" s="86">
        <v>7.08</v>
      </c>
      <c r="AC122" s="74">
        <f t="shared" si="84"/>
        <v>3.41706133070478</v>
      </c>
      <c r="AD122" s="74">
        <f t="shared" si="85"/>
        <v>36.7612149038935</v>
      </c>
      <c r="AE122" s="74">
        <f t="shared" si="83"/>
        <v>48.2387850961065</v>
      </c>
    </row>
    <row r="123" customFormat="1" spans="1:31">
      <c r="A123" s="18"/>
      <c r="B123" s="19"/>
      <c r="C123" s="20">
        <v>240902000008</v>
      </c>
      <c r="D123" s="21">
        <v>45544</v>
      </c>
      <c r="E123" s="21" t="s">
        <v>50</v>
      </c>
      <c r="F123" s="19" t="s">
        <v>51</v>
      </c>
      <c r="G123" s="19" t="s">
        <v>54</v>
      </c>
      <c r="H123" s="19">
        <v>0.16</v>
      </c>
      <c r="I123" s="41">
        <v>65</v>
      </c>
      <c r="J123" s="53"/>
      <c r="K123" s="43"/>
      <c r="L123" s="19"/>
      <c r="M123" s="43"/>
      <c r="N123" s="44"/>
      <c r="O123" s="45">
        <f t="shared" si="92"/>
        <v>65</v>
      </c>
      <c r="P123" s="51"/>
      <c r="Q123" s="51"/>
      <c r="R123" s="74">
        <f t="shared" si="89"/>
        <v>7.83575751601774</v>
      </c>
      <c r="S123" s="74"/>
      <c r="T123" s="75">
        <f t="shared" si="90"/>
        <v>0.0099256776737309</v>
      </c>
      <c r="U123" s="74"/>
      <c r="V123" s="74"/>
      <c r="W123" s="76">
        <f t="shared" si="86"/>
        <v>7.84568319369147</v>
      </c>
      <c r="X123" s="77">
        <f t="shared" si="91"/>
        <v>0.113561360275998</v>
      </c>
      <c r="Y123" s="77"/>
      <c r="Z123" s="77"/>
      <c r="AA123" s="77">
        <f t="shared" si="87"/>
        <v>0.113561360275998</v>
      </c>
      <c r="AB123" s="86">
        <v>7.08</v>
      </c>
      <c r="AC123" s="74">
        <f t="shared" si="84"/>
        <v>0.804014430754066</v>
      </c>
      <c r="AD123" s="74">
        <f t="shared" si="85"/>
        <v>8.64969762444554</v>
      </c>
      <c r="AE123" s="74">
        <f t="shared" si="83"/>
        <v>56.3503023755545</v>
      </c>
    </row>
    <row r="124" customFormat="1" spans="1:31">
      <c r="A124" s="18"/>
      <c r="B124" s="19"/>
      <c r="C124" s="20">
        <v>240902000009</v>
      </c>
      <c r="D124" s="21">
        <v>45544</v>
      </c>
      <c r="E124" s="21" t="s">
        <v>50</v>
      </c>
      <c r="F124" s="19" t="s">
        <v>51</v>
      </c>
      <c r="G124" s="19" t="s">
        <v>166</v>
      </c>
      <c r="H124" s="19">
        <v>110.5</v>
      </c>
      <c r="I124" s="41">
        <v>8840</v>
      </c>
      <c r="J124" s="53"/>
      <c r="K124" s="43"/>
      <c r="L124" s="19"/>
      <c r="M124" s="43"/>
      <c r="N124" s="44"/>
      <c r="O124" s="45">
        <f t="shared" si="92"/>
        <v>8840</v>
      </c>
      <c r="P124" s="51"/>
      <c r="Q124" s="51"/>
      <c r="R124" s="74">
        <f t="shared" si="89"/>
        <v>5411.57003449975</v>
      </c>
      <c r="S124" s="74"/>
      <c r="T124" s="75">
        <f t="shared" si="90"/>
        <v>6.8549211434204</v>
      </c>
      <c r="U124" s="74"/>
      <c r="V124" s="74"/>
      <c r="W124" s="76">
        <f t="shared" si="86"/>
        <v>5418.42495564317</v>
      </c>
      <c r="X124" s="77">
        <f t="shared" si="91"/>
        <v>78.4283144406111</v>
      </c>
      <c r="Y124" s="77"/>
      <c r="Z124" s="77"/>
      <c r="AA124" s="77">
        <f t="shared" si="87"/>
        <v>78.4283144406111</v>
      </c>
      <c r="AB124" s="86">
        <v>7.08</v>
      </c>
      <c r="AC124" s="74">
        <f t="shared" si="84"/>
        <v>555.272466239527</v>
      </c>
      <c r="AD124" s="74">
        <f t="shared" si="85"/>
        <v>5973.6974218827</v>
      </c>
      <c r="AE124" s="74">
        <f t="shared" si="83"/>
        <v>2866.3025781173</v>
      </c>
    </row>
    <row r="125" customFormat="1" spans="1:31">
      <c r="A125" s="18"/>
      <c r="B125" s="19"/>
      <c r="C125" s="20">
        <v>240902000011</v>
      </c>
      <c r="D125" s="21">
        <v>45544</v>
      </c>
      <c r="E125" s="21" t="s">
        <v>50</v>
      </c>
      <c r="F125" s="19" t="s">
        <v>51</v>
      </c>
      <c r="G125" s="19" t="s">
        <v>167</v>
      </c>
      <c r="H125" s="19">
        <v>6</v>
      </c>
      <c r="I125" s="45"/>
      <c r="J125" s="54">
        <v>81868.5</v>
      </c>
      <c r="K125" s="43"/>
      <c r="L125" s="49">
        <f>SUM(J125/M125)</f>
        <v>1540.90917791695</v>
      </c>
      <c r="M125" s="50">
        <v>53.129997</v>
      </c>
      <c r="N125" s="44">
        <v>7.08</v>
      </c>
      <c r="O125" s="45">
        <f>SUM(M125*N125)</f>
        <v>376.16037876</v>
      </c>
      <c r="P125" s="51"/>
      <c r="Q125" s="51"/>
      <c r="R125" s="74">
        <f t="shared" si="89"/>
        <v>293.840906850665</v>
      </c>
      <c r="S125" s="74"/>
      <c r="T125" s="75">
        <f t="shared" si="90"/>
        <v>0.372212912764909</v>
      </c>
      <c r="U125" s="74"/>
      <c r="V125" s="74"/>
      <c r="W125" s="76">
        <f t="shared" si="86"/>
        <v>294.21311976343</v>
      </c>
      <c r="X125" s="77">
        <f t="shared" si="91"/>
        <v>4.25855101034993</v>
      </c>
      <c r="Y125" s="77"/>
      <c r="Z125" s="77"/>
      <c r="AA125" s="77">
        <f t="shared" si="87"/>
        <v>4.25855101034993</v>
      </c>
      <c r="AB125" s="86">
        <v>7.08</v>
      </c>
      <c r="AC125" s="74">
        <f t="shared" si="84"/>
        <v>30.1505411532775</v>
      </c>
      <c r="AD125" s="74">
        <f t="shared" si="85"/>
        <v>324.363660916708</v>
      </c>
      <c r="AE125" s="74">
        <f t="shared" si="83"/>
        <v>51.7967178432923</v>
      </c>
    </row>
    <row r="126" customFormat="1" spans="1:31">
      <c r="A126" s="18"/>
      <c r="B126" s="19"/>
      <c r="C126" s="20">
        <v>240902000013</v>
      </c>
      <c r="D126" s="21">
        <v>45544</v>
      </c>
      <c r="E126" s="21" t="s">
        <v>50</v>
      </c>
      <c r="F126" s="19" t="s">
        <v>51</v>
      </c>
      <c r="G126" s="19" t="s">
        <v>168</v>
      </c>
      <c r="H126" s="19">
        <v>2</v>
      </c>
      <c r="I126" s="41">
        <v>111</v>
      </c>
      <c r="J126" s="53"/>
      <c r="K126" s="43"/>
      <c r="L126" s="19"/>
      <c r="M126" s="43"/>
      <c r="N126" s="44"/>
      <c r="O126" s="45">
        <f t="shared" ref="O126:O130" si="93">SUM(I126)</f>
        <v>111</v>
      </c>
      <c r="P126" s="51"/>
      <c r="Q126" s="51"/>
      <c r="R126" s="74">
        <f t="shared" si="89"/>
        <v>97.9469689502218</v>
      </c>
      <c r="S126" s="74"/>
      <c r="T126" s="75">
        <f t="shared" si="90"/>
        <v>0.124070970921636</v>
      </c>
      <c r="U126" s="74"/>
      <c r="V126" s="74"/>
      <c r="W126" s="76">
        <f t="shared" si="86"/>
        <v>98.0710399211434</v>
      </c>
      <c r="X126" s="77">
        <f t="shared" si="91"/>
        <v>1.41951700344998</v>
      </c>
      <c r="Y126" s="77"/>
      <c r="Z126" s="77"/>
      <c r="AA126" s="77">
        <f t="shared" si="87"/>
        <v>1.41951700344998</v>
      </c>
      <c r="AB126" s="86">
        <v>7.08</v>
      </c>
      <c r="AC126" s="74">
        <f t="shared" si="84"/>
        <v>10.0501803844258</v>
      </c>
      <c r="AD126" s="74">
        <f t="shared" si="85"/>
        <v>108.121220305569</v>
      </c>
      <c r="AE126" s="74">
        <f t="shared" si="83"/>
        <v>2.87877969443075</v>
      </c>
    </row>
    <row r="127" customFormat="1" spans="1:31">
      <c r="A127" s="18"/>
      <c r="B127" s="19"/>
      <c r="C127" s="20">
        <v>240902000016</v>
      </c>
      <c r="D127" s="21">
        <v>45544</v>
      </c>
      <c r="E127" s="21" t="s">
        <v>37</v>
      </c>
      <c r="F127" s="19" t="s">
        <v>38</v>
      </c>
      <c r="G127" s="19" t="s">
        <v>169</v>
      </c>
      <c r="H127" s="19">
        <v>2</v>
      </c>
      <c r="I127" s="41">
        <v>215</v>
      </c>
      <c r="J127" s="53"/>
      <c r="K127" s="43"/>
      <c r="L127" s="19"/>
      <c r="M127" s="43"/>
      <c r="N127" s="44"/>
      <c r="O127" s="45">
        <f t="shared" si="93"/>
        <v>215</v>
      </c>
      <c r="P127" s="51"/>
      <c r="Q127" s="51"/>
      <c r="R127" s="74">
        <f t="shared" si="89"/>
        <v>97.9469689502218</v>
      </c>
      <c r="S127" s="74"/>
      <c r="T127" s="75">
        <f t="shared" si="90"/>
        <v>0.124070970921636</v>
      </c>
      <c r="U127" s="74"/>
      <c r="V127" s="74"/>
      <c r="W127" s="76">
        <f t="shared" si="86"/>
        <v>98.0710399211434</v>
      </c>
      <c r="X127" s="77">
        <f t="shared" si="91"/>
        <v>1.41951700344998</v>
      </c>
      <c r="Y127" s="77">
        <v>3.6</v>
      </c>
      <c r="Z127" s="77"/>
      <c r="AA127" s="77">
        <f t="shared" si="87"/>
        <v>5.01951700344997</v>
      </c>
      <c r="AB127" s="86">
        <v>7.08</v>
      </c>
      <c r="AC127" s="74">
        <f t="shared" si="84"/>
        <v>35.5381803844258</v>
      </c>
      <c r="AD127" s="74">
        <f t="shared" si="85"/>
        <v>133.609220305569</v>
      </c>
      <c r="AE127" s="74">
        <f t="shared" si="83"/>
        <v>81.3907796944308</v>
      </c>
    </row>
    <row r="128" customFormat="1" spans="1:31">
      <c r="A128" s="18"/>
      <c r="B128" s="19"/>
      <c r="C128" s="20">
        <v>240902000017</v>
      </c>
      <c r="D128" s="21">
        <v>45544</v>
      </c>
      <c r="E128" s="21" t="s">
        <v>43</v>
      </c>
      <c r="F128" s="19" t="s">
        <v>44</v>
      </c>
      <c r="G128" s="19" t="s">
        <v>170</v>
      </c>
      <c r="H128" s="19">
        <v>3.5</v>
      </c>
      <c r="I128" s="41">
        <v>234</v>
      </c>
      <c r="J128" s="53"/>
      <c r="K128" s="43"/>
      <c r="L128" s="19"/>
      <c r="M128" s="43"/>
      <c r="N128" s="44"/>
      <c r="O128" s="45">
        <f t="shared" si="93"/>
        <v>234</v>
      </c>
      <c r="P128" s="51"/>
      <c r="Q128" s="51"/>
      <c r="R128" s="74">
        <f t="shared" si="89"/>
        <v>171.407195662888</v>
      </c>
      <c r="S128" s="74"/>
      <c r="T128" s="75">
        <f t="shared" si="90"/>
        <v>0.217124199112863</v>
      </c>
      <c r="U128" s="74"/>
      <c r="V128" s="74"/>
      <c r="W128" s="76">
        <f t="shared" si="86"/>
        <v>171.624319862001</v>
      </c>
      <c r="X128" s="77">
        <f t="shared" si="91"/>
        <v>2.48415475603746</v>
      </c>
      <c r="Y128" s="77"/>
      <c r="Z128" s="77"/>
      <c r="AA128" s="77">
        <f t="shared" si="87"/>
        <v>2.48415475603746</v>
      </c>
      <c r="AB128" s="86">
        <v>7.08</v>
      </c>
      <c r="AC128" s="74">
        <f t="shared" si="84"/>
        <v>17.5878156727452</v>
      </c>
      <c r="AD128" s="74">
        <f t="shared" si="85"/>
        <v>189.212135534746</v>
      </c>
      <c r="AE128" s="74">
        <f t="shared" si="83"/>
        <v>44.7878644652538</v>
      </c>
    </row>
    <row r="129" customFormat="1" spans="1:31">
      <c r="A129" s="18"/>
      <c r="B129" s="19"/>
      <c r="C129" s="20">
        <v>240902000020</v>
      </c>
      <c r="D129" s="21">
        <v>45544</v>
      </c>
      <c r="E129" s="21" t="s">
        <v>43</v>
      </c>
      <c r="F129" s="19" t="s">
        <v>44</v>
      </c>
      <c r="G129" s="19" t="s">
        <v>171</v>
      </c>
      <c r="H129" s="19">
        <v>19.5</v>
      </c>
      <c r="I129" s="41">
        <v>1728</v>
      </c>
      <c r="J129" s="53"/>
      <c r="K129" s="43"/>
      <c r="L129" s="19"/>
      <c r="M129" s="43"/>
      <c r="N129" s="44"/>
      <c r="O129" s="45">
        <f t="shared" si="93"/>
        <v>1728</v>
      </c>
      <c r="P129" s="51"/>
      <c r="Q129" s="51"/>
      <c r="R129" s="74">
        <f t="shared" si="89"/>
        <v>954.982947264662</v>
      </c>
      <c r="S129" s="74"/>
      <c r="T129" s="75">
        <f t="shared" si="90"/>
        <v>1.20969196648595</v>
      </c>
      <c r="U129" s="74"/>
      <c r="V129" s="74"/>
      <c r="W129" s="76">
        <f t="shared" si="86"/>
        <v>956.192639231148</v>
      </c>
      <c r="X129" s="77">
        <f t="shared" si="91"/>
        <v>13.8402907836373</v>
      </c>
      <c r="Y129" s="77"/>
      <c r="Z129" s="77"/>
      <c r="AA129" s="77">
        <f t="shared" si="87"/>
        <v>13.8402907836373</v>
      </c>
      <c r="AB129" s="86">
        <v>7.08</v>
      </c>
      <c r="AC129" s="74">
        <f t="shared" si="84"/>
        <v>97.9892587481518</v>
      </c>
      <c r="AD129" s="74">
        <f t="shared" si="85"/>
        <v>1054.1818979793</v>
      </c>
      <c r="AE129" s="74">
        <f t="shared" si="83"/>
        <v>673.8181020207</v>
      </c>
    </row>
    <row r="130" customFormat="1" spans="1:31">
      <c r="A130" s="18"/>
      <c r="B130" s="19"/>
      <c r="C130" s="20">
        <v>240902000023</v>
      </c>
      <c r="D130" s="21">
        <v>45544</v>
      </c>
      <c r="E130" s="21" t="s">
        <v>43</v>
      </c>
      <c r="F130" s="19" t="s">
        <v>44</v>
      </c>
      <c r="G130" s="19" t="s">
        <v>172</v>
      </c>
      <c r="H130" s="19">
        <v>9.5</v>
      </c>
      <c r="I130" s="41">
        <v>570</v>
      </c>
      <c r="J130" s="53"/>
      <c r="K130" s="43"/>
      <c r="L130" s="19"/>
      <c r="M130" s="43"/>
      <c r="N130" s="44"/>
      <c r="O130" s="45">
        <f t="shared" si="93"/>
        <v>570</v>
      </c>
      <c r="P130" s="51"/>
      <c r="Q130" s="51"/>
      <c r="R130" s="74">
        <f t="shared" si="89"/>
        <v>465.248102513553</v>
      </c>
      <c r="S130" s="74"/>
      <c r="T130" s="75">
        <f t="shared" si="90"/>
        <v>0.589337111877772</v>
      </c>
      <c r="U130" s="74"/>
      <c r="V130" s="74"/>
      <c r="W130" s="76">
        <f t="shared" si="86"/>
        <v>465.837439625431</v>
      </c>
      <c r="X130" s="77">
        <f t="shared" si="91"/>
        <v>6.74270576638738</v>
      </c>
      <c r="Y130" s="77"/>
      <c r="Z130" s="77"/>
      <c r="AA130" s="77">
        <f t="shared" si="87"/>
        <v>6.74270576638738</v>
      </c>
      <c r="AB130" s="86">
        <v>7.08</v>
      </c>
      <c r="AC130" s="74">
        <f t="shared" si="84"/>
        <v>47.7383568260227</v>
      </c>
      <c r="AD130" s="74">
        <f t="shared" si="85"/>
        <v>513.575796451454</v>
      </c>
      <c r="AE130" s="74">
        <f t="shared" si="83"/>
        <v>56.4242035485461</v>
      </c>
    </row>
    <row r="131" customFormat="1" spans="1:31">
      <c r="A131" s="18"/>
      <c r="B131" s="19"/>
      <c r="C131" s="20">
        <v>240902000024</v>
      </c>
      <c r="D131" s="21">
        <v>45544</v>
      </c>
      <c r="E131" s="21" t="s">
        <v>37</v>
      </c>
      <c r="F131" s="19" t="s">
        <v>38</v>
      </c>
      <c r="G131" s="19" t="s">
        <v>173</v>
      </c>
      <c r="H131" s="19">
        <v>2.5</v>
      </c>
      <c r="I131" s="47"/>
      <c r="J131" s="54">
        <v>50872</v>
      </c>
      <c r="K131" s="43"/>
      <c r="L131" s="49">
        <f t="shared" ref="L131:L133" si="94">SUM(J131/M131)</f>
        <v>1681.71900826446</v>
      </c>
      <c r="M131" s="50">
        <v>30.25</v>
      </c>
      <c r="N131" s="44">
        <v>7.08</v>
      </c>
      <c r="O131" s="45">
        <f t="shared" ref="O131:O133" si="95">SUM(M131*N131)</f>
        <v>214.17</v>
      </c>
      <c r="P131" s="51"/>
      <c r="Q131" s="51"/>
      <c r="R131" s="74">
        <f t="shared" si="89"/>
        <v>122.433711187777</v>
      </c>
      <c r="S131" s="74"/>
      <c r="T131" s="75">
        <f t="shared" si="90"/>
        <v>0.155088713652045</v>
      </c>
      <c r="U131" s="74"/>
      <c r="V131" s="74"/>
      <c r="W131" s="76">
        <f t="shared" si="86"/>
        <v>122.588799901429</v>
      </c>
      <c r="X131" s="77">
        <f t="shared" si="91"/>
        <v>1.77439625431247</v>
      </c>
      <c r="Y131" s="77"/>
      <c r="Z131" s="77"/>
      <c r="AA131" s="77">
        <f t="shared" si="87"/>
        <v>1.77439625431247</v>
      </c>
      <c r="AB131" s="86">
        <v>7.08</v>
      </c>
      <c r="AC131" s="74">
        <f t="shared" si="84"/>
        <v>12.5627254805323</v>
      </c>
      <c r="AD131" s="74">
        <f t="shared" si="85"/>
        <v>135.151525381962</v>
      </c>
      <c r="AE131" s="74">
        <f t="shared" si="83"/>
        <v>79.0184746180384</v>
      </c>
    </row>
    <row r="132" customFormat="1" spans="1:31">
      <c r="A132" s="18"/>
      <c r="B132" s="19"/>
      <c r="C132" s="22">
        <v>240902000031</v>
      </c>
      <c r="D132" s="23">
        <v>45544</v>
      </c>
      <c r="E132" s="21" t="s">
        <v>43</v>
      </c>
      <c r="F132" s="24" t="s">
        <v>44</v>
      </c>
      <c r="G132" s="24" t="s">
        <v>108</v>
      </c>
      <c r="H132" s="24">
        <v>0.82</v>
      </c>
      <c r="I132" s="47"/>
      <c r="J132" s="54">
        <v>16318.5</v>
      </c>
      <c r="K132" s="43"/>
      <c r="L132" s="49">
        <f t="shared" si="94"/>
        <v>1668.55828220859</v>
      </c>
      <c r="M132" s="50">
        <v>9.78</v>
      </c>
      <c r="N132" s="44">
        <v>7.08</v>
      </c>
      <c r="O132" s="45">
        <f t="shared" si="95"/>
        <v>69.2424</v>
      </c>
      <c r="P132" s="51"/>
      <c r="Q132" s="51"/>
      <c r="R132" s="74">
        <f t="shared" si="89"/>
        <v>40.1582572695909</v>
      </c>
      <c r="S132" s="74"/>
      <c r="T132" s="75">
        <f t="shared" si="90"/>
        <v>0.0508690980778709</v>
      </c>
      <c r="U132" s="74"/>
      <c r="V132" s="74"/>
      <c r="W132" s="76">
        <f t="shared" si="86"/>
        <v>40.2091263676688</v>
      </c>
      <c r="X132" s="77">
        <f t="shared" si="91"/>
        <v>0.58200197141449</v>
      </c>
      <c r="Y132" s="77"/>
      <c r="Z132" s="77"/>
      <c r="AA132" s="77">
        <f t="shared" si="87"/>
        <v>0.58200197141449</v>
      </c>
      <c r="AB132" s="86">
        <v>7.08</v>
      </c>
      <c r="AC132" s="74">
        <f t="shared" si="84"/>
        <v>4.12057395761459</v>
      </c>
      <c r="AD132" s="74">
        <f t="shared" si="85"/>
        <v>44.3297003252834</v>
      </c>
      <c r="AE132" s="74">
        <f t="shared" si="83"/>
        <v>24.9126996747166</v>
      </c>
    </row>
    <row r="133" customFormat="1" spans="1:31">
      <c r="A133" s="18"/>
      <c r="B133" s="19"/>
      <c r="C133" s="20">
        <v>240902000032</v>
      </c>
      <c r="D133" s="88">
        <v>45544</v>
      </c>
      <c r="E133" s="21" t="s">
        <v>43</v>
      </c>
      <c r="F133" s="89" t="s">
        <v>44</v>
      </c>
      <c r="G133" s="89" t="s">
        <v>108</v>
      </c>
      <c r="H133" s="89">
        <v>0.957</v>
      </c>
      <c r="I133" s="47"/>
      <c r="J133" s="54">
        <v>16318.5</v>
      </c>
      <c r="K133" s="43"/>
      <c r="L133" s="49">
        <f t="shared" si="94"/>
        <v>1668.55828220859</v>
      </c>
      <c r="M133" s="50">
        <v>9.78</v>
      </c>
      <c r="N133" s="44">
        <v>7.08</v>
      </c>
      <c r="O133" s="45">
        <f t="shared" si="95"/>
        <v>69.2424</v>
      </c>
      <c r="P133" s="51"/>
      <c r="Q133" s="51"/>
      <c r="R133" s="74">
        <f t="shared" si="89"/>
        <v>46.8676246426811</v>
      </c>
      <c r="S133" s="74"/>
      <c r="T133" s="75">
        <f t="shared" si="90"/>
        <v>0.059367959586003</v>
      </c>
      <c r="U133" s="74"/>
      <c r="V133" s="74"/>
      <c r="W133" s="76">
        <f t="shared" si="86"/>
        <v>46.9269926022671</v>
      </c>
      <c r="X133" s="77">
        <f t="shared" si="91"/>
        <v>0.679238886150813</v>
      </c>
      <c r="Y133" s="77"/>
      <c r="Z133" s="77"/>
      <c r="AA133" s="77">
        <f t="shared" si="87"/>
        <v>0.679238886150813</v>
      </c>
      <c r="AB133" s="86">
        <v>7.08</v>
      </c>
      <c r="AC133" s="74">
        <f t="shared" si="84"/>
        <v>4.80901131394776</v>
      </c>
      <c r="AD133" s="74">
        <f t="shared" si="85"/>
        <v>51.7360039162149</v>
      </c>
      <c r="AE133" s="74">
        <f t="shared" si="83"/>
        <v>17.5063960837851</v>
      </c>
    </row>
    <row r="134" customFormat="1" spans="1:31">
      <c r="A134" s="18"/>
      <c r="B134" s="19"/>
      <c r="C134" s="20">
        <v>240902000038</v>
      </c>
      <c r="D134" s="21">
        <v>45544</v>
      </c>
      <c r="E134" s="21" t="s">
        <v>43</v>
      </c>
      <c r="F134" s="19" t="s">
        <v>44</v>
      </c>
      <c r="G134" s="19" t="s">
        <v>110</v>
      </c>
      <c r="H134" s="19">
        <v>1.5</v>
      </c>
      <c r="I134" s="41">
        <v>158.55</v>
      </c>
      <c r="J134" s="53"/>
      <c r="K134" s="43"/>
      <c r="L134" s="19"/>
      <c r="M134" s="43"/>
      <c r="N134" s="44"/>
      <c r="O134" s="45">
        <f t="shared" ref="O134:O143" si="96">SUM(I134)</f>
        <v>158.55</v>
      </c>
      <c r="P134" s="51"/>
      <c r="Q134" s="51"/>
      <c r="R134" s="74">
        <f t="shared" si="89"/>
        <v>73.4602267126663</v>
      </c>
      <c r="S134" s="74"/>
      <c r="T134" s="75">
        <f t="shared" si="90"/>
        <v>0.0930532281912272</v>
      </c>
      <c r="U134" s="74"/>
      <c r="V134" s="74"/>
      <c r="W134" s="76">
        <f t="shared" si="86"/>
        <v>73.5532799408576</v>
      </c>
      <c r="X134" s="77">
        <f t="shared" si="91"/>
        <v>1.06463775258748</v>
      </c>
      <c r="Y134" s="77"/>
      <c r="Z134" s="77"/>
      <c r="AA134" s="77">
        <f t="shared" si="87"/>
        <v>1.06463775258748</v>
      </c>
      <c r="AB134" s="86">
        <v>7.08</v>
      </c>
      <c r="AC134" s="74">
        <f t="shared" si="84"/>
        <v>7.53763528831937</v>
      </c>
      <c r="AD134" s="74">
        <f t="shared" si="85"/>
        <v>81.0909152291769</v>
      </c>
      <c r="AE134" s="74">
        <f t="shared" si="83"/>
        <v>77.4590847708231</v>
      </c>
    </row>
    <row r="135" customFormat="1" spans="1:31">
      <c r="A135" s="18"/>
      <c r="B135" s="19"/>
      <c r="C135" s="20">
        <v>240902000040</v>
      </c>
      <c r="D135" s="21">
        <v>45544</v>
      </c>
      <c r="E135" s="21" t="s">
        <v>62</v>
      </c>
      <c r="F135" s="19" t="s">
        <v>63</v>
      </c>
      <c r="G135" s="19" t="s">
        <v>174</v>
      </c>
      <c r="H135" s="19">
        <v>56</v>
      </c>
      <c r="I135" s="41">
        <v>4641</v>
      </c>
      <c r="J135" s="53"/>
      <c r="K135" s="43"/>
      <c r="L135" s="19"/>
      <c r="M135" s="43"/>
      <c r="N135" s="44"/>
      <c r="O135" s="45">
        <f t="shared" si="96"/>
        <v>4641</v>
      </c>
      <c r="P135" s="51"/>
      <c r="Q135" s="51"/>
      <c r="R135" s="74">
        <f t="shared" si="89"/>
        <v>2742.51513060621</v>
      </c>
      <c r="S135" s="74"/>
      <c r="T135" s="75">
        <f t="shared" si="90"/>
        <v>3.47398718580582</v>
      </c>
      <c r="U135" s="74"/>
      <c r="V135" s="74"/>
      <c r="W135" s="76">
        <f t="shared" si="86"/>
        <v>2745.98911779202</v>
      </c>
      <c r="X135" s="77">
        <f t="shared" si="91"/>
        <v>39.7464760965993</v>
      </c>
      <c r="Y135" s="77"/>
      <c r="Z135" s="77"/>
      <c r="AA135" s="77">
        <f t="shared" si="87"/>
        <v>39.7464760965993</v>
      </c>
      <c r="AB135" s="86">
        <v>7.08</v>
      </c>
      <c r="AC135" s="74">
        <f t="shared" si="84"/>
        <v>281.405050763923</v>
      </c>
      <c r="AD135" s="74">
        <f t="shared" si="85"/>
        <v>3027.39416855594</v>
      </c>
      <c r="AE135" s="74">
        <f t="shared" si="83"/>
        <v>1613.60583144406</v>
      </c>
    </row>
    <row r="136" customFormat="1" spans="1:31">
      <c r="A136" s="18"/>
      <c r="B136" s="19"/>
      <c r="C136" s="20">
        <v>240902000042</v>
      </c>
      <c r="D136" s="21">
        <v>45544</v>
      </c>
      <c r="E136" s="21" t="s">
        <v>62</v>
      </c>
      <c r="F136" s="19" t="s">
        <v>63</v>
      </c>
      <c r="G136" s="19" t="s">
        <v>127</v>
      </c>
      <c r="H136" s="19">
        <v>1.5</v>
      </c>
      <c r="I136" s="41">
        <v>102</v>
      </c>
      <c r="J136" s="53"/>
      <c r="K136" s="43"/>
      <c r="L136" s="19"/>
      <c r="M136" s="43"/>
      <c r="N136" s="44"/>
      <c r="O136" s="45">
        <f t="shared" si="96"/>
        <v>102</v>
      </c>
      <c r="P136" s="51"/>
      <c r="Q136" s="51"/>
      <c r="R136" s="74">
        <f t="shared" si="89"/>
        <v>73.4602267126663</v>
      </c>
      <c r="S136" s="74"/>
      <c r="T136" s="75">
        <f t="shared" si="90"/>
        <v>0.0930532281912272</v>
      </c>
      <c r="U136" s="74"/>
      <c r="V136" s="74"/>
      <c r="W136" s="76">
        <f t="shared" si="86"/>
        <v>73.5532799408576</v>
      </c>
      <c r="X136" s="77">
        <f t="shared" si="91"/>
        <v>1.06463775258748</v>
      </c>
      <c r="Y136" s="77"/>
      <c r="Z136" s="77"/>
      <c r="AA136" s="77">
        <f t="shared" si="87"/>
        <v>1.06463775258748</v>
      </c>
      <c r="AB136" s="86">
        <v>7.08</v>
      </c>
      <c r="AC136" s="74">
        <f t="shared" si="84"/>
        <v>7.53763528831937</v>
      </c>
      <c r="AD136" s="74">
        <f t="shared" si="85"/>
        <v>81.0909152291769</v>
      </c>
      <c r="AE136" s="74">
        <f t="shared" ref="AE136:AE157" si="97">SUM(O136-AD136)</f>
        <v>20.9090847708231</v>
      </c>
    </row>
    <row r="137" customFormat="1" spans="1:31">
      <c r="A137" s="18"/>
      <c r="B137" s="19"/>
      <c r="C137" s="20">
        <v>240902000043</v>
      </c>
      <c r="D137" s="21">
        <v>45544</v>
      </c>
      <c r="E137" s="21" t="s">
        <v>46</v>
      </c>
      <c r="F137" s="19" t="s">
        <v>47</v>
      </c>
      <c r="G137" s="19" t="s">
        <v>175</v>
      </c>
      <c r="H137" s="19">
        <v>17</v>
      </c>
      <c r="I137" s="41">
        <v>1072.5</v>
      </c>
      <c r="J137" s="53"/>
      <c r="K137" s="43"/>
      <c r="L137" s="19"/>
      <c r="M137" s="43"/>
      <c r="N137" s="44"/>
      <c r="O137" s="45">
        <f t="shared" si="96"/>
        <v>1072.5</v>
      </c>
      <c r="P137" s="51"/>
      <c r="Q137" s="51"/>
      <c r="R137" s="74">
        <f t="shared" si="89"/>
        <v>832.549236076885</v>
      </c>
      <c r="S137" s="74"/>
      <c r="T137" s="75">
        <f t="shared" si="90"/>
        <v>1.05460325283391</v>
      </c>
      <c r="U137" s="74"/>
      <c r="V137" s="74"/>
      <c r="W137" s="76">
        <f t="shared" si="86"/>
        <v>833.603839329719</v>
      </c>
      <c r="X137" s="77">
        <f t="shared" si="91"/>
        <v>12.0658945293248</v>
      </c>
      <c r="Y137" s="77"/>
      <c r="Z137" s="77"/>
      <c r="AA137" s="77">
        <f t="shared" si="87"/>
        <v>12.0658945293248</v>
      </c>
      <c r="AB137" s="86">
        <v>7.08</v>
      </c>
      <c r="AC137" s="74">
        <f t="shared" si="84"/>
        <v>85.4265332676195</v>
      </c>
      <c r="AD137" s="74">
        <f t="shared" si="85"/>
        <v>919.030372597339</v>
      </c>
      <c r="AE137" s="74">
        <f t="shared" si="97"/>
        <v>153.469627402661</v>
      </c>
    </row>
    <row r="138" customFormat="1" spans="1:31">
      <c r="A138" s="18"/>
      <c r="B138" s="19"/>
      <c r="C138" s="20">
        <v>240902000046</v>
      </c>
      <c r="D138" s="21">
        <v>45544</v>
      </c>
      <c r="E138" s="21" t="s">
        <v>46</v>
      </c>
      <c r="F138" s="19" t="s">
        <v>47</v>
      </c>
      <c r="G138" s="19" t="s">
        <v>91</v>
      </c>
      <c r="H138" s="19">
        <v>3.5</v>
      </c>
      <c r="I138" s="41">
        <v>298.2</v>
      </c>
      <c r="J138" s="53"/>
      <c r="K138" s="43"/>
      <c r="L138" s="19"/>
      <c r="M138" s="43"/>
      <c r="N138" s="44"/>
      <c r="O138" s="45">
        <f t="shared" si="96"/>
        <v>298.2</v>
      </c>
      <c r="P138" s="51"/>
      <c r="Q138" s="51"/>
      <c r="R138" s="74">
        <f t="shared" si="89"/>
        <v>171.407195662888</v>
      </c>
      <c r="S138" s="74"/>
      <c r="T138" s="75">
        <f t="shared" si="90"/>
        <v>0.217124199112863</v>
      </c>
      <c r="U138" s="74"/>
      <c r="V138" s="74"/>
      <c r="W138" s="76">
        <f t="shared" si="86"/>
        <v>171.624319862001</v>
      </c>
      <c r="X138" s="77">
        <f t="shared" si="91"/>
        <v>2.48415475603746</v>
      </c>
      <c r="Y138" s="77"/>
      <c r="Z138" s="77"/>
      <c r="AA138" s="77">
        <f t="shared" si="87"/>
        <v>2.48415475603746</v>
      </c>
      <c r="AB138" s="86">
        <v>7.08</v>
      </c>
      <c r="AC138" s="74">
        <f t="shared" si="84"/>
        <v>17.5878156727452</v>
      </c>
      <c r="AD138" s="74">
        <f t="shared" si="85"/>
        <v>189.212135534746</v>
      </c>
      <c r="AE138" s="74">
        <f t="shared" si="97"/>
        <v>108.987864465254</v>
      </c>
    </row>
    <row r="139" customFormat="1" spans="1:31">
      <c r="A139" s="18"/>
      <c r="B139" s="19"/>
      <c r="C139" s="20">
        <v>240902000048</v>
      </c>
      <c r="D139" s="21">
        <v>45544</v>
      </c>
      <c r="E139" s="21" t="s">
        <v>46</v>
      </c>
      <c r="F139" s="19" t="s">
        <v>47</v>
      </c>
      <c r="G139" s="19" t="s">
        <v>81</v>
      </c>
      <c r="H139" s="19">
        <v>2</v>
      </c>
      <c r="I139" s="41">
        <v>198</v>
      </c>
      <c r="J139" s="53"/>
      <c r="K139" s="43"/>
      <c r="L139" s="19"/>
      <c r="M139" s="43"/>
      <c r="N139" s="44"/>
      <c r="O139" s="45">
        <f t="shared" si="96"/>
        <v>198</v>
      </c>
      <c r="P139" s="51"/>
      <c r="Q139" s="51"/>
      <c r="R139" s="74">
        <f t="shared" si="89"/>
        <v>97.9469689502218</v>
      </c>
      <c r="S139" s="74"/>
      <c r="T139" s="75">
        <f t="shared" si="90"/>
        <v>0.124070970921636</v>
      </c>
      <c r="U139" s="74"/>
      <c r="V139" s="74"/>
      <c r="W139" s="76">
        <f t="shared" si="86"/>
        <v>98.0710399211434</v>
      </c>
      <c r="X139" s="77">
        <f t="shared" si="91"/>
        <v>1.41951700344998</v>
      </c>
      <c r="Y139" s="77"/>
      <c r="Z139" s="77"/>
      <c r="AA139" s="77">
        <f t="shared" si="87"/>
        <v>1.41951700344998</v>
      </c>
      <c r="AB139" s="86">
        <v>7.08</v>
      </c>
      <c r="AC139" s="74">
        <f t="shared" ref="AC139:AC157" si="98">SUM(AA139*AB139)</f>
        <v>10.0501803844258</v>
      </c>
      <c r="AD139" s="74">
        <f t="shared" ref="AD139:AD157" si="99">SUM(W139+AC139)</f>
        <v>108.121220305569</v>
      </c>
      <c r="AE139" s="74">
        <f t="shared" si="97"/>
        <v>89.8787796944307</v>
      </c>
    </row>
    <row r="140" customFormat="1" spans="1:31">
      <c r="A140" s="18"/>
      <c r="B140" s="19"/>
      <c r="C140" s="20">
        <v>240902000049</v>
      </c>
      <c r="D140" s="21">
        <v>45544</v>
      </c>
      <c r="E140" s="21" t="s">
        <v>41</v>
      </c>
      <c r="F140" s="19" t="s">
        <v>41</v>
      </c>
      <c r="G140" s="19" t="s">
        <v>176</v>
      </c>
      <c r="H140" s="19">
        <v>10</v>
      </c>
      <c r="I140" s="41">
        <v>673.6</v>
      </c>
      <c r="J140" s="53"/>
      <c r="K140" s="43"/>
      <c r="L140" s="19"/>
      <c r="M140" s="43"/>
      <c r="N140" s="44"/>
      <c r="O140" s="45">
        <f t="shared" si="96"/>
        <v>673.6</v>
      </c>
      <c r="P140" s="51"/>
      <c r="Q140" s="51"/>
      <c r="R140" s="74">
        <f t="shared" si="89"/>
        <v>489.734844751109</v>
      </c>
      <c r="S140" s="74"/>
      <c r="T140" s="75">
        <f t="shared" si="90"/>
        <v>0.620354854608181</v>
      </c>
      <c r="U140" s="74"/>
      <c r="V140" s="74"/>
      <c r="W140" s="76">
        <f t="shared" ref="W140:W157" si="100">SUM(R140:V140)</f>
        <v>490.355199605717</v>
      </c>
      <c r="X140" s="77">
        <f t="shared" si="91"/>
        <v>7.09758501724988</v>
      </c>
      <c r="Y140" s="77"/>
      <c r="Z140" s="77"/>
      <c r="AA140" s="77">
        <f t="shared" ref="AA140:AA157" si="101">SUM(X140:Z140)</f>
        <v>7.09758501724988</v>
      </c>
      <c r="AB140" s="86">
        <v>7.08</v>
      </c>
      <c r="AC140" s="74">
        <f t="shared" si="98"/>
        <v>50.2509019221291</v>
      </c>
      <c r="AD140" s="74">
        <f t="shared" si="99"/>
        <v>540.606101527846</v>
      </c>
      <c r="AE140" s="74">
        <f t="shared" si="97"/>
        <v>132.993898472154</v>
      </c>
    </row>
    <row r="141" customFormat="1" spans="1:31">
      <c r="A141" s="18"/>
      <c r="B141" s="19"/>
      <c r="C141" s="20">
        <v>240902000055</v>
      </c>
      <c r="D141" s="21">
        <v>45544</v>
      </c>
      <c r="E141" s="21" t="s">
        <v>37</v>
      </c>
      <c r="F141" s="19" t="s">
        <v>38</v>
      </c>
      <c r="G141" s="19" t="s">
        <v>177</v>
      </c>
      <c r="H141" s="19">
        <v>0.94</v>
      </c>
      <c r="I141" s="41">
        <v>69.3</v>
      </c>
      <c r="J141" s="53"/>
      <c r="K141" s="43"/>
      <c r="L141" s="19"/>
      <c r="M141" s="43"/>
      <c r="N141" s="44"/>
      <c r="O141" s="45">
        <f t="shared" si="96"/>
        <v>69.3</v>
      </c>
      <c r="P141" s="51"/>
      <c r="Q141" s="51"/>
      <c r="R141" s="74">
        <f t="shared" si="89"/>
        <v>46.0350754066042</v>
      </c>
      <c r="S141" s="74"/>
      <c r="T141" s="75">
        <f t="shared" si="90"/>
        <v>0.0583133563331691</v>
      </c>
      <c r="U141" s="74"/>
      <c r="V141" s="74"/>
      <c r="W141" s="76">
        <f t="shared" si="100"/>
        <v>46.0933887629374</v>
      </c>
      <c r="X141" s="77">
        <f t="shared" si="91"/>
        <v>0.667172991621488</v>
      </c>
      <c r="Y141" s="77"/>
      <c r="Z141" s="77"/>
      <c r="AA141" s="77">
        <f t="shared" si="101"/>
        <v>0.667172991621488</v>
      </c>
      <c r="AB141" s="86">
        <v>7.08</v>
      </c>
      <c r="AC141" s="74">
        <f t="shared" si="98"/>
        <v>4.72358478068014</v>
      </c>
      <c r="AD141" s="74">
        <f t="shared" si="99"/>
        <v>50.8169735436175</v>
      </c>
      <c r="AE141" s="74">
        <f t="shared" si="97"/>
        <v>18.4830264563825</v>
      </c>
    </row>
    <row r="142" customFormat="1" spans="1:31">
      <c r="A142" s="18"/>
      <c r="B142" s="19"/>
      <c r="C142" s="20">
        <v>240902000059</v>
      </c>
      <c r="D142" s="21">
        <v>45544</v>
      </c>
      <c r="E142" s="21" t="s">
        <v>62</v>
      </c>
      <c r="F142" s="19" t="s">
        <v>63</v>
      </c>
      <c r="G142" s="19" t="s">
        <v>178</v>
      </c>
      <c r="H142" s="19">
        <v>0.24</v>
      </c>
      <c r="I142" s="41">
        <v>88</v>
      </c>
      <c r="J142" s="53"/>
      <c r="K142" s="43"/>
      <c r="L142" s="19"/>
      <c r="M142" s="43"/>
      <c r="N142" s="44"/>
      <c r="O142" s="45">
        <f t="shared" si="96"/>
        <v>88</v>
      </c>
      <c r="P142" s="51"/>
      <c r="Q142" s="51"/>
      <c r="R142" s="74">
        <f t="shared" si="89"/>
        <v>11.7536362740266</v>
      </c>
      <c r="S142" s="74"/>
      <c r="T142" s="75">
        <f t="shared" si="90"/>
        <v>0.0148885165105964</v>
      </c>
      <c r="U142" s="74"/>
      <c r="V142" s="74"/>
      <c r="W142" s="76">
        <f t="shared" si="100"/>
        <v>11.7685247905372</v>
      </c>
      <c r="X142" s="77">
        <f t="shared" si="91"/>
        <v>0.170342040413997</v>
      </c>
      <c r="Y142" s="77"/>
      <c r="Z142" s="77"/>
      <c r="AA142" s="77">
        <f t="shared" si="101"/>
        <v>0.170342040413997</v>
      </c>
      <c r="AB142" s="86">
        <v>7.08</v>
      </c>
      <c r="AC142" s="74">
        <f t="shared" si="98"/>
        <v>1.2060216461311</v>
      </c>
      <c r="AD142" s="74">
        <f t="shared" si="99"/>
        <v>12.9745464366683</v>
      </c>
      <c r="AE142" s="74">
        <f t="shared" si="97"/>
        <v>75.0254535633317</v>
      </c>
    </row>
    <row r="143" customFormat="1" spans="1:31">
      <c r="A143" s="18"/>
      <c r="B143" s="19"/>
      <c r="C143" s="20">
        <v>240903000002</v>
      </c>
      <c r="D143" s="21">
        <v>45544</v>
      </c>
      <c r="E143" s="21" t="s">
        <v>50</v>
      </c>
      <c r="F143" s="19" t="s">
        <v>51</v>
      </c>
      <c r="G143" s="19" t="s">
        <v>55</v>
      </c>
      <c r="H143" s="19">
        <v>9.5</v>
      </c>
      <c r="I143" s="41">
        <v>765</v>
      </c>
      <c r="J143" s="53"/>
      <c r="K143" s="43"/>
      <c r="L143" s="19"/>
      <c r="M143" s="43"/>
      <c r="N143" s="44"/>
      <c r="O143" s="45">
        <f t="shared" si="96"/>
        <v>765</v>
      </c>
      <c r="P143" s="51"/>
      <c r="Q143" s="51"/>
      <c r="R143" s="74">
        <f t="shared" si="89"/>
        <v>465.248102513553</v>
      </c>
      <c r="S143" s="74"/>
      <c r="T143" s="75">
        <f t="shared" si="90"/>
        <v>0.589337111877772</v>
      </c>
      <c r="U143" s="74"/>
      <c r="V143" s="74"/>
      <c r="W143" s="76">
        <f t="shared" si="100"/>
        <v>465.837439625431</v>
      </c>
      <c r="X143" s="77">
        <f t="shared" si="91"/>
        <v>6.74270576638738</v>
      </c>
      <c r="Y143" s="77"/>
      <c r="Z143" s="77"/>
      <c r="AA143" s="77">
        <f t="shared" si="101"/>
        <v>6.74270576638738</v>
      </c>
      <c r="AB143" s="86">
        <v>7.08</v>
      </c>
      <c r="AC143" s="74">
        <f t="shared" si="98"/>
        <v>47.7383568260227</v>
      </c>
      <c r="AD143" s="74">
        <f t="shared" si="99"/>
        <v>513.575796451454</v>
      </c>
      <c r="AE143" s="74">
        <f t="shared" si="97"/>
        <v>251.424203548546</v>
      </c>
    </row>
    <row r="144" customFormat="1" spans="1:31">
      <c r="A144" s="18"/>
      <c r="B144" s="19"/>
      <c r="C144" s="20">
        <v>240903000005</v>
      </c>
      <c r="D144" s="21">
        <v>45544</v>
      </c>
      <c r="E144" s="21" t="s">
        <v>50</v>
      </c>
      <c r="F144" s="19" t="s">
        <v>51</v>
      </c>
      <c r="G144" s="19" t="s">
        <v>179</v>
      </c>
      <c r="H144" s="19">
        <v>21</v>
      </c>
      <c r="I144" s="47"/>
      <c r="J144" s="54">
        <v>381710</v>
      </c>
      <c r="K144" s="43"/>
      <c r="L144" s="49">
        <f>SUM(J144/M144)</f>
        <v>1734.65121563281</v>
      </c>
      <c r="M144" s="50">
        <v>220.05</v>
      </c>
      <c r="N144" s="44">
        <v>7.08</v>
      </c>
      <c r="O144" s="45">
        <f>SUM(M144*N144)</f>
        <v>1557.954</v>
      </c>
      <c r="P144" s="51"/>
      <c r="Q144" s="51"/>
      <c r="R144" s="74">
        <f t="shared" si="89"/>
        <v>1028.44317397733</v>
      </c>
      <c r="S144" s="74"/>
      <c r="T144" s="75">
        <f t="shared" si="90"/>
        <v>1.30274519467718</v>
      </c>
      <c r="U144" s="75">
        <v>50</v>
      </c>
      <c r="V144" s="74"/>
      <c r="W144" s="76">
        <f t="shared" si="100"/>
        <v>1079.74591917201</v>
      </c>
      <c r="X144" s="77">
        <f t="shared" si="91"/>
        <v>14.9049285362247</v>
      </c>
      <c r="Y144" s="77"/>
      <c r="Z144" s="77"/>
      <c r="AA144" s="77">
        <f t="shared" si="101"/>
        <v>14.9049285362247</v>
      </c>
      <c r="AB144" s="86">
        <v>7.08</v>
      </c>
      <c r="AC144" s="74">
        <f t="shared" si="98"/>
        <v>105.526894036471</v>
      </c>
      <c r="AD144" s="74">
        <f t="shared" si="99"/>
        <v>1185.27281320848</v>
      </c>
      <c r="AE144" s="74">
        <f t="shared" si="97"/>
        <v>372.681186791523</v>
      </c>
    </row>
    <row r="145" customFormat="1" spans="1:31">
      <c r="A145" s="18"/>
      <c r="B145" s="19"/>
      <c r="C145" s="20">
        <v>240903000006</v>
      </c>
      <c r="D145" s="21">
        <v>45544</v>
      </c>
      <c r="E145" s="21" t="s">
        <v>50</v>
      </c>
      <c r="F145" s="19" t="s">
        <v>51</v>
      </c>
      <c r="G145" s="19" t="s">
        <v>180</v>
      </c>
      <c r="H145" s="19">
        <v>0.53</v>
      </c>
      <c r="I145" s="41"/>
      <c r="J145" s="54">
        <v>30810</v>
      </c>
      <c r="K145" s="43"/>
      <c r="L145" s="49">
        <f>SUM(J145/M145)</f>
        <v>1678.1045751634</v>
      </c>
      <c r="M145" s="50">
        <v>18.36</v>
      </c>
      <c r="N145" s="44">
        <v>7.08</v>
      </c>
      <c r="O145" s="45">
        <f>SUM(M145*N145)</f>
        <v>129.9888</v>
      </c>
      <c r="P145" s="51"/>
      <c r="Q145" s="51"/>
      <c r="R145" s="74">
        <f t="shared" si="89"/>
        <v>25.9559467718088</v>
      </c>
      <c r="S145" s="74"/>
      <c r="T145" s="75">
        <f t="shared" si="90"/>
        <v>0.0328788072942336</v>
      </c>
      <c r="U145" s="74"/>
      <c r="V145" s="74"/>
      <c r="W145" s="76">
        <f t="shared" si="100"/>
        <v>25.988825579103</v>
      </c>
      <c r="X145" s="77">
        <f t="shared" si="91"/>
        <v>0.376172005914243</v>
      </c>
      <c r="Y145" s="77">
        <v>5.63</v>
      </c>
      <c r="Z145" s="77"/>
      <c r="AA145" s="77">
        <f t="shared" si="101"/>
        <v>6.00617200591424</v>
      </c>
      <c r="AB145" s="86">
        <v>7.08</v>
      </c>
      <c r="AC145" s="74">
        <f t="shared" si="98"/>
        <v>42.5236978018728</v>
      </c>
      <c r="AD145" s="74">
        <f t="shared" si="99"/>
        <v>68.5125233809758</v>
      </c>
      <c r="AE145" s="74">
        <f t="shared" si="97"/>
        <v>61.4762766190241</v>
      </c>
    </row>
    <row r="146" customFormat="1" spans="1:31">
      <c r="A146" s="18"/>
      <c r="B146" s="19"/>
      <c r="C146" s="20">
        <v>240903000007</v>
      </c>
      <c r="D146" s="21">
        <v>45544</v>
      </c>
      <c r="E146" s="21" t="s">
        <v>50</v>
      </c>
      <c r="F146" s="19" t="s">
        <v>51</v>
      </c>
      <c r="G146" s="19" t="s">
        <v>181</v>
      </c>
      <c r="H146" s="19">
        <v>4.5</v>
      </c>
      <c r="I146" s="41">
        <v>345</v>
      </c>
      <c r="J146" s="53"/>
      <c r="K146" s="43"/>
      <c r="L146" s="19"/>
      <c r="M146" s="43"/>
      <c r="N146" s="44"/>
      <c r="O146" s="45">
        <f t="shared" ref="O146:O149" si="102">SUM(I146)</f>
        <v>345</v>
      </c>
      <c r="P146" s="51"/>
      <c r="Q146" s="51"/>
      <c r="R146" s="74">
        <f t="shared" si="89"/>
        <v>220.380680137999</v>
      </c>
      <c r="S146" s="74"/>
      <c r="T146" s="75">
        <f t="shared" si="90"/>
        <v>0.279159684573682</v>
      </c>
      <c r="U146" s="74"/>
      <c r="V146" s="74"/>
      <c r="W146" s="76">
        <f t="shared" si="100"/>
        <v>220.659839822573</v>
      </c>
      <c r="X146" s="77">
        <f t="shared" si="91"/>
        <v>3.19391325776244</v>
      </c>
      <c r="Y146" s="77"/>
      <c r="Z146" s="77"/>
      <c r="AA146" s="77">
        <f t="shared" si="101"/>
        <v>3.19391325776244</v>
      </c>
      <c r="AB146" s="86">
        <v>7.08</v>
      </c>
      <c r="AC146" s="74">
        <f t="shared" si="98"/>
        <v>22.6129058649581</v>
      </c>
      <c r="AD146" s="74">
        <f t="shared" si="99"/>
        <v>243.272745687531</v>
      </c>
      <c r="AE146" s="74">
        <f t="shared" si="97"/>
        <v>101.727254312469</v>
      </c>
    </row>
    <row r="147" customFormat="1" spans="1:31">
      <c r="A147" s="18"/>
      <c r="B147" s="19"/>
      <c r="C147" s="20">
        <v>240903000012</v>
      </c>
      <c r="D147" s="21">
        <v>45544</v>
      </c>
      <c r="E147" s="21" t="s">
        <v>43</v>
      </c>
      <c r="F147" s="19" t="s">
        <v>44</v>
      </c>
      <c r="G147" s="19" t="s">
        <v>171</v>
      </c>
      <c r="H147" s="19">
        <v>24</v>
      </c>
      <c r="I147" s="41">
        <v>1653</v>
      </c>
      <c r="J147" s="53"/>
      <c r="K147" s="43"/>
      <c r="L147" s="19"/>
      <c r="M147" s="43"/>
      <c r="N147" s="44"/>
      <c r="O147" s="45">
        <f t="shared" si="102"/>
        <v>1653</v>
      </c>
      <c r="P147" s="51"/>
      <c r="Q147" s="51"/>
      <c r="R147" s="74">
        <f t="shared" si="89"/>
        <v>1175.36362740266</v>
      </c>
      <c r="S147" s="74"/>
      <c r="T147" s="75">
        <f t="shared" si="90"/>
        <v>1.48885165105964</v>
      </c>
      <c r="U147" s="75">
        <v>40</v>
      </c>
      <c r="V147" s="74"/>
      <c r="W147" s="76">
        <f t="shared" si="100"/>
        <v>1216.85247905372</v>
      </c>
      <c r="X147" s="77">
        <f t="shared" si="91"/>
        <v>17.0342040413997</v>
      </c>
      <c r="Y147" s="77"/>
      <c r="Z147" s="77"/>
      <c r="AA147" s="77">
        <f t="shared" si="101"/>
        <v>17.0342040413997</v>
      </c>
      <c r="AB147" s="86">
        <v>7.08</v>
      </c>
      <c r="AC147" s="74">
        <f t="shared" si="98"/>
        <v>120.60216461311</v>
      </c>
      <c r="AD147" s="74">
        <f t="shared" si="99"/>
        <v>1337.45464366683</v>
      </c>
      <c r="AE147" s="74">
        <f t="shared" si="97"/>
        <v>315.545356333169</v>
      </c>
    </row>
    <row r="148" customFormat="1" spans="1:31">
      <c r="A148" s="18"/>
      <c r="B148" s="19"/>
      <c r="C148" s="20">
        <v>240903000019</v>
      </c>
      <c r="D148" s="21">
        <v>45544</v>
      </c>
      <c r="E148" s="21" t="s">
        <v>46</v>
      </c>
      <c r="F148" s="19" t="s">
        <v>47</v>
      </c>
      <c r="G148" s="19" t="s">
        <v>91</v>
      </c>
      <c r="H148" s="19">
        <v>8.5</v>
      </c>
      <c r="I148" s="41">
        <v>539.55</v>
      </c>
      <c r="J148" s="53"/>
      <c r="K148" s="43"/>
      <c r="L148" s="19"/>
      <c r="M148" s="43"/>
      <c r="N148" s="44"/>
      <c r="O148" s="45">
        <f t="shared" si="102"/>
        <v>539.55</v>
      </c>
      <c r="P148" s="51"/>
      <c r="Q148" s="51"/>
      <c r="R148" s="74">
        <f t="shared" si="89"/>
        <v>416.274618038443</v>
      </c>
      <c r="S148" s="74"/>
      <c r="T148" s="75">
        <f t="shared" si="90"/>
        <v>0.527301626416954</v>
      </c>
      <c r="U148" s="74"/>
      <c r="V148" s="74"/>
      <c r="W148" s="76">
        <f t="shared" si="100"/>
        <v>416.80191966486</v>
      </c>
      <c r="X148" s="77">
        <f t="shared" si="91"/>
        <v>6.0329472646624</v>
      </c>
      <c r="Y148" s="77"/>
      <c r="Z148" s="77"/>
      <c r="AA148" s="77">
        <f t="shared" si="101"/>
        <v>6.0329472646624</v>
      </c>
      <c r="AB148" s="86">
        <v>7.08</v>
      </c>
      <c r="AC148" s="74">
        <f t="shared" si="98"/>
        <v>42.7132666338098</v>
      </c>
      <c r="AD148" s="74">
        <f t="shared" si="99"/>
        <v>459.515186298669</v>
      </c>
      <c r="AE148" s="74">
        <f t="shared" si="97"/>
        <v>80.0348137013306</v>
      </c>
    </row>
    <row r="149" customFormat="1" spans="1:31">
      <c r="A149" s="18"/>
      <c r="B149" s="19"/>
      <c r="C149" s="20">
        <v>240903000025</v>
      </c>
      <c r="D149" s="21">
        <v>45544</v>
      </c>
      <c r="E149" s="21" t="s">
        <v>62</v>
      </c>
      <c r="F149" s="19" t="s">
        <v>63</v>
      </c>
      <c r="G149" s="19" t="s">
        <v>174</v>
      </c>
      <c r="H149" s="19">
        <v>54.5</v>
      </c>
      <c r="I149" s="41">
        <v>4796</v>
      </c>
      <c r="J149" s="53"/>
      <c r="K149" s="43"/>
      <c r="L149" s="19"/>
      <c r="M149" s="43"/>
      <c r="N149" s="44"/>
      <c r="O149" s="45">
        <f t="shared" si="102"/>
        <v>4796</v>
      </c>
      <c r="P149" s="51"/>
      <c r="Q149" s="51"/>
      <c r="R149" s="74">
        <f t="shared" si="89"/>
        <v>2669.05490389354</v>
      </c>
      <c r="S149" s="74"/>
      <c r="T149" s="75">
        <f t="shared" si="90"/>
        <v>3.38093395761459</v>
      </c>
      <c r="U149" s="74"/>
      <c r="V149" s="74"/>
      <c r="W149" s="76">
        <f t="shared" si="100"/>
        <v>2672.43583785116</v>
      </c>
      <c r="X149" s="77">
        <f t="shared" si="91"/>
        <v>38.6818383440118</v>
      </c>
      <c r="Y149" s="77"/>
      <c r="Z149" s="77"/>
      <c r="AA149" s="77">
        <f t="shared" si="101"/>
        <v>38.6818383440118</v>
      </c>
      <c r="AB149" s="86">
        <v>7.08</v>
      </c>
      <c r="AC149" s="74">
        <f t="shared" si="98"/>
        <v>273.867415475604</v>
      </c>
      <c r="AD149" s="74">
        <f t="shared" si="99"/>
        <v>2946.30325332676</v>
      </c>
      <c r="AE149" s="74">
        <f t="shared" si="97"/>
        <v>1849.69674667324</v>
      </c>
    </row>
    <row r="150" customFormat="1" spans="1:31">
      <c r="A150" s="18"/>
      <c r="B150" s="19"/>
      <c r="C150" s="20">
        <v>240903000028</v>
      </c>
      <c r="D150" s="21">
        <v>45544</v>
      </c>
      <c r="E150" s="21" t="s">
        <v>43</v>
      </c>
      <c r="F150" s="19" t="s">
        <v>44</v>
      </c>
      <c r="G150" s="19" t="s">
        <v>182</v>
      </c>
      <c r="H150" s="19">
        <v>0.4</v>
      </c>
      <c r="I150" s="45"/>
      <c r="J150" s="54">
        <v>16407.6</v>
      </c>
      <c r="K150" s="43"/>
      <c r="L150" s="49">
        <f>SUM(J150/M150)</f>
        <v>1695</v>
      </c>
      <c r="M150" s="50">
        <v>9.68</v>
      </c>
      <c r="N150" s="44">
        <v>7.08</v>
      </c>
      <c r="O150" s="45">
        <f>SUM(M150*N150)</f>
        <v>68.5344</v>
      </c>
      <c r="P150" s="51"/>
      <c r="Q150" s="51"/>
      <c r="R150" s="74">
        <f t="shared" si="89"/>
        <v>19.5893937900444</v>
      </c>
      <c r="S150" s="74"/>
      <c r="T150" s="75">
        <f t="shared" si="90"/>
        <v>0.0248141941843273</v>
      </c>
      <c r="U150" s="74"/>
      <c r="V150" s="74"/>
      <c r="W150" s="76">
        <f t="shared" si="100"/>
        <v>19.6142079842287</v>
      </c>
      <c r="X150" s="77">
        <f t="shared" si="91"/>
        <v>0.283903400689995</v>
      </c>
      <c r="Y150" s="77"/>
      <c r="Z150" s="77"/>
      <c r="AA150" s="77">
        <f t="shared" si="101"/>
        <v>0.283903400689995</v>
      </c>
      <c r="AB150" s="86">
        <v>7.08</v>
      </c>
      <c r="AC150" s="74">
        <f t="shared" si="98"/>
        <v>2.01003607688517</v>
      </c>
      <c r="AD150" s="74">
        <f t="shared" si="99"/>
        <v>21.6242440611138</v>
      </c>
      <c r="AE150" s="74">
        <f t="shared" si="97"/>
        <v>46.9101559388862</v>
      </c>
    </row>
    <row r="151" customFormat="1" spans="1:31">
      <c r="A151" s="18"/>
      <c r="B151" s="19"/>
      <c r="C151" s="20">
        <v>240903000029</v>
      </c>
      <c r="D151" s="21">
        <v>45544</v>
      </c>
      <c r="E151" s="21" t="s">
        <v>41</v>
      </c>
      <c r="F151" s="19" t="s">
        <v>41</v>
      </c>
      <c r="G151" s="19" t="s">
        <v>183</v>
      </c>
      <c r="H151" s="19">
        <v>672.5</v>
      </c>
      <c r="I151" s="41">
        <v>37169</v>
      </c>
      <c r="J151" s="53"/>
      <c r="K151" s="43"/>
      <c r="L151" s="19"/>
      <c r="M151" s="43"/>
      <c r="N151" s="44"/>
      <c r="O151" s="45">
        <f t="shared" ref="O151:O158" si="103">SUM(I151)</f>
        <v>37169</v>
      </c>
      <c r="P151" s="51"/>
      <c r="Q151" s="51"/>
      <c r="R151" s="74">
        <f t="shared" si="89"/>
        <v>32934.6683095121</v>
      </c>
      <c r="S151" s="74"/>
      <c r="T151" s="75">
        <f t="shared" si="90"/>
        <v>41.7188639724002</v>
      </c>
      <c r="U151" s="74"/>
      <c r="V151" s="74"/>
      <c r="W151" s="76">
        <f t="shared" si="100"/>
        <v>32976.3871734845</v>
      </c>
      <c r="X151" s="77">
        <f t="shared" si="91"/>
        <v>477.312592410054</v>
      </c>
      <c r="Y151" s="77"/>
      <c r="Z151" s="77"/>
      <c r="AA151" s="77">
        <f t="shared" si="101"/>
        <v>477.312592410054</v>
      </c>
      <c r="AB151" s="86">
        <v>7.08</v>
      </c>
      <c r="AC151" s="74">
        <f t="shared" si="98"/>
        <v>3379.37315426318</v>
      </c>
      <c r="AD151" s="74">
        <f t="shared" si="99"/>
        <v>36355.7603277477</v>
      </c>
      <c r="AE151" s="74">
        <f t="shared" si="97"/>
        <v>813.239672252341</v>
      </c>
    </row>
    <row r="152" customFormat="1" spans="1:31">
      <c r="A152" s="18"/>
      <c r="B152" s="19"/>
      <c r="C152" s="20">
        <v>240903000033</v>
      </c>
      <c r="D152" s="21">
        <v>45544</v>
      </c>
      <c r="E152" s="21" t="s">
        <v>62</v>
      </c>
      <c r="F152" s="19" t="s">
        <v>63</v>
      </c>
      <c r="G152" s="19" t="s">
        <v>184</v>
      </c>
      <c r="H152" s="19">
        <v>10.5</v>
      </c>
      <c r="I152" s="41">
        <v>660</v>
      </c>
      <c r="J152" s="53"/>
      <c r="K152" s="43"/>
      <c r="L152" s="19"/>
      <c r="M152" s="43"/>
      <c r="N152" s="44"/>
      <c r="O152" s="45">
        <f t="shared" si="103"/>
        <v>660</v>
      </c>
      <c r="P152" s="51"/>
      <c r="Q152" s="51"/>
      <c r="R152" s="74">
        <f t="shared" si="89"/>
        <v>514.221586988664</v>
      </c>
      <c r="S152" s="74"/>
      <c r="T152" s="75">
        <f t="shared" si="90"/>
        <v>0.651372597338591</v>
      </c>
      <c r="U152" s="74"/>
      <c r="V152" s="74"/>
      <c r="W152" s="76">
        <f t="shared" si="100"/>
        <v>514.872959586003</v>
      </c>
      <c r="X152" s="77">
        <f t="shared" si="91"/>
        <v>7.45246426811237</v>
      </c>
      <c r="Y152" s="77"/>
      <c r="Z152" s="77"/>
      <c r="AA152" s="77">
        <f t="shared" si="101"/>
        <v>7.45246426811237</v>
      </c>
      <c r="AB152" s="86">
        <v>7.08</v>
      </c>
      <c r="AC152" s="74">
        <f t="shared" si="98"/>
        <v>52.7634470182356</v>
      </c>
      <c r="AD152" s="74">
        <f t="shared" si="99"/>
        <v>567.636406604239</v>
      </c>
      <c r="AE152" s="74">
        <f t="shared" si="97"/>
        <v>92.3635933957614</v>
      </c>
    </row>
    <row r="153" customFormat="1" spans="1:31">
      <c r="A153" s="18"/>
      <c r="B153" s="19"/>
      <c r="C153" s="20">
        <v>240904000004</v>
      </c>
      <c r="D153" s="21">
        <v>45544</v>
      </c>
      <c r="E153" s="21" t="s">
        <v>62</v>
      </c>
      <c r="F153" s="19" t="s">
        <v>63</v>
      </c>
      <c r="G153" s="19" t="s">
        <v>174</v>
      </c>
      <c r="H153" s="19">
        <v>33</v>
      </c>
      <c r="I153" s="41">
        <v>2904</v>
      </c>
      <c r="J153" s="53"/>
      <c r="K153" s="43"/>
      <c r="L153" s="19"/>
      <c r="M153" s="43"/>
      <c r="N153" s="44"/>
      <c r="O153" s="45">
        <f t="shared" si="103"/>
        <v>2904</v>
      </c>
      <c r="P153" s="51"/>
      <c r="Q153" s="51"/>
      <c r="R153" s="74">
        <f t="shared" si="89"/>
        <v>1616.12498767866</v>
      </c>
      <c r="S153" s="74"/>
      <c r="T153" s="75">
        <f t="shared" si="90"/>
        <v>2.047171020207</v>
      </c>
      <c r="U153" s="74"/>
      <c r="V153" s="74"/>
      <c r="W153" s="76">
        <f t="shared" si="100"/>
        <v>1618.17215869887</v>
      </c>
      <c r="X153" s="77">
        <f t="shared" si="91"/>
        <v>23.4220305569246</v>
      </c>
      <c r="Y153" s="77"/>
      <c r="Z153" s="77"/>
      <c r="AA153" s="77">
        <f t="shared" si="101"/>
        <v>23.4220305569246</v>
      </c>
      <c r="AB153" s="86">
        <v>7.08</v>
      </c>
      <c r="AC153" s="74">
        <f t="shared" si="98"/>
        <v>165.827976343026</v>
      </c>
      <c r="AD153" s="74">
        <f t="shared" si="99"/>
        <v>1784.00013504189</v>
      </c>
      <c r="AE153" s="74">
        <f t="shared" si="97"/>
        <v>1119.99986495811</v>
      </c>
    </row>
    <row r="154" customFormat="1" spans="1:31">
      <c r="A154" s="18"/>
      <c r="B154" s="19"/>
      <c r="C154" s="22">
        <v>240904000006</v>
      </c>
      <c r="D154" s="23">
        <v>45544</v>
      </c>
      <c r="E154" s="21" t="s">
        <v>50</v>
      </c>
      <c r="F154" s="24" t="s">
        <v>51</v>
      </c>
      <c r="G154" s="24" t="s">
        <v>185</v>
      </c>
      <c r="H154" s="24">
        <v>49</v>
      </c>
      <c r="I154" s="41">
        <v>3229.5</v>
      </c>
      <c r="J154" s="53"/>
      <c r="K154" s="43"/>
      <c r="L154" s="19"/>
      <c r="M154" s="43"/>
      <c r="N154" s="44"/>
      <c r="O154" s="45">
        <f t="shared" si="103"/>
        <v>3229.5</v>
      </c>
      <c r="P154" s="51"/>
      <c r="Q154" s="51"/>
      <c r="R154" s="74">
        <f t="shared" si="89"/>
        <v>2399.70073928043</v>
      </c>
      <c r="S154" s="74"/>
      <c r="T154" s="75">
        <f t="shared" si="90"/>
        <v>3.03973878758009</v>
      </c>
      <c r="U154" s="75">
        <v>140</v>
      </c>
      <c r="V154" s="74"/>
      <c r="W154" s="76">
        <f t="shared" si="100"/>
        <v>2542.74047806801</v>
      </c>
      <c r="X154" s="77">
        <f t="shared" si="91"/>
        <v>34.7781665845244</v>
      </c>
      <c r="Y154" s="77"/>
      <c r="Z154" s="77"/>
      <c r="AA154" s="77">
        <f t="shared" si="101"/>
        <v>34.7781665845244</v>
      </c>
      <c r="AB154" s="86">
        <v>7.08</v>
      </c>
      <c r="AC154" s="74">
        <f t="shared" si="98"/>
        <v>246.229419418433</v>
      </c>
      <c r="AD154" s="74">
        <f t="shared" si="99"/>
        <v>2788.96989748645</v>
      </c>
      <c r="AE154" s="74">
        <f t="shared" si="97"/>
        <v>440.530102513553</v>
      </c>
    </row>
    <row r="155" customFormat="1" spans="1:31">
      <c r="A155" s="18"/>
      <c r="B155" s="19"/>
      <c r="C155" s="20">
        <v>240904000015</v>
      </c>
      <c r="D155" s="21">
        <v>45544</v>
      </c>
      <c r="E155" s="21" t="s">
        <v>62</v>
      </c>
      <c r="F155" s="19" t="s">
        <v>63</v>
      </c>
      <c r="G155" s="19" t="s">
        <v>186</v>
      </c>
      <c r="H155" s="19">
        <v>13</v>
      </c>
      <c r="I155" s="41">
        <v>821.7</v>
      </c>
      <c r="J155" s="53"/>
      <c r="K155" s="43"/>
      <c r="L155" s="19"/>
      <c r="M155" s="43"/>
      <c r="N155" s="44"/>
      <c r="O155" s="45">
        <f t="shared" si="103"/>
        <v>821.7</v>
      </c>
      <c r="P155" s="51"/>
      <c r="Q155" s="51"/>
      <c r="R155" s="74">
        <f t="shared" si="89"/>
        <v>636.655298176442</v>
      </c>
      <c r="S155" s="74"/>
      <c r="T155" s="75">
        <f t="shared" si="90"/>
        <v>0.806461310990636</v>
      </c>
      <c r="U155" s="74"/>
      <c r="V155" s="74"/>
      <c r="W155" s="76">
        <f t="shared" si="100"/>
        <v>637.461759487432</v>
      </c>
      <c r="X155" s="77">
        <f t="shared" si="91"/>
        <v>9.22686052242484</v>
      </c>
      <c r="Y155" s="77"/>
      <c r="Z155" s="77"/>
      <c r="AA155" s="77">
        <f t="shared" si="101"/>
        <v>9.22686052242484</v>
      </c>
      <c r="AB155" s="86">
        <v>7.08</v>
      </c>
      <c r="AC155" s="74">
        <f t="shared" si="98"/>
        <v>65.3261724987679</v>
      </c>
      <c r="AD155" s="74">
        <f t="shared" si="99"/>
        <v>702.7879319862</v>
      </c>
      <c r="AE155" s="74">
        <f t="shared" si="97"/>
        <v>118.9120680138</v>
      </c>
    </row>
    <row r="156" customFormat="1" spans="1:31">
      <c r="A156" s="18"/>
      <c r="B156" s="19"/>
      <c r="C156" s="20">
        <v>240904000016</v>
      </c>
      <c r="D156" s="21">
        <v>45544</v>
      </c>
      <c r="E156" s="21" t="s">
        <v>50</v>
      </c>
      <c r="F156" s="19" t="s">
        <v>51</v>
      </c>
      <c r="G156" s="19" t="s">
        <v>164</v>
      </c>
      <c r="H156" s="19">
        <v>67.5</v>
      </c>
      <c r="I156" s="41">
        <v>5970</v>
      </c>
      <c r="J156" s="53"/>
      <c r="K156" s="43"/>
      <c r="L156" s="19"/>
      <c r="M156" s="43"/>
      <c r="N156" s="44"/>
      <c r="O156" s="45">
        <f t="shared" si="103"/>
        <v>5970</v>
      </c>
      <c r="P156" s="51"/>
      <c r="Q156" s="51"/>
      <c r="R156" s="74">
        <f t="shared" si="89"/>
        <v>3305.71020206999</v>
      </c>
      <c r="S156" s="74"/>
      <c r="T156" s="75">
        <f t="shared" si="90"/>
        <v>4.18739526860522</v>
      </c>
      <c r="U156" s="75">
        <v>270</v>
      </c>
      <c r="V156" s="74"/>
      <c r="W156" s="76">
        <f t="shared" ref="W156:W163" si="104">SUM(R156:V156)</f>
        <v>3579.89759733859</v>
      </c>
      <c r="X156" s="77">
        <f t="shared" si="91"/>
        <v>47.9086988664367</v>
      </c>
      <c r="Y156" s="77"/>
      <c r="Z156" s="77"/>
      <c r="AA156" s="77">
        <f t="shared" si="101"/>
        <v>47.9086988664367</v>
      </c>
      <c r="AB156" s="86">
        <v>7.08</v>
      </c>
      <c r="AC156" s="74">
        <f t="shared" si="98"/>
        <v>339.193587974372</v>
      </c>
      <c r="AD156" s="74">
        <f t="shared" si="99"/>
        <v>3919.09118531296</v>
      </c>
      <c r="AE156" s="74">
        <f t="shared" ref="AE156:AE163" si="105">SUM(O156-AD156)</f>
        <v>2050.90881468704</v>
      </c>
    </row>
    <row r="157" customFormat="1" spans="1:31">
      <c r="A157" s="18"/>
      <c r="B157" s="19"/>
      <c r="C157" s="20">
        <v>240909000021</v>
      </c>
      <c r="D157" s="21">
        <v>45544</v>
      </c>
      <c r="E157" s="21" t="s">
        <v>41</v>
      </c>
      <c r="F157" s="19" t="s">
        <v>41</v>
      </c>
      <c r="G157" s="19" t="s">
        <v>187</v>
      </c>
      <c r="H157" s="19">
        <v>774.5</v>
      </c>
      <c r="I157" s="41">
        <v>41823</v>
      </c>
      <c r="J157" s="53"/>
      <c r="K157" s="43"/>
      <c r="L157" s="19"/>
      <c r="M157" s="43"/>
      <c r="N157" s="44"/>
      <c r="O157" s="45">
        <f t="shared" si="103"/>
        <v>41823</v>
      </c>
      <c r="P157" s="52"/>
      <c r="Q157" s="52"/>
      <c r="R157" s="74">
        <f t="shared" si="89"/>
        <v>37929.9637259734</v>
      </c>
      <c r="S157" s="74"/>
      <c r="T157" s="75">
        <f t="shared" si="90"/>
        <v>48.0464834894036</v>
      </c>
      <c r="U157" s="74"/>
      <c r="V157" s="74"/>
      <c r="W157" s="76">
        <f t="shared" si="104"/>
        <v>37978.0102094628</v>
      </c>
      <c r="X157" s="77">
        <f t="shared" si="91"/>
        <v>549.707959586003</v>
      </c>
      <c r="Y157" s="77"/>
      <c r="Z157" s="77"/>
      <c r="AA157" s="77">
        <f t="shared" si="101"/>
        <v>549.707959586003</v>
      </c>
      <c r="AB157" s="86">
        <v>7.08</v>
      </c>
      <c r="AC157" s="74">
        <f t="shared" ref="AC157:AC163" si="106">SUM(AA157*AB157)</f>
        <v>3891.9323538689</v>
      </c>
      <c r="AD157" s="74">
        <f t="shared" ref="AD157:AD163" si="107">SUM(W157+AC157)</f>
        <v>41869.9425633317</v>
      </c>
      <c r="AE157" s="74">
        <f t="shared" si="105"/>
        <v>-46.942563331686</v>
      </c>
    </row>
    <row r="158" customFormat="1" spans="1:31">
      <c r="A158" s="18" t="s">
        <v>188</v>
      </c>
      <c r="B158" s="19" t="s">
        <v>189</v>
      </c>
      <c r="C158" s="20">
        <v>240905000040</v>
      </c>
      <c r="D158" s="21">
        <v>45545</v>
      </c>
      <c r="E158" s="21" t="s">
        <v>43</v>
      </c>
      <c r="F158" s="19" t="s">
        <v>44</v>
      </c>
      <c r="G158" s="19" t="s">
        <v>45</v>
      </c>
      <c r="H158" s="19">
        <v>4.5</v>
      </c>
      <c r="I158" s="41">
        <v>540</v>
      </c>
      <c r="J158" s="53"/>
      <c r="K158" s="43"/>
      <c r="L158" s="19"/>
      <c r="M158" s="43"/>
      <c r="N158" s="44"/>
      <c r="O158" s="45">
        <f t="shared" si="103"/>
        <v>540</v>
      </c>
      <c r="P158" s="46">
        <f>SUM(O158:O163)</f>
        <v>3659.9584</v>
      </c>
      <c r="Q158" s="46" t="s">
        <v>40</v>
      </c>
      <c r="R158" s="74">
        <f t="shared" ref="R158:R163" si="108">SUM(2400/32)*H158</f>
        <v>337.5</v>
      </c>
      <c r="S158" s="74"/>
      <c r="T158" s="75">
        <f t="shared" ref="T158:T163" si="109">SUM(82.49/32)*H158</f>
        <v>11.60015625</v>
      </c>
      <c r="U158" s="74"/>
      <c r="V158" s="74"/>
      <c r="W158" s="76">
        <f t="shared" si="104"/>
        <v>349.10015625</v>
      </c>
      <c r="X158" s="77">
        <f t="shared" ref="X158:X163" si="110">SUM(114.1/32)*H158</f>
        <v>16.0453125</v>
      </c>
      <c r="Y158" s="77"/>
      <c r="Z158" s="77"/>
      <c r="AA158" s="77">
        <f t="shared" ref="AA158:AA163" si="111">SUM(X158:Z158)</f>
        <v>16.0453125</v>
      </c>
      <c r="AB158" s="86">
        <v>7.08</v>
      </c>
      <c r="AC158" s="74">
        <f t="shared" si="106"/>
        <v>113.6008125</v>
      </c>
      <c r="AD158" s="74">
        <f t="shared" si="107"/>
        <v>462.70096875</v>
      </c>
      <c r="AE158" s="74">
        <f t="shared" si="105"/>
        <v>77.29903125</v>
      </c>
    </row>
    <row r="159" customFormat="1" spans="1:31">
      <c r="A159" s="18"/>
      <c r="B159" s="19"/>
      <c r="C159" s="20">
        <v>240908000005</v>
      </c>
      <c r="D159" s="21">
        <v>45545</v>
      </c>
      <c r="E159" s="21" t="s">
        <v>50</v>
      </c>
      <c r="F159" s="19" t="s">
        <v>51</v>
      </c>
      <c r="G159" s="19" t="s">
        <v>125</v>
      </c>
      <c r="H159" s="19">
        <v>0.24</v>
      </c>
      <c r="I159" s="47"/>
      <c r="J159" s="54">
        <v>27025</v>
      </c>
      <c r="K159" s="43"/>
      <c r="L159" s="49">
        <f t="shared" ref="L159:L166" si="112">SUM(J159/M159)</f>
        <v>1664.10098522168</v>
      </c>
      <c r="M159" s="50">
        <v>16.24</v>
      </c>
      <c r="N159" s="44">
        <v>7.08</v>
      </c>
      <c r="O159" s="45">
        <f t="shared" ref="O159:O166" si="113">SUM(M159*N159)</f>
        <v>114.9792</v>
      </c>
      <c r="P159" s="51"/>
      <c r="Q159" s="51"/>
      <c r="R159" s="74">
        <f t="shared" si="108"/>
        <v>18</v>
      </c>
      <c r="S159" s="74"/>
      <c r="T159" s="75">
        <f t="shared" si="109"/>
        <v>0.618675</v>
      </c>
      <c r="U159" s="74"/>
      <c r="V159" s="74"/>
      <c r="W159" s="76">
        <f t="shared" si="104"/>
        <v>18.618675</v>
      </c>
      <c r="X159" s="77">
        <f t="shared" si="110"/>
        <v>0.85575</v>
      </c>
      <c r="Y159" s="77"/>
      <c r="Z159" s="77"/>
      <c r="AA159" s="77">
        <f t="shared" si="111"/>
        <v>0.85575</v>
      </c>
      <c r="AB159" s="86">
        <v>7.08</v>
      </c>
      <c r="AC159" s="74">
        <f t="shared" si="106"/>
        <v>6.05871</v>
      </c>
      <c r="AD159" s="74">
        <f t="shared" si="107"/>
        <v>24.677385</v>
      </c>
      <c r="AE159" s="74">
        <f t="shared" si="105"/>
        <v>90.301815</v>
      </c>
    </row>
    <row r="160" customFormat="1" spans="1:31">
      <c r="A160" s="18"/>
      <c r="B160" s="19"/>
      <c r="C160" s="20">
        <v>240908000006</v>
      </c>
      <c r="D160" s="21">
        <v>45545</v>
      </c>
      <c r="E160" s="21" t="s">
        <v>46</v>
      </c>
      <c r="F160" s="19" t="s">
        <v>47</v>
      </c>
      <c r="G160" s="19" t="s">
        <v>190</v>
      </c>
      <c r="H160" s="19">
        <v>17.5</v>
      </c>
      <c r="I160" s="41">
        <v>2012.5</v>
      </c>
      <c r="J160" s="53"/>
      <c r="K160" s="43"/>
      <c r="L160" s="19"/>
      <c r="M160" s="43"/>
      <c r="N160" s="44"/>
      <c r="O160" s="45">
        <f t="shared" ref="O160:O162" si="114">SUM(I160)</f>
        <v>2012.5</v>
      </c>
      <c r="P160" s="51"/>
      <c r="Q160" s="51"/>
      <c r="R160" s="74">
        <f t="shared" si="108"/>
        <v>1312.5</v>
      </c>
      <c r="S160" s="74"/>
      <c r="T160" s="75">
        <f t="shared" si="109"/>
        <v>45.11171875</v>
      </c>
      <c r="U160" s="74"/>
      <c r="V160" s="74"/>
      <c r="W160" s="76">
        <f t="shared" si="104"/>
        <v>1357.61171875</v>
      </c>
      <c r="X160" s="77">
        <f t="shared" si="110"/>
        <v>62.3984375</v>
      </c>
      <c r="Y160" s="77"/>
      <c r="Z160" s="77"/>
      <c r="AA160" s="77">
        <f t="shared" si="111"/>
        <v>62.3984375</v>
      </c>
      <c r="AB160" s="86">
        <v>7.08</v>
      </c>
      <c r="AC160" s="74">
        <f t="shared" si="106"/>
        <v>441.7809375</v>
      </c>
      <c r="AD160" s="74">
        <f t="shared" si="107"/>
        <v>1799.39265625</v>
      </c>
      <c r="AE160" s="74">
        <f t="shared" si="105"/>
        <v>213.10734375</v>
      </c>
    </row>
    <row r="161" customFormat="1" spans="1:31">
      <c r="A161" s="18"/>
      <c r="B161" s="19"/>
      <c r="C161" s="20">
        <v>240909000001</v>
      </c>
      <c r="D161" s="21">
        <v>45545</v>
      </c>
      <c r="E161" s="21" t="s">
        <v>41</v>
      </c>
      <c r="F161" s="19" t="s">
        <v>68</v>
      </c>
      <c r="G161" s="19" t="s">
        <v>69</v>
      </c>
      <c r="H161" s="19">
        <v>3</v>
      </c>
      <c r="I161" s="41">
        <v>360</v>
      </c>
      <c r="J161" s="53"/>
      <c r="K161" s="43"/>
      <c r="L161" s="19"/>
      <c r="M161" s="43"/>
      <c r="N161" s="44"/>
      <c r="O161" s="45">
        <f t="shared" si="114"/>
        <v>360</v>
      </c>
      <c r="P161" s="51"/>
      <c r="Q161" s="51"/>
      <c r="R161" s="74">
        <f t="shared" si="108"/>
        <v>225</v>
      </c>
      <c r="S161" s="74"/>
      <c r="T161" s="75">
        <f t="shared" si="109"/>
        <v>7.7334375</v>
      </c>
      <c r="U161" s="74"/>
      <c r="V161" s="74"/>
      <c r="W161" s="76">
        <f t="shared" si="104"/>
        <v>232.7334375</v>
      </c>
      <c r="X161" s="77">
        <f t="shared" si="110"/>
        <v>10.696875</v>
      </c>
      <c r="Y161" s="77"/>
      <c r="Z161" s="77"/>
      <c r="AA161" s="77">
        <f t="shared" si="111"/>
        <v>10.696875</v>
      </c>
      <c r="AB161" s="86">
        <v>7.08</v>
      </c>
      <c r="AC161" s="74">
        <f t="shared" si="106"/>
        <v>75.733875</v>
      </c>
      <c r="AD161" s="74">
        <f t="shared" ref="AD161:AD192" si="115">SUM(W161+AC161)</f>
        <v>308.4673125</v>
      </c>
      <c r="AE161" s="74">
        <f t="shared" si="105"/>
        <v>51.5326875</v>
      </c>
    </row>
    <row r="162" customFormat="1" spans="1:31">
      <c r="A162" s="18"/>
      <c r="B162" s="19"/>
      <c r="C162" s="20">
        <v>240909000004</v>
      </c>
      <c r="D162" s="21">
        <v>45545</v>
      </c>
      <c r="E162" s="21" t="s">
        <v>191</v>
      </c>
      <c r="F162" s="19" t="s">
        <v>192</v>
      </c>
      <c r="G162" s="19" t="s">
        <v>193</v>
      </c>
      <c r="H162" s="19">
        <v>4.5</v>
      </c>
      <c r="I162" s="41">
        <v>517.5</v>
      </c>
      <c r="J162" s="53"/>
      <c r="K162" s="43"/>
      <c r="L162" s="19"/>
      <c r="M162" s="43"/>
      <c r="N162" s="44"/>
      <c r="O162" s="45">
        <f t="shared" si="114"/>
        <v>517.5</v>
      </c>
      <c r="P162" s="51"/>
      <c r="Q162" s="51"/>
      <c r="R162" s="74">
        <f t="shared" si="108"/>
        <v>337.5</v>
      </c>
      <c r="S162" s="74"/>
      <c r="T162" s="75">
        <f t="shared" si="109"/>
        <v>11.60015625</v>
      </c>
      <c r="U162" s="74"/>
      <c r="V162" s="74"/>
      <c r="W162" s="76">
        <f t="shared" si="104"/>
        <v>349.10015625</v>
      </c>
      <c r="X162" s="77">
        <f t="shared" si="110"/>
        <v>16.0453125</v>
      </c>
      <c r="Y162" s="77"/>
      <c r="Z162" s="77"/>
      <c r="AA162" s="77">
        <f t="shared" si="111"/>
        <v>16.0453125</v>
      </c>
      <c r="AB162" s="86">
        <v>7.08</v>
      </c>
      <c r="AC162" s="74">
        <f t="shared" ref="AC162:AC193" si="116">SUM(AA162*AB162)</f>
        <v>113.6008125</v>
      </c>
      <c r="AD162" s="74">
        <f t="shared" si="115"/>
        <v>462.70096875</v>
      </c>
      <c r="AE162" s="74">
        <f t="shared" si="105"/>
        <v>54.79903125</v>
      </c>
    </row>
    <row r="163" customFormat="1" spans="1:31">
      <c r="A163" s="18"/>
      <c r="B163" s="19"/>
      <c r="C163" s="20">
        <v>240909000042</v>
      </c>
      <c r="D163" s="21">
        <v>45545</v>
      </c>
      <c r="E163" s="21" t="s">
        <v>43</v>
      </c>
      <c r="F163" s="19" t="s">
        <v>44</v>
      </c>
      <c r="G163" s="19" t="s">
        <v>194</v>
      </c>
      <c r="H163" s="19">
        <v>1</v>
      </c>
      <c r="I163" s="47"/>
      <c r="J163" s="54">
        <v>27313</v>
      </c>
      <c r="K163" s="43"/>
      <c r="L163" s="49">
        <f t="shared" si="112"/>
        <v>1681.83497536946</v>
      </c>
      <c r="M163" s="50">
        <v>16.24</v>
      </c>
      <c r="N163" s="44">
        <v>7.08</v>
      </c>
      <c r="O163" s="45">
        <f t="shared" si="113"/>
        <v>114.9792</v>
      </c>
      <c r="P163" s="52"/>
      <c r="Q163" s="52"/>
      <c r="R163" s="74">
        <f t="shared" si="108"/>
        <v>75</v>
      </c>
      <c r="S163" s="74"/>
      <c r="T163" s="75">
        <f t="shared" si="109"/>
        <v>2.5778125</v>
      </c>
      <c r="U163" s="74"/>
      <c r="V163" s="74"/>
      <c r="W163" s="76">
        <f t="shared" ref="W163:W194" si="117">SUM(R163:V163)</f>
        <v>77.5778125</v>
      </c>
      <c r="X163" s="77">
        <f t="shared" si="110"/>
        <v>3.565625</v>
      </c>
      <c r="Y163" s="77"/>
      <c r="Z163" s="77"/>
      <c r="AA163" s="77">
        <f t="shared" ref="AA163:AA194" si="118">SUM(X163:Z163)</f>
        <v>3.565625</v>
      </c>
      <c r="AB163" s="86">
        <v>7.08</v>
      </c>
      <c r="AC163" s="74">
        <f t="shared" si="116"/>
        <v>25.244625</v>
      </c>
      <c r="AD163" s="74">
        <f t="shared" si="115"/>
        <v>102.8224375</v>
      </c>
      <c r="AE163" s="74">
        <f t="shared" ref="AE163:AE194" si="119">SUM(O163-AD163)</f>
        <v>12.1567625</v>
      </c>
    </row>
    <row r="164" customFormat="1" spans="1:31">
      <c r="A164" s="18" t="s">
        <v>195</v>
      </c>
      <c r="B164" s="19" t="s">
        <v>196</v>
      </c>
      <c r="C164" s="20">
        <v>240830000004</v>
      </c>
      <c r="D164" s="21">
        <v>45545</v>
      </c>
      <c r="E164" s="21" t="s">
        <v>43</v>
      </c>
      <c r="F164" s="19" t="s">
        <v>44</v>
      </c>
      <c r="G164" s="19" t="s">
        <v>197</v>
      </c>
      <c r="H164" s="19">
        <v>8.5</v>
      </c>
      <c r="I164" s="45"/>
      <c r="J164" s="54">
        <v>115466</v>
      </c>
      <c r="K164" s="43"/>
      <c r="L164" s="49">
        <f t="shared" si="112"/>
        <v>1696.78177810434</v>
      </c>
      <c r="M164" s="50">
        <v>68.05</v>
      </c>
      <c r="N164" s="44">
        <v>7.08</v>
      </c>
      <c r="O164" s="45">
        <f t="shared" si="113"/>
        <v>481.794</v>
      </c>
      <c r="P164" s="46">
        <f>SUM(O164:O225)</f>
        <v>140818.9717168</v>
      </c>
      <c r="Q164" s="46" t="s">
        <v>85</v>
      </c>
      <c r="R164" s="74">
        <f>SUM(101816/2414)*H164</f>
        <v>358.507042253521</v>
      </c>
      <c r="S164" s="74"/>
      <c r="T164" s="75">
        <f>SUM(157.75/2414)*H164</f>
        <v>0.555457746478873</v>
      </c>
      <c r="U164" s="74"/>
      <c r="V164" s="74"/>
      <c r="W164" s="76">
        <f t="shared" si="117"/>
        <v>359.0625</v>
      </c>
      <c r="X164" s="77">
        <f>SUM(1934.48/2414)*H164</f>
        <v>6.81154929577465</v>
      </c>
      <c r="Y164" s="77"/>
      <c r="Z164" s="77"/>
      <c r="AA164" s="77">
        <f t="shared" si="118"/>
        <v>6.81154929577465</v>
      </c>
      <c r="AB164" s="86">
        <v>7.08</v>
      </c>
      <c r="AC164" s="74">
        <f t="shared" si="116"/>
        <v>48.2257690140845</v>
      </c>
      <c r="AD164" s="74">
        <f t="shared" si="115"/>
        <v>407.288269014085</v>
      </c>
      <c r="AE164" s="74">
        <f t="shared" si="119"/>
        <v>74.5057309859155</v>
      </c>
    </row>
    <row r="165" customFormat="1" spans="1:31">
      <c r="A165" s="18"/>
      <c r="B165" s="19"/>
      <c r="C165" s="20">
        <v>240831000012</v>
      </c>
      <c r="D165" s="21">
        <v>45545</v>
      </c>
      <c r="E165" s="21" t="s">
        <v>50</v>
      </c>
      <c r="F165" s="19" t="s">
        <v>51</v>
      </c>
      <c r="G165" s="19" t="s">
        <v>179</v>
      </c>
      <c r="H165" s="19">
        <v>163</v>
      </c>
      <c r="I165" s="47"/>
      <c r="J165" s="54">
        <v>2169597</v>
      </c>
      <c r="K165" s="43"/>
      <c r="L165" s="49">
        <f t="shared" si="112"/>
        <v>1734.60908080622</v>
      </c>
      <c r="M165" s="50">
        <v>1250.77</v>
      </c>
      <c r="N165" s="44">
        <v>7.08</v>
      </c>
      <c r="O165" s="45">
        <f t="shared" si="113"/>
        <v>8855.4516</v>
      </c>
      <c r="P165" s="51"/>
      <c r="Q165" s="51"/>
      <c r="R165" s="74">
        <f t="shared" ref="R165:R196" si="120">SUM(101816/2414)*H165</f>
        <v>6874.89975144988</v>
      </c>
      <c r="S165" s="74"/>
      <c r="T165" s="75">
        <f t="shared" ref="T165:T196" si="121">SUM(157.75/2414)*H165</f>
        <v>10.6517191383596</v>
      </c>
      <c r="U165" s="75">
        <v>340</v>
      </c>
      <c r="V165" s="75">
        <v>24</v>
      </c>
      <c r="W165" s="76">
        <f t="shared" si="117"/>
        <v>7249.55147058824</v>
      </c>
      <c r="X165" s="77">
        <f t="shared" ref="X165:X196" si="122">SUM(1934.48/2414)*H165</f>
        <v>130.621474730737</v>
      </c>
      <c r="Y165" s="77"/>
      <c r="Z165" s="77"/>
      <c r="AA165" s="77">
        <f t="shared" si="118"/>
        <v>130.621474730737</v>
      </c>
      <c r="AB165" s="86">
        <v>7.08</v>
      </c>
      <c r="AC165" s="74">
        <f t="shared" si="116"/>
        <v>924.800041093621</v>
      </c>
      <c r="AD165" s="74">
        <f t="shared" si="115"/>
        <v>8174.35151168186</v>
      </c>
      <c r="AE165" s="74">
        <f t="shared" si="119"/>
        <v>681.100088318144</v>
      </c>
    </row>
    <row r="166" customFormat="1" spans="1:31">
      <c r="A166" s="18"/>
      <c r="B166" s="19"/>
      <c r="C166" s="20">
        <v>240902000014</v>
      </c>
      <c r="D166" s="21">
        <v>45545</v>
      </c>
      <c r="E166" s="21" t="s">
        <v>50</v>
      </c>
      <c r="F166" s="19" t="s">
        <v>51</v>
      </c>
      <c r="G166" s="19" t="s">
        <v>115</v>
      </c>
      <c r="H166" s="19">
        <v>129</v>
      </c>
      <c r="I166" s="47"/>
      <c r="J166" s="54">
        <v>1755432</v>
      </c>
      <c r="K166" s="43"/>
      <c r="L166" s="49">
        <f t="shared" si="112"/>
        <v>1720.45514686425</v>
      </c>
      <c r="M166" s="50">
        <v>1020.33</v>
      </c>
      <c r="N166" s="44">
        <v>7.08</v>
      </c>
      <c r="O166" s="45">
        <f t="shared" si="113"/>
        <v>7223.9364</v>
      </c>
      <c r="P166" s="51"/>
      <c r="Q166" s="51"/>
      <c r="R166" s="74">
        <f t="shared" si="120"/>
        <v>5440.87158243579</v>
      </c>
      <c r="S166" s="74"/>
      <c r="T166" s="75">
        <f t="shared" si="121"/>
        <v>8.42988815244408</v>
      </c>
      <c r="U166" s="74"/>
      <c r="V166" s="74"/>
      <c r="W166" s="76">
        <f t="shared" si="117"/>
        <v>5449.30147058824</v>
      </c>
      <c r="X166" s="77">
        <f t="shared" si="122"/>
        <v>103.375277547639</v>
      </c>
      <c r="Y166" s="77"/>
      <c r="Z166" s="77"/>
      <c r="AA166" s="77">
        <f t="shared" si="118"/>
        <v>103.375277547639</v>
      </c>
      <c r="AB166" s="86">
        <v>7.08</v>
      </c>
      <c r="AC166" s="74">
        <f t="shared" si="116"/>
        <v>731.896965037282</v>
      </c>
      <c r="AD166" s="74">
        <f t="shared" si="115"/>
        <v>6181.19843562552</v>
      </c>
      <c r="AE166" s="74">
        <f t="shared" si="119"/>
        <v>1042.73796437448</v>
      </c>
    </row>
    <row r="167" customFormat="1" spans="1:31">
      <c r="A167" s="18"/>
      <c r="B167" s="19"/>
      <c r="C167" s="20">
        <v>240902000025</v>
      </c>
      <c r="D167" s="21">
        <v>45545</v>
      </c>
      <c r="E167" s="21" t="s">
        <v>43</v>
      </c>
      <c r="F167" s="19" t="s">
        <v>44</v>
      </c>
      <c r="G167" s="19" t="s">
        <v>76</v>
      </c>
      <c r="H167" s="19">
        <v>17</v>
      </c>
      <c r="I167" s="41">
        <v>947</v>
      </c>
      <c r="J167" s="53"/>
      <c r="K167" s="43"/>
      <c r="L167" s="19"/>
      <c r="M167" s="43"/>
      <c r="N167" s="44"/>
      <c r="O167" s="45">
        <f t="shared" ref="O167:O170" si="123">SUM(I167)</f>
        <v>947</v>
      </c>
      <c r="P167" s="51"/>
      <c r="Q167" s="51"/>
      <c r="R167" s="74">
        <f t="shared" si="120"/>
        <v>717.014084507042</v>
      </c>
      <c r="S167" s="74"/>
      <c r="T167" s="75">
        <f t="shared" si="121"/>
        <v>1.11091549295775</v>
      </c>
      <c r="U167" s="74">
        <v>70</v>
      </c>
      <c r="V167" s="74"/>
      <c r="W167" s="76">
        <f t="shared" si="117"/>
        <v>788.125</v>
      </c>
      <c r="X167" s="77">
        <f t="shared" si="122"/>
        <v>13.6230985915493</v>
      </c>
      <c r="Y167" s="77"/>
      <c r="Z167" s="77"/>
      <c r="AA167" s="77">
        <f t="shared" si="118"/>
        <v>13.6230985915493</v>
      </c>
      <c r="AB167" s="86">
        <v>7.08</v>
      </c>
      <c r="AC167" s="74">
        <f t="shared" si="116"/>
        <v>96.451538028169</v>
      </c>
      <c r="AD167" s="74">
        <f t="shared" si="115"/>
        <v>884.576538028169</v>
      </c>
      <c r="AE167" s="74">
        <f t="shared" si="119"/>
        <v>62.423461971831</v>
      </c>
    </row>
    <row r="168" customFormat="1" spans="1:31">
      <c r="A168" s="18"/>
      <c r="B168" s="19"/>
      <c r="C168" s="20">
        <v>240902000039</v>
      </c>
      <c r="D168" s="21">
        <v>45545</v>
      </c>
      <c r="E168" s="21" t="s">
        <v>62</v>
      </c>
      <c r="F168" s="19" t="s">
        <v>63</v>
      </c>
      <c r="G168" s="19" t="s">
        <v>198</v>
      </c>
      <c r="H168" s="19">
        <v>0.26</v>
      </c>
      <c r="I168" s="41">
        <v>69</v>
      </c>
      <c r="J168" s="53"/>
      <c r="K168" s="43"/>
      <c r="L168" s="19"/>
      <c r="M168" s="43"/>
      <c r="N168" s="44"/>
      <c r="O168" s="45">
        <f t="shared" si="123"/>
        <v>69</v>
      </c>
      <c r="P168" s="51"/>
      <c r="Q168" s="51"/>
      <c r="R168" s="74">
        <f t="shared" si="120"/>
        <v>10.9660977630489</v>
      </c>
      <c r="S168" s="74"/>
      <c r="T168" s="75">
        <f t="shared" si="121"/>
        <v>0.0169904722452361</v>
      </c>
      <c r="U168" s="74"/>
      <c r="V168" s="74"/>
      <c r="W168" s="76">
        <f t="shared" si="117"/>
        <v>10.9830882352941</v>
      </c>
      <c r="X168" s="77">
        <f t="shared" si="122"/>
        <v>0.208353272576636</v>
      </c>
      <c r="Y168" s="77"/>
      <c r="Z168" s="77"/>
      <c r="AA168" s="77">
        <f t="shared" si="118"/>
        <v>0.208353272576636</v>
      </c>
      <c r="AB168" s="86">
        <v>7.08</v>
      </c>
      <c r="AC168" s="74">
        <f t="shared" si="116"/>
        <v>1.47514116984258</v>
      </c>
      <c r="AD168" s="74">
        <f t="shared" si="115"/>
        <v>12.4582294051367</v>
      </c>
      <c r="AE168" s="74">
        <f t="shared" si="119"/>
        <v>56.5417705948633</v>
      </c>
    </row>
    <row r="169" customFormat="1" spans="1:31">
      <c r="A169" s="18"/>
      <c r="B169" s="19"/>
      <c r="C169" s="20">
        <v>240902000044</v>
      </c>
      <c r="D169" s="21">
        <v>45545</v>
      </c>
      <c r="E169" s="21" t="s">
        <v>46</v>
      </c>
      <c r="F169" s="19" t="s">
        <v>47</v>
      </c>
      <c r="G169" s="19" t="s">
        <v>175</v>
      </c>
      <c r="H169" s="19">
        <v>3.5</v>
      </c>
      <c r="I169" s="41">
        <v>213</v>
      </c>
      <c r="J169" s="53"/>
      <c r="K169" s="43"/>
      <c r="L169" s="19"/>
      <c r="M169" s="43"/>
      <c r="N169" s="44"/>
      <c r="O169" s="45">
        <f t="shared" si="123"/>
        <v>213</v>
      </c>
      <c r="P169" s="51"/>
      <c r="Q169" s="51"/>
      <c r="R169" s="74">
        <f t="shared" si="120"/>
        <v>147.620546810273</v>
      </c>
      <c r="S169" s="74"/>
      <c r="T169" s="75">
        <f t="shared" si="121"/>
        <v>0.228717895608948</v>
      </c>
      <c r="U169" s="74"/>
      <c r="V169" s="74"/>
      <c r="W169" s="76">
        <f t="shared" si="117"/>
        <v>147.849264705882</v>
      </c>
      <c r="X169" s="77">
        <f t="shared" si="122"/>
        <v>2.8047555923778</v>
      </c>
      <c r="Y169" s="77"/>
      <c r="Z169" s="77"/>
      <c r="AA169" s="77">
        <f t="shared" si="118"/>
        <v>2.8047555923778</v>
      </c>
      <c r="AB169" s="86">
        <v>7.08</v>
      </c>
      <c r="AC169" s="74">
        <f t="shared" si="116"/>
        <v>19.8576695940348</v>
      </c>
      <c r="AD169" s="74">
        <f t="shared" si="115"/>
        <v>167.706934299917</v>
      </c>
      <c r="AE169" s="74">
        <f t="shared" si="119"/>
        <v>45.2930657000828</v>
      </c>
    </row>
    <row r="170" customFormat="1" spans="1:31">
      <c r="A170" s="18"/>
      <c r="B170" s="19"/>
      <c r="C170" s="20">
        <v>240902000060</v>
      </c>
      <c r="D170" s="21">
        <v>45545</v>
      </c>
      <c r="E170" s="21" t="s">
        <v>62</v>
      </c>
      <c r="F170" s="19" t="s">
        <v>63</v>
      </c>
      <c r="G170" s="19" t="s">
        <v>199</v>
      </c>
      <c r="H170" s="19">
        <v>453</v>
      </c>
      <c r="I170" s="41">
        <v>24009</v>
      </c>
      <c r="J170" s="53"/>
      <c r="K170" s="43"/>
      <c r="L170" s="19"/>
      <c r="M170" s="43"/>
      <c r="N170" s="44"/>
      <c r="O170" s="45">
        <f t="shared" si="123"/>
        <v>24009</v>
      </c>
      <c r="P170" s="51"/>
      <c r="Q170" s="51"/>
      <c r="R170" s="74">
        <f t="shared" si="120"/>
        <v>19106.3164871582</v>
      </c>
      <c r="S170" s="74"/>
      <c r="T170" s="75">
        <f t="shared" si="121"/>
        <v>29.6026304888152</v>
      </c>
      <c r="U170" s="74"/>
      <c r="V170" s="74"/>
      <c r="W170" s="76">
        <f t="shared" si="117"/>
        <v>19135.9191176471</v>
      </c>
      <c r="X170" s="77">
        <f t="shared" si="122"/>
        <v>363.015509527755</v>
      </c>
      <c r="Y170" s="77"/>
      <c r="Z170" s="77"/>
      <c r="AA170" s="77">
        <f t="shared" si="118"/>
        <v>363.015509527755</v>
      </c>
      <c r="AB170" s="86">
        <v>7.08</v>
      </c>
      <c r="AC170" s="74">
        <f t="shared" si="116"/>
        <v>2570.1498074565</v>
      </c>
      <c r="AD170" s="74">
        <f t="shared" si="115"/>
        <v>21706.0689251036</v>
      </c>
      <c r="AE170" s="74">
        <f t="shared" si="119"/>
        <v>2302.93107489644</v>
      </c>
    </row>
    <row r="171" customFormat="1" spans="1:31">
      <c r="A171" s="18"/>
      <c r="B171" s="19"/>
      <c r="C171" s="20">
        <v>240903000008</v>
      </c>
      <c r="D171" s="21">
        <v>45545</v>
      </c>
      <c r="E171" s="21" t="s">
        <v>50</v>
      </c>
      <c r="F171" s="19" t="s">
        <v>51</v>
      </c>
      <c r="G171" s="19" t="s">
        <v>200</v>
      </c>
      <c r="H171" s="19">
        <v>14.5</v>
      </c>
      <c r="I171" s="47"/>
      <c r="J171" s="54">
        <v>189196</v>
      </c>
      <c r="K171" s="43"/>
      <c r="L171" s="49">
        <f>SUM(J171/M171)</f>
        <v>1649.77328217649</v>
      </c>
      <c r="M171" s="50">
        <v>114.68</v>
      </c>
      <c r="N171" s="44">
        <v>7.08</v>
      </c>
      <c r="O171" s="45">
        <f>SUM(M171*N171)</f>
        <v>811.9344</v>
      </c>
      <c r="P171" s="51"/>
      <c r="Q171" s="51"/>
      <c r="R171" s="74">
        <f t="shared" si="120"/>
        <v>611.570836785418</v>
      </c>
      <c r="S171" s="74"/>
      <c r="T171" s="75">
        <f t="shared" si="121"/>
        <v>0.947545567522784</v>
      </c>
      <c r="U171" s="74"/>
      <c r="V171" s="74"/>
      <c r="W171" s="76">
        <f t="shared" si="117"/>
        <v>612.518382352941</v>
      </c>
      <c r="X171" s="77">
        <f t="shared" si="122"/>
        <v>11.6197017398509</v>
      </c>
      <c r="Y171" s="77"/>
      <c r="Z171" s="77"/>
      <c r="AA171" s="77">
        <f t="shared" si="118"/>
        <v>11.6197017398509</v>
      </c>
      <c r="AB171" s="86">
        <v>7.08</v>
      </c>
      <c r="AC171" s="74">
        <f t="shared" si="116"/>
        <v>82.2674883181442</v>
      </c>
      <c r="AD171" s="74">
        <f t="shared" si="115"/>
        <v>694.785870671085</v>
      </c>
      <c r="AE171" s="74">
        <f t="shared" si="119"/>
        <v>117.148529328915</v>
      </c>
    </row>
    <row r="172" customFormat="1" spans="1:31">
      <c r="A172" s="18"/>
      <c r="B172" s="19"/>
      <c r="C172" s="20">
        <v>240903000014</v>
      </c>
      <c r="D172" s="21">
        <v>45545</v>
      </c>
      <c r="E172" s="21" t="s">
        <v>43</v>
      </c>
      <c r="F172" s="19" t="s">
        <v>44</v>
      </c>
      <c r="G172" s="19" t="s">
        <v>108</v>
      </c>
      <c r="H172" s="19">
        <v>0.35</v>
      </c>
      <c r="I172" s="41">
        <v>63</v>
      </c>
      <c r="J172" s="53"/>
      <c r="K172" s="43"/>
      <c r="L172" s="19"/>
      <c r="M172" s="43"/>
      <c r="N172" s="44"/>
      <c r="O172" s="45">
        <f t="shared" ref="O172:O174" si="124">SUM(I172)</f>
        <v>63</v>
      </c>
      <c r="P172" s="51"/>
      <c r="Q172" s="51"/>
      <c r="R172" s="74">
        <f t="shared" si="120"/>
        <v>14.7620546810273</v>
      </c>
      <c r="S172" s="74"/>
      <c r="T172" s="75">
        <f t="shared" si="121"/>
        <v>0.0228717895608948</v>
      </c>
      <c r="U172" s="74"/>
      <c r="V172" s="74"/>
      <c r="W172" s="76">
        <f t="shared" si="117"/>
        <v>14.7849264705882</v>
      </c>
      <c r="X172" s="77">
        <f t="shared" si="122"/>
        <v>0.28047555923778</v>
      </c>
      <c r="Y172" s="77"/>
      <c r="Z172" s="77"/>
      <c r="AA172" s="77">
        <f t="shared" si="118"/>
        <v>0.28047555923778</v>
      </c>
      <c r="AB172" s="86">
        <v>7.08</v>
      </c>
      <c r="AC172" s="74">
        <f t="shared" si="116"/>
        <v>1.98576695940348</v>
      </c>
      <c r="AD172" s="74">
        <f t="shared" si="115"/>
        <v>16.7706934299917</v>
      </c>
      <c r="AE172" s="74">
        <f t="shared" si="119"/>
        <v>46.2293065700083</v>
      </c>
    </row>
    <row r="173" customFormat="1" spans="1:31">
      <c r="A173" s="18"/>
      <c r="B173" s="19"/>
      <c r="C173" s="20">
        <v>240903000021</v>
      </c>
      <c r="D173" s="21">
        <v>45545</v>
      </c>
      <c r="E173" s="21" t="s">
        <v>46</v>
      </c>
      <c r="F173" s="19" t="s">
        <v>47</v>
      </c>
      <c r="G173" s="19" t="s">
        <v>91</v>
      </c>
      <c r="H173" s="19">
        <v>30.5</v>
      </c>
      <c r="I173" s="41">
        <v>1746.5</v>
      </c>
      <c r="J173" s="53"/>
      <c r="K173" s="43"/>
      <c r="L173" s="19"/>
      <c r="M173" s="43"/>
      <c r="N173" s="44"/>
      <c r="O173" s="45">
        <f t="shared" si="124"/>
        <v>1746.5</v>
      </c>
      <c r="P173" s="51"/>
      <c r="Q173" s="51"/>
      <c r="R173" s="74">
        <f t="shared" si="120"/>
        <v>1286.40762220381</v>
      </c>
      <c r="S173" s="74"/>
      <c r="T173" s="75">
        <f t="shared" si="121"/>
        <v>1.99311309030655</v>
      </c>
      <c r="U173" s="74"/>
      <c r="V173" s="74"/>
      <c r="W173" s="76">
        <f t="shared" si="117"/>
        <v>1288.40073529412</v>
      </c>
      <c r="X173" s="77">
        <f t="shared" si="122"/>
        <v>24.4414415907208</v>
      </c>
      <c r="Y173" s="77"/>
      <c r="Z173" s="77"/>
      <c r="AA173" s="77">
        <f t="shared" si="118"/>
        <v>24.4414415907208</v>
      </c>
      <c r="AB173" s="86">
        <v>7.08</v>
      </c>
      <c r="AC173" s="74">
        <f t="shared" si="116"/>
        <v>173.045406462303</v>
      </c>
      <c r="AD173" s="74">
        <f t="shared" si="115"/>
        <v>1461.44614175642</v>
      </c>
      <c r="AE173" s="74">
        <f t="shared" si="119"/>
        <v>285.053858243579</v>
      </c>
    </row>
    <row r="174" customFormat="1" spans="1:31">
      <c r="A174" s="18"/>
      <c r="B174" s="19"/>
      <c r="C174" s="20">
        <v>240903000024</v>
      </c>
      <c r="D174" s="21">
        <v>45545</v>
      </c>
      <c r="E174" s="21" t="s">
        <v>46</v>
      </c>
      <c r="F174" s="19" t="s">
        <v>47</v>
      </c>
      <c r="G174" s="19" t="s">
        <v>201</v>
      </c>
      <c r="H174" s="19">
        <v>10.5</v>
      </c>
      <c r="I174" s="41">
        <v>667</v>
      </c>
      <c r="J174" s="53"/>
      <c r="K174" s="43"/>
      <c r="L174" s="19"/>
      <c r="M174" s="43"/>
      <c r="N174" s="44"/>
      <c r="O174" s="45">
        <f t="shared" si="124"/>
        <v>667</v>
      </c>
      <c r="P174" s="51"/>
      <c r="Q174" s="51"/>
      <c r="R174" s="74">
        <f t="shared" si="120"/>
        <v>442.86164043082</v>
      </c>
      <c r="S174" s="74"/>
      <c r="T174" s="75">
        <f t="shared" si="121"/>
        <v>0.686153686826843</v>
      </c>
      <c r="U174" s="74"/>
      <c r="V174" s="74"/>
      <c r="W174" s="76">
        <f t="shared" si="117"/>
        <v>443.547794117647</v>
      </c>
      <c r="X174" s="77">
        <f t="shared" si="122"/>
        <v>8.41426677713339</v>
      </c>
      <c r="Y174" s="77"/>
      <c r="Z174" s="77"/>
      <c r="AA174" s="77">
        <f t="shared" si="118"/>
        <v>8.41426677713339</v>
      </c>
      <c r="AB174" s="86">
        <v>7.08</v>
      </c>
      <c r="AC174" s="74">
        <f t="shared" si="116"/>
        <v>59.5730087821044</v>
      </c>
      <c r="AD174" s="74">
        <f t="shared" si="115"/>
        <v>503.120802899752</v>
      </c>
      <c r="AE174" s="74">
        <f t="shared" si="119"/>
        <v>163.879197100248</v>
      </c>
    </row>
    <row r="175" customFormat="1" spans="1:31">
      <c r="A175" s="18"/>
      <c r="B175" s="19"/>
      <c r="C175" s="20">
        <v>240903000031</v>
      </c>
      <c r="D175" s="21">
        <v>45545</v>
      </c>
      <c r="E175" s="21" t="s">
        <v>41</v>
      </c>
      <c r="F175" s="19" t="s">
        <v>41</v>
      </c>
      <c r="G175" s="19" t="s">
        <v>202</v>
      </c>
      <c r="H175" s="19">
        <v>308.5</v>
      </c>
      <c r="I175" s="45"/>
      <c r="J175" s="54">
        <v>3963097</v>
      </c>
      <c r="K175" s="43"/>
      <c r="L175" s="49">
        <f>SUM(J175/M175)</f>
        <v>1596.73529411765</v>
      </c>
      <c r="M175" s="50">
        <v>2482</v>
      </c>
      <c r="N175" s="44">
        <v>7.08</v>
      </c>
      <c r="O175" s="45">
        <f t="shared" ref="O175:O179" si="125">SUM(M175*N175)</f>
        <v>17572.56</v>
      </c>
      <c r="P175" s="51"/>
      <c r="Q175" s="51"/>
      <c r="R175" s="74">
        <f t="shared" si="120"/>
        <v>13011.6967688484</v>
      </c>
      <c r="S175" s="74"/>
      <c r="T175" s="75">
        <f t="shared" si="121"/>
        <v>20.1598487986744</v>
      </c>
      <c r="U175" s="74"/>
      <c r="V175" s="74"/>
      <c r="W175" s="76">
        <f t="shared" si="117"/>
        <v>13031.8566176471</v>
      </c>
      <c r="X175" s="77">
        <f t="shared" si="122"/>
        <v>247.219171499586</v>
      </c>
      <c r="Y175" s="77"/>
      <c r="Z175" s="77"/>
      <c r="AA175" s="77">
        <f t="shared" si="118"/>
        <v>247.219171499586</v>
      </c>
      <c r="AB175" s="86">
        <v>7.08</v>
      </c>
      <c r="AC175" s="74">
        <f t="shared" si="116"/>
        <v>1750.31173421707</v>
      </c>
      <c r="AD175" s="74">
        <f t="shared" si="115"/>
        <v>14782.1683518641</v>
      </c>
      <c r="AE175" s="74">
        <f t="shared" si="119"/>
        <v>2790.39164813588</v>
      </c>
    </row>
    <row r="176" customFormat="1" spans="1:31">
      <c r="A176" s="18"/>
      <c r="B176" s="19"/>
      <c r="C176" s="20">
        <v>240903000035</v>
      </c>
      <c r="D176" s="21">
        <v>45545</v>
      </c>
      <c r="E176" s="21" t="s">
        <v>50</v>
      </c>
      <c r="F176" s="19" t="s">
        <v>51</v>
      </c>
      <c r="G176" s="19" t="s">
        <v>203</v>
      </c>
      <c r="H176" s="19">
        <v>44</v>
      </c>
      <c r="I176" s="41">
        <v>2244</v>
      </c>
      <c r="J176" s="53"/>
      <c r="K176" s="43"/>
      <c r="L176" s="19"/>
      <c r="M176" s="43"/>
      <c r="N176" s="44"/>
      <c r="O176" s="45">
        <f t="shared" ref="O176:O183" si="126">SUM(I176)</f>
        <v>2244</v>
      </c>
      <c r="P176" s="51"/>
      <c r="Q176" s="51"/>
      <c r="R176" s="74">
        <f t="shared" si="120"/>
        <v>1855.80115990058</v>
      </c>
      <c r="S176" s="74"/>
      <c r="T176" s="75">
        <f t="shared" si="121"/>
        <v>2.87531068765534</v>
      </c>
      <c r="U176" s="74"/>
      <c r="V176" s="74"/>
      <c r="W176" s="76">
        <f t="shared" si="117"/>
        <v>1858.67647058824</v>
      </c>
      <c r="X176" s="77">
        <f t="shared" si="122"/>
        <v>35.2597845898923</v>
      </c>
      <c r="Y176" s="77"/>
      <c r="Z176" s="77"/>
      <c r="AA176" s="77">
        <f t="shared" si="118"/>
        <v>35.2597845898923</v>
      </c>
      <c r="AB176" s="86">
        <v>7.08</v>
      </c>
      <c r="AC176" s="74">
        <f t="shared" si="116"/>
        <v>249.639274896437</v>
      </c>
      <c r="AD176" s="74">
        <f t="shared" si="115"/>
        <v>2108.31574548467</v>
      </c>
      <c r="AE176" s="74">
        <f t="shared" si="119"/>
        <v>135.684254515327</v>
      </c>
    </row>
    <row r="177" customFormat="1" spans="1:31">
      <c r="A177" s="18"/>
      <c r="B177" s="19"/>
      <c r="C177" s="20">
        <v>240903000037</v>
      </c>
      <c r="D177" s="21">
        <v>45545</v>
      </c>
      <c r="E177" s="21" t="s">
        <v>50</v>
      </c>
      <c r="F177" s="19" t="s">
        <v>51</v>
      </c>
      <c r="G177" s="19" t="s">
        <v>204</v>
      </c>
      <c r="H177" s="19">
        <v>2.5</v>
      </c>
      <c r="I177" s="45"/>
      <c r="J177" s="54">
        <v>45968</v>
      </c>
      <c r="K177" s="43"/>
      <c r="L177" s="49">
        <f>SUM(J177/M177)</f>
        <v>1694.98531323692</v>
      </c>
      <c r="M177" s="50">
        <v>27.119999</v>
      </c>
      <c r="N177" s="44">
        <v>7.08</v>
      </c>
      <c r="O177" s="45">
        <f t="shared" si="125"/>
        <v>192.00959292</v>
      </c>
      <c r="P177" s="51"/>
      <c r="Q177" s="51"/>
      <c r="R177" s="74">
        <f t="shared" si="120"/>
        <v>105.443247721624</v>
      </c>
      <c r="S177" s="74"/>
      <c r="T177" s="75">
        <f t="shared" si="121"/>
        <v>0.163369925434963</v>
      </c>
      <c r="U177" s="74"/>
      <c r="V177" s="74"/>
      <c r="W177" s="76">
        <f t="shared" si="117"/>
        <v>105.606617647059</v>
      </c>
      <c r="X177" s="77">
        <f t="shared" si="122"/>
        <v>2.00339685169843</v>
      </c>
      <c r="Y177" s="77"/>
      <c r="Z177" s="77"/>
      <c r="AA177" s="77">
        <f t="shared" si="118"/>
        <v>2.00339685169843</v>
      </c>
      <c r="AB177" s="86">
        <v>7.08</v>
      </c>
      <c r="AC177" s="74">
        <f t="shared" si="116"/>
        <v>14.1840497100249</v>
      </c>
      <c r="AD177" s="74">
        <f t="shared" si="115"/>
        <v>119.790667357084</v>
      </c>
      <c r="AE177" s="74">
        <f t="shared" si="119"/>
        <v>72.2189255629163</v>
      </c>
    </row>
    <row r="178" customFormat="1" spans="1:31">
      <c r="A178" s="18"/>
      <c r="B178" s="19"/>
      <c r="C178" s="20">
        <v>240903000040</v>
      </c>
      <c r="D178" s="21">
        <v>45545</v>
      </c>
      <c r="E178" s="21" t="s">
        <v>46</v>
      </c>
      <c r="F178" s="19" t="s">
        <v>47</v>
      </c>
      <c r="G178" s="19" t="s">
        <v>205</v>
      </c>
      <c r="H178" s="19">
        <v>17.5</v>
      </c>
      <c r="I178" s="41">
        <v>1108.5</v>
      </c>
      <c r="J178" s="53"/>
      <c r="K178" s="43"/>
      <c r="L178" s="19"/>
      <c r="M178" s="43"/>
      <c r="N178" s="44"/>
      <c r="O178" s="45">
        <f t="shared" si="126"/>
        <v>1108.5</v>
      </c>
      <c r="P178" s="51"/>
      <c r="Q178" s="51"/>
      <c r="R178" s="74">
        <f t="shared" si="120"/>
        <v>738.102734051367</v>
      </c>
      <c r="S178" s="74"/>
      <c r="T178" s="75">
        <f t="shared" si="121"/>
        <v>1.14358947804474</v>
      </c>
      <c r="U178" s="74"/>
      <c r="V178" s="74"/>
      <c r="W178" s="76">
        <f t="shared" si="117"/>
        <v>739.246323529412</v>
      </c>
      <c r="X178" s="77">
        <f t="shared" si="122"/>
        <v>14.023777961889</v>
      </c>
      <c r="Y178" s="77"/>
      <c r="Z178" s="77"/>
      <c r="AA178" s="77">
        <f t="shared" si="118"/>
        <v>14.023777961889</v>
      </c>
      <c r="AB178" s="86">
        <v>7.08</v>
      </c>
      <c r="AC178" s="74">
        <f t="shared" si="116"/>
        <v>99.288347970174</v>
      </c>
      <c r="AD178" s="74">
        <f t="shared" si="115"/>
        <v>838.534671499586</v>
      </c>
      <c r="AE178" s="74">
        <f t="shared" si="119"/>
        <v>269.965328500414</v>
      </c>
    </row>
    <row r="179" customFormat="1" spans="1:31">
      <c r="A179" s="18"/>
      <c r="B179" s="19"/>
      <c r="C179" s="20">
        <v>240903000044</v>
      </c>
      <c r="D179" s="21">
        <v>45545</v>
      </c>
      <c r="E179" s="21" t="s">
        <v>46</v>
      </c>
      <c r="F179" s="19" t="s">
        <v>47</v>
      </c>
      <c r="G179" s="19" t="s">
        <v>84</v>
      </c>
      <c r="H179" s="19">
        <v>260</v>
      </c>
      <c r="I179" s="45"/>
      <c r="J179" s="54">
        <v>3284512</v>
      </c>
      <c r="K179" s="43"/>
      <c r="L179" s="49">
        <f>SUM(J179/M179)</f>
        <v>1760</v>
      </c>
      <c r="M179" s="50">
        <v>1866.2</v>
      </c>
      <c r="N179" s="44">
        <v>7.08</v>
      </c>
      <c r="O179" s="45">
        <f t="shared" si="125"/>
        <v>13212.696</v>
      </c>
      <c r="P179" s="51"/>
      <c r="Q179" s="51"/>
      <c r="R179" s="74">
        <f t="shared" si="120"/>
        <v>10966.0977630489</v>
      </c>
      <c r="S179" s="74"/>
      <c r="T179" s="75">
        <f t="shared" si="121"/>
        <v>16.9904722452361</v>
      </c>
      <c r="U179" s="74"/>
      <c r="V179" s="74"/>
      <c r="W179" s="76">
        <f t="shared" si="117"/>
        <v>10983.0882352941</v>
      </c>
      <c r="X179" s="77">
        <f t="shared" si="122"/>
        <v>208.353272576636</v>
      </c>
      <c r="Y179" s="77"/>
      <c r="Z179" s="77"/>
      <c r="AA179" s="77">
        <f t="shared" si="118"/>
        <v>208.353272576636</v>
      </c>
      <c r="AB179" s="86">
        <v>7.08</v>
      </c>
      <c r="AC179" s="74">
        <f t="shared" si="116"/>
        <v>1475.14116984258</v>
      </c>
      <c r="AD179" s="74">
        <f t="shared" si="115"/>
        <v>12458.2294051367</v>
      </c>
      <c r="AE179" s="74">
        <f t="shared" si="119"/>
        <v>754.466594863296</v>
      </c>
    </row>
    <row r="180" customFormat="1" spans="1:31">
      <c r="A180" s="18"/>
      <c r="B180" s="19"/>
      <c r="C180" s="20">
        <v>240903000045</v>
      </c>
      <c r="D180" s="21">
        <v>45545</v>
      </c>
      <c r="E180" s="21" t="s">
        <v>50</v>
      </c>
      <c r="F180" s="19" t="s">
        <v>51</v>
      </c>
      <c r="G180" s="19" t="s">
        <v>206</v>
      </c>
      <c r="H180" s="19">
        <v>1.5</v>
      </c>
      <c r="I180" s="41">
        <v>102</v>
      </c>
      <c r="J180" s="53"/>
      <c r="K180" s="43"/>
      <c r="L180" s="19"/>
      <c r="M180" s="43"/>
      <c r="N180" s="44"/>
      <c r="O180" s="45">
        <f t="shared" si="126"/>
        <v>102</v>
      </c>
      <c r="P180" s="51"/>
      <c r="Q180" s="51"/>
      <c r="R180" s="74">
        <f t="shared" si="120"/>
        <v>63.2659486329743</v>
      </c>
      <c r="S180" s="74"/>
      <c r="T180" s="75">
        <f t="shared" si="121"/>
        <v>0.0980219552609776</v>
      </c>
      <c r="U180" s="74"/>
      <c r="V180" s="74"/>
      <c r="W180" s="76">
        <f t="shared" si="117"/>
        <v>63.3639705882353</v>
      </c>
      <c r="X180" s="77">
        <f t="shared" si="122"/>
        <v>1.20203811101906</v>
      </c>
      <c r="Y180" s="77"/>
      <c r="Z180" s="77"/>
      <c r="AA180" s="77">
        <f t="shared" si="118"/>
        <v>1.20203811101906</v>
      </c>
      <c r="AB180" s="86">
        <v>7.08</v>
      </c>
      <c r="AC180" s="74">
        <f t="shared" si="116"/>
        <v>8.51042982601491</v>
      </c>
      <c r="AD180" s="74">
        <f t="shared" si="115"/>
        <v>71.8744004142502</v>
      </c>
      <c r="AE180" s="74">
        <f t="shared" si="119"/>
        <v>30.1255995857498</v>
      </c>
    </row>
    <row r="181" customFormat="1" spans="1:31">
      <c r="A181" s="18"/>
      <c r="B181" s="19"/>
      <c r="C181" s="20">
        <v>240903000046</v>
      </c>
      <c r="D181" s="21">
        <v>45545</v>
      </c>
      <c r="E181" s="21" t="s">
        <v>50</v>
      </c>
      <c r="F181" s="19" t="s">
        <v>51</v>
      </c>
      <c r="G181" s="19" t="s">
        <v>207</v>
      </c>
      <c r="H181" s="19">
        <v>2.5</v>
      </c>
      <c r="I181" s="41">
        <v>153</v>
      </c>
      <c r="J181" s="53"/>
      <c r="K181" s="43"/>
      <c r="L181" s="19"/>
      <c r="M181" s="43"/>
      <c r="N181" s="44"/>
      <c r="O181" s="45">
        <f t="shared" si="126"/>
        <v>153</v>
      </c>
      <c r="P181" s="51"/>
      <c r="Q181" s="51"/>
      <c r="R181" s="74">
        <f t="shared" si="120"/>
        <v>105.443247721624</v>
      </c>
      <c r="S181" s="74"/>
      <c r="T181" s="75">
        <f t="shared" si="121"/>
        <v>0.163369925434963</v>
      </c>
      <c r="U181" s="74"/>
      <c r="V181" s="74"/>
      <c r="W181" s="76">
        <f t="shared" si="117"/>
        <v>105.606617647059</v>
      </c>
      <c r="X181" s="77">
        <f t="shared" si="122"/>
        <v>2.00339685169843</v>
      </c>
      <c r="Y181" s="77"/>
      <c r="Z181" s="77"/>
      <c r="AA181" s="77">
        <f t="shared" si="118"/>
        <v>2.00339685169843</v>
      </c>
      <c r="AB181" s="86">
        <v>7.08</v>
      </c>
      <c r="AC181" s="74">
        <f t="shared" si="116"/>
        <v>14.1840497100249</v>
      </c>
      <c r="AD181" s="74">
        <f t="shared" si="115"/>
        <v>119.790667357084</v>
      </c>
      <c r="AE181" s="74">
        <f t="shared" si="119"/>
        <v>33.2093326429163</v>
      </c>
    </row>
    <row r="182" customFormat="1" spans="1:31">
      <c r="A182" s="18"/>
      <c r="B182" s="19"/>
      <c r="C182" s="20">
        <v>240903000050</v>
      </c>
      <c r="D182" s="21">
        <v>45545</v>
      </c>
      <c r="E182" s="21" t="s">
        <v>46</v>
      </c>
      <c r="F182" s="19" t="s">
        <v>47</v>
      </c>
      <c r="G182" s="19" t="s">
        <v>175</v>
      </c>
      <c r="H182" s="19">
        <v>13.5</v>
      </c>
      <c r="I182" s="41">
        <v>775.5</v>
      </c>
      <c r="J182" s="53"/>
      <c r="K182" s="43"/>
      <c r="L182" s="19"/>
      <c r="M182" s="43"/>
      <c r="N182" s="44"/>
      <c r="O182" s="45">
        <f t="shared" si="126"/>
        <v>775.5</v>
      </c>
      <c r="P182" s="51"/>
      <c r="Q182" s="51"/>
      <c r="R182" s="74">
        <f t="shared" si="120"/>
        <v>569.393537696769</v>
      </c>
      <c r="S182" s="74"/>
      <c r="T182" s="75">
        <f t="shared" si="121"/>
        <v>0.882197597348799</v>
      </c>
      <c r="U182" s="74"/>
      <c r="V182" s="74"/>
      <c r="W182" s="76">
        <f t="shared" si="117"/>
        <v>570.275735294118</v>
      </c>
      <c r="X182" s="77">
        <f t="shared" si="122"/>
        <v>10.8183429991715</v>
      </c>
      <c r="Y182" s="77"/>
      <c r="Z182" s="77"/>
      <c r="AA182" s="77">
        <f t="shared" si="118"/>
        <v>10.8183429991715</v>
      </c>
      <c r="AB182" s="86">
        <v>7.08</v>
      </c>
      <c r="AC182" s="74">
        <f t="shared" si="116"/>
        <v>76.5938684341342</v>
      </c>
      <c r="AD182" s="74">
        <f t="shared" si="115"/>
        <v>646.869603728252</v>
      </c>
      <c r="AE182" s="74">
        <f t="shared" si="119"/>
        <v>128.630396271748</v>
      </c>
    </row>
    <row r="183" customFormat="1" spans="1:31">
      <c r="A183" s="18"/>
      <c r="B183" s="19"/>
      <c r="C183" s="20">
        <v>240903000052</v>
      </c>
      <c r="D183" s="21">
        <v>45545</v>
      </c>
      <c r="E183" s="21" t="s">
        <v>41</v>
      </c>
      <c r="F183" s="19" t="s">
        <v>41</v>
      </c>
      <c r="G183" s="19" t="s">
        <v>208</v>
      </c>
      <c r="H183" s="19">
        <v>7</v>
      </c>
      <c r="I183" s="41">
        <v>447</v>
      </c>
      <c r="J183" s="53"/>
      <c r="K183" s="43"/>
      <c r="L183" s="19"/>
      <c r="M183" s="43"/>
      <c r="N183" s="44"/>
      <c r="O183" s="45">
        <f t="shared" si="126"/>
        <v>447</v>
      </c>
      <c r="P183" s="51"/>
      <c r="Q183" s="51"/>
      <c r="R183" s="74">
        <f t="shared" si="120"/>
        <v>295.241093620547</v>
      </c>
      <c r="S183" s="74"/>
      <c r="T183" s="75">
        <f t="shared" si="121"/>
        <v>0.457435791217896</v>
      </c>
      <c r="U183" s="74"/>
      <c r="V183" s="74"/>
      <c r="W183" s="76">
        <f t="shared" si="117"/>
        <v>295.698529411765</v>
      </c>
      <c r="X183" s="77">
        <f t="shared" si="122"/>
        <v>5.60951118475559</v>
      </c>
      <c r="Y183" s="77"/>
      <c r="Z183" s="77"/>
      <c r="AA183" s="77">
        <f t="shared" si="118"/>
        <v>5.60951118475559</v>
      </c>
      <c r="AB183" s="86">
        <v>7.08</v>
      </c>
      <c r="AC183" s="74">
        <f t="shared" si="116"/>
        <v>39.7153391880696</v>
      </c>
      <c r="AD183" s="74">
        <f t="shared" si="115"/>
        <v>335.413868599834</v>
      </c>
      <c r="AE183" s="74">
        <f t="shared" si="119"/>
        <v>111.586131400166</v>
      </c>
    </row>
    <row r="184" customFormat="1" spans="1:31">
      <c r="A184" s="18"/>
      <c r="B184" s="19"/>
      <c r="C184" s="20">
        <v>240903000053</v>
      </c>
      <c r="D184" s="21">
        <v>45545</v>
      </c>
      <c r="E184" s="21" t="s">
        <v>96</v>
      </c>
      <c r="F184" s="19" t="s">
        <v>209</v>
      </c>
      <c r="G184" s="19" t="s">
        <v>210</v>
      </c>
      <c r="H184" s="19">
        <v>0.1</v>
      </c>
      <c r="I184" s="45"/>
      <c r="J184" s="54">
        <v>14916</v>
      </c>
      <c r="K184" s="43"/>
      <c r="L184" s="49">
        <f>SUM(J184/M184)</f>
        <v>1695</v>
      </c>
      <c r="M184" s="50">
        <v>8.8</v>
      </c>
      <c r="N184" s="44">
        <v>7.08</v>
      </c>
      <c r="O184" s="45">
        <f>SUM(M184*N184)</f>
        <v>62.304</v>
      </c>
      <c r="P184" s="51"/>
      <c r="Q184" s="51"/>
      <c r="R184" s="74">
        <f t="shared" si="120"/>
        <v>4.21772990886496</v>
      </c>
      <c r="S184" s="74"/>
      <c r="T184" s="75">
        <f t="shared" si="121"/>
        <v>0.00653479701739851</v>
      </c>
      <c r="U184" s="74"/>
      <c r="V184" s="74"/>
      <c r="W184" s="76">
        <f t="shared" si="117"/>
        <v>4.22426470588235</v>
      </c>
      <c r="X184" s="77">
        <f t="shared" si="122"/>
        <v>0.080135874067937</v>
      </c>
      <c r="Y184" s="77"/>
      <c r="Z184" s="77"/>
      <c r="AA184" s="77">
        <f t="shared" si="118"/>
        <v>0.080135874067937</v>
      </c>
      <c r="AB184" s="86">
        <v>7.08</v>
      </c>
      <c r="AC184" s="74">
        <f t="shared" si="116"/>
        <v>0.567361988400994</v>
      </c>
      <c r="AD184" s="74">
        <f t="shared" si="115"/>
        <v>4.79162669428335</v>
      </c>
      <c r="AE184" s="74">
        <f t="shared" si="119"/>
        <v>57.5123733057167</v>
      </c>
    </row>
    <row r="185" customFormat="1" spans="1:31">
      <c r="A185" s="18"/>
      <c r="B185" s="19"/>
      <c r="C185" s="22">
        <v>240904000003</v>
      </c>
      <c r="D185" s="23">
        <v>45545</v>
      </c>
      <c r="E185" s="21" t="s">
        <v>62</v>
      </c>
      <c r="F185" s="24" t="s">
        <v>63</v>
      </c>
      <c r="G185" s="24" t="s">
        <v>184</v>
      </c>
      <c r="H185" s="24">
        <v>32.5</v>
      </c>
      <c r="I185" s="55">
        <v>1872.5</v>
      </c>
      <c r="J185" s="53"/>
      <c r="K185" s="43"/>
      <c r="L185" s="19"/>
      <c r="M185" s="43"/>
      <c r="N185" s="44"/>
      <c r="O185" s="45">
        <f t="shared" ref="O185:O191" si="127">SUM(I185)</f>
        <v>1872.5</v>
      </c>
      <c r="P185" s="51"/>
      <c r="Q185" s="51"/>
      <c r="R185" s="74">
        <f t="shared" si="120"/>
        <v>1370.76222038111</v>
      </c>
      <c r="S185" s="74"/>
      <c r="T185" s="75">
        <f t="shared" si="121"/>
        <v>2.12380903065451</v>
      </c>
      <c r="U185" s="74"/>
      <c r="V185" s="74"/>
      <c r="W185" s="76">
        <f t="shared" si="117"/>
        <v>1372.88602941176</v>
      </c>
      <c r="X185" s="77">
        <f t="shared" si="122"/>
        <v>26.0441590720795</v>
      </c>
      <c r="Y185" s="77"/>
      <c r="Z185" s="77"/>
      <c r="AA185" s="77">
        <f t="shared" si="118"/>
        <v>26.0441590720795</v>
      </c>
      <c r="AB185" s="86">
        <v>7.08</v>
      </c>
      <c r="AC185" s="74">
        <f t="shared" si="116"/>
        <v>184.392646230323</v>
      </c>
      <c r="AD185" s="74">
        <f t="shared" si="115"/>
        <v>1557.27867564209</v>
      </c>
      <c r="AE185" s="74">
        <f t="shared" si="119"/>
        <v>315.221324357912</v>
      </c>
    </row>
    <row r="186" customFormat="1" spans="1:31">
      <c r="A186" s="18"/>
      <c r="B186" s="19"/>
      <c r="C186" s="20">
        <v>240904000008</v>
      </c>
      <c r="D186" s="21">
        <v>45545</v>
      </c>
      <c r="E186" s="21" t="s">
        <v>50</v>
      </c>
      <c r="F186" s="19" t="s">
        <v>51</v>
      </c>
      <c r="G186" s="19" t="s">
        <v>65</v>
      </c>
      <c r="H186" s="19">
        <v>0.38</v>
      </c>
      <c r="I186" s="41">
        <v>69</v>
      </c>
      <c r="J186" s="53"/>
      <c r="K186" s="43"/>
      <c r="L186" s="19"/>
      <c r="M186" s="43"/>
      <c r="N186" s="44"/>
      <c r="O186" s="45">
        <f t="shared" si="127"/>
        <v>69</v>
      </c>
      <c r="P186" s="51"/>
      <c r="Q186" s="51"/>
      <c r="R186" s="74">
        <f t="shared" si="120"/>
        <v>16.0273736536868</v>
      </c>
      <c r="S186" s="74"/>
      <c r="T186" s="75">
        <f t="shared" si="121"/>
        <v>0.0248322286661143</v>
      </c>
      <c r="U186" s="74"/>
      <c r="V186" s="74"/>
      <c r="W186" s="76">
        <f t="shared" si="117"/>
        <v>16.0522058823529</v>
      </c>
      <c r="X186" s="77">
        <f t="shared" si="122"/>
        <v>0.304516321458161</v>
      </c>
      <c r="Y186" s="77"/>
      <c r="Z186" s="77"/>
      <c r="AA186" s="77">
        <f t="shared" si="118"/>
        <v>0.304516321458161</v>
      </c>
      <c r="AB186" s="86">
        <v>7.08</v>
      </c>
      <c r="AC186" s="74">
        <f t="shared" si="116"/>
        <v>2.15597555592378</v>
      </c>
      <c r="AD186" s="74">
        <f t="shared" si="115"/>
        <v>18.2081814382767</v>
      </c>
      <c r="AE186" s="74">
        <f t="shared" si="119"/>
        <v>50.7918185617233</v>
      </c>
    </row>
    <row r="187" customFormat="1" spans="1:31">
      <c r="A187" s="18"/>
      <c r="B187" s="19"/>
      <c r="C187" s="20">
        <v>240904000011</v>
      </c>
      <c r="D187" s="21">
        <v>45545</v>
      </c>
      <c r="E187" s="21" t="s">
        <v>50</v>
      </c>
      <c r="F187" s="19" t="s">
        <v>51</v>
      </c>
      <c r="G187" s="19" t="s">
        <v>211</v>
      </c>
      <c r="H187" s="19">
        <v>5.5</v>
      </c>
      <c r="I187" s="47"/>
      <c r="J187" s="54">
        <v>71843.75</v>
      </c>
      <c r="K187" s="43"/>
      <c r="L187" s="49">
        <f>SUM(J187/M187)</f>
        <v>1681.73572097378</v>
      </c>
      <c r="M187" s="50">
        <v>42.72</v>
      </c>
      <c r="N187" s="44">
        <v>7.08</v>
      </c>
      <c r="O187" s="45">
        <f>SUM(M187*N187)</f>
        <v>302.4576</v>
      </c>
      <c r="P187" s="51"/>
      <c r="Q187" s="51"/>
      <c r="R187" s="74">
        <f t="shared" si="120"/>
        <v>231.975144987573</v>
      </c>
      <c r="S187" s="74"/>
      <c r="T187" s="75">
        <f t="shared" si="121"/>
        <v>0.359413835956918</v>
      </c>
      <c r="U187" s="74"/>
      <c r="V187" s="74"/>
      <c r="W187" s="76">
        <f t="shared" si="117"/>
        <v>232.334558823529</v>
      </c>
      <c r="X187" s="77">
        <f t="shared" si="122"/>
        <v>4.40747307373654</v>
      </c>
      <c r="Y187" s="77"/>
      <c r="Z187" s="77"/>
      <c r="AA187" s="77">
        <f t="shared" si="118"/>
        <v>4.40747307373654</v>
      </c>
      <c r="AB187" s="86">
        <v>7.08</v>
      </c>
      <c r="AC187" s="74">
        <f t="shared" si="116"/>
        <v>31.2049093620547</v>
      </c>
      <c r="AD187" s="74">
        <f t="shared" si="115"/>
        <v>263.539468185584</v>
      </c>
      <c r="AE187" s="74">
        <f t="shared" si="119"/>
        <v>38.9181318144159</v>
      </c>
    </row>
    <row r="188" customFormat="1" spans="1:31">
      <c r="A188" s="18"/>
      <c r="B188" s="19"/>
      <c r="C188" s="20">
        <v>240904000017</v>
      </c>
      <c r="D188" s="21">
        <v>45545</v>
      </c>
      <c r="E188" s="21" t="s">
        <v>62</v>
      </c>
      <c r="F188" s="19" t="s">
        <v>63</v>
      </c>
      <c r="G188" s="19" t="s">
        <v>88</v>
      </c>
      <c r="H188" s="19">
        <v>0.8</v>
      </c>
      <c r="I188" s="41">
        <v>51</v>
      </c>
      <c r="J188" s="53"/>
      <c r="K188" s="43"/>
      <c r="L188" s="19"/>
      <c r="M188" s="43"/>
      <c r="N188" s="44"/>
      <c r="O188" s="45">
        <f t="shared" si="127"/>
        <v>51</v>
      </c>
      <c r="P188" s="51"/>
      <c r="Q188" s="51"/>
      <c r="R188" s="74">
        <f t="shared" si="120"/>
        <v>33.7418392709196</v>
      </c>
      <c r="S188" s="74"/>
      <c r="T188" s="75">
        <f t="shared" si="121"/>
        <v>0.0522783761391881</v>
      </c>
      <c r="U188" s="74"/>
      <c r="V188" s="74"/>
      <c r="W188" s="76">
        <f t="shared" si="117"/>
        <v>33.7941176470588</v>
      </c>
      <c r="X188" s="77">
        <f t="shared" si="122"/>
        <v>0.641086992543496</v>
      </c>
      <c r="Y188" s="77"/>
      <c r="Z188" s="77"/>
      <c r="AA188" s="77">
        <f t="shared" si="118"/>
        <v>0.641086992543496</v>
      </c>
      <c r="AB188" s="86">
        <v>7.08</v>
      </c>
      <c r="AC188" s="74">
        <f t="shared" si="116"/>
        <v>4.53889590720795</v>
      </c>
      <c r="AD188" s="74">
        <f t="shared" si="115"/>
        <v>38.3330135542668</v>
      </c>
      <c r="AE188" s="74">
        <f t="shared" si="119"/>
        <v>12.6669864457332</v>
      </c>
    </row>
    <row r="189" customFormat="1" spans="1:31">
      <c r="A189" s="18"/>
      <c r="B189" s="19"/>
      <c r="C189" s="20">
        <v>240904000018</v>
      </c>
      <c r="D189" s="21">
        <v>45545</v>
      </c>
      <c r="E189" s="21" t="s">
        <v>62</v>
      </c>
      <c r="F189" s="19" t="s">
        <v>63</v>
      </c>
      <c r="G189" s="19" t="s">
        <v>88</v>
      </c>
      <c r="H189" s="19">
        <v>1.5</v>
      </c>
      <c r="I189" s="41">
        <v>76.5</v>
      </c>
      <c r="J189" s="53"/>
      <c r="K189" s="43"/>
      <c r="L189" s="19"/>
      <c r="M189" s="43"/>
      <c r="N189" s="44"/>
      <c r="O189" s="45">
        <f t="shared" si="127"/>
        <v>76.5</v>
      </c>
      <c r="P189" s="51"/>
      <c r="Q189" s="51"/>
      <c r="R189" s="74">
        <f t="shared" si="120"/>
        <v>63.2659486329743</v>
      </c>
      <c r="S189" s="74"/>
      <c r="T189" s="75">
        <f t="shared" si="121"/>
        <v>0.0980219552609776</v>
      </c>
      <c r="U189" s="74"/>
      <c r="V189" s="74"/>
      <c r="W189" s="76">
        <f t="shared" si="117"/>
        <v>63.3639705882353</v>
      </c>
      <c r="X189" s="77">
        <f t="shared" si="122"/>
        <v>1.20203811101906</v>
      </c>
      <c r="Y189" s="77"/>
      <c r="Z189" s="77"/>
      <c r="AA189" s="77">
        <f t="shared" si="118"/>
        <v>1.20203811101906</v>
      </c>
      <c r="AB189" s="86">
        <v>7.08</v>
      </c>
      <c r="AC189" s="74">
        <f t="shared" si="116"/>
        <v>8.51042982601491</v>
      </c>
      <c r="AD189" s="74">
        <f t="shared" si="115"/>
        <v>71.8744004142502</v>
      </c>
      <c r="AE189" s="74">
        <f t="shared" si="119"/>
        <v>4.6255995857498</v>
      </c>
    </row>
    <row r="190" customFormat="1" spans="1:31">
      <c r="A190" s="18"/>
      <c r="B190" s="19"/>
      <c r="C190" s="20">
        <v>240904000020</v>
      </c>
      <c r="D190" s="21">
        <v>45545</v>
      </c>
      <c r="E190" s="21" t="s">
        <v>62</v>
      </c>
      <c r="F190" s="19" t="s">
        <v>63</v>
      </c>
      <c r="G190" s="19" t="s">
        <v>212</v>
      </c>
      <c r="H190" s="19">
        <v>163.5</v>
      </c>
      <c r="I190" s="41">
        <v>9521</v>
      </c>
      <c r="J190" s="53"/>
      <c r="K190" s="43"/>
      <c r="L190" s="19"/>
      <c r="M190" s="43"/>
      <c r="N190" s="44"/>
      <c r="O190" s="45">
        <f t="shared" si="127"/>
        <v>9521</v>
      </c>
      <c r="P190" s="51"/>
      <c r="Q190" s="51"/>
      <c r="R190" s="74">
        <f t="shared" si="120"/>
        <v>6895.9884009942</v>
      </c>
      <c r="S190" s="74"/>
      <c r="T190" s="75">
        <f t="shared" si="121"/>
        <v>10.6843931234466</v>
      </c>
      <c r="U190" s="74"/>
      <c r="V190" s="74"/>
      <c r="W190" s="76">
        <f t="shared" si="117"/>
        <v>6906.67279411765</v>
      </c>
      <c r="X190" s="77">
        <f t="shared" si="122"/>
        <v>131.022154101077</v>
      </c>
      <c r="Y190" s="77"/>
      <c r="Z190" s="77"/>
      <c r="AA190" s="77">
        <f t="shared" si="118"/>
        <v>131.022154101077</v>
      </c>
      <c r="AB190" s="86">
        <v>7.08</v>
      </c>
      <c r="AC190" s="74">
        <f t="shared" si="116"/>
        <v>927.636851035625</v>
      </c>
      <c r="AD190" s="74">
        <f t="shared" si="115"/>
        <v>7834.30964515327</v>
      </c>
      <c r="AE190" s="74">
        <f t="shared" si="119"/>
        <v>1686.69035484673</v>
      </c>
    </row>
    <row r="191" customFormat="1" spans="1:31">
      <c r="A191" s="18"/>
      <c r="B191" s="19"/>
      <c r="C191" s="20">
        <v>240904000022</v>
      </c>
      <c r="D191" s="21">
        <v>45545</v>
      </c>
      <c r="E191" s="21" t="s">
        <v>46</v>
      </c>
      <c r="F191" s="19" t="s">
        <v>47</v>
      </c>
      <c r="G191" s="19" t="s">
        <v>213</v>
      </c>
      <c r="H191" s="19">
        <v>1.5</v>
      </c>
      <c r="I191" s="41">
        <v>93</v>
      </c>
      <c r="J191" s="53"/>
      <c r="K191" s="43"/>
      <c r="L191" s="19"/>
      <c r="M191" s="43"/>
      <c r="N191" s="44"/>
      <c r="O191" s="45">
        <f t="shared" si="127"/>
        <v>93</v>
      </c>
      <c r="P191" s="51"/>
      <c r="Q191" s="51"/>
      <c r="R191" s="74">
        <f t="shared" si="120"/>
        <v>63.2659486329743</v>
      </c>
      <c r="S191" s="74"/>
      <c r="T191" s="75">
        <f t="shared" si="121"/>
        <v>0.0980219552609776</v>
      </c>
      <c r="U191" s="74"/>
      <c r="V191" s="74"/>
      <c r="W191" s="76">
        <f t="shared" si="117"/>
        <v>63.3639705882353</v>
      </c>
      <c r="X191" s="77">
        <f t="shared" si="122"/>
        <v>1.20203811101906</v>
      </c>
      <c r="Y191" s="77"/>
      <c r="Z191" s="77"/>
      <c r="AA191" s="77">
        <f t="shared" si="118"/>
        <v>1.20203811101906</v>
      </c>
      <c r="AB191" s="86">
        <v>7.08</v>
      </c>
      <c r="AC191" s="74">
        <f t="shared" si="116"/>
        <v>8.51042982601491</v>
      </c>
      <c r="AD191" s="74">
        <f t="shared" si="115"/>
        <v>71.8744004142502</v>
      </c>
      <c r="AE191" s="74">
        <f t="shared" si="119"/>
        <v>21.1255995857498</v>
      </c>
    </row>
    <row r="192" customFormat="1" spans="1:31">
      <c r="A192" s="18"/>
      <c r="B192" s="19"/>
      <c r="C192" s="20">
        <v>240904000023</v>
      </c>
      <c r="D192" s="21">
        <v>45545</v>
      </c>
      <c r="E192" s="21" t="s">
        <v>50</v>
      </c>
      <c r="F192" s="19" t="s">
        <v>51</v>
      </c>
      <c r="G192" s="19" t="s">
        <v>115</v>
      </c>
      <c r="H192" s="19">
        <v>13</v>
      </c>
      <c r="I192" s="47"/>
      <c r="J192" s="54">
        <v>201690</v>
      </c>
      <c r="K192" s="43"/>
      <c r="L192" s="49">
        <f>SUM(J192/M192)</f>
        <v>1720.46404503967</v>
      </c>
      <c r="M192" s="50">
        <v>117.23</v>
      </c>
      <c r="N192" s="44">
        <v>7.08</v>
      </c>
      <c r="O192" s="45">
        <f>SUM(M192*N192)</f>
        <v>829.9884</v>
      </c>
      <c r="P192" s="51"/>
      <c r="Q192" s="51"/>
      <c r="R192" s="74">
        <f t="shared" si="120"/>
        <v>548.304888152444</v>
      </c>
      <c r="S192" s="74"/>
      <c r="T192" s="75">
        <f t="shared" si="121"/>
        <v>0.849523612261806</v>
      </c>
      <c r="U192" s="74"/>
      <c r="V192" s="75">
        <v>102</v>
      </c>
      <c r="W192" s="76">
        <f t="shared" si="117"/>
        <v>651.154411764706</v>
      </c>
      <c r="X192" s="77">
        <f t="shared" si="122"/>
        <v>10.4176636288318</v>
      </c>
      <c r="Y192" s="77"/>
      <c r="Z192" s="77"/>
      <c r="AA192" s="77">
        <f t="shared" si="118"/>
        <v>10.4176636288318</v>
      </c>
      <c r="AB192" s="86">
        <v>7.08</v>
      </c>
      <c r="AC192" s="74">
        <f t="shared" si="116"/>
        <v>73.7570584921292</v>
      </c>
      <c r="AD192" s="74">
        <f t="shared" si="115"/>
        <v>724.911470256835</v>
      </c>
      <c r="AE192" s="74">
        <f t="shared" si="119"/>
        <v>105.076929743165</v>
      </c>
    </row>
    <row r="193" customFormat="1" spans="1:31">
      <c r="A193" s="18"/>
      <c r="B193" s="19"/>
      <c r="C193" s="20">
        <v>240904000025</v>
      </c>
      <c r="D193" s="21">
        <v>45545</v>
      </c>
      <c r="E193" s="21" t="s">
        <v>62</v>
      </c>
      <c r="F193" s="19" t="s">
        <v>63</v>
      </c>
      <c r="G193" s="19" t="s">
        <v>214</v>
      </c>
      <c r="H193" s="19">
        <v>4.5</v>
      </c>
      <c r="I193" s="41">
        <v>273</v>
      </c>
      <c r="J193" s="53"/>
      <c r="K193" s="43"/>
      <c r="L193" s="19"/>
      <c r="M193" s="43"/>
      <c r="N193" s="44"/>
      <c r="O193" s="45">
        <f t="shared" ref="O193:O199" si="128">SUM(I193)</f>
        <v>273</v>
      </c>
      <c r="P193" s="51"/>
      <c r="Q193" s="51"/>
      <c r="R193" s="74">
        <f t="shared" si="120"/>
        <v>189.797845898923</v>
      </c>
      <c r="S193" s="74"/>
      <c r="T193" s="75">
        <f t="shared" si="121"/>
        <v>0.294065865782933</v>
      </c>
      <c r="U193" s="74"/>
      <c r="V193" s="74"/>
      <c r="W193" s="76">
        <f t="shared" si="117"/>
        <v>190.091911764706</v>
      </c>
      <c r="X193" s="77">
        <f t="shared" si="122"/>
        <v>3.60611433305717</v>
      </c>
      <c r="Y193" s="77"/>
      <c r="Z193" s="77"/>
      <c r="AA193" s="77">
        <f t="shared" si="118"/>
        <v>3.60611433305717</v>
      </c>
      <c r="AB193" s="86">
        <v>7.08</v>
      </c>
      <c r="AC193" s="74">
        <f t="shared" si="116"/>
        <v>25.5312894780447</v>
      </c>
      <c r="AD193" s="74">
        <f t="shared" ref="AD193:AD224" si="129">SUM(W193+AC193)</f>
        <v>215.623201242751</v>
      </c>
      <c r="AE193" s="74">
        <f t="shared" si="119"/>
        <v>57.3767987572494</v>
      </c>
    </row>
    <row r="194" customFormat="1" spans="1:31">
      <c r="A194" s="18"/>
      <c r="B194" s="19"/>
      <c r="C194" s="20">
        <v>240904000026</v>
      </c>
      <c r="D194" s="21">
        <v>45545</v>
      </c>
      <c r="E194" s="21" t="s">
        <v>41</v>
      </c>
      <c r="F194" s="19" t="s">
        <v>41</v>
      </c>
      <c r="G194" s="19" t="s">
        <v>215</v>
      </c>
      <c r="H194" s="19">
        <v>93.5</v>
      </c>
      <c r="I194" s="45"/>
      <c r="J194" s="54">
        <v>1204186.5</v>
      </c>
      <c r="K194" s="43"/>
      <c r="L194" s="49">
        <f>SUM(J194/M194)</f>
        <v>1768.85963064528</v>
      </c>
      <c r="M194" s="50">
        <v>680.76996</v>
      </c>
      <c r="N194" s="44">
        <v>7.08</v>
      </c>
      <c r="O194" s="45">
        <f>SUM(M194*N194)</f>
        <v>4819.8513168</v>
      </c>
      <c r="P194" s="51"/>
      <c r="Q194" s="51"/>
      <c r="R194" s="74">
        <f t="shared" si="120"/>
        <v>3943.57746478873</v>
      </c>
      <c r="S194" s="74"/>
      <c r="T194" s="75">
        <f t="shared" si="121"/>
        <v>6.11003521126761</v>
      </c>
      <c r="U194" s="74"/>
      <c r="V194" s="74"/>
      <c r="W194" s="76">
        <f t="shared" si="117"/>
        <v>3949.6875</v>
      </c>
      <c r="X194" s="77">
        <f t="shared" si="122"/>
        <v>74.9270422535211</v>
      </c>
      <c r="Y194" s="77"/>
      <c r="Z194" s="77"/>
      <c r="AA194" s="77">
        <f t="shared" si="118"/>
        <v>74.9270422535211</v>
      </c>
      <c r="AB194" s="86">
        <v>7.08</v>
      </c>
      <c r="AC194" s="74">
        <f t="shared" ref="AC194:AC225" si="130">SUM(AA194*AB194)</f>
        <v>530.48345915493</v>
      </c>
      <c r="AD194" s="74">
        <f t="shared" si="129"/>
        <v>4480.17095915493</v>
      </c>
      <c r="AE194" s="74">
        <f t="shared" si="119"/>
        <v>339.68035764507</v>
      </c>
    </row>
    <row r="195" customFormat="1" spans="1:31">
      <c r="A195" s="18"/>
      <c r="B195" s="19"/>
      <c r="C195" s="20">
        <v>240904000029</v>
      </c>
      <c r="D195" s="21">
        <v>45545</v>
      </c>
      <c r="E195" s="21" t="s">
        <v>41</v>
      </c>
      <c r="F195" s="19" t="s">
        <v>41</v>
      </c>
      <c r="G195" s="19" t="s">
        <v>216</v>
      </c>
      <c r="H195" s="19">
        <v>111.5</v>
      </c>
      <c r="I195" s="41">
        <v>7252</v>
      </c>
      <c r="J195" s="53"/>
      <c r="K195" s="43"/>
      <c r="L195" s="19"/>
      <c r="M195" s="43"/>
      <c r="N195" s="44"/>
      <c r="O195" s="45">
        <f t="shared" si="128"/>
        <v>7252</v>
      </c>
      <c r="P195" s="51"/>
      <c r="Q195" s="51"/>
      <c r="R195" s="74">
        <f t="shared" si="120"/>
        <v>4702.76884838442</v>
      </c>
      <c r="S195" s="74"/>
      <c r="T195" s="75">
        <f t="shared" si="121"/>
        <v>7.28629867439934</v>
      </c>
      <c r="U195" s="75">
        <v>330</v>
      </c>
      <c r="V195" s="74"/>
      <c r="W195" s="76">
        <f t="shared" ref="W195:W225" si="131">SUM(R195:V195)</f>
        <v>5040.05514705882</v>
      </c>
      <c r="X195" s="77">
        <f t="shared" si="122"/>
        <v>89.3514995857498</v>
      </c>
      <c r="Y195" s="77"/>
      <c r="Z195" s="77"/>
      <c r="AA195" s="77">
        <f t="shared" ref="AA195:AA225" si="132">SUM(X195:Z195)</f>
        <v>89.3514995857498</v>
      </c>
      <c r="AB195" s="86">
        <v>7.08</v>
      </c>
      <c r="AC195" s="74">
        <f t="shared" si="130"/>
        <v>632.608617067109</v>
      </c>
      <c r="AD195" s="74">
        <f t="shared" si="129"/>
        <v>5672.66376412593</v>
      </c>
      <c r="AE195" s="74">
        <f t="shared" ref="AE195:AE225" si="133">SUM(O195-AD195)</f>
        <v>1579.33623587407</v>
      </c>
    </row>
    <row r="196" customFormat="1" spans="1:31">
      <c r="A196" s="18"/>
      <c r="B196" s="19"/>
      <c r="C196" s="20">
        <v>240904000030</v>
      </c>
      <c r="D196" s="21">
        <v>45545</v>
      </c>
      <c r="E196" s="21" t="s">
        <v>62</v>
      </c>
      <c r="F196" s="19" t="s">
        <v>63</v>
      </c>
      <c r="G196" s="19" t="s">
        <v>88</v>
      </c>
      <c r="H196" s="19">
        <v>0.21</v>
      </c>
      <c r="I196" s="41">
        <v>51</v>
      </c>
      <c r="J196" s="53"/>
      <c r="K196" s="43"/>
      <c r="L196" s="19"/>
      <c r="M196" s="43"/>
      <c r="N196" s="44"/>
      <c r="O196" s="45">
        <f t="shared" si="128"/>
        <v>51</v>
      </c>
      <c r="P196" s="51"/>
      <c r="Q196" s="51"/>
      <c r="R196" s="74">
        <f t="shared" si="120"/>
        <v>8.8572328086164</v>
      </c>
      <c r="S196" s="74"/>
      <c r="T196" s="75">
        <f t="shared" si="121"/>
        <v>0.0137230737365369</v>
      </c>
      <c r="U196" s="74"/>
      <c r="V196" s="74"/>
      <c r="W196" s="76">
        <f t="shared" si="131"/>
        <v>8.87095588235294</v>
      </c>
      <c r="X196" s="77">
        <f t="shared" si="122"/>
        <v>0.168285335542668</v>
      </c>
      <c r="Y196" s="77"/>
      <c r="Z196" s="77"/>
      <c r="AA196" s="77">
        <f t="shared" si="132"/>
        <v>0.168285335542668</v>
      </c>
      <c r="AB196" s="86">
        <v>7.08</v>
      </c>
      <c r="AC196" s="74">
        <f t="shared" si="130"/>
        <v>1.19146017564209</v>
      </c>
      <c r="AD196" s="74">
        <f t="shared" si="129"/>
        <v>10.062416057995</v>
      </c>
      <c r="AE196" s="74">
        <f t="shared" si="133"/>
        <v>40.937583942005</v>
      </c>
    </row>
    <row r="197" customFormat="1" spans="1:31">
      <c r="A197" s="18"/>
      <c r="B197" s="19"/>
      <c r="C197" s="20">
        <v>240904000031</v>
      </c>
      <c r="D197" s="21">
        <v>45545</v>
      </c>
      <c r="E197" s="21" t="s">
        <v>62</v>
      </c>
      <c r="F197" s="19" t="s">
        <v>63</v>
      </c>
      <c r="G197" s="19" t="s">
        <v>92</v>
      </c>
      <c r="H197" s="19">
        <v>4.5</v>
      </c>
      <c r="I197" s="41">
        <v>273</v>
      </c>
      <c r="J197" s="53"/>
      <c r="K197" s="43"/>
      <c r="L197" s="19"/>
      <c r="M197" s="43"/>
      <c r="N197" s="44"/>
      <c r="O197" s="45">
        <f t="shared" si="128"/>
        <v>273</v>
      </c>
      <c r="P197" s="51"/>
      <c r="Q197" s="51"/>
      <c r="R197" s="74">
        <f t="shared" ref="R197:R225" si="134">SUM(101816/2414)*H197</f>
        <v>189.797845898923</v>
      </c>
      <c r="S197" s="74"/>
      <c r="T197" s="75">
        <f t="shared" ref="T197:T225" si="135">SUM(157.75/2414)*H197</f>
        <v>0.294065865782933</v>
      </c>
      <c r="U197" s="74"/>
      <c r="V197" s="74"/>
      <c r="W197" s="76">
        <f t="shared" si="131"/>
        <v>190.091911764706</v>
      </c>
      <c r="X197" s="77">
        <f t="shared" ref="X197:X225" si="136">SUM(1934.48/2414)*H197</f>
        <v>3.60611433305717</v>
      </c>
      <c r="Y197" s="77"/>
      <c r="Z197" s="77"/>
      <c r="AA197" s="77">
        <f t="shared" si="132"/>
        <v>3.60611433305717</v>
      </c>
      <c r="AB197" s="86">
        <v>7.08</v>
      </c>
      <c r="AC197" s="74">
        <f t="shared" si="130"/>
        <v>25.5312894780447</v>
      </c>
      <c r="AD197" s="74">
        <f t="shared" si="129"/>
        <v>215.623201242751</v>
      </c>
      <c r="AE197" s="74">
        <f t="shared" si="133"/>
        <v>57.3767987572494</v>
      </c>
    </row>
    <row r="198" customFormat="1" spans="1:31">
      <c r="A198" s="18"/>
      <c r="B198" s="19"/>
      <c r="C198" s="20">
        <v>240904000033</v>
      </c>
      <c r="D198" s="21">
        <v>45545</v>
      </c>
      <c r="E198" s="21" t="s">
        <v>62</v>
      </c>
      <c r="F198" s="19" t="s">
        <v>63</v>
      </c>
      <c r="G198" s="19" t="s">
        <v>99</v>
      </c>
      <c r="H198" s="19">
        <v>3</v>
      </c>
      <c r="I198" s="41">
        <v>270</v>
      </c>
      <c r="J198" s="53"/>
      <c r="K198" s="43"/>
      <c r="L198" s="19"/>
      <c r="M198" s="43"/>
      <c r="N198" s="44"/>
      <c r="O198" s="45">
        <f t="shared" si="128"/>
        <v>270</v>
      </c>
      <c r="P198" s="51"/>
      <c r="Q198" s="51"/>
      <c r="R198" s="74">
        <f t="shared" si="134"/>
        <v>126.531897265949</v>
      </c>
      <c r="S198" s="74"/>
      <c r="T198" s="75">
        <f t="shared" si="135"/>
        <v>0.196043910521955</v>
      </c>
      <c r="U198" s="74"/>
      <c r="V198" s="74"/>
      <c r="W198" s="76">
        <f t="shared" si="131"/>
        <v>126.727941176471</v>
      </c>
      <c r="X198" s="77">
        <f t="shared" si="136"/>
        <v>2.40407622203811</v>
      </c>
      <c r="Y198" s="77">
        <v>9.88</v>
      </c>
      <c r="Z198" s="77"/>
      <c r="AA198" s="77">
        <f t="shared" si="132"/>
        <v>12.2840762220381</v>
      </c>
      <c r="AB198" s="86">
        <v>7.08</v>
      </c>
      <c r="AC198" s="74">
        <f t="shared" si="130"/>
        <v>86.9712596520298</v>
      </c>
      <c r="AD198" s="74">
        <f t="shared" si="129"/>
        <v>213.6992008285</v>
      </c>
      <c r="AE198" s="74">
        <f t="shared" si="133"/>
        <v>56.3007991714996</v>
      </c>
    </row>
    <row r="199" customFormat="1" spans="1:31">
      <c r="A199" s="18"/>
      <c r="B199" s="19"/>
      <c r="C199" s="20">
        <v>240904000034</v>
      </c>
      <c r="D199" s="21">
        <v>45545</v>
      </c>
      <c r="E199" s="21" t="s">
        <v>50</v>
      </c>
      <c r="F199" s="19" t="s">
        <v>51</v>
      </c>
      <c r="G199" s="19" t="s">
        <v>114</v>
      </c>
      <c r="H199" s="19">
        <v>9.5</v>
      </c>
      <c r="I199" s="41">
        <v>484.5</v>
      </c>
      <c r="J199" s="53"/>
      <c r="K199" s="43"/>
      <c r="L199" s="19"/>
      <c r="M199" s="43"/>
      <c r="N199" s="44"/>
      <c r="O199" s="45">
        <f t="shared" si="128"/>
        <v>484.5</v>
      </c>
      <c r="P199" s="51"/>
      <c r="Q199" s="51"/>
      <c r="R199" s="74">
        <f t="shared" si="134"/>
        <v>400.684341342171</v>
      </c>
      <c r="S199" s="74"/>
      <c r="T199" s="75">
        <f t="shared" si="135"/>
        <v>0.620805716652858</v>
      </c>
      <c r="U199" s="74"/>
      <c r="V199" s="74"/>
      <c r="W199" s="76">
        <f t="shared" si="131"/>
        <v>401.305147058824</v>
      </c>
      <c r="X199" s="77">
        <f t="shared" si="136"/>
        <v>7.61290803645402</v>
      </c>
      <c r="Y199" s="77"/>
      <c r="Z199" s="77"/>
      <c r="AA199" s="77">
        <f t="shared" si="132"/>
        <v>7.61290803645402</v>
      </c>
      <c r="AB199" s="86">
        <v>7.08</v>
      </c>
      <c r="AC199" s="74">
        <f t="shared" si="130"/>
        <v>53.8993888980944</v>
      </c>
      <c r="AD199" s="74">
        <f t="shared" si="129"/>
        <v>455.204535956918</v>
      </c>
      <c r="AE199" s="74">
        <f t="shared" si="133"/>
        <v>29.295464043082</v>
      </c>
    </row>
    <row r="200" customFormat="1" spans="1:31">
      <c r="A200" s="18"/>
      <c r="B200" s="19"/>
      <c r="C200" s="20">
        <v>240904000035</v>
      </c>
      <c r="D200" s="21">
        <v>45545</v>
      </c>
      <c r="E200" s="21" t="s">
        <v>62</v>
      </c>
      <c r="F200" s="19" t="s">
        <v>63</v>
      </c>
      <c r="G200" s="19" t="s">
        <v>63</v>
      </c>
      <c r="H200" s="19">
        <v>61.5</v>
      </c>
      <c r="I200" s="47"/>
      <c r="J200" s="54">
        <v>812784</v>
      </c>
      <c r="K200" s="43"/>
      <c r="L200" s="49">
        <f t="shared" ref="L200:L203" si="137">SUM(J200/M200)</f>
        <v>1670.88232875586</v>
      </c>
      <c r="M200" s="50">
        <v>486.44</v>
      </c>
      <c r="N200" s="44">
        <v>7.08</v>
      </c>
      <c r="O200" s="45">
        <f t="shared" ref="O200:O203" si="138">SUM(M200*N200)</f>
        <v>3443.9952</v>
      </c>
      <c r="P200" s="51"/>
      <c r="Q200" s="51"/>
      <c r="R200" s="74">
        <f t="shared" si="134"/>
        <v>2593.90389395195</v>
      </c>
      <c r="S200" s="74"/>
      <c r="T200" s="75">
        <f t="shared" si="135"/>
        <v>4.01890016570008</v>
      </c>
      <c r="U200" s="74"/>
      <c r="V200" s="74"/>
      <c r="W200" s="76">
        <f t="shared" si="131"/>
        <v>2597.92279411765</v>
      </c>
      <c r="X200" s="77">
        <f t="shared" si="136"/>
        <v>49.2835625517813</v>
      </c>
      <c r="Y200" s="77"/>
      <c r="Z200" s="77"/>
      <c r="AA200" s="77">
        <f t="shared" si="132"/>
        <v>49.2835625517813</v>
      </c>
      <c r="AB200" s="86">
        <v>7.08</v>
      </c>
      <c r="AC200" s="74">
        <f t="shared" si="130"/>
        <v>348.927622866611</v>
      </c>
      <c r="AD200" s="74">
        <f t="shared" si="129"/>
        <v>2946.85041698426</v>
      </c>
      <c r="AE200" s="74">
        <f t="shared" si="133"/>
        <v>497.144783015741</v>
      </c>
    </row>
    <row r="201" customFormat="1" spans="1:31">
      <c r="A201" s="18"/>
      <c r="B201" s="19"/>
      <c r="C201" s="20">
        <v>240904000038</v>
      </c>
      <c r="D201" s="21">
        <v>45545</v>
      </c>
      <c r="E201" s="21" t="s">
        <v>43</v>
      </c>
      <c r="F201" s="19" t="s">
        <v>44</v>
      </c>
      <c r="G201" s="19" t="s">
        <v>182</v>
      </c>
      <c r="H201" s="19">
        <v>1.5</v>
      </c>
      <c r="I201" s="45"/>
      <c r="J201" s="54">
        <v>21950.25</v>
      </c>
      <c r="K201" s="43"/>
      <c r="L201" s="49">
        <f t="shared" si="137"/>
        <v>1694.99986911198</v>
      </c>
      <c r="M201" s="50">
        <v>12.950001</v>
      </c>
      <c r="N201" s="44">
        <v>7.08</v>
      </c>
      <c r="O201" s="45">
        <f t="shared" si="138"/>
        <v>91.68600708</v>
      </c>
      <c r="P201" s="51"/>
      <c r="Q201" s="51"/>
      <c r="R201" s="74">
        <f t="shared" si="134"/>
        <v>63.2659486329743</v>
      </c>
      <c r="S201" s="74"/>
      <c r="T201" s="75">
        <f t="shared" si="135"/>
        <v>0.0980219552609776</v>
      </c>
      <c r="U201" s="74"/>
      <c r="V201" s="74"/>
      <c r="W201" s="76">
        <f t="shared" si="131"/>
        <v>63.3639705882353</v>
      </c>
      <c r="X201" s="77">
        <f t="shared" si="136"/>
        <v>1.20203811101906</v>
      </c>
      <c r="Y201" s="77"/>
      <c r="Z201" s="77"/>
      <c r="AA201" s="77">
        <f t="shared" si="132"/>
        <v>1.20203811101906</v>
      </c>
      <c r="AB201" s="86">
        <v>7.08</v>
      </c>
      <c r="AC201" s="74">
        <f t="shared" si="130"/>
        <v>8.51042982601491</v>
      </c>
      <c r="AD201" s="74">
        <f t="shared" si="129"/>
        <v>71.8744004142502</v>
      </c>
      <c r="AE201" s="74">
        <f t="shared" si="133"/>
        <v>19.8116066657498</v>
      </c>
    </row>
    <row r="202" customFormat="1" spans="1:31">
      <c r="A202" s="18"/>
      <c r="B202" s="19"/>
      <c r="C202" s="20">
        <v>240904000039</v>
      </c>
      <c r="D202" s="21">
        <v>45545</v>
      </c>
      <c r="E202" s="21" t="s">
        <v>43</v>
      </c>
      <c r="F202" s="19" t="s">
        <v>44</v>
      </c>
      <c r="G202" s="19" t="s">
        <v>121</v>
      </c>
      <c r="H202" s="19">
        <v>3</v>
      </c>
      <c r="I202" s="45"/>
      <c r="J202" s="54">
        <v>43053</v>
      </c>
      <c r="K202" s="43"/>
      <c r="L202" s="49">
        <f t="shared" si="137"/>
        <v>1695</v>
      </c>
      <c r="M202" s="50">
        <v>25.4</v>
      </c>
      <c r="N202" s="44">
        <v>7.08</v>
      </c>
      <c r="O202" s="45">
        <f t="shared" si="138"/>
        <v>179.832</v>
      </c>
      <c r="P202" s="51"/>
      <c r="Q202" s="51"/>
      <c r="R202" s="74">
        <f t="shared" si="134"/>
        <v>126.531897265949</v>
      </c>
      <c r="S202" s="74"/>
      <c r="T202" s="75">
        <f t="shared" si="135"/>
        <v>0.196043910521955</v>
      </c>
      <c r="U202" s="74"/>
      <c r="V202" s="74"/>
      <c r="W202" s="76">
        <f t="shared" si="131"/>
        <v>126.727941176471</v>
      </c>
      <c r="X202" s="77">
        <f t="shared" si="136"/>
        <v>2.40407622203811</v>
      </c>
      <c r="Y202" s="77"/>
      <c r="Z202" s="77"/>
      <c r="AA202" s="77">
        <f t="shared" si="132"/>
        <v>2.40407622203811</v>
      </c>
      <c r="AB202" s="86">
        <v>7.08</v>
      </c>
      <c r="AC202" s="74">
        <f t="shared" si="130"/>
        <v>17.0208596520298</v>
      </c>
      <c r="AD202" s="74">
        <f t="shared" si="129"/>
        <v>143.7488008285</v>
      </c>
      <c r="AE202" s="74">
        <f t="shared" si="133"/>
        <v>36.0831991714996</v>
      </c>
    </row>
    <row r="203" customFormat="1" spans="1:31">
      <c r="A203" s="18"/>
      <c r="B203" s="19"/>
      <c r="C203" s="20">
        <v>240905000004</v>
      </c>
      <c r="D203" s="21">
        <v>45545</v>
      </c>
      <c r="E203" s="21" t="s">
        <v>50</v>
      </c>
      <c r="F203" s="19" t="s">
        <v>51</v>
      </c>
      <c r="G203" s="19" t="s">
        <v>179</v>
      </c>
      <c r="H203" s="19">
        <v>59.5</v>
      </c>
      <c r="I203" s="47"/>
      <c r="J203" s="54">
        <v>743452</v>
      </c>
      <c r="K203" s="43"/>
      <c r="L203" s="49">
        <f t="shared" si="137"/>
        <v>1734.6056929538</v>
      </c>
      <c r="M203" s="50">
        <v>428.6</v>
      </c>
      <c r="N203" s="44">
        <v>7.08</v>
      </c>
      <c r="O203" s="45">
        <f t="shared" si="138"/>
        <v>3034.488</v>
      </c>
      <c r="P203" s="51"/>
      <c r="Q203" s="51"/>
      <c r="R203" s="74">
        <f t="shared" si="134"/>
        <v>2509.54929577465</v>
      </c>
      <c r="S203" s="74"/>
      <c r="T203" s="75">
        <f t="shared" si="135"/>
        <v>3.88820422535211</v>
      </c>
      <c r="U203" s="74"/>
      <c r="V203" s="74"/>
      <c r="W203" s="76">
        <f t="shared" si="131"/>
        <v>2513.4375</v>
      </c>
      <c r="X203" s="77">
        <f t="shared" si="136"/>
        <v>47.6808450704225</v>
      </c>
      <c r="Y203" s="77"/>
      <c r="Z203" s="77"/>
      <c r="AA203" s="77">
        <f t="shared" si="132"/>
        <v>47.6808450704225</v>
      </c>
      <c r="AB203" s="86">
        <v>7.08</v>
      </c>
      <c r="AC203" s="74">
        <f t="shared" si="130"/>
        <v>337.580383098592</v>
      </c>
      <c r="AD203" s="74">
        <f t="shared" si="129"/>
        <v>2851.01788309859</v>
      </c>
      <c r="AE203" s="74">
        <f t="shared" si="133"/>
        <v>183.470116901408</v>
      </c>
    </row>
    <row r="204" customFormat="1" spans="1:31">
      <c r="A204" s="18"/>
      <c r="B204" s="19"/>
      <c r="C204" s="20">
        <v>240905000007</v>
      </c>
      <c r="D204" s="21">
        <v>45545</v>
      </c>
      <c r="E204" s="21" t="s">
        <v>50</v>
      </c>
      <c r="F204" s="19" t="s">
        <v>51</v>
      </c>
      <c r="G204" s="19" t="s">
        <v>217</v>
      </c>
      <c r="H204" s="19">
        <v>7.5</v>
      </c>
      <c r="I204" s="41">
        <v>478.5</v>
      </c>
      <c r="J204" s="53"/>
      <c r="K204" s="43"/>
      <c r="L204" s="19"/>
      <c r="M204" s="43"/>
      <c r="N204" s="44"/>
      <c r="O204" s="45">
        <f t="shared" ref="O204:O208" si="139">SUM(I204)</f>
        <v>478.5</v>
      </c>
      <c r="P204" s="51"/>
      <c r="Q204" s="51"/>
      <c r="R204" s="74">
        <f t="shared" si="134"/>
        <v>316.329743164872</v>
      </c>
      <c r="S204" s="74"/>
      <c r="T204" s="75">
        <f t="shared" si="135"/>
        <v>0.490109776304888</v>
      </c>
      <c r="U204" s="74"/>
      <c r="V204" s="74"/>
      <c r="W204" s="76">
        <f t="shared" si="131"/>
        <v>316.819852941177</v>
      </c>
      <c r="X204" s="77">
        <f t="shared" si="136"/>
        <v>6.01019055509528</v>
      </c>
      <c r="Y204" s="77"/>
      <c r="Z204" s="77"/>
      <c r="AA204" s="77">
        <f t="shared" si="132"/>
        <v>6.01019055509528</v>
      </c>
      <c r="AB204" s="86">
        <v>7.08</v>
      </c>
      <c r="AC204" s="74">
        <f t="shared" si="130"/>
        <v>42.5521491300746</v>
      </c>
      <c r="AD204" s="74">
        <f t="shared" si="129"/>
        <v>359.372002071251</v>
      </c>
      <c r="AE204" s="74">
        <f t="shared" si="133"/>
        <v>119.127997928749</v>
      </c>
    </row>
    <row r="205" customFormat="1" spans="1:31">
      <c r="A205" s="18"/>
      <c r="B205" s="19"/>
      <c r="C205" s="20">
        <v>240905000010</v>
      </c>
      <c r="D205" s="21">
        <v>45545</v>
      </c>
      <c r="E205" s="21" t="s">
        <v>50</v>
      </c>
      <c r="F205" s="19" t="s">
        <v>51</v>
      </c>
      <c r="G205" s="19" t="s">
        <v>217</v>
      </c>
      <c r="H205" s="19">
        <v>4.5</v>
      </c>
      <c r="I205" s="41">
        <v>300</v>
      </c>
      <c r="J205" s="53"/>
      <c r="K205" s="43"/>
      <c r="L205" s="19"/>
      <c r="M205" s="43"/>
      <c r="N205" s="44"/>
      <c r="O205" s="45">
        <f t="shared" si="139"/>
        <v>300</v>
      </c>
      <c r="P205" s="51"/>
      <c r="Q205" s="51"/>
      <c r="R205" s="74">
        <f t="shared" si="134"/>
        <v>189.797845898923</v>
      </c>
      <c r="S205" s="74"/>
      <c r="T205" s="75">
        <f t="shared" si="135"/>
        <v>0.294065865782933</v>
      </c>
      <c r="U205" s="74"/>
      <c r="V205" s="74"/>
      <c r="W205" s="76">
        <f t="shared" si="131"/>
        <v>190.091911764706</v>
      </c>
      <c r="X205" s="77">
        <f t="shared" si="136"/>
        <v>3.60611433305717</v>
      </c>
      <c r="Y205" s="77"/>
      <c r="Z205" s="77"/>
      <c r="AA205" s="77">
        <f t="shared" si="132"/>
        <v>3.60611433305717</v>
      </c>
      <c r="AB205" s="86">
        <v>7.08</v>
      </c>
      <c r="AC205" s="74">
        <f t="shared" si="130"/>
        <v>25.5312894780447</v>
      </c>
      <c r="AD205" s="74">
        <f t="shared" si="129"/>
        <v>215.623201242751</v>
      </c>
      <c r="AE205" s="74">
        <f t="shared" si="133"/>
        <v>84.3767987572494</v>
      </c>
    </row>
    <row r="206" customFormat="1" spans="1:31">
      <c r="A206" s="18"/>
      <c r="B206" s="19"/>
      <c r="C206" s="20">
        <v>240905000011</v>
      </c>
      <c r="D206" s="21">
        <v>45545</v>
      </c>
      <c r="E206" s="21" t="s">
        <v>50</v>
      </c>
      <c r="F206" s="19" t="s">
        <v>51</v>
      </c>
      <c r="G206" s="19" t="s">
        <v>217</v>
      </c>
      <c r="H206" s="19">
        <v>2.5</v>
      </c>
      <c r="I206" s="41">
        <v>168</v>
      </c>
      <c r="J206" s="53"/>
      <c r="K206" s="43"/>
      <c r="L206" s="19"/>
      <c r="M206" s="43"/>
      <c r="N206" s="44"/>
      <c r="O206" s="45">
        <f t="shared" si="139"/>
        <v>168</v>
      </c>
      <c r="P206" s="51"/>
      <c r="Q206" s="51"/>
      <c r="R206" s="74">
        <f t="shared" si="134"/>
        <v>105.443247721624</v>
      </c>
      <c r="S206" s="74"/>
      <c r="T206" s="75">
        <f t="shared" si="135"/>
        <v>0.163369925434963</v>
      </c>
      <c r="U206" s="74"/>
      <c r="V206" s="74"/>
      <c r="W206" s="76">
        <f t="shared" si="131"/>
        <v>105.606617647059</v>
      </c>
      <c r="X206" s="77">
        <f t="shared" si="136"/>
        <v>2.00339685169843</v>
      </c>
      <c r="Y206" s="77"/>
      <c r="Z206" s="77"/>
      <c r="AA206" s="77">
        <f t="shared" si="132"/>
        <v>2.00339685169843</v>
      </c>
      <c r="AB206" s="86">
        <v>7.08</v>
      </c>
      <c r="AC206" s="74">
        <f t="shared" si="130"/>
        <v>14.1840497100249</v>
      </c>
      <c r="AD206" s="74">
        <f t="shared" si="129"/>
        <v>119.790667357084</v>
      </c>
      <c r="AE206" s="74">
        <f t="shared" si="133"/>
        <v>48.2093326429163</v>
      </c>
    </row>
    <row r="207" customFormat="1" spans="1:31">
      <c r="A207" s="18"/>
      <c r="B207" s="19"/>
      <c r="C207" s="22">
        <v>240905000014</v>
      </c>
      <c r="D207" s="23">
        <v>45545</v>
      </c>
      <c r="E207" s="21" t="s">
        <v>43</v>
      </c>
      <c r="F207" s="24" t="s">
        <v>44</v>
      </c>
      <c r="G207" s="24" t="s">
        <v>108</v>
      </c>
      <c r="H207" s="24">
        <v>8</v>
      </c>
      <c r="I207" s="55">
        <v>462</v>
      </c>
      <c r="J207" s="53"/>
      <c r="K207" s="43"/>
      <c r="L207" s="19"/>
      <c r="M207" s="43"/>
      <c r="N207" s="44"/>
      <c r="O207" s="45">
        <f t="shared" si="139"/>
        <v>462</v>
      </c>
      <c r="P207" s="51"/>
      <c r="Q207" s="51"/>
      <c r="R207" s="74">
        <f t="shared" si="134"/>
        <v>337.418392709196</v>
      </c>
      <c r="S207" s="74"/>
      <c r="T207" s="75">
        <f t="shared" si="135"/>
        <v>0.522783761391881</v>
      </c>
      <c r="U207" s="74"/>
      <c r="V207" s="74"/>
      <c r="W207" s="76">
        <f t="shared" si="131"/>
        <v>337.941176470588</v>
      </c>
      <c r="X207" s="77">
        <f t="shared" si="136"/>
        <v>6.41086992543496</v>
      </c>
      <c r="Y207" s="77"/>
      <c r="Z207" s="77"/>
      <c r="AA207" s="77">
        <f t="shared" si="132"/>
        <v>6.41086992543496</v>
      </c>
      <c r="AB207" s="86">
        <v>7.08</v>
      </c>
      <c r="AC207" s="74">
        <f t="shared" si="130"/>
        <v>45.3889590720795</v>
      </c>
      <c r="AD207" s="74">
        <f t="shared" si="129"/>
        <v>383.330135542668</v>
      </c>
      <c r="AE207" s="74">
        <f t="shared" si="133"/>
        <v>78.6698644573322</v>
      </c>
    </row>
    <row r="208" customFormat="1" spans="1:31">
      <c r="A208" s="18"/>
      <c r="B208" s="19"/>
      <c r="C208" s="20">
        <v>240905000015</v>
      </c>
      <c r="D208" s="21">
        <v>45545</v>
      </c>
      <c r="E208" s="21" t="s">
        <v>46</v>
      </c>
      <c r="F208" s="19" t="s">
        <v>47</v>
      </c>
      <c r="G208" s="19" t="s">
        <v>218</v>
      </c>
      <c r="H208" s="19">
        <v>6.5</v>
      </c>
      <c r="I208" s="41">
        <v>366</v>
      </c>
      <c r="J208" s="53"/>
      <c r="K208" s="43"/>
      <c r="L208" s="19"/>
      <c r="M208" s="43"/>
      <c r="N208" s="44"/>
      <c r="O208" s="45">
        <f t="shared" si="139"/>
        <v>366</v>
      </c>
      <c r="P208" s="51"/>
      <c r="Q208" s="51"/>
      <c r="R208" s="74">
        <f t="shared" si="134"/>
        <v>274.152444076222</v>
      </c>
      <c r="S208" s="74"/>
      <c r="T208" s="75">
        <f t="shared" si="135"/>
        <v>0.424761806130903</v>
      </c>
      <c r="U208" s="74"/>
      <c r="V208" s="74"/>
      <c r="W208" s="76">
        <f t="shared" si="131"/>
        <v>274.577205882353</v>
      </c>
      <c r="X208" s="77">
        <f t="shared" si="136"/>
        <v>5.20883181441591</v>
      </c>
      <c r="Y208" s="77"/>
      <c r="Z208" s="77"/>
      <c r="AA208" s="77">
        <f t="shared" si="132"/>
        <v>5.20883181441591</v>
      </c>
      <c r="AB208" s="86">
        <v>7.08</v>
      </c>
      <c r="AC208" s="74">
        <f t="shared" si="130"/>
        <v>36.8785292460646</v>
      </c>
      <c r="AD208" s="74">
        <f t="shared" si="129"/>
        <v>311.455735128418</v>
      </c>
      <c r="AE208" s="74">
        <f t="shared" si="133"/>
        <v>54.5442648715824</v>
      </c>
    </row>
    <row r="209" customFormat="1" spans="1:31">
      <c r="A209" s="18"/>
      <c r="B209" s="19"/>
      <c r="C209" s="20">
        <v>240905000018</v>
      </c>
      <c r="D209" s="21">
        <v>45545</v>
      </c>
      <c r="E209" s="21" t="s">
        <v>62</v>
      </c>
      <c r="F209" s="19" t="s">
        <v>63</v>
      </c>
      <c r="G209" s="19" t="s">
        <v>219</v>
      </c>
      <c r="H209" s="19">
        <v>2.5</v>
      </c>
      <c r="I209" s="47"/>
      <c r="J209" s="54">
        <v>36108</v>
      </c>
      <c r="K209" s="43"/>
      <c r="L209" s="49">
        <f>SUM(J209/M209)</f>
        <v>1670.89310504396</v>
      </c>
      <c r="M209" s="50">
        <v>21.61</v>
      </c>
      <c r="N209" s="44">
        <v>7.08</v>
      </c>
      <c r="O209" s="45">
        <f>SUM(M209*N209)</f>
        <v>152.9988</v>
      </c>
      <c r="P209" s="51"/>
      <c r="Q209" s="51"/>
      <c r="R209" s="74">
        <f t="shared" si="134"/>
        <v>105.443247721624</v>
      </c>
      <c r="S209" s="74"/>
      <c r="T209" s="75">
        <f t="shared" si="135"/>
        <v>0.163369925434963</v>
      </c>
      <c r="U209" s="74"/>
      <c r="V209" s="74"/>
      <c r="W209" s="76">
        <f t="shared" si="131"/>
        <v>105.606617647059</v>
      </c>
      <c r="X209" s="77">
        <f t="shared" si="136"/>
        <v>2.00339685169843</v>
      </c>
      <c r="Y209" s="77"/>
      <c r="Z209" s="77"/>
      <c r="AA209" s="77">
        <f t="shared" si="132"/>
        <v>2.00339685169843</v>
      </c>
      <c r="AB209" s="86">
        <v>7.08</v>
      </c>
      <c r="AC209" s="74">
        <f t="shared" si="130"/>
        <v>14.1840497100249</v>
      </c>
      <c r="AD209" s="74">
        <f t="shared" si="129"/>
        <v>119.790667357084</v>
      </c>
      <c r="AE209" s="74">
        <f t="shared" si="133"/>
        <v>33.2081326429163</v>
      </c>
    </row>
    <row r="210" customFormat="1" spans="1:31">
      <c r="A210" s="18"/>
      <c r="B210" s="19"/>
      <c r="C210" s="20">
        <v>240905000020</v>
      </c>
      <c r="D210" s="21">
        <v>45545</v>
      </c>
      <c r="E210" s="21" t="s">
        <v>62</v>
      </c>
      <c r="F210" s="19" t="s">
        <v>63</v>
      </c>
      <c r="G210" s="19" t="s">
        <v>220</v>
      </c>
      <c r="H210" s="19">
        <v>7</v>
      </c>
      <c r="I210" s="41">
        <v>405</v>
      </c>
      <c r="J210" s="53"/>
      <c r="K210" s="43"/>
      <c r="L210" s="19"/>
      <c r="M210" s="43"/>
      <c r="N210" s="44"/>
      <c r="O210" s="45">
        <f t="shared" ref="O210:O216" si="140">SUM(I210)</f>
        <v>405</v>
      </c>
      <c r="P210" s="51"/>
      <c r="Q210" s="51"/>
      <c r="R210" s="74">
        <f t="shared" si="134"/>
        <v>295.241093620547</v>
      </c>
      <c r="S210" s="74"/>
      <c r="T210" s="75">
        <f t="shared" si="135"/>
        <v>0.457435791217896</v>
      </c>
      <c r="U210" s="74"/>
      <c r="V210" s="74"/>
      <c r="W210" s="76">
        <f t="shared" si="131"/>
        <v>295.698529411765</v>
      </c>
      <c r="X210" s="77">
        <f t="shared" si="136"/>
        <v>5.60951118475559</v>
      </c>
      <c r="Y210" s="77"/>
      <c r="Z210" s="77"/>
      <c r="AA210" s="77">
        <f t="shared" si="132"/>
        <v>5.60951118475559</v>
      </c>
      <c r="AB210" s="86">
        <v>7.08</v>
      </c>
      <c r="AC210" s="74">
        <f t="shared" si="130"/>
        <v>39.7153391880696</v>
      </c>
      <c r="AD210" s="74">
        <f t="shared" si="129"/>
        <v>335.413868599834</v>
      </c>
      <c r="AE210" s="74">
        <f t="shared" si="133"/>
        <v>69.5861314001656</v>
      </c>
    </row>
    <row r="211" customFormat="1" spans="1:31">
      <c r="A211" s="18"/>
      <c r="B211" s="19"/>
      <c r="C211" s="20">
        <v>240905000022</v>
      </c>
      <c r="D211" s="21">
        <v>45545</v>
      </c>
      <c r="E211" s="21" t="s">
        <v>37</v>
      </c>
      <c r="F211" s="19" t="s">
        <v>38</v>
      </c>
      <c r="G211" s="19" t="s">
        <v>221</v>
      </c>
      <c r="H211" s="19">
        <v>168</v>
      </c>
      <c r="I211" s="41">
        <v>10768</v>
      </c>
      <c r="J211" s="53"/>
      <c r="K211" s="43"/>
      <c r="L211" s="19"/>
      <c r="M211" s="43"/>
      <c r="N211" s="44"/>
      <c r="O211" s="45">
        <f t="shared" si="140"/>
        <v>10768</v>
      </c>
      <c r="P211" s="51"/>
      <c r="Q211" s="51"/>
      <c r="R211" s="74">
        <f t="shared" si="134"/>
        <v>7085.78624689312</v>
      </c>
      <c r="S211" s="74"/>
      <c r="T211" s="75">
        <f t="shared" si="135"/>
        <v>10.9784589892295</v>
      </c>
      <c r="U211" s="74"/>
      <c r="V211" s="74"/>
      <c r="W211" s="76">
        <f t="shared" si="131"/>
        <v>7096.76470588235</v>
      </c>
      <c r="X211" s="77">
        <f t="shared" si="136"/>
        <v>134.628268434134</v>
      </c>
      <c r="Y211" s="77">
        <v>95.48</v>
      </c>
      <c r="Z211" s="77"/>
      <c r="AA211" s="77">
        <f t="shared" si="132"/>
        <v>230.108268434134</v>
      </c>
      <c r="AB211" s="86">
        <v>7.08</v>
      </c>
      <c r="AC211" s="74">
        <f t="shared" si="130"/>
        <v>1629.16654051367</v>
      </c>
      <c r="AD211" s="74">
        <f t="shared" si="129"/>
        <v>8725.93124639602</v>
      </c>
      <c r="AE211" s="74">
        <f t="shared" si="133"/>
        <v>2042.06875360397</v>
      </c>
    </row>
    <row r="212" customFormat="1" spans="1:31">
      <c r="A212" s="18"/>
      <c r="B212" s="19"/>
      <c r="C212" s="20">
        <v>240905000023</v>
      </c>
      <c r="D212" s="21">
        <v>45545</v>
      </c>
      <c r="E212" s="21" t="s">
        <v>62</v>
      </c>
      <c r="F212" s="19" t="s">
        <v>63</v>
      </c>
      <c r="G212" s="19" t="s">
        <v>219</v>
      </c>
      <c r="H212" s="19">
        <v>103</v>
      </c>
      <c r="I212" s="47"/>
      <c r="J212" s="54">
        <v>1439128</v>
      </c>
      <c r="K212" s="43"/>
      <c r="L212" s="49">
        <f>SUM(J212/M212)</f>
        <v>1713.90053353659</v>
      </c>
      <c r="M212" s="50">
        <v>839.68</v>
      </c>
      <c r="N212" s="44">
        <v>7.08</v>
      </c>
      <c r="O212" s="45">
        <f>SUM(M212*N212)</f>
        <v>5944.9344</v>
      </c>
      <c r="P212" s="51"/>
      <c r="Q212" s="51"/>
      <c r="R212" s="74">
        <f t="shared" si="134"/>
        <v>4344.2618061309</v>
      </c>
      <c r="S212" s="74"/>
      <c r="T212" s="75">
        <f t="shared" si="135"/>
        <v>6.73084092792046</v>
      </c>
      <c r="U212" s="75">
        <v>280</v>
      </c>
      <c r="V212" s="74"/>
      <c r="W212" s="76">
        <f t="shared" si="131"/>
        <v>4630.99264705882</v>
      </c>
      <c r="X212" s="77">
        <f t="shared" si="136"/>
        <v>82.5399502899751</v>
      </c>
      <c r="Y212" s="77"/>
      <c r="Z212" s="77"/>
      <c r="AA212" s="77">
        <f t="shared" si="132"/>
        <v>82.5399502899751</v>
      </c>
      <c r="AB212" s="86">
        <v>7.08</v>
      </c>
      <c r="AC212" s="74">
        <f t="shared" si="130"/>
        <v>584.382848053024</v>
      </c>
      <c r="AD212" s="74">
        <f t="shared" si="129"/>
        <v>5215.37549511185</v>
      </c>
      <c r="AE212" s="74">
        <f t="shared" si="133"/>
        <v>729.558904888153</v>
      </c>
    </row>
    <row r="213" customFormat="1" spans="1:31">
      <c r="A213" s="18"/>
      <c r="B213" s="19"/>
      <c r="C213" s="20">
        <v>240905000025</v>
      </c>
      <c r="D213" s="21">
        <v>45545</v>
      </c>
      <c r="E213" s="21" t="s">
        <v>62</v>
      </c>
      <c r="F213" s="19" t="s">
        <v>63</v>
      </c>
      <c r="G213" s="19" t="s">
        <v>222</v>
      </c>
      <c r="H213" s="19">
        <v>7.5</v>
      </c>
      <c r="I213" s="41">
        <v>433.5</v>
      </c>
      <c r="J213" s="53"/>
      <c r="K213" s="43"/>
      <c r="L213" s="19"/>
      <c r="M213" s="43"/>
      <c r="N213" s="44"/>
      <c r="O213" s="45">
        <f t="shared" si="140"/>
        <v>433.5</v>
      </c>
      <c r="P213" s="51"/>
      <c r="Q213" s="51"/>
      <c r="R213" s="74">
        <f t="shared" si="134"/>
        <v>316.329743164872</v>
      </c>
      <c r="S213" s="74"/>
      <c r="T213" s="75">
        <f t="shared" si="135"/>
        <v>0.490109776304888</v>
      </c>
      <c r="U213" s="74"/>
      <c r="V213" s="74"/>
      <c r="W213" s="76">
        <f t="shared" si="131"/>
        <v>316.819852941177</v>
      </c>
      <c r="X213" s="77">
        <f t="shared" si="136"/>
        <v>6.01019055509528</v>
      </c>
      <c r="Y213" s="77"/>
      <c r="Z213" s="77"/>
      <c r="AA213" s="77">
        <f t="shared" si="132"/>
        <v>6.01019055509528</v>
      </c>
      <c r="AB213" s="86">
        <v>7.08</v>
      </c>
      <c r="AC213" s="74">
        <f t="shared" si="130"/>
        <v>42.5521491300746</v>
      </c>
      <c r="AD213" s="74">
        <f t="shared" si="129"/>
        <v>359.372002071251</v>
      </c>
      <c r="AE213" s="74">
        <f t="shared" si="133"/>
        <v>74.1279979287489</v>
      </c>
    </row>
    <row r="214" customFormat="1" spans="1:31">
      <c r="A214" s="18"/>
      <c r="B214" s="19"/>
      <c r="C214" s="20">
        <v>240905000034</v>
      </c>
      <c r="D214" s="21">
        <v>45545</v>
      </c>
      <c r="E214" s="21" t="s">
        <v>62</v>
      </c>
      <c r="F214" s="19" t="s">
        <v>63</v>
      </c>
      <c r="G214" s="19" t="s">
        <v>223</v>
      </c>
      <c r="H214" s="19">
        <v>20.5</v>
      </c>
      <c r="I214" s="41">
        <v>1045.5</v>
      </c>
      <c r="J214" s="53"/>
      <c r="K214" s="43"/>
      <c r="L214" s="19"/>
      <c r="M214" s="43"/>
      <c r="N214" s="44"/>
      <c r="O214" s="45">
        <f t="shared" si="140"/>
        <v>1045.5</v>
      </c>
      <c r="P214" s="51"/>
      <c r="Q214" s="51"/>
      <c r="R214" s="74">
        <f t="shared" si="134"/>
        <v>864.634631317316</v>
      </c>
      <c r="S214" s="74"/>
      <c r="T214" s="75">
        <f t="shared" si="135"/>
        <v>1.33963338856669</v>
      </c>
      <c r="U214" s="74"/>
      <c r="V214" s="74"/>
      <c r="W214" s="76">
        <f t="shared" si="131"/>
        <v>865.974264705882</v>
      </c>
      <c r="X214" s="77">
        <f t="shared" si="136"/>
        <v>16.4278541839271</v>
      </c>
      <c r="Y214" s="77"/>
      <c r="Z214" s="77"/>
      <c r="AA214" s="77">
        <f t="shared" si="132"/>
        <v>16.4278541839271</v>
      </c>
      <c r="AB214" s="86">
        <v>7.08</v>
      </c>
      <c r="AC214" s="74">
        <f t="shared" si="130"/>
        <v>116.309207622204</v>
      </c>
      <c r="AD214" s="74">
        <f t="shared" si="129"/>
        <v>982.283472328086</v>
      </c>
      <c r="AE214" s="74">
        <f t="shared" si="133"/>
        <v>63.2165276719138</v>
      </c>
    </row>
    <row r="215" customFormat="1" spans="1:31">
      <c r="A215" s="18"/>
      <c r="B215" s="19"/>
      <c r="C215" s="20">
        <v>240905000036</v>
      </c>
      <c r="D215" s="21">
        <v>45545</v>
      </c>
      <c r="E215" s="21" t="s">
        <v>62</v>
      </c>
      <c r="F215" s="19" t="s">
        <v>63</v>
      </c>
      <c r="G215" s="19" t="s">
        <v>88</v>
      </c>
      <c r="H215" s="19">
        <v>7</v>
      </c>
      <c r="I215" s="41">
        <v>707</v>
      </c>
      <c r="J215" s="53"/>
      <c r="K215" s="43"/>
      <c r="L215" s="19"/>
      <c r="M215" s="43"/>
      <c r="N215" s="44"/>
      <c r="O215" s="45">
        <f t="shared" si="140"/>
        <v>707</v>
      </c>
      <c r="P215" s="51"/>
      <c r="Q215" s="51"/>
      <c r="R215" s="74">
        <f t="shared" si="134"/>
        <v>295.241093620547</v>
      </c>
      <c r="S215" s="74"/>
      <c r="T215" s="75">
        <f t="shared" si="135"/>
        <v>0.457435791217896</v>
      </c>
      <c r="U215" s="74"/>
      <c r="V215" s="74"/>
      <c r="W215" s="76">
        <f t="shared" si="131"/>
        <v>295.698529411765</v>
      </c>
      <c r="X215" s="77">
        <f t="shared" si="136"/>
        <v>5.60951118475559</v>
      </c>
      <c r="Y215" s="77"/>
      <c r="Z215" s="77"/>
      <c r="AA215" s="77">
        <f t="shared" si="132"/>
        <v>5.60951118475559</v>
      </c>
      <c r="AB215" s="86">
        <v>7.08</v>
      </c>
      <c r="AC215" s="74">
        <f t="shared" si="130"/>
        <v>39.7153391880696</v>
      </c>
      <c r="AD215" s="74">
        <f t="shared" si="129"/>
        <v>335.413868599834</v>
      </c>
      <c r="AE215" s="74">
        <f t="shared" si="133"/>
        <v>371.586131400166</v>
      </c>
    </row>
    <row r="216" customFormat="1" spans="1:31">
      <c r="A216" s="18"/>
      <c r="B216" s="19"/>
      <c r="C216" s="20">
        <v>240905000038</v>
      </c>
      <c r="D216" s="21">
        <v>45545</v>
      </c>
      <c r="E216" s="21" t="s">
        <v>43</v>
      </c>
      <c r="F216" s="19" t="s">
        <v>44</v>
      </c>
      <c r="G216" s="19" t="s">
        <v>224</v>
      </c>
      <c r="H216" s="19">
        <v>12.5</v>
      </c>
      <c r="I216" s="41">
        <v>793</v>
      </c>
      <c r="J216" s="53"/>
      <c r="K216" s="43"/>
      <c r="L216" s="19"/>
      <c r="M216" s="43"/>
      <c r="N216" s="44"/>
      <c r="O216" s="45">
        <f t="shared" si="140"/>
        <v>793</v>
      </c>
      <c r="P216" s="51"/>
      <c r="Q216" s="51"/>
      <c r="R216" s="74">
        <f t="shared" si="134"/>
        <v>527.216238608119</v>
      </c>
      <c r="S216" s="74"/>
      <c r="T216" s="75">
        <f t="shared" si="135"/>
        <v>0.816849627174814</v>
      </c>
      <c r="U216" s="74"/>
      <c r="V216" s="74"/>
      <c r="W216" s="76">
        <f t="shared" si="131"/>
        <v>528.033088235294</v>
      </c>
      <c r="X216" s="77">
        <f t="shared" si="136"/>
        <v>10.0169842584921</v>
      </c>
      <c r="Y216" s="77"/>
      <c r="Z216" s="77"/>
      <c r="AA216" s="77">
        <f t="shared" si="132"/>
        <v>10.0169842584921</v>
      </c>
      <c r="AB216" s="86">
        <v>7.08</v>
      </c>
      <c r="AC216" s="74">
        <f t="shared" si="130"/>
        <v>70.9202485501243</v>
      </c>
      <c r="AD216" s="74">
        <f t="shared" si="129"/>
        <v>598.953336785419</v>
      </c>
      <c r="AE216" s="74">
        <f t="shared" si="133"/>
        <v>194.046663214581</v>
      </c>
    </row>
    <row r="217" customFormat="1" spans="1:31">
      <c r="A217" s="18"/>
      <c r="B217" s="19"/>
      <c r="C217" s="20">
        <v>240905000043</v>
      </c>
      <c r="D217" s="21">
        <v>45545</v>
      </c>
      <c r="E217" s="21" t="s">
        <v>43</v>
      </c>
      <c r="F217" s="19" t="s">
        <v>44</v>
      </c>
      <c r="G217" s="19" t="s">
        <v>182</v>
      </c>
      <c r="H217" s="19">
        <v>0.53</v>
      </c>
      <c r="I217" s="45"/>
      <c r="J217" s="54">
        <v>14916</v>
      </c>
      <c r="K217" s="43"/>
      <c r="L217" s="49">
        <f>SUM(J217/M217)</f>
        <v>1695</v>
      </c>
      <c r="M217" s="50">
        <v>8.8</v>
      </c>
      <c r="N217" s="44">
        <v>7.08</v>
      </c>
      <c r="O217" s="45">
        <f>SUM(M217*N217)</f>
        <v>62.304</v>
      </c>
      <c r="P217" s="51"/>
      <c r="Q217" s="51"/>
      <c r="R217" s="74">
        <f t="shared" si="134"/>
        <v>22.3539685169843</v>
      </c>
      <c r="S217" s="74"/>
      <c r="T217" s="75">
        <f t="shared" si="135"/>
        <v>0.0346344241922121</v>
      </c>
      <c r="U217" s="74"/>
      <c r="V217" s="74"/>
      <c r="W217" s="76">
        <f t="shared" si="131"/>
        <v>22.3886029411765</v>
      </c>
      <c r="X217" s="77">
        <f t="shared" si="136"/>
        <v>0.424720132560066</v>
      </c>
      <c r="Y217" s="77"/>
      <c r="Z217" s="77"/>
      <c r="AA217" s="77">
        <f t="shared" si="132"/>
        <v>0.424720132560066</v>
      </c>
      <c r="AB217" s="86">
        <v>7.08</v>
      </c>
      <c r="AC217" s="74">
        <f t="shared" si="130"/>
        <v>3.00701853852527</v>
      </c>
      <c r="AD217" s="74">
        <f t="shared" si="129"/>
        <v>25.3956214797017</v>
      </c>
      <c r="AE217" s="74">
        <f t="shared" si="133"/>
        <v>36.9083785202983</v>
      </c>
    </row>
    <row r="218" customFormat="1" spans="1:31">
      <c r="A218" s="18"/>
      <c r="B218" s="19"/>
      <c r="C218" s="20">
        <v>240906000002</v>
      </c>
      <c r="D218" s="21">
        <v>45545</v>
      </c>
      <c r="E218" s="21" t="s">
        <v>46</v>
      </c>
      <c r="F218" s="19" t="s">
        <v>47</v>
      </c>
      <c r="G218" s="19" t="s">
        <v>225</v>
      </c>
      <c r="H218" s="19">
        <v>2</v>
      </c>
      <c r="I218" s="41">
        <v>136</v>
      </c>
      <c r="J218" s="53"/>
      <c r="K218" s="43"/>
      <c r="L218" s="19"/>
      <c r="M218" s="43"/>
      <c r="N218" s="44"/>
      <c r="O218" s="45">
        <f t="shared" ref="O218:O226" si="141">SUM(I218)</f>
        <v>136</v>
      </c>
      <c r="P218" s="51"/>
      <c r="Q218" s="51"/>
      <c r="R218" s="74">
        <f t="shared" si="134"/>
        <v>84.3545981772991</v>
      </c>
      <c r="S218" s="74"/>
      <c r="T218" s="75">
        <f t="shared" si="135"/>
        <v>0.13069594034797</v>
      </c>
      <c r="U218" s="74"/>
      <c r="V218" s="74"/>
      <c r="W218" s="76">
        <f t="shared" si="131"/>
        <v>84.4852941176471</v>
      </c>
      <c r="X218" s="77">
        <f t="shared" si="136"/>
        <v>1.60271748135874</v>
      </c>
      <c r="Y218" s="77"/>
      <c r="Z218" s="77"/>
      <c r="AA218" s="77">
        <f t="shared" si="132"/>
        <v>1.60271748135874</v>
      </c>
      <c r="AB218" s="86">
        <v>7.08</v>
      </c>
      <c r="AC218" s="74">
        <f t="shared" si="130"/>
        <v>11.3472397680199</v>
      </c>
      <c r="AD218" s="74">
        <f t="shared" si="129"/>
        <v>95.832533885667</v>
      </c>
      <c r="AE218" s="74">
        <f t="shared" si="133"/>
        <v>40.167466114333</v>
      </c>
    </row>
    <row r="219" customFormat="1" spans="1:31">
      <c r="A219" s="18"/>
      <c r="B219" s="19"/>
      <c r="C219" s="20">
        <v>240906000003</v>
      </c>
      <c r="D219" s="21">
        <v>45545</v>
      </c>
      <c r="E219" s="21" t="s">
        <v>62</v>
      </c>
      <c r="F219" s="19" t="s">
        <v>63</v>
      </c>
      <c r="G219" s="19" t="s">
        <v>88</v>
      </c>
      <c r="H219" s="19">
        <v>7.5</v>
      </c>
      <c r="I219" s="41">
        <v>382.5</v>
      </c>
      <c r="J219" s="53"/>
      <c r="K219" s="43"/>
      <c r="L219" s="19"/>
      <c r="M219" s="43"/>
      <c r="N219" s="44"/>
      <c r="O219" s="45">
        <f t="shared" si="141"/>
        <v>382.5</v>
      </c>
      <c r="P219" s="51"/>
      <c r="Q219" s="51"/>
      <c r="R219" s="74">
        <f t="shared" si="134"/>
        <v>316.329743164872</v>
      </c>
      <c r="S219" s="74"/>
      <c r="T219" s="75">
        <f t="shared" si="135"/>
        <v>0.490109776304888</v>
      </c>
      <c r="U219" s="74"/>
      <c r="V219" s="74"/>
      <c r="W219" s="76">
        <f t="shared" si="131"/>
        <v>316.819852941177</v>
      </c>
      <c r="X219" s="77">
        <f t="shared" si="136"/>
        <v>6.01019055509528</v>
      </c>
      <c r="Y219" s="77"/>
      <c r="Z219" s="77"/>
      <c r="AA219" s="77">
        <f t="shared" si="132"/>
        <v>6.01019055509528</v>
      </c>
      <c r="AB219" s="86">
        <v>7.08</v>
      </c>
      <c r="AC219" s="74">
        <f t="shared" si="130"/>
        <v>42.5521491300746</v>
      </c>
      <c r="AD219" s="74">
        <f t="shared" si="129"/>
        <v>359.372002071251</v>
      </c>
      <c r="AE219" s="74">
        <f t="shared" si="133"/>
        <v>23.1279979287489</v>
      </c>
    </row>
    <row r="220" customFormat="1" spans="1:31">
      <c r="A220" s="18"/>
      <c r="B220" s="19"/>
      <c r="C220" s="20">
        <v>240906000004</v>
      </c>
      <c r="D220" s="21">
        <v>45545</v>
      </c>
      <c r="E220" s="21" t="s">
        <v>46</v>
      </c>
      <c r="F220" s="19" t="s">
        <v>47</v>
      </c>
      <c r="G220" s="19" t="s">
        <v>205</v>
      </c>
      <c r="H220" s="19">
        <v>10.5</v>
      </c>
      <c r="I220" s="41">
        <v>734.25</v>
      </c>
      <c r="J220" s="53"/>
      <c r="K220" s="43"/>
      <c r="L220" s="19"/>
      <c r="M220" s="43"/>
      <c r="N220" s="44"/>
      <c r="O220" s="45">
        <f t="shared" si="141"/>
        <v>734.25</v>
      </c>
      <c r="P220" s="51"/>
      <c r="Q220" s="51"/>
      <c r="R220" s="74">
        <f t="shared" si="134"/>
        <v>442.86164043082</v>
      </c>
      <c r="S220" s="74"/>
      <c r="T220" s="75">
        <f t="shared" si="135"/>
        <v>0.686153686826843</v>
      </c>
      <c r="U220" s="74"/>
      <c r="V220" s="74"/>
      <c r="W220" s="76">
        <f t="shared" si="131"/>
        <v>443.547794117647</v>
      </c>
      <c r="X220" s="77">
        <f t="shared" si="136"/>
        <v>8.41426677713339</v>
      </c>
      <c r="Y220" s="77"/>
      <c r="Z220" s="77"/>
      <c r="AA220" s="77">
        <f t="shared" si="132"/>
        <v>8.41426677713339</v>
      </c>
      <c r="AB220" s="86">
        <v>7.08</v>
      </c>
      <c r="AC220" s="74">
        <f t="shared" si="130"/>
        <v>59.5730087821044</v>
      </c>
      <c r="AD220" s="74">
        <f t="shared" si="129"/>
        <v>503.120802899752</v>
      </c>
      <c r="AE220" s="74">
        <f t="shared" si="133"/>
        <v>231.129197100248</v>
      </c>
    </row>
    <row r="221" customFormat="1" spans="1:31">
      <c r="A221" s="18"/>
      <c r="B221" s="19"/>
      <c r="C221" s="20">
        <v>240906000006</v>
      </c>
      <c r="D221" s="21">
        <v>45545</v>
      </c>
      <c r="E221" s="21" t="s">
        <v>62</v>
      </c>
      <c r="F221" s="19" t="s">
        <v>63</v>
      </c>
      <c r="G221" s="19" t="s">
        <v>88</v>
      </c>
      <c r="H221" s="19">
        <v>3</v>
      </c>
      <c r="I221" s="41">
        <v>503</v>
      </c>
      <c r="J221" s="53"/>
      <c r="K221" s="43"/>
      <c r="L221" s="19"/>
      <c r="M221" s="43"/>
      <c r="N221" s="44"/>
      <c r="O221" s="45">
        <f t="shared" si="141"/>
        <v>503</v>
      </c>
      <c r="P221" s="51"/>
      <c r="Q221" s="51"/>
      <c r="R221" s="74">
        <f t="shared" si="134"/>
        <v>126.531897265949</v>
      </c>
      <c r="S221" s="74"/>
      <c r="T221" s="75">
        <f t="shared" si="135"/>
        <v>0.196043910521955</v>
      </c>
      <c r="U221" s="74"/>
      <c r="V221" s="74"/>
      <c r="W221" s="76">
        <f t="shared" si="131"/>
        <v>126.727941176471</v>
      </c>
      <c r="X221" s="77">
        <f t="shared" si="136"/>
        <v>2.40407622203811</v>
      </c>
      <c r="Y221" s="77"/>
      <c r="Z221" s="77"/>
      <c r="AA221" s="77">
        <f t="shared" si="132"/>
        <v>2.40407622203811</v>
      </c>
      <c r="AB221" s="86">
        <v>7.08</v>
      </c>
      <c r="AC221" s="74">
        <f t="shared" si="130"/>
        <v>17.0208596520298</v>
      </c>
      <c r="AD221" s="74">
        <f t="shared" si="129"/>
        <v>143.7488008285</v>
      </c>
      <c r="AE221" s="74">
        <f t="shared" si="133"/>
        <v>359.2511991715</v>
      </c>
    </row>
    <row r="222" customFormat="1" spans="1:31">
      <c r="A222" s="18"/>
      <c r="B222" s="19"/>
      <c r="C222" s="20">
        <v>240906000008</v>
      </c>
      <c r="D222" s="21">
        <v>45545</v>
      </c>
      <c r="E222" s="21" t="s">
        <v>46</v>
      </c>
      <c r="F222" s="19" t="s">
        <v>47</v>
      </c>
      <c r="G222" s="19" t="s">
        <v>91</v>
      </c>
      <c r="H222" s="19">
        <v>1</v>
      </c>
      <c r="I222" s="41">
        <v>63</v>
      </c>
      <c r="J222" s="53"/>
      <c r="K222" s="43"/>
      <c r="L222" s="19"/>
      <c r="M222" s="43"/>
      <c r="N222" s="44"/>
      <c r="O222" s="45">
        <f t="shared" si="141"/>
        <v>63</v>
      </c>
      <c r="P222" s="51"/>
      <c r="Q222" s="51"/>
      <c r="R222" s="74">
        <f t="shared" si="134"/>
        <v>42.1772990886495</v>
      </c>
      <c r="S222" s="74"/>
      <c r="T222" s="75">
        <f t="shared" si="135"/>
        <v>0.0653479701739851</v>
      </c>
      <c r="U222" s="74"/>
      <c r="V222" s="74"/>
      <c r="W222" s="76">
        <f t="shared" si="131"/>
        <v>42.2426470588235</v>
      </c>
      <c r="X222" s="77">
        <f t="shared" si="136"/>
        <v>0.80135874067937</v>
      </c>
      <c r="Y222" s="77"/>
      <c r="Z222" s="77"/>
      <c r="AA222" s="77">
        <f t="shared" si="132"/>
        <v>0.80135874067937</v>
      </c>
      <c r="AB222" s="86">
        <v>7.08</v>
      </c>
      <c r="AC222" s="74">
        <f t="shared" si="130"/>
        <v>5.67361988400994</v>
      </c>
      <c r="AD222" s="74">
        <f t="shared" si="129"/>
        <v>47.9162669428335</v>
      </c>
      <c r="AE222" s="74">
        <f t="shared" ref="AE222:AE230" si="142">SUM(O222-AD222)</f>
        <v>15.0837330571665</v>
      </c>
    </row>
    <row r="223" customFormat="1" spans="1:31">
      <c r="A223" s="18"/>
      <c r="B223" s="19"/>
      <c r="C223" s="20">
        <v>240906000026</v>
      </c>
      <c r="D223" s="21">
        <v>45545</v>
      </c>
      <c r="E223" s="21" t="s">
        <v>50</v>
      </c>
      <c r="F223" s="19" t="s">
        <v>51</v>
      </c>
      <c r="G223" s="19" t="s">
        <v>55</v>
      </c>
      <c r="H223" s="19">
        <v>55</v>
      </c>
      <c r="I223" s="41">
        <v>2828</v>
      </c>
      <c r="J223" s="53"/>
      <c r="K223" s="43"/>
      <c r="L223" s="19"/>
      <c r="M223" s="43"/>
      <c r="N223" s="44"/>
      <c r="O223" s="45">
        <f t="shared" si="141"/>
        <v>2828</v>
      </c>
      <c r="P223" s="51"/>
      <c r="Q223" s="51"/>
      <c r="R223" s="74">
        <f t="shared" si="134"/>
        <v>2319.75144987573</v>
      </c>
      <c r="S223" s="74"/>
      <c r="T223" s="75">
        <f t="shared" si="135"/>
        <v>3.59413835956918</v>
      </c>
      <c r="U223" s="74"/>
      <c r="V223" s="74"/>
      <c r="W223" s="76">
        <f t="shared" si="131"/>
        <v>2323.34558823529</v>
      </c>
      <c r="X223" s="77">
        <f t="shared" si="136"/>
        <v>44.0747307373654</v>
      </c>
      <c r="Y223" s="77"/>
      <c r="Z223" s="77"/>
      <c r="AA223" s="77">
        <f t="shared" si="132"/>
        <v>44.0747307373654</v>
      </c>
      <c r="AB223" s="86">
        <v>7.08</v>
      </c>
      <c r="AC223" s="74">
        <f t="shared" si="130"/>
        <v>312.049093620547</v>
      </c>
      <c r="AD223" s="74">
        <f t="shared" si="129"/>
        <v>2635.39468185584</v>
      </c>
      <c r="AE223" s="74">
        <f t="shared" si="142"/>
        <v>192.605318144159</v>
      </c>
    </row>
    <row r="224" customFormat="1" spans="1:31">
      <c r="A224" s="18"/>
      <c r="B224" s="19"/>
      <c r="C224" s="20">
        <v>240906000038</v>
      </c>
      <c r="D224" s="21">
        <v>45545</v>
      </c>
      <c r="E224" s="21" t="s">
        <v>50</v>
      </c>
      <c r="F224" s="19" t="s">
        <v>51</v>
      </c>
      <c r="G224" s="19" t="s">
        <v>226</v>
      </c>
      <c r="H224" s="19">
        <v>1.5</v>
      </c>
      <c r="I224" s="41">
        <v>86.5</v>
      </c>
      <c r="J224" s="53"/>
      <c r="K224" s="43"/>
      <c r="L224" s="19"/>
      <c r="M224" s="43"/>
      <c r="N224" s="44"/>
      <c r="O224" s="45">
        <f t="shared" si="141"/>
        <v>86.5</v>
      </c>
      <c r="P224" s="51"/>
      <c r="Q224" s="51"/>
      <c r="R224" s="74">
        <f t="shared" si="134"/>
        <v>63.2659486329743</v>
      </c>
      <c r="S224" s="74"/>
      <c r="T224" s="75">
        <f t="shared" si="135"/>
        <v>0.0980219552609776</v>
      </c>
      <c r="U224" s="74"/>
      <c r="V224" s="74">
        <f>SUM(23+13.5)</f>
        <v>36.5</v>
      </c>
      <c r="W224" s="76">
        <f t="shared" ref="W224:W232" si="143">SUM(R224:V224)</f>
        <v>99.8639705882353</v>
      </c>
      <c r="X224" s="77">
        <f t="shared" si="136"/>
        <v>1.20203811101906</v>
      </c>
      <c r="Y224" s="77"/>
      <c r="Z224" s="77"/>
      <c r="AA224" s="77">
        <f t="shared" si="132"/>
        <v>1.20203811101906</v>
      </c>
      <c r="AB224" s="86">
        <v>7.08</v>
      </c>
      <c r="AC224" s="74">
        <f t="shared" ref="AC224:AC233" si="144">SUM(AA224*AB224)</f>
        <v>8.51042982601491</v>
      </c>
      <c r="AD224" s="74">
        <f t="shared" ref="AD224:AD230" si="145">SUM(W224+AC224)</f>
        <v>108.37440041425</v>
      </c>
      <c r="AE224" s="74">
        <f t="shared" si="142"/>
        <v>-21.8744004142502</v>
      </c>
    </row>
    <row r="225" customFormat="1" spans="1:31">
      <c r="A225" s="18"/>
      <c r="B225" s="19"/>
      <c r="C225" s="20">
        <v>240906000039</v>
      </c>
      <c r="D225" s="21">
        <v>45545</v>
      </c>
      <c r="E225" s="21" t="s">
        <v>50</v>
      </c>
      <c r="F225" s="19" t="s">
        <v>51</v>
      </c>
      <c r="G225" s="19" t="s">
        <v>114</v>
      </c>
      <c r="H225" s="19">
        <v>0.43</v>
      </c>
      <c r="I225" s="41">
        <v>53</v>
      </c>
      <c r="J225" s="53"/>
      <c r="K225" s="43"/>
      <c r="L225" s="19"/>
      <c r="M225" s="43"/>
      <c r="N225" s="44"/>
      <c r="O225" s="45">
        <f t="shared" si="141"/>
        <v>53</v>
      </c>
      <c r="P225" s="52"/>
      <c r="Q225" s="52"/>
      <c r="R225" s="74">
        <f t="shared" si="134"/>
        <v>18.1362386081193</v>
      </c>
      <c r="S225" s="74"/>
      <c r="T225" s="75">
        <f t="shared" si="135"/>
        <v>0.0280996271748136</v>
      </c>
      <c r="U225" s="74"/>
      <c r="V225" s="74"/>
      <c r="W225" s="76">
        <f t="shared" si="143"/>
        <v>18.1643382352941</v>
      </c>
      <c r="X225" s="77">
        <f t="shared" si="136"/>
        <v>0.344584258492129</v>
      </c>
      <c r="Y225" s="77"/>
      <c r="Z225" s="77"/>
      <c r="AA225" s="77">
        <f t="shared" ref="AA225:AA233" si="146">SUM(X225:Z225)</f>
        <v>0.344584258492129</v>
      </c>
      <c r="AB225" s="86">
        <v>7.08</v>
      </c>
      <c r="AC225" s="74">
        <f t="shared" si="144"/>
        <v>2.43965655012427</v>
      </c>
      <c r="AD225" s="74">
        <f t="shared" si="145"/>
        <v>20.6039947854184</v>
      </c>
      <c r="AE225" s="74">
        <f t="shared" si="142"/>
        <v>32.3960052145816</v>
      </c>
    </row>
    <row r="226" customFormat="1" spans="1:31">
      <c r="A226" s="18" t="s">
        <v>227</v>
      </c>
      <c r="B226" s="19" t="s">
        <v>228</v>
      </c>
      <c r="C226" s="20">
        <v>240907000029</v>
      </c>
      <c r="D226" s="21">
        <v>45546</v>
      </c>
      <c r="E226" s="21" t="s">
        <v>41</v>
      </c>
      <c r="F226" s="19" t="s">
        <v>41</v>
      </c>
      <c r="G226" s="19" t="s">
        <v>229</v>
      </c>
      <c r="H226" s="19">
        <v>34.5</v>
      </c>
      <c r="I226" s="41">
        <v>4795</v>
      </c>
      <c r="J226" s="42"/>
      <c r="K226" s="43"/>
      <c r="L226" s="45"/>
      <c r="M226" s="43"/>
      <c r="N226" s="44"/>
      <c r="O226" s="45">
        <f t="shared" si="141"/>
        <v>4795</v>
      </c>
      <c r="P226" s="46">
        <f>SUM(O226:O230)</f>
        <v>5922.9908</v>
      </c>
      <c r="Q226" s="46" t="s">
        <v>40</v>
      </c>
      <c r="R226" s="74">
        <f t="shared" ref="R226:R234" si="147">SUM(4800/64)*H226</f>
        <v>2587.5</v>
      </c>
      <c r="S226" s="74"/>
      <c r="T226" s="75">
        <f>SUM(45.98/64)*H226</f>
        <v>24.78609375</v>
      </c>
      <c r="U226" s="74"/>
      <c r="V226" s="74"/>
      <c r="W226" s="76">
        <f t="shared" si="143"/>
        <v>2612.28609375</v>
      </c>
      <c r="X226" s="77">
        <f>SUM(157.6/64)*H226</f>
        <v>84.95625</v>
      </c>
      <c r="Y226" s="77"/>
      <c r="Z226" s="77"/>
      <c r="AA226" s="77">
        <f t="shared" si="146"/>
        <v>84.95625</v>
      </c>
      <c r="AB226" s="86">
        <v>7.08</v>
      </c>
      <c r="AC226" s="74">
        <f t="shared" si="144"/>
        <v>601.49025</v>
      </c>
      <c r="AD226" s="74">
        <f t="shared" si="145"/>
        <v>3213.77634375</v>
      </c>
      <c r="AE226" s="74">
        <f t="shared" si="142"/>
        <v>1581.22365625</v>
      </c>
    </row>
    <row r="227" customFormat="1" spans="1:31">
      <c r="A227" s="18"/>
      <c r="B227" s="19"/>
      <c r="C227" s="20">
        <v>240908000014</v>
      </c>
      <c r="D227" s="21">
        <v>45546</v>
      </c>
      <c r="E227" s="21" t="s">
        <v>50</v>
      </c>
      <c r="F227" s="19" t="s">
        <v>51</v>
      </c>
      <c r="G227" s="19" t="s">
        <v>52</v>
      </c>
      <c r="H227" s="19">
        <v>0.91</v>
      </c>
      <c r="I227" s="47"/>
      <c r="J227" s="48">
        <v>40035</v>
      </c>
      <c r="K227" s="43"/>
      <c r="L227" s="49">
        <f>SUM(J227/M227)</f>
        <v>1667.43023740108</v>
      </c>
      <c r="M227" s="50">
        <v>24.01</v>
      </c>
      <c r="N227" s="44">
        <v>7.08</v>
      </c>
      <c r="O227" s="45">
        <f>SUM(M227*N227)</f>
        <v>169.9908</v>
      </c>
      <c r="P227" s="51"/>
      <c r="Q227" s="51"/>
      <c r="R227" s="74">
        <f t="shared" si="147"/>
        <v>68.25</v>
      </c>
      <c r="S227" s="74"/>
      <c r="T227" s="75">
        <f>SUM(45.98/64)*H227</f>
        <v>0.653778125</v>
      </c>
      <c r="U227" s="74"/>
      <c r="V227" s="74"/>
      <c r="W227" s="76">
        <f t="shared" si="143"/>
        <v>68.903778125</v>
      </c>
      <c r="X227" s="77">
        <f>SUM(157.6/64)*H227</f>
        <v>2.240875</v>
      </c>
      <c r="Y227" s="77"/>
      <c r="Z227" s="77"/>
      <c r="AA227" s="77">
        <f t="shared" si="146"/>
        <v>2.240875</v>
      </c>
      <c r="AB227" s="86">
        <v>7.08</v>
      </c>
      <c r="AC227" s="74">
        <f t="shared" si="144"/>
        <v>15.865395</v>
      </c>
      <c r="AD227" s="74">
        <f t="shared" si="145"/>
        <v>84.769173125</v>
      </c>
      <c r="AE227" s="74">
        <f t="shared" ref="AE227:AE234" si="148">SUM(O227-AD227)</f>
        <v>85.221626875</v>
      </c>
    </row>
    <row r="228" customFormat="1" spans="1:31">
      <c r="A228" s="18"/>
      <c r="B228" s="19"/>
      <c r="C228" s="20">
        <v>240909000034</v>
      </c>
      <c r="D228" s="21">
        <v>45546</v>
      </c>
      <c r="E228" s="21" t="s">
        <v>62</v>
      </c>
      <c r="F228" s="19" t="s">
        <v>230</v>
      </c>
      <c r="G228" s="19" t="s">
        <v>231</v>
      </c>
      <c r="H228" s="19">
        <v>0.9</v>
      </c>
      <c r="I228" s="41">
        <v>63</v>
      </c>
      <c r="J228" s="42"/>
      <c r="K228" s="43"/>
      <c r="L228" s="45"/>
      <c r="M228" s="43"/>
      <c r="N228" s="44"/>
      <c r="O228" s="45">
        <f t="shared" ref="O228:O230" si="149">SUM(I228)</f>
        <v>63</v>
      </c>
      <c r="P228" s="51"/>
      <c r="Q228" s="51"/>
      <c r="R228" s="74">
        <f t="shared" si="147"/>
        <v>67.5</v>
      </c>
      <c r="S228" s="74"/>
      <c r="T228" s="75">
        <f>SUM(45.98/64)*H228</f>
        <v>0.64659375</v>
      </c>
      <c r="U228" s="74"/>
      <c r="V228" s="74"/>
      <c r="W228" s="76">
        <f t="shared" si="143"/>
        <v>68.14659375</v>
      </c>
      <c r="X228" s="77">
        <f>SUM(157.6/64)*H228</f>
        <v>2.21625</v>
      </c>
      <c r="Y228" s="77"/>
      <c r="Z228" s="77"/>
      <c r="AA228" s="77">
        <f t="shared" si="146"/>
        <v>2.21625</v>
      </c>
      <c r="AB228" s="86">
        <v>7.08</v>
      </c>
      <c r="AC228" s="74">
        <f t="shared" si="144"/>
        <v>15.69105</v>
      </c>
      <c r="AD228" s="74">
        <f t="shared" si="145"/>
        <v>83.83764375</v>
      </c>
      <c r="AE228" s="74">
        <f t="shared" si="148"/>
        <v>-20.83764375</v>
      </c>
    </row>
    <row r="229" customFormat="1" spans="1:31">
      <c r="A229" s="18"/>
      <c r="B229" s="19"/>
      <c r="C229" s="20">
        <v>240909000036</v>
      </c>
      <c r="D229" s="21">
        <v>45546</v>
      </c>
      <c r="E229" s="21" t="s">
        <v>43</v>
      </c>
      <c r="F229" s="19" t="s">
        <v>44</v>
      </c>
      <c r="G229" s="19" t="s">
        <v>232</v>
      </c>
      <c r="H229" s="19">
        <v>4</v>
      </c>
      <c r="I229" s="41">
        <v>460</v>
      </c>
      <c r="J229" s="42"/>
      <c r="K229" s="43"/>
      <c r="L229" s="45"/>
      <c r="M229" s="43"/>
      <c r="N229" s="44"/>
      <c r="O229" s="45">
        <f t="shared" si="149"/>
        <v>460</v>
      </c>
      <c r="P229" s="51"/>
      <c r="Q229" s="51"/>
      <c r="R229" s="74">
        <f t="shared" si="147"/>
        <v>300</v>
      </c>
      <c r="S229" s="74"/>
      <c r="T229" s="75">
        <f>SUM(45.98/64)*H229</f>
        <v>2.87375</v>
      </c>
      <c r="U229" s="74"/>
      <c r="V229" s="74"/>
      <c r="W229" s="76">
        <f t="shared" si="143"/>
        <v>302.87375</v>
      </c>
      <c r="X229" s="77">
        <f>SUM(157.6/64)*H229</f>
        <v>9.85</v>
      </c>
      <c r="Y229" s="77"/>
      <c r="Z229" s="77"/>
      <c r="AA229" s="77">
        <f t="shared" si="146"/>
        <v>9.85</v>
      </c>
      <c r="AB229" s="86">
        <v>7.08</v>
      </c>
      <c r="AC229" s="74">
        <f t="shared" si="144"/>
        <v>69.738</v>
      </c>
      <c r="AD229" s="74">
        <f t="shared" ref="AD229:AD234" si="150">SUM(W229+AC229)</f>
        <v>372.61175</v>
      </c>
      <c r="AE229" s="74">
        <f t="shared" si="148"/>
        <v>87.38825</v>
      </c>
    </row>
    <row r="230" customFormat="1" spans="1:31">
      <c r="A230" s="18"/>
      <c r="B230" s="19"/>
      <c r="C230" s="20">
        <v>240910000023</v>
      </c>
      <c r="D230" s="21">
        <v>45546</v>
      </c>
      <c r="E230" s="21" t="s">
        <v>62</v>
      </c>
      <c r="F230" s="19" t="s">
        <v>63</v>
      </c>
      <c r="G230" s="19" t="s">
        <v>233</v>
      </c>
      <c r="H230" s="19">
        <v>3</v>
      </c>
      <c r="I230" s="41">
        <v>435</v>
      </c>
      <c r="J230" s="42"/>
      <c r="K230" s="43"/>
      <c r="L230" s="45"/>
      <c r="M230" s="43"/>
      <c r="N230" s="44"/>
      <c r="O230" s="45">
        <f t="shared" si="149"/>
        <v>435</v>
      </c>
      <c r="P230" s="52"/>
      <c r="Q230" s="52"/>
      <c r="R230" s="74">
        <f t="shared" si="147"/>
        <v>225</v>
      </c>
      <c r="S230" s="74"/>
      <c r="T230" s="75">
        <f>SUM(45.98/64)*H230</f>
        <v>2.1553125</v>
      </c>
      <c r="U230" s="74"/>
      <c r="V230" s="74"/>
      <c r="W230" s="76">
        <f t="shared" si="143"/>
        <v>227.1553125</v>
      </c>
      <c r="X230" s="77">
        <f>SUM(157.6/64)*H230</f>
        <v>7.3875</v>
      </c>
      <c r="Y230" s="77"/>
      <c r="Z230" s="77"/>
      <c r="AA230" s="77">
        <f t="shared" si="146"/>
        <v>7.3875</v>
      </c>
      <c r="AB230" s="86">
        <v>7.08</v>
      </c>
      <c r="AC230" s="74">
        <f t="shared" si="144"/>
        <v>52.3035</v>
      </c>
      <c r="AD230" s="74">
        <f t="shared" si="150"/>
        <v>279.4588125</v>
      </c>
      <c r="AE230" s="74">
        <f t="shared" si="148"/>
        <v>155.5411875</v>
      </c>
    </row>
    <row r="231" customFormat="1" spans="1:31">
      <c r="A231" s="18" t="s">
        <v>234</v>
      </c>
      <c r="B231" s="19" t="s">
        <v>235</v>
      </c>
      <c r="C231" s="20">
        <v>240909000012</v>
      </c>
      <c r="D231" s="21">
        <v>45547</v>
      </c>
      <c r="E231" s="21" t="s">
        <v>43</v>
      </c>
      <c r="F231" s="19" t="s">
        <v>44</v>
      </c>
      <c r="G231" s="19" t="s">
        <v>236</v>
      </c>
      <c r="H231" s="19">
        <v>46</v>
      </c>
      <c r="I231" s="47"/>
      <c r="J231" s="48">
        <v>1256375</v>
      </c>
      <c r="K231" s="43"/>
      <c r="L231" s="49">
        <f>SUM(J231/M231)</f>
        <v>1681.51157032536</v>
      </c>
      <c r="M231" s="50">
        <v>747.17</v>
      </c>
      <c r="N231" s="44">
        <v>7.08</v>
      </c>
      <c r="O231" s="45">
        <f>SUM(M231*N231)</f>
        <v>5289.9636</v>
      </c>
      <c r="P231" s="46">
        <f>SUM(O231:O234)</f>
        <v>12574.9636</v>
      </c>
      <c r="Q231" s="46" t="s">
        <v>40</v>
      </c>
      <c r="R231" s="74">
        <f t="shared" si="147"/>
        <v>3450</v>
      </c>
      <c r="S231" s="75"/>
      <c r="T231" s="74">
        <f>SUM(82.49/64)*H231</f>
        <v>59.2896875</v>
      </c>
      <c r="U231" s="74"/>
      <c r="V231" s="74"/>
      <c r="W231" s="76">
        <f t="shared" si="143"/>
        <v>3509.2896875</v>
      </c>
      <c r="X231" s="77">
        <f>SUM(230.27/64)*H231</f>
        <v>165.5065625</v>
      </c>
      <c r="Y231" s="77"/>
      <c r="Z231" s="77"/>
      <c r="AA231" s="77">
        <f t="shared" si="146"/>
        <v>165.5065625</v>
      </c>
      <c r="AB231" s="86">
        <v>7.08</v>
      </c>
      <c r="AC231" s="74">
        <f t="shared" si="144"/>
        <v>1171.7864625</v>
      </c>
      <c r="AD231" s="74">
        <f t="shared" si="150"/>
        <v>4681.07615</v>
      </c>
      <c r="AE231" s="74">
        <f t="shared" si="148"/>
        <v>608.88745</v>
      </c>
    </row>
    <row r="232" customFormat="1" spans="1:31">
      <c r="A232" s="18"/>
      <c r="B232" s="19"/>
      <c r="C232" s="20">
        <v>240911000009</v>
      </c>
      <c r="D232" s="21">
        <v>45547</v>
      </c>
      <c r="E232" s="21" t="s">
        <v>50</v>
      </c>
      <c r="F232" s="19" t="s">
        <v>51</v>
      </c>
      <c r="G232" s="19" t="s">
        <v>164</v>
      </c>
      <c r="H232" s="19">
        <v>19</v>
      </c>
      <c r="I232" s="41">
        <v>2280</v>
      </c>
      <c r="J232" s="42"/>
      <c r="K232" s="43"/>
      <c r="L232" s="45"/>
      <c r="M232" s="43"/>
      <c r="N232" s="44"/>
      <c r="O232" s="45">
        <f t="shared" ref="O232:O239" si="151">SUM(I232)</f>
        <v>2280</v>
      </c>
      <c r="P232" s="51"/>
      <c r="Q232" s="51"/>
      <c r="R232" s="74">
        <f t="shared" si="147"/>
        <v>1425</v>
      </c>
      <c r="S232" s="75"/>
      <c r="T232" s="74">
        <f>SUM(82.49/64)*H232</f>
        <v>24.48921875</v>
      </c>
      <c r="U232" s="74"/>
      <c r="V232" s="74"/>
      <c r="W232" s="76">
        <f t="shared" si="143"/>
        <v>1449.48921875</v>
      </c>
      <c r="X232" s="77">
        <f>SUM(230.27/64)*H232</f>
        <v>68.36140625</v>
      </c>
      <c r="Y232" s="77"/>
      <c r="Z232" s="77"/>
      <c r="AA232" s="77">
        <f t="shared" si="146"/>
        <v>68.36140625</v>
      </c>
      <c r="AB232" s="86">
        <v>7.08</v>
      </c>
      <c r="AC232" s="74">
        <f t="shared" si="144"/>
        <v>483.99875625</v>
      </c>
      <c r="AD232" s="74">
        <f t="shared" si="150"/>
        <v>1933.487975</v>
      </c>
      <c r="AE232" s="74">
        <f t="shared" si="148"/>
        <v>346.512025</v>
      </c>
    </row>
    <row r="233" customFormat="1" spans="1:31">
      <c r="A233" s="18"/>
      <c r="B233" s="19"/>
      <c r="C233" s="20">
        <v>240911000012</v>
      </c>
      <c r="D233" s="21">
        <v>45547</v>
      </c>
      <c r="E233" s="21" t="s">
        <v>50</v>
      </c>
      <c r="F233" s="19" t="s">
        <v>51</v>
      </c>
      <c r="G233" s="19" t="s">
        <v>71</v>
      </c>
      <c r="H233" s="19">
        <v>13</v>
      </c>
      <c r="I233" s="41">
        <v>3315</v>
      </c>
      <c r="J233" s="42"/>
      <c r="K233" s="43"/>
      <c r="L233" s="45"/>
      <c r="M233" s="43"/>
      <c r="N233" s="44"/>
      <c r="O233" s="45">
        <f t="shared" si="151"/>
        <v>3315</v>
      </c>
      <c r="P233" s="51"/>
      <c r="Q233" s="51"/>
      <c r="R233" s="74">
        <f t="shared" si="147"/>
        <v>975</v>
      </c>
      <c r="S233" s="75"/>
      <c r="T233" s="74">
        <f>SUM(82.49/64)*H233</f>
        <v>16.75578125</v>
      </c>
      <c r="U233" s="74"/>
      <c r="V233" s="74"/>
      <c r="W233" s="76">
        <f t="shared" ref="W233:W278" si="152">SUM(R233:V233)</f>
        <v>991.75578125</v>
      </c>
      <c r="X233" s="77">
        <f>SUM(230.27/64)*H233</f>
        <v>46.77359375</v>
      </c>
      <c r="Y233" s="77"/>
      <c r="Z233" s="77"/>
      <c r="AA233" s="77">
        <f t="shared" si="146"/>
        <v>46.77359375</v>
      </c>
      <c r="AB233" s="86">
        <v>7.08</v>
      </c>
      <c r="AC233" s="74">
        <f t="shared" si="144"/>
        <v>331.15704375</v>
      </c>
      <c r="AD233" s="74">
        <f t="shared" si="150"/>
        <v>1322.912825</v>
      </c>
      <c r="AE233" s="74">
        <f t="shared" si="148"/>
        <v>1992.087175</v>
      </c>
    </row>
    <row r="234" customFormat="1" spans="1:31">
      <c r="A234" s="18"/>
      <c r="B234" s="19"/>
      <c r="C234" s="20">
        <v>240911000013</v>
      </c>
      <c r="D234" s="21">
        <v>45547</v>
      </c>
      <c r="E234" s="21" t="s">
        <v>50</v>
      </c>
      <c r="F234" s="19" t="s">
        <v>51</v>
      </c>
      <c r="G234" s="19" t="s">
        <v>71</v>
      </c>
      <c r="H234" s="19">
        <v>7.5</v>
      </c>
      <c r="I234" s="41">
        <v>1690</v>
      </c>
      <c r="J234" s="42"/>
      <c r="K234" s="43"/>
      <c r="L234" s="45"/>
      <c r="M234" s="43"/>
      <c r="N234" s="44"/>
      <c r="O234" s="45">
        <f t="shared" si="151"/>
        <v>1690</v>
      </c>
      <c r="P234" s="52"/>
      <c r="Q234" s="52"/>
      <c r="R234" s="74">
        <f t="shared" si="147"/>
        <v>562.5</v>
      </c>
      <c r="S234" s="75"/>
      <c r="T234" s="74">
        <f>SUM(82.49/64)*H234</f>
        <v>9.666796875</v>
      </c>
      <c r="U234" s="74"/>
      <c r="V234" s="74"/>
      <c r="W234" s="76">
        <f t="shared" si="152"/>
        <v>572.166796875</v>
      </c>
      <c r="X234" s="77">
        <f>SUM(230.27/64)*H234</f>
        <v>26.984765625</v>
      </c>
      <c r="Y234" s="77"/>
      <c r="Z234" s="77"/>
      <c r="AA234" s="77">
        <f t="shared" ref="AA234:AA278" si="153">SUM(X234:Z234)</f>
        <v>26.984765625</v>
      </c>
      <c r="AB234" s="86">
        <v>7.08</v>
      </c>
      <c r="AC234" s="74">
        <f t="shared" ref="AC234:AC278" si="154">SUM(AA234*AB234)</f>
        <v>191.052140625</v>
      </c>
      <c r="AD234" s="74">
        <f t="shared" ref="AD234:AD278" si="155">SUM(W234+AC234)</f>
        <v>763.2189375</v>
      </c>
      <c r="AE234" s="74">
        <f t="shared" ref="AE234:AE278" si="156">SUM(O234-AD234)</f>
        <v>926.7810625</v>
      </c>
    </row>
    <row r="235" customFormat="1" spans="1:31">
      <c r="A235" s="18" t="s">
        <v>237</v>
      </c>
      <c r="B235" s="19" t="s">
        <v>238</v>
      </c>
      <c r="C235" s="20">
        <v>240819000010</v>
      </c>
      <c r="D235" s="21">
        <v>45547</v>
      </c>
      <c r="E235" s="21" t="s">
        <v>62</v>
      </c>
      <c r="F235" s="19" t="s">
        <v>239</v>
      </c>
      <c r="G235" s="19" t="s">
        <v>240</v>
      </c>
      <c r="H235" s="19">
        <v>2.5</v>
      </c>
      <c r="I235" s="41">
        <v>191</v>
      </c>
      <c r="J235" s="53"/>
      <c r="K235" s="43"/>
      <c r="L235" s="19"/>
      <c r="M235" s="43"/>
      <c r="N235" s="44"/>
      <c r="O235" s="45">
        <f t="shared" si="151"/>
        <v>191</v>
      </c>
      <c r="P235" s="46">
        <f>SUM(O235:O278)</f>
        <v>165964.68758584</v>
      </c>
      <c r="Q235" s="46" t="s">
        <v>85</v>
      </c>
      <c r="R235" s="74">
        <f>SUM(113220/2285)*H235</f>
        <v>123.873085339168</v>
      </c>
      <c r="S235" s="74"/>
      <c r="T235" s="75">
        <f>SUM(204.16/2285)*H235</f>
        <v>0.223369803063457</v>
      </c>
      <c r="U235" s="74"/>
      <c r="V235" s="74"/>
      <c r="W235" s="76">
        <f t="shared" si="152"/>
        <v>124.096455142232</v>
      </c>
      <c r="X235" s="77">
        <f>SUM(2159.09/2285)*H235</f>
        <v>2.36224288840263</v>
      </c>
      <c r="Y235" s="77"/>
      <c r="Z235" s="77"/>
      <c r="AA235" s="77">
        <f t="shared" si="153"/>
        <v>2.36224288840263</v>
      </c>
      <c r="AB235" s="86">
        <v>7.08</v>
      </c>
      <c r="AC235" s="74">
        <f t="shared" si="154"/>
        <v>16.7246796498906</v>
      </c>
      <c r="AD235" s="74">
        <f t="shared" si="155"/>
        <v>140.821134792123</v>
      </c>
      <c r="AE235" s="74">
        <f t="shared" si="156"/>
        <v>50.1788652078774</v>
      </c>
    </row>
    <row r="236" customFormat="1" spans="1:31">
      <c r="A236" s="18"/>
      <c r="B236" s="19"/>
      <c r="C236" s="20">
        <v>240902000021</v>
      </c>
      <c r="D236" s="21">
        <v>45547</v>
      </c>
      <c r="E236" s="21" t="s">
        <v>37</v>
      </c>
      <c r="F236" s="19" t="s">
        <v>38</v>
      </c>
      <c r="G236" s="19" t="s">
        <v>241</v>
      </c>
      <c r="H236" s="19">
        <v>15</v>
      </c>
      <c r="I236" s="41">
        <v>1046.1</v>
      </c>
      <c r="J236" s="53"/>
      <c r="K236" s="43"/>
      <c r="L236" s="19"/>
      <c r="M236" s="43"/>
      <c r="N236" s="44"/>
      <c r="O236" s="45">
        <f t="shared" si="151"/>
        <v>1046.1</v>
      </c>
      <c r="P236" s="51"/>
      <c r="Q236" s="51"/>
      <c r="R236" s="74">
        <f t="shared" ref="R236:R278" si="157">SUM(113220/2285)*H236</f>
        <v>743.238512035011</v>
      </c>
      <c r="S236" s="74"/>
      <c r="T236" s="75">
        <f t="shared" ref="T236:T278" si="158">SUM(204.16/2285)*H236</f>
        <v>1.34021881838074</v>
      </c>
      <c r="U236" s="74"/>
      <c r="V236" s="74"/>
      <c r="W236" s="76">
        <f t="shared" si="152"/>
        <v>744.578730853392</v>
      </c>
      <c r="X236" s="77">
        <f t="shared" ref="X236:X278" si="159">SUM(2159.09/2285)*H236</f>
        <v>14.1734573304158</v>
      </c>
      <c r="Y236" s="77"/>
      <c r="Z236" s="77"/>
      <c r="AA236" s="77">
        <f t="shared" si="153"/>
        <v>14.1734573304158</v>
      </c>
      <c r="AB236" s="86">
        <v>7.08</v>
      </c>
      <c r="AC236" s="74">
        <f t="shared" si="154"/>
        <v>100.348077899344</v>
      </c>
      <c r="AD236" s="74">
        <f t="shared" si="155"/>
        <v>844.926808752735</v>
      </c>
      <c r="AE236" s="74">
        <f t="shared" si="156"/>
        <v>201.173191247265</v>
      </c>
    </row>
    <row r="237" customFormat="1" spans="1:31">
      <c r="A237" s="18"/>
      <c r="B237" s="19"/>
      <c r="C237" s="20">
        <v>240903000017</v>
      </c>
      <c r="D237" s="21">
        <v>45547</v>
      </c>
      <c r="E237" s="21" t="s">
        <v>46</v>
      </c>
      <c r="F237" s="19" t="s">
        <v>47</v>
      </c>
      <c r="G237" s="19" t="s">
        <v>91</v>
      </c>
      <c r="H237" s="19">
        <v>0.56</v>
      </c>
      <c r="I237" s="41">
        <v>69.3</v>
      </c>
      <c r="J237" s="53"/>
      <c r="K237" s="43"/>
      <c r="L237" s="19"/>
      <c r="M237" s="43"/>
      <c r="N237" s="44"/>
      <c r="O237" s="45">
        <f t="shared" si="151"/>
        <v>69.3</v>
      </c>
      <c r="P237" s="51"/>
      <c r="Q237" s="51"/>
      <c r="R237" s="74">
        <f t="shared" si="157"/>
        <v>27.7475711159737</v>
      </c>
      <c r="S237" s="74"/>
      <c r="T237" s="75">
        <f t="shared" si="158"/>
        <v>0.0500348358862144</v>
      </c>
      <c r="U237" s="74"/>
      <c r="V237" s="74"/>
      <c r="W237" s="76">
        <f t="shared" si="152"/>
        <v>27.79760595186</v>
      </c>
      <c r="X237" s="77">
        <f t="shared" si="159"/>
        <v>0.529142407002188</v>
      </c>
      <c r="Y237" s="77"/>
      <c r="Z237" s="77"/>
      <c r="AA237" s="77">
        <f t="shared" si="153"/>
        <v>0.529142407002188</v>
      </c>
      <c r="AB237" s="86">
        <v>7.08</v>
      </c>
      <c r="AC237" s="74">
        <f t="shared" si="154"/>
        <v>3.74632824157549</v>
      </c>
      <c r="AD237" s="74">
        <f t="shared" si="155"/>
        <v>31.5439341934355</v>
      </c>
      <c r="AE237" s="74">
        <f t="shared" si="156"/>
        <v>37.7560658065645</v>
      </c>
    </row>
    <row r="238" customFormat="1" spans="1:31">
      <c r="A238" s="18"/>
      <c r="B238" s="19"/>
      <c r="C238" s="20">
        <v>240903000030</v>
      </c>
      <c r="D238" s="21">
        <v>45547</v>
      </c>
      <c r="E238" s="21" t="s">
        <v>41</v>
      </c>
      <c r="F238" s="19" t="s">
        <v>41</v>
      </c>
      <c r="G238" s="19" t="s">
        <v>176</v>
      </c>
      <c r="H238" s="19">
        <v>3</v>
      </c>
      <c r="I238" s="41">
        <v>236.3</v>
      </c>
      <c r="J238" s="53"/>
      <c r="K238" s="43"/>
      <c r="L238" s="19"/>
      <c r="M238" s="43"/>
      <c r="N238" s="44"/>
      <c r="O238" s="45">
        <f t="shared" si="151"/>
        <v>236.3</v>
      </c>
      <c r="P238" s="51"/>
      <c r="Q238" s="51"/>
      <c r="R238" s="74">
        <f t="shared" si="157"/>
        <v>148.647702407002</v>
      </c>
      <c r="S238" s="74"/>
      <c r="T238" s="75">
        <f t="shared" si="158"/>
        <v>0.268043763676149</v>
      </c>
      <c r="U238" s="74"/>
      <c r="V238" s="74"/>
      <c r="W238" s="76">
        <f t="shared" si="152"/>
        <v>148.915746170678</v>
      </c>
      <c r="X238" s="77">
        <f t="shared" si="159"/>
        <v>2.83469146608315</v>
      </c>
      <c r="Y238" s="77"/>
      <c r="Z238" s="77"/>
      <c r="AA238" s="77">
        <f t="shared" si="153"/>
        <v>2.83469146608315</v>
      </c>
      <c r="AB238" s="86">
        <v>7.08</v>
      </c>
      <c r="AC238" s="74">
        <f t="shared" si="154"/>
        <v>20.0696155798687</v>
      </c>
      <c r="AD238" s="74">
        <f t="shared" si="155"/>
        <v>168.985361750547</v>
      </c>
      <c r="AE238" s="74">
        <f t="shared" si="156"/>
        <v>67.314638249453</v>
      </c>
    </row>
    <row r="239" customFormat="1" spans="1:31">
      <c r="A239" s="18"/>
      <c r="B239" s="19"/>
      <c r="C239" s="20">
        <v>240903000051</v>
      </c>
      <c r="D239" s="21">
        <v>45547</v>
      </c>
      <c r="E239" s="21" t="s">
        <v>37</v>
      </c>
      <c r="F239" s="19" t="s">
        <v>38</v>
      </c>
      <c r="G239" s="19" t="s">
        <v>241</v>
      </c>
      <c r="H239" s="19">
        <v>37</v>
      </c>
      <c r="I239" s="41">
        <v>2536.9</v>
      </c>
      <c r="J239" s="53"/>
      <c r="K239" s="43"/>
      <c r="L239" s="19"/>
      <c r="M239" s="43"/>
      <c r="N239" s="44"/>
      <c r="O239" s="45">
        <f t="shared" si="151"/>
        <v>2536.9</v>
      </c>
      <c r="P239" s="51"/>
      <c r="Q239" s="51"/>
      <c r="R239" s="74">
        <f t="shared" si="157"/>
        <v>1833.32166301969</v>
      </c>
      <c r="S239" s="74"/>
      <c r="T239" s="75">
        <f t="shared" si="158"/>
        <v>3.30587308533917</v>
      </c>
      <c r="U239" s="74"/>
      <c r="V239" s="74"/>
      <c r="W239" s="76">
        <f t="shared" si="152"/>
        <v>1836.62753610503</v>
      </c>
      <c r="X239" s="77">
        <f t="shared" si="159"/>
        <v>34.9611947483589</v>
      </c>
      <c r="Y239" s="77">
        <v>11.97</v>
      </c>
      <c r="Z239" s="77"/>
      <c r="AA239" s="77">
        <f t="shared" si="153"/>
        <v>46.9311947483589</v>
      </c>
      <c r="AB239" s="86">
        <v>7.08</v>
      </c>
      <c r="AC239" s="74">
        <f t="shared" si="154"/>
        <v>332.272858818381</v>
      </c>
      <c r="AD239" s="74">
        <f t="shared" si="155"/>
        <v>2168.90039492341</v>
      </c>
      <c r="AE239" s="74">
        <f t="shared" si="156"/>
        <v>367.999605076586</v>
      </c>
    </row>
    <row r="240" customFormat="1" spans="1:31">
      <c r="A240" s="18"/>
      <c r="B240" s="19"/>
      <c r="C240" s="20">
        <v>240904000005</v>
      </c>
      <c r="D240" s="21">
        <v>45547</v>
      </c>
      <c r="E240" s="21" t="s">
        <v>43</v>
      </c>
      <c r="F240" s="19" t="s">
        <v>44</v>
      </c>
      <c r="G240" s="19" t="s">
        <v>108</v>
      </c>
      <c r="H240" s="19">
        <v>13</v>
      </c>
      <c r="I240" s="47"/>
      <c r="J240" s="54">
        <v>194577</v>
      </c>
      <c r="K240" s="43"/>
      <c r="L240" s="49">
        <f>SUM(J240/M240)</f>
        <v>1676.66523050409</v>
      </c>
      <c r="M240" s="50">
        <v>116.05</v>
      </c>
      <c r="N240" s="44">
        <v>7.08</v>
      </c>
      <c r="O240" s="45">
        <f>SUM(M240*N240)</f>
        <v>821.634</v>
      </c>
      <c r="P240" s="51"/>
      <c r="Q240" s="51"/>
      <c r="R240" s="74">
        <f t="shared" si="157"/>
        <v>644.140043763676</v>
      </c>
      <c r="S240" s="74"/>
      <c r="T240" s="75">
        <f t="shared" si="158"/>
        <v>1.16152297592998</v>
      </c>
      <c r="U240" s="74"/>
      <c r="V240" s="74"/>
      <c r="W240" s="76">
        <f t="shared" si="152"/>
        <v>645.301566739606</v>
      </c>
      <c r="X240" s="77">
        <f t="shared" si="159"/>
        <v>12.2836630196937</v>
      </c>
      <c r="Y240" s="77"/>
      <c r="Z240" s="77"/>
      <c r="AA240" s="77">
        <f t="shared" si="153"/>
        <v>12.2836630196937</v>
      </c>
      <c r="AB240" s="86">
        <v>7.08</v>
      </c>
      <c r="AC240" s="74">
        <f t="shared" si="154"/>
        <v>86.9683341794311</v>
      </c>
      <c r="AD240" s="74">
        <f t="shared" si="155"/>
        <v>732.269900919037</v>
      </c>
      <c r="AE240" s="74">
        <f t="shared" si="156"/>
        <v>89.3640990809628</v>
      </c>
    </row>
    <row r="241" customFormat="1" spans="1:31">
      <c r="A241" s="18"/>
      <c r="B241" s="19"/>
      <c r="C241" s="20">
        <v>240904000009</v>
      </c>
      <c r="D241" s="21">
        <v>45547</v>
      </c>
      <c r="E241" s="21" t="s">
        <v>50</v>
      </c>
      <c r="F241" s="19" t="s">
        <v>51</v>
      </c>
      <c r="G241" s="19" t="s">
        <v>122</v>
      </c>
      <c r="H241" s="19">
        <v>7</v>
      </c>
      <c r="I241" s="41">
        <v>441</v>
      </c>
      <c r="J241" s="53"/>
      <c r="K241" s="43"/>
      <c r="L241" s="19"/>
      <c r="M241" s="43"/>
      <c r="N241" s="44"/>
      <c r="O241" s="45">
        <f t="shared" ref="O241:O247" si="160">SUM(I241)</f>
        <v>441</v>
      </c>
      <c r="P241" s="51"/>
      <c r="Q241" s="51"/>
      <c r="R241" s="74">
        <f t="shared" si="157"/>
        <v>346.844638949672</v>
      </c>
      <c r="S241" s="74"/>
      <c r="T241" s="75">
        <f t="shared" si="158"/>
        <v>0.625435448577681</v>
      </c>
      <c r="U241" s="74"/>
      <c r="V241" s="74"/>
      <c r="W241" s="76">
        <f t="shared" si="152"/>
        <v>347.470074398249</v>
      </c>
      <c r="X241" s="77">
        <f t="shared" si="159"/>
        <v>6.61428008752735</v>
      </c>
      <c r="Y241" s="77"/>
      <c r="Z241" s="77"/>
      <c r="AA241" s="77">
        <f t="shared" si="153"/>
        <v>6.61428008752735</v>
      </c>
      <c r="AB241" s="86">
        <v>7.08</v>
      </c>
      <c r="AC241" s="74">
        <f t="shared" si="154"/>
        <v>46.8291030196937</v>
      </c>
      <c r="AD241" s="74">
        <f t="shared" si="155"/>
        <v>394.299177417943</v>
      </c>
      <c r="AE241" s="74">
        <f t="shared" si="156"/>
        <v>46.7008225820569</v>
      </c>
    </row>
    <row r="242" customFormat="1" spans="1:31">
      <c r="A242" s="18"/>
      <c r="B242" s="19"/>
      <c r="C242" s="20">
        <v>240904000010</v>
      </c>
      <c r="D242" s="21">
        <v>45547</v>
      </c>
      <c r="E242" s="21" t="s">
        <v>50</v>
      </c>
      <c r="F242" s="19" t="s">
        <v>51</v>
      </c>
      <c r="G242" s="19" t="s">
        <v>242</v>
      </c>
      <c r="H242" s="19">
        <v>0.93</v>
      </c>
      <c r="I242" s="41">
        <v>85</v>
      </c>
      <c r="J242" s="53"/>
      <c r="K242" s="43"/>
      <c r="L242" s="19"/>
      <c r="M242" s="43"/>
      <c r="N242" s="44"/>
      <c r="O242" s="45">
        <f t="shared" si="160"/>
        <v>85</v>
      </c>
      <c r="P242" s="51"/>
      <c r="Q242" s="51"/>
      <c r="R242" s="74">
        <f t="shared" si="157"/>
        <v>46.0807877461707</v>
      </c>
      <c r="S242" s="74"/>
      <c r="T242" s="75">
        <f t="shared" si="158"/>
        <v>0.0830935667396061</v>
      </c>
      <c r="U242" s="74"/>
      <c r="V242" s="74"/>
      <c r="W242" s="76">
        <f t="shared" si="152"/>
        <v>46.1638813129103</v>
      </c>
      <c r="X242" s="77">
        <f t="shared" si="159"/>
        <v>0.878754354485777</v>
      </c>
      <c r="Y242" s="77"/>
      <c r="Z242" s="77"/>
      <c r="AA242" s="77">
        <f t="shared" si="153"/>
        <v>0.878754354485777</v>
      </c>
      <c r="AB242" s="86">
        <v>7.08</v>
      </c>
      <c r="AC242" s="74">
        <f t="shared" si="154"/>
        <v>6.2215808297593</v>
      </c>
      <c r="AD242" s="74">
        <f t="shared" si="155"/>
        <v>52.3854621426696</v>
      </c>
      <c r="AE242" s="74">
        <f t="shared" si="156"/>
        <v>32.6145378573304</v>
      </c>
    </row>
    <row r="243" customFormat="1" spans="1:31">
      <c r="A243" s="18"/>
      <c r="B243" s="19"/>
      <c r="C243" s="20">
        <v>240904000014</v>
      </c>
      <c r="D243" s="21">
        <v>45547</v>
      </c>
      <c r="E243" s="21" t="s">
        <v>50</v>
      </c>
      <c r="F243" s="19" t="s">
        <v>51</v>
      </c>
      <c r="G243" s="19" t="s">
        <v>243</v>
      </c>
      <c r="H243" s="19">
        <v>1.5</v>
      </c>
      <c r="I243" s="41">
        <v>102</v>
      </c>
      <c r="J243" s="53"/>
      <c r="K243" s="43"/>
      <c r="L243" s="19"/>
      <c r="M243" s="43"/>
      <c r="N243" s="44"/>
      <c r="O243" s="45">
        <f t="shared" si="160"/>
        <v>102</v>
      </c>
      <c r="P243" s="51"/>
      <c r="Q243" s="51"/>
      <c r="R243" s="74">
        <f t="shared" si="157"/>
        <v>74.3238512035011</v>
      </c>
      <c r="S243" s="74"/>
      <c r="T243" s="75">
        <f t="shared" si="158"/>
        <v>0.134021881838074</v>
      </c>
      <c r="U243" s="74"/>
      <c r="V243" s="74"/>
      <c r="W243" s="76">
        <f t="shared" si="152"/>
        <v>74.4578730853392</v>
      </c>
      <c r="X243" s="77">
        <f t="shared" si="159"/>
        <v>1.41734573304158</v>
      </c>
      <c r="Y243" s="77"/>
      <c r="Z243" s="77"/>
      <c r="AA243" s="77">
        <f t="shared" si="153"/>
        <v>1.41734573304158</v>
      </c>
      <c r="AB243" s="86">
        <v>7.08</v>
      </c>
      <c r="AC243" s="74">
        <f t="shared" si="154"/>
        <v>10.0348077899344</v>
      </c>
      <c r="AD243" s="74">
        <f t="shared" si="155"/>
        <v>84.4926808752735</v>
      </c>
      <c r="AE243" s="74">
        <f t="shared" si="156"/>
        <v>17.5073191247265</v>
      </c>
    </row>
    <row r="244" customFormat="1" spans="1:31">
      <c r="A244" s="18"/>
      <c r="B244" s="19"/>
      <c r="C244" s="20">
        <v>240904000024</v>
      </c>
      <c r="D244" s="21">
        <v>45547</v>
      </c>
      <c r="E244" s="21" t="s">
        <v>43</v>
      </c>
      <c r="F244" s="19" t="s">
        <v>44</v>
      </c>
      <c r="G244" s="19" t="s">
        <v>170</v>
      </c>
      <c r="H244" s="19">
        <v>11</v>
      </c>
      <c r="I244" s="41">
        <v>768</v>
      </c>
      <c r="J244" s="53"/>
      <c r="K244" s="43"/>
      <c r="L244" s="19"/>
      <c r="M244" s="43"/>
      <c r="N244" s="44"/>
      <c r="O244" s="45">
        <f t="shared" si="160"/>
        <v>768</v>
      </c>
      <c r="P244" s="51"/>
      <c r="Q244" s="51"/>
      <c r="R244" s="74">
        <f t="shared" si="157"/>
        <v>545.041575492341</v>
      </c>
      <c r="S244" s="74"/>
      <c r="T244" s="75">
        <f t="shared" si="158"/>
        <v>0.982827133479212</v>
      </c>
      <c r="U244" s="74"/>
      <c r="V244" s="74"/>
      <c r="W244" s="76">
        <f t="shared" si="152"/>
        <v>546.024402625821</v>
      </c>
      <c r="X244" s="77">
        <f t="shared" si="159"/>
        <v>10.3938687089716</v>
      </c>
      <c r="Y244" s="77"/>
      <c r="Z244" s="77"/>
      <c r="AA244" s="77">
        <f t="shared" si="153"/>
        <v>10.3938687089716</v>
      </c>
      <c r="AB244" s="86">
        <v>7.08</v>
      </c>
      <c r="AC244" s="74">
        <f t="shared" si="154"/>
        <v>73.5885904595186</v>
      </c>
      <c r="AD244" s="74">
        <f t="shared" si="155"/>
        <v>619.612993085339</v>
      </c>
      <c r="AE244" s="74">
        <f t="shared" si="156"/>
        <v>148.387006914661</v>
      </c>
    </row>
    <row r="245" customFormat="1" spans="1:31">
      <c r="A245" s="18"/>
      <c r="B245" s="19"/>
      <c r="C245" s="20">
        <v>240904000028</v>
      </c>
      <c r="D245" s="21">
        <v>45547</v>
      </c>
      <c r="E245" s="21" t="s">
        <v>41</v>
      </c>
      <c r="F245" s="19" t="s">
        <v>41</v>
      </c>
      <c r="G245" s="19" t="s">
        <v>244</v>
      </c>
      <c r="H245" s="19">
        <v>32.5</v>
      </c>
      <c r="I245" s="41">
        <v>3472.5</v>
      </c>
      <c r="J245" s="53"/>
      <c r="K245" s="43"/>
      <c r="L245" s="19"/>
      <c r="M245" s="43"/>
      <c r="N245" s="44"/>
      <c r="O245" s="45">
        <f t="shared" si="160"/>
        <v>3472.5</v>
      </c>
      <c r="P245" s="51"/>
      <c r="Q245" s="51"/>
      <c r="R245" s="74">
        <f t="shared" si="157"/>
        <v>1610.35010940919</v>
      </c>
      <c r="S245" s="74"/>
      <c r="T245" s="75">
        <f t="shared" si="158"/>
        <v>2.90380743982495</v>
      </c>
      <c r="U245" s="74"/>
      <c r="V245" s="74"/>
      <c r="W245" s="76">
        <f t="shared" si="152"/>
        <v>1613.25391684902</v>
      </c>
      <c r="X245" s="77">
        <f t="shared" si="159"/>
        <v>30.7091575492341</v>
      </c>
      <c r="Y245" s="77"/>
      <c r="Z245" s="77"/>
      <c r="AA245" s="77">
        <f t="shared" si="153"/>
        <v>30.7091575492341</v>
      </c>
      <c r="AB245" s="86">
        <v>7.08</v>
      </c>
      <c r="AC245" s="74">
        <f t="shared" si="154"/>
        <v>217.420835448578</v>
      </c>
      <c r="AD245" s="74">
        <f t="shared" si="155"/>
        <v>1830.67475229759</v>
      </c>
      <c r="AE245" s="74">
        <f t="shared" si="156"/>
        <v>1641.82524770241</v>
      </c>
    </row>
    <row r="246" customFormat="1" spans="1:31">
      <c r="A246" s="18"/>
      <c r="B246" s="19"/>
      <c r="C246" s="20">
        <v>240904000036</v>
      </c>
      <c r="D246" s="21">
        <v>45547</v>
      </c>
      <c r="E246" s="21" t="s">
        <v>62</v>
      </c>
      <c r="F246" s="19" t="s">
        <v>63</v>
      </c>
      <c r="G246" s="19" t="s">
        <v>245</v>
      </c>
      <c r="H246" s="19">
        <v>15.5</v>
      </c>
      <c r="I246" s="41">
        <v>1813.5</v>
      </c>
      <c r="J246" s="53"/>
      <c r="K246" s="43"/>
      <c r="L246" s="19"/>
      <c r="M246" s="43"/>
      <c r="N246" s="44"/>
      <c r="O246" s="45">
        <f t="shared" si="160"/>
        <v>1813.5</v>
      </c>
      <c r="P246" s="51"/>
      <c r="Q246" s="51"/>
      <c r="R246" s="74">
        <f t="shared" si="157"/>
        <v>768.013129102845</v>
      </c>
      <c r="S246" s="74"/>
      <c r="T246" s="75">
        <f t="shared" si="158"/>
        <v>1.38489277899344</v>
      </c>
      <c r="U246" s="74"/>
      <c r="V246" s="74"/>
      <c r="W246" s="76">
        <f t="shared" si="152"/>
        <v>769.398021881838</v>
      </c>
      <c r="X246" s="77">
        <f t="shared" si="159"/>
        <v>14.6459059080963</v>
      </c>
      <c r="Y246" s="77"/>
      <c r="Z246" s="77"/>
      <c r="AA246" s="77">
        <f t="shared" si="153"/>
        <v>14.6459059080963</v>
      </c>
      <c r="AB246" s="86">
        <v>7.08</v>
      </c>
      <c r="AC246" s="74">
        <f t="shared" si="154"/>
        <v>103.693013829322</v>
      </c>
      <c r="AD246" s="74">
        <f t="shared" si="155"/>
        <v>873.09103571116</v>
      </c>
      <c r="AE246" s="74">
        <f t="shared" si="156"/>
        <v>940.40896428884</v>
      </c>
    </row>
    <row r="247" customFormat="1" spans="1:31">
      <c r="A247" s="18"/>
      <c r="B247" s="19"/>
      <c r="C247" s="20">
        <v>240904000037</v>
      </c>
      <c r="D247" s="21">
        <v>45547</v>
      </c>
      <c r="E247" s="21" t="s">
        <v>41</v>
      </c>
      <c r="F247" s="19" t="s">
        <v>41</v>
      </c>
      <c r="G247" s="19" t="s">
        <v>176</v>
      </c>
      <c r="H247" s="19">
        <v>9</v>
      </c>
      <c r="I247" s="41">
        <v>610.9</v>
      </c>
      <c r="J247" s="53"/>
      <c r="K247" s="43"/>
      <c r="L247" s="19"/>
      <c r="M247" s="43"/>
      <c r="N247" s="44"/>
      <c r="O247" s="45">
        <f t="shared" si="160"/>
        <v>610.9</v>
      </c>
      <c r="P247" s="51"/>
      <c r="Q247" s="51"/>
      <c r="R247" s="74">
        <f t="shared" si="157"/>
        <v>445.943107221007</v>
      </c>
      <c r="S247" s="74"/>
      <c r="T247" s="75">
        <f t="shared" si="158"/>
        <v>0.804131291028446</v>
      </c>
      <c r="U247" s="74"/>
      <c r="V247" s="74"/>
      <c r="W247" s="76">
        <f t="shared" si="152"/>
        <v>446.747238512035</v>
      </c>
      <c r="X247" s="77">
        <f t="shared" si="159"/>
        <v>8.50407439824945</v>
      </c>
      <c r="Y247" s="77"/>
      <c r="Z247" s="77"/>
      <c r="AA247" s="77">
        <f t="shared" si="153"/>
        <v>8.50407439824945</v>
      </c>
      <c r="AB247" s="86">
        <v>7.08</v>
      </c>
      <c r="AC247" s="74">
        <f t="shared" si="154"/>
        <v>60.2088467396061</v>
      </c>
      <c r="AD247" s="74">
        <f t="shared" si="155"/>
        <v>506.956085251641</v>
      </c>
      <c r="AE247" s="74">
        <f t="shared" si="156"/>
        <v>103.943914748359</v>
      </c>
    </row>
    <row r="248" customFormat="1" spans="1:31">
      <c r="A248" s="18"/>
      <c r="B248" s="19"/>
      <c r="C248" s="20">
        <v>240904000041</v>
      </c>
      <c r="D248" s="21">
        <v>45547</v>
      </c>
      <c r="E248" s="21" t="s">
        <v>43</v>
      </c>
      <c r="F248" s="19" t="s">
        <v>44</v>
      </c>
      <c r="G248" s="19" t="s">
        <v>197</v>
      </c>
      <c r="H248" s="19">
        <v>6</v>
      </c>
      <c r="I248" s="45"/>
      <c r="J248" s="54">
        <v>70580</v>
      </c>
      <c r="K248" s="43"/>
      <c r="L248" s="49">
        <f>SUM(J248/M248)</f>
        <v>1328.43975127648</v>
      </c>
      <c r="M248" s="50">
        <v>53.129997</v>
      </c>
      <c r="N248" s="44">
        <v>7.08</v>
      </c>
      <c r="O248" s="45">
        <f>SUM(M248*N248)</f>
        <v>376.16037876</v>
      </c>
      <c r="P248" s="51"/>
      <c r="Q248" s="51"/>
      <c r="R248" s="74">
        <f t="shared" si="157"/>
        <v>297.295404814004</v>
      </c>
      <c r="S248" s="74"/>
      <c r="T248" s="75">
        <f t="shared" si="158"/>
        <v>0.536087527352298</v>
      </c>
      <c r="U248" s="74"/>
      <c r="V248" s="74"/>
      <c r="W248" s="76">
        <f t="shared" si="152"/>
        <v>297.831492341357</v>
      </c>
      <c r="X248" s="77">
        <f t="shared" si="159"/>
        <v>5.6693829321663</v>
      </c>
      <c r="Y248" s="77"/>
      <c r="Z248" s="77"/>
      <c r="AA248" s="77">
        <f t="shared" si="153"/>
        <v>5.6693829321663</v>
      </c>
      <c r="AB248" s="86">
        <v>7.08</v>
      </c>
      <c r="AC248" s="74">
        <f t="shared" si="154"/>
        <v>40.1392311597374</v>
      </c>
      <c r="AD248" s="74">
        <f t="shared" si="155"/>
        <v>337.970723501094</v>
      </c>
      <c r="AE248" s="74">
        <f t="shared" si="156"/>
        <v>38.1896552589059</v>
      </c>
    </row>
    <row r="249" customFormat="1" spans="1:31">
      <c r="A249" s="18"/>
      <c r="B249" s="19"/>
      <c r="C249" s="20">
        <v>240904000042</v>
      </c>
      <c r="D249" s="21">
        <v>45547</v>
      </c>
      <c r="E249" s="21" t="s">
        <v>246</v>
      </c>
      <c r="F249" s="19" t="s">
        <v>247</v>
      </c>
      <c r="G249" s="19" t="s">
        <v>248</v>
      </c>
      <c r="H249" s="19">
        <v>0.76</v>
      </c>
      <c r="I249" s="41">
        <v>69.3</v>
      </c>
      <c r="J249" s="53"/>
      <c r="K249" s="43"/>
      <c r="L249" s="19"/>
      <c r="M249" s="43"/>
      <c r="N249" s="44"/>
      <c r="O249" s="45">
        <f t="shared" ref="O249:O253" si="161">SUM(I249)</f>
        <v>69.3</v>
      </c>
      <c r="P249" s="51"/>
      <c r="Q249" s="51"/>
      <c r="R249" s="74">
        <f t="shared" si="157"/>
        <v>37.6574179431072</v>
      </c>
      <c r="S249" s="74"/>
      <c r="T249" s="75">
        <f t="shared" si="158"/>
        <v>0.067904420131291</v>
      </c>
      <c r="U249" s="74"/>
      <c r="V249" s="74"/>
      <c r="W249" s="76">
        <f t="shared" si="152"/>
        <v>37.7253223632385</v>
      </c>
      <c r="X249" s="77">
        <f t="shared" si="159"/>
        <v>0.718121838074398</v>
      </c>
      <c r="Y249" s="77"/>
      <c r="Z249" s="77"/>
      <c r="AA249" s="77">
        <f t="shared" si="153"/>
        <v>0.718121838074398</v>
      </c>
      <c r="AB249" s="86">
        <v>7.08</v>
      </c>
      <c r="AC249" s="74">
        <f t="shared" si="154"/>
        <v>5.08430261356674</v>
      </c>
      <c r="AD249" s="74">
        <f t="shared" si="155"/>
        <v>42.8096249768053</v>
      </c>
      <c r="AE249" s="74">
        <f t="shared" si="156"/>
        <v>26.4903750231947</v>
      </c>
    </row>
    <row r="250" customFormat="1" spans="1:31">
      <c r="A250" s="18"/>
      <c r="B250" s="19"/>
      <c r="C250" s="20">
        <v>240905000005</v>
      </c>
      <c r="D250" s="21">
        <v>45547</v>
      </c>
      <c r="E250" s="21" t="s">
        <v>50</v>
      </c>
      <c r="F250" s="19" t="s">
        <v>51</v>
      </c>
      <c r="G250" s="19" t="s">
        <v>249</v>
      </c>
      <c r="H250" s="19">
        <v>2.5</v>
      </c>
      <c r="I250" s="41">
        <v>203.3</v>
      </c>
      <c r="J250" s="53"/>
      <c r="K250" s="43"/>
      <c r="L250" s="19"/>
      <c r="M250" s="43"/>
      <c r="N250" s="44"/>
      <c r="O250" s="45">
        <f t="shared" si="161"/>
        <v>203.3</v>
      </c>
      <c r="P250" s="51"/>
      <c r="Q250" s="51"/>
      <c r="R250" s="74">
        <f t="shared" si="157"/>
        <v>123.873085339168</v>
      </c>
      <c r="S250" s="74"/>
      <c r="T250" s="75">
        <f t="shared" si="158"/>
        <v>0.223369803063457</v>
      </c>
      <c r="U250" s="74"/>
      <c r="V250" s="74"/>
      <c r="W250" s="76">
        <f t="shared" si="152"/>
        <v>124.096455142232</v>
      </c>
      <c r="X250" s="77">
        <f t="shared" si="159"/>
        <v>2.36224288840263</v>
      </c>
      <c r="Y250" s="77"/>
      <c r="Z250" s="77"/>
      <c r="AA250" s="77">
        <f t="shared" si="153"/>
        <v>2.36224288840263</v>
      </c>
      <c r="AB250" s="86">
        <v>7.08</v>
      </c>
      <c r="AC250" s="74">
        <f t="shared" si="154"/>
        <v>16.7246796498906</v>
      </c>
      <c r="AD250" s="74">
        <f t="shared" si="155"/>
        <v>140.821134792123</v>
      </c>
      <c r="AE250" s="74">
        <f t="shared" si="156"/>
        <v>62.4788652078774</v>
      </c>
    </row>
    <row r="251" customFormat="1" spans="1:31">
      <c r="A251" s="18"/>
      <c r="B251" s="19"/>
      <c r="C251" s="20">
        <v>240905000008</v>
      </c>
      <c r="D251" s="21">
        <v>45547</v>
      </c>
      <c r="E251" s="21" t="s">
        <v>50</v>
      </c>
      <c r="F251" s="19" t="s">
        <v>51</v>
      </c>
      <c r="G251" s="19" t="s">
        <v>217</v>
      </c>
      <c r="H251" s="19">
        <v>4</v>
      </c>
      <c r="I251" s="41">
        <v>280</v>
      </c>
      <c r="J251" s="53"/>
      <c r="K251" s="43"/>
      <c r="L251" s="19"/>
      <c r="M251" s="43"/>
      <c r="N251" s="44"/>
      <c r="O251" s="45">
        <f t="shared" si="161"/>
        <v>280</v>
      </c>
      <c r="P251" s="51"/>
      <c r="Q251" s="51"/>
      <c r="R251" s="74">
        <f t="shared" si="157"/>
        <v>198.19693654267</v>
      </c>
      <c r="S251" s="74"/>
      <c r="T251" s="75">
        <f t="shared" si="158"/>
        <v>0.357391684901532</v>
      </c>
      <c r="U251" s="74"/>
      <c r="V251" s="74"/>
      <c r="W251" s="76">
        <f t="shared" si="152"/>
        <v>198.554328227571</v>
      </c>
      <c r="X251" s="77">
        <f t="shared" si="159"/>
        <v>3.7795886214442</v>
      </c>
      <c r="Y251" s="77"/>
      <c r="Z251" s="77"/>
      <c r="AA251" s="77">
        <f t="shared" si="153"/>
        <v>3.7795886214442</v>
      </c>
      <c r="AB251" s="86">
        <v>7.08</v>
      </c>
      <c r="AC251" s="74">
        <f t="shared" si="154"/>
        <v>26.7594874398249</v>
      </c>
      <c r="AD251" s="74">
        <f t="shared" si="155"/>
        <v>225.313815667396</v>
      </c>
      <c r="AE251" s="74">
        <f t="shared" si="156"/>
        <v>54.6861843326039</v>
      </c>
    </row>
    <row r="252" customFormat="1" spans="1:31">
      <c r="A252" s="18"/>
      <c r="B252" s="19"/>
      <c r="C252" s="20">
        <v>240905000019</v>
      </c>
      <c r="D252" s="21">
        <v>45547</v>
      </c>
      <c r="E252" s="21" t="s">
        <v>62</v>
      </c>
      <c r="F252" s="19" t="s">
        <v>63</v>
      </c>
      <c r="G252" s="19" t="s">
        <v>100</v>
      </c>
      <c r="H252" s="19">
        <v>0.66</v>
      </c>
      <c r="I252" s="41">
        <v>100.8</v>
      </c>
      <c r="J252" s="53"/>
      <c r="K252" s="43"/>
      <c r="L252" s="19"/>
      <c r="M252" s="43"/>
      <c r="N252" s="44"/>
      <c r="O252" s="45">
        <f t="shared" si="161"/>
        <v>100.8</v>
      </c>
      <c r="P252" s="51"/>
      <c r="Q252" s="51"/>
      <c r="R252" s="74">
        <f t="shared" si="157"/>
        <v>32.7024945295405</v>
      </c>
      <c r="S252" s="74"/>
      <c r="T252" s="75">
        <f t="shared" si="158"/>
        <v>0.0589696280087527</v>
      </c>
      <c r="U252" s="74"/>
      <c r="V252" s="74"/>
      <c r="W252" s="76">
        <f t="shared" si="152"/>
        <v>32.7614641575492</v>
      </c>
      <c r="X252" s="77">
        <f t="shared" si="159"/>
        <v>0.623632122538293</v>
      </c>
      <c r="Y252" s="77"/>
      <c r="Z252" s="77"/>
      <c r="AA252" s="77">
        <f t="shared" si="153"/>
        <v>0.623632122538293</v>
      </c>
      <c r="AB252" s="86">
        <v>7.08</v>
      </c>
      <c r="AC252" s="74">
        <f t="shared" si="154"/>
        <v>4.41531542757112</v>
      </c>
      <c r="AD252" s="74">
        <f t="shared" si="155"/>
        <v>37.1767795851204</v>
      </c>
      <c r="AE252" s="74">
        <f t="shared" si="156"/>
        <v>63.6232204148796</v>
      </c>
    </row>
    <row r="253" customFormat="1" spans="1:31">
      <c r="A253" s="18"/>
      <c r="B253" s="19"/>
      <c r="C253" s="20">
        <v>240905000021</v>
      </c>
      <c r="D253" s="21">
        <v>45547</v>
      </c>
      <c r="E253" s="21" t="s">
        <v>43</v>
      </c>
      <c r="F253" s="19" t="s">
        <v>44</v>
      </c>
      <c r="G253" s="19" t="s">
        <v>109</v>
      </c>
      <c r="H253" s="19">
        <v>2.5</v>
      </c>
      <c r="I253" s="41">
        <v>225</v>
      </c>
      <c r="J253" s="53"/>
      <c r="K253" s="43"/>
      <c r="L253" s="19"/>
      <c r="M253" s="43"/>
      <c r="N253" s="44"/>
      <c r="O253" s="45">
        <f t="shared" si="161"/>
        <v>225</v>
      </c>
      <c r="P253" s="51"/>
      <c r="Q253" s="51"/>
      <c r="R253" s="74">
        <f t="shared" si="157"/>
        <v>123.873085339168</v>
      </c>
      <c r="S253" s="74"/>
      <c r="T253" s="75">
        <f t="shared" si="158"/>
        <v>0.223369803063457</v>
      </c>
      <c r="U253" s="74"/>
      <c r="V253" s="74"/>
      <c r="W253" s="76">
        <f t="shared" si="152"/>
        <v>124.096455142232</v>
      </c>
      <c r="X253" s="77">
        <f t="shared" si="159"/>
        <v>2.36224288840263</v>
      </c>
      <c r="Y253" s="77"/>
      <c r="Z253" s="77"/>
      <c r="AA253" s="77">
        <f t="shared" si="153"/>
        <v>2.36224288840263</v>
      </c>
      <c r="AB253" s="86">
        <v>7.08</v>
      </c>
      <c r="AC253" s="74">
        <f t="shared" si="154"/>
        <v>16.7246796498906</v>
      </c>
      <c r="AD253" s="74">
        <f t="shared" si="155"/>
        <v>140.821134792123</v>
      </c>
      <c r="AE253" s="74">
        <f t="shared" si="156"/>
        <v>84.1788652078774</v>
      </c>
    </row>
    <row r="254" customFormat="1" spans="1:31">
      <c r="A254" s="18"/>
      <c r="B254" s="19"/>
      <c r="C254" s="20">
        <v>240905000024</v>
      </c>
      <c r="D254" s="21">
        <v>45547</v>
      </c>
      <c r="E254" s="21" t="s">
        <v>50</v>
      </c>
      <c r="F254" s="19" t="s">
        <v>51</v>
      </c>
      <c r="G254" s="19" t="s">
        <v>250</v>
      </c>
      <c r="H254" s="19">
        <v>15</v>
      </c>
      <c r="I254" s="47"/>
      <c r="J254" s="54">
        <v>232050</v>
      </c>
      <c r="K254" s="43"/>
      <c r="L254" s="49">
        <f>SUM(J254/M254)</f>
        <v>1685.06281315809</v>
      </c>
      <c r="M254" s="50">
        <v>137.71</v>
      </c>
      <c r="N254" s="44">
        <v>7.08</v>
      </c>
      <c r="O254" s="45">
        <f>SUM(M254*N254)</f>
        <v>974.9868</v>
      </c>
      <c r="P254" s="51"/>
      <c r="Q254" s="51"/>
      <c r="R254" s="74">
        <f t="shared" si="157"/>
        <v>743.238512035011</v>
      </c>
      <c r="S254" s="74"/>
      <c r="T254" s="75">
        <f t="shared" si="158"/>
        <v>1.34021881838074</v>
      </c>
      <c r="U254" s="74"/>
      <c r="V254" s="74"/>
      <c r="W254" s="76">
        <f t="shared" si="152"/>
        <v>744.578730853392</v>
      </c>
      <c r="X254" s="77">
        <f t="shared" si="159"/>
        <v>14.1734573304158</v>
      </c>
      <c r="Y254" s="77"/>
      <c r="Z254" s="77"/>
      <c r="AA254" s="77">
        <f t="shared" si="153"/>
        <v>14.1734573304158</v>
      </c>
      <c r="AB254" s="86">
        <v>7.08</v>
      </c>
      <c r="AC254" s="74">
        <f t="shared" si="154"/>
        <v>100.348077899344</v>
      </c>
      <c r="AD254" s="74">
        <f t="shared" si="155"/>
        <v>844.926808752735</v>
      </c>
      <c r="AE254" s="74">
        <f t="shared" si="156"/>
        <v>130.059991247265</v>
      </c>
    </row>
    <row r="255" customFormat="1" spans="1:31">
      <c r="A255" s="18"/>
      <c r="B255" s="19"/>
      <c r="C255" s="20">
        <v>240905000033</v>
      </c>
      <c r="D255" s="21">
        <v>45547</v>
      </c>
      <c r="E255" s="21" t="s">
        <v>50</v>
      </c>
      <c r="F255" s="19" t="s">
        <v>51</v>
      </c>
      <c r="G255" s="19" t="s">
        <v>251</v>
      </c>
      <c r="H255" s="19">
        <v>3</v>
      </c>
      <c r="I255" s="41">
        <v>195</v>
      </c>
      <c r="J255" s="53"/>
      <c r="K255" s="43"/>
      <c r="L255" s="19"/>
      <c r="M255" s="43"/>
      <c r="N255" s="44"/>
      <c r="O255" s="45">
        <f t="shared" ref="O255:O257" si="162">SUM(I255)</f>
        <v>195</v>
      </c>
      <c r="P255" s="51"/>
      <c r="Q255" s="51"/>
      <c r="R255" s="74">
        <f t="shared" si="157"/>
        <v>148.647702407002</v>
      </c>
      <c r="S255" s="74"/>
      <c r="T255" s="75">
        <f t="shared" si="158"/>
        <v>0.268043763676149</v>
      </c>
      <c r="U255" s="74"/>
      <c r="V255" s="74"/>
      <c r="W255" s="76">
        <f t="shared" si="152"/>
        <v>148.915746170678</v>
      </c>
      <c r="X255" s="77">
        <f t="shared" si="159"/>
        <v>2.83469146608315</v>
      </c>
      <c r="Y255" s="77"/>
      <c r="Z255" s="77"/>
      <c r="AA255" s="77">
        <f t="shared" si="153"/>
        <v>2.83469146608315</v>
      </c>
      <c r="AB255" s="86">
        <v>7.08</v>
      </c>
      <c r="AC255" s="74">
        <f t="shared" si="154"/>
        <v>20.0696155798687</v>
      </c>
      <c r="AD255" s="74">
        <f t="shared" si="155"/>
        <v>168.985361750547</v>
      </c>
      <c r="AE255" s="74">
        <f t="shared" si="156"/>
        <v>26.014638249453</v>
      </c>
    </row>
    <row r="256" customFormat="1" spans="1:31">
      <c r="A256" s="18"/>
      <c r="B256" s="19"/>
      <c r="C256" s="22">
        <v>240906000005</v>
      </c>
      <c r="D256" s="23">
        <v>45547</v>
      </c>
      <c r="E256" s="21" t="s">
        <v>62</v>
      </c>
      <c r="F256" s="24" t="s">
        <v>63</v>
      </c>
      <c r="G256" s="24" t="s">
        <v>88</v>
      </c>
      <c r="H256" s="24">
        <v>2.5</v>
      </c>
      <c r="I256" s="55">
        <v>197.5</v>
      </c>
      <c r="J256" s="53"/>
      <c r="K256" s="43"/>
      <c r="L256" s="19"/>
      <c r="M256" s="43"/>
      <c r="N256" s="44"/>
      <c r="O256" s="45">
        <f t="shared" si="162"/>
        <v>197.5</v>
      </c>
      <c r="P256" s="51"/>
      <c r="Q256" s="51"/>
      <c r="R256" s="74">
        <f t="shared" si="157"/>
        <v>123.873085339168</v>
      </c>
      <c r="S256" s="74"/>
      <c r="T256" s="75">
        <f t="shared" si="158"/>
        <v>0.223369803063457</v>
      </c>
      <c r="U256" s="74"/>
      <c r="V256" s="74"/>
      <c r="W256" s="76">
        <f t="shared" si="152"/>
        <v>124.096455142232</v>
      </c>
      <c r="X256" s="77">
        <f t="shared" si="159"/>
        <v>2.36224288840263</v>
      </c>
      <c r="Y256" s="77"/>
      <c r="Z256" s="77"/>
      <c r="AA256" s="77">
        <f t="shared" si="153"/>
        <v>2.36224288840263</v>
      </c>
      <c r="AB256" s="86">
        <v>7.08</v>
      </c>
      <c r="AC256" s="74">
        <f t="shared" si="154"/>
        <v>16.7246796498906</v>
      </c>
      <c r="AD256" s="74">
        <f t="shared" si="155"/>
        <v>140.821134792123</v>
      </c>
      <c r="AE256" s="74">
        <f t="shared" si="156"/>
        <v>56.6788652078774</v>
      </c>
    </row>
    <row r="257" customFormat="1" spans="1:31">
      <c r="A257" s="18"/>
      <c r="B257" s="19"/>
      <c r="C257" s="20">
        <v>240906000011</v>
      </c>
      <c r="D257" s="21">
        <v>45547</v>
      </c>
      <c r="E257" s="21" t="s">
        <v>62</v>
      </c>
      <c r="F257" s="19" t="s">
        <v>63</v>
      </c>
      <c r="G257" s="19" t="s">
        <v>252</v>
      </c>
      <c r="H257" s="19">
        <v>3</v>
      </c>
      <c r="I257" s="41">
        <v>221.1</v>
      </c>
      <c r="J257" s="53"/>
      <c r="K257" s="43"/>
      <c r="L257" s="19"/>
      <c r="M257" s="43"/>
      <c r="N257" s="44"/>
      <c r="O257" s="45">
        <f t="shared" si="162"/>
        <v>221.1</v>
      </c>
      <c r="P257" s="51"/>
      <c r="Q257" s="51"/>
      <c r="R257" s="74">
        <f t="shared" si="157"/>
        <v>148.647702407002</v>
      </c>
      <c r="S257" s="74"/>
      <c r="T257" s="75">
        <f t="shared" si="158"/>
        <v>0.268043763676149</v>
      </c>
      <c r="U257" s="74"/>
      <c r="V257" s="74"/>
      <c r="W257" s="76">
        <f t="shared" si="152"/>
        <v>148.915746170678</v>
      </c>
      <c r="X257" s="77">
        <f t="shared" si="159"/>
        <v>2.83469146608315</v>
      </c>
      <c r="Y257" s="77"/>
      <c r="Z257" s="77"/>
      <c r="AA257" s="77">
        <f t="shared" si="153"/>
        <v>2.83469146608315</v>
      </c>
      <c r="AB257" s="86">
        <v>7.08</v>
      </c>
      <c r="AC257" s="74">
        <f t="shared" si="154"/>
        <v>20.0696155798687</v>
      </c>
      <c r="AD257" s="74">
        <f t="shared" si="155"/>
        <v>168.985361750547</v>
      </c>
      <c r="AE257" s="74">
        <f t="shared" si="156"/>
        <v>52.114638249453</v>
      </c>
    </row>
    <row r="258" customFormat="1" spans="1:31">
      <c r="A258" s="18"/>
      <c r="B258" s="19"/>
      <c r="C258" s="20">
        <v>240906000014</v>
      </c>
      <c r="D258" s="21">
        <v>45547</v>
      </c>
      <c r="E258" s="21" t="s">
        <v>50</v>
      </c>
      <c r="F258" s="19" t="s">
        <v>51</v>
      </c>
      <c r="G258" s="19" t="s">
        <v>253</v>
      </c>
      <c r="H258" s="19">
        <v>9.5</v>
      </c>
      <c r="I258" s="47"/>
      <c r="J258" s="54">
        <v>157605</v>
      </c>
      <c r="K258" s="43"/>
      <c r="L258" s="49">
        <f>SUM(J258/M258)</f>
        <v>1678.07708688245</v>
      </c>
      <c r="M258" s="50">
        <v>93.92</v>
      </c>
      <c r="N258" s="44">
        <v>7.08</v>
      </c>
      <c r="O258" s="45">
        <f>SUM(M258*N258)</f>
        <v>664.9536</v>
      </c>
      <c r="P258" s="51"/>
      <c r="Q258" s="51"/>
      <c r="R258" s="74">
        <f t="shared" si="157"/>
        <v>470.71772428884</v>
      </c>
      <c r="S258" s="74"/>
      <c r="T258" s="75">
        <f t="shared" si="158"/>
        <v>0.848805251641138</v>
      </c>
      <c r="U258" s="74"/>
      <c r="V258" s="74"/>
      <c r="W258" s="76">
        <f t="shared" si="152"/>
        <v>471.566529540481</v>
      </c>
      <c r="X258" s="77">
        <f t="shared" si="159"/>
        <v>8.97652297592998</v>
      </c>
      <c r="Y258" s="77"/>
      <c r="Z258" s="77"/>
      <c r="AA258" s="77">
        <f t="shared" si="153"/>
        <v>8.97652297592998</v>
      </c>
      <c r="AB258" s="86">
        <v>7.08</v>
      </c>
      <c r="AC258" s="74">
        <f t="shared" si="154"/>
        <v>63.5537826695842</v>
      </c>
      <c r="AD258" s="74">
        <f t="shared" si="155"/>
        <v>535.120312210066</v>
      </c>
      <c r="AE258" s="74">
        <f t="shared" si="156"/>
        <v>129.833287789934</v>
      </c>
    </row>
    <row r="259" customFormat="1" spans="1:31">
      <c r="A259" s="18"/>
      <c r="B259" s="19"/>
      <c r="C259" s="20">
        <v>240906000016</v>
      </c>
      <c r="D259" s="21">
        <v>45547</v>
      </c>
      <c r="E259" s="21" t="s">
        <v>50</v>
      </c>
      <c r="F259" s="19" t="s">
        <v>51</v>
      </c>
      <c r="G259" s="19" t="s">
        <v>254</v>
      </c>
      <c r="H259" s="19">
        <v>90</v>
      </c>
      <c r="I259" s="41">
        <v>8580</v>
      </c>
      <c r="J259" s="53"/>
      <c r="K259" s="43"/>
      <c r="L259" s="19"/>
      <c r="M259" s="43"/>
      <c r="N259" s="44"/>
      <c r="O259" s="45">
        <f t="shared" ref="O259:O266" si="163">SUM(I259)</f>
        <v>8580</v>
      </c>
      <c r="P259" s="51"/>
      <c r="Q259" s="51"/>
      <c r="R259" s="74">
        <f t="shared" si="157"/>
        <v>4459.43107221007</v>
      </c>
      <c r="S259" s="74"/>
      <c r="T259" s="75">
        <f t="shared" si="158"/>
        <v>8.04131291028446</v>
      </c>
      <c r="U259" s="74"/>
      <c r="V259" s="74"/>
      <c r="W259" s="76">
        <f t="shared" si="152"/>
        <v>4467.47238512035</v>
      </c>
      <c r="X259" s="77">
        <f t="shared" si="159"/>
        <v>85.0407439824945</v>
      </c>
      <c r="Y259" s="77"/>
      <c r="Z259" s="77"/>
      <c r="AA259" s="77">
        <f t="shared" si="153"/>
        <v>85.0407439824945</v>
      </c>
      <c r="AB259" s="86">
        <v>7.08</v>
      </c>
      <c r="AC259" s="74">
        <f t="shared" si="154"/>
        <v>602.088467396061</v>
      </c>
      <c r="AD259" s="74">
        <f t="shared" si="155"/>
        <v>5069.56085251641</v>
      </c>
      <c r="AE259" s="74">
        <f t="shared" si="156"/>
        <v>3510.43914748359</v>
      </c>
    </row>
    <row r="260" customFormat="1" spans="1:31">
      <c r="A260" s="18"/>
      <c r="B260" s="19"/>
      <c r="C260" s="20">
        <v>240906000019</v>
      </c>
      <c r="D260" s="21">
        <v>45547</v>
      </c>
      <c r="E260" s="21" t="s">
        <v>50</v>
      </c>
      <c r="F260" s="19" t="s">
        <v>51</v>
      </c>
      <c r="G260" s="19" t="s">
        <v>203</v>
      </c>
      <c r="H260" s="19">
        <v>2</v>
      </c>
      <c r="I260" s="41">
        <v>129.3</v>
      </c>
      <c r="J260" s="53"/>
      <c r="K260" s="43"/>
      <c r="L260" s="19"/>
      <c r="M260" s="43"/>
      <c r="N260" s="44"/>
      <c r="O260" s="45">
        <f t="shared" si="163"/>
        <v>129.3</v>
      </c>
      <c r="P260" s="51"/>
      <c r="Q260" s="51"/>
      <c r="R260" s="74">
        <f t="shared" si="157"/>
        <v>99.0984682713348</v>
      </c>
      <c r="S260" s="74"/>
      <c r="T260" s="75">
        <f t="shared" si="158"/>
        <v>0.178695842450766</v>
      </c>
      <c r="U260" s="74"/>
      <c r="V260" s="74"/>
      <c r="W260" s="76">
        <f t="shared" si="152"/>
        <v>99.2771641137856</v>
      </c>
      <c r="X260" s="77">
        <f t="shared" si="159"/>
        <v>1.8897943107221</v>
      </c>
      <c r="Y260" s="77"/>
      <c r="Z260" s="77"/>
      <c r="AA260" s="77">
        <f t="shared" si="153"/>
        <v>1.8897943107221</v>
      </c>
      <c r="AB260" s="86">
        <v>7.08</v>
      </c>
      <c r="AC260" s="74">
        <f t="shared" si="154"/>
        <v>13.3797437199125</v>
      </c>
      <c r="AD260" s="74">
        <f t="shared" si="155"/>
        <v>112.656907833698</v>
      </c>
      <c r="AE260" s="74">
        <f t="shared" si="156"/>
        <v>16.643092166302</v>
      </c>
    </row>
    <row r="261" customFormat="1" spans="1:31">
      <c r="A261" s="18"/>
      <c r="B261" s="19"/>
      <c r="C261" s="20">
        <v>240906000020</v>
      </c>
      <c r="D261" s="21">
        <v>45547</v>
      </c>
      <c r="E261" s="21" t="s">
        <v>62</v>
      </c>
      <c r="F261" s="19" t="s">
        <v>255</v>
      </c>
      <c r="G261" s="19" t="s">
        <v>255</v>
      </c>
      <c r="H261" s="19">
        <v>1.5</v>
      </c>
      <c r="I261" s="45"/>
      <c r="J261" s="54">
        <v>31020</v>
      </c>
      <c r="K261" s="43"/>
      <c r="L261" s="49">
        <f>SUM(J261/M261)</f>
        <v>1710.9761880322</v>
      </c>
      <c r="M261" s="50">
        <v>18.130001</v>
      </c>
      <c r="N261" s="44">
        <v>7.08</v>
      </c>
      <c r="O261" s="45">
        <f>SUM(M261*N261)</f>
        <v>128.36040708</v>
      </c>
      <c r="P261" s="51"/>
      <c r="Q261" s="51"/>
      <c r="R261" s="74">
        <f t="shared" si="157"/>
        <v>74.3238512035011</v>
      </c>
      <c r="S261" s="74"/>
      <c r="T261" s="75">
        <f t="shared" si="158"/>
        <v>0.134021881838074</v>
      </c>
      <c r="U261" s="74"/>
      <c r="V261" s="74"/>
      <c r="W261" s="76">
        <f t="shared" si="152"/>
        <v>74.4578730853392</v>
      </c>
      <c r="X261" s="77">
        <f t="shared" si="159"/>
        <v>1.41734573304158</v>
      </c>
      <c r="Y261" s="77"/>
      <c r="Z261" s="77"/>
      <c r="AA261" s="77">
        <f t="shared" si="153"/>
        <v>1.41734573304158</v>
      </c>
      <c r="AB261" s="86">
        <v>7.08</v>
      </c>
      <c r="AC261" s="74">
        <f t="shared" si="154"/>
        <v>10.0348077899344</v>
      </c>
      <c r="AD261" s="74">
        <f t="shared" si="155"/>
        <v>84.4926808752735</v>
      </c>
      <c r="AE261" s="74">
        <f t="shared" si="156"/>
        <v>43.8677262047265</v>
      </c>
    </row>
    <row r="262" customFormat="1" spans="1:31">
      <c r="A262" s="18"/>
      <c r="B262" s="19"/>
      <c r="C262" s="20">
        <v>240906000024</v>
      </c>
      <c r="D262" s="21">
        <v>45547</v>
      </c>
      <c r="E262" s="21" t="s">
        <v>41</v>
      </c>
      <c r="F262" s="19" t="s">
        <v>41</v>
      </c>
      <c r="G262" s="19" t="s">
        <v>183</v>
      </c>
      <c r="H262" s="19">
        <v>265.5</v>
      </c>
      <c r="I262" s="41">
        <v>16787</v>
      </c>
      <c r="J262" s="53"/>
      <c r="K262" s="43"/>
      <c r="L262" s="19"/>
      <c r="M262" s="43"/>
      <c r="N262" s="44"/>
      <c r="O262" s="45">
        <f t="shared" si="163"/>
        <v>16787</v>
      </c>
      <c r="P262" s="51"/>
      <c r="Q262" s="51"/>
      <c r="R262" s="74">
        <f t="shared" si="157"/>
        <v>13155.3216630197</v>
      </c>
      <c r="S262" s="74"/>
      <c r="T262" s="75">
        <f t="shared" si="158"/>
        <v>23.7218730853392</v>
      </c>
      <c r="U262" s="74"/>
      <c r="V262" s="74"/>
      <c r="W262" s="76">
        <f t="shared" si="152"/>
        <v>13179.043536105</v>
      </c>
      <c r="X262" s="77">
        <f t="shared" si="159"/>
        <v>250.870194748359</v>
      </c>
      <c r="Y262" s="77"/>
      <c r="Z262" s="77"/>
      <c r="AA262" s="77">
        <f t="shared" si="153"/>
        <v>250.870194748359</v>
      </c>
      <c r="AB262" s="86">
        <v>7.08</v>
      </c>
      <c r="AC262" s="74">
        <f t="shared" si="154"/>
        <v>1776.16097881838</v>
      </c>
      <c r="AD262" s="74">
        <f t="shared" si="155"/>
        <v>14955.2045149234</v>
      </c>
      <c r="AE262" s="74">
        <f t="shared" si="156"/>
        <v>1831.79548507659</v>
      </c>
    </row>
    <row r="263" customFormat="1" spans="1:31">
      <c r="A263" s="18"/>
      <c r="B263" s="19"/>
      <c r="C263" s="20">
        <v>240906000028</v>
      </c>
      <c r="D263" s="21">
        <v>45547</v>
      </c>
      <c r="E263" s="21" t="s">
        <v>41</v>
      </c>
      <c r="F263" s="19" t="s">
        <v>41</v>
      </c>
      <c r="G263" s="19" t="s">
        <v>256</v>
      </c>
      <c r="H263" s="19">
        <v>21.5</v>
      </c>
      <c r="I263" s="41">
        <v>1309</v>
      </c>
      <c r="J263" s="53"/>
      <c r="K263" s="43"/>
      <c r="L263" s="19"/>
      <c r="M263" s="43"/>
      <c r="N263" s="44"/>
      <c r="O263" s="45">
        <f t="shared" si="163"/>
        <v>1309</v>
      </c>
      <c r="P263" s="51"/>
      <c r="Q263" s="51"/>
      <c r="R263" s="74">
        <f t="shared" si="157"/>
        <v>1065.30853391685</v>
      </c>
      <c r="S263" s="74"/>
      <c r="T263" s="75">
        <f t="shared" si="158"/>
        <v>1.92098030634573</v>
      </c>
      <c r="U263" s="74"/>
      <c r="V263" s="74"/>
      <c r="W263" s="76">
        <f t="shared" si="152"/>
        <v>1067.22951422319</v>
      </c>
      <c r="X263" s="77">
        <f t="shared" si="159"/>
        <v>20.3152888402626</v>
      </c>
      <c r="Y263" s="77"/>
      <c r="Z263" s="77"/>
      <c r="AA263" s="77">
        <f t="shared" si="153"/>
        <v>20.3152888402626</v>
      </c>
      <c r="AB263" s="86">
        <v>7.08</v>
      </c>
      <c r="AC263" s="74">
        <f t="shared" si="154"/>
        <v>143.832244989059</v>
      </c>
      <c r="AD263" s="74">
        <f t="shared" si="155"/>
        <v>1211.06175921225</v>
      </c>
      <c r="AE263" s="74">
        <f t="shared" si="156"/>
        <v>97.9382407877463</v>
      </c>
    </row>
    <row r="264" customFormat="1" spans="1:31">
      <c r="A264" s="18"/>
      <c r="B264" s="19"/>
      <c r="C264" s="20">
        <v>240906000031</v>
      </c>
      <c r="D264" s="21">
        <v>45547</v>
      </c>
      <c r="E264" s="21" t="s">
        <v>62</v>
      </c>
      <c r="F264" s="19" t="s">
        <v>63</v>
      </c>
      <c r="G264" s="19" t="s">
        <v>219</v>
      </c>
      <c r="H264" s="19">
        <v>61.5</v>
      </c>
      <c r="I264" s="41">
        <v>3730</v>
      </c>
      <c r="J264" s="53"/>
      <c r="K264" s="43"/>
      <c r="L264" s="19"/>
      <c r="M264" s="43"/>
      <c r="N264" s="44"/>
      <c r="O264" s="45">
        <f t="shared" si="163"/>
        <v>3730</v>
      </c>
      <c r="P264" s="51"/>
      <c r="Q264" s="51"/>
      <c r="R264" s="74">
        <f t="shared" si="157"/>
        <v>3047.27789934354</v>
      </c>
      <c r="S264" s="74"/>
      <c r="T264" s="75">
        <f t="shared" si="158"/>
        <v>5.49489715536105</v>
      </c>
      <c r="U264" s="74"/>
      <c r="V264" s="74"/>
      <c r="W264" s="76">
        <f t="shared" si="152"/>
        <v>3052.77279649891</v>
      </c>
      <c r="X264" s="77">
        <f t="shared" si="159"/>
        <v>58.1111750547046</v>
      </c>
      <c r="Y264" s="77"/>
      <c r="Z264" s="77"/>
      <c r="AA264" s="77">
        <f t="shared" si="153"/>
        <v>58.1111750547046</v>
      </c>
      <c r="AB264" s="86">
        <v>7.08</v>
      </c>
      <c r="AC264" s="74">
        <f t="shared" si="154"/>
        <v>411.427119387309</v>
      </c>
      <c r="AD264" s="74">
        <f t="shared" si="155"/>
        <v>3464.19991588621</v>
      </c>
      <c r="AE264" s="74">
        <f t="shared" si="156"/>
        <v>265.800084113785</v>
      </c>
    </row>
    <row r="265" customFormat="1" spans="1:31">
      <c r="A265" s="18"/>
      <c r="B265" s="19"/>
      <c r="C265" s="20">
        <v>240906000036</v>
      </c>
      <c r="D265" s="21">
        <v>45547</v>
      </c>
      <c r="E265" s="21" t="s">
        <v>62</v>
      </c>
      <c r="F265" s="19" t="s">
        <v>63</v>
      </c>
      <c r="G265" s="19" t="s">
        <v>257</v>
      </c>
      <c r="H265" s="19">
        <v>7.5</v>
      </c>
      <c r="I265" s="41">
        <v>476.85</v>
      </c>
      <c r="J265" s="53"/>
      <c r="K265" s="43"/>
      <c r="L265" s="19"/>
      <c r="M265" s="43"/>
      <c r="N265" s="44"/>
      <c r="O265" s="45">
        <f t="shared" si="163"/>
        <v>476.85</v>
      </c>
      <c r="P265" s="51"/>
      <c r="Q265" s="51"/>
      <c r="R265" s="74">
        <f t="shared" si="157"/>
        <v>371.619256017506</v>
      </c>
      <c r="S265" s="74"/>
      <c r="T265" s="75">
        <f t="shared" si="158"/>
        <v>0.670109409190372</v>
      </c>
      <c r="U265" s="74"/>
      <c r="V265" s="74"/>
      <c r="W265" s="76">
        <f t="shared" si="152"/>
        <v>372.289365426696</v>
      </c>
      <c r="X265" s="77">
        <f t="shared" si="159"/>
        <v>7.08672866520788</v>
      </c>
      <c r="Y265" s="77"/>
      <c r="Z265" s="77"/>
      <c r="AA265" s="77">
        <f t="shared" si="153"/>
        <v>7.08672866520788</v>
      </c>
      <c r="AB265" s="86">
        <v>7.08</v>
      </c>
      <c r="AC265" s="74">
        <f t="shared" si="154"/>
        <v>50.1740389496718</v>
      </c>
      <c r="AD265" s="74">
        <f t="shared" si="155"/>
        <v>422.463404376368</v>
      </c>
      <c r="AE265" s="74">
        <f t="shared" si="156"/>
        <v>54.3865956236324</v>
      </c>
    </row>
    <row r="266" customFormat="1" spans="1:31">
      <c r="A266" s="18"/>
      <c r="B266" s="19"/>
      <c r="C266" s="20">
        <v>240906000043</v>
      </c>
      <c r="D266" s="21">
        <v>45547</v>
      </c>
      <c r="E266" s="21" t="s">
        <v>62</v>
      </c>
      <c r="F266" s="19" t="s">
        <v>63</v>
      </c>
      <c r="G266" s="19" t="s">
        <v>258</v>
      </c>
      <c r="H266" s="19">
        <v>0.91</v>
      </c>
      <c r="I266" s="41">
        <v>69</v>
      </c>
      <c r="J266" s="53"/>
      <c r="K266" s="43"/>
      <c r="L266" s="19"/>
      <c r="M266" s="43"/>
      <c r="N266" s="44"/>
      <c r="O266" s="45">
        <f t="shared" si="163"/>
        <v>69</v>
      </c>
      <c r="P266" s="51"/>
      <c r="Q266" s="51"/>
      <c r="R266" s="74">
        <f t="shared" si="157"/>
        <v>45.0898030634573</v>
      </c>
      <c r="S266" s="74"/>
      <c r="T266" s="75">
        <f t="shared" si="158"/>
        <v>0.0813066083150985</v>
      </c>
      <c r="U266" s="74"/>
      <c r="V266" s="74"/>
      <c r="W266" s="76">
        <f t="shared" si="152"/>
        <v>45.1711096717724</v>
      </c>
      <c r="X266" s="77">
        <f t="shared" si="159"/>
        <v>0.859856411378556</v>
      </c>
      <c r="Y266" s="77"/>
      <c r="Z266" s="77"/>
      <c r="AA266" s="77">
        <f t="shared" si="153"/>
        <v>0.859856411378556</v>
      </c>
      <c r="AB266" s="86">
        <v>7.08</v>
      </c>
      <c r="AC266" s="74">
        <f t="shared" si="154"/>
        <v>6.08778339256018</v>
      </c>
      <c r="AD266" s="74">
        <f t="shared" si="155"/>
        <v>51.2588930643326</v>
      </c>
      <c r="AE266" s="74">
        <f t="shared" si="156"/>
        <v>17.7411069356674</v>
      </c>
    </row>
    <row r="267" customFormat="1" spans="1:31">
      <c r="A267" s="18"/>
      <c r="B267" s="19"/>
      <c r="C267" s="20">
        <v>240906000050</v>
      </c>
      <c r="D267" s="21">
        <v>45547</v>
      </c>
      <c r="E267" s="21" t="s">
        <v>41</v>
      </c>
      <c r="F267" s="19" t="s">
        <v>41</v>
      </c>
      <c r="G267" s="19" t="s">
        <v>259</v>
      </c>
      <c r="H267" s="19">
        <v>95.5</v>
      </c>
      <c r="I267" s="45"/>
      <c r="J267" s="54">
        <v>1309557</v>
      </c>
      <c r="K267" s="43"/>
      <c r="L267" s="49">
        <f t="shared" ref="L267:L273" si="164">SUM(J267/M267)</f>
        <v>1695</v>
      </c>
      <c r="M267" s="50">
        <v>772.6</v>
      </c>
      <c r="N267" s="44">
        <v>7.08</v>
      </c>
      <c r="O267" s="45">
        <f t="shared" ref="O267:O273" si="165">SUM(M267*N267)</f>
        <v>5470.008</v>
      </c>
      <c r="P267" s="51"/>
      <c r="Q267" s="51"/>
      <c r="R267" s="74">
        <f t="shared" si="157"/>
        <v>4731.95185995624</v>
      </c>
      <c r="S267" s="74"/>
      <c r="T267" s="75">
        <f t="shared" si="158"/>
        <v>8.53272647702407</v>
      </c>
      <c r="U267" s="74"/>
      <c r="V267" s="74"/>
      <c r="W267" s="76">
        <f t="shared" si="152"/>
        <v>4740.48458643326</v>
      </c>
      <c r="X267" s="77">
        <f t="shared" si="159"/>
        <v>90.2376783369803</v>
      </c>
      <c r="Y267" s="77"/>
      <c r="Z267" s="77"/>
      <c r="AA267" s="77">
        <f t="shared" si="153"/>
        <v>90.2376783369803</v>
      </c>
      <c r="AB267" s="86">
        <v>7.08</v>
      </c>
      <c r="AC267" s="74">
        <f t="shared" si="154"/>
        <v>638.882762625821</v>
      </c>
      <c r="AD267" s="74">
        <f t="shared" si="155"/>
        <v>5379.36734905908</v>
      </c>
      <c r="AE267" s="74">
        <f t="shared" si="156"/>
        <v>90.6406509409189</v>
      </c>
    </row>
    <row r="268" customFormat="1" spans="1:31">
      <c r="A268" s="18"/>
      <c r="B268" s="19"/>
      <c r="C268" s="20">
        <v>240907000005</v>
      </c>
      <c r="D268" s="21">
        <v>45547</v>
      </c>
      <c r="E268" s="21" t="s">
        <v>50</v>
      </c>
      <c r="F268" s="19" t="s">
        <v>51</v>
      </c>
      <c r="G268" s="19" t="s">
        <v>260</v>
      </c>
      <c r="H268" s="19">
        <v>7.5</v>
      </c>
      <c r="I268" s="41">
        <v>657</v>
      </c>
      <c r="J268" s="53"/>
      <c r="K268" s="43"/>
      <c r="L268" s="19"/>
      <c r="M268" s="43"/>
      <c r="N268" s="44"/>
      <c r="O268" s="45">
        <f t="shared" ref="O268:O270" si="166">SUM(I268)</f>
        <v>657</v>
      </c>
      <c r="P268" s="51"/>
      <c r="Q268" s="51"/>
      <c r="R268" s="74">
        <f t="shared" si="157"/>
        <v>371.619256017506</v>
      </c>
      <c r="S268" s="74"/>
      <c r="T268" s="75">
        <f t="shared" si="158"/>
        <v>0.670109409190372</v>
      </c>
      <c r="U268" s="74"/>
      <c r="V268" s="74"/>
      <c r="W268" s="76">
        <f t="shared" si="152"/>
        <v>372.289365426696</v>
      </c>
      <c r="X268" s="77">
        <f t="shared" si="159"/>
        <v>7.08672866520788</v>
      </c>
      <c r="Y268" s="77"/>
      <c r="Z268" s="77"/>
      <c r="AA268" s="77">
        <f t="shared" si="153"/>
        <v>7.08672866520788</v>
      </c>
      <c r="AB268" s="86">
        <v>7.08</v>
      </c>
      <c r="AC268" s="74">
        <f t="shared" si="154"/>
        <v>50.1740389496718</v>
      </c>
      <c r="AD268" s="74">
        <f t="shared" si="155"/>
        <v>422.463404376368</v>
      </c>
      <c r="AE268" s="74">
        <f t="shared" si="156"/>
        <v>234.536595623632</v>
      </c>
    </row>
    <row r="269" customFormat="1" spans="1:31">
      <c r="A269" s="18"/>
      <c r="B269" s="19"/>
      <c r="C269" s="20">
        <v>240907000006</v>
      </c>
      <c r="D269" s="21">
        <v>45547</v>
      </c>
      <c r="E269" s="21" t="s">
        <v>50</v>
      </c>
      <c r="F269" s="19" t="s">
        <v>51</v>
      </c>
      <c r="G269" s="19" t="s">
        <v>261</v>
      </c>
      <c r="H269" s="19">
        <v>20.5</v>
      </c>
      <c r="I269" s="41">
        <v>1332.5</v>
      </c>
      <c r="J269" s="53"/>
      <c r="K269" s="43"/>
      <c r="L269" s="19"/>
      <c r="M269" s="43"/>
      <c r="N269" s="44"/>
      <c r="O269" s="45">
        <f t="shared" si="166"/>
        <v>1332.5</v>
      </c>
      <c r="P269" s="51"/>
      <c r="Q269" s="51"/>
      <c r="R269" s="74">
        <f t="shared" si="157"/>
        <v>1015.75929978118</v>
      </c>
      <c r="S269" s="74"/>
      <c r="T269" s="75">
        <f t="shared" si="158"/>
        <v>1.83163238512035</v>
      </c>
      <c r="U269" s="74"/>
      <c r="V269" s="74"/>
      <c r="W269" s="76">
        <f t="shared" si="152"/>
        <v>1017.5909321663</v>
      </c>
      <c r="X269" s="77">
        <f t="shared" si="159"/>
        <v>19.3703916849015</v>
      </c>
      <c r="Y269" s="77"/>
      <c r="Z269" s="77"/>
      <c r="AA269" s="77">
        <f t="shared" si="153"/>
        <v>19.3703916849015</v>
      </c>
      <c r="AB269" s="86">
        <v>7.08</v>
      </c>
      <c r="AC269" s="74">
        <f t="shared" si="154"/>
        <v>137.142373129103</v>
      </c>
      <c r="AD269" s="74">
        <f t="shared" si="155"/>
        <v>1154.7333052954</v>
      </c>
      <c r="AE269" s="74">
        <f t="shared" si="156"/>
        <v>177.766694704595</v>
      </c>
    </row>
    <row r="270" customFormat="1" spans="1:31">
      <c r="A270" s="18"/>
      <c r="B270" s="19"/>
      <c r="C270" s="20">
        <v>240907000007</v>
      </c>
      <c r="D270" s="21">
        <v>45547</v>
      </c>
      <c r="E270" s="21" t="s">
        <v>50</v>
      </c>
      <c r="F270" s="19" t="s">
        <v>51</v>
      </c>
      <c r="G270" s="19" t="s">
        <v>262</v>
      </c>
      <c r="H270" s="19">
        <v>6.5</v>
      </c>
      <c r="I270" s="41">
        <v>455</v>
      </c>
      <c r="J270" s="53"/>
      <c r="K270" s="43"/>
      <c r="L270" s="19"/>
      <c r="M270" s="43"/>
      <c r="N270" s="44"/>
      <c r="O270" s="45">
        <f t="shared" si="166"/>
        <v>455</v>
      </c>
      <c r="P270" s="51"/>
      <c r="Q270" s="51"/>
      <c r="R270" s="74">
        <f t="shared" si="157"/>
        <v>322.070021881838</v>
      </c>
      <c r="S270" s="74"/>
      <c r="T270" s="75">
        <f t="shared" si="158"/>
        <v>0.580761487964989</v>
      </c>
      <c r="U270" s="74"/>
      <c r="V270" s="74"/>
      <c r="W270" s="76">
        <f t="shared" si="152"/>
        <v>322.650783369803</v>
      </c>
      <c r="X270" s="77">
        <f t="shared" si="159"/>
        <v>6.14183150984683</v>
      </c>
      <c r="Y270" s="77"/>
      <c r="Z270" s="77"/>
      <c r="AA270" s="77">
        <f t="shared" si="153"/>
        <v>6.14183150984683</v>
      </c>
      <c r="AB270" s="86">
        <v>7.08</v>
      </c>
      <c r="AC270" s="74">
        <f t="shared" si="154"/>
        <v>43.4841670897155</v>
      </c>
      <c r="AD270" s="74">
        <f t="shared" si="155"/>
        <v>366.134950459519</v>
      </c>
      <c r="AE270" s="74">
        <f t="shared" si="156"/>
        <v>88.8650495404814</v>
      </c>
    </row>
    <row r="271" customFormat="1" spans="1:31">
      <c r="A271" s="18"/>
      <c r="B271" s="19"/>
      <c r="C271" s="20">
        <v>240907000008</v>
      </c>
      <c r="D271" s="21">
        <v>45547</v>
      </c>
      <c r="E271" s="21" t="s">
        <v>50</v>
      </c>
      <c r="F271" s="19" t="s">
        <v>51</v>
      </c>
      <c r="G271" s="19" t="s">
        <v>263</v>
      </c>
      <c r="H271" s="19">
        <v>3.5</v>
      </c>
      <c r="I271" s="47"/>
      <c r="J271" s="54">
        <v>55282.5</v>
      </c>
      <c r="K271" s="43"/>
      <c r="L271" s="49">
        <f t="shared" si="164"/>
        <v>1720.58823529412</v>
      </c>
      <c r="M271" s="50">
        <v>32.13</v>
      </c>
      <c r="N271" s="44">
        <v>7.08</v>
      </c>
      <c r="O271" s="45">
        <f t="shared" si="165"/>
        <v>227.4804</v>
      </c>
      <c r="P271" s="51"/>
      <c r="Q271" s="51"/>
      <c r="R271" s="74">
        <f t="shared" si="157"/>
        <v>173.422319474836</v>
      </c>
      <c r="S271" s="74"/>
      <c r="T271" s="75">
        <f t="shared" si="158"/>
        <v>0.31271772428884</v>
      </c>
      <c r="U271" s="74"/>
      <c r="V271" s="74"/>
      <c r="W271" s="76">
        <f t="shared" si="152"/>
        <v>173.735037199125</v>
      </c>
      <c r="X271" s="77">
        <f t="shared" si="159"/>
        <v>3.30714004376368</v>
      </c>
      <c r="Y271" s="77"/>
      <c r="Z271" s="77"/>
      <c r="AA271" s="77">
        <f t="shared" si="153"/>
        <v>3.30714004376368</v>
      </c>
      <c r="AB271" s="86">
        <v>7.08</v>
      </c>
      <c r="AC271" s="74">
        <f t="shared" si="154"/>
        <v>23.4145515098468</v>
      </c>
      <c r="AD271" s="74">
        <f t="shared" si="155"/>
        <v>197.149588708972</v>
      </c>
      <c r="AE271" s="74">
        <f t="shared" si="156"/>
        <v>30.3308112910285</v>
      </c>
    </row>
    <row r="272" customFormat="1" spans="1:31">
      <c r="A272" s="18"/>
      <c r="B272" s="19"/>
      <c r="C272" s="20">
        <v>240907000010</v>
      </c>
      <c r="D272" s="21">
        <v>45547</v>
      </c>
      <c r="E272" s="21" t="s">
        <v>50</v>
      </c>
      <c r="F272" s="19" t="s">
        <v>51</v>
      </c>
      <c r="G272" s="19" t="s">
        <v>264</v>
      </c>
      <c r="H272" s="19">
        <v>20</v>
      </c>
      <c r="I272" s="47"/>
      <c r="J272" s="54">
        <v>437400</v>
      </c>
      <c r="K272" s="43"/>
      <c r="L272" s="49">
        <f t="shared" si="164"/>
        <v>1720.48932069386</v>
      </c>
      <c r="M272" s="50">
        <v>254.23</v>
      </c>
      <c r="N272" s="44">
        <v>7.08</v>
      </c>
      <c r="O272" s="45">
        <f t="shared" si="165"/>
        <v>1799.9484</v>
      </c>
      <c r="P272" s="51"/>
      <c r="Q272" s="51"/>
      <c r="R272" s="74">
        <f t="shared" si="157"/>
        <v>990.984682713348</v>
      </c>
      <c r="S272" s="74"/>
      <c r="T272" s="75">
        <f t="shared" si="158"/>
        <v>1.78695842450766</v>
      </c>
      <c r="U272" s="74"/>
      <c r="V272" s="74"/>
      <c r="W272" s="76">
        <f t="shared" si="152"/>
        <v>992.771641137856</v>
      </c>
      <c r="X272" s="77">
        <f t="shared" si="159"/>
        <v>18.897943107221</v>
      </c>
      <c r="Y272" s="77"/>
      <c r="Z272" s="77"/>
      <c r="AA272" s="77">
        <f t="shared" si="153"/>
        <v>18.897943107221</v>
      </c>
      <c r="AB272" s="86">
        <v>7.08</v>
      </c>
      <c r="AC272" s="74">
        <f t="shared" si="154"/>
        <v>133.797437199125</v>
      </c>
      <c r="AD272" s="74">
        <f t="shared" si="155"/>
        <v>1126.56907833698</v>
      </c>
      <c r="AE272" s="74">
        <f t="shared" si="156"/>
        <v>673.379321663019</v>
      </c>
    </row>
    <row r="273" customFormat="1" spans="1:31">
      <c r="A273" s="18"/>
      <c r="B273" s="19"/>
      <c r="C273" s="20">
        <v>240907000015</v>
      </c>
      <c r="D273" s="21">
        <v>45547</v>
      </c>
      <c r="E273" s="21" t="s">
        <v>43</v>
      </c>
      <c r="F273" s="19" t="s">
        <v>44</v>
      </c>
      <c r="G273" s="19" t="s">
        <v>197</v>
      </c>
      <c r="H273" s="19">
        <v>10</v>
      </c>
      <c r="I273" s="45"/>
      <c r="J273" s="54">
        <v>148974</v>
      </c>
      <c r="K273" s="43"/>
      <c r="L273" s="49">
        <f t="shared" si="164"/>
        <v>1695.00512003641</v>
      </c>
      <c r="M273" s="50">
        <v>87.89</v>
      </c>
      <c r="N273" s="44">
        <v>7.08</v>
      </c>
      <c r="O273" s="45">
        <f t="shared" si="165"/>
        <v>622.2612</v>
      </c>
      <c r="P273" s="51"/>
      <c r="Q273" s="51"/>
      <c r="R273" s="74">
        <f t="shared" si="157"/>
        <v>495.492341356674</v>
      </c>
      <c r="S273" s="74"/>
      <c r="T273" s="75">
        <f t="shared" si="158"/>
        <v>0.893479212253829</v>
      </c>
      <c r="U273" s="74"/>
      <c r="V273" s="74"/>
      <c r="W273" s="76">
        <f t="shared" si="152"/>
        <v>496.385820568928</v>
      </c>
      <c r="X273" s="77">
        <f t="shared" si="159"/>
        <v>9.4489715536105</v>
      </c>
      <c r="Y273" s="77"/>
      <c r="Z273" s="77"/>
      <c r="AA273" s="77">
        <f t="shared" si="153"/>
        <v>9.4489715536105</v>
      </c>
      <c r="AB273" s="86">
        <v>7.08</v>
      </c>
      <c r="AC273" s="74">
        <f t="shared" si="154"/>
        <v>66.8987185995624</v>
      </c>
      <c r="AD273" s="74">
        <f t="shared" si="155"/>
        <v>563.28453916849</v>
      </c>
      <c r="AE273" s="74">
        <f t="shared" si="156"/>
        <v>58.9766608315098</v>
      </c>
    </row>
    <row r="274" customFormat="1" spans="1:31">
      <c r="A274" s="18"/>
      <c r="B274" s="19"/>
      <c r="C274" s="20">
        <v>240907000016</v>
      </c>
      <c r="D274" s="21">
        <v>45547</v>
      </c>
      <c r="E274" s="21" t="s">
        <v>50</v>
      </c>
      <c r="F274" s="19" t="s">
        <v>51</v>
      </c>
      <c r="G274" s="19" t="s">
        <v>265</v>
      </c>
      <c r="H274" s="19">
        <v>5.5</v>
      </c>
      <c r="I274" s="41">
        <v>363</v>
      </c>
      <c r="J274" s="53"/>
      <c r="K274" s="43"/>
      <c r="L274" s="19"/>
      <c r="M274" s="43"/>
      <c r="N274" s="44"/>
      <c r="O274" s="45">
        <f t="shared" ref="O274:O276" si="167">SUM(I274)</f>
        <v>363</v>
      </c>
      <c r="P274" s="51"/>
      <c r="Q274" s="51"/>
      <c r="R274" s="74">
        <f t="shared" si="157"/>
        <v>272.520787746171</v>
      </c>
      <c r="S274" s="74"/>
      <c r="T274" s="75">
        <f t="shared" si="158"/>
        <v>0.491413566739606</v>
      </c>
      <c r="U274" s="74">
        <v>30</v>
      </c>
      <c r="V274" s="74"/>
      <c r="W274" s="76">
        <f t="shared" si="152"/>
        <v>303.01220131291</v>
      </c>
      <c r="X274" s="77">
        <f t="shared" si="159"/>
        <v>5.19693435448578</v>
      </c>
      <c r="Y274" s="77"/>
      <c r="Z274" s="77"/>
      <c r="AA274" s="77">
        <f t="shared" si="153"/>
        <v>5.19693435448578</v>
      </c>
      <c r="AB274" s="86">
        <v>7.08</v>
      </c>
      <c r="AC274" s="74">
        <f t="shared" si="154"/>
        <v>36.7942952297593</v>
      </c>
      <c r="AD274" s="74">
        <f t="shared" si="155"/>
        <v>339.80649654267</v>
      </c>
      <c r="AE274" s="74">
        <f t="shared" si="156"/>
        <v>23.1935034573304</v>
      </c>
    </row>
    <row r="275" customFormat="1" spans="1:31">
      <c r="A275" s="18"/>
      <c r="B275" s="19"/>
      <c r="C275" s="20">
        <v>240907000027</v>
      </c>
      <c r="D275" s="21">
        <v>45547</v>
      </c>
      <c r="E275" s="21" t="s">
        <v>62</v>
      </c>
      <c r="F275" s="19" t="s">
        <v>63</v>
      </c>
      <c r="G275" s="19" t="s">
        <v>266</v>
      </c>
      <c r="H275" s="19">
        <v>661</v>
      </c>
      <c r="I275" s="41">
        <v>60712.5</v>
      </c>
      <c r="J275" s="53"/>
      <c r="K275" s="43"/>
      <c r="L275" s="19"/>
      <c r="M275" s="43"/>
      <c r="N275" s="44"/>
      <c r="O275" s="45">
        <f t="shared" si="167"/>
        <v>60712.5</v>
      </c>
      <c r="P275" s="51"/>
      <c r="Q275" s="51"/>
      <c r="R275" s="74">
        <f t="shared" si="157"/>
        <v>32752.0437636761</v>
      </c>
      <c r="S275" s="74"/>
      <c r="T275" s="75">
        <f t="shared" si="158"/>
        <v>59.0589759299781</v>
      </c>
      <c r="U275" s="74"/>
      <c r="V275" s="74"/>
      <c r="W275" s="76">
        <f t="shared" si="152"/>
        <v>32811.1027396061</v>
      </c>
      <c r="X275" s="77">
        <f t="shared" si="159"/>
        <v>624.577019693654</v>
      </c>
      <c r="Y275" s="77">
        <v>70.62</v>
      </c>
      <c r="Z275" s="77"/>
      <c r="AA275" s="77">
        <f t="shared" si="153"/>
        <v>695.197019693654</v>
      </c>
      <c r="AB275" s="86">
        <v>7.08</v>
      </c>
      <c r="AC275" s="74">
        <f t="shared" si="154"/>
        <v>4921.99489943107</v>
      </c>
      <c r="AD275" s="74">
        <f t="shared" ref="AD275:AD306" si="168">SUM(W275+AC275)</f>
        <v>37733.0976390372</v>
      </c>
      <c r="AE275" s="74">
        <f t="shared" si="156"/>
        <v>22979.4023609628</v>
      </c>
    </row>
    <row r="276" customFormat="1" spans="1:31">
      <c r="A276" s="18"/>
      <c r="B276" s="19"/>
      <c r="C276" s="20">
        <v>240907000028</v>
      </c>
      <c r="D276" s="21">
        <v>45547</v>
      </c>
      <c r="E276" s="21" t="s">
        <v>62</v>
      </c>
      <c r="F276" s="19" t="s">
        <v>63</v>
      </c>
      <c r="G276" s="19" t="s">
        <v>257</v>
      </c>
      <c r="H276" s="19">
        <v>1.5</v>
      </c>
      <c r="I276" s="41">
        <v>102.3</v>
      </c>
      <c r="J276" s="53"/>
      <c r="K276" s="43"/>
      <c r="L276" s="19"/>
      <c r="M276" s="43"/>
      <c r="N276" s="44"/>
      <c r="O276" s="45">
        <f t="shared" si="167"/>
        <v>102.3</v>
      </c>
      <c r="P276" s="51"/>
      <c r="Q276" s="51"/>
      <c r="R276" s="74">
        <f t="shared" si="157"/>
        <v>74.3238512035011</v>
      </c>
      <c r="S276" s="74"/>
      <c r="T276" s="75">
        <f t="shared" si="158"/>
        <v>0.134021881838074</v>
      </c>
      <c r="U276" s="74"/>
      <c r="V276" s="74"/>
      <c r="W276" s="76">
        <f t="shared" ref="W276:W307" si="169">SUM(R276:V276)</f>
        <v>74.4578730853392</v>
      </c>
      <c r="X276" s="77">
        <f t="shared" si="159"/>
        <v>1.41734573304158</v>
      </c>
      <c r="Y276" s="77"/>
      <c r="Z276" s="77"/>
      <c r="AA276" s="77">
        <f t="shared" si="153"/>
        <v>1.41734573304158</v>
      </c>
      <c r="AB276" s="86">
        <v>7.08</v>
      </c>
      <c r="AC276" s="74">
        <f t="shared" si="154"/>
        <v>10.0348077899344</v>
      </c>
      <c r="AD276" s="74">
        <f t="shared" si="168"/>
        <v>84.4926808752735</v>
      </c>
      <c r="AE276" s="74">
        <f t="shared" si="156"/>
        <v>17.8073191247265</v>
      </c>
    </row>
    <row r="277" customFormat="1" spans="1:31">
      <c r="A277" s="18"/>
      <c r="B277" s="19"/>
      <c r="C277" s="20">
        <v>240908000004</v>
      </c>
      <c r="D277" s="21">
        <v>45547</v>
      </c>
      <c r="E277" s="21" t="s">
        <v>50</v>
      </c>
      <c r="F277" s="19" t="s">
        <v>51</v>
      </c>
      <c r="G277" s="19" t="s">
        <v>264</v>
      </c>
      <c r="H277" s="19">
        <v>259.5</v>
      </c>
      <c r="I277" s="47"/>
      <c r="J277" s="54">
        <v>4331961</v>
      </c>
      <c r="K277" s="43"/>
      <c r="L277" s="49">
        <f>SUM(J277/M277)</f>
        <v>1720.44536583622</v>
      </c>
      <c r="M277" s="50">
        <v>2517.93</v>
      </c>
      <c r="N277" s="44">
        <v>7.08</v>
      </c>
      <c r="O277" s="45">
        <f>SUM(M277*N277)</f>
        <v>17826.9444</v>
      </c>
      <c r="P277" s="51"/>
      <c r="Q277" s="51"/>
      <c r="R277" s="74">
        <f t="shared" si="157"/>
        <v>12858.0262582057</v>
      </c>
      <c r="S277" s="74"/>
      <c r="T277" s="75">
        <f t="shared" si="158"/>
        <v>23.1857855579869</v>
      </c>
      <c r="U277" s="75">
        <f>SUM(620+40+40)</f>
        <v>700</v>
      </c>
      <c r="V277" s="74"/>
      <c r="W277" s="76">
        <f t="shared" si="169"/>
        <v>13581.2120437637</v>
      </c>
      <c r="X277" s="77">
        <f t="shared" si="159"/>
        <v>245.200811816193</v>
      </c>
      <c r="Y277" s="77"/>
      <c r="Z277" s="77"/>
      <c r="AA277" s="77">
        <f t="shared" si="153"/>
        <v>245.200811816193</v>
      </c>
      <c r="AB277" s="86">
        <v>7.08</v>
      </c>
      <c r="AC277" s="74">
        <f t="shared" ref="AC277:AC308" si="170">SUM(AA277*AB277)</f>
        <v>1736.02174765864</v>
      </c>
      <c r="AD277" s="74">
        <f t="shared" si="168"/>
        <v>15317.2337914223</v>
      </c>
      <c r="AE277" s="74">
        <f t="shared" ref="AE277:AE308" si="171">SUM(O277-AD277)</f>
        <v>2509.71060857768</v>
      </c>
    </row>
    <row r="278" customFormat="1" spans="1:31">
      <c r="A278" s="18"/>
      <c r="B278" s="19"/>
      <c r="C278" s="20">
        <v>240909000022</v>
      </c>
      <c r="D278" s="21">
        <v>45547</v>
      </c>
      <c r="E278" s="21" t="s">
        <v>41</v>
      </c>
      <c r="F278" s="19" t="s">
        <v>41</v>
      </c>
      <c r="G278" s="19" t="s">
        <v>187</v>
      </c>
      <c r="H278" s="19">
        <v>546</v>
      </c>
      <c r="I278" s="41">
        <v>29484</v>
      </c>
      <c r="J278" s="53"/>
      <c r="K278" s="43"/>
      <c r="L278" s="19"/>
      <c r="M278" s="43"/>
      <c r="N278" s="44"/>
      <c r="O278" s="45">
        <f t="shared" ref="O278:O282" si="172">SUM(I278)</f>
        <v>29484</v>
      </c>
      <c r="P278" s="52"/>
      <c r="Q278" s="52"/>
      <c r="R278" s="74">
        <f t="shared" si="157"/>
        <v>27053.8818380744</v>
      </c>
      <c r="S278" s="74"/>
      <c r="T278" s="75">
        <f t="shared" si="158"/>
        <v>48.7839649890591</v>
      </c>
      <c r="U278" s="74"/>
      <c r="V278" s="74"/>
      <c r="W278" s="76">
        <f t="shared" si="169"/>
        <v>27102.6658030635</v>
      </c>
      <c r="X278" s="77">
        <f t="shared" si="159"/>
        <v>515.913846827134</v>
      </c>
      <c r="Y278" s="77"/>
      <c r="Z278" s="77"/>
      <c r="AA278" s="77">
        <f t="shared" ref="AA278:AA309" si="173">SUM(X278:Z278)</f>
        <v>515.913846827134</v>
      </c>
      <c r="AB278" s="86">
        <v>7.08</v>
      </c>
      <c r="AC278" s="74">
        <f t="shared" si="170"/>
        <v>3652.67003553611</v>
      </c>
      <c r="AD278" s="74">
        <f t="shared" si="168"/>
        <v>30755.3358385996</v>
      </c>
      <c r="AE278" s="74">
        <f t="shared" si="171"/>
        <v>-1271.33583859956</v>
      </c>
    </row>
    <row r="279" customFormat="1" spans="1:31">
      <c r="A279" s="18" t="s">
        <v>267</v>
      </c>
      <c r="B279" s="19" t="s">
        <v>268</v>
      </c>
      <c r="C279" s="20">
        <v>240904000012</v>
      </c>
      <c r="D279" s="21">
        <v>45548</v>
      </c>
      <c r="E279" s="21" t="s">
        <v>50</v>
      </c>
      <c r="F279" s="19" t="s">
        <v>51</v>
      </c>
      <c r="G279" s="19" t="s">
        <v>204</v>
      </c>
      <c r="H279" s="19">
        <v>3.5</v>
      </c>
      <c r="I279" s="45"/>
      <c r="J279" s="54">
        <v>50087</v>
      </c>
      <c r="K279" s="43"/>
      <c r="L279" s="49">
        <f t="shared" ref="L279:L284" si="174">SUM(J279/M279)</f>
        <v>1694.99153976311</v>
      </c>
      <c r="M279" s="50">
        <v>29.55</v>
      </c>
      <c r="N279" s="44">
        <v>7.08</v>
      </c>
      <c r="O279" s="45">
        <f t="shared" ref="O279:O284" si="175">SUM(M279*N279)</f>
        <v>209.214</v>
      </c>
      <c r="P279" s="46">
        <f>SUM(O279:O343)</f>
        <v>124646.2352</v>
      </c>
      <c r="Q279" s="46" t="s">
        <v>85</v>
      </c>
      <c r="R279" s="74">
        <f>SUM(89354/2132)*H279</f>
        <v>146.68808630394</v>
      </c>
      <c r="S279" s="74"/>
      <c r="T279" s="75">
        <f>SUM(186.45/2132)*H279</f>
        <v>0.306085834896811</v>
      </c>
      <c r="U279" s="74"/>
      <c r="V279" s="74"/>
      <c r="W279" s="76">
        <f t="shared" si="169"/>
        <v>146.994172138837</v>
      </c>
      <c r="X279" s="77">
        <f>SUM(1502.48/2132)*H279</f>
        <v>2.4665478424015</v>
      </c>
      <c r="Y279" s="77"/>
      <c r="Z279" s="77"/>
      <c r="AA279" s="77">
        <f t="shared" si="173"/>
        <v>2.4665478424015</v>
      </c>
      <c r="AB279" s="86">
        <v>7.08</v>
      </c>
      <c r="AC279" s="74">
        <f t="shared" si="170"/>
        <v>17.4631587242026</v>
      </c>
      <c r="AD279" s="74">
        <f t="shared" si="168"/>
        <v>164.457330863039</v>
      </c>
      <c r="AE279" s="74">
        <f t="shared" si="171"/>
        <v>44.7566691369606</v>
      </c>
    </row>
    <row r="280" customFormat="1" spans="1:31">
      <c r="A280" s="18"/>
      <c r="B280" s="19"/>
      <c r="C280" s="20">
        <v>240905000001</v>
      </c>
      <c r="D280" s="21">
        <v>45548</v>
      </c>
      <c r="E280" s="21" t="s">
        <v>50</v>
      </c>
      <c r="F280" s="19" t="s">
        <v>51</v>
      </c>
      <c r="G280" s="19" t="s">
        <v>65</v>
      </c>
      <c r="H280" s="19">
        <v>1.5</v>
      </c>
      <c r="I280" s="41">
        <v>102</v>
      </c>
      <c r="J280" s="53"/>
      <c r="K280" s="43"/>
      <c r="L280" s="19"/>
      <c r="M280" s="43"/>
      <c r="N280" s="44"/>
      <c r="O280" s="45">
        <f t="shared" si="172"/>
        <v>102</v>
      </c>
      <c r="P280" s="51"/>
      <c r="Q280" s="51"/>
      <c r="R280" s="74">
        <f t="shared" ref="R280:R311" si="176">SUM(89354/2132)*H280</f>
        <v>62.8663227016886</v>
      </c>
      <c r="S280" s="74"/>
      <c r="T280" s="75">
        <f t="shared" ref="T280:T311" si="177">SUM(186.45/2132)*H280</f>
        <v>0.131179643527205</v>
      </c>
      <c r="U280" s="74"/>
      <c r="V280" s="74"/>
      <c r="W280" s="76">
        <f t="shared" si="169"/>
        <v>62.9975023452158</v>
      </c>
      <c r="X280" s="77">
        <f t="shared" ref="X280:X311" si="178">SUM(1502.48/2132)*H280</f>
        <v>1.05709193245779</v>
      </c>
      <c r="Y280" s="77"/>
      <c r="Z280" s="77"/>
      <c r="AA280" s="77">
        <f t="shared" si="173"/>
        <v>1.05709193245779</v>
      </c>
      <c r="AB280" s="86">
        <v>7.08</v>
      </c>
      <c r="AC280" s="74">
        <f t="shared" si="170"/>
        <v>7.48421088180113</v>
      </c>
      <c r="AD280" s="74">
        <f t="shared" si="168"/>
        <v>70.4817132270169</v>
      </c>
      <c r="AE280" s="74">
        <f t="shared" si="171"/>
        <v>31.5182867729831</v>
      </c>
    </row>
    <row r="281" customFormat="1" spans="1:31">
      <c r="A281" s="18"/>
      <c r="B281" s="19"/>
      <c r="C281" s="20">
        <v>240905000009</v>
      </c>
      <c r="D281" s="21">
        <v>45548</v>
      </c>
      <c r="E281" s="21" t="s">
        <v>50</v>
      </c>
      <c r="F281" s="19" t="s">
        <v>51</v>
      </c>
      <c r="G281" s="19" t="s">
        <v>217</v>
      </c>
      <c r="H281" s="19">
        <v>5</v>
      </c>
      <c r="I281" s="41">
        <v>333</v>
      </c>
      <c r="J281" s="53"/>
      <c r="K281" s="43"/>
      <c r="L281" s="19"/>
      <c r="M281" s="43"/>
      <c r="N281" s="44"/>
      <c r="O281" s="45">
        <f t="shared" si="172"/>
        <v>333</v>
      </c>
      <c r="P281" s="51"/>
      <c r="Q281" s="51"/>
      <c r="R281" s="74">
        <f t="shared" si="176"/>
        <v>209.554409005629</v>
      </c>
      <c r="S281" s="74"/>
      <c r="T281" s="75">
        <f t="shared" si="177"/>
        <v>0.437265478424015</v>
      </c>
      <c r="U281" s="74"/>
      <c r="V281" s="74"/>
      <c r="W281" s="76">
        <f t="shared" si="169"/>
        <v>209.991674484053</v>
      </c>
      <c r="X281" s="77">
        <f t="shared" si="178"/>
        <v>3.52363977485929</v>
      </c>
      <c r="Y281" s="77"/>
      <c r="Z281" s="77"/>
      <c r="AA281" s="77">
        <f t="shared" si="173"/>
        <v>3.52363977485929</v>
      </c>
      <c r="AB281" s="86">
        <v>7.08</v>
      </c>
      <c r="AC281" s="74">
        <f t="shared" si="170"/>
        <v>24.9473696060038</v>
      </c>
      <c r="AD281" s="74">
        <f t="shared" si="168"/>
        <v>234.939044090056</v>
      </c>
      <c r="AE281" s="74">
        <f t="shared" si="171"/>
        <v>98.0609559099437</v>
      </c>
    </row>
    <row r="282" customFormat="1" spans="1:31">
      <c r="A282" s="18"/>
      <c r="B282" s="19"/>
      <c r="C282" s="20">
        <v>240905000032</v>
      </c>
      <c r="D282" s="21">
        <v>45548</v>
      </c>
      <c r="E282" s="21" t="s">
        <v>62</v>
      </c>
      <c r="F282" s="19" t="s">
        <v>63</v>
      </c>
      <c r="G282" s="19" t="s">
        <v>127</v>
      </c>
      <c r="H282" s="19">
        <v>2</v>
      </c>
      <c r="I282" s="41">
        <v>110</v>
      </c>
      <c r="J282" s="53"/>
      <c r="K282" s="43"/>
      <c r="L282" s="19"/>
      <c r="M282" s="43"/>
      <c r="N282" s="44"/>
      <c r="O282" s="45">
        <f t="shared" si="172"/>
        <v>110</v>
      </c>
      <c r="P282" s="51"/>
      <c r="Q282" s="51"/>
      <c r="R282" s="74">
        <f t="shared" si="176"/>
        <v>83.8217636022514</v>
      </c>
      <c r="S282" s="74"/>
      <c r="T282" s="75">
        <f t="shared" si="177"/>
        <v>0.174906191369606</v>
      </c>
      <c r="U282" s="74"/>
      <c r="V282" s="74"/>
      <c r="W282" s="76">
        <f t="shared" si="169"/>
        <v>83.996669793621</v>
      </c>
      <c r="X282" s="77">
        <f t="shared" si="178"/>
        <v>1.40945590994371</v>
      </c>
      <c r="Y282" s="77"/>
      <c r="Z282" s="77"/>
      <c r="AA282" s="77">
        <f t="shared" si="173"/>
        <v>1.40945590994371</v>
      </c>
      <c r="AB282" s="86">
        <v>7.08</v>
      </c>
      <c r="AC282" s="74">
        <f t="shared" si="170"/>
        <v>9.9789478424015</v>
      </c>
      <c r="AD282" s="74">
        <f t="shared" si="168"/>
        <v>93.9756176360225</v>
      </c>
      <c r="AE282" s="74">
        <f t="shared" si="171"/>
        <v>16.0243823639775</v>
      </c>
    </row>
    <row r="283" customFormat="1" spans="1:31">
      <c r="A283" s="18"/>
      <c r="B283" s="19"/>
      <c r="C283" s="20">
        <v>240905000042</v>
      </c>
      <c r="D283" s="21">
        <v>45548</v>
      </c>
      <c r="E283" s="21" t="s">
        <v>43</v>
      </c>
      <c r="F283" s="19" t="s">
        <v>44</v>
      </c>
      <c r="G283" s="19" t="s">
        <v>269</v>
      </c>
      <c r="H283" s="19">
        <v>37</v>
      </c>
      <c r="I283" s="47"/>
      <c r="J283" s="54">
        <v>528900</v>
      </c>
      <c r="K283" s="43"/>
      <c r="L283" s="49">
        <f t="shared" si="174"/>
        <v>1720.11187719526</v>
      </c>
      <c r="M283" s="50">
        <v>307.48</v>
      </c>
      <c r="N283" s="44">
        <v>7.08</v>
      </c>
      <c r="O283" s="45">
        <f t="shared" si="175"/>
        <v>2176.9584</v>
      </c>
      <c r="P283" s="51"/>
      <c r="Q283" s="51"/>
      <c r="R283" s="74">
        <f t="shared" si="176"/>
        <v>1550.70262664165</v>
      </c>
      <c r="S283" s="74"/>
      <c r="T283" s="75">
        <f t="shared" si="177"/>
        <v>3.23576454033771</v>
      </c>
      <c r="U283" s="75">
        <v>140</v>
      </c>
      <c r="V283" s="74"/>
      <c r="W283" s="76">
        <f t="shared" si="169"/>
        <v>1693.93839118199</v>
      </c>
      <c r="X283" s="77">
        <f t="shared" si="178"/>
        <v>26.0749343339587</v>
      </c>
      <c r="Y283" s="77"/>
      <c r="Z283" s="77"/>
      <c r="AA283" s="77">
        <f t="shared" si="173"/>
        <v>26.0749343339587</v>
      </c>
      <c r="AB283" s="86">
        <v>7.08</v>
      </c>
      <c r="AC283" s="74">
        <f t="shared" si="170"/>
        <v>184.610535084428</v>
      </c>
      <c r="AD283" s="74">
        <f t="shared" si="168"/>
        <v>1878.54892626642</v>
      </c>
      <c r="AE283" s="74">
        <f t="shared" si="171"/>
        <v>298.409473733584</v>
      </c>
    </row>
    <row r="284" customFormat="1" spans="1:31">
      <c r="A284" s="18"/>
      <c r="B284" s="19"/>
      <c r="C284" s="20">
        <v>240906000013</v>
      </c>
      <c r="D284" s="21">
        <v>45548</v>
      </c>
      <c r="E284" s="21" t="s">
        <v>46</v>
      </c>
      <c r="F284" s="19" t="s">
        <v>47</v>
      </c>
      <c r="G284" s="19" t="s">
        <v>84</v>
      </c>
      <c r="H284" s="19">
        <v>47</v>
      </c>
      <c r="I284" s="45"/>
      <c r="J284" s="54">
        <v>594193.6</v>
      </c>
      <c r="K284" s="43"/>
      <c r="L284" s="49">
        <f t="shared" si="174"/>
        <v>1760</v>
      </c>
      <c r="M284" s="50">
        <v>337.61</v>
      </c>
      <c r="N284" s="44">
        <v>7.08</v>
      </c>
      <c r="O284" s="45">
        <f t="shared" si="175"/>
        <v>2390.2788</v>
      </c>
      <c r="P284" s="51"/>
      <c r="Q284" s="51"/>
      <c r="R284" s="74">
        <f t="shared" si="176"/>
        <v>1969.81144465291</v>
      </c>
      <c r="S284" s="74"/>
      <c r="T284" s="75">
        <f t="shared" si="177"/>
        <v>4.11029549718574</v>
      </c>
      <c r="U284" s="74"/>
      <c r="V284" s="74"/>
      <c r="W284" s="76">
        <f t="shared" si="169"/>
        <v>1973.92174015009</v>
      </c>
      <c r="X284" s="77">
        <f t="shared" si="178"/>
        <v>33.1222138836773</v>
      </c>
      <c r="Y284" s="77"/>
      <c r="Z284" s="77"/>
      <c r="AA284" s="77">
        <f t="shared" si="173"/>
        <v>33.1222138836773</v>
      </c>
      <c r="AB284" s="86">
        <v>7.08</v>
      </c>
      <c r="AC284" s="74">
        <f t="shared" si="170"/>
        <v>234.505274296435</v>
      </c>
      <c r="AD284" s="74">
        <f t="shared" si="168"/>
        <v>2208.42701444653</v>
      </c>
      <c r="AE284" s="74">
        <f t="shared" si="171"/>
        <v>181.851785553471</v>
      </c>
    </row>
    <row r="285" customFormat="1" spans="1:31">
      <c r="A285" s="18"/>
      <c r="B285" s="19"/>
      <c r="C285" s="20">
        <v>240906000017</v>
      </c>
      <c r="D285" s="21">
        <v>45548</v>
      </c>
      <c r="E285" s="21" t="s">
        <v>50</v>
      </c>
      <c r="F285" s="19" t="s">
        <v>51</v>
      </c>
      <c r="G285" s="19" t="s">
        <v>270</v>
      </c>
      <c r="H285" s="19">
        <v>5</v>
      </c>
      <c r="I285" s="41">
        <v>255</v>
      </c>
      <c r="J285" s="53"/>
      <c r="K285" s="43"/>
      <c r="L285" s="19"/>
      <c r="M285" s="43"/>
      <c r="N285" s="44"/>
      <c r="O285" s="45">
        <f t="shared" ref="O285:O291" si="179">SUM(I285)</f>
        <v>255</v>
      </c>
      <c r="P285" s="51"/>
      <c r="Q285" s="51"/>
      <c r="R285" s="74">
        <f t="shared" si="176"/>
        <v>209.554409005629</v>
      </c>
      <c r="S285" s="74"/>
      <c r="T285" s="75">
        <f t="shared" si="177"/>
        <v>0.437265478424015</v>
      </c>
      <c r="U285" s="74"/>
      <c r="V285" s="74"/>
      <c r="W285" s="76">
        <f t="shared" si="169"/>
        <v>209.991674484053</v>
      </c>
      <c r="X285" s="77">
        <f t="shared" si="178"/>
        <v>3.52363977485929</v>
      </c>
      <c r="Y285" s="77"/>
      <c r="Z285" s="77"/>
      <c r="AA285" s="77">
        <f t="shared" si="173"/>
        <v>3.52363977485929</v>
      </c>
      <c r="AB285" s="86">
        <v>7.08</v>
      </c>
      <c r="AC285" s="74">
        <f t="shared" si="170"/>
        <v>24.9473696060038</v>
      </c>
      <c r="AD285" s="74">
        <f t="shared" si="168"/>
        <v>234.939044090056</v>
      </c>
      <c r="AE285" s="74">
        <f t="shared" si="171"/>
        <v>20.0609559099437</v>
      </c>
    </row>
    <row r="286" customFormat="1" spans="1:31">
      <c r="A286" s="18"/>
      <c r="B286" s="19"/>
      <c r="C286" s="20">
        <v>240906000021</v>
      </c>
      <c r="D286" s="21">
        <v>45548</v>
      </c>
      <c r="E286" s="21" t="s">
        <v>50</v>
      </c>
      <c r="F286" s="19" t="s">
        <v>51</v>
      </c>
      <c r="G286" s="19" t="s">
        <v>115</v>
      </c>
      <c r="H286" s="19">
        <v>107</v>
      </c>
      <c r="I286" s="47"/>
      <c r="J286" s="54">
        <v>1456056</v>
      </c>
      <c r="K286" s="43"/>
      <c r="L286" s="49">
        <f>SUM(J286/M286)</f>
        <v>1720.45561962378</v>
      </c>
      <c r="M286" s="50">
        <v>846.32</v>
      </c>
      <c r="N286" s="44">
        <v>7.08</v>
      </c>
      <c r="O286" s="45">
        <f t="shared" ref="O286:O289" si="180">SUM(M286*N286)</f>
        <v>5991.9456</v>
      </c>
      <c r="P286" s="51"/>
      <c r="Q286" s="51"/>
      <c r="R286" s="74">
        <f t="shared" si="176"/>
        <v>4484.46435272045</v>
      </c>
      <c r="S286" s="74"/>
      <c r="T286" s="75">
        <f t="shared" si="177"/>
        <v>9.35748123827392</v>
      </c>
      <c r="U286" s="74"/>
      <c r="V286" s="74"/>
      <c r="W286" s="76">
        <f t="shared" si="169"/>
        <v>4493.82183395872</v>
      </c>
      <c r="X286" s="77">
        <f t="shared" si="178"/>
        <v>75.4058911819887</v>
      </c>
      <c r="Y286" s="77"/>
      <c r="Z286" s="77"/>
      <c r="AA286" s="77">
        <f t="shared" si="173"/>
        <v>75.4058911819887</v>
      </c>
      <c r="AB286" s="86">
        <v>7.08</v>
      </c>
      <c r="AC286" s="74">
        <f t="shared" si="170"/>
        <v>533.87370956848</v>
      </c>
      <c r="AD286" s="74">
        <f t="shared" si="168"/>
        <v>5027.6955435272</v>
      </c>
      <c r="AE286" s="74">
        <f t="shared" si="171"/>
        <v>964.2500564728</v>
      </c>
    </row>
    <row r="287" customFormat="1" spans="1:31">
      <c r="A287" s="18"/>
      <c r="B287" s="19"/>
      <c r="C287" s="20">
        <v>240906000022</v>
      </c>
      <c r="D287" s="21">
        <v>45548</v>
      </c>
      <c r="E287" s="21" t="s">
        <v>50</v>
      </c>
      <c r="F287" s="19" t="s">
        <v>51</v>
      </c>
      <c r="G287" s="19" t="s">
        <v>271</v>
      </c>
      <c r="H287" s="19">
        <v>25.5</v>
      </c>
      <c r="I287" s="41">
        <v>1300.5</v>
      </c>
      <c r="J287" s="53"/>
      <c r="K287" s="43"/>
      <c r="L287" s="19"/>
      <c r="M287" s="43"/>
      <c r="N287" s="44"/>
      <c r="O287" s="45">
        <f t="shared" si="179"/>
        <v>1300.5</v>
      </c>
      <c r="P287" s="51"/>
      <c r="Q287" s="51"/>
      <c r="R287" s="74">
        <f t="shared" si="176"/>
        <v>1068.72748592871</v>
      </c>
      <c r="S287" s="74"/>
      <c r="T287" s="75">
        <f t="shared" si="177"/>
        <v>2.23005393996248</v>
      </c>
      <c r="U287" s="74"/>
      <c r="V287" s="74"/>
      <c r="W287" s="76">
        <f t="shared" si="169"/>
        <v>1070.95753986867</v>
      </c>
      <c r="X287" s="77">
        <f t="shared" si="178"/>
        <v>17.9705628517824</v>
      </c>
      <c r="Y287" s="77"/>
      <c r="Z287" s="77"/>
      <c r="AA287" s="77">
        <f t="shared" si="173"/>
        <v>17.9705628517824</v>
      </c>
      <c r="AB287" s="86">
        <v>7.08</v>
      </c>
      <c r="AC287" s="74">
        <f t="shared" si="170"/>
        <v>127.231584990619</v>
      </c>
      <c r="AD287" s="74">
        <f t="shared" si="168"/>
        <v>1198.18912485929</v>
      </c>
      <c r="AE287" s="74">
        <f t="shared" si="171"/>
        <v>102.310875140713</v>
      </c>
    </row>
    <row r="288" customFormat="1" spans="1:31">
      <c r="A288" s="18"/>
      <c r="B288" s="19"/>
      <c r="C288" s="20">
        <v>240906000027</v>
      </c>
      <c r="D288" s="21">
        <v>45548</v>
      </c>
      <c r="E288" s="21" t="s">
        <v>46</v>
      </c>
      <c r="F288" s="19" t="s">
        <v>47</v>
      </c>
      <c r="G288" s="19" t="s">
        <v>272</v>
      </c>
      <c r="H288" s="19">
        <v>8.5</v>
      </c>
      <c r="I288" s="45"/>
      <c r="J288" s="54">
        <v>116433.55</v>
      </c>
      <c r="K288" s="43"/>
      <c r="L288" s="49">
        <f>SUM(J288/M288)</f>
        <v>1711</v>
      </c>
      <c r="M288" s="50">
        <v>68.05</v>
      </c>
      <c r="N288" s="44">
        <v>7.08</v>
      </c>
      <c r="O288" s="45">
        <f t="shared" si="180"/>
        <v>481.794</v>
      </c>
      <c r="P288" s="51"/>
      <c r="Q288" s="51"/>
      <c r="R288" s="74">
        <f t="shared" si="176"/>
        <v>356.242495309568</v>
      </c>
      <c r="S288" s="74"/>
      <c r="T288" s="75">
        <f t="shared" si="177"/>
        <v>0.743351313320825</v>
      </c>
      <c r="U288" s="74"/>
      <c r="V288" s="74"/>
      <c r="W288" s="76">
        <f t="shared" si="169"/>
        <v>356.985846622889</v>
      </c>
      <c r="X288" s="77">
        <f t="shared" si="178"/>
        <v>5.99018761726079</v>
      </c>
      <c r="Y288" s="77"/>
      <c r="Z288" s="77"/>
      <c r="AA288" s="77">
        <f t="shared" si="173"/>
        <v>5.99018761726079</v>
      </c>
      <c r="AB288" s="86">
        <v>7.08</v>
      </c>
      <c r="AC288" s="74">
        <f t="shared" si="170"/>
        <v>42.4105283302064</v>
      </c>
      <c r="AD288" s="74">
        <f t="shared" si="168"/>
        <v>399.396374953096</v>
      </c>
      <c r="AE288" s="74">
        <f t="shared" si="171"/>
        <v>82.397625046904</v>
      </c>
    </row>
    <row r="289" customFormat="1" spans="1:31">
      <c r="A289" s="18"/>
      <c r="B289" s="19"/>
      <c r="C289" s="20">
        <v>240906000032</v>
      </c>
      <c r="D289" s="21">
        <v>45548</v>
      </c>
      <c r="E289" s="21" t="s">
        <v>62</v>
      </c>
      <c r="F289" s="19" t="s">
        <v>63</v>
      </c>
      <c r="G289" s="19" t="s">
        <v>273</v>
      </c>
      <c r="H289" s="19">
        <v>25</v>
      </c>
      <c r="I289" s="47"/>
      <c r="J289" s="54">
        <v>312375</v>
      </c>
      <c r="K289" s="43"/>
      <c r="L289" s="49">
        <f>SUM(J289/M289)</f>
        <v>1734.64571301644</v>
      </c>
      <c r="M289" s="50">
        <v>180.08</v>
      </c>
      <c r="N289" s="44">
        <v>7.08</v>
      </c>
      <c r="O289" s="45">
        <f t="shared" si="180"/>
        <v>1274.9664</v>
      </c>
      <c r="P289" s="51"/>
      <c r="Q289" s="51"/>
      <c r="R289" s="74">
        <f t="shared" si="176"/>
        <v>1047.77204502814</v>
      </c>
      <c r="S289" s="74"/>
      <c r="T289" s="75">
        <f t="shared" si="177"/>
        <v>2.18632739212007</v>
      </c>
      <c r="U289" s="74"/>
      <c r="V289" s="74"/>
      <c r="W289" s="76">
        <f t="shared" si="169"/>
        <v>1049.95837242026</v>
      </c>
      <c r="X289" s="77">
        <f t="shared" si="178"/>
        <v>17.6181988742964</v>
      </c>
      <c r="Y289" s="77"/>
      <c r="Z289" s="77"/>
      <c r="AA289" s="77">
        <f t="shared" si="173"/>
        <v>17.6181988742964</v>
      </c>
      <c r="AB289" s="86">
        <v>7.08</v>
      </c>
      <c r="AC289" s="74">
        <f t="shared" si="170"/>
        <v>124.736848030019</v>
      </c>
      <c r="AD289" s="74">
        <f t="shared" si="168"/>
        <v>1174.69522045028</v>
      </c>
      <c r="AE289" s="74">
        <f t="shared" si="171"/>
        <v>100.27117954972</v>
      </c>
    </row>
    <row r="290" customFormat="1" spans="1:31">
      <c r="A290" s="18"/>
      <c r="B290" s="19"/>
      <c r="C290" s="20">
        <v>240906000033</v>
      </c>
      <c r="D290" s="21">
        <v>45548</v>
      </c>
      <c r="E290" s="21" t="s">
        <v>62</v>
      </c>
      <c r="F290" s="19" t="s">
        <v>63</v>
      </c>
      <c r="G290" s="19" t="s">
        <v>274</v>
      </c>
      <c r="H290" s="19">
        <v>50</v>
      </c>
      <c r="I290" s="55">
        <v>2600</v>
      </c>
      <c r="J290" s="53"/>
      <c r="K290" s="43"/>
      <c r="L290" s="19"/>
      <c r="M290" s="43"/>
      <c r="N290" s="44"/>
      <c r="O290" s="45">
        <f t="shared" si="179"/>
        <v>2600</v>
      </c>
      <c r="P290" s="51"/>
      <c r="Q290" s="51"/>
      <c r="R290" s="74">
        <f t="shared" si="176"/>
        <v>2095.54409005629</v>
      </c>
      <c r="S290" s="74"/>
      <c r="T290" s="75">
        <f t="shared" si="177"/>
        <v>4.37265478424015</v>
      </c>
      <c r="U290" s="74"/>
      <c r="V290" s="74"/>
      <c r="W290" s="76">
        <f t="shared" si="169"/>
        <v>2099.91674484053</v>
      </c>
      <c r="X290" s="77">
        <f t="shared" si="178"/>
        <v>35.2363977485929</v>
      </c>
      <c r="Y290" s="77"/>
      <c r="Z290" s="77"/>
      <c r="AA290" s="77">
        <f t="shared" si="173"/>
        <v>35.2363977485929</v>
      </c>
      <c r="AB290" s="86">
        <v>7.08</v>
      </c>
      <c r="AC290" s="74">
        <f t="shared" si="170"/>
        <v>249.473696060038</v>
      </c>
      <c r="AD290" s="74">
        <f t="shared" si="168"/>
        <v>2349.39044090056</v>
      </c>
      <c r="AE290" s="74">
        <f t="shared" si="171"/>
        <v>250.609559099437</v>
      </c>
    </row>
    <row r="291" customFormat="1" spans="1:31">
      <c r="A291" s="18"/>
      <c r="B291" s="19"/>
      <c r="C291" s="20">
        <v>240906000034</v>
      </c>
      <c r="D291" s="21">
        <v>45548</v>
      </c>
      <c r="E291" s="21" t="s">
        <v>62</v>
      </c>
      <c r="F291" s="19" t="s">
        <v>63</v>
      </c>
      <c r="G291" s="19" t="s">
        <v>88</v>
      </c>
      <c r="H291" s="19">
        <v>0.68</v>
      </c>
      <c r="I291" s="41">
        <v>51</v>
      </c>
      <c r="J291" s="53"/>
      <c r="K291" s="43"/>
      <c r="L291" s="19"/>
      <c r="M291" s="43"/>
      <c r="N291" s="44"/>
      <c r="O291" s="45">
        <f t="shared" si="179"/>
        <v>51</v>
      </c>
      <c r="P291" s="51"/>
      <c r="Q291" s="51"/>
      <c r="R291" s="74">
        <f t="shared" si="176"/>
        <v>28.4993996247655</v>
      </c>
      <c r="S291" s="74"/>
      <c r="T291" s="75">
        <f t="shared" si="177"/>
        <v>0.059468105065666</v>
      </c>
      <c r="U291" s="74"/>
      <c r="V291" s="74"/>
      <c r="W291" s="76">
        <f t="shared" si="169"/>
        <v>28.5588677298311</v>
      </c>
      <c r="X291" s="77">
        <f t="shared" si="178"/>
        <v>0.479215009380863</v>
      </c>
      <c r="Y291" s="77"/>
      <c r="Z291" s="77"/>
      <c r="AA291" s="77">
        <f t="shared" si="173"/>
        <v>0.479215009380863</v>
      </c>
      <c r="AB291" s="86">
        <v>7.08</v>
      </c>
      <c r="AC291" s="74">
        <f t="shared" si="170"/>
        <v>3.39284226641651</v>
      </c>
      <c r="AD291" s="74">
        <f t="shared" si="168"/>
        <v>31.9517099962477</v>
      </c>
      <c r="AE291" s="74">
        <f t="shared" si="171"/>
        <v>19.0482900037523</v>
      </c>
    </row>
    <row r="292" customFormat="1" spans="1:31">
      <c r="A292" s="18"/>
      <c r="B292" s="19"/>
      <c r="C292" s="20">
        <v>240906000037</v>
      </c>
      <c r="D292" s="21">
        <v>45548</v>
      </c>
      <c r="E292" s="21" t="s">
        <v>62</v>
      </c>
      <c r="F292" s="19" t="s">
        <v>63</v>
      </c>
      <c r="G292" s="19" t="s">
        <v>275</v>
      </c>
      <c r="H292" s="19">
        <v>20.5</v>
      </c>
      <c r="I292" s="45"/>
      <c r="J292" s="54">
        <v>310034</v>
      </c>
      <c r="K292" s="43"/>
      <c r="L292" s="49">
        <f>SUM(J292/M292)</f>
        <v>1711.00441501104</v>
      </c>
      <c r="M292" s="50">
        <v>181.2</v>
      </c>
      <c r="N292" s="44">
        <v>7.08</v>
      </c>
      <c r="O292" s="45">
        <f>SUM(M292*N292)</f>
        <v>1282.896</v>
      </c>
      <c r="P292" s="51"/>
      <c r="Q292" s="51"/>
      <c r="R292" s="74">
        <f t="shared" si="176"/>
        <v>859.173076923077</v>
      </c>
      <c r="S292" s="74"/>
      <c r="T292" s="75">
        <f t="shared" si="177"/>
        <v>1.79278846153846</v>
      </c>
      <c r="U292" s="74"/>
      <c r="V292" s="74"/>
      <c r="W292" s="76">
        <f t="shared" si="169"/>
        <v>860.965865384615</v>
      </c>
      <c r="X292" s="77">
        <f t="shared" si="178"/>
        <v>14.4469230769231</v>
      </c>
      <c r="Y292" s="77"/>
      <c r="Z292" s="77"/>
      <c r="AA292" s="77">
        <f t="shared" si="173"/>
        <v>14.4469230769231</v>
      </c>
      <c r="AB292" s="86">
        <v>7.08</v>
      </c>
      <c r="AC292" s="74">
        <f t="shared" si="170"/>
        <v>102.284215384615</v>
      </c>
      <c r="AD292" s="74">
        <f t="shared" si="168"/>
        <v>963.250080769231</v>
      </c>
      <c r="AE292" s="74">
        <f t="shared" si="171"/>
        <v>319.645919230769</v>
      </c>
    </row>
    <row r="293" customFormat="1" spans="1:31">
      <c r="A293" s="18"/>
      <c r="B293" s="19"/>
      <c r="C293" s="20">
        <v>240906000042</v>
      </c>
      <c r="D293" s="21">
        <v>45548</v>
      </c>
      <c r="E293" s="21" t="s">
        <v>62</v>
      </c>
      <c r="F293" s="19" t="s">
        <v>63</v>
      </c>
      <c r="G293" s="19" t="s">
        <v>258</v>
      </c>
      <c r="H293" s="19">
        <v>2</v>
      </c>
      <c r="I293" s="41">
        <v>123</v>
      </c>
      <c r="J293" s="53"/>
      <c r="K293" s="43"/>
      <c r="L293" s="19"/>
      <c r="M293" s="43"/>
      <c r="N293" s="44"/>
      <c r="O293" s="45">
        <f t="shared" ref="O293:O297" si="181">SUM(I293)</f>
        <v>123</v>
      </c>
      <c r="P293" s="51"/>
      <c r="Q293" s="51"/>
      <c r="R293" s="74">
        <f t="shared" si="176"/>
        <v>83.8217636022514</v>
      </c>
      <c r="S293" s="74"/>
      <c r="T293" s="75">
        <f t="shared" si="177"/>
        <v>0.174906191369606</v>
      </c>
      <c r="U293" s="74"/>
      <c r="V293" s="74"/>
      <c r="W293" s="76">
        <f t="shared" si="169"/>
        <v>83.996669793621</v>
      </c>
      <c r="X293" s="77">
        <f t="shared" si="178"/>
        <v>1.40945590994371</v>
      </c>
      <c r="Y293" s="77"/>
      <c r="Z293" s="77"/>
      <c r="AA293" s="77">
        <f t="shared" si="173"/>
        <v>1.40945590994371</v>
      </c>
      <c r="AB293" s="86">
        <v>7.08</v>
      </c>
      <c r="AC293" s="74">
        <f t="shared" si="170"/>
        <v>9.9789478424015</v>
      </c>
      <c r="AD293" s="74">
        <f t="shared" si="168"/>
        <v>93.9756176360225</v>
      </c>
      <c r="AE293" s="74">
        <f t="shared" si="171"/>
        <v>29.0243823639775</v>
      </c>
    </row>
    <row r="294" customFormat="1" spans="1:31">
      <c r="A294" s="18"/>
      <c r="B294" s="19"/>
      <c r="C294" s="20">
        <v>240906000044</v>
      </c>
      <c r="D294" s="21">
        <v>45548</v>
      </c>
      <c r="E294" s="21" t="s">
        <v>46</v>
      </c>
      <c r="F294" s="19" t="s">
        <v>47</v>
      </c>
      <c r="G294" s="19" t="s">
        <v>276</v>
      </c>
      <c r="H294" s="19">
        <v>9.5</v>
      </c>
      <c r="I294" s="41">
        <v>570</v>
      </c>
      <c r="J294" s="53"/>
      <c r="K294" s="43"/>
      <c r="L294" s="19"/>
      <c r="M294" s="43"/>
      <c r="N294" s="44"/>
      <c r="O294" s="45">
        <f t="shared" si="181"/>
        <v>570</v>
      </c>
      <c r="P294" s="51"/>
      <c r="Q294" s="51"/>
      <c r="R294" s="74">
        <f t="shared" si="176"/>
        <v>398.153377110694</v>
      </c>
      <c r="S294" s="74"/>
      <c r="T294" s="75">
        <f t="shared" si="177"/>
        <v>0.830804409005628</v>
      </c>
      <c r="U294" s="74"/>
      <c r="V294" s="74"/>
      <c r="W294" s="76">
        <f t="shared" si="169"/>
        <v>398.9841815197</v>
      </c>
      <c r="X294" s="77">
        <f t="shared" si="178"/>
        <v>6.69491557223265</v>
      </c>
      <c r="Y294" s="77"/>
      <c r="Z294" s="77"/>
      <c r="AA294" s="77">
        <f t="shared" si="173"/>
        <v>6.69491557223265</v>
      </c>
      <c r="AB294" s="86">
        <v>7.08</v>
      </c>
      <c r="AC294" s="74">
        <f t="shared" si="170"/>
        <v>47.4000022514071</v>
      </c>
      <c r="AD294" s="74">
        <f t="shared" si="168"/>
        <v>446.384183771107</v>
      </c>
      <c r="AE294" s="74">
        <f t="shared" si="171"/>
        <v>123.615816228893</v>
      </c>
    </row>
    <row r="295" customFormat="1" spans="1:31">
      <c r="A295" s="18"/>
      <c r="B295" s="19"/>
      <c r="C295" s="20">
        <v>240906000045</v>
      </c>
      <c r="D295" s="21">
        <v>45548</v>
      </c>
      <c r="E295" s="21" t="s">
        <v>62</v>
      </c>
      <c r="F295" s="19" t="s">
        <v>63</v>
      </c>
      <c r="G295" s="19" t="s">
        <v>277</v>
      </c>
      <c r="H295" s="19">
        <v>20</v>
      </c>
      <c r="I295" s="41">
        <v>1260.6</v>
      </c>
      <c r="J295" s="53"/>
      <c r="K295" s="43"/>
      <c r="L295" s="19"/>
      <c r="M295" s="43"/>
      <c r="N295" s="44"/>
      <c r="O295" s="45">
        <f t="shared" si="181"/>
        <v>1260.6</v>
      </c>
      <c r="P295" s="51"/>
      <c r="Q295" s="51"/>
      <c r="R295" s="74">
        <f t="shared" si="176"/>
        <v>838.217636022514</v>
      </c>
      <c r="S295" s="74"/>
      <c r="T295" s="75">
        <f t="shared" si="177"/>
        <v>1.74906191369606</v>
      </c>
      <c r="U295" s="74"/>
      <c r="V295" s="74"/>
      <c r="W295" s="76">
        <f t="shared" si="169"/>
        <v>839.96669793621</v>
      </c>
      <c r="X295" s="77">
        <f t="shared" si="178"/>
        <v>14.0945590994371</v>
      </c>
      <c r="Y295" s="77"/>
      <c r="Z295" s="77"/>
      <c r="AA295" s="77">
        <f t="shared" si="173"/>
        <v>14.0945590994371</v>
      </c>
      <c r="AB295" s="86">
        <v>7.08</v>
      </c>
      <c r="AC295" s="74">
        <f t="shared" si="170"/>
        <v>99.789478424015</v>
      </c>
      <c r="AD295" s="74">
        <f t="shared" si="168"/>
        <v>939.756176360225</v>
      </c>
      <c r="AE295" s="74">
        <f t="shared" si="171"/>
        <v>320.843823639775</v>
      </c>
    </row>
    <row r="296" customFormat="1" spans="1:31">
      <c r="A296" s="18"/>
      <c r="B296" s="19"/>
      <c r="C296" s="20">
        <v>240906000046</v>
      </c>
      <c r="D296" s="21">
        <v>45548</v>
      </c>
      <c r="E296" s="21" t="s">
        <v>62</v>
      </c>
      <c r="F296" s="19" t="s">
        <v>63</v>
      </c>
      <c r="G296" s="19" t="s">
        <v>278</v>
      </c>
      <c r="H296" s="19">
        <v>9.5</v>
      </c>
      <c r="I296" s="41">
        <v>547.5</v>
      </c>
      <c r="J296" s="53"/>
      <c r="K296" s="43"/>
      <c r="L296" s="19"/>
      <c r="M296" s="43"/>
      <c r="N296" s="44"/>
      <c r="O296" s="45">
        <f t="shared" si="181"/>
        <v>547.5</v>
      </c>
      <c r="P296" s="51"/>
      <c r="Q296" s="51"/>
      <c r="R296" s="74">
        <f t="shared" si="176"/>
        <v>398.153377110694</v>
      </c>
      <c r="S296" s="74"/>
      <c r="T296" s="75">
        <f t="shared" si="177"/>
        <v>0.830804409005628</v>
      </c>
      <c r="U296" s="74"/>
      <c r="V296" s="74"/>
      <c r="W296" s="76">
        <f t="shared" si="169"/>
        <v>398.9841815197</v>
      </c>
      <c r="X296" s="77">
        <f t="shared" si="178"/>
        <v>6.69491557223265</v>
      </c>
      <c r="Y296" s="77"/>
      <c r="Z296" s="77"/>
      <c r="AA296" s="77">
        <f t="shared" si="173"/>
        <v>6.69491557223265</v>
      </c>
      <c r="AB296" s="86">
        <v>7.08</v>
      </c>
      <c r="AC296" s="74">
        <f t="shared" si="170"/>
        <v>47.4000022514071</v>
      </c>
      <c r="AD296" s="74">
        <f t="shared" si="168"/>
        <v>446.384183771107</v>
      </c>
      <c r="AE296" s="74">
        <f t="shared" si="171"/>
        <v>101.115816228893</v>
      </c>
    </row>
    <row r="297" customFormat="1" spans="1:31">
      <c r="A297" s="18"/>
      <c r="B297" s="19"/>
      <c r="C297" s="20">
        <v>240906000047</v>
      </c>
      <c r="D297" s="21">
        <v>45548</v>
      </c>
      <c r="E297" s="21" t="s">
        <v>41</v>
      </c>
      <c r="F297" s="19" t="s">
        <v>41</v>
      </c>
      <c r="G297" s="19" t="s">
        <v>79</v>
      </c>
      <c r="H297" s="19">
        <v>4</v>
      </c>
      <c r="I297" s="41">
        <v>243</v>
      </c>
      <c r="J297" s="53"/>
      <c r="K297" s="43"/>
      <c r="L297" s="19"/>
      <c r="M297" s="43"/>
      <c r="N297" s="44"/>
      <c r="O297" s="45">
        <f t="shared" si="181"/>
        <v>243</v>
      </c>
      <c r="P297" s="51"/>
      <c r="Q297" s="51"/>
      <c r="R297" s="74">
        <f t="shared" si="176"/>
        <v>167.643527204503</v>
      </c>
      <c r="S297" s="74"/>
      <c r="T297" s="75">
        <f t="shared" si="177"/>
        <v>0.349812382739212</v>
      </c>
      <c r="U297" s="74"/>
      <c r="V297" s="74"/>
      <c r="W297" s="76">
        <f t="shared" si="169"/>
        <v>167.993339587242</v>
      </c>
      <c r="X297" s="77">
        <f t="shared" si="178"/>
        <v>2.81891181988743</v>
      </c>
      <c r="Y297" s="77"/>
      <c r="Z297" s="77"/>
      <c r="AA297" s="77">
        <f t="shared" si="173"/>
        <v>2.81891181988743</v>
      </c>
      <c r="AB297" s="86">
        <v>7.08</v>
      </c>
      <c r="AC297" s="74">
        <f t="shared" si="170"/>
        <v>19.957895684803</v>
      </c>
      <c r="AD297" s="74">
        <f t="shared" si="168"/>
        <v>187.951235272045</v>
      </c>
      <c r="AE297" s="74">
        <f t="shared" si="171"/>
        <v>55.048764727955</v>
      </c>
    </row>
    <row r="298" customFormat="1" spans="1:31">
      <c r="A298" s="18"/>
      <c r="B298" s="19"/>
      <c r="C298" s="20">
        <v>240906000048</v>
      </c>
      <c r="D298" s="21">
        <v>45548</v>
      </c>
      <c r="E298" s="21" t="s">
        <v>43</v>
      </c>
      <c r="F298" s="19" t="s">
        <v>44</v>
      </c>
      <c r="G298" s="19" t="s">
        <v>279</v>
      </c>
      <c r="H298" s="19">
        <v>6.5</v>
      </c>
      <c r="I298" s="45"/>
      <c r="J298" s="54">
        <v>99470</v>
      </c>
      <c r="K298" s="43"/>
      <c r="L298" s="49">
        <f t="shared" ref="L298:L302" si="182">SUM(J298/M298)</f>
        <v>1738.98601398601</v>
      </c>
      <c r="M298" s="50">
        <v>57.2</v>
      </c>
      <c r="N298" s="44">
        <v>7.08</v>
      </c>
      <c r="O298" s="45">
        <f t="shared" ref="O298:O302" si="183">SUM(M298*N298)</f>
        <v>404.976</v>
      </c>
      <c r="P298" s="51"/>
      <c r="Q298" s="51"/>
      <c r="R298" s="74">
        <f t="shared" si="176"/>
        <v>272.420731707317</v>
      </c>
      <c r="S298" s="74"/>
      <c r="T298" s="75">
        <f t="shared" si="177"/>
        <v>0.56844512195122</v>
      </c>
      <c r="U298" s="74"/>
      <c r="V298" s="74"/>
      <c r="W298" s="76">
        <f t="shared" si="169"/>
        <v>272.989176829268</v>
      </c>
      <c r="X298" s="77">
        <f t="shared" si="178"/>
        <v>4.58073170731707</v>
      </c>
      <c r="Y298" s="77"/>
      <c r="Z298" s="77"/>
      <c r="AA298" s="77">
        <f t="shared" si="173"/>
        <v>4.58073170731707</v>
      </c>
      <c r="AB298" s="86">
        <v>7.08</v>
      </c>
      <c r="AC298" s="74">
        <f t="shared" si="170"/>
        <v>32.4315804878049</v>
      </c>
      <c r="AD298" s="74">
        <f t="shared" si="168"/>
        <v>305.420757317073</v>
      </c>
      <c r="AE298" s="74">
        <f t="shared" si="171"/>
        <v>99.5552426829268</v>
      </c>
    </row>
    <row r="299" customFormat="1" spans="1:31">
      <c r="A299" s="18"/>
      <c r="B299" s="19"/>
      <c r="C299" s="20">
        <v>240906000049</v>
      </c>
      <c r="D299" s="21">
        <v>45548</v>
      </c>
      <c r="E299" s="21" t="s">
        <v>62</v>
      </c>
      <c r="F299" s="19" t="s">
        <v>63</v>
      </c>
      <c r="G299" s="19" t="s">
        <v>88</v>
      </c>
      <c r="H299" s="19">
        <v>172</v>
      </c>
      <c r="I299" s="41">
        <v>8950</v>
      </c>
      <c r="J299" s="53"/>
      <c r="K299" s="43"/>
      <c r="L299" s="19"/>
      <c r="M299" s="43"/>
      <c r="N299" s="44"/>
      <c r="O299" s="45">
        <f t="shared" ref="O299:O306" si="184">SUM(I299)</f>
        <v>8950</v>
      </c>
      <c r="P299" s="51"/>
      <c r="Q299" s="51"/>
      <c r="R299" s="74">
        <f t="shared" si="176"/>
        <v>7208.67166979362</v>
      </c>
      <c r="S299" s="74"/>
      <c r="T299" s="75">
        <f t="shared" si="177"/>
        <v>15.0419324577861</v>
      </c>
      <c r="U299" s="74"/>
      <c r="V299" s="74"/>
      <c r="W299" s="76">
        <f t="shared" si="169"/>
        <v>7223.71360225141</v>
      </c>
      <c r="X299" s="77">
        <f t="shared" si="178"/>
        <v>121.213208255159</v>
      </c>
      <c r="Y299" s="77"/>
      <c r="Z299" s="77"/>
      <c r="AA299" s="77">
        <f t="shared" si="173"/>
        <v>121.213208255159</v>
      </c>
      <c r="AB299" s="86">
        <v>7.08</v>
      </c>
      <c r="AC299" s="74">
        <f t="shared" si="170"/>
        <v>858.189514446529</v>
      </c>
      <c r="AD299" s="74">
        <f t="shared" si="168"/>
        <v>8081.90311669794</v>
      </c>
      <c r="AE299" s="74">
        <f t="shared" si="171"/>
        <v>868.096883302064</v>
      </c>
    </row>
    <row r="300" customFormat="1" spans="1:31">
      <c r="A300" s="18"/>
      <c r="B300" s="19"/>
      <c r="C300" s="22">
        <v>240907000003</v>
      </c>
      <c r="D300" s="23">
        <v>45548</v>
      </c>
      <c r="E300" s="21" t="s">
        <v>50</v>
      </c>
      <c r="F300" s="24" t="s">
        <v>51</v>
      </c>
      <c r="G300" s="24" t="s">
        <v>280</v>
      </c>
      <c r="H300" s="24">
        <v>4.5</v>
      </c>
      <c r="I300" s="41">
        <v>420</v>
      </c>
      <c r="J300" s="53"/>
      <c r="K300" s="43"/>
      <c r="L300" s="19"/>
      <c r="M300" s="43"/>
      <c r="N300" s="44"/>
      <c r="O300" s="45">
        <f t="shared" si="184"/>
        <v>420</v>
      </c>
      <c r="P300" s="51"/>
      <c r="Q300" s="51"/>
      <c r="R300" s="74">
        <f t="shared" si="176"/>
        <v>188.598968105066</v>
      </c>
      <c r="S300" s="74"/>
      <c r="T300" s="75">
        <f t="shared" si="177"/>
        <v>0.393538930581613</v>
      </c>
      <c r="U300" s="74"/>
      <c r="V300" s="74"/>
      <c r="W300" s="76">
        <f t="shared" si="169"/>
        <v>188.992507035647</v>
      </c>
      <c r="X300" s="77">
        <f t="shared" si="178"/>
        <v>3.17127579737336</v>
      </c>
      <c r="Y300" s="77"/>
      <c r="Z300" s="77"/>
      <c r="AA300" s="77">
        <f t="shared" si="173"/>
        <v>3.17127579737336</v>
      </c>
      <c r="AB300" s="86">
        <v>7.08</v>
      </c>
      <c r="AC300" s="74">
        <f t="shared" si="170"/>
        <v>22.4526326454034</v>
      </c>
      <c r="AD300" s="74">
        <f t="shared" si="168"/>
        <v>211.445139681051</v>
      </c>
      <c r="AE300" s="74">
        <f t="shared" si="171"/>
        <v>208.554860318949</v>
      </c>
    </row>
    <row r="301" customFormat="1" spans="1:31">
      <c r="A301" s="18"/>
      <c r="B301" s="19"/>
      <c r="C301" s="20">
        <v>240907000004</v>
      </c>
      <c r="D301" s="21">
        <v>45548</v>
      </c>
      <c r="E301" s="21" t="s">
        <v>50</v>
      </c>
      <c r="F301" s="19" t="s">
        <v>51</v>
      </c>
      <c r="G301" s="19" t="s">
        <v>281</v>
      </c>
      <c r="H301" s="19">
        <v>129</v>
      </c>
      <c r="I301" s="47"/>
      <c r="J301" s="54">
        <v>2692672.5</v>
      </c>
      <c r="K301" s="43"/>
      <c r="L301" s="49">
        <f t="shared" si="182"/>
        <v>1734.60056817816</v>
      </c>
      <c r="M301" s="50">
        <v>1552.33</v>
      </c>
      <c r="N301" s="44">
        <v>7.08</v>
      </c>
      <c r="O301" s="45">
        <f t="shared" si="183"/>
        <v>10990.4964</v>
      </c>
      <c r="P301" s="51"/>
      <c r="Q301" s="51"/>
      <c r="R301" s="74">
        <f t="shared" si="176"/>
        <v>5406.50375234522</v>
      </c>
      <c r="S301" s="74"/>
      <c r="T301" s="75">
        <f t="shared" si="177"/>
        <v>11.2814493433396</v>
      </c>
      <c r="U301" s="75">
        <v>620</v>
      </c>
      <c r="V301" s="75">
        <f>SUM(300+173)</f>
        <v>473</v>
      </c>
      <c r="W301" s="76">
        <f t="shared" si="169"/>
        <v>6510.78520168856</v>
      </c>
      <c r="X301" s="77">
        <f t="shared" si="178"/>
        <v>90.9099061913696</v>
      </c>
      <c r="Y301" s="77"/>
      <c r="Z301" s="77"/>
      <c r="AA301" s="77">
        <f t="shared" si="173"/>
        <v>90.9099061913696</v>
      </c>
      <c r="AB301" s="86">
        <v>7.08</v>
      </c>
      <c r="AC301" s="74">
        <f t="shared" si="170"/>
        <v>643.642135834897</v>
      </c>
      <c r="AD301" s="74">
        <f t="shared" si="168"/>
        <v>7154.42733752345</v>
      </c>
      <c r="AE301" s="74">
        <f t="shared" si="171"/>
        <v>3836.06906247655</v>
      </c>
    </row>
    <row r="302" customFormat="1" spans="1:31">
      <c r="A302" s="18"/>
      <c r="B302" s="19"/>
      <c r="C302" s="20">
        <v>240907000009</v>
      </c>
      <c r="D302" s="21">
        <v>45548</v>
      </c>
      <c r="E302" s="21" t="s">
        <v>50</v>
      </c>
      <c r="F302" s="19" t="s">
        <v>51</v>
      </c>
      <c r="G302" s="19" t="s">
        <v>264</v>
      </c>
      <c r="H302" s="19">
        <v>59</v>
      </c>
      <c r="I302" s="47"/>
      <c r="J302" s="54">
        <v>829723.5</v>
      </c>
      <c r="K302" s="43"/>
      <c r="L302" s="49">
        <f t="shared" si="182"/>
        <v>1720.45430982645</v>
      </c>
      <c r="M302" s="50">
        <v>482.27</v>
      </c>
      <c r="N302" s="44">
        <v>7.08</v>
      </c>
      <c r="O302" s="45">
        <f t="shared" si="183"/>
        <v>3414.4716</v>
      </c>
      <c r="P302" s="51"/>
      <c r="Q302" s="51"/>
      <c r="R302" s="74">
        <f t="shared" si="176"/>
        <v>2472.74202626642</v>
      </c>
      <c r="S302" s="74"/>
      <c r="T302" s="75">
        <f t="shared" si="177"/>
        <v>5.15973264540338</v>
      </c>
      <c r="U302" s="74">
        <v>80</v>
      </c>
      <c r="V302" s="74"/>
      <c r="W302" s="76">
        <f t="shared" si="169"/>
        <v>2557.90175891182</v>
      </c>
      <c r="X302" s="77">
        <f t="shared" si="178"/>
        <v>41.5789493433396</v>
      </c>
      <c r="Y302" s="77"/>
      <c r="Z302" s="77"/>
      <c r="AA302" s="77">
        <f t="shared" si="173"/>
        <v>41.5789493433396</v>
      </c>
      <c r="AB302" s="86">
        <v>7.08</v>
      </c>
      <c r="AC302" s="74">
        <f t="shared" si="170"/>
        <v>294.378961350844</v>
      </c>
      <c r="AD302" s="74">
        <f t="shared" si="168"/>
        <v>2852.28072026266</v>
      </c>
      <c r="AE302" s="74">
        <f t="shared" si="171"/>
        <v>562.190879737336</v>
      </c>
    </row>
    <row r="303" customFormat="1" spans="1:31">
      <c r="A303" s="18"/>
      <c r="B303" s="19"/>
      <c r="C303" s="20">
        <v>240907000012</v>
      </c>
      <c r="D303" s="21">
        <v>45548</v>
      </c>
      <c r="E303" s="21" t="s">
        <v>50</v>
      </c>
      <c r="F303" s="19" t="s">
        <v>51</v>
      </c>
      <c r="G303" s="19" t="s">
        <v>55</v>
      </c>
      <c r="H303" s="19">
        <v>2.5</v>
      </c>
      <c r="I303" s="41">
        <v>140</v>
      </c>
      <c r="J303" s="53"/>
      <c r="K303" s="43"/>
      <c r="L303" s="19"/>
      <c r="M303" s="43"/>
      <c r="N303" s="44"/>
      <c r="O303" s="45">
        <f t="shared" si="184"/>
        <v>140</v>
      </c>
      <c r="P303" s="51"/>
      <c r="Q303" s="51"/>
      <c r="R303" s="74">
        <f t="shared" si="176"/>
        <v>104.777204502814</v>
      </c>
      <c r="S303" s="74"/>
      <c r="T303" s="75">
        <f t="shared" si="177"/>
        <v>0.218632739212007</v>
      </c>
      <c r="U303" s="74"/>
      <c r="V303" s="74"/>
      <c r="W303" s="76">
        <f t="shared" si="169"/>
        <v>104.995837242026</v>
      </c>
      <c r="X303" s="77">
        <f t="shared" si="178"/>
        <v>1.76181988742964</v>
      </c>
      <c r="Y303" s="77"/>
      <c r="Z303" s="77"/>
      <c r="AA303" s="77">
        <f t="shared" si="173"/>
        <v>1.76181988742964</v>
      </c>
      <c r="AB303" s="86">
        <v>7.08</v>
      </c>
      <c r="AC303" s="74">
        <f t="shared" si="170"/>
        <v>12.4736848030019</v>
      </c>
      <c r="AD303" s="74">
        <f t="shared" si="168"/>
        <v>117.469522045028</v>
      </c>
      <c r="AE303" s="74">
        <f t="shared" si="171"/>
        <v>22.5304779549719</v>
      </c>
    </row>
    <row r="304" customFormat="1" spans="1:31">
      <c r="A304" s="18"/>
      <c r="B304" s="19"/>
      <c r="C304" s="20">
        <v>240907000014</v>
      </c>
      <c r="D304" s="21">
        <v>45548</v>
      </c>
      <c r="E304" s="21" t="s">
        <v>46</v>
      </c>
      <c r="F304" s="19" t="s">
        <v>47</v>
      </c>
      <c r="G304" s="19" t="s">
        <v>175</v>
      </c>
      <c r="H304" s="19">
        <v>2</v>
      </c>
      <c r="I304" s="41">
        <v>143</v>
      </c>
      <c r="J304" s="53"/>
      <c r="K304" s="43"/>
      <c r="L304" s="19"/>
      <c r="M304" s="43"/>
      <c r="N304" s="44"/>
      <c r="O304" s="45">
        <f t="shared" si="184"/>
        <v>143</v>
      </c>
      <c r="P304" s="51"/>
      <c r="Q304" s="51"/>
      <c r="R304" s="74">
        <f t="shared" si="176"/>
        <v>83.8217636022514</v>
      </c>
      <c r="S304" s="74"/>
      <c r="T304" s="75">
        <f t="shared" si="177"/>
        <v>0.174906191369606</v>
      </c>
      <c r="U304" s="74"/>
      <c r="V304" s="75">
        <v>20</v>
      </c>
      <c r="W304" s="76">
        <f t="shared" si="169"/>
        <v>103.996669793621</v>
      </c>
      <c r="X304" s="77">
        <f t="shared" si="178"/>
        <v>1.40945590994371</v>
      </c>
      <c r="Y304" s="77"/>
      <c r="Z304" s="77"/>
      <c r="AA304" s="77">
        <f t="shared" si="173"/>
        <v>1.40945590994371</v>
      </c>
      <c r="AB304" s="86">
        <v>7.08</v>
      </c>
      <c r="AC304" s="74">
        <f t="shared" si="170"/>
        <v>9.9789478424015</v>
      </c>
      <c r="AD304" s="74">
        <f t="shared" si="168"/>
        <v>113.975617636023</v>
      </c>
      <c r="AE304" s="74">
        <f t="shared" si="171"/>
        <v>29.0243823639775</v>
      </c>
    </row>
    <row r="305" customFormat="1" spans="1:31">
      <c r="A305" s="18"/>
      <c r="B305" s="19"/>
      <c r="C305" s="20">
        <v>240907000018</v>
      </c>
      <c r="D305" s="21">
        <v>45548</v>
      </c>
      <c r="E305" s="21" t="s">
        <v>41</v>
      </c>
      <c r="F305" s="19" t="s">
        <v>41</v>
      </c>
      <c r="G305" s="19" t="s">
        <v>282</v>
      </c>
      <c r="H305" s="19">
        <v>47.5</v>
      </c>
      <c r="I305" s="47">
        <v>2620.5</v>
      </c>
      <c r="J305" s="53"/>
      <c r="K305" s="43"/>
      <c r="L305" s="19"/>
      <c r="M305" s="43"/>
      <c r="N305" s="44"/>
      <c r="O305" s="45">
        <f t="shared" si="184"/>
        <v>2620.5</v>
      </c>
      <c r="P305" s="51"/>
      <c r="Q305" s="51"/>
      <c r="R305" s="74">
        <f t="shared" si="176"/>
        <v>1990.76688555347</v>
      </c>
      <c r="S305" s="74"/>
      <c r="T305" s="75">
        <f t="shared" si="177"/>
        <v>4.15402204502814</v>
      </c>
      <c r="U305" s="74"/>
      <c r="V305" s="74"/>
      <c r="W305" s="76">
        <f t="shared" si="169"/>
        <v>1994.9209075985</v>
      </c>
      <c r="X305" s="77">
        <f t="shared" si="178"/>
        <v>33.4745778611632</v>
      </c>
      <c r="Y305" s="77"/>
      <c r="Z305" s="77"/>
      <c r="AA305" s="77">
        <f t="shared" si="173"/>
        <v>33.4745778611632</v>
      </c>
      <c r="AB305" s="86">
        <v>7.08</v>
      </c>
      <c r="AC305" s="74">
        <f t="shared" si="170"/>
        <v>237.000011257036</v>
      </c>
      <c r="AD305" s="74">
        <f t="shared" si="168"/>
        <v>2231.92091885553</v>
      </c>
      <c r="AE305" s="74">
        <f t="shared" si="171"/>
        <v>388.579081144465</v>
      </c>
    </row>
    <row r="306" customFormat="1" spans="1:31">
      <c r="A306" s="18"/>
      <c r="B306" s="19"/>
      <c r="C306" s="20">
        <v>240907000019</v>
      </c>
      <c r="D306" s="21">
        <v>45548</v>
      </c>
      <c r="E306" s="21" t="s">
        <v>46</v>
      </c>
      <c r="F306" s="19" t="s">
        <v>47</v>
      </c>
      <c r="G306" s="19" t="s">
        <v>175</v>
      </c>
      <c r="H306" s="19">
        <v>18.5</v>
      </c>
      <c r="I306" s="41">
        <v>1060.5</v>
      </c>
      <c r="J306" s="53"/>
      <c r="K306" s="43"/>
      <c r="L306" s="19"/>
      <c r="M306" s="43"/>
      <c r="N306" s="44"/>
      <c r="O306" s="45">
        <f t="shared" si="184"/>
        <v>1060.5</v>
      </c>
      <c r="P306" s="51"/>
      <c r="Q306" s="51"/>
      <c r="R306" s="74">
        <f t="shared" si="176"/>
        <v>775.351313320826</v>
      </c>
      <c r="S306" s="74"/>
      <c r="T306" s="75">
        <f t="shared" si="177"/>
        <v>1.61788227016886</v>
      </c>
      <c r="U306" s="74"/>
      <c r="V306" s="74"/>
      <c r="W306" s="76">
        <f t="shared" si="169"/>
        <v>776.969195590994</v>
      </c>
      <c r="X306" s="77">
        <f t="shared" si="178"/>
        <v>13.0374671669794</v>
      </c>
      <c r="Y306" s="77"/>
      <c r="Z306" s="77"/>
      <c r="AA306" s="77">
        <f t="shared" si="173"/>
        <v>13.0374671669794</v>
      </c>
      <c r="AB306" s="86">
        <v>7.08</v>
      </c>
      <c r="AC306" s="74">
        <f t="shared" si="170"/>
        <v>92.3052675422139</v>
      </c>
      <c r="AD306" s="74">
        <f t="shared" si="168"/>
        <v>869.274463133208</v>
      </c>
      <c r="AE306" s="74">
        <f t="shared" si="171"/>
        <v>191.225536866792</v>
      </c>
    </row>
    <row r="307" customFormat="1" spans="1:31">
      <c r="A307" s="18"/>
      <c r="B307" s="19"/>
      <c r="C307" s="20">
        <v>240907000020</v>
      </c>
      <c r="D307" s="21">
        <v>45548</v>
      </c>
      <c r="E307" s="21" t="s">
        <v>96</v>
      </c>
      <c r="F307" s="19" t="s">
        <v>209</v>
      </c>
      <c r="G307" s="19" t="s">
        <v>283</v>
      </c>
      <c r="H307" s="19">
        <v>53.5</v>
      </c>
      <c r="I307" s="45"/>
      <c r="J307" s="54">
        <v>697746</v>
      </c>
      <c r="K307" s="43"/>
      <c r="L307" s="49">
        <f>SUM(J307/M307)</f>
        <v>1711.00049043649</v>
      </c>
      <c r="M307" s="50">
        <v>407.8</v>
      </c>
      <c r="N307" s="44">
        <v>7.08</v>
      </c>
      <c r="O307" s="45">
        <f>SUM(M307*N307)</f>
        <v>2887.224</v>
      </c>
      <c r="P307" s="51"/>
      <c r="Q307" s="51"/>
      <c r="R307" s="74">
        <f t="shared" si="176"/>
        <v>2242.23217636023</v>
      </c>
      <c r="S307" s="74"/>
      <c r="T307" s="75">
        <f t="shared" si="177"/>
        <v>4.67874061913696</v>
      </c>
      <c r="U307" s="74"/>
      <c r="V307" s="74"/>
      <c r="W307" s="76">
        <f t="shared" si="169"/>
        <v>2246.91091697936</v>
      </c>
      <c r="X307" s="77">
        <f t="shared" si="178"/>
        <v>37.7029455909944</v>
      </c>
      <c r="Y307" s="77"/>
      <c r="Z307" s="77"/>
      <c r="AA307" s="77">
        <f t="shared" si="173"/>
        <v>37.7029455909944</v>
      </c>
      <c r="AB307" s="86">
        <v>7.08</v>
      </c>
      <c r="AC307" s="74">
        <f t="shared" si="170"/>
        <v>266.93685478424</v>
      </c>
      <c r="AD307" s="74">
        <f t="shared" ref="AD307:AD344" si="185">SUM(W307+AC307)</f>
        <v>2513.8477717636</v>
      </c>
      <c r="AE307" s="74">
        <f t="shared" si="171"/>
        <v>373.3762282364</v>
      </c>
    </row>
    <row r="308" customFormat="1" spans="1:31">
      <c r="A308" s="18"/>
      <c r="B308" s="19"/>
      <c r="C308" s="20">
        <v>240907000023</v>
      </c>
      <c r="D308" s="21">
        <v>45548</v>
      </c>
      <c r="E308" s="21" t="s">
        <v>62</v>
      </c>
      <c r="F308" s="19" t="s">
        <v>63</v>
      </c>
      <c r="G308" s="19" t="s">
        <v>284</v>
      </c>
      <c r="H308" s="19">
        <v>50.5</v>
      </c>
      <c r="I308" s="41">
        <v>2819.5</v>
      </c>
      <c r="J308" s="53"/>
      <c r="K308" s="43"/>
      <c r="L308" s="19"/>
      <c r="M308" s="43"/>
      <c r="N308" s="44"/>
      <c r="O308" s="45">
        <f t="shared" ref="O308:O312" si="186">SUM(I308)</f>
        <v>2819.5</v>
      </c>
      <c r="P308" s="51"/>
      <c r="Q308" s="51"/>
      <c r="R308" s="74">
        <f t="shared" si="176"/>
        <v>2116.49953095685</v>
      </c>
      <c r="S308" s="74"/>
      <c r="T308" s="75">
        <f t="shared" si="177"/>
        <v>4.41638133208255</v>
      </c>
      <c r="U308" s="74"/>
      <c r="V308" s="74"/>
      <c r="W308" s="76">
        <f t="shared" ref="W308:W343" si="187">SUM(R308:V308)</f>
        <v>2120.91591228893</v>
      </c>
      <c r="X308" s="77">
        <f t="shared" si="178"/>
        <v>35.5887617260788</v>
      </c>
      <c r="Y308" s="77"/>
      <c r="Z308" s="77"/>
      <c r="AA308" s="77">
        <f t="shared" si="173"/>
        <v>35.5887617260788</v>
      </c>
      <c r="AB308" s="86">
        <v>7.08</v>
      </c>
      <c r="AC308" s="74">
        <f t="shared" si="170"/>
        <v>251.968433020638</v>
      </c>
      <c r="AD308" s="74">
        <f t="shared" si="185"/>
        <v>2372.88434530957</v>
      </c>
      <c r="AE308" s="74">
        <f t="shared" si="171"/>
        <v>446.615654690432</v>
      </c>
    </row>
    <row r="309" customFormat="1" spans="1:31">
      <c r="A309" s="18"/>
      <c r="B309" s="19"/>
      <c r="C309" s="20">
        <v>240908000001</v>
      </c>
      <c r="D309" s="21">
        <v>45548</v>
      </c>
      <c r="E309" s="21" t="s">
        <v>62</v>
      </c>
      <c r="F309" s="19" t="s">
        <v>63</v>
      </c>
      <c r="G309" s="19" t="s">
        <v>285</v>
      </c>
      <c r="H309" s="19">
        <v>2.5</v>
      </c>
      <c r="I309" s="47"/>
      <c r="J309" s="54">
        <v>37179</v>
      </c>
      <c r="K309" s="43"/>
      <c r="L309" s="49">
        <f>SUM(J309/M309)</f>
        <v>1720.45349375289</v>
      </c>
      <c r="M309" s="50">
        <v>21.61</v>
      </c>
      <c r="N309" s="44">
        <v>7.08</v>
      </c>
      <c r="O309" s="45">
        <f>SUM(M309*N309)</f>
        <v>152.9988</v>
      </c>
      <c r="P309" s="51"/>
      <c r="Q309" s="51"/>
      <c r="R309" s="74">
        <f t="shared" si="176"/>
        <v>104.777204502814</v>
      </c>
      <c r="S309" s="74"/>
      <c r="T309" s="75">
        <f t="shared" si="177"/>
        <v>0.218632739212007</v>
      </c>
      <c r="U309" s="74"/>
      <c r="V309" s="74"/>
      <c r="W309" s="76">
        <f t="shared" si="187"/>
        <v>104.995837242026</v>
      </c>
      <c r="X309" s="77">
        <f t="shared" si="178"/>
        <v>1.76181988742964</v>
      </c>
      <c r="Y309" s="77"/>
      <c r="Z309" s="77"/>
      <c r="AA309" s="77">
        <f t="shared" si="173"/>
        <v>1.76181988742964</v>
      </c>
      <c r="AB309" s="86">
        <v>7.08</v>
      </c>
      <c r="AC309" s="74">
        <f t="shared" ref="AC309:AC344" si="188">SUM(AA309*AB309)</f>
        <v>12.4736848030019</v>
      </c>
      <c r="AD309" s="74">
        <f t="shared" si="185"/>
        <v>117.469522045028</v>
      </c>
      <c r="AE309" s="74">
        <f t="shared" ref="AE309:AE343" si="189">SUM(O309-AD309)</f>
        <v>35.5292779549721</v>
      </c>
    </row>
    <row r="310" customFormat="1" spans="1:31">
      <c r="A310" s="18"/>
      <c r="B310" s="19"/>
      <c r="C310" s="20">
        <v>240908000002</v>
      </c>
      <c r="D310" s="21">
        <v>45548</v>
      </c>
      <c r="E310" s="21" t="s">
        <v>62</v>
      </c>
      <c r="F310" s="19" t="s">
        <v>63</v>
      </c>
      <c r="G310" s="19" t="s">
        <v>286</v>
      </c>
      <c r="H310" s="19">
        <v>147.5</v>
      </c>
      <c r="I310" s="41">
        <v>8715</v>
      </c>
      <c r="J310" s="53"/>
      <c r="K310" s="43"/>
      <c r="L310" s="19"/>
      <c r="M310" s="43"/>
      <c r="N310" s="44"/>
      <c r="O310" s="45">
        <f t="shared" si="186"/>
        <v>8715</v>
      </c>
      <c r="P310" s="51"/>
      <c r="Q310" s="51"/>
      <c r="R310" s="74">
        <f t="shared" si="176"/>
        <v>6181.85506566604</v>
      </c>
      <c r="S310" s="74"/>
      <c r="T310" s="75">
        <f t="shared" si="177"/>
        <v>12.8993316135084</v>
      </c>
      <c r="U310" s="74"/>
      <c r="V310" s="74"/>
      <c r="W310" s="76">
        <f t="shared" si="187"/>
        <v>6194.75439727955</v>
      </c>
      <c r="X310" s="77">
        <f t="shared" si="178"/>
        <v>103.947373358349</v>
      </c>
      <c r="Y310" s="77"/>
      <c r="Z310" s="77"/>
      <c r="AA310" s="77">
        <f t="shared" ref="AA310:AA343" si="190">SUM(X310:Z310)</f>
        <v>103.947373358349</v>
      </c>
      <c r="AB310" s="86">
        <v>7.08</v>
      </c>
      <c r="AC310" s="74">
        <f t="shared" si="188"/>
        <v>735.947403377111</v>
      </c>
      <c r="AD310" s="74">
        <f t="shared" si="185"/>
        <v>6930.70180065666</v>
      </c>
      <c r="AE310" s="74">
        <f t="shared" si="189"/>
        <v>1784.29819934334</v>
      </c>
    </row>
    <row r="311" customFormat="1" spans="1:31">
      <c r="A311" s="18"/>
      <c r="B311" s="19"/>
      <c r="C311" s="20">
        <v>240908000003</v>
      </c>
      <c r="D311" s="21">
        <v>45548</v>
      </c>
      <c r="E311" s="21" t="s">
        <v>62</v>
      </c>
      <c r="F311" s="19" t="s">
        <v>63</v>
      </c>
      <c r="G311" s="19" t="s">
        <v>287</v>
      </c>
      <c r="H311" s="19">
        <v>28.5</v>
      </c>
      <c r="I311" s="41">
        <v>1493.5</v>
      </c>
      <c r="J311" s="53"/>
      <c r="K311" s="43"/>
      <c r="L311" s="19"/>
      <c r="M311" s="43"/>
      <c r="N311" s="44"/>
      <c r="O311" s="45">
        <f t="shared" si="186"/>
        <v>1493.5</v>
      </c>
      <c r="P311" s="51"/>
      <c r="Q311" s="51"/>
      <c r="R311" s="74">
        <f t="shared" si="176"/>
        <v>1194.46013133208</v>
      </c>
      <c r="S311" s="74"/>
      <c r="T311" s="75">
        <f t="shared" si="177"/>
        <v>2.49241322701689</v>
      </c>
      <c r="U311" s="74"/>
      <c r="V311" s="74"/>
      <c r="W311" s="76">
        <f t="shared" si="187"/>
        <v>1196.9525445591</v>
      </c>
      <c r="X311" s="77">
        <f t="shared" si="178"/>
        <v>20.0847467166979</v>
      </c>
      <c r="Y311" s="77"/>
      <c r="Z311" s="77"/>
      <c r="AA311" s="77">
        <f t="shared" si="190"/>
        <v>20.0847467166979</v>
      </c>
      <c r="AB311" s="86">
        <v>7.08</v>
      </c>
      <c r="AC311" s="74">
        <f t="shared" si="188"/>
        <v>142.200006754221</v>
      </c>
      <c r="AD311" s="74">
        <f t="shared" si="185"/>
        <v>1339.15255131332</v>
      </c>
      <c r="AE311" s="74">
        <f t="shared" si="189"/>
        <v>154.347448686679</v>
      </c>
    </row>
    <row r="312" customFormat="1" spans="1:31">
      <c r="A312" s="18"/>
      <c r="B312" s="19"/>
      <c r="C312" s="20">
        <v>240908000007</v>
      </c>
      <c r="D312" s="21">
        <v>45548</v>
      </c>
      <c r="E312" s="21" t="s">
        <v>50</v>
      </c>
      <c r="F312" s="19" t="s">
        <v>51</v>
      </c>
      <c r="G312" s="19">
        <v>81</v>
      </c>
      <c r="H312" s="19">
        <v>4</v>
      </c>
      <c r="I312" s="41">
        <v>267</v>
      </c>
      <c r="J312" s="53"/>
      <c r="K312" s="43"/>
      <c r="L312" s="19"/>
      <c r="M312" s="43"/>
      <c r="N312" s="44"/>
      <c r="O312" s="45">
        <f t="shared" si="186"/>
        <v>267</v>
      </c>
      <c r="P312" s="51"/>
      <c r="Q312" s="51"/>
      <c r="R312" s="74">
        <f t="shared" ref="R312:R343" si="191">SUM(89354/2132)*H312</f>
        <v>167.643527204503</v>
      </c>
      <c r="S312" s="74"/>
      <c r="T312" s="75">
        <f t="shared" ref="T312:T343" si="192">SUM(186.45/2132)*H312</f>
        <v>0.349812382739212</v>
      </c>
      <c r="U312" s="74"/>
      <c r="V312" s="74"/>
      <c r="W312" s="76">
        <f t="shared" si="187"/>
        <v>167.993339587242</v>
      </c>
      <c r="X312" s="77">
        <f t="shared" ref="X312:X343" si="193">SUM(1502.48/2132)*H312</f>
        <v>2.81891181988743</v>
      </c>
      <c r="Y312" s="77"/>
      <c r="Z312" s="77"/>
      <c r="AA312" s="77">
        <f t="shared" si="190"/>
        <v>2.81891181988743</v>
      </c>
      <c r="AB312" s="86">
        <v>7.08</v>
      </c>
      <c r="AC312" s="74">
        <f t="shared" si="188"/>
        <v>19.957895684803</v>
      </c>
      <c r="AD312" s="74">
        <f t="shared" si="185"/>
        <v>187.951235272045</v>
      </c>
      <c r="AE312" s="74">
        <f t="shared" si="189"/>
        <v>79.048764727955</v>
      </c>
    </row>
    <row r="313" customFormat="1" spans="1:31">
      <c r="A313" s="18"/>
      <c r="B313" s="19"/>
      <c r="C313" s="20">
        <v>240908000008</v>
      </c>
      <c r="D313" s="21">
        <v>45548</v>
      </c>
      <c r="E313" s="21" t="s">
        <v>50</v>
      </c>
      <c r="F313" s="19" t="s">
        <v>51</v>
      </c>
      <c r="G313" s="19" t="s">
        <v>288</v>
      </c>
      <c r="H313" s="19">
        <v>0.58</v>
      </c>
      <c r="I313" s="47"/>
      <c r="J313" s="54">
        <v>16905</v>
      </c>
      <c r="K313" s="43"/>
      <c r="L313" s="49">
        <f t="shared" ref="L313:L317" si="194">SUM(J313/M313)</f>
        <v>1735.62628336756</v>
      </c>
      <c r="M313" s="50">
        <v>9.74</v>
      </c>
      <c r="N313" s="44">
        <v>7.08</v>
      </c>
      <c r="O313" s="45">
        <f t="shared" ref="O313:O317" si="195">SUM(M313*N313)</f>
        <v>68.9592</v>
      </c>
      <c r="P313" s="51"/>
      <c r="Q313" s="51"/>
      <c r="R313" s="74">
        <f t="shared" si="191"/>
        <v>24.3083114446529</v>
      </c>
      <c r="S313" s="74"/>
      <c r="T313" s="75">
        <f t="shared" si="192"/>
        <v>0.0507227954971857</v>
      </c>
      <c r="U313" s="74"/>
      <c r="V313" s="74"/>
      <c r="W313" s="76">
        <f t="shared" si="187"/>
        <v>24.3590342401501</v>
      </c>
      <c r="X313" s="77">
        <f t="shared" si="193"/>
        <v>0.408742213883677</v>
      </c>
      <c r="Y313" s="77"/>
      <c r="Z313" s="77"/>
      <c r="AA313" s="77">
        <f t="shared" si="190"/>
        <v>0.408742213883677</v>
      </c>
      <c r="AB313" s="86">
        <v>7.08</v>
      </c>
      <c r="AC313" s="74">
        <f t="shared" si="188"/>
        <v>2.89389487429644</v>
      </c>
      <c r="AD313" s="74">
        <f t="shared" si="185"/>
        <v>27.2529291144465</v>
      </c>
      <c r="AE313" s="74">
        <f t="shared" si="189"/>
        <v>41.7062708855535</v>
      </c>
    </row>
    <row r="314" customFormat="1" spans="1:31">
      <c r="A314" s="18"/>
      <c r="B314" s="19"/>
      <c r="C314" s="20">
        <v>240908000009</v>
      </c>
      <c r="D314" s="21">
        <v>45548</v>
      </c>
      <c r="E314" s="21" t="s">
        <v>50</v>
      </c>
      <c r="F314" s="19" t="s">
        <v>51</v>
      </c>
      <c r="G314" s="19" t="s">
        <v>289</v>
      </c>
      <c r="H314" s="19">
        <v>6</v>
      </c>
      <c r="I314" s="41">
        <v>476</v>
      </c>
      <c r="J314" s="53"/>
      <c r="K314" s="43"/>
      <c r="L314" s="19"/>
      <c r="M314" s="43"/>
      <c r="N314" s="44"/>
      <c r="O314" s="45">
        <f t="shared" ref="O314:O319" si="196">SUM(I314)</f>
        <v>476</v>
      </c>
      <c r="P314" s="51"/>
      <c r="Q314" s="51"/>
      <c r="R314" s="74">
        <f t="shared" si="191"/>
        <v>251.465290806754</v>
      </c>
      <c r="S314" s="74"/>
      <c r="T314" s="75">
        <f t="shared" si="192"/>
        <v>0.524718574108818</v>
      </c>
      <c r="U314" s="74"/>
      <c r="V314" s="74"/>
      <c r="W314" s="76">
        <f t="shared" si="187"/>
        <v>251.990009380863</v>
      </c>
      <c r="X314" s="77">
        <f t="shared" si="193"/>
        <v>4.22836772983115</v>
      </c>
      <c r="Y314" s="77"/>
      <c r="Z314" s="77"/>
      <c r="AA314" s="77">
        <f t="shared" si="190"/>
        <v>4.22836772983115</v>
      </c>
      <c r="AB314" s="86">
        <v>7.08</v>
      </c>
      <c r="AC314" s="74">
        <f t="shared" si="188"/>
        <v>29.9368435272045</v>
      </c>
      <c r="AD314" s="74">
        <f t="shared" si="185"/>
        <v>281.926852908068</v>
      </c>
      <c r="AE314" s="74">
        <f t="shared" si="189"/>
        <v>194.073147091932</v>
      </c>
    </row>
    <row r="315" customFormat="1" spans="1:31">
      <c r="A315" s="18"/>
      <c r="B315" s="19"/>
      <c r="C315" s="20">
        <v>240908000012</v>
      </c>
      <c r="D315" s="21">
        <v>45548</v>
      </c>
      <c r="E315" s="21" t="s">
        <v>50</v>
      </c>
      <c r="F315" s="19" t="s">
        <v>51</v>
      </c>
      <c r="G315" s="19" t="s">
        <v>263</v>
      </c>
      <c r="H315" s="19">
        <v>3.5</v>
      </c>
      <c r="I315" s="47"/>
      <c r="J315" s="54">
        <v>51030</v>
      </c>
      <c r="K315" s="43"/>
      <c r="L315" s="49">
        <f t="shared" si="194"/>
        <v>1720.49898853675</v>
      </c>
      <c r="M315" s="50">
        <v>29.66</v>
      </c>
      <c r="N315" s="44">
        <v>7.08</v>
      </c>
      <c r="O315" s="45">
        <f t="shared" si="195"/>
        <v>209.9928</v>
      </c>
      <c r="P315" s="51"/>
      <c r="Q315" s="51"/>
      <c r="R315" s="74">
        <f t="shared" si="191"/>
        <v>146.68808630394</v>
      </c>
      <c r="S315" s="74"/>
      <c r="T315" s="75">
        <f t="shared" si="192"/>
        <v>0.306085834896811</v>
      </c>
      <c r="U315" s="74"/>
      <c r="V315" s="74"/>
      <c r="W315" s="76">
        <f t="shared" si="187"/>
        <v>146.994172138837</v>
      </c>
      <c r="X315" s="77">
        <f t="shared" si="193"/>
        <v>2.4665478424015</v>
      </c>
      <c r="Y315" s="77"/>
      <c r="Z315" s="77"/>
      <c r="AA315" s="77">
        <f t="shared" si="190"/>
        <v>2.4665478424015</v>
      </c>
      <c r="AB315" s="86">
        <v>7.08</v>
      </c>
      <c r="AC315" s="74">
        <f t="shared" si="188"/>
        <v>17.4631587242026</v>
      </c>
      <c r="AD315" s="74">
        <f t="shared" si="185"/>
        <v>164.457330863039</v>
      </c>
      <c r="AE315" s="74">
        <f t="shared" si="189"/>
        <v>45.5354691369606</v>
      </c>
    </row>
    <row r="316" customFormat="1" spans="1:31">
      <c r="A316" s="18"/>
      <c r="B316" s="19"/>
      <c r="C316" s="20">
        <v>240908000015</v>
      </c>
      <c r="D316" s="21">
        <v>45548</v>
      </c>
      <c r="E316" s="21" t="s">
        <v>50</v>
      </c>
      <c r="F316" s="19" t="s">
        <v>51</v>
      </c>
      <c r="G316" s="19" t="s">
        <v>290</v>
      </c>
      <c r="H316" s="19">
        <v>60.5</v>
      </c>
      <c r="I316" s="41">
        <v>3541</v>
      </c>
      <c r="J316" s="53"/>
      <c r="K316" s="43"/>
      <c r="L316" s="19"/>
      <c r="M316" s="43"/>
      <c r="N316" s="44"/>
      <c r="O316" s="45">
        <f t="shared" si="196"/>
        <v>3541</v>
      </c>
      <c r="P316" s="51"/>
      <c r="Q316" s="51"/>
      <c r="R316" s="74">
        <f t="shared" si="191"/>
        <v>2535.60834896811</v>
      </c>
      <c r="S316" s="74"/>
      <c r="T316" s="75">
        <f t="shared" si="192"/>
        <v>5.29091228893058</v>
      </c>
      <c r="U316" s="74"/>
      <c r="V316" s="75">
        <v>153</v>
      </c>
      <c r="W316" s="76">
        <f t="shared" si="187"/>
        <v>2693.89926125704</v>
      </c>
      <c r="X316" s="77">
        <f t="shared" si="193"/>
        <v>42.6360412757974</v>
      </c>
      <c r="Y316" s="77"/>
      <c r="Z316" s="77"/>
      <c r="AA316" s="77">
        <f t="shared" si="190"/>
        <v>42.6360412757974</v>
      </c>
      <c r="AB316" s="86">
        <v>7.08</v>
      </c>
      <c r="AC316" s="74">
        <f t="shared" si="188"/>
        <v>301.863172232645</v>
      </c>
      <c r="AD316" s="74">
        <f t="shared" si="185"/>
        <v>2995.76243348968</v>
      </c>
      <c r="AE316" s="74">
        <f t="shared" si="189"/>
        <v>545.237566510319</v>
      </c>
    </row>
    <row r="317" customFormat="1" spans="1:31">
      <c r="A317" s="18"/>
      <c r="B317" s="19"/>
      <c r="C317" s="20">
        <v>240908000016</v>
      </c>
      <c r="D317" s="21">
        <v>45548</v>
      </c>
      <c r="E317" s="21" t="s">
        <v>50</v>
      </c>
      <c r="F317" s="19" t="s">
        <v>51</v>
      </c>
      <c r="G317" s="19" t="s">
        <v>291</v>
      </c>
      <c r="H317" s="19">
        <v>19</v>
      </c>
      <c r="I317" s="47"/>
      <c r="J317" s="90">
        <v>233529</v>
      </c>
      <c r="K317" s="43"/>
      <c r="L317" s="49">
        <f t="shared" si="194"/>
        <v>1706.33494081543</v>
      </c>
      <c r="M317" s="50">
        <v>136.86</v>
      </c>
      <c r="N317" s="44">
        <v>7.08</v>
      </c>
      <c r="O317" s="45">
        <f t="shared" si="195"/>
        <v>968.9688</v>
      </c>
      <c r="P317" s="51"/>
      <c r="Q317" s="51"/>
      <c r="R317" s="74">
        <f t="shared" si="191"/>
        <v>796.306754221388</v>
      </c>
      <c r="S317" s="74"/>
      <c r="T317" s="75">
        <f t="shared" si="192"/>
        <v>1.66160881801126</v>
      </c>
      <c r="U317" s="74"/>
      <c r="V317" s="74"/>
      <c r="W317" s="76">
        <f t="shared" si="187"/>
        <v>797.9683630394</v>
      </c>
      <c r="X317" s="77">
        <f t="shared" si="193"/>
        <v>13.3898311444653</v>
      </c>
      <c r="Y317" s="77"/>
      <c r="Z317" s="77"/>
      <c r="AA317" s="77">
        <f t="shared" si="190"/>
        <v>13.3898311444653</v>
      </c>
      <c r="AB317" s="86">
        <v>7.08</v>
      </c>
      <c r="AC317" s="74">
        <f t="shared" si="188"/>
        <v>94.8000045028143</v>
      </c>
      <c r="AD317" s="74">
        <f t="shared" si="185"/>
        <v>892.768367542214</v>
      </c>
      <c r="AE317" s="74">
        <f t="shared" si="189"/>
        <v>76.2004324577861</v>
      </c>
    </row>
    <row r="318" customFormat="1" spans="1:31">
      <c r="A318" s="18"/>
      <c r="B318" s="19"/>
      <c r="C318" s="20">
        <v>240908000019</v>
      </c>
      <c r="D318" s="21">
        <v>45548</v>
      </c>
      <c r="E318" s="21" t="s">
        <v>50</v>
      </c>
      <c r="F318" s="19" t="s">
        <v>51</v>
      </c>
      <c r="G318" s="19" t="s">
        <v>132</v>
      </c>
      <c r="H318" s="19">
        <v>0.11</v>
      </c>
      <c r="I318" s="41">
        <v>69</v>
      </c>
      <c r="J318" s="53"/>
      <c r="K318" s="43"/>
      <c r="L318" s="19"/>
      <c r="M318" s="43"/>
      <c r="N318" s="44"/>
      <c r="O318" s="45">
        <f t="shared" si="196"/>
        <v>69</v>
      </c>
      <c r="P318" s="51"/>
      <c r="Q318" s="51"/>
      <c r="R318" s="74">
        <f t="shared" si="191"/>
        <v>4.61019699812383</v>
      </c>
      <c r="S318" s="74"/>
      <c r="T318" s="75">
        <f t="shared" si="192"/>
        <v>0.00961984052532833</v>
      </c>
      <c r="U318" s="74"/>
      <c r="V318" s="74"/>
      <c r="W318" s="76">
        <f t="shared" si="187"/>
        <v>4.61981683864916</v>
      </c>
      <c r="X318" s="77">
        <f t="shared" si="193"/>
        <v>0.0775200750469043</v>
      </c>
      <c r="Y318" s="77"/>
      <c r="Z318" s="77"/>
      <c r="AA318" s="77">
        <f t="shared" si="190"/>
        <v>0.0775200750469043</v>
      </c>
      <c r="AB318" s="86">
        <v>7.08</v>
      </c>
      <c r="AC318" s="74">
        <f t="shared" si="188"/>
        <v>0.548842131332083</v>
      </c>
      <c r="AD318" s="74">
        <f t="shared" si="185"/>
        <v>5.16865896998124</v>
      </c>
      <c r="AE318" s="74">
        <f t="shared" si="189"/>
        <v>63.8313410300188</v>
      </c>
    </row>
    <row r="319" customFormat="1" spans="1:31">
      <c r="A319" s="18"/>
      <c r="B319" s="19"/>
      <c r="C319" s="20">
        <v>240908000022</v>
      </c>
      <c r="D319" s="21">
        <v>45548</v>
      </c>
      <c r="E319" s="21" t="s">
        <v>50</v>
      </c>
      <c r="F319" s="19" t="s">
        <v>51</v>
      </c>
      <c r="G319" s="19" t="s">
        <v>292</v>
      </c>
      <c r="H319" s="19">
        <v>7.5</v>
      </c>
      <c r="I319" s="41">
        <v>420</v>
      </c>
      <c r="J319" s="53"/>
      <c r="K319" s="43"/>
      <c r="L319" s="19"/>
      <c r="M319" s="43"/>
      <c r="N319" s="44"/>
      <c r="O319" s="45">
        <f t="shared" si="196"/>
        <v>420</v>
      </c>
      <c r="P319" s="51"/>
      <c r="Q319" s="51"/>
      <c r="R319" s="74">
        <f t="shared" si="191"/>
        <v>314.331613508443</v>
      </c>
      <c r="S319" s="74"/>
      <c r="T319" s="75">
        <f t="shared" si="192"/>
        <v>0.655898217636023</v>
      </c>
      <c r="U319" s="74"/>
      <c r="V319" s="74"/>
      <c r="W319" s="76">
        <f t="shared" si="187"/>
        <v>314.987511726079</v>
      </c>
      <c r="X319" s="77">
        <f t="shared" si="193"/>
        <v>5.28545966228893</v>
      </c>
      <c r="Y319" s="77"/>
      <c r="Z319" s="77"/>
      <c r="AA319" s="77">
        <f t="shared" si="190"/>
        <v>5.28545966228893</v>
      </c>
      <c r="AB319" s="86">
        <v>7.08</v>
      </c>
      <c r="AC319" s="74">
        <f t="shared" si="188"/>
        <v>37.4210544090056</v>
      </c>
      <c r="AD319" s="74">
        <f t="shared" si="185"/>
        <v>352.408566135084</v>
      </c>
      <c r="AE319" s="74">
        <f t="shared" si="189"/>
        <v>67.5914338649155</v>
      </c>
    </row>
    <row r="320" customFormat="1" spans="1:31">
      <c r="A320" s="18"/>
      <c r="B320" s="19"/>
      <c r="C320" s="20">
        <v>240908000026</v>
      </c>
      <c r="D320" s="21">
        <v>45548</v>
      </c>
      <c r="E320" s="21" t="s">
        <v>50</v>
      </c>
      <c r="F320" s="19" t="s">
        <v>51</v>
      </c>
      <c r="G320" s="19" t="s">
        <v>250</v>
      </c>
      <c r="H320" s="19">
        <v>29.5</v>
      </c>
      <c r="I320" s="47"/>
      <c r="J320" s="54">
        <v>467277</v>
      </c>
      <c r="K320" s="43"/>
      <c r="L320" s="49">
        <f t="shared" ref="L320:L325" si="197">SUM(J320/M320)</f>
        <v>1741.68623504417</v>
      </c>
      <c r="M320" s="50">
        <v>268.29</v>
      </c>
      <c r="N320" s="44">
        <v>7.08</v>
      </c>
      <c r="O320" s="45">
        <f t="shared" ref="O320:O325" si="198">SUM(M320*N320)</f>
        <v>1899.4932</v>
      </c>
      <c r="P320" s="51"/>
      <c r="Q320" s="51"/>
      <c r="R320" s="74">
        <f t="shared" si="191"/>
        <v>1236.37101313321</v>
      </c>
      <c r="S320" s="74"/>
      <c r="T320" s="75">
        <f t="shared" si="192"/>
        <v>2.57986632270169</v>
      </c>
      <c r="U320" s="74"/>
      <c r="V320" s="75">
        <v>245</v>
      </c>
      <c r="W320" s="76">
        <f t="shared" si="187"/>
        <v>1483.95087945591</v>
      </c>
      <c r="X320" s="77">
        <f t="shared" si="193"/>
        <v>20.7894746716698</v>
      </c>
      <c r="Y320" s="77"/>
      <c r="Z320" s="77"/>
      <c r="AA320" s="77">
        <f t="shared" si="190"/>
        <v>20.7894746716698</v>
      </c>
      <c r="AB320" s="86">
        <v>7.08</v>
      </c>
      <c r="AC320" s="74">
        <f t="shared" si="188"/>
        <v>147.189480675422</v>
      </c>
      <c r="AD320" s="74">
        <f t="shared" si="185"/>
        <v>1631.14036013133</v>
      </c>
      <c r="AE320" s="74">
        <f t="shared" si="189"/>
        <v>268.352839868668</v>
      </c>
    </row>
    <row r="321" customFormat="1" spans="1:31">
      <c r="A321" s="18"/>
      <c r="B321" s="19"/>
      <c r="C321" s="20">
        <v>240908000030</v>
      </c>
      <c r="D321" s="21">
        <v>45548</v>
      </c>
      <c r="E321" s="21" t="s">
        <v>50</v>
      </c>
      <c r="F321" s="19" t="s">
        <v>51</v>
      </c>
      <c r="G321" s="19" t="s">
        <v>86</v>
      </c>
      <c r="H321" s="19">
        <v>1.5</v>
      </c>
      <c r="I321" s="41">
        <v>150</v>
      </c>
      <c r="J321" s="53"/>
      <c r="K321" s="43"/>
      <c r="L321" s="19"/>
      <c r="M321" s="43"/>
      <c r="N321" s="44"/>
      <c r="O321" s="45">
        <f t="shared" ref="O321:O330" si="199">SUM(I321)</f>
        <v>150</v>
      </c>
      <c r="P321" s="51"/>
      <c r="Q321" s="51"/>
      <c r="R321" s="74">
        <f t="shared" si="191"/>
        <v>62.8663227016886</v>
      </c>
      <c r="S321" s="74"/>
      <c r="T321" s="75">
        <f t="shared" si="192"/>
        <v>0.131179643527205</v>
      </c>
      <c r="U321" s="74"/>
      <c r="V321" s="74"/>
      <c r="W321" s="76">
        <f t="shared" si="187"/>
        <v>62.9975023452158</v>
      </c>
      <c r="X321" s="77">
        <f t="shared" si="193"/>
        <v>1.05709193245779</v>
      </c>
      <c r="Y321" s="77"/>
      <c r="Z321" s="77"/>
      <c r="AA321" s="77">
        <f t="shared" si="190"/>
        <v>1.05709193245779</v>
      </c>
      <c r="AB321" s="86">
        <v>7.08</v>
      </c>
      <c r="AC321" s="74">
        <f t="shared" si="188"/>
        <v>7.48421088180113</v>
      </c>
      <c r="AD321" s="74">
        <f t="shared" si="185"/>
        <v>70.4817132270169</v>
      </c>
      <c r="AE321" s="74">
        <f t="shared" si="189"/>
        <v>79.5182867729831</v>
      </c>
    </row>
    <row r="322" customFormat="1" spans="1:31">
      <c r="A322" s="18"/>
      <c r="B322" s="19"/>
      <c r="C322" s="22">
        <v>240909000006</v>
      </c>
      <c r="D322" s="23">
        <v>45548</v>
      </c>
      <c r="E322" s="21" t="s">
        <v>43</v>
      </c>
      <c r="F322" s="24" t="s">
        <v>44</v>
      </c>
      <c r="G322" s="24" t="s">
        <v>293</v>
      </c>
      <c r="H322" s="24">
        <v>8</v>
      </c>
      <c r="I322" s="55">
        <v>456</v>
      </c>
      <c r="J322" s="53"/>
      <c r="K322" s="43"/>
      <c r="L322" s="19"/>
      <c r="M322" s="43"/>
      <c r="N322" s="44"/>
      <c r="O322" s="45">
        <f t="shared" si="199"/>
        <v>456</v>
      </c>
      <c r="P322" s="51"/>
      <c r="Q322" s="51"/>
      <c r="R322" s="74">
        <f t="shared" si="191"/>
        <v>335.287054409006</v>
      </c>
      <c r="S322" s="74"/>
      <c r="T322" s="75">
        <f t="shared" si="192"/>
        <v>0.699624765478424</v>
      </c>
      <c r="U322" s="74"/>
      <c r="V322" s="74"/>
      <c r="W322" s="76">
        <f t="shared" si="187"/>
        <v>335.986679174484</v>
      </c>
      <c r="X322" s="77">
        <f t="shared" si="193"/>
        <v>5.63782363977486</v>
      </c>
      <c r="Y322" s="77"/>
      <c r="Z322" s="77"/>
      <c r="AA322" s="77">
        <f t="shared" si="190"/>
        <v>5.63782363977486</v>
      </c>
      <c r="AB322" s="86">
        <v>7.08</v>
      </c>
      <c r="AC322" s="74">
        <f t="shared" si="188"/>
        <v>39.915791369606</v>
      </c>
      <c r="AD322" s="74">
        <f t="shared" si="185"/>
        <v>375.90247054409</v>
      </c>
      <c r="AE322" s="74">
        <f t="shared" si="189"/>
        <v>80.09752945591</v>
      </c>
    </row>
    <row r="323" customFormat="1" spans="1:31">
      <c r="A323" s="18"/>
      <c r="B323" s="19"/>
      <c r="C323" s="20">
        <v>240909000008</v>
      </c>
      <c r="D323" s="21">
        <v>45548</v>
      </c>
      <c r="E323" s="21" t="s">
        <v>43</v>
      </c>
      <c r="F323" s="19" t="s">
        <v>44</v>
      </c>
      <c r="G323" s="19" t="s">
        <v>294</v>
      </c>
      <c r="H323" s="19">
        <v>32.5</v>
      </c>
      <c r="I323" s="45"/>
      <c r="J323" s="54">
        <v>424670</v>
      </c>
      <c r="K323" s="43"/>
      <c r="L323" s="49">
        <f t="shared" si="197"/>
        <v>1710.99919419823</v>
      </c>
      <c r="M323" s="50">
        <v>248.2</v>
      </c>
      <c r="N323" s="44">
        <v>7.08</v>
      </c>
      <c r="O323" s="45">
        <f t="shared" si="198"/>
        <v>1757.256</v>
      </c>
      <c r="P323" s="51"/>
      <c r="Q323" s="51"/>
      <c r="R323" s="74">
        <f t="shared" si="191"/>
        <v>1362.10365853659</v>
      </c>
      <c r="S323" s="74"/>
      <c r="T323" s="75">
        <f t="shared" si="192"/>
        <v>2.8422256097561</v>
      </c>
      <c r="U323" s="74"/>
      <c r="V323" s="74"/>
      <c r="W323" s="76">
        <f t="shared" si="187"/>
        <v>1364.94588414634</v>
      </c>
      <c r="X323" s="77">
        <f t="shared" si="193"/>
        <v>22.9036585365854</v>
      </c>
      <c r="Y323" s="77"/>
      <c r="Z323" s="77"/>
      <c r="AA323" s="77">
        <f t="shared" si="190"/>
        <v>22.9036585365854</v>
      </c>
      <c r="AB323" s="86">
        <v>7.08</v>
      </c>
      <c r="AC323" s="74">
        <f t="shared" si="188"/>
        <v>162.157902439024</v>
      </c>
      <c r="AD323" s="74">
        <f t="shared" si="185"/>
        <v>1527.10378658537</v>
      </c>
      <c r="AE323" s="74">
        <f t="shared" si="189"/>
        <v>230.152213414634</v>
      </c>
    </row>
    <row r="324" customFormat="1" spans="1:31">
      <c r="A324" s="18"/>
      <c r="B324" s="19"/>
      <c r="C324" s="20">
        <v>240909000009</v>
      </c>
      <c r="D324" s="21">
        <v>45548</v>
      </c>
      <c r="E324" s="21" t="s">
        <v>43</v>
      </c>
      <c r="F324" s="19" t="s">
        <v>44</v>
      </c>
      <c r="G324" s="19" t="s">
        <v>182</v>
      </c>
      <c r="H324" s="19">
        <v>29.5</v>
      </c>
      <c r="I324" s="45"/>
      <c r="J324" s="54">
        <v>385700</v>
      </c>
      <c r="K324" s="43"/>
      <c r="L324" s="49">
        <f t="shared" si="197"/>
        <v>1711.1801242236</v>
      </c>
      <c r="M324" s="50">
        <v>225.4</v>
      </c>
      <c r="N324" s="44">
        <v>7.08</v>
      </c>
      <c r="O324" s="45">
        <f t="shared" si="198"/>
        <v>1595.832</v>
      </c>
      <c r="P324" s="51"/>
      <c r="Q324" s="51"/>
      <c r="R324" s="74">
        <f t="shared" si="191"/>
        <v>1236.37101313321</v>
      </c>
      <c r="S324" s="74"/>
      <c r="T324" s="75">
        <f t="shared" si="192"/>
        <v>2.57986632270169</v>
      </c>
      <c r="U324" s="74"/>
      <c r="V324" s="74"/>
      <c r="W324" s="76">
        <f t="shared" si="187"/>
        <v>1238.95087945591</v>
      </c>
      <c r="X324" s="77">
        <f t="shared" si="193"/>
        <v>20.7894746716698</v>
      </c>
      <c r="Y324" s="77"/>
      <c r="Z324" s="77"/>
      <c r="AA324" s="77">
        <f t="shared" si="190"/>
        <v>20.7894746716698</v>
      </c>
      <c r="AB324" s="86">
        <v>7.08</v>
      </c>
      <c r="AC324" s="74">
        <f t="shared" si="188"/>
        <v>147.189480675422</v>
      </c>
      <c r="AD324" s="74">
        <f t="shared" si="185"/>
        <v>1386.14036013133</v>
      </c>
      <c r="AE324" s="74">
        <f t="shared" si="189"/>
        <v>209.691639868668</v>
      </c>
    </row>
    <row r="325" customFormat="1" spans="1:31">
      <c r="A325" s="18"/>
      <c r="B325" s="19"/>
      <c r="C325" s="20">
        <v>240909000010</v>
      </c>
      <c r="D325" s="21">
        <v>45548</v>
      </c>
      <c r="E325" s="21" t="s">
        <v>43</v>
      </c>
      <c r="F325" s="19" t="s">
        <v>44</v>
      </c>
      <c r="G325" s="19" t="s">
        <v>182</v>
      </c>
      <c r="H325" s="19">
        <v>0.1</v>
      </c>
      <c r="I325" s="45"/>
      <c r="J325" s="54">
        <v>15056.8</v>
      </c>
      <c r="K325" s="43"/>
      <c r="L325" s="49">
        <f t="shared" si="197"/>
        <v>1711</v>
      </c>
      <c r="M325" s="50">
        <v>8.8</v>
      </c>
      <c r="N325" s="44">
        <v>7.08</v>
      </c>
      <c r="O325" s="45">
        <f t="shared" si="198"/>
        <v>62.304</v>
      </c>
      <c r="P325" s="51"/>
      <c r="Q325" s="51"/>
      <c r="R325" s="74">
        <f t="shared" si="191"/>
        <v>4.19108818011257</v>
      </c>
      <c r="S325" s="74"/>
      <c r="T325" s="75">
        <f t="shared" si="192"/>
        <v>0.0087453095684803</v>
      </c>
      <c r="U325" s="74"/>
      <c r="V325" s="74"/>
      <c r="W325" s="76">
        <f t="shared" si="187"/>
        <v>4.19983348968105</v>
      </c>
      <c r="X325" s="77">
        <f t="shared" si="193"/>
        <v>0.0704727954971858</v>
      </c>
      <c r="Y325" s="77"/>
      <c r="Z325" s="77"/>
      <c r="AA325" s="77">
        <f t="shared" si="190"/>
        <v>0.0704727954971858</v>
      </c>
      <c r="AB325" s="86">
        <v>7.08</v>
      </c>
      <c r="AC325" s="74">
        <f t="shared" si="188"/>
        <v>0.498947392120075</v>
      </c>
      <c r="AD325" s="74">
        <f t="shared" si="185"/>
        <v>4.69878088180113</v>
      </c>
      <c r="AE325" s="74">
        <f t="shared" si="189"/>
        <v>57.6052191181989</v>
      </c>
    </row>
    <row r="326" customFormat="1" spans="1:31">
      <c r="A326" s="18"/>
      <c r="B326" s="19"/>
      <c r="C326" s="20">
        <v>240909000015</v>
      </c>
      <c r="D326" s="21">
        <v>45548</v>
      </c>
      <c r="E326" s="21" t="s">
        <v>43</v>
      </c>
      <c r="F326" s="19" t="s">
        <v>44</v>
      </c>
      <c r="G326" s="19" t="s">
        <v>170</v>
      </c>
      <c r="H326" s="19">
        <v>8.5</v>
      </c>
      <c r="I326" s="41">
        <v>595</v>
      </c>
      <c r="J326" s="53"/>
      <c r="K326" s="43"/>
      <c r="L326" s="19"/>
      <c r="M326" s="43"/>
      <c r="N326" s="44"/>
      <c r="O326" s="45">
        <f t="shared" si="199"/>
        <v>595</v>
      </c>
      <c r="P326" s="51"/>
      <c r="Q326" s="51"/>
      <c r="R326" s="74">
        <f t="shared" si="191"/>
        <v>356.242495309568</v>
      </c>
      <c r="S326" s="74"/>
      <c r="T326" s="75">
        <f t="shared" si="192"/>
        <v>0.743351313320825</v>
      </c>
      <c r="U326" s="74"/>
      <c r="V326" s="74"/>
      <c r="W326" s="76">
        <f t="shared" si="187"/>
        <v>356.985846622889</v>
      </c>
      <c r="X326" s="77">
        <f t="shared" si="193"/>
        <v>5.99018761726079</v>
      </c>
      <c r="Y326" s="77"/>
      <c r="Z326" s="77"/>
      <c r="AA326" s="77">
        <f t="shared" si="190"/>
        <v>5.99018761726079</v>
      </c>
      <c r="AB326" s="86">
        <v>7.08</v>
      </c>
      <c r="AC326" s="74">
        <f t="shared" si="188"/>
        <v>42.4105283302064</v>
      </c>
      <c r="AD326" s="74">
        <f t="shared" si="185"/>
        <v>399.396374953096</v>
      </c>
      <c r="AE326" s="74">
        <f t="shared" si="189"/>
        <v>195.603625046904</v>
      </c>
    </row>
    <row r="327" customFormat="1" spans="1:31">
      <c r="A327" s="18"/>
      <c r="B327" s="19"/>
      <c r="C327" s="20">
        <v>240909000020</v>
      </c>
      <c r="D327" s="21">
        <v>45548</v>
      </c>
      <c r="E327" s="21" t="s">
        <v>62</v>
      </c>
      <c r="F327" s="19" t="s">
        <v>63</v>
      </c>
      <c r="G327" s="19" t="s">
        <v>88</v>
      </c>
      <c r="H327" s="19">
        <v>7.5</v>
      </c>
      <c r="I327" s="41">
        <v>382.5</v>
      </c>
      <c r="J327" s="53"/>
      <c r="K327" s="43"/>
      <c r="L327" s="19"/>
      <c r="M327" s="43"/>
      <c r="N327" s="44"/>
      <c r="O327" s="45">
        <f t="shared" si="199"/>
        <v>382.5</v>
      </c>
      <c r="P327" s="51"/>
      <c r="Q327" s="51"/>
      <c r="R327" s="74">
        <f t="shared" si="191"/>
        <v>314.331613508443</v>
      </c>
      <c r="S327" s="74"/>
      <c r="T327" s="75">
        <f t="shared" si="192"/>
        <v>0.655898217636023</v>
      </c>
      <c r="U327" s="74"/>
      <c r="V327" s="74"/>
      <c r="W327" s="76">
        <f t="shared" si="187"/>
        <v>314.987511726079</v>
      </c>
      <c r="X327" s="77">
        <f t="shared" si="193"/>
        <v>5.28545966228893</v>
      </c>
      <c r="Y327" s="77"/>
      <c r="Z327" s="77"/>
      <c r="AA327" s="77">
        <f t="shared" si="190"/>
        <v>5.28545966228893</v>
      </c>
      <c r="AB327" s="86">
        <v>7.08</v>
      </c>
      <c r="AC327" s="74">
        <f t="shared" si="188"/>
        <v>37.4210544090056</v>
      </c>
      <c r="AD327" s="74">
        <f t="shared" si="185"/>
        <v>352.408566135084</v>
      </c>
      <c r="AE327" s="74">
        <f t="shared" si="189"/>
        <v>30.0914338649155</v>
      </c>
    </row>
    <row r="328" customFormat="1" spans="1:31">
      <c r="A328" s="18"/>
      <c r="B328" s="19"/>
      <c r="C328" s="20">
        <v>240909000025</v>
      </c>
      <c r="D328" s="21">
        <v>45548</v>
      </c>
      <c r="E328" s="21" t="s">
        <v>43</v>
      </c>
      <c r="F328" s="19" t="s">
        <v>44</v>
      </c>
      <c r="G328" s="19" t="s">
        <v>108</v>
      </c>
      <c r="H328" s="19">
        <v>4.5</v>
      </c>
      <c r="I328" s="41">
        <v>273</v>
      </c>
      <c r="J328" s="53"/>
      <c r="K328" s="43"/>
      <c r="L328" s="19"/>
      <c r="M328" s="43"/>
      <c r="N328" s="44"/>
      <c r="O328" s="45">
        <f t="shared" si="199"/>
        <v>273</v>
      </c>
      <c r="P328" s="51"/>
      <c r="Q328" s="51"/>
      <c r="R328" s="74">
        <f t="shared" si="191"/>
        <v>188.598968105066</v>
      </c>
      <c r="S328" s="74"/>
      <c r="T328" s="75">
        <f t="shared" si="192"/>
        <v>0.393538930581613</v>
      </c>
      <c r="U328" s="74"/>
      <c r="V328" s="74"/>
      <c r="W328" s="76">
        <f t="shared" si="187"/>
        <v>188.992507035647</v>
      </c>
      <c r="X328" s="77">
        <f t="shared" si="193"/>
        <v>3.17127579737336</v>
      </c>
      <c r="Y328" s="77"/>
      <c r="Z328" s="77"/>
      <c r="AA328" s="77">
        <f t="shared" si="190"/>
        <v>3.17127579737336</v>
      </c>
      <c r="AB328" s="86">
        <v>7.08</v>
      </c>
      <c r="AC328" s="74">
        <f t="shared" si="188"/>
        <v>22.4526326454034</v>
      </c>
      <c r="AD328" s="74">
        <f t="shared" si="185"/>
        <v>211.445139681051</v>
      </c>
      <c r="AE328" s="74">
        <f t="shared" si="189"/>
        <v>61.5548603189493</v>
      </c>
    </row>
    <row r="329" customFormat="1" spans="1:31">
      <c r="A329" s="18"/>
      <c r="B329" s="19"/>
      <c r="C329" s="20">
        <v>240909000026</v>
      </c>
      <c r="D329" s="21">
        <v>45548</v>
      </c>
      <c r="E329" s="21" t="s">
        <v>43</v>
      </c>
      <c r="F329" s="19" t="s">
        <v>44</v>
      </c>
      <c r="G329" s="19" t="s">
        <v>108</v>
      </c>
      <c r="H329" s="19">
        <v>4</v>
      </c>
      <c r="I329" s="41">
        <v>267</v>
      </c>
      <c r="J329" s="53"/>
      <c r="K329" s="43"/>
      <c r="L329" s="19"/>
      <c r="M329" s="43"/>
      <c r="N329" s="44"/>
      <c r="O329" s="45">
        <f t="shared" si="199"/>
        <v>267</v>
      </c>
      <c r="P329" s="51"/>
      <c r="Q329" s="51"/>
      <c r="R329" s="74">
        <f t="shared" si="191"/>
        <v>167.643527204503</v>
      </c>
      <c r="S329" s="74"/>
      <c r="T329" s="75">
        <f t="shared" si="192"/>
        <v>0.349812382739212</v>
      </c>
      <c r="U329" s="74"/>
      <c r="V329" s="74"/>
      <c r="W329" s="76">
        <f t="shared" si="187"/>
        <v>167.993339587242</v>
      </c>
      <c r="X329" s="77">
        <f t="shared" si="193"/>
        <v>2.81891181988743</v>
      </c>
      <c r="Y329" s="77"/>
      <c r="Z329" s="77"/>
      <c r="AA329" s="77">
        <f t="shared" si="190"/>
        <v>2.81891181988743</v>
      </c>
      <c r="AB329" s="86">
        <v>7.08</v>
      </c>
      <c r="AC329" s="74">
        <f t="shared" si="188"/>
        <v>19.957895684803</v>
      </c>
      <c r="AD329" s="74">
        <f t="shared" si="185"/>
        <v>187.951235272045</v>
      </c>
      <c r="AE329" s="74">
        <f t="shared" si="189"/>
        <v>79.048764727955</v>
      </c>
    </row>
    <row r="330" customFormat="1" spans="1:31">
      <c r="A330" s="18"/>
      <c r="B330" s="19"/>
      <c r="C330" s="20">
        <v>240909000027</v>
      </c>
      <c r="D330" s="21">
        <v>45548</v>
      </c>
      <c r="E330" s="21" t="s">
        <v>43</v>
      </c>
      <c r="F330" s="19" t="s">
        <v>44</v>
      </c>
      <c r="G330" s="19" t="s">
        <v>108</v>
      </c>
      <c r="H330" s="19">
        <v>1.5</v>
      </c>
      <c r="I330" s="41">
        <v>63</v>
      </c>
      <c r="J330" s="53"/>
      <c r="K330" s="43"/>
      <c r="L330" s="19"/>
      <c r="M330" s="43"/>
      <c r="N330" s="44"/>
      <c r="O330" s="45">
        <f t="shared" si="199"/>
        <v>63</v>
      </c>
      <c r="P330" s="51"/>
      <c r="Q330" s="51"/>
      <c r="R330" s="74">
        <f t="shared" si="191"/>
        <v>62.8663227016886</v>
      </c>
      <c r="S330" s="74"/>
      <c r="T330" s="75">
        <f t="shared" si="192"/>
        <v>0.131179643527205</v>
      </c>
      <c r="U330" s="74"/>
      <c r="V330" s="74"/>
      <c r="W330" s="76">
        <f t="shared" si="187"/>
        <v>62.9975023452158</v>
      </c>
      <c r="X330" s="77">
        <f t="shared" si="193"/>
        <v>1.05709193245779</v>
      </c>
      <c r="Y330" s="77"/>
      <c r="Z330" s="77"/>
      <c r="AA330" s="77">
        <f t="shared" si="190"/>
        <v>1.05709193245779</v>
      </c>
      <c r="AB330" s="86">
        <v>7.08</v>
      </c>
      <c r="AC330" s="74">
        <f t="shared" si="188"/>
        <v>7.48421088180113</v>
      </c>
      <c r="AD330" s="74">
        <f t="shared" si="185"/>
        <v>70.4817132270169</v>
      </c>
      <c r="AE330" s="74">
        <f t="shared" si="189"/>
        <v>-7.4817132270169</v>
      </c>
    </row>
    <row r="331" customFormat="1" spans="1:31">
      <c r="A331" s="18"/>
      <c r="B331" s="19"/>
      <c r="C331" s="20">
        <v>240909000028</v>
      </c>
      <c r="D331" s="21">
        <v>45548</v>
      </c>
      <c r="E331" s="21" t="s">
        <v>43</v>
      </c>
      <c r="F331" s="19" t="s">
        <v>44</v>
      </c>
      <c r="G331" s="19" t="s">
        <v>182</v>
      </c>
      <c r="H331" s="19">
        <v>0.55</v>
      </c>
      <c r="I331" s="45"/>
      <c r="J331" s="54">
        <v>15056.8</v>
      </c>
      <c r="K331" s="43"/>
      <c r="L331" s="49">
        <f t="shared" ref="L331:L335" si="200">SUM(J331/M331)</f>
        <v>1711</v>
      </c>
      <c r="M331" s="50">
        <v>8.8</v>
      </c>
      <c r="N331" s="44">
        <v>7.08</v>
      </c>
      <c r="O331" s="45">
        <f t="shared" ref="O331:O335" si="201">SUM(M331*N331)</f>
        <v>62.304</v>
      </c>
      <c r="P331" s="51"/>
      <c r="Q331" s="51"/>
      <c r="R331" s="74">
        <f t="shared" si="191"/>
        <v>23.0509849906191</v>
      </c>
      <c r="S331" s="74"/>
      <c r="T331" s="75">
        <f t="shared" si="192"/>
        <v>0.0480992026266417</v>
      </c>
      <c r="U331" s="74"/>
      <c r="V331" s="74"/>
      <c r="W331" s="76">
        <f t="shared" si="187"/>
        <v>23.0990841932458</v>
      </c>
      <c r="X331" s="77">
        <f t="shared" si="193"/>
        <v>0.387600375234522</v>
      </c>
      <c r="Y331" s="77"/>
      <c r="Z331" s="77"/>
      <c r="AA331" s="77">
        <f t="shared" si="190"/>
        <v>0.387600375234522</v>
      </c>
      <c r="AB331" s="86">
        <v>7.08</v>
      </c>
      <c r="AC331" s="74">
        <f t="shared" si="188"/>
        <v>2.74421065666041</v>
      </c>
      <c r="AD331" s="74">
        <f t="shared" si="185"/>
        <v>25.8432948499062</v>
      </c>
      <c r="AE331" s="74">
        <f t="shared" si="189"/>
        <v>36.4607051500938</v>
      </c>
    </row>
    <row r="332" customFormat="1" spans="1:31">
      <c r="A332" s="18"/>
      <c r="B332" s="19"/>
      <c r="C332" s="20">
        <v>240909000029</v>
      </c>
      <c r="D332" s="21">
        <v>45548</v>
      </c>
      <c r="E332" s="21" t="s">
        <v>46</v>
      </c>
      <c r="F332" s="19" t="s">
        <v>47</v>
      </c>
      <c r="G332" s="19" t="s">
        <v>295</v>
      </c>
      <c r="H332" s="19">
        <v>6.5</v>
      </c>
      <c r="I332" s="41">
        <v>376</v>
      </c>
      <c r="J332" s="53"/>
      <c r="K332" s="43"/>
      <c r="L332" s="19"/>
      <c r="M332" s="43"/>
      <c r="N332" s="44"/>
      <c r="O332" s="45">
        <f t="shared" ref="O332:O336" si="202">SUM(I332)</f>
        <v>376</v>
      </c>
      <c r="P332" s="51"/>
      <c r="Q332" s="51"/>
      <c r="R332" s="74">
        <f t="shared" si="191"/>
        <v>272.420731707317</v>
      </c>
      <c r="S332" s="74"/>
      <c r="T332" s="75">
        <f t="shared" si="192"/>
        <v>0.56844512195122</v>
      </c>
      <c r="U332" s="74"/>
      <c r="V332" s="74"/>
      <c r="W332" s="76">
        <f t="shared" si="187"/>
        <v>272.989176829268</v>
      </c>
      <c r="X332" s="77">
        <f t="shared" si="193"/>
        <v>4.58073170731707</v>
      </c>
      <c r="Y332" s="77"/>
      <c r="Z332" s="77"/>
      <c r="AA332" s="77">
        <f t="shared" si="190"/>
        <v>4.58073170731707</v>
      </c>
      <c r="AB332" s="86">
        <v>7.08</v>
      </c>
      <c r="AC332" s="74">
        <f t="shared" si="188"/>
        <v>32.4315804878049</v>
      </c>
      <c r="AD332" s="74">
        <f t="shared" si="185"/>
        <v>305.420757317073</v>
      </c>
      <c r="AE332" s="74">
        <f t="shared" si="189"/>
        <v>70.5792426829268</v>
      </c>
    </row>
    <row r="333" customFormat="1" spans="1:31">
      <c r="A333" s="18"/>
      <c r="B333" s="19"/>
      <c r="C333" s="20">
        <v>240909000030</v>
      </c>
      <c r="D333" s="21">
        <v>45548</v>
      </c>
      <c r="E333" s="21" t="s">
        <v>46</v>
      </c>
      <c r="F333" s="19" t="s">
        <v>47</v>
      </c>
      <c r="G333" s="19" t="s">
        <v>119</v>
      </c>
      <c r="H333" s="19">
        <v>6.5</v>
      </c>
      <c r="I333" s="41">
        <v>415.5</v>
      </c>
      <c r="J333" s="53"/>
      <c r="K333" s="43"/>
      <c r="L333" s="19"/>
      <c r="M333" s="43"/>
      <c r="N333" s="44"/>
      <c r="O333" s="45">
        <f t="shared" si="202"/>
        <v>415.5</v>
      </c>
      <c r="P333" s="51"/>
      <c r="Q333" s="51"/>
      <c r="R333" s="74">
        <f t="shared" si="191"/>
        <v>272.420731707317</v>
      </c>
      <c r="S333" s="74"/>
      <c r="T333" s="75">
        <f t="shared" si="192"/>
        <v>0.56844512195122</v>
      </c>
      <c r="U333" s="74"/>
      <c r="V333" s="74"/>
      <c r="W333" s="76">
        <f t="shared" si="187"/>
        <v>272.989176829268</v>
      </c>
      <c r="X333" s="77">
        <f t="shared" si="193"/>
        <v>4.58073170731707</v>
      </c>
      <c r="Y333" s="77"/>
      <c r="Z333" s="77"/>
      <c r="AA333" s="77">
        <f t="shared" si="190"/>
        <v>4.58073170731707</v>
      </c>
      <c r="AB333" s="86">
        <v>7.08</v>
      </c>
      <c r="AC333" s="74">
        <f t="shared" si="188"/>
        <v>32.4315804878049</v>
      </c>
      <c r="AD333" s="74">
        <f t="shared" si="185"/>
        <v>305.420757317073</v>
      </c>
      <c r="AE333" s="74">
        <f t="shared" si="189"/>
        <v>110.079242682927</v>
      </c>
    </row>
    <row r="334" customFormat="1" spans="1:31">
      <c r="A334" s="18"/>
      <c r="B334" s="19"/>
      <c r="C334" s="20">
        <v>240909000031</v>
      </c>
      <c r="D334" s="21">
        <v>45548</v>
      </c>
      <c r="E334" s="21" t="s">
        <v>46</v>
      </c>
      <c r="F334" s="19" t="s">
        <v>47</v>
      </c>
      <c r="G334" s="19" t="s">
        <v>296</v>
      </c>
      <c r="H334" s="19">
        <v>0.12</v>
      </c>
      <c r="I334" s="45"/>
      <c r="J334" s="54">
        <v>15057</v>
      </c>
      <c r="K334" s="43"/>
      <c r="L334" s="49">
        <f t="shared" si="200"/>
        <v>1711.02272727273</v>
      </c>
      <c r="M334" s="50">
        <v>8.8</v>
      </c>
      <c r="N334" s="44">
        <v>7.08</v>
      </c>
      <c r="O334" s="45">
        <f t="shared" si="201"/>
        <v>62.304</v>
      </c>
      <c r="P334" s="51"/>
      <c r="Q334" s="51"/>
      <c r="R334" s="74">
        <f t="shared" si="191"/>
        <v>5.02930581613508</v>
      </c>
      <c r="S334" s="74"/>
      <c r="T334" s="75">
        <f t="shared" si="192"/>
        <v>0.0104943714821764</v>
      </c>
      <c r="U334" s="74"/>
      <c r="V334" s="74"/>
      <c r="W334" s="76">
        <f t="shared" si="187"/>
        <v>5.03980018761726</v>
      </c>
      <c r="X334" s="77">
        <f t="shared" si="193"/>
        <v>0.0845673545966229</v>
      </c>
      <c r="Y334" s="77"/>
      <c r="Z334" s="77"/>
      <c r="AA334" s="77">
        <f t="shared" si="190"/>
        <v>0.0845673545966229</v>
      </c>
      <c r="AB334" s="86">
        <v>7.08</v>
      </c>
      <c r="AC334" s="74">
        <f t="shared" si="188"/>
        <v>0.59873687054409</v>
      </c>
      <c r="AD334" s="74">
        <f t="shared" si="185"/>
        <v>5.63853705816135</v>
      </c>
      <c r="AE334" s="74">
        <f t="shared" si="189"/>
        <v>56.6654629418387</v>
      </c>
    </row>
    <row r="335" customFormat="1" spans="1:31">
      <c r="A335" s="18"/>
      <c r="B335" s="19"/>
      <c r="C335" s="20">
        <v>240909000035</v>
      </c>
      <c r="D335" s="21">
        <v>45548</v>
      </c>
      <c r="E335" s="21" t="s">
        <v>43</v>
      </c>
      <c r="F335" s="19" t="s">
        <v>44</v>
      </c>
      <c r="G335" s="19" t="s">
        <v>297</v>
      </c>
      <c r="H335" s="19">
        <v>36.5</v>
      </c>
      <c r="I335" s="47"/>
      <c r="J335" s="54">
        <v>479689</v>
      </c>
      <c r="K335" s="43"/>
      <c r="L335" s="49">
        <f t="shared" si="200"/>
        <v>1685.07043243053</v>
      </c>
      <c r="M335" s="50">
        <v>284.67</v>
      </c>
      <c r="N335" s="44">
        <v>7.08</v>
      </c>
      <c r="O335" s="45">
        <f t="shared" si="201"/>
        <v>2015.4636</v>
      </c>
      <c r="P335" s="51"/>
      <c r="Q335" s="51"/>
      <c r="R335" s="74">
        <f t="shared" si="191"/>
        <v>1529.74718574109</v>
      </c>
      <c r="S335" s="74"/>
      <c r="T335" s="75">
        <f t="shared" si="192"/>
        <v>3.19203799249531</v>
      </c>
      <c r="U335" s="74"/>
      <c r="V335" s="74"/>
      <c r="W335" s="76">
        <f t="shared" si="187"/>
        <v>1532.93922373358</v>
      </c>
      <c r="X335" s="77">
        <f t="shared" si="193"/>
        <v>25.7225703564728</v>
      </c>
      <c r="Y335" s="77"/>
      <c r="Z335" s="77"/>
      <c r="AA335" s="77">
        <f t="shared" si="190"/>
        <v>25.7225703564728</v>
      </c>
      <c r="AB335" s="86">
        <v>7.08</v>
      </c>
      <c r="AC335" s="74">
        <f t="shared" si="188"/>
        <v>182.115798123827</v>
      </c>
      <c r="AD335" s="74">
        <f t="shared" si="185"/>
        <v>1715.05502185741</v>
      </c>
      <c r="AE335" s="74">
        <f t="shared" si="189"/>
        <v>300.408578142589</v>
      </c>
    </row>
    <row r="336" customFormat="1" spans="1:31">
      <c r="A336" s="18"/>
      <c r="B336" s="19"/>
      <c r="C336" s="20">
        <v>240909000041</v>
      </c>
      <c r="D336" s="21">
        <v>45548</v>
      </c>
      <c r="E336" s="21" t="s">
        <v>43</v>
      </c>
      <c r="F336" s="19" t="s">
        <v>44</v>
      </c>
      <c r="G336" s="19" t="s">
        <v>170</v>
      </c>
      <c r="H336" s="19">
        <v>0.36</v>
      </c>
      <c r="I336" s="41">
        <v>69</v>
      </c>
      <c r="J336" s="53"/>
      <c r="K336" s="43"/>
      <c r="L336" s="19"/>
      <c r="M336" s="43"/>
      <c r="N336" s="44"/>
      <c r="O336" s="45">
        <f t="shared" si="202"/>
        <v>69</v>
      </c>
      <c r="P336" s="51"/>
      <c r="Q336" s="51"/>
      <c r="R336" s="74">
        <f t="shared" si="191"/>
        <v>15.0879174484053</v>
      </c>
      <c r="S336" s="74"/>
      <c r="T336" s="75">
        <f t="shared" si="192"/>
        <v>0.0314831144465291</v>
      </c>
      <c r="U336" s="74"/>
      <c r="V336" s="74"/>
      <c r="W336" s="76">
        <f t="shared" si="187"/>
        <v>15.1194005628518</v>
      </c>
      <c r="X336" s="77">
        <f t="shared" si="193"/>
        <v>0.253702063789869</v>
      </c>
      <c r="Y336" s="77"/>
      <c r="Z336" s="77"/>
      <c r="AA336" s="77">
        <f t="shared" si="190"/>
        <v>0.253702063789869</v>
      </c>
      <c r="AB336" s="86">
        <v>7.08</v>
      </c>
      <c r="AC336" s="74">
        <f t="shared" si="188"/>
        <v>1.79621061163227</v>
      </c>
      <c r="AD336" s="74">
        <f t="shared" si="185"/>
        <v>16.9156111744841</v>
      </c>
      <c r="AE336" s="74">
        <f t="shared" si="189"/>
        <v>52.0843888255159</v>
      </c>
    </row>
    <row r="337" customFormat="1" spans="1:31">
      <c r="A337" s="18"/>
      <c r="B337" s="19"/>
      <c r="C337" s="20">
        <v>240909000046</v>
      </c>
      <c r="D337" s="21">
        <v>45548</v>
      </c>
      <c r="E337" s="21" t="s">
        <v>62</v>
      </c>
      <c r="F337" s="19" t="s">
        <v>63</v>
      </c>
      <c r="G337" s="19" t="s">
        <v>102</v>
      </c>
      <c r="H337" s="19">
        <v>0.36</v>
      </c>
      <c r="I337" s="47"/>
      <c r="J337" s="54">
        <v>15309</v>
      </c>
      <c r="K337" s="43"/>
      <c r="L337" s="49">
        <f>SUM(J337/M337)</f>
        <v>1722.04724409449</v>
      </c>
      <c r="M337" s="50">
        <v>8.89</v>
      </c>
      <c r="N337" s="44">
        <v>7.08</v>
      </c>
      <c r="O337" s="45">
        <f t="shared" ref="O337:O339" si="203">SUM(M337*N337)</f>
        <v>62.9412</v>
      </c>
      <c r="P337" s="51"/>
      <c r="Q337" s="51"/>
      <c r="R337" s="74">
        <f t="shared" si="191"/>
        <v>15.0879174484053</v>
      </c>
      <c r="S337" s="74"/>
      <c r="T337" s="75">
        <f t="shared" si="192"/>
        <v>0.0314831144465291</v>
      </c>
      <c r="U337" s="74"/>
      <c r="V337" s="74"/>
      <c r="W337" s="76">
        <f t="shared" si="187"/>
        <v>15.1194005628518</v>
      </c>
      <c r="X337" s="77">
        <f t="shared" si="193"/>
        <v>0.253702063789869</v>
      </c>
      <c r="Y337" s="77"/>
      <c r="Z337" s="77"/>
      <c r="AA337" s="77">
        <f t="shared" si="190"/>
        <v>0.253702063789869</v>
      </c>
      <c r="AB337" s="86">
        <v>7.08</v>
      </c>
      <c r="AC337" s="74">
        <f t="shared" si="188"/>
        <v>1.79621061163227</v>
      </c>
      <c r="AD337" s="74">
        <f t="shared" si="185"/>
        <v>16.9156111744841</v>
      </c>
      <c r="AE337" s="74">
        <f t="shared" si="189"/>
        <v>46.025588825516</v>
      </c>
    </row>
    <row r="338" customFormat="1" spans="1:31">
      <c r="A338" s="18"/>
      <c r="B338" s="19"/>
      <c r="C338" s="20">
        <v>240909000051</v>
      </c>
      <c r="D338" s="21">
        <v>45548</v>
      </c>
      <c r="E338" s="21" t="s">
        <v>62</v>
      </c>
      <c r="F338" s="19" t="s">
        <v>63</v>
      </c>
      <c r="G338" s="19" t="s">
        <v>298</v>
      </c>
      <c r="H338" s="19">
        <v>14</v>
      </c>
      <c r="I338" s="47"/>
      <c r="J338" s="54">
        <v>195372</v>
      </c>
      <c r="K338" s="43"/>
      <c r="L338" s="49">
        <f>SUM(J338/M338)</f>
        <v>1720.58124174373</v>
      </c>
      <c r="M338" s="50">
        <v>113.55</v>
      </c>
      <c r="N338" s="44">
        <v>7.08</v>
      </c>
      <c r="O338" s="45">
        <f t="shared" si="203"/>
        <v>803.934</v>
      </c>
      <c r="P338" s="51"/>
      <c r="Q338" s="51"/>
      <c r="R338" s="74">
        <f t="shared" si="191"/>
        <v>586.75234521576</v>
      </c>
      <c r="S338" s="74"/>
      <c r="T338" s="75">
        <f t="shared" si="192"/>
        <v>1.22434333958724</v>
      </c>
      <c r="U338" s="74"/>
      <c r="V338" s="74"/>
      <c r="W338" s="76">
        <f t="shared" si="187"/>
        <v>587.976688555347</v>
      </c>
      <c r="X338" s="77">
        <f t="shared" si="193"/>
        <v>9.86619136960601</v>
      </c>
      <c r="Y338" s="77"/>
      <c r="Z338" s="77"/>
      <c r="AA338" s="77">
        <f t="shared" si="190"/>
        <v>9.86619136960601</v>
      </c>
      <c r="AB338" s="86">
        <v>7.08</v>
      </c>
      <c r="AC338" s="74">
        <f t="shared" si="188"/>
        <v>69.8526348968105</v>
      </c>
      <c r="AD338" s="74">
        <f t="shared" si="185"/>
        <v>657.829323452158</v>
      </c>
      <c r="AE338" s="74">
        <f t="shared" si="189"/>
        <v>146.104676547842</v>
      </c>
    </row>
    <row r="339" customFormat="1" spans="1:31">
      <c r="A339" s="18"/>
      <c r="B339" s="19"/>
      <c r="C339" s="20">
        <v>240909000058</v>
      </c>
      <c r="D339" s="21">
        <v>45548</v>
      </c>
      <c r="E339" s="21" t="s">
        <v>62</v>
      </c>
      <c r="F339" s="19" t="s">
        <v>255</v>
      </c>
      <c r="G339" s="19" t="s">
        <v>255</v>
      </c>
      <c r="H339" s="19">
        <v>3.5</v>
      </c>
      <c r="I339" s="45"/>
      <c r="J339" s="54">
        <v>58270.5</v>
      </c>
      <c r="K339" s="43"/>
      <c r="L339" s="49">
        <f>SUM(J339/M339)</f>
        <v>1725</v>
      </c>
      <c r="M339" s="50">
        <v>33.78</v>
      </c>
      <c r="N339" s="44">
        <v>7.08</v>
      </c>
      <c r="O339" s="45">
        <f t="shared" si="203"/>
        <v>239.1624</v>
      </c>
      <c r="P339" s="51"/>
      <c r="Q339" s="51"/>
      <c r="R339" s="74">
        <f t="shared" si="191"/>
        <v>146.68808630394</v>
      </c>
      <c r="S339" s="74"/>
      <c r="T339" s="75">
        <f t="shared" si="192"/>
        <v>0.306085834896811</v>
      </c>
      <c r="U339" s="74">
        <v>30</v>
      </c>
      <c r="V339" s="74"/>
      <c r="W339" s="76">
        <f t="shared" si="187"/>
        <v>176.994172138837</v>
      </c>
      <c r="X339" s="77">
        <f t="shared" si="193"/>
        <v>2.4665478424015</v>
      </c>
      <c r="Y339" s="77"/>
      <c r="Z339" s="77"/>
      <c r="AA339" s="77">
        <f t="shared" si="190"/>
        <v>2.4665478424015</v>
      </c>
      <c r="AB339" s="86">
        <v>7.08</v>
      </c>
      <c r="AC339" s="74">
        <f t="shared" si="188"/>
        <v>17.4631587242026</v>
      </c>
      <c r="AD339" s="74">
        <f t="shared" si="185"/>
        <v>194.457330863039</v>
      </c>
      <c r="AE339" s="74">
        <f t="shared" ref="AE339:AE353" si="204">SUM(O339-AD339)</f>
        <v>44.7050691369606</v>
      </c>
    </row>
    <row r="340" customFormat="1" spans="1:31">
      <c r="A340" s="18"/>
      <c r="B340" s="19"/>
      <c r="C340" s="20">
        <v>240910000013</v>
      </c>
      <c r="D340" s="21">
        <v>45548</v>
      </c>
      <c r="E340" s="21" t="s">
        <v>62</v>
      </c>
      <c r="F340" s="19" t="s">
        <v>63</v>
      </c>
      <c r="G340" s="19" t="s">
        <v>299</v>
      </c>
      <c r="H340" s="19">
        <v>2</v>
      </c>
      <c r="I340" s="41">
        <v>120</v>
      </c>
      <c r="J340" s="53"/>
      <c r="K340" s="43"/>
      <c r="L340" s="19"/>
      <c r="M340" s="43"/>
      <c r="N340" s="44"/>
      <c r="O340" s="45">
        <f t="shared" ref="O340:O344" si="205">SUM(I340)</f>
        <v>120</v>
      </c>
      <c r="P340" s="51"/>
      <c r="Q340" s="51"/>
      <c r="R340" s="74">
        <f t="shared" si="191"/>
        <v>83.8217636022514</v>
      </c>
      <c r="S340" s="74"/>
      <c r="T340" s="75">
        <f t="shared" si="192"/>
        <v>0.174906191369606</v>
      </c>
      <c r="U340" s="74"/>
      <c r="V340" s="74"/>
      <c r="W340" s="76">
        <f t="shared" si="187"/>
        <v>83.996669793621</v>
      </c>
      <c r="X340" s="77">
        <f t="shared" si="193"/>
        <v>1.40945590994371</v>
      </c>
      <c r="Y340" s="77"/>
      <c r="Z340" s="77"/>
      <c r="AA340" s="77">
        <f t="shared" si="190"/>
        <v>1.40945590994371</v>
      </c>
      <c r="AB340" s="86">
        <v>7.08</v>
      </c>
      <c r="AC340" s="74">
        <f t="shared" si="188"/>
        <v>9.9789478424015</v>
      </c>
      <c r="AD340" s="74">
        <f t="shared" ref="AD340:AD353" si="206">SUM(W340+AC340)</f>
        <v>93.9756176360225</v>
      </c>
      <c r="AE340" s="74">
        <f t="shared" si="204"/>
        <v>26.0243823639775</v>
      </c>
    </row>
    <row r="341" customFormat="1" spans="1:31">
      <c r="A341" s="18"/>
      <c r="B341" s="19"/>
      <c r="C341" s="20">
        <v>240910000019</v>
      </c>
      <c r="D341" s="21">
        <v>45548</v>
      </c>
      <c r="E341" s="21" t="s">
        <v>41</v>
      </c>
      <c r="F341" s="19" t="s">
        <v>41</v>
      </c>
      <c r="G341" s="19" t="s">
        <v>300</v>
      </c>
      <c r="H341" s="19">
        <v>719</v>
      </c>
      <c r="I341" s="41">
        <v>36643.5</v>
      </c>
      <c r="J341" s="53"/>
      <c r="K341" s="91"/>
      <c r="L341" s="19"/>
      <c r="M341" s="50"/>
      <c r="N341" s="44"/>
      <c r="O341" s="45">
        <f>SUBTOTAL(9,I341)</f>
        <v>36643.5</v>
      </c>
      <c r="P341" s="51"/>
      <c r="Q341" s="51"/>
      <c r="R341" s="74">
        <f t="shared" si="191"/>
        <v>30133.9240150094</v>
      </c>
      <c r="S341" s="74"/>
      <c r="T341" s="75">
        <f t="shared" si="192"/>
        <v>62.8787757973734</v>
      </c>
      <c r="U341" s="74"/>
      <c r="V341" s="74"/>
      <c r="W341" s="76">
        <f t="shared" si="187"/>
        <v>30196.8027908068</v>
      </c>
      <c r="X341" s="77">
        <f t="shared" si="193"/>
        <v>506.699399624766</v>
      </c>
      <c r="Y341" s="77"/>
      <c r="Z341" s="77"/>
      <c r="AA341" s="77">
        <f t="shared" si="190"/>
        <v>506.699399624766</v>
      </c>
      <c r="AB341" s="86">
        <v>7.08</v>
      </c>
      <c r="AC341" s="74">
        <f t="shared" ref="AC341:AC353" si="207">SUM(AA341*AB341)</f>
        <v>3587.43174934334</v>
      </c>
      <c r="AD341" s="74">
        <f t="shared" si="206"/>
        <v>33784.2345401501</v>
      </c>
      <c r="AE341" s="74">
        <f t="shared" si="204"/>
        <v>2859.26545984991</v>
      </c>
    </row>
    <row r="342" customFormat="1" spans="1:31">
      <c r="A342" s="18"/>
      <c r="B342" s="19"/>
      <c r="C342" s="20">
        <v>240910000029</v>
      </c>
      <c r="D342" s="21">
        <v>45548</v>
      </c>
      <c r="E342" s="21" t="s">
        <v>62</v>
      </c>
      <c r="F342" s="19" t="s">
        <v>63</v>
      </c>
      <c r="G342" s="19" t="s">
        <v>301</v>
      </c>
      <c r="H342" s="19">
        <v>66</v>
      </c>
      <c r="I342" s="41">
        <v>3888</v>
      </c>
      <c r="J342" s="53"/>
      <c r="K342" s="43"/>
      <c r="L342" s="19"/>
      <c r="M342" s="43"/>
      <c r="N342" s="44"/>
      <c r="O342" s="45">
        <f t="shared" si="205"/>
        <v>3888</v>
      </c>
      <c r="P342" s="51"/>
      <c r="Q342" s="51"/>
      <c r="R342" s="74">
        <f t="shared" si="191"/>
        <v>2766.1181988743</v>
      </c>
      <c r="S342" s="74"/>
      <c r="T342" s="75">
        <f t="shared" si="192"/>
        <v>5.771904315197</v>
      </c>
      <c r="U342" s="75">
        <v>60</v>
      </c>
      <c r="V342" s="74"/>
      <c r="W342" s="76">
        <f t="shared" si="187"/>
        <v>2831.89010318949</v>
      </c>
      <c r="X342" s="77">
        <f t="shared" si="193"/>
        <v>46.5120450281426</v>
      </c>
      <c r="Y342" s="77"/>
      <c r="Z342" s="77"/>
      <c r="AA342" s="77">
        <f t="shared" si="190"/>
        <v>46.5120450281426</v>
      </c>
      <c r="AB342" s="86">
        <v>7.08</v>
      </c>
      <c r="AC342" s="74">
        <f t="shared" si="207"/>
        <v>329.30527879925</v>
      </c>
      <c r="AD342" s="74">
        <f t="shared" si="206"/>
        <v>3161.19538198874</v>
      </c>
      <c r="AE342" s="74">
        <f t="shared" si="204"/>
        <v>726.804618011257</v>
      </c>
    </row>
    <row r="343" customFormat="1" spans="1:31">
      <c r="A343" s="18"/>
      <c r="B343" s="19"/>
      <c r="C343" s="20">
        <v>240910000036</v>
      </c>
      <c r="D343" s="21">
        <v>45548</v>
      </c>
      <c r="E343" s="21" t="s">
        <v>50</v>
      </c>
      <c r="F343" s="19" t="s">
        <v>51</v>
      </c>
      <c r="G343" s="19" t="s">
        <v>114</v>
      </c>
      <c r="H343" s="19">
        <v>17</v>
      </c>
      <c r="I343" s="41">
        <v>850</v>
      </c>
      <c r="J343" s="53"/>
      <c r="K343" s="43"/>
      <c r="L343" s="19"/>
      <c r="M343" s="43"/>
      <c r="N343" s="44"/>
      <c r="O343" s="45">
        <f t="shared" si="205"/>
        <v>850</v>
      </c>
      <c r="P343" s="52"/>
      <c r="Q343" s="52"/>
      <c r="R343" s="74">
        <f t="shared" si="191"/>
        <v>712.484990619137</v>
      </c>
      <c r="S343" s="74"/>
      <c r="T343" s="75">
        <f t="shared" si="192"/>
        <v>1.48670262664165</v>
      </c>
      <c r="U343" s="74"/>
      <c r="V343" s="74"/>
      <c r="W343" s="76">
        <f t="shared" ref="W343:W353" si="208">SUM(R343:V343)</f>
        <v>713.971693245779</v>
      </c>
      <c r="X343" s="77">
        <f t="shared" si="193"/>
        <v>11.9803752345216</v>
      </c>
      <c r="Y343" s="77"/>
      <c r="Z343" s="77"/>
      <c r="AA343" s="77">
        <f t="shared" ref="AA343:AA353" si="209">SUM(X343:Z343)</f>
        <v>11.9803752345216</v>
      </c>
      <c r="AB343" s="86">
        <v>7.08</v>
      </c>
      <c r="AC343" s="74">
        <f t="shared" si="207"/>
        <v>84.8210566604128</v>
      </c>
      <c r="AD343" s="74">
        <f t="shared" si="206"/>
        <v>798.792749906191</v>
      </c>
      <c r="AE343" s="74">
        <f t="shared" si="204"/>
        <v>51.2072500938086</v>
      </c>
    </row>
    <row r="344" customFormat="1" spans="1:31">
      <c r="A344" s="18" t="s">
        <v>302</v>
      </c>
      <c r="B344" s="19" t="s">
        <v>303</v>
      </c>
      <c r="C344" s="20">
        <v>240910000035</v>
      </c>
      <c r="D344" s="21">
        <v>45550</v>
      </c>
      <c r="E344" s="21" t="s">
        <v>50</v>
      </c>
      <c r="F344" s="19" t="s">
        <v>51</v>
      </c>
      <c r="G344" s="19" t="s">
        <v>114</v>
      </c>
      <c r="H344" s="19">
        <v>2</v>
      </c>
      <c r="I344" s="41">
        <v>365</v>
      </c>
      <c r="J344" s="53"/>
      <c r="K344" s="43"/>
      <c r="L344" s="19"/>
      <c r="M344" s="43"/>
      <c r="N344" s="44"/>
      <c r="O344" s="45">
        <f t="shared" si="205"/>
        <v>365</v>
      </c>
      <c r="P344" s="46">
        <f>SUM(O344:O353)</f>
        <v>5732.3984</v>
      </c>
      <c r="Q344" s="46" t="s">
        <v>40</v>
      </c>
      <c r="R344" s="74">
        <f>SUM(2500/32)*H344</f>
        <v>156.25</v>
      </c>
      <c r="S344" s="74"/>
      <c r="T344" s="75">
        <f>SUM(81.99/32)*H344</f>
        <v>5.124375</v>
      </c>
      <c r="U344" s="74"/>
      <c r="V344" s="74"/>
      <c r="W344" s="76">
        <f t="shared" si="208"/>
        <v>161.374375</v>
      </c>
      <c r="X344" s="77">
        <f>SUM(124.8/32)*H344</f>
        <v>7.8</v>
      </c>
      <c r="Y344" s="77"/>
      <c r="Z344" s="77"/>
      <c r="AA344" s="77">
        <f t="shared" si="209"/>
        <v>7.8</v>
      </c>
      <c r="AB344" s="86">
        <v>7.08</v>
      </c>
      <c r="AC344" s="74">
        <f t="shared" si="207"/>
        <v>55.224</v>
      </c>
      <c r="AD344" s="74">
        <f t="shared" si="206"/>
        <v>216.598375</v>
      </c>
      <c r="AE344" s="74">
        <f t="shared" si="204"/>
        <v>148.401625</v>
      </c>
    </row>
    <row r="345" customFormat="1" spans="1:31">
      <c r="A345" s="18"/>
      <c r="B345" s="19"/>
      <c r="C345" s="20">
        <v>240911000003</v>
      </c>
      <c r="D345" s="21">
        <v>45550</v>
      </c>
      <c r="E345" s="21" t="s">
        <v>43</v>
      </c>
      <c r="F345" s="19" t="s">
        <v>44</v>
      </c>
      <c r="G345" s="19" t="s">
        <v>142</v>
      </c>
      <c r="H345" s="19">
        <v>1.5</v>
      </c>
      <c r="I345" s="47"/>
      <c r="J345" s="54">
        <v>40969</v>
      </c>
      <c r="K345" s="43"/>
      <c r="L345" s="49">
        <f>SUM(J345/M345)</f>
        <v>1681.8144499179</v>
      </c>
      <c r="M345" s="50">
        <v>24.36</v>
      </c>
      <c r="N345" s="44">
        <v>7.08</v>
      </c>
      <c r="O345" s="45">
        <f>SUM(M345*N345)</f>
        <v>172.4688</v>
      </c>
      <c r="P345" s="51"/>
      <c r="Q345" s="51"/>
      <c r="R345" s="74">
        <f t="shared" ref="R345:R353" si="210">SUM(2500/32)*H345</f>
        <v>117.1875</v>
      </c>
      <c r="S345" s="74"/>
      <c r="T345" s="75">
        <f t="shared" ref="T345:T353" si="211">SUM(81.99/32)*H345</f>
        <v>3.84328125</v>
      </c>
      <c r="U345" s="74"/>
      <c r="V345" s="74"/>
      <c r="W345" s="76">
        <f t="shared" si="208"/>
        <v>121.03078125</v>
      </c>
      <c r="X345" s="77">
        <f t="shared" ref="X345:X353" si="212">SUM(124.8/32)*H345</f>
        <v>5.85</v>
      </c>
      <c r="Y345" s="77"/>
      <c r="Z345" s="77"/>
      <c r="AA345" s="77">
        <f t="shared" si="209"/>
        <v>5.85</v>
      </c>
      <c r="AB345" s="86">
        <v>7.08</v>
      </c>
      <c r="AC345" s="74">
        <f t="shared" si="207"/>
        <v>41.418</v>
      </c>
      <c r="AD345" s="74">
        <f t="shared" si="206"/>
        <v>162.44878125</v>
      </c>
      <c r="AE345" s="74">
        <f t="shared" si="204"/>
        <v>10.02001875</v>
      </c>
    </row>
    <row r="346" customFormat="1" spans="1:31">
      <c r="A346" s="18"/>
      <c r="B346" s="19"/>
      <c r="C346" s="20">
        <v>240911000005</v>
      </c>
      <c r="D346" s="21">
        <v>45550</v>
      </c>
      <c r="E346" s="21" t="s">
        <v>46</v>
      </c>
      <c r="F346" s="19" t="s">
        <v>47</v>
      </c>
      <c r="G346" s="19" t="s">
        <v>304</v>
      </c>
      <c r="H346" s="19">
        <v>3.5</v>
      </c>
      <c r="I346" s="41">
        <v>402.5</v>
      </c>
      <c r="J346" s="53"/>
      <c r="K346" s="43"/>
      <c r="L346" s="19"/>
      <c r="M346" s="43"/>
      <c r="N346" s="44"/>
      <c r="O346" s="45">
        <f t="shared" ref="O346:O351" si="213">SUM(I346)</f>
        <v>402.5</v>
      </c>
      <c r="P346" s="51"/>
      <c r="Q346" s="51"/>
      <c r="R346" s="74">
        <f t="shared" si="210"/>
        <v>273.4375</v>
      </c>
      <c r="S346" s="74"/>
      <c r="T346" s="75">
        <f t="shared" si="211"/>
        <v>8.96765625</v>
      </c>
      <c r="U346" s="74"/>
      <c r="V346" s="74"/>
      <c r="W346" s="76">
        <f t="shared" si="208"/>
        <v>282.40515625</v>
      </c>
      <c r="X346" s="77">
        <f t="shared" si="212"/>
        <v>13.65</v>
      </c>
      <c r="Y346" s="77"/>
      <c r="Z346" s="77"/>
      <c r="AA346" s="77">
        <f t="shared" si="209"/>
        <v>13.65</v>
      </c>
      <c r="AB346" s="86">
        <v>7.08</v>
      </c>
      <c r="AC346" s="74">
        <f t="shared" si="207"/>
        <v>96.642</v>
      </c>
      <c r="AD346" s="74">
        <f t="shared" si="206"/>
        <v>379.04715625</v>
      </c>
      <c r="AE346" s="74">
        <f t="shared" si="204"/>
        <v>23.45284375</v>
      </c>
    </row>
    <row r="347" customFormat="1" spans="1:31">
      <c r="A347" s="18"/>
      <c r="B347" s="19"/>
      <c r="C347" s="20">
        <v>240911000022</v>
      </c>
      <c r="D347" s="21">
        <v>45550</v>
      </c>
      <c r="E347" s="21" t="s">
        <v>62</v>
      </c>
      <c r="F347" s="19" t="s">
        <v>63</v>
      </c>
      <c r="G347" s="19" t="s">
        <v>305</v>
      </c>
      <c r="H347" s="19">
        <v>13.5</v>
      </c>
      <c r="I347" s="47"/>
      <c r="J347" s="54">
        <v>368720</v>
      </c>
      <c r="K347" s="43"/>
      <c r="L347" s="49">
        <f>SUM(J347/M347)</f>
        <v>1681.57978747663</v>
      </c>
      <c r="M347" s="50">
        <v>219.27</v>
      </c>
      <c r="N347" s="44">
        <v>7.08</v>
      </c>
      <c r="O347" s="45">
        <f>SUM(M347*N347)</f>
        <v>1552.4316</v>
      </c>
      <c r="P347" s="51"/>
      <c r="Q347" s="51"/>
      <c r="R347" s="74">
        <f t="shared" si="210"/>
        <v>1054.6875</v>
      </c>
      <c r="S347" s="74"/>
      <c r="T347" s="75">
        <f t="shared" si="211"/>
        <v>34.58953125</v>
      </c>
      <c r="U347" s="74"/>
      <c r="V347" s="74"/>
      <c r="W347" s="76">
        <f t="shared" si="208"/>
        <v>1089.27703125</v>
      </c>
      <c r="X347" s="77">
        <f t="shared" si="212"/>
        <v>52.65</v>
      </c>
      <c r="Y347" s="77"/>
      <c r="Z347" s="77"/>
      <c r="AA347" s="77">
        <f t="shared" si="209"/>
        <v>52.65</v>
      </c>
      <c r="AB347" s="86">
        <v>7.08</v>
      </c>
      <c r="AC347" s="74">
        <f t="shared" si="207"/>
        <v>372.762</v>
      </c>
      <c r="AD347" s="74">
        <f t="shared" si="206"/>
        <v>1462.03903125</v>
      </c>
      <c r="AE347" s="74">
        <f t="shared" si="204"/>
        <v>90.39256875</v>
      </c>
    </row>
    <row r="348" customFormat="1" spans="1:31">
      <c r="A348" s="18"/>
      <c r="B348" s="19"/>
      <c r="C348" s="20">
        <v>240911000026</v>
      </c>
      <c r="D348" s="21">
        <v>45550</v>
      </c>
      <c r="E348" s="21" t="s">
        <v>37</v>
      </c>
      <c r="F348" s="19" t="s">
        <v>38</v>
      </c>
      <c r="G348" s="19" t="s">
        <v>306</v>
      </c>
      <c r="H348" s="19">
        <v>0.1</v>
      </c>
      <c r="I348" s="41">
        <v>120</v>
      </c>
      <c r="J348" s="53"/>
      <c r="K348" s="43"/>
      <c r="L348" s="19"/>
      <c r="M348" s="43"/>
      <c r="N348" s="44"/>
      <c r="O348" s="45">
        <f t="shared" si="213"/>
        <v>120</v>
      </c>
      <c r="P348" s="51"/>
      <c r="Q348" s="51"/>
      <c r="R348" s="74">
        <f t="shared" si="210"/>
        <v>7.8125</v>
      </c>
      <c r="S348" s="74"/>
      <c r="T348" s="75">
        <f t="shared" si="211"/>
        <v>0.25621875</v>
      </c>
      <c r="U348" s="74"/>
      <c r="V348" s="74"/>
      <c r="W348" s="76">
        <f t="shared" si="208"/>
        <v>8.06871875</v>
      </c>
      <c r="X348" s="77">
        <f t="shared" si="212"/>
        <v>0.39</v>
      </c>
      <c r="Y348" s="77"/>
      <c r="Z348" s="77"/>
      <c r="AA348" s="77">
        <f t="shared" si="209"/>
        <v>0.39</v>
      </c>
      <c r="AB348" s="86">
        <v>7.08</v>
      </c>
      <c r="AC348" s="74">
        <f t="shared" si="207"/>
        <v>2.7612</v>
      </c>
      <c r="AD348" s="74">
        <f t="shared" si="206"/>
        <v>10.82991875</v>
      </c>
      <c r="AE348" s="74">
        <f t="shared" si="204"/>
        <v>109.17008125</v>
      </c>
    </row>
    <row r="349" customFormat="1" spans="1:31">
      <c r="A349" s="18"/>
      <c r="B349" s="19"/>
      <c r="C349" s="20">
        <v>240911000030</v>
      </c>
      <c r="D349" s="21">
        <v>45550</v>
      </c>
      <c r="E349" s="21" t="s">
        <v>41</v>
      </c>
      <c r="F349" s="19" t="s">
        <v>41</v>
      </c>
      <c r="G349" s="19" t="s">
        <v>79</v>
      </c>
      <c r="H349" s="19">
        <v>1.5</v>
      </c>
      <c r="I349" s="41">
        <v>172.5</v>
      </c>
      <c r="J349" s="53"/>
      <c r="K349" s="43"/>
      <c r="L349" s="19"/>
      <c r="M349" s="43"/>
      <c r="N349" s="44"/>
      <c r="O349" s="45">
        <f t="shared" si="213"/>
        <v>172.5</v>
      </c>
      <c r="P349" s="51"/>
      <c r="Q349" s="51"/>
      <c r="R349" s="74">
        <f t="shared" si="210"/>
        <v>117.1875</v>
      </c>
      <c r="S349" s="74"/>
      <c r="T349" s="75">
        <f t="shared" si="211"/>
        <v>3.84328125</v>
      </c>
      <c r="U349" s="74"/>
      <c r="V349" s="74"/>
      <c r="W349" s="76">
        <f t="shared" si="208"/>
        <v>121.03078125</v>
      </c>
      <c r="X349" s="77">
        <f t="shared" si="212"/>
        <v>5.85</v>
      </c>
      <c r="Y349" s="77"/>
      <c r="Z349" s="77"/>
      <c r="AA349" s="77">
        <f t="shared" si="209"/>
        <v>5.85</v>
      </c>
      <c r="AB349" s="86">
        <v>7.08</v>
      </c>
      <c r="AC349" s="74">
        <f t="shared" si="207"/>
        <v>41.418</v>
      </c>
      <c r="AD349" s="74">
        <f t="shared" si="206"/>
        <v>162.44878125</v>
      </c>
      <c r="AE349" s="74">
        <f t="shared" si="204"/>
        <v>10.05121875</v>
      </c>
    </row>
    <row r="350" customFormat="1" spans="1:31">
      <c r="A350" s="18"/>
      <c r="B350" s="19"/>
      <c r="C350" s="20">
        <v>240912000005</v>
      </c>
      <c r="D350" s="21">
        <v>45550</v>
      </c>
      <c r="E350" s="21" t="s">
        <v>50</v>
      </c>
      <c r="F350" s="19" t="s">
        <v>51</v>
      </c>
      <c r="G350" s="19" t="s">
        <v>307</v>
      </c>
      <c r="H350" s="19">
        <v>0.833</v>
      </c>
      <c r="I350" s="41">
        <v>150</v>
      </c>
      <c r="J350" s="53"/>
      <c r="K350" s="43"/>
      <c r="L350" s="19"/>
      <c r="M350" s="43"/>
      <c r="N350" s="44"/>
      <c r="O350" s="45">
        <f t="shared" si="213"/>
        <v>150</v>
      </c>
      <c r="P350" s="51"/>
      <c r="Q350" s="51"/>
      <c r="R350" s="74">
        <f t="shared" si="210"/>
        <v>65.078125</v>
      </c>
      <c r="S350" s="74"/>
      <c r="T350" s="75">
        <f t="shared" si="211"/>
        <v>2.1343021875</v>
      </c>
      <c r="U350" s="74"/>
      <c r="V350" s="74"/>
      <c r="W350" s="76">
        <f t="shared" si="208"/>
        <v>67.2124271875</v>
      </c>
      <c r="X350" s="77">
        <f t="shared" si="212"/>
        <v>3.2487</v>
      </c>
      <c r="Y350" s="77"/>
      <c r="Z350" s="77"/>
      <c r="AA350" s="77">
        <f t="shared" si="209"/>
        <v>3.2487</v>
      </c>
      <c r="AB350" s="86">
        <v>7.08</v>
      </c>
      <c r="AC350" s="74">
        <f t="shared" si="207"/>
        <v>23.000796</v>
      </c>
      <c r="AD350" s="74">
        <f t="shared" ref="AD350:AD366" si="214">SUM(W350+AC350)</f>
        <v>90.2132231875</v>
      </c>
      <c r="AE350" s="74">
        <f t="shared" si="204"/>
        <v>59.7867768125</v>
      </c>
    </row>
    <row r="351" customFormat="1" spans="1:31">
      <c r="A351" s="18"/>
      <c r="B351" s="19"/>
      <c r="C351" s="20">
        <v>240912000051</v>
      </c>
      <c r="D351" s="21">
        <v>45550</v>
      </c>
      <c r="E351" s="21" t="s">
        <v>50</v>
      </c>
      <c r="F351" s="19" t="s">
        <v>51</v>
      </c>
      <c r="G351" s="19" t="s">
        <v>71</v>
      </c>
      <c r="H351" s="19">
        <v>8.5</v>
      </c>
      <c r="I351" s="41">
        <v>2145</v>
      </c>
      <c r="J351" s="53"/>
      <c r="K351" s="43"/>
      <c r="L351" s="19"/>
      <c r="M351" s="43"/>
      <c r="N351" s="44"/>
      <c r="O351" s="45">
        <f t="shared" si="213"/>
        <v>2145</v>
      </c>
      <c r="P351" s="51"/>
      <c r="Q351" s="51"/>
      <c r="R351" s="74">
        <f t="shared" si="210"/>
        <v>664.0625</v>
      </c>
      <c r="S351" s="74"/>
      <c r="T351" s="75">
        <f t="shared" si="211"/>
        <v>21.77859375</v>
      </c>
      <c r="U351" s="74"/>
      <c r="V351" s="74"/>
      <c r="W351" s="76">
        <f t="shared" ref="W351:W368" si="215">SUM(R351:V351)</f>
        <v>685.84109375</v>
      </c>
      <c r="X351" s="77">
        <f t="shared" si="212"/>
        <v>33.15</v>
      </c>
      <c r="Y351" s="77"/>
      <c r="Z351" s="77"/>
      <c r="AA351" s="77">
        <f t="shared" si="209"/>
        <v>33.15</v>
      </c>
      <c r="AB351" s="86">
        <v>7.08</v>
      </c>
      <c r="AC351" s="74">
        <f t="shared" si="207"/>
        <v>234.702</v>
      </c>
      <c r="AD351" s="74">
        <f t="shared" si="214"/>
        <v>920.54309375</v>
      </c>
      <c r="AE351" s="74">
        <f t="shared" ref="AE351:AE366" si="216">SUM(O351-AD351)</f>
        <v>1224.45690625</v>
      </c>
    </row>
    <row r="352" customFormat="1" spans="1:31">
      <c r="A352" s="18"/>
      <c r="B352" s="19"/>
      <c r="C352" s="20">
        <v>240912000058</v>
      </c>
      <c r="D352" s="21">
        <v>45550</v>
      </c>
      <c r="E352" s="21" t="s">
        <v>43</v>
      </c>
      <c r="F352" s="19" t="s">
        <v>44</v>
      </c>
      <c r="G352" s="19" t="s">
        <v>236</v>
      </c>
      <c r="H352" s="19">
        <v>3.5</v>
      </c>
      <c r="I352" s="47"/>
      <c r="J352" s="54">
        <v>94990</v>
      </c>
      <c r="K352" s="43"/>
      <c r="L352" s="49">
        <f>SUM(J352/M352)</f>
        <v>1670.88830255057</v>
      </c>
      <c r="M352" s="50">
        <v>56.85</v>
      </c>
      <c r="N352" s="44">
        <v>7.08</v>
      </c>
      <c r="O352" s="45">
        <f>SUM(M352*N352)</f>
        <v>402.498</v>
      </c>
      <c r="P352" s="51"/>
      <c r="Q352" s="51"/>
      <c r="R352" s="74">
        <f t="shared" si="210"/>
        <v>273.4375</v>
      </c>
      <c r="S352" s="74"/>
      <c r="T352" s="75">
        <f t="shared" si="211"/>
        <v>8.96765625</v>
      </c>
      <c r="U352" s="74"/>
      <c r="V352" s="74"/>
      <c r="W352" s="76">
        <f t="shared" si="215"/>
        <v>282.40515625</v>
      </c>
      <c r="X352" s="77">
        <f t="shared" si="212"/>
        <v>13.65</v>
      </c>
      <c r="Y352" s="77"/>
      <c r="Z352" s="77"/>
      <c r="AA352" s="77">
        <f t="shared" si="209"/>
        <v>13.65</v>
      </c>
      <c r="AB352" s="86">
        <v>7.08</v>
      </c>
      <c r="AC352" s="74">
        <f t="shared" ref="AC352:AC366" si="217">SUM(AA352*AB352)</f>
        <v>96.642</v>
      </c>
      <c r="AD352" s="74">
        <f t="shared" si="214"/>
        <v>379.04715625</v>
      </c>
      <c r="AE352" s="74">
        <f t="shared" si="216"/>
        <v>23.45084375</v>
      </c>
    </row>
    <row r="353" customFormat="1" spans="1:31">
      <c r="A353" s="18"/>
      <c r="B353" s="19"/>
      <c r="C353" s="20">
        <v>240912000065</v>
      </c>
      <c r="D353" s="21">
        <v>45550</v>
      </c>
      <c r="E353" s="21" t="s">
        <v>41</v>
      </c>
      <c r="F353" s="19" t="s">
        <v>41</v>
      </c>
      <c r="G353" s="19" t="s">
        <v>308</v>
      </c>
      <c r="H353" s="19">
        <v>0.47</v>
      </c>
      <c r="I353" s="41">
        <v>250</v>
      </c>
      <c r="J353" s="53"/>
      <c r="K353" s="43"/>
      <c r="L353" s="19"/>
      <c r="M353" s="43"/>
      <c r="N353" s="44"/>
      <c r="O353" s="45">
        <f t="shared" ref="O353:O357" si="218">SUM(I353)</f>
        <v>250</v>
      </c>
      <c r="P353" s="52"/>
      <c r="Q353" s="52"/>
      <c r="R353" s="74">
        <f t="shared" si="210"/>
        <v>36.71875</v>
      </c>
      <c r="S353" s="74"/>
      <c r="T353" s="75">
        <f t="shared" si="211"/>
        <v>1.204228125</v>
      </c>
      <c r="U353" s="74"/>
      <c r="V353" s="74"/>
      <c r="W353" s="76">
        <f t="shared" si="215"/>
        <v>37.922978125</v>
      </c>
      <c r="X353" s="77">
        <f t="shared" si="212"/>
        <v>1.833</v>
      </c>
      <c r="Y353" s="77"/>
      <c r="Z353" s="77"/>
      <c r="AA353" s="77">
        <f t="shared" ref="AA353:AA370" si="219">SUM(X353:Z353)</f>
        <v>1.833</v>
      </c>
      <c r="AB353" s="86">
        <v>7.08</v>
      </c>
      <c r="AC353" s="74">
        <f t="shared" si="217"/>
        <v>12.97764</v>
      </c>
      <c r="AD353" s="74">
        <f t="shared" si="214"/>
        <v>50.900618125</v>
      </c>
      <c r="AE353" s="74">
        <f t="shared" si="216"/>
        <v>199.099381875</v>
      </c>
    </row>
    <row r="354" customFormat="1" spans="1:31">
      <c r="A354" s="18" t="s">
        <v>309</v>
      </c>
      <c r="B354" s="19" t="s">
        <v>310</v>
      </c>
      <c r="C354" s="20">
        <v>240910000005</v>
      </c>
      <c r="D354" s="21">
        <v>45551</v>
      </c>
      <c r="E354" s="21" t="s">
        <v>50</v>
      </c>
      <c r="F354" s="19" t="s">
        <v>51</v>
      </c>
      <c r="G354" s="19" t="s">
        <v>311</v>
      </c>
      <c r="H354" s="19">
        <v>0.68</v>
      </c>
      <c r="I354" s="41">
        <v>170</v>
      </c>
      <c r="J354" s="53"/>
      <c r="K354" s="43"/>
      <c r="L354" s="19"/>
      <c r="M354" s="43"/>
      <c r="N354" s="44"/>
      <c r="O354" s="45">
        <f t="shared" si="218"/>
        <v>170</v>
      </c>
      <c r="P354" s="46">
        <f>SUM(O354:O366)</f>
        <v>10219.62441416</v>
      </c>
      <c r="Q354" s="46" t="s">
        <v>40</v>
      </c>
      <c r="R354" s="74">
        <f>SUM(4800/64)*H354</f>
        <v>51</v>
      </c>
      <c r="S354" s="74"/>
      <c r="T354" s="75">
        <f>SUM(83.67/64)*H354</f>
        <v>0.88899375</v>
      </c>
      <c r="U354" s="74"/>
      <c r="V354" s="74"/>
      <c r="W354" s="76">
        <f t="shared" si="215"/>
        <v>51.88899375</v>
      </c>
      <c r="X354" s="77">
        <f>SUM(233.78/64)*H354</f>
        <v>2.4839125</v>
      </c>
      <c r="Y354" s="77"/>
      <c r="Z354" s="77"/>
      <c r="AA354" s="77">
        <f t="shared" si="219"/>
        <v>2.4839125</v>
      </c>
      <c r="AB354" s="86">
        <v>7.08</v>
      </c>
      <c r="AC354" s="74">
        <f t="shared" si="217"/>
        <v>17.5861005</v>
      </c>
      <c r="AD354" s="74">
        <f t="shared" si="214"/>
        <v>69.47509425</v>
      </c>
      <c r="AE354" s="74">
        <f t="shared" si="216"/>
        <v>100.52490575</v>
      </c>
    </row>
    <row r="355" customFormat="1" spans="1:31">
      <c r="A355" s="18"/>
      <c r="B355" s="19"/>
      <c r="C355" s="20">
        <v>240911000001</v>
      </c>
      <c r="D355" s="21">
        <v>45551</v>
      </c>
      <c r="E355" s="21" t="s">
        <v>96</v>
      </c>
      <c r="F355" s="19" t="s">
        <v>129</v>
      </c>
      <c r="G355" s="19" t="s">
        <v>130</v>
      </c>
      <c r="H355" s="19">
        <v>0.3</v>
      </c>
      <c r="I355" s="45"/>
      <c r="J355" s="54">
        <v>28645</v>
      </c>
      <c r="K355" s="43"/>
      <c r="L355" s="49">
        <f>SUM(J355/M355)</f>
        <v>1694.97021361299</v>
      </c>
      <c r="M355" s="50">
        <v>16.900002</v>
      </c>
      <c r="N355" s="44">
        <v>7.08</v>
      </c>
      <c r="O355" s="45">
        <f>SUM(M355*N355)</f>
        <v>119.65201416</v>
      </c>
      <c r="P355" s="51"/>
      <c r="Q355" s="51"/>
      <c r="R355" s="74">
        <f t="shared" ref="R355:R366" si="220">SUM(4800/64)*H355</f>
        <v>22.5</v>
      </c>
      <c r="S355" s="74"/>
      <c r="T355" s="75">
        <f t="shared" ref="T355:T366" si="221">SUM(83.67/64)*H355</f>
        <v>0.392203125</v>
      </c>
      <c r="U355" s="74"/>
      <c r="V355" s="74"/>
      <c r="W355" s="76">
        <f t="shared" si="215"/>
        <v>22.892203125</v>
      </c>
      <c r="X355" s="77">
        <f t="shared" ref="X355:X366" si="222">SUM(233.78/64)*H355</f>
        <v>1.09584375</v>
      </c>
      <c r="Y355" s="77"/>
      <c r="Z355" s="77"/>
      <c r="AA355" s="77">
        <f t="shared" si="219"/>
        <v>1.09584375</v>
      </c>
      <c r="AB355" s="86">
        <v>7.08</v>
      </c>
      <c r="AC355" s="74">
        <f t="shared" si="217"/>
        <v>7.75857375</v>
      </c>
      <c r="AD355" s="74">
        <f t="shared" si="214"/>
        <v>30.650776875</v>
      </c>
      <c r="AE355" s="74">
        <f t="shared" si="216"/>
        <v>89.001237285</v>
      </c>
    </row>
    <row r="356" customFormat="1" spans="1:31">
      <c r="A356" s="18"/>
      <c r="B356" s="19"/>
      <c r="C356" s="20">
        <v>240911000016</v>
      </c>
      <c r="D356" s="21">
        <v>45551</v>
      </c>
      <c r="E356" s="21" t="s">
        <v>62</v>
      </c>
      <c r="F356" s="19" t="s">
        <v>63</v>
      </c>
      <c r="G356" s="19" t="s">
        <v>312</v>
      </c>
      <c r="H356" s="19">
        <v>0.66</v>
      </c>
      <c r="I356" s="41">
        <v>115</v>
      </c>
      <c r="J356" s="53"/>
      <c r="K356" s="43"/>
      <c r="L356" s="19"/>
      <c r="M356" s="43"/>
      <c r="N356" s="44"/>
      <c r="O356" s="45">
        <f t="shared" si="218"/>
        <v>115</v>
      </c>
      <c r="P356" s="51"/>
      <c r="Q356" s="51"/>
      <c r="R356" s="74">
        <f t="shared" si="220"/>
        <v>49.5</v>
      </c>
      <c r="S356" s="74"/>
      <c r="T356" s="75">
        <f t="shared" si="221"/>
        <v>0.862846875</v>
      </c>
      <c r="U356" s="74"/>
      <c r="V356" s="74"/>
      <c r="W356" s="76">
        <f t="shared" si="215"/>
        <v>50.362846875</v>
      </c>
      <c r="X356" s="77">
        <f t="shared" si="222"/>
        <v>2.41085625</v>
      </c>
      <c r="Y356" s="77"/>
      <c r="Z356" s="77"/>
      <c r="AA356" s="77">
        <f t="shared" si="219"/>
        <v>2.41085625</v>
      </c>
      <c r="AB356" s="86">
        <v>7.08</v>
      </c>
      <c r="AC356" s="74">
        <f t="shared" si="217"/>
        <v>17.06886225</v>
      </c>
      <c r="AD356" s="74">
        <f t="shared" si="214"/>
        <v>67.431709125</v>
      </c>
      <c r="AE356" s="74">
        <f t="shared" si="216"/>
        <v>47.568290875</v>
      </c>
    </row>
    <row r="357" customFormat="1" spans="1:31">
      <c r="A357" s="18"/>
      <c r="B357" s="19"/>
      <c r="C357" s="20">
        <v>240911000035</v>
      </c>
      <c r="D357" s="21">
        <v>45551</v>
      </c>
      <c r="E357" s="21" t="s">
        <v>50</v>
      </c>
      <c r="F357" s="19" t="s">
        <v>51</v>
      </c>
      <c r="G357" s="19" t="s">
        <v>114</v>
      </c>
      <c r="H357" s="19">
        <v>0.64</v>
      </c>
      <c r="I357" s="41">
        <v>130</v>
      </c>
      <c r="J357" s="53"/>
      <c r="K357" s="43"/>
      <c r="L357" s="19"/>
      <c r="M357" s="43"/>
      <c r="N357" s="44"/>
      <c r="O357" s="45">
        <f t="shared" si="218"/>
        <v>130</v>
      </c>
      <c r="P357" s="51"/>
      <c r="Q357" s="51"/>
      <c r="R357" s="74">
        <f t="shared" si="220"/>
        <v>48</v>
      </c>
      <c r="S357" s="74"/>
      <c r="T357" s="75">
        <f t="shared" si="221"/>
        <v>0.8367</v>
      </c>
      <c r="U357" s="74"/>
      <c r="V357" s="75">
        <v>15</v>
      </c>
      <c r="W357" s="76">
        <f t="shared" si="215"/>
        <v>63.8367</v>
      </c>
      <c r="X357" s="77">
        <f t="shared" si="222"/>
        <v>2.3378</v>
      </c>
      <c r="Y357" s="77"/>
      <c r="Z357" s="77"/>
      <c r="AA357" s="77">
        <f t="shared" si="219"/>
        <v>2.3378</v>
      </c>
      <c r="AB357" s="86">
        <v>7.08</v>
      </c>
      <c r="AC357" s="74">
        <f t="shared" si="217"/>
        <v>16.551624</v>
      </c>
      <c r="AD357" s="74">
        <f t="shared" si="214"/>
        <v>80.388324</v>
      </c>
      <c r="AE357" s="74">
        <f t="shared" si="216"/>
        <v>49.611676</v>
      </c>
    </row>
    <row r="358" customFormat="1" spans="1:31">
      <c r="A358" s="18"/>
      <c r="B358" s="19"/>
      <c r="C358" s="20">
        <v>240912000019</v>
      </c>
      <c r="D358" s="21">
        <v>45551</v>
      </c>
      <c r="E358" s="21" t="s">
        <v>50</v>
      </c>
      <c r="F358" s="19" t="s">
        <v>51</v>
      </c>
      <c r="G358" s="19" t="s">
        <v>52</v>
      </c>
      <c r="H358" s="19">
        <v>2</v>
      </c>
      <c r="I358" s="47"/>
      <c r="J358" s="54">
        <v>121125</v>
      </c>
      <c r="K358" s="43"/>
      <c r="L358" s="49">
        <f>SUM(J358/M358)</f>
        <v>1681.59100374844</v>
      </c>
      <c r="M358" s="50">
        <v>72.03</v>
      </c>
      <c r="N358" s="44">
        <v>7.08</v>
      </c>
      <c r="O358" s="45">
        <f>SUM(M358*N358)</f>
        <v>509.9724</v>
      </c>
      <c r="P358" s="51"/>
      <c r="Q358" s="51"/>
      <c r="R358" s="74">
        <f t="shared" si="220"/>
        <v>150</v>
      </c>
      <c r="S358" s="74"/>
      <c r="T358" s="75">
        <f t="shared" si="221"/>
        <v>2.6146875</v>
      </c>
      <c r="U358" s="74"/>
      <c r="V358" s="74"/>
      <c r="W358" s="76">
        <f t="shared" si="215"/>
        <v>152.6146875</v>
      </c>
      <c r="X358" s="77">
        <f t="shared" si="222"/>
        <v>7.305625</v>
      </c>
      <c r="Y358" s="77"/>
      <c r="Z358" s="77"/>
      <c r="AA358" s="77">
        <f t="shared" si="219"/>
        <v>7.305625</v>
      </c>
      <c r="AB358" s="86">
        <v>7.08</v>
      </c>
      <c r="AC358" s="74">
        <f t="shared" si="217"/>
        <v>51.723825</v>
      </c>
      <c r="AD358" s="74">
        <f t="shared" si="214"/>
        <v>204.3385125</v>
      </c>
      <c r="AE358" s="74">
        <f t="shared" si="216"/>
        <v>305.6338875</v>
      </c>
    </row>
    <row r="359" customFormat="1" spans="1:31">
      <c r="A359" s="18"/>
      <c r="B359" s="19"/>
      <c r="C359" s="20">
        <v>240912000049</v>
      </c>
      <c r="D359" s="21">
        <v>45551</v>
      </c>
      <c r="E359" s="21" t="s">
        <v>50</v>
      </c>
      <c r="F359" s="19" t="s">
        <v>51</v>
      </c>
      <c r="G359" s="19" t="s">
        <v>71</v>
      </c>
      <c r="H359" s="19">
        <v>5</v>
      </c>
      <c r="I359" s="41">
        <v>1235</v>
      </c>
      <c r="J359" s="53"/>
      <c r="K359" s="43"/>
      <c r="L359" s="19"/>
      <c r="M359" s="43"/>
      <c r="N359" s="44"/>
      <c r="O359" s="45">
        <f t="shared" ref="O359:O372" si="223">SUM(I359)</f>
        <v>1235</v>
      </c>
      <c r="P359" s="51"/>
      <c r="Q359" s="51"/>
      <c r="R359" s="74">
        <f t="shared" si="220"/>
        <v>375</v>
      </c>
      <c r="S359" s="74"/>
      <c r="T359" s="75">
        <f t="shared" si="221"/>
        <v>6.53671875</v>
      </c>
      <c r="U359" s="74"/>
      <c r="V359" s="74"/>
      <c r="W359" s="76">
        <f t="shared" si="215"/>
        <v>381.53671875</v>
      </c>
      <c r="X359" s="77">
        <f t="shared" si="222"/>
        <v>18.2640625</v>
      </c>
      <c r="Y359" s="77"/>
      <c r="Z359" s="77"/>
      <c r="AA359" s="77">
        <f t="shared" si="219"/>
        <v>18.2640625</v>
      </c>
      <c r="AB359" s="86">
        <v>7.08</v>
      </c>
      <c r="AC359" s="74">
        <f t="shared" si="217"/>
        <v>129.3095625</v>
      </c>
      <c r="AD359" s="74">
        <f t="shared" si="214"/>
        <v>510.84628125</v>
      </c>
      <c r="AE359" s="74">
        <f t="shared" si="216"/>
        <v>724.15371875</v>
      </c>
    </row>
    <row r="360" customFormat="1" spans="1:31">
      <c r="A360" s="18"/>
      <c r="B360" s="19"/>
      <c r="C360" s="20">
        <v>240912000050</v>
      </c>
      <c r="D360" s="21">
        <v>45551</v>
      </c>
      <c r="E360" s="21" t="s">
        <v>50</v>
      </c>
      <c r="F360" s="19" t="s">
        <v>51</v>
      </c>
      <c r="G360" s="19" t="s">
        <v>71</v>
      </c>
      <c r="H360" s="19">
        <v>8</v>
      </c>
      <c r="I360" s="41">
        <v>2080</v>
      </c>
      <c r="J360" s="53"/>
      <c r="K360" s="43"/>
      <c r="L360" s="19"/>
      <c r="M360" s="43"/>
      <c r="N360" s="44"/>
      <c r="O360" s="45">
        <f t="shared" si="223"/>
        <v>2080</v>
      </c>
      <c r="P360" s="51"/>
      <c r="Q360" s="51"/>
      <c r="R360" s="74">
        <f t="shared" si="220"/>
        <v>600</v>
      </c>
      <c r="S360" s="74"/>
      <c r="T360" s="75">
        <f t="shared" si="221"/>
        <v>10.45875</v>
      </c>
      <c r="U360" s="74"/>
      <c r="V360" s="74"/>
      <c r="W360" s="76">
        <f t="shared" si="215"/>
        <v>610.45875</v>
      </c>
      <c r="X360" s="77">
        <f t="shared" si="222"/>
        <v>29.2225</v>
      </c>
      <c r="Y360" s="77"/>
      <c r="Z360" s="77"/>
      <c r="AA360" s="77">
        <f t="shared" si="219"/>
        <v>29.2225</v>
      </c>
      <c r="AB360" s="86">
        <v>7.08</v>
      </c>
      <c r="AC360" s="74">
        <f t="shared" si="217"/>
        <v>206.8953</v>
      </c>
      <c r="AD360" s="74">
        <f t="shared" si="214"/>
        <v>817.35405</v>
      </c>
      <c r="AE360" s="74">
        <f t="shared" si="216"/>
        <v>1262.64595</v>
      </c>
    </row>
    <row r="361" customFormat="1" spans="1:31">
      <c r="A361" s="18"/>
      <c r="B361" s="19"/>
      <c r="C361" s="20">
        <v>240912000055</v>
      </c>
      <c r="D361" s="21">
        <v>45551</v>
      </c>
      <c r="E361" s="21" t="s">
        <v>41</v>
      </c>
      <c r="F361" s="19" t="s">
        <v>41</v>
      </c>
      <c r="G361" s="19" t="s">
        <v>79</v>
      </c>
      <c r="H361" s="19">
        <v>3</v>
      </c>
      <c r="I361" s="41">
        <v>345</v>
      </c>
      <c r="J361" s="53"/>
      <c r="K361" s="43"/>
      <c r="L361" s="19"/>
      <c r="M361" s="43"/>
      <c r="N361" s="44"/>
      <c r="O361" s="45">
        <f t="shared" si="223"/>
        <v>345</v>
      </c>
      <c r="P361" s="51"/>
      <c r="Q361" s="51"/>
      <c r="R361" s="74">
        <f t="shared" si="220"/>
        <v>225</v>
      </c>
      <c r="S361" s="74"/>
      <c r="T361" s="75">
        <f t="shared" si="221"/>
        <v>3.92203125</v>
      </c>
      <c r="U361" s="74"/>
      <c r="V361" s="74"/>
      <c r="W361" s="76">
        <f t="shared" si="215"/>
        <v>228.92203125</v>
      </c>
      <c r="X361" s="77">
        <f t="shared" si="222"/>
        <v>10.9584375</v>
      </c>
      <c r="Y361" s="77"/>
      <c r="Z361" s="77"/>
      <c r="AA361" s="77">
        <f t="shared" si="219"/>
        <v>10.9584375</v>
      </c>
      <c r="AB361" s="86">
        <v>7.08</v>
      </c>
      <c r="AC361" s="74">
        <f t="shared" si="217"/>
        <v>77.5857375</v>
      </c>
      <c r="AD361" s="74">
        <f t="shared" si="214"/>
        <v>306.50776875</v>
      </c>
      <c r="AE361" s="74">
        <f t="shared" si="216"/>
        <v>38.49223125</v>
      </c>
    </row>
    <row r="362" customFormat="1" spans="1:31">
      <c r="A362" s="18"/>
      <c r="B362" s="19"/>
      <c r="C362" s="20">
        <v>240913000031</v>
      </c>
      <c r="D362" s="21">
        <v>45551</v>
      </c>
      <c r="E362" s="21" t="s">
        <v>50</v>
      </c>
      <c r="F362" s="19" t="s">
        <v>51</v>
      </c>
      <c r="G362" s="19" t="s">
        <v>114</v>
      </c>
      <c r="H362" s="19">
        <v>0.88</v>
      </c>
      <c r="I362" s="41">
        <v>140</v>
      </c>
      <c r="J362" s="53"/>
      <c r="K362" s="43"/>
      <c r="L362" s="19"/>
      <c r="M362" s="43"/>
      <c r="N362" s="44"/>
      <c r="O362" s="45">
        <f t="shared" si="223"/>
        <v>140</v>
      </c>
      <c r="P362" s="51"/>
      <c r="Q362" s="51"/>
      <c r="R362" s="74">
        <f t="shared" si="220"/>
        <v>66</v>
      </c>
      <c r="S362" s="74"/>
      <c r="T362" s="75">
        <f t="shared" si="221"/>
        <v>1.1504625</v>
      </c>
      <c r="U362" s="74"/>
      <c r="V362" s="74"/>
      <c r="W362" s="76">
        <f t="shared" si="215"/>
        <v>67.1504625</v>
      </c>
      <c r="X362" s="77">
        <f t="shared" si="222"/>
        <v>3.214475</v>
      </c>
      <c r="Y362" s="77"/>
      <c r="Z362" s="77"/>
      <c r="AA362" s="77">
        <f t="shared" si="219"/>
        <v>3.214475</v>
      </c>
      <c r="AB362" s="86">
        <v>7.08</v>
      </c>
      <c r="AC362" s="74">
        <f t="shared" si="217"/>
        <v>22.758483</v>
      </c>
      <c r="AD362" s="74">
        <f t="shared" si="214"/>
        <v>89.9089455</v>
      </c>
      <c r="AE362" s="74">
        <f t="shared" si="216"/>
        <v>50.0910545</v>
      </c>
    </row>
    <row r="363" customFormat="1" spans="1:31">
      <c r="A363" s="18"/>
      <c r="B363" s="19"/>
      <c r="C363" s="20">
        <v>240913000033</v>
      </c>
      <c r="D363" s="21">
        <v>45551</v>
      </c>
      <c r="E363" s="21" t="s">
        <v>43</v>
      </c>
      <c r="F363" s="19" t="s">
        <v>44</v>
      </c>
      <c r="G363" s="19" t="s">
        <v>313</v>
      </c>
      <c r="H363" s="19">
        <v>0.84</v>
      </c>
      <c r="I363" s="41">
        <v>115</v>
      </c>
      <c r="J363" s="53"/>
      <c r="K363" s="43"/>
      <c r="L363" s="19"/>
      <c r="M363" s="43"/>
      <c r="N363" s="44"/>
      <c r="O363" s="45">
        <f t="shared" si="223"/>
        <v>115</v>
      </c>
      <c r="P363" s="51"/>
      <c r="Q363" s="51"/>
      <c r="R363" s="74">
        <f t="shared" si="220"/>
        <v>63</v>
      </c>
      <c r="S363" s="74"/>
      <c r="T363" s="75">
        <f t="shared" si="221"/>
        <v>1.09816875</v>
      </c>
      <c r="U363" s="74"/>
      <c r="V363" s="74"/>
      <c r="W363" s="76">
        <f t="shared" si="215"/>
        <v>64.09816875</v>
      </c>
      <c r="X363" s="77">
        <f t="shared" si="222"/>
        <v>3.0683625</v>
      </c>
      <c r="Y363" s="77"/>
      <c r="Z363" s="77"/>
      <c r="AA363" s="77">
        <f t="shared" si="219"/>
        <v>3.0683625</v>
      </c>
      <c r="AB363" s="86">
        <v>7.08</v>
      </c>
      <c r="AC363" s="74">
        <f t="shared" si="217"/>
        <v>21.7240065</v>
      </c>
      <c r="AD363" s="74">
        <f t="shared" si="214"/>
        <v>85.82217525</v>
      </c>
      <c r="AE363" s="74">
        <f t="shared" si="216"/>
        <v>29.17782475</v>
      </c>
    </row>
    <row r="364" customFormat="1" spans="1:31">
      <c r="A364" s="18"/>
      <c r="B364" s="19"/>
      <c r="C364" s="20">
        <v>240914000011</v>
      </c>
      <c r="D364" s="21">
        <v>45551</v>
      </c>
      <c r="E364" s="21" t="s">
        <v>50</v>
      </c>
      <c r="F364" s="19" t="s">
        <v>51</v>
      </c>
      <c r="G364" s="19" t="s">
        <v>55</v>
      </c>
      <c r="H364" s="19">
        <v>0.58</v>
      </c>
      <c r="I364" s="41">
        <v>120</v>
      </c>
      <c r="J364" s="53"/>
      <c r="K364" s="43"/>
      <c r="L364" s="19"/>
      <c r="M364" s="43"/>
      <c r="N364" s="44"/>
      <c r="O364" s="45">
        <f t="shared" si="223"/>
        <v>120</v>
      </c>
      <c r="P364" s="51"/>
      <c r="Q364" s="51"/>
      <c r="R364" s="74">
        <f t="shared" si="220"/>
        <v>43.5</v>
      </c>
      <c r="S364" s="74"/>
      <c r="T364" s="75">
        <f t="shared" si="221"/>
        <v>0.758259375</v>
      </c>
      <c r="U364" s="74"/>
      <c r="V364" s="74"/>
      <c r="W364" s="76">
        <f t="shared" si="215"/>
        <v>44.258259375</v>
      </c>
      <c r="X364" s="77">
        <f t="shared" si="222"/>
        <v>2.11863125</v>
      </c>
      <c r="Y364" s="77"/>
      <c r="Z364" s="77"/>
      <c r="AA364" s="77">
        <f t="shared" si="219"/>
        <v>2.11863125</v>
      </c>
      <c r="AB364" s="86">
        <v>7.08</v>
      </c>
      <c r="AC364" s="74">
        <f t="shared" si="217"/>
        <v>14.99990925</v>
      </c>
      <c r="AD364" s="74">
        <f t="shared" ref="AD364:AD370" si="224">SUM(W364+AC364)</f>
        <v>59.258168625</v>
      </c>
      <c r="AE364" s="74">
        <f t="shared" ref="AE364:AE370" si="225">SUM(O364-AD364)</f>
        <v>60.741831375</v>
      </c>
    </row>
    <row r="365" customFormat="1" spans="1:31">
      <c r="A365" s="18"/>
      <c r="B365" s="19"/>
      <c r="C365" s="20">
        <v>240914000013</v>
      </c>
      <c r="D365" s="21">
        <v>45551</v>
      </c>
      <c r="E365" s="21" t="s">
        <v>50</v>
      </c>
      <c r="F365" s="19" t="s">
        <v>51</v>
      </c>
      <c r="G365" s="19" t="s">
        <v>80</v>
      </c>
      <c r="H365" s="19">
        <v>16</v>
      </c>
      <c r="I365" s="41">
        <v>1840</v>
      </c>
      <c r="J365" s="53"/>
      <c r="K365" s="43"/>
      <c r="L365" s="19"/>
      <c r="M365" s="43"/>
      <c r="N365" s="44"/>
      <c r="O365" s="45">
        <f t="shared" si="223"/>
        <v>1840</v>
      </c>
      <c r="P365" s="51"/>
      <c r="Q365" s="51"/>
      <c r="R365" s="74">
        <f t="shared" si="220"/>
        <v>1200</v>
      </c>
      <c r="S365" s="74"/>
      <c r="T365" s="75">
        <f t="shared" si="221"/>
        <v>20.9175</v>
      </c>
      <c r="U365" s="74"/>
      <c r="V365" s="74"/>
      <c r="W365" s="76">
        <f t="shared" si="215"/>
        <v>1220.9175</v>
      </c>
      <c r="X365" s="77">
        <f t="shared" si="222"/>
        <v>58.445</v>
      </c>
      <c r="Y365" s="77"/>
      <c r="Z365" s="77"/>
      <c r="AA365" s="77">
        <f t="shared" si="219"/>
        <v>58.445</v>
      </c>
      <c r="AB365" s="86">
        <v>7.08</v>
      </c>
      <c r="AC365" s="74">
        <f t="shared" ref="AC365:AC370" si="226">SUM(AA365*AB365)</f>
        <v>413.7906</v>
      </c>
      <c r="AD365" s="74">
        <f t="shared" si="224"/>
        <v>1634.7081</v>
      </c>
      <c r="AE365" s="74">
        <f t="shared" si="225"/>
        <v>205.2919</v>
      </c>
    </row>
    <row r="366" customFormat="1" spans="1:31">
      <c r="A366" s="18"/>
      <c r="B366" s="19"/>
      <c r="C366" s="20">
        <v>240914000036</v>
      </c>
      <c r="D366" s="21">
        <v>45551</v>
      </c>
      <c r="E366" s="21" t="s">
        <v>50</v>
      </c>
      <c r="F366" s="19" t="s">
        <v>51</v>
      </c>
      <c r="G366" s="19" t="s">
        <v>55</v>
      </c>
      <c r="H366" s="19">
        <v>27.5</v>
      </c>
      <c r="I366" s="41">
        <v>3300</v>
      </c>
      <c r="J366" s="53"/>
      <c r="K366" s="43"/>
      <c r="L366" s="19"/>
      <c r="M366" s="43"/>
      <c r="N366" s="44"/>
      <c r="O366" s="45">
        <f t="shared" si="223"/>
        <v>3300</v>
      </c>
      <c r="P366" s="52"/>
      <c r="Q366" s="52"/>
      <c r="R366" s="74">
        <f t="shared" si="220"/>
        <v>2062.5</v>
      </c>
      <c r="S366" s="74"/>
      <c r="T366" s="75">
        <f t="shared" si="221"/>
        <v>35.951953125</v>
      </c>
      <c r="U366" s="74"/>
      <c r="V366" s="74"/>
      <c r="W366" s="76">
        <f t="shared" si="215"/>
        <v>2098.451953125</v>
      </c>
      <c r="X366" s="77">
        <f t="shared" si="222"/>
        <v>100.45234375</v>
      </c>
      <c r="Y366" s="77"/>
      <c r="Z366" s="77"/>
      <c r="AA366" s="77">
        <f t="shared" si="219"/>
        <v>100.45234375</v>
      </c>
      <c r="AB366" s="86">
        <v>7.08</v>
      </c>
      <c r="AC366" s="74">
        <f t="shared" si="226"/>
        <v>711.20259375</v>
      </c>
      <c r="AD366" s="74">
        <f t="shared" si="224"/>
        <v>2809.654546875</v>
      </c>
      <c r="AE366" s="74">
        <f t="shared" si="225"/>
        <v>490.345453125</v>
      </c>
    </row>
    <row r="367" customFormat="1" spans="1:31">
      <c r="A367" s="18" t="s">
        <v>314</v>
      </c>
      <c r="B367" s="19" t="s">
        <v>315</v>
      </c>
      <c r="C367" s="20">
        <v>240912000052</v>
      </c>
      <c r="D367" s="21">
        <v>45551</v>
      </c>
      <c r="E367" s="21" t="s">
        <v>62</v>
      </c>
      <c r="F367" s="19" t="s">
        <v>63</v>
      </c>
      <c r="G367" s="19" t="s">
        <v>316</v>
      </c>
      <c r="H367" s="19">
        <v>0.7</v>
      </c>
      <c r="I367" s="41">
        <v>115</v>
      </c>
      <c r="J367" s="53"/>
      <c r="K367" s="43"/>
      <c r="L367" s="19"/>
      <c r="M367" s="43"/>
      <c r="N367" s="44"/>
      <c r="O367" s="45">
        <f t="shared" si="223"/>
        <v>115</v>
      </c>
      <c r="P367" s="46">
        <f>SUM(O367:O370)</f>
        <v>3815</v>
      </c>
      <c r="Q367" s="46" t="s">
        <v>40</v>
      </c>
      <c r="R367" s="74">
        <f>SUM(2200/28)*H367</f>
        <v>55</v>
      </c>
      <c r="S367" s="74"/>
      <c r="T367" s="75">
        <f>SUM(83.98/28)*H367</f>
        <v>2.0995</v>
      </c>
      <c r="U367" s="74"/>
      <c r="V367" s="74"/>
      <c r="W367" s="76">
        <f t="shared" si="215"/>
        <v>57.0995</v>
      </c>
      <c r="X367" s="77">
        <f>SUM(58.41/32)*H367</f>
        <v>1.27771875</v>
      </c>
      <c r="Y367" s="77"/>
      <c r="Z367" s="77"/>
      <c r="AA367" s="77">
        <f t="shared" si="219"/>
        <v>1.27771875</v>
      </c>
      <c r="AB367" s="86">
        <v>7.08</v>
      </c>
      <c r="AC367" s="74">
        <f t="shared" si="226"/>
        <v>9.04624875</v>
      </c>
      <c r="AD367" s="74">
        <f t="shared" si="224"/>
        <v>66.14574875</v>
      </c>
      <c r="AE367" s="74">
        <f t="shared" ref="AE367:AE378" si="227">SUM(O367-AD367)</f>
        <v>48.85425125</v>
      </c>
    </row>
    <row r="368" customFormat="1" spans="1:31">
      <c r="A368" s="18"/>
      <c r="B368" s="19"/>
      <c r="C368" s="20">
        <v>240913000042</v>
      </c>
      <c r="D368" s="21">
        <v>45551</v>
      </c>
      <c r="E368" s="21" t="s">
        <v>41</v>
      </c>
      <c r="F368" s="19" t="s">
        <v>41</v>
      </c>
      <c r="G368" s="19" t="s">
        <v>317</v>
      </c>
      <c r="H368" s="19">
        <v>25.5</v>
      </c>
      <c r="I368" s="41">
        <v>3360</v>
      </c>
      <c r="J368" s="53"/>
      <c r="K368" s="43"/>
      <c r="L368" s="19"/>
      <c r="M368" s="43"/>
      <c r="N368" s="44"/>
      <c r="O368" s="45">
        <f t="shared" si="223"/>
        <v>3360</v>
      </c>
      <c r="P368" s="51"/>
      <c r="Q368" s="51"/>
      <c r="R368" s="74">
        <f>SUM(2200/28)*H368</f>
        <v>2003.57142857143</v>
      </c>
      <c r="S368" s="74"/>
      <c r="T368" s="75">
        <f>SUM(83.98/28)*H368</f>
        <v>76.4817857142857</v>
      </c>
      <c r="U368" s="74"/>
      <c r="V368" s="74"/>
      <c r="W368" s="76">
        <f t="shared" si="215"/>
        <v>2080.05321428571</v>
      </c>
      <c r="X368" s="77">
        <f>SUM(58.41/32)*H368</f>
        <v>46.54546875</v>
      </c>
      <c r="Y368" s="77"/>
      <c r="Z368" s="77"/>
      <c r="AA368" s="77">
        <f t="shared" si="219"/>
        <v>46.54546875</v>
      </c>
      <c r="AB368" s="86">
        <v>7.08</v>
      </c>
      <c r="AC368" s="74">
        <f t="shared" si="226"/>
        <v>329.54191875</v>
      </c>
      <c r="AD368" s="74">
        <f t="shared" ref="AD368:AD378" si="228">SUM(W368+AC368)</f>
        <v>2409.59513303571</v>
      </c>
      <c r="AE368" s="74">
        <f t="shared" si="227"/>
        <v>950.404866964286</v>
      </c>
    </row>
    <row r="369" customFormat="1" spans="1:31">
      <c r="A369" s="18"/>
      <c r="B369" s="19"/>
      <c r="C369" s="20">
        <v>240914000001</v>
      </c>
      <c r="D369" s="21">
        <v>45551</v>
      </c>
      <c r="E369" s="21" t="s">
        <v>41</v>
      </c>
      <c r="F369" s="19" t="s">
        <v>68</v>
      </c>
      <c r="G369" s="19" t="s">
        <v>69</v>
      </c>
      <c r="H369" s="19">
        <v>1.5</v>
      </c>
      <c r="I369" s="41">
        <v>225</v>
      </c>
      <c r="J369" s="53"/>
      <c r="K369" s="43"/>
      <c r="L369" s="19"/>
      <c r="M369" s="43"/>
      <c r="N369" s="44"/>
      <c r="O369" s="45">
        <f t="shared" si="223"/>
        <v>225</v>
      </c>
      <c r="P369" s="51"/>
      <c r="Q369" s="51"/>
      <c r="R369" s="74">
        <f>SUM(2200/28)*H369</f>
        <v>117.857142857143</v>
      </c>
      <c r="S369" s="74"/>
      <c r="T369" s="75">
        <f>SUM(83.98/28)*H369</f>
        <v>4.49892857142857</v>
      </c>
      <c r="U369" s="74"/>
      <c r="V369" s="74"/>
      <c r="W369" s="76">
        <f t="shared" ref="W369:W378" si="229">SUM(R369:V369)</f>
        <v>122.356071428571</v>
      </c>
      <c r="X369" s="77">
        <f>SUM(58.41/32)*H369</f>
        <v>2.73796875</v>
      </c>
      <c r="Y369" s="77"/>
      <c r="Z369" s="77"/>
      <c r="AA369" s="77">
        <f t="shared" si="219"/>
        <v>2.73796875</v>
      </c>
      <c r="AB369" s="86">
        <v>7.08</v>
      </c>
      <c r="AC369" s="74">
        <f t="shared" si="226"/>
        <v>19.38481875</v>
      </c>
      <c r="AD369" s="74">
        <f t="shared" si="228"/>
        <v>141.740890178571</v>
      </c>
      <c r="AE369" s="74">
        <f t="shared" si="227"/>
        <v>83.2591098214286</v>
      </c>
    </row>
    <row r="370" customFormat="1" spans="1:31">
      <c r="A370" s="18"/>
      <c r="B370" s="19"/>
      <c r="C370" s="20">
        <v>240914000068</v>
      </c>
      <c r="D370" s="21">
        <v>45551</v>
      </c>
      <c r="E370" s="21" t="s">
        <v>46</v>
      </c>
      <c r="F370" s="19" t="s">
        <v>47</v>
      </c>
      <c r="G370" s="19" t="s">
        <v>318</v>
      </c>
      <c r="H370" s="19">
        <v>0.74</v>
      </c>
      <c r="I370" s="41">
        <v>115</v>
      </c>
      <c r="J370" s="53"/>
      <c r="K370" s="43"/>
      <c r="L370" s="19"/>
      <c r="M370" s="43"/>
      <c r="N370" s="44"/>
      <c r="O370" s="45">
        <f t="shared" si="223"/>
        <v>115</v>
      </c>
      <c r="P370" s="52"/>
      <c r="Q370" s="52"/>
      <c r="R370" s="74">
        <f>SUM(2200/28)*H370</f>
        <v>58.1428571428571</v>
      </c>
      <c r="S370" s="74"/>
      <c r="T370" s="75">
        <f>SUM(83.98/28)*H370</f>
        <v>2.21947142857143</v>
      </c>
      <c r="U370" s="74"/>
      <c r="V370" s="74"/>
      <c r="W370" s="76">
        <f t="shared" si="229"/>
        <v>60.3623285714286</v>
      </c>
      <c r="X370" s="77">
        <f>SUM(58.41/32)*H370</f>
        <v>1.35073125</v>
      </c>
      <c r="Y370" s="77"/>
      <c r="Z370" s="77"/>
      <c r="AA370" s="77">
        <f t="shared" si="219"/>
        <v>1.35073125</v>
      </c>
      <c r="AB370" s="86">
        <v>7.08</v>
      </c>
      <c r="AC370" s="74">
        <f t="shared" ref="AC370:AC378" si="230">SUM(AA370*AB370)</f>
        <v>9.56317725</v>
      </c>
      <c r="AD370" s="74">
        <f t="shared" si="228"/>
        <v>69.9255058214286</v>
      </c>
      <c r="AE370" s="74">
        <f t="shared" si="227"/>
        <v>45.0744941785714</v>
      </c>
    </row>
    <row r="371" customFormat="1" spans="1:31">
      <c r="A371" s="18" t="s">
        <v>319</v>
      </c>
      <c r="B371" s="19" t="s">
        <v>320</v>
      </c>
      <c r="C371" s="20">
        <v>240914000016</v>
      </c>
      <c r="D371" s="21">
        <v>45552</v>
      </c>
      <c r="E371" s="21" t="s">
        <v>43</v>
      </c>
      <c r="F371" s="19" t="s">
        <v>44</v>
      </c>
      <c r="G371" s="19" t="s">
        <v>321</v>
      </c>
      <c r="H371" s="19">
        <v>0.7</v>
      </c>
      <c r="I371" s="41">
        <v>180</v>
      </c>
      <c r="J371" s="53"/>
      <c r="K371" s="43"/>
      <c r="L371" s="19"/>
      <c r="M371" s="43"/>
      <c r="N371" s="44"/>
      <c r="O371" s="45">
        <f t="shared" si="223"/>
        <v>180</v>
      </c>
      <c r="P371" s="46">
        <f>SUM(O371:O378)</f>
        <v>3731.3828</v>
      </c>
      <c r="Q371" s="46" t="s">
        <v>40</v>
      </c>
      <c r="R371" s="74">
        <f>SUM(2400/32)*H371</f>
        <v>52.5</v>
      </c>
      <c r="S371" s="74"/>
      <c r="T371" s="75">
        <f>SUM(73.67/32)*H371</f>
        <v>1.61153125</v>
      </c>
      <c r="U371" s="74"/>
      <c r="V371" s="74"/>
      <c r="W371" s="76">
        <f t="shared" si="229"/>
        <v>54.11153125</v>
      </c>
      <c r="X371" s="77">
        <f>SUM(131.18/32)*H371</f>
        <v>2.8695625</v>
      </c>
      <c r="Y371" s="77"/>
      <c r="Z371" s="77"/>
      <c r="AA371" s="77">
        <f t="shared" ref="AA371:AA378" si="231">SUM(X371:Z371)</f>
        <v>2.8695625</v>
      </c>
      <c r="AB371" s="86">
        <v>7.08</v>
      </c>
      <c r="AC371" s="74">
        <f t="shared" si="230"/>
        <v>20.3165025</v>
      </c>
      <c r="AD371" s="74">
        <f t="shared" si="228"/>
        <v>74.42803375</v>
      </c>
      <c r="AE371" s="74">
        <f t="shared" si="227"/>
        <v>105.57196625</v>
      </c>
    </row>
    <row r="372" customFormat="1" spans="1:31">
      <c r="A372" s="18"/>
      <c r="B372" s="19"/>
      <c r="C372" s="20">
        <v>240914000037</v>
      </c>
      <c r="D372" s="21">
        <v>45552</v>
      </c>
      <c r="E372" s="21" t="s">
        <v>62</v>
      </c>
      <c r="F372" s="19" t="s">
        <v>63</v>
      </c>
      <c r="G372" s="19" t="s">
        <v>322</v>
      </c>
      <c r="H372" s="19">
        <v>12.5</v>
      </c>
      <c r="I372" s="41">
        <v>1535</v>
      </c>
      <c r="J372" s="53"/>
      <c r="K372" s="43"/>
      <c r="L372" s="19"/>
      <c r="M372" s="43"/>
      <c r="N372" s="44"/>
      <c r="O372" s="45">
        <f t="shared" si="223"/>
        <v>1535</v>
      </c>
      <c r="P372" s="51"/>
      <c r="Q372" s="51"/>
      <c r="R372" s="74">
        <f t="shared" ref="R372:R378" si="232">SUM(2400/32)*H372</f>
        <v>937.5</v>
      </c>
      <c r="S372" s="74"/>
      <c r="T372" s="75">
        <f t="shared" ref="T372:T378" si="233">SUM(73.67/32)*H372</f>
        <v>28.77734375</v>
      </c>
      <c r="U372" s="74"/>
      <c r="V372" s="74"/>
      <c r="W372" s="76">
        <f t="shared" si="229"/>
        <v>966.27734375</v>
      </c>
      <c r="X372" s="77">
        <f t="shared" ref="X372:X378" si="234">SUM(131.18/32)*H372</f>
        <v>51.2421875</v>
      </c>
      <c r="Y372" s="77"/>
      <c r="Z372" s="77"/>
      <c r="AA372" s="77">
        <f t="shared" si="231"/>
        <v>51.2421875</v>
      </c>
      <c r="AB372" s="86">
        <v>7.08</v>
      </c>
      <c r="AC372" s="74">
        <f t="shared" si="230"/>
        <v>362.7946875</v>
      </c>
      <c r="AD372" s="74">
        <f t="shared" si="228"/>
        <v>1329.07203125</v>
      </c>
      <c r="AE372" s="74">
        <f t="shared" si="227"/>
        <v>205.92796875</v>
      </c>
    </row>
    <row r="373" customFormat="1" spans="1:31">
      <c r="A373" s="18"/>
      <c r="B373" s="19"/>
      <c r="C373" s="20">
        <v>240914000041</v>
      </c>
      <c r="D373" s="21">
        <v>45552</v>
      </c>
      <c r="E373" s="21" t="s">
        <v>46</v>
      </c>
      <c r="F373" s="19" t="s">
        <v>47</v>
      </c>
      <c r="G373" s="19" t="s">
        <v>323</v>
      </c>
      <c r="H373" s="19">
        <v>3</v>
      </c>
      <c r="I373" s="45"/>
      <c r="J373" s="54">
        <v>81224</v>
      </c>
      <c r="K373" s="43"/>
      <c r="L373" s="49">
        <f t="shared" ref="L373:L377" si="235">SUM(J373/M373)</f>
        <v>1694.99165275459</v>
      </c>
      <c r="M373" s="50">
        <v>47.92</v>
      </c>
      <c r="N373" s="44">
        <v>7.08</v>
      </c>
      <c r="O373" s="45">
        <f t="shared" ref="O373:O377" si="236">SUM(M373*N373)</f>
        <v>339.2736</v>
      </c>
      <c r="P373" s="51"/>
      <c r="Q373" s="51"/>
      <c r="R373" s="74">
        <f t="shared" si="232"/>
        <v>225</v>
      </c>
      <c r="S373" s="74"/>
      <c r="T373" s="75">
        <f t="shared" si="233"/>
        <v>6.9065625</v>
      </c>
      <c r="U373" s="74"/>
      <c r="V373" s="74"/>
      <c r="W373" s="76">
        <f t="shared" si="229"/>
        <v>231.9065625</v>
      </c>
      <c r="X373" s="77">
        <f t="shared" si="234"/>
        <v>12.298125</v>
      </c>
      <c r="Y373" s="77"/>
      <c r="Z373" s="77"/>
      <c r="AA373" s="77">
        <f t="shared" si="231"/>
        <v>12.298125</v>
      </c>
      <c r="AB373" s="86">
        <v>7.08</v>
      </c>
      <c r="AC373" s="74">
        <f t="shared" si="230"/>
        <v>87.070725</v>
      </c>
      <c r="AD373" s="74">
        <f t="shared" si="228"/>
        <v>318.9772875</v>
      </c>
      <c r="AE373" s="74">
        <f t="shared" si="227"/>
        <v>20.2963125</v>
      </c>
    </row>
    <row r="374" customFormat="1" spans="1:31">
      <c r="A374" s="18"/>
      <c r="B374" s="19"/>
      <c r="C374" s="20">
        <v>240914000052</v>
      </c>
      <c r="D374" s="21">
        <v>45552</v>
      </c>
      <c r="E374" s="21" t="s">
        <v>50</v>
      </c>
      <c r="F374" s="19" t="s">
        <v>51</v>
      </c>
      <c r="G374" s="19" t="s">
        <v>87</v>
      </c>
      <c r="H374" s="19">
        <v>0.9</v>
      </c>
      <c r="I374" s="55"/>
      <c r="J374" s="54">
        <v>28175</v>
      </c>
      <c r="K374" s="43"/>
      <c r="L374" s="49">
        <f t="shared" si="235"/>
        <v>1734.91379310345</v>
      </c>
      <c r="M374" s="50">
        <v>16.24</v>
      </c>
      <c r="N374" s="44">
        <v>7.08</v>
      </c>
      <c r="O374" s="45">
        <f t="shared" si="236"/>
        <v>114.9792</v>
      </c>
      <c r="P374" s="51"/>
      <c r="Q374" s="51"/>
      <c r="R374" s="74">
        <f t="shared" si="232"/>
        <v>67.5</v>
      </c>
      <c r="S374" s="74"/>
      <c r="T374" s="75">
        <f t="shared" si="233"/>
        <v>2.07196875</v>
      </c>
      <c r="U374" s="74"/>
      <c r="V374" s="74"/>
      <c r="W374" s="76">
        <f t="shared" si="229"/>
        <v>69.57196875</v>
      </c>
      <c r="X374" s="77">
        <f t="shared" si="234"/>
        <v>3.6894375</v>
      </c>
      <c r="Y374" s="77"/>
      <c r="Z374" s="77"/>
      <c r="AA374" s="77">
        <f t="shared" si="231"/>
        <v>3.6894375</v>
      </c>
      <c r="AB374" s="86">
        <v>7.08</v>
      </c>
      <c r="AC374" s="74">
        <f t="shared" si="230"/>
        <v>26.1212175</v>
      </c>
      <c r="AD374" s="74">
        <f t="shared" si="228"/>
        <v>95.69318625</v>
      </c>
      <c r="AE374" s="74">
        <f t="shared" ref="AE374:AE423" si="237">SUM(O374-AD374)</f>
        <v>19.28601375</v>
      </c>
    </row>
    <row r="375" customFormat="1" spans="1:31">
      <c r="A375" s="18"/>
      <c r="B375" s="19"/>
      <c r="C375" s="20">
        <v>240914000063</v>
      </c>
      <c r="D375" s="21">
        <v>45552</v>
      </c>
      <c r="E375" s="21" t="s">
        <v>43</v>
      </c>
      <c r="F375" s="19" t="s">
        <v>44</v>
      </c>
      <c r="G375" s="19" t="s">
        <v>324</v>
      </c>
      <c r="H375" s="19">
        <v>0.72</v>
      </c>
      <c r="I375" s="41">
        <v>286</v>
      </c>
      <c r="J375" s="53"/>
      <c r="K375" s="43"/>
      <c r="L375" s="19"/>
      <c r="M375" s="43"/>
      <c r="N375" s="44"/>
      <c r="O375" s="45">
        <f t="shared" ref="O375:O384" si="238">SUM(I375)</f>
        <v>286</v>
      </c>
      <c r="P375" s="51"/>
      <c r="Q375" s="51"/>
      <c r="R375" s="74">
        <f t="shared" si="232"/>
        <v>54</v>
      </c>
      <c r="S375" s="74"/>
      <c r="T375" s="75">
        <f t="shared" si="233"/>
        <v>1.657575</v>
      </c>
      <c r="U375" s="74"/>
      <c r="V375" s="74"/>
      <c r="W375" s="76">
        <f t="shared" si="229"/>
        <v>55.657575</v>
      </c>
      <c r="X375" s="77">
        <f t="shared" si="234"/>
        <v>2.95155</v>
      </c>
      <c r="Y375" s="77">
        <v>14.97</v>
      </c>
      <c r="Z375" s="77"/>
      <c r="AA375" s="77">
        <f t="shared" si="231"/>
        <v>17.92155</v>
      </c>
      <c r="AB375" s="86">
        <v>7.08</v>
      </c>
      <c r="AC375" s="74">
        <f t="shared" si="230"/>
        <v>126.884574</v>
      </c>
      <c r="AD375" s="74">
        <f t="shared" si="228"/>
        <v>182.542149</v>
      </c>
      <c r="AE375" s="74">
        <f t="shared" si="237"/>
        <v>103.457851</v>
      </c>
    </row>
    <row r="376" customFormat="1" spans="1:31">
      <c r="A376" s="18"/>
      <c r="B376" s="19"/>
      <c r="C376" s="20">
        <v>240914000066</v>
      </c>
      <c r="D376" s="21">
        <v>45552</v>
      </c>
      <c r="E376" s="21" t="s">
        <v>43</v>
      </c>
      <c r="F376" s="19" t="s">
        <v>44</v>
      </c>
      <c r="G376" s="19" t="s">
        <v>89</v>
      </c>
      <c r="H376" s="19">
        <v>7.5</v>
      </c>
      <c r="I376" s="41">
        <v>862</v>
      </c>
      <c r="J376" s="53"/>
      <c r="K376" s="43"/>
      <c r="L376" s="19"/>
      <c r="M376" s="43"/>
      <c r="N376" s="44"/>
      <c r="O376" s="45">
        <f t="shared" si="238"/>
        <v>862</v>
      </c>
      <c r="P376" s="51"/>
      <c r="Q376" s="51"/>
      <c r="R376" s="74">
        <f t="shared" si="232"/>
        <v>562.5</v>
      </c>
      <c r="S376" s="74"/>
      <c r="T376" s="75">
        <f t="shared" si="233"/>
        <v>17.26640625</v>
      </c>
      <c r="U376" s="74"/>
      <c r="V376" s="74"/>
      <c r="W376" s="76">
        <f t="shared" si="229"/>
        <v>579.76640625</v>
      </c>
      <c r="X376" s="77">
        <f t="shared" si="234"/>
        <v>30.7453125</v>
      </c>
      <c r="Y376" s="77"/>
      <c r="Z376" s="77"/>
      <c r="AA376" s="77">
        <f t="shared" si="231"/>
        <v>30.7453125</v>
      </c>
      <c r="AB376" s="86">
        <v>7.08</v>
      </c>
      <c r="AC376" s="74">
        <f t="shared" ref="AC376:AC422" si="239">SUM(AA376*AB376)</f>
        <v>217.6768125</v>
      </c>
      <c r="AD376" s="74">
        <f t="shared" ref="AD376:AD422" si="240">SUM(W376+AC376)</f>
        <v>797.44321875</v>
      </c>
      <c r="AE376" s="74">
        <f t="shared" si="237"/>
        <v>64.55678125</v>
      </c>
    </row>
    <row r="377" customFormat="1" spans="1:31">
      <c r="A377" s="18"/>
      <c r="B377" s="19"/>
      <c r="C377" s="20">
        <v>240914000071</v>
      </c>
      <c r="D377" s="21">
        <v>45552</v>
      </c>
      <c r="E377" s="21" t="s">
        <v>41</v>
      </c>
      <c r="F377" s="19" t="s">
        <v>41</v>
      </c>
      <c r="G377" s="19" t="s">
        <v>325</v>
      </c>
      <c r="H377" s="19">
        <v>2.5</v>
      </c>
      <c r="I377" s="45"/>
      <c r="J377" s="54">
        <v>72290</v>
      </c>
      <c r="K377" s="43"/>
      <c r="L377" s="49">
        <f t="shared" si="235"/>
        <v>1711.00591715976</v>
      </c>
      <c r="M377" s="50">
        <v>42.25</v>
      </c>
      <c r="N377" s="44">
        <v>7.08</v>
      </c>
      <c r="O377" s="45">
        <f t="shared" si="236"/>
        <v>299.13</v>
      </c>
      <c r="P377" s="51"/>
      <c r="Q377" s="51"/>
      <c r="R377" s="74">
        <f t="shared" si="232"/>
        <v>187.5</v>
      </c>
      <c r="S377" s="74"/>
      <c r="T377" s="75">
        <f t="shared" si="233"/>
        <v>5.75546875</v>
      </c>
      <c r="U377" s="74"/>
      <c r="V377" s="74"/>
      <c r="W377" s="76">
        <f t="shared" si="229"/>
        <v>193.25546875</v>
      </c>
      <c r="X377" s="77">
        <f t="shared" si="234"/>
        <v>10.2484375</v>
      </c>
      <c r="Y377" s="77"/>
      <c r="Z377" s="77"/>
      <c r="AA377" s="77">
        <f t="shared" si="231"/>
        <v>10.2484375</v>
      </c>
      <c r="AB377" s="86">
        <v>7.08</v>
      </c>
      <c r="AC377" s="74">
        <f t="shared" si="239"/>
        <v>72.5589375</v>
      </c>
      <c r="AD377" s="74">
        <f t="shared" si="240"/>
        <v>265.81440625</v>
      </c>
      <c r="AE377" s="74">
        <f t="shared" si="237"/>
        <v>33.3155937499999</v>
      </c>
    </row>
    <row r="378" customFormat="1" spans="1:31">
      <c r="A378" s="18"/>
      <c r="B378" s="19"/>
      <c r="C378" s="20">
        <v>240915000005</v>
      </c>
      <c r="D378" s="21">
        <v>45552</v>
      </c>
      <c r="E378" s="21" t="s">
        <v>62</v>
      </c>
      <c r="F378" s="19" t="s">
        <v>63</v>
      </c>
      <c r="G378" s="19" t="s">
        <v>316</v>
      </c>
      <c r="H378" s="19">
        <v>0.12</v>
      </c>
      <c r="I378" s="41">
        <v>115</v>
      </c>
      <c r="J378" s="53"/>
      <c r="K378" s="43"/>
      <c r="L378" s="19"/>
      <c r="M378" s="43"/>
      <c r="N378" s="44"/>
      <c r="O378" s="45">
        <f t="shared" si="238"/>
        <v>115</v>
      </c>
      <c r="P378" s="52"/>
      <c r="Q378" s="52"/>
      <c r="R378" s="74">
        <f t="shared" si="232"/>
        <v>9</v>
      </c>
      <c r="S378" s="74"/>
      <c r="T378" s="75">
        <f t="shared" si="233"/>
        <v>0.2762625</v>
      </c>
      <c r="U378" s="74"/>
      <c r="V378" s="74"/>
      <c r="W378" s="76">
        <f t="shared" ref="W378:W422" si="241">SUM(R378:V378)</f>
        <v>9.2762625</v>
      </c>
      <c r="X378" s="77">
        <f t="shared" si="234"/>
        <v>0.491925</v>
      </c>
      <c r="Y378" s="77"/>
      <c r="Z378" s="77"/>
      <c r="AA378" s="77">
        <f t="shared" ref="AA378:AA420" si="242">SUM(X378:Z378)</f>
        <v>0.491925</v>
      </c>
      <c r="AB378" s="86">
        <v>7.08</v>
      </c>
      <c r="AC378" s="74">
        <f t="shared" si="239"/>
        <v>3.482829</v>
      </c>
      <c r="AD378" s="74">
        <f t="shared" si="240"/>
        <v>12.7590915</v>
      </c>
      <c r="AE378" s="74">
        <f t="shared" si="237"/>
        <v>102.2409085</v>
      </c>
    </row>
    <row r="379" customFormat="1" spans="1:31">
      <c r="A379" s="18" t="s">
        <v>326</v>
      </c>
      <c r="B379" s="19" t="s">
        <v>327</v>
      </c>
      <c r="C379" s="20">
        <v>240903000004</v>
      </c>
      <c r="D379" s="21">
        <v>45553</v>
      </c>
      <c r="E379" s="21" t="s">
        <v>50</v>
      </c>
      <c r="F379" s="19" t="s">
        <v>51</v>
      </c>
      <c r="G379" s="19" t="s">
        <v>114</v>
      </c>
      <c r="H379" s="19">
        <v>4</v>
      </c>
      <c r="I379" s="41">
        <v>240</v>
      </c>
      <c r="J379" s="53"/>
      <c r="K379" s="43"/>
      <c r="L379" s="19"/>
      <c r="M379" s="43"/>
      <c r="N379" s="44"/>
      <c r="O379" s="45">
        <f t="shared" si="238"/>
        <v>240</v>
      </c>
      <c r="P379" s="46">
        <f>SUM(O379:O420)</f>
        <v>80565.24480708</v>
      </c>
      <c r="Q379" s="46" t="s">
        <v>85</v>
      </c>
      <c r="R379" s="74">
        <f>SUM(67736/1324)*H379</f>
        <v>204.640483383686</v>
      </c>
      <c r="S379" s="74"/>
      <c r="T379" s="75">
        <f>SUM(120/1324)*H379</f>
        <v>0.362537764350453</v>
      </c>
      <c r="U379" s="74"/>
      <c r="V379" s="74"/>
      <c r="W379" s="76">
        <f t="shared" si="241"/>
        <v>205.003021148036</v>
      </c>
      <c r="X379" s="77">
        <f>SUM(790.55/1324)*H379</f>
        <v>2.38836858006042</v>
      </c>
      <c r="Y379" s="77"/>
      <c r="Z379" s="77"/>
      <c r="AA379" s="77">
        <f t="shared" si="242"/>
        <v>2.38836858006042</v>
      </c>
      <c r="AB379" s="86">
        <v>7.08</v>
      </c>
      <c r="AC379" s="74">
        <f t="shared" si="239"/>
        <v>16.9096495468278</v>
      </c>
      <c r="AD379" s="74">
        <f t="shared" si="240"/>
        <v>221.912670694864</v>
      </c>
      <c r="AE379" s="74">
        <f t="shared" si="237"/>
        <v>18.0873293051359</v>
      </c>
    </row>
    <row r="380" customFormat="1" spans="1:31">
      <c r="A380" s="18"/>
      <c r="B380" s="19"/>
      <c r="C380" s="20">
        <v>240903000020</v>
      </c>
      <c r="D380" s="21">
        <v>45553</v>
      </c>
      <c r="E380" s="21" t="s">
        <v>46</v>
      </c>
      <c r="F380" s="19" t="s">
        <v>47</v>
      </c>
      <c r="G380" s="19" t="s">
        <v>91</v>
      </c>
      <c r="H380" s="19">
        <v>8.5</v>
      </c>
      <c r="I380" s="41">
        <v>490.5</v>
      </c>
      <c r="J380" s="53"/>
      <c r="K380" s="43"/>
      <c r="L380" s="19"/>
      <c r="M380" s="43"/>
      <c r="N380" s="44"/>
      <c r="O380" s="45">
        <f t="shared" si="238"/>
        <v>490.5</v>
      </c>
      <c r="P380" s="51"/>
      <c r="Q380" s="51"/>
      <c r="R380" s="74">
        <f t="shared" ref="R380:R420" si="243">SUM(67736/1324)*H380</f>
        <v>434.861027190332</v>
      </c>
      <c r="S380" s="74"/>
      <c r="T380" s="75">
        <f t="shared" ref="T380:T420" si="244">SUM(120/1324)*H380</f>
        <v>0.770392749244713</v>
      </c>
      <c r="U380" s="74"/>
      <c r="V380" s="74"/>
      <c r="W380" s="76">
        <f t="shared" si="241"/>
        <v>435.631419939577</v>
      </c>
      <c r="X380" s="77">
        <f t="shared" ref="X380:X420" si="245">SUM(790.55/1324)*H380</f>
        <v>5.0752832326284</v>
      </c>
      <c r="Y380" s="77"/>
      <c r="Z380" s="77"/>
      <c r="AA380" s="77">
        <f t="shared" si="242"/>
        <v>5.0752832326284</v>
      </c>
      <c r="AB380" s="86">
        <v>7.08</v>
      </c>
      <c r="AC380" s="74">
        <f t="shared" si="239"/>
        <v>35.9330052870091</v>
      </c>
      <c r="AD380" s="74">
        <f t="shared" si="240"/>
        <v>471.564425226586</v>
      </c>
      <c r="AE380" s="74">
        <f t="shared" si="237"/>
        <v>18.9355747734139</v>
      </c>
    </row>
    <row r="381" customFormat="1" spans="1:31">
      <c r="A381" s="18"/>
      <c r="B381" s="19"/>
      <c r="C381" s="20">
        <v>240905000017</v>
      </c>
      <c r="D381" s="21">
        <v>45553</v>
      </c>
      <c r="E381" s="21" t="s">
        <v>62</v>
      </c>
      <c r="F381" s="19" t="s">
        <v>63</v>
      </c>
      <c r="G381" s="19" t="s">
        <v>127</v>
      </c>
      <c r="H381" s="19">
        <v>0.95</v>
      </c>
      <c r="I381" s="41">
        <v>68</v>
      </c>
      <c r="J381" s="53"/>
      <c r="K381" s="43"/>
      <c r="L381" s="19"/>
      <c r="M381" s="43"/>
      <c r="N381" s="44"/>
      <c r="O381" s="45">
        <f t="shared" si="238"/>
        <v>68</v>
      </c>
      <c r="P381" s="51"/>
      <c r="Q381" s="51"/>
      <c r="R381" s="74">
        <f t="shared" si="243"/>
        <v>48.6021148036254</v>
      </c>
      <c r="S381" s="74"/>
      <c r="T381" s="75">
        <f t="shared" si="244"/>
        <v>0.0861027190332326</v>
      </c>
      <c r="U381" s="74"/>
      <c r="V381" s="74"/>
      <c r="W381" s="76">
        <f t="shared" si="241"/>
        <v>48.6882175226586</v>
      </c>
      <c r="X381" s="77">
        <f t="shared" si="245"/>
        <v>0.56723753776435</v>
      </c>
      <c r="Y381" s="77"/>
      <c r="Z381" s="77"/>
      <c r="AA381" s="77">
        <f t="shared" si="242"/>
        <v>0.56723753776435</v>
      </c>
      <c r="AB381" s="86">
        <v>7.08</v>
      </c>
      <c r="AC381" s="74">
        <f t="shared" si="239"/>
        <v>4.0160417673716</v>
      </c>
      <c r="AD381" s="74">
        <f t="shared" si="240"/>
        <v>52.7042592900302</v>
      </c>
      <c r="AE381" s="74">
        <f t="shared" si="237"/>
        <v>15.2957407099698</v>
      </c>
    </row>
    <row r="382" customFormat="1" spans="1:31">
      <c r="A382" s="18"/>
      <c r="B382" s="19"/>
      <c r="C382" s="20">
        <v>240905000041</v>
      </c>
      <c r="D382" s="21">
        <v>45553</v>
      </c>
      <c r="E382" s="21" t="s">
        <v>43</v>
      </c>
      <c r="F382" s="19" t="s">
        <v>44</v>
      </c>
      <c r="G382" s="19" t="s">
        <v>110</v>
      </c>
      <c r="H382" s="19">
        <v>31.5</v>
      </c>
      <c r="I382" s="41">
        <v>1858.5</v>
      </c>
      <c r="J382" s="53"/>
      <c r="K382" s="43"/>
      <c r="L382" s="19"/>
      <c r="M382" s="43"/>
      <c r="N382" s="44"/>
      <c r="O382" s="45">
        <f t="shared" si="238"/>
        <v>1858.5</v>
      </c>
      <c r="P382" s="51"/>
      <c r="Q382" s="51"/>
      <c r="R382" s="74">
        <f t="shared" si="243"/>
        <v>1611.54380664653</v>
      </c>
      <c r="S382" s="74"/>
      <c r="T382" s="75">
        <f t="shared" si="244"/>
        <v>2.85498489425982</v>
      </c>
      <c r="U382" s="74"/>
      <c r="V382" s="74"/>
      <c r="W382" s="76">
        <f t="shared" si="241"/>
        <v>1614.39879154079</v>
      </c>
      <c r="X382" s="77">
        <f t="shared" si="245"/>
        <v>18.8084025679758</v>
      </c>
      <c r="Y382" s="77"/>
      <c r="Z382" s="77"/>
      <c r="AA382" s="77">
        <f t="shared" si="242"/>
        <v>18.8084025679758</v>
      </c>
      <c r="AB382" s="86">
        <v>7.08</v>
      </c>
      <c r="AC382" s="74">
        <f t="shared" si="239"/>
        <v>133.163490181269</v>
      </c>
      <c r="AD382" s="74">
        <f t="shared" si="240"/>
        <v>1747.56228172205</v>
      </c>
      <c r="AE382" s="74">
        <f t="shared" si="237"/>
        <v>110.937718277946</v>
      </c>
    </row>
    <row r="383" customFormat="1" spans="1:31">
      <c r="A383" s="18"/>
      <c r="B383" s="19"/>
      <c r="C383" s="20">
        <v>240906000009</v>
      </c>
      <c r="D383" s="21">
        <v>45553</v>
      </c>
      <c r="E383" s="21" t="s">
        <v>46</v>
      </c>
      <c r="F383" s="19" t="s">
        <v>47</v>
      </c>
      <c r="G383" s="19" t="s">
        <v>91</v>
      </c>
      <c r="H383" s="19">
        <v>3.5</v>
      </c>
      <c r="I383" s="41">
        <v>234.3</v>
      </c>
      <c r="J383" s="53"/>
      <c r="K383" s="43"/>
      <c r="L383" s="19"/>
      <c r="M383" s="43"/>
      <c r="N383" s="44"/>
      <c r="O383" s="45">
        <f t="shared" si="238"/>
        <v>234.3</v>
      </c>
      <c r="P383" s="51"/>
      <c r="Q383" s="51"/>
      <c r="R383" s="74">
        <f t="shared" si="243"/>
        <v>179.060422960725</v>
      </c>
      <c r="S383" s="74"/>
      <c r="T383" s="75">
        <f t="shared" si="244"/>
        <v>0.317220543806646</v>
      </c>
      <c r="U383" s="74"/>
      <c r="V383" s="74"/>
      <c r="W383" s="76">
        <f t="shared" si="241"/>
        <v>179.377643504532</v>
      </c>
      <c r="X383" s="77">
        <f t="shared" si="245"/>
        <v>2.08982250755287</v>
      </c>
      <c r="Y383" s="77"/>
      <c r="Z383" s="77"/>
      <c r="AA383" s="77">
        <f t="shared" si="242"/>
        <v>2.08982250755287</v>
      </c>
      <c r="AB383" s="86">
        <v>7.08</v>
      </c>
      <c r="AC383" s="74">
        <f t="shared" si="239"/>
        <v>14.7959433534743</v>
      </c>
      <c r="AD383" s="74">
        <f t="shared" si="240"/>
        <v>194.173586858006</v>
      </c>
      <c r="AE383" s="74">
        <f t="shared" si="237"/>
        <v>40.126413141994</v>
      </c>
    </row>
    <row r="384" customFormat="1" spans="1:31">
      <c r="A384" s="18"/>
      <c r="B384" s="19"/>
      <c r="C384" s="20">
        <v>240906000018</v>
      </c>
      <c r="D384" s="21">
        <v>45553</v>
      </c>
      <c r="E384" s="21" t="s">
        <v>43</v>
      </c>
      <c r="F384" s="19" t="s">
        <v>44</v>
      </c>
      <c r="G384" s="19" t="s">
        <v>328</v>
      </c>
      <c r="H384" s="19">
        <v>10.5</v>
      </c>
      <c r="I384" s="41">
        <v>696.3</v>
      </c>
      <c r="J384" s="53"/>
      <c r="K384" s="43"/>
      <c r="L384" s="19"/>
      <c r="M384" s="43"/>
      <c r="N384" s="44"/>
      <c r="O384" s="45">
        <f t="shared" si="238"/>
        <v>696.3</v>
      </c>
      <c r="P384" s="51"/>
      <c r="Q384" s="51"/>
      <c r="R384" s="74">
        <f t="shared" si="243"/>
        <v>537.181268882175</v>
      </c>
      <c r="S384" s="74"/>
      <c r="T384" s="75">
        <f t="shared" si="244"/>
        <v>0.95166163141994</v>
      </c>
      <c r="U384" s="74"/>
      <c r="V384" s="74"/>
      <c r="W384" s="76">
        <f t="shared" si="241"/>
        <v>538.132930513595</v>
      </c>
      <c r="X384" s="77">
        <f t="shared" si="245"/>
        <v>6.26946752265861</v>
      </c>
      <c r="Y384" s="77"/>
      <c r="Z384" s="77"/>
      <c r="AA384" s="77">
        <f t="shared" si="242"/>
        <v>6.26946752265861</v>
      </c>
      <c r="AB384" s="86">
        <v>7.08</v>
      </c>
      <c r="AC384" s="74">
        <f t="shared" si="239"/>
        <v>44.387830060423</v>
      </c>
      <c r="AD384" s="74">
        <f t="shared" si="240"/>
        <v>582.520760574018</v>
      </c>
      <c r="AE384" s="74">
        <f t="shared" si="237"/>
        <v>113.779239425982</v>
      </c>
    </row>
    <row r="385" customFormat="1" spans="1:31">
      <c r="A385" s="18"/>
      <c r="B385" s="19"/>
      <c r="C385" s="20">
        <v>240906000041</v>
      </c>
      <c r="D385" s="21">
        <v>45553</v>
      </c>
      <c r="E385" s="21" t="s">
        <v>62</v>
      </c>
      <c r="F385" s="19" t="s">
        <v>63</v>
      </c>
      <c r="G385" s="19" t="s">
        <v>329</v>
      </c>
      <c r="H385" s="19">
        <v>62.5</v>
      </c>
      <c r="I385" s="45"/>
      <c r="J385" s="54">
        <v>939996</v>
      </c>
      <c r="K385" s="43"/>
      <c r="L385" s="49">
        <f t="shared" ref="L385:L390" si="246">SUM(J385/M385)</f>
        <v>1694.99972952017</v>
      </c>
      <c r="M385" s="50">
        <v>554.57</v>
      </c>
      <c r="N385" s="44">
        <v>7.08</v>
      </c>
      <c r="O385" s="45">
        <f t="shared" ref="O385:O390" si="247">SUM(M385*N385)</f>
        <v>3926.3556</v>
      </c>
      <c r="P385" s="51"/>
      <c r="Q385" s="51"/>
      <c r="R385" s="74">
        <f t="shared" si="243"/>
        <v>3197.50755287009</v>
      </c>
      <c r="S385" s="74"/>
      <c r="T385" s="75">
        <f t="shared" si="244"/>
        <v>5.66465256797583</v>
      </c>
      <c r="U385" s="74"/>
      <c r="V385" s="74"/>
      <c r="W385" s="76">
        <f t="shared" si="241"/>
        <v>3203.17220543807</v>
      </c>
      <c r="X385" s="77">
        <f t="shared" si="245"/>
        <v>37.3182590634441</v>
      </c>
      <c r="Y385" s="77"/>
      <c r="Z385" s="77"/>
      <c r="AA385" s="77">
        <f t="shared" si="242"/>
        <v>37.3182590634441</v>
      </c>
      <c r="AB385" s="86">
        <v>7.08</v>
      </c>
      <c r="AC385" s="74">
        <f t="shared" si="239"/>
        <v>264.213274169184</v>
      </c>
      <c r="AD385" s="74">
        <f t="shared" si="240"/>
        <v>3467.38547960725</v>
      </c>
      <c r="AE385" s="74">
        <f t="shared" si="237"/>
        <v>458.970120392749</v>
      </c>
    </row>
    <row r="386" customFormat="1" spans="1:31">
      <c r="A386" s="18"/>
      <c r="B386" s="19"/>
      <c r="C386" s="20">
        <v>240907000021</v>
      </c>
      <c r="D386" s="21">
        <v>45553</v>
      </c>
      <c r="E386" s="21" t="s">
        <v>96</v>
      </c>
      <c r="F386" s="19" t="s">
        <v>209</v>
      </c>
      <c r="G386" s="19" t="s">
        <v>283</v>
      </c>
      <c r="H386" s="19">
        <v>46</v>
      </c>
      <c r="I386" s="45"/>
      <c r="J386" s="54">
        <v>594606</v>
      </c>
      <c r="K386" s="43"/>
      <c r="L386" s="49">
        <f t="shared" si="246"/>
        <v>1695</v>
      </c>
      <c r="M386" s="50">
        <v>350.8</v>
      </c>
      <c r="N386" s="44">
        <v>7.08</v>
      </c>
      <c r="O386" s="45">
        <f t="shared" si="247"/>
        <v>2483.664</v>
      </c>
      <c r="P386" s="51"/>
      <c r="Q386" s="51"/>
      <c r="R386" s="74">
        <f t="shared" si="243"/>
        <v>2353.36555891239</v>
      </c>
      <c r="S386" s="74"/>
      <c r="T386" s="75">
        <f t="shared" si="244"/>
        <v>4.16918429003021</v>
      </c>
      <c r="U386" s="74"/>
      <c r="V386" s="74"/>
      <c r="W386" s="76">
        <f t="shared" si="241"/>
        <v>2357.53474320242</v>
      </c>
      <c r="X386" s="77">
        <f t="shared" si="245"/>
        <v>27.4662386706949</v>
      </c>
      <c r="Y386" s="77"/>
      <c r="Z386" s="77"/>
      <c r="AA386" s="77">
        <f t="shared" si="242"/>
        <v>27.4662386706949</v>
      </c>
      <c r="AB386" s="86">
        <v>7.08</v>
      </c>
      <c r="AC386" s="74">
        <f t="shared" si="239"/>
        <v>194.46096978852</v>
      </c>
      <c r="AD386" s="74">
        <f t="shared" si="240"/>
        <v>2551.99571299094</v>
      </c>
      <c r="AE386" s="74">
        <f t="shared" si="237"/>
        <v>-68.331712990936</v>
      </c>
    </row>
    <row r="387" customFormat="1" spans="1:31">
      <c r="A387" s="18"/>
      <c r="B387" s="19"/>
      <c r="C387" s="20">
        <v>240907000022</v>
      </c>
      <c r="D387" s="21">
        <v>45553</v>
      </c>
      <c r="E387" s="21" t="s">
        <v>62</v>
      </c>
      <c r="F387" s="19" t="s">
        <v>63</v>
      </c>
      <c r="G387" s="19" t="s">
        <v>330</v>
      </c>
      <c r="H387" s="19">
        <v>2</v>
      </c>
      <c r="I387" s="41">
        <v>153.3</v>
      </c>
      <c r="J387" s="53"/>
      <c r="K387" s="43"/>
      <c r="L387" s="19"/>
      <c r="M387" s="43"/>
      <c r="N387" s="44"/>
      <c r="O387" s="45">
        <f t="shared" ref="O387:O389" si="248">SUM(I387)</f>
        <v>153.3</v>
      </c>
      <c r="P387" s="51"/>
      <c r="Q387" s="51"/>
      <c r="R387" s="74">
        <f t="shared" si="243"/>
        <v>102.320241691843</v>
      </c>
      <c r="S387" s="74"/>
      <c r="T387" s="75">
        <f t="shared" si="244"/>
        <v>0.181268882175227</v>
      </c>
      <c r="U387" s="74"/>
      <c r="V387" s="74"/>
      <c r="W387" s="76">
        <f t="shared" si="241"/>
        <v>102.501510574018</v>
      </c>
      <c r="X387" s="77">
        <f t="shared" si="245"/>
        <v>1.19418429003021</v>
      </c>
      <c r="Y387" s="77"/>
      <c r="Z387" s="77"/>
      <c r="AA387" s="77">
        <f t="shared" si="242"/>
        <v>1.19418429003021</v>
      </c>
      <c r="AB387" s="86">
        <v>7.08</v>
      </c>
      <c r="AC387" s="74">
        <f t="shared" si="239"/>
        <v>8.4548247734139</v>
      </c>
      <c r="AD387" s="74">
        <f t="shared" si="240"/>
        <v>110.956335347432</v>
      </c>
      <c r="AE387" s="74">
        <f t="shared" si="237"/>
        <v>42.343664652568</v>
      </c>
    </row>
    <row r="388" customFormat="1" spans="1:31">
      <c r="A388" s="18"/>
      <c r="B388" s="19"/>
      <c r="C388" s="20">
        <v>240907000025</v>
      </c>
      <c r="D388" s="21">
        <v>45553</v>
      </c>
      <c r="E388" s="21" t="s">
        <v>62</v>
      </c>
      <c r="F388" s="19" t="s">
        <v>63</v>
      </c>
      <c r="G388" s="19" t="s">
        <v>331</v>
      </c>
      <c r="H388" s="19">
        <v>5</v>
      </c>
      <c r="I388" s="41">
        <v>333.3</v>
      </c>
      <c r="J388" s="53"/>
      <c r="K388" s="43"/>
      <c r="L388" s="19"/>
      <c r="M388" s="43"/>
      <c r="N388" s="44"/>
      <c r="O388" s="45">
        <f t="shared" si="248"/>
        <v>333.3</v>
      </c>
      <c r="P388" s="51"/>
      <c r="Q388" s="51"/>
      <c r="R388" s="74">
        <f t="shared" si="243"/>
        <v>255.800604229607</v>
      </c>
      <c r="S388" s="74"/>
      <c r="T388" s="75">
        <f t="shared" si="244"/>
        <v>0.453172205438066</v>
      </c>
      <c r="U388" s="74"/>
      <c r="V388" s="74"/>
      <c r="W388" s="76">
        <f t="shared" si="241"/>
        <v>256.253776435045</v>
      </c>
      <c r="X388" s="77">
        <f t="shared" si="245"/>
        <v>2.98546072507553</v>
      </c>
      <c r="Y388" s="77"/>
      <c r="Z388" s="77"/>
      <c r="AA388" s="77">
        <f t="shared" si="242"/>
        <v>2.98546072507553</v>
      </c>
      <c r="AB388" s="86">
        <v>7.08</v>
      </c>
      <c r="AC388" s="74">
        <f t="shared" si="239"/>
        <v>21.1370619335347</v>
      </c>
      <c r="AD388" s="74">
        <f t="shared" si="240"/>
        <v>277.39083836858</v>
      </c>
      <c r="AE388" s="74">
        <f t="shared" si="237"/>
        <v>55.9091616314199</v>
      </c>
    </row>
    <row r="389" customFormat="1" spans="1:31">
      <c r="A389" s="18"/>
      <c r="B389" s="19"/>
      <c r="C389" s="20">
        <v>240908000010</v>
      </c>
      <c r="D389" s="21">
        <v>45553</v>
      </c>
      <c r="E389" s="21" t="s">
        <v>50</v>
      </c>
      <c r="F389" s="19" t="s">
        <v>51</v>
      </c>
      <c r="G389" s="19" t="s">
        <v>332</v>
      </c>
      <c r="H389" s="19">
        <v>2</v>
      </c>
      <c r="I389" s="41">
        <v>148.5</v>
      </c>
      <c r="J389" s="53"/>
      <c r="K389" s="43"/>
      <c r="L389" s="19"/>
      <c r="M389" s="43"/>
      <c r="N389" s="44"/>
      <c r="O389" s="45">
        <f t="shared" si="248"/>
        <v>148.5</v>
      </c>
      <c r="P389" s="51"/>
      <c r="Q389" s="51"/>
      <c r="R389" s="74">
        <f t="shared" si="243"/>
        <v>102.320241691843</v>
      </c>
      <c r="S389" s="74"/>
      <c r="T389" s="75">
        <f t="shared" si="244"/>
        <v>0.181268882175227</v>
      </c>
      <c r="U389" s="74"/>
      <c r="V389" s="74"/>
      <c r="W389" s="76">
        <f t="shared" si="241"/>
        <v>102.501510574018</v>
      </c>
      <c r="X389" s="77">
        <f t="shared" si="245"/>
        <v>1.19418429003021</v>
      </c>
      <c r="Y389" s="77"/>
      <c r="Z389" s="77"/>
      <c r="AA389" s="77">
        <f t="shared" si="242"/>
        <v>1.19418429003021</v>
      </c>
      <c r="AB389" s="86">
        <v>7.08</v>
      </c>
      <c r="AC389" s="74">
        <f t="shared" si="239"/>
        <v>8.4548247734139</v>
      </c>
      <c r="AD389" s="74">
        <f t="shared" si="240"/>
        <v>110.956335347432</v>
      </c>
      <c r="AE389" s="74">
        <f t="shared" si="237"/>
        <v>37.543664652568</v>
      </c>
    </row>
    <row r="390" customFormat="1" spans="1:31">
      <c r="A390" s="18"/>
      <c r="B390" s="19"/>
      <c r="C390" s="20">
        <v>240908000018</v>
      </c>
      <c r="D390" s="21">
        <v>45553</v>
      </c>
      <c r="E390" s="21" t="s">
        <v>50</v>
      </c>
      <c r="F390" s="19" t="s">
        <v>51</v>
      </c>
      <c r="G390" s="19" t="s">
        <v>87</v>
      </c>
      <c r="H390" s="19">
        <v>17</v>
      </c>
      <c r="I390" s="55"/>
      <c r="J390" s="54">
        <v>241570</v>
      </c>
      <c r="K390" s="43"/>
      <c r="L390" s="49">
        <f t="shared" si="246"/>
        <v>1734.66896452678</v>
      </c>
      <c r="M390" s="50">
        <v>139.26</v>
      </c>
      <c r="N390" s="44">
        <v>7.08</v>
      </c>
      <c r="O390" s="45">
        <f t="shared" si="247"/>
        <v>985.9608</v>
      </c>
      <c r="P390" s="51"/>
      <c r="Q390" s="51"/>
      <c r="R390" s="74">
        <f t="shared" si="243"/>
        <v>869.722054380665</v>
      </c>
      <c r="S390" s="74"/>
      <c r="T390" s="75">
        <f t="shared" si="244"/>
        <v>1.54078549848943</v>
      </c>
      <c r="U390" s="74"/>
      <c r="V390" s="74"/>
      <c r="W390" s="76">
        <f t="shared" si="241"/>
        <v>871.262839879154</v>
      </c>
      <c r="X390" s="77">
        <f t="shared" si="245"/>
        <v>10.1505664652568</v>
      </c>
      <c r="Y390" s="77"/>
      <c r="Z390" s="77"/>
      <c r="AA390" s="77">
        <f t="shared" si="242"/>
        <v>10.1505664652568</v>
      </c>
      <c r="AB390" s="86">
        <v>7.08</v>
      </c>
      <c r="AC390" s="74">
        <f t="shared" si="239"/>
        <v>71.8660105740181</v>
      </c>
      <c r="AD390" s="74">
        <f t="shared" si="240"/>
        <v>943.128850453172</v>
      </c>
      <c r="AE390" s="74">
        <f t="shared" si="237"/>
        <v>42.8319495468278</v>
      </c>
    </row>
    <row r="391" customFormat="1" spans="1:31">
      <c r="A391" s="18"/>
      <c r="B391" s="19"/>
      <c r="C391" s="20">
        <v>240908000021</v>
      </c>
      <c r="D391" s="21">
        <v>45553</v>
      </c>
      <c r="E391" s="21" t="s">
        <v>50</v>
      </c>
      <c r="F391" s="19" t="s">
        <v>51</v>
      </c>
      <c r="G391" s="19" t="s">
        <v>54</v>
      </c>
      <c r="H391" s="19">
        <v>7</v>
      </c>
      <c r="I391" s="41">
        <v>408</v>
      </c>
      <c r="J391" s="53"/>
      <c r="K391" s="43"/>
      <c r="L391" s="19"/>
      <c r="M391" s="43"/>
      <c r="N391" s="44"/>
      <c r="O391" s="45">
        <f t="shared" ref="O391:O393" si="249">SUM(I391)</f>
        <v>408</v>
      </c>
      <c r="P391" s="51"/>
      <c r="Q391" s="51"/>
      <c r="R391" s="74">
        <f t="shared" si="243"/>
        <v>358.12084592145</v>
      </c>
      <c r="S391" s="74"/>
      <c r="T391" s="75">
        <f t="shared" si="244"/>
        <v>0.634441087613293</v>
      </c>
      <c r="U391" s="74"/>
      <c r="V391" s="74"/>
      <c r="W391" s="76">
        <f t="shared" si="241"/>
        <v>358.755287009063</v>
      </c>
      <c r="X391" s="77">
        <f t="shared" si="245"/>
        <v>4.17964501510574</v>
      </c>
      <c r="Y391" s="77"/>
      <c r="Z391" s="77"/>
      <c r="AA391" s="77">
        <f t="shared" si="242"/>
        <v>4.17964501510574</v>
      </c>
      <c r="AB391" s="86">
        <v>7.08</v>
      </c>
      <c r="AC391" s="74">
        <f t="shared" si="239"/>
        <v>29.5918867069486</v>
      </c>
      <c r="AD391" s="74">
        <f t="shared" si="240"/>
        <v>388.347173716012</v>
      </c>
      <c r="AE391" s="74">
        <f t="shared" si="237"/>
        <v>19.6528262839879</v>
      </c>
    </row>
    <row r="392" customFormat="1" spans="1:31">
      <c r="A392" s="18"/>
      <c r="B392" s="19"/>
      <c r="C392" s="20">
        <v>240908000023</v>
      </c>
      <c r="D392" s="21">
        <v>45553</v>
      </c>
      <c r="E392" s="21" t="s">
        <v>50</v>
      </c>
      <c r="F392" s="19" t="s">
        <v>51</v>
      </c>
      <c r="G392" s="19" t="s">
        <v>94</v>
      </c>
      <c r="H392" s="19">
        <v>0.84</v>
      </c>
      <c r="I392" s="41">
        <v>85</v>
      </c>
      <c r="J392" s="53"/>
      <c r="K392" s="43"/>
      <c r="L392" s="19"/>
      <c r="M392" s="43"/>
      <c r="N392" s="44"/>
      <c r="O392" s="45">
        <f t="shared" si="249"/>
        <v>85</v>
      </c>
      <c r="P392" s="51"/>
      <c r="Q392" s="51"/>
      <c r="R392" s="74">
        <f t="shared" si="243"/>
        <v>42.974501510574</v>
      </c>
      <c r="S392" s="74"/>
      <c r="T392" s="75">
        <f t="shared" si="244"/>
        <v>0.0761329305135952</v>
      </c>
      <c r="U392" s="74"/>
      <c r="V392" s="74"/>
      <c r="W392" s="76">
        <f t="shared" si="241"/>
        <v>43.0506344410876</v>
      </c>
      <c r="X392" s="77">
        <f t="shared" si="245"/>
        <v>0.501557401812689</v>
      </c>
      <c r="Y392" s="77"/>
      <c r="Z392" s="77"/>
      <c r="AA392" s="77">
        <f t="shared" si="242"/>
        <v>0.501557401812689</v>
      </c>
      <c r="AB392" s="86">
        <v>7.08</v>
      </c>
      <c r="AC392" s="74">
        <f t="shared" si="239"/>
        <v>3.55102640483384</v>
      </c>
      <c r="AD392" s="74">
        <f t="shared" si="240"/>
        <v>46.6016608459214</v>
      </c>
      <c r="AE392" s="74">
        <f t="shared" si="237"/>
        <v>38.3983391540786</v>
      </c>
    </row>
    <row r="393" customFormat="1" spans="1:31">
      <c r="A393" s="18"/>
      <c r="B393" s="19"/>
      <c r="C393" s="20">
        <v>240908000031</v>
      </c>
      <c r="D393" s="21">
        <v>45553</v>
      </c>
      <c r="E393" s="21" t="s">
        <v>50</v>
      </c>
      <c r="F393" s="19" t="s">
        <v>51</v>
      </c>
      <c r="G393" s="19" t="s">
        <v>144</v>
      </c>
      <c r="H393" s="19">
        <v>14</v>
      </c>
      <c r="I393" s="41">
        <v>1040</v>
      </c>
      <c r="J393" s="53"/>
      <c r="K393" s="43"/>
      <c r="L393" s="19"/>
      <c r="M393" s="43"/>
      <c r="N393" s="44"/>
      <c r="O393" s="45">
        <f t="shared" si="249"/>
        <v>1040</v>
      </c>
      <c r="P393" s="51"/>
      <c r="Q393" s="51"/>
      <c r="R393" s="74">
        <f t="shared" si="243"/>
        <v>716.2416918429</v>
      </c>
      <c r="S393" s="74"/>
      <c r="T393" s="75">
        <f t="shared" si="244"/>
        <v>1.26888217522659</v>
      </c>
      <c r="U393" s="74">
        <v>60</v>
      </c>
      <c r="V393" s="74"/>
      <c r="W393" s="76">
        <f t="shared" si="241"/>
        <v>777.510574018127</v>
      </c>
      <c r="X393" s="77">
        <f t="shared" si="245"/>
        <v>8.35929003021148</v>
      </c>
      <c r="Y393" s="77"/>
      <c r="Z393" s="77"/>
      <c r="AA393" s="77">
        <f t="shared" si="242"/>
        <v>8.35929003021148</v>
      </c>
      <c r="AB393" s="86">
        <v>7.08</v>
      </c>
      <c r="AC393" s="74">
        <f t="shared" si="239"/>
        <v>59.1837734138973</v>
      </c>
      <c r="AD393" s="74">
        <f t="shared" si="240"/>
        <v>836.694347432024</v>
      </c>
      <c r="AE393" s="74">
        <f t="shared" si="237"/>
        <v>203.305652567976</v>
      </c>
    </row>
    <row r="394" customFormat="1" spans="1:31">
      <c r="A394" s="18"/>
      <c r="B394" s="19"/>
      <c r="C394" s="20">
        <v>240909000002</v>
      </c>
      <c r="D394" s="21">
        <v>45553</v>
      </c>
      <c r="E394" s="21" t="s">
        <v>96</v>
      </c>
      <c r="F394" s="19" t="s">
        <v>209</v>
      </c>
      <c r="G394" s="19" t="s">
        <v>333</v>
      </c>
      <c r="H394" s="19">
        <v>4</v>
      </c>
      <c r="I394" s="45"/>
      <c r="J394" s="53"/>
      <c r="K394" s="43"/>
      <c r="L394" s="19"/>
      <c r="M394" s="43">
        <v>37.07</v>
      </c>
      <c r="N394" s="44">
        <v>7.08</v>
      </c>
      <c r="O394" s="45">
        <f t="shared" ref="O394:O398" si="250">SUM(M394*N394)</f>
        <v>262.4556</v>
      </c>
      <c r="P394" s="51"/>
      <c r="Q394" s="51"/>
      <c r="R394" s="74">
        <f t="shared" si="243"/>
        <v>204.640483383686</v>
      </c>
      <c r="S394" s="74"/>
      <c r="T394" s="75">
        <f t="shared" si="244"/>
        <v>0.362537764350453</v>
      </c>
      <c r="U394" s="74"/>
      <c r="V394" s="74"/>
      <c r="W394" s="76">
        <f t="shared" si="241"/>
        <v>205.003021148036</v>
      </c>
      <c r="X394" s="77">
        <f t="shared" si="245"/>
        <v>2.38836858006042</v>
      </c>
      <c r="Y394" s="77"/>
      <c r="Z394" s="77"/>
      <c r="AA394" s="77">
        <f t="shared" si="242"/>
        <v>2.38836858006042</v>
      </c>
      <c r="AB394" s="86">
        <v>7.08</v>
      </c>
      <c r="AC394" s="74">
        <f t="shared" si="239"/>
        <v>16.9096495468278</v>
      </c>
      <c r="AD394" s="74">
        <f t="shared" si="240"/>
        <v>221.912670694864</v>
      </c>
      <c r="AE394" s="74">
        <f t="shared" si="237"/>
        <v>40.5429293051359</v>
      </c>
    </row>
    <row r="395" customFormat="1" spans="1:31">
      <c r="A395" s="18"/>
      <c r="B395" s="19"/>
      <c r="C395" s="20">
        <v>240909000003</v>
      </c>
      <c r="D395" s="21">
        <v>45553</v>
      </c>
      <c r="E395" s="21" t="s">
        <v>43</v>
      </c>
      <c r="F395" s="19" t="s">
        <v>44</v>
      </c>
      <c r="G395" s="19" t="s">
        <v>334</v>
      </c>
      <c r="H395" s="19">
        <v>11</v>
      </c>
      <c r="I395" s="47"/>
      <c r="J395" s="54">
        <v>229416</v>
      </c>
      <c r="K395" s="43"/>
      <c r="L395" s="49">
        <f>SUM(J395/M395)</f>
        <v>1677.99882972499</v>
      </c>
      <c r="M395" s="50">
        <v>136.72</v>
      </c>
      <c r="N395" s="44">
        <v>7.08</v>
      </c>
      <c r="O395" s="45">
        <f t="shared" si="250"/>
        <v>967.9776</v>
      </c>
      <c r="P395" s="51"/>
      <c r="Q395" s="51"/>
      <c r="R395" s="74">
        <f t="shared" si="243"/>
        <v>562.761329305136</v>
      </c>
      <c r="S395" s="74"/>
      <c r="T395" s="75">
        <f t="shared" si="244"/>
        <v>0.996978851963746</v>
      </c>
      <c r="U395" s="74"/>
      <c r="V395" s="74"/>
      <c r="W395" s="76">
        <f t="shared" si="241"/>
        <v>563.7583081571</v>
      </c>
      <c r="X395" s="77">
        <f t="shared" si="245"/>
        <v>6.56801359516616</v>
      </c>
      <c r="Y395" s="77"/>
      <c r="Z395" s="77"/>
      <c r="AA395" s="77">
        <f t="shared" si="242"/>
        <v>6.56801359516616</v>
      </c>
      <c r="AB395" s="86">
        <v>7.08</v>
      </c>
      <c r="AC395" s="74">
        <f t="shared" si="239"/>
        <v>46.5015362537764</v>
      </c>
      <c r="AD395" s="74">
        <f t="shared" si="240"/>
        <v>610.259844410876</v>
      </c>
      <c r="AE395" s="74">
        <f t="shared" si="237"/>
        <v>357.717755589124</v>
      </c>
    </row>
    <row r="396" customFormat="1" spans="1:31">
      <c r="A396" s="18"/>
      <c r="B396" s="19"/>
      <c r="C396" s="20">
        <v>240909000005</v>
      </c>
      <c r="D396" s="21">
        <v>45553</v>
      </c>
      <c r="E396" s="21" t="s">
        <v>43</v>
      </c>
      <c r="F396" s="19" t="s">
        <v>44</v>
      </c>
      <c r="G396" s="19" t="s">
        <v>224</v>
      </c>
      <c r="H396" s="19">
        <v>2</v>
      </c>
      <c r="I396" s="41">
        <v>148</v>
      </c>
      <c r="J396" s="53"/>
      <c r="K396" s="43"/>
      <c r="L396" s="19"/>
      <c r="M396" s="43"/>
      <c r="N396" s="44"/>
      <c r="O396" s="45">
        <f t="shared" ref="O396:O400" si="251">SUM(I396)</f>
        <v>148</v>
      </c>
      <c r="P396" s="51"/>
      <c r="Q396" s="51"/>
      <c r="R396" s="74">
        <f t="shared" si="243"/>
        <v>102.320241691843</v>
      </c>
      <c r="S396" s="74"/>
      <c r="T396" s="75">
        <f t="shared" si="244"/>
        <v>0.181268882175227</v>
      </c>
      <c r="U396" s="74"/>
      <c r="V396" s="74"/>
      <c r="W396" s="76">
        <f t="shared" si="241"/>
        <v>102.501510574018</v>
      </c>
      <c r="X396" s="77">
        <f t="shared" si="245"/>
        <v>1.19418429003021</v>
      </c>
      <c r="Y396" s="77"/>
      <c r="Z396" s="77"/>
      <c r="AA396" s="77">
        <f t="shared" si="242"/>
        <v>1.19418429003021</v>
      </c>
      <c r="AB396" s="86">
        <v>7.08</v>
      </c>
      <c r="AC396" s="74">
        <f t="shared" si="239"/>
        <v>8.4548247734139</v>
      </c>
      <c r="AD396" s="74">
        <f t="shared" si="240"/>
        <v>110.956335347432</v>
      </c>
      <c r="AE396" s="74">
        <f t="shared" si="237"/>
        <v>37.043664652568</v>
      </c>
    </row>
    <row r="397" customFormat="1" spans="1:31">
      <c r="A397" s="18"/>
      <c r="B397" s="19"/>
      <c r="C397" s="20">
        <v>240909000007</v>
      </c>
      <c r="D397" s="21">
        <v>45553</v>
      </c>
      <c r="E397" s="21" t="s">
        <v>43</v>
      </c>
      <c r="F397" s="19" t="s">
        <v>44</v>
      </c>
      <c r="G397" s="19" t="s">
        <v>335</v>
      </c>
      <c r="H397" s="19">
        <v>9.5</v>
      </c>
      <c r="I397" s="41">
        <v>817</v>
      </c>
      <c r="J397" s="53"/>
      <c r="K397" s="43"/>
      <c r="L397" s="19"/>
      <c r="M397" s="43"/>
      <c r="N397" s="44"/>
      <c r="O397" s="45">
        <f t="shared" si="251"/>
        <v>817</v>
      </c>
      <c r="P397" s="51"/>
      <c r="Q397" s="51"/>
      <c r="R397" s="74">
        <f t="shared" si="243"/>
        <v>486.021148036254</v>
      </c>
      <c r="S397" s="74"/>
      <c r="T397" s="75">
        <f t="shared" si="244"/>
        <v>0.861027190332326</v>
      </c>
      <c r="U397" s="74"/>
      <c r="V397" s="74"/>
      <c r="W397" s="76">
        <f t="shared" si="241"/>
        <v>486.882175226586</v>
      </c>
      <c r="X397" s="77">
        <f t="shared" si="245"/>
        <v>5.6723753776435</v>
      </c>
      <c r="Y397" s="77"/>
      <c r="Z397" s="77"/>
      <c r="AA397" s="77">
        <f t="shared" si="242"/>
        <v>5.6723753776435</v>
      </c>
      <c r="AB397" s="86">
        <v>7.08</v>
      </c>
      <c r="AC397" s="74">
        <f t="shared" si="239"/>
        <v>40.160417673716</v>
      </c>
      <c r="AD397" s="74">
        <f t="shared" si="240"/>
        <v>527.042592900302</v>
      </c>
      <c r="AE397" s="74">
        <f t="shared" si="237"/>
        <v>289.957407099698</v>
      </c>
    </row>
    <row r="398" customFormat="1" spans="1:31">
      <c r="A398" s="18"/>
      <c r="B398" s="19"/>
      <c r="C398" s="20">
        <v>240909000013</v>
      </c>
      <c r="D398" s="21">
        <v>45553</v>
      </c>
      <c r="E398" s="21" t="s">
        <v>43</v>
      </c>
      <c r="F398" s="19" t="s">
        <v>44</v>
      </c>
      <c r="G398" s="19" t="s">
        <v>336</v>
      </c>
      <c r="H398" s="19">
        <v>21.5</v>
      </c>
      <c r="I398" s="47"/>
      <c r="J398" s="54">
        <v>338436</v>
      </c>
      <c r="K398" s="43"/>
      <c r="L398" s="49">
        <f>SUM(J398/M398)</f>
        <v>1676.9200277475</v>
      </c>
      <c r="M398" s="50">
        <v>201.82</v>
      </c>
      <c r="N398" s="44">
        <v>7.08</v>
      </c>
      <c r="O398" s="45">
        <f t="shared" si="250"/>
        <v>1428.8856</v>
      </c>
      <c r="P398" s="51"/>
      <c r="Q398" s="51"/>
      <c r="R398" s="74">
        <f t="shared" si="243"/>
        <v>1099.94259818731</v>
      </c>
      <c r="S398" s="74"/>
      <c r="T398" s="75">
        <f t="shared" si="244"/>
        <v>1.94864048338369</v>
      </c>
      <c r="U398" s="74"/>
      <c r="V398" s="74"/>
      <c r="W398" s="76">
        <f t="shared" si="241"/>
        <v>1101.89123867069</v>
      </c>
      <c r="X398" s="77">
        <f t="shared" si="245"/>
        <v>12.8374811178248</v>
      </c>
      <c r="Y398" s="77"/>
      <c r="Z398" s="77"/>
      <c r="AA398" s="77">
        <f t="shared" si="242"/>
        <v>12.8374811178248</v>
      </c>
      <c r="AB398" s="86">
        <v>7.08</v>
      </c>
      <c r="AC398" s="74">
        <f t="shared" si="239"/>
        <v>90.8893663141994</v>
      </c>
      <c r="AD398" s="74">
        <f t="shared" si="240"/>
        <v>1192.78060498489</v>
      </c>
      <c r="AE398" s="74">
        <f t="shared" si="237"/>
        <v>236.104995015106</v>
      </c>
    </row>
    <row r="399" customFormat="1" spans="1:31">
      <c r="A399" s="18"/>
      <c r="B399" s="19"/>
      <c r="C399" s="20">
        <v>240909000014</v>
      </c>
      <c r="D399" s="21">
        <v>45553</v>
      </c>
      <c r="E399" s="21" t="s">
        <v>62</v>
      </c>
      <c r="F399" s="19" t="s">
        <v>63</v>
      </c>
      <c r="G399" s="19" t="s">
        <v>337</v>
      </c>
      <c r="H399" s="19">
        <v>34.5</v>
      </c>
      <c r="I399" s="41">
        <v>2096</v>
      </c>
      <c r="J399" s="53"/>
      <c r="K399" s="43"/>
      <c r="L399" s="19"/>
      <c r="M399" s="43"/>
      <c r="N399" s="44"/>
      <c r="O399" s="45">
        <f t="shared" si="251"/>
        <v>2096</v>
      </c>
      <c r="P399" s="51"/>
      <c r="Q399" s="51"/>
      <c r="R399" s="74">
        <f t="shared" si="243"/>
        <v>1765.02416918429</v>
      </c>
      <c r="S399" s="74"/>
      <c r="T399" s="75">
        <f t="shared" si="244"/>
        <v>3.12688821752266</v>
      </c>
      <c r="U399" s="74"/>
      <c r="V399" s="74"/>
      <c r="W399" s="76">
        <f t="shared" si="241"/>
        <v>1768.15105740181</v>
      </c>
      <c r="X399" s="77">
        <f t="shared" si="245"/>
        <v>20.5996790030211</v>
      </c>
      <c r="Y399" s="77"/>
      <c r="Z399" s="77"/>
      <c r="AA399" s="77">
        <f t="shared" si="242"/>
        <v>20.5996790030211</v>
      </c>
      <c r="AB399" s="86">
        <v>7.08</v>
      </c>
      <c r="AC399" s="74">
        <f t="shared" si="239"/>
        <v>145.84572734139</v>
      </c>
      <c r="AD399" s="74">
        <f t="shared" si="240"/>
        <v>1913.9967847432</v>
      </c>
      <c r="AE399" s="74">
        <f t="shared" si="237"/>
        <v>182.003215256798</v>
      </c>
    </row>
    <row r="400" customFormat="1" spans="1:31">
      <c r="A400" s="18"/>
      <c r="B400" s="19"/>
      <c r="C400" s="22">
        <v>240909000019</v>
      </c>
      <c r="D400" s="23">
        <v>45553</v>
      </c>
      <c r="E400" s="21" t="s">
        <v>191</v>
      </c>
      <c r="F400" s="24" t="s">
        <v>192</v>
      </c>
      <c r="G400" s="24" t="s">
        <v>338</v>
      </c>
      <c r="H400" s="24">
        <v>12.5</v>
      </c>
      <c r="I400" s="55">
        <v>793.5</v>
      </c>
      <c r="J400" s="53"/>
      <c r="K400" s="43"/>
      <c r="L400" s="19"/>
      <c r="M400" s="43"/>
      <c r="N400" s="44"/>
      <c r="O400" s="45">
        <f t="shared" si="251"/>
        <v>793.5</v>
      </c>
      <c r="P400" s="51"/>
      <c r="Q400" s="51"/>
      <c r="R400" s="74">
        <f t="shared" si="243"/>
        <v>639.501510574018</v>
      </c>
      <c r="S400" s="74"/>
      <c r="T400" s="75">
        <f t="shared" si="244"/>
        <v>1.13293051359517</v>
      </c>
      <c r="U400" s="74"/>
      <c r="V400" s="74"/>
      <c r="W400" s="76">
        <f t="shared" si="241"/>
        <v>640.634441087613</v>
      </c>
      <c r="X400" s="77">
        <f t="shared" si="245"/>
        <v>7.46365181268882</v>
      </c>
      <c r="Y400" s="77"/>
      <c r="Z400" s="77"/>
      <c r="AA400" s="77">
        <f t="shared" si="242"/>
        <v>7.46365181268882</v>
      </c>
      <c r="AB400" s="86">
        <v>7.08</v>
      </c>
      <c r="AC400" s="74">
        <f t="shared" si="239"/>
        <v>52.8426548338369</v>
      </c>
      <c r="AD400" s="74">
        <f t="shared" si="240"/>
        <v>693.47709592145</v>
      </c>
      <c r="AE400" s="74">
        <f t="shared" si="237"/>
        <v>100.02290407855</v>
      </c>
    </row>
    <row r="401" customFormat="1" spans="1:31">
      <c r="A401" s="18"/>
      <c r="B401" s="19"/>
      <c r="C401" s="20">
        <v>240909000023</v>
      </c>
      <c r="D401" s="21">
        <v>45553</v>
      </c>
      <c r="E401" s="21" t="s">
        <v>191</v>
      </c>
      <c r="F401" s="19" t="s">
        <v>192</v>
      </c>
      <c r="G401" s="19" t="s">
        <v>339</v>
      </c>
      <c r="H401" s="19">
        <v>1.5</v>
      </c>
      <c r="I401" s="92">
        <v>161.57</v>
      </c>
      <c r="J401" s="53"/>
      <c r="K401" s="43"/>
      <c r="L401" s="19"/>
      <c r="M401" s="43"/>
      <c r="N401" s="44"/>
      <c r="O401" s="45">
        <f>SUBTOTAL(9,I401)</f>
        <v>161.57</v>
      </c>
      <c r="P401" s="51"/>
      <c r="Q401" s="51"/>
      <c r="R401" s="74">
        <f t="shared" si="243"/>
        <v>76.7401812688822</v>
      </c>
      <c r="S401" s="74"/>
      <c r="T401" s="75">
        <f t="shared" si="244"/>
        <v>0.13595166163142</v>
      </c>
      <c r="U401" s="74"/>
      <c r="V401" s="74"/>
      <c r="W401" s="76">
        <f t="shared" si="241"/>
        <v>76.8761329305136</v>
      </c>
      <c r="X401" s="77">
        <f t="shared" si="245"/>
        <v>0.895638217522658</v>
      </c>
      <c r="Y401" s="77"/>
      <c r="Z401" s="77"/>
      <c r="AA401" s="77">
        <f t="shared" si="242"/>
        <v>0.895638217522658</v>
      </c>
      <c r="AB401" s="86">
        <v>7.08</v>
      </c>
      <c r="AC401" s="74">
        <f t="shared" si="239"/>
        <v>6.34111858006042</v>
      </c>
      <c r="AD401" s="74">
        <f t="shared" si="240"/>
        <v>83.217251510574</v>
      </c>
      <c r="AE401" s="74">
        <f t="shared" si="237"/>
        <v>78.352748489426</v>
      </c>
    </row>
    <row r="402" customFormat="1" spans="1:31">
      <c r="A402" s="18"/>
      <c r="B402" s="19"/>
      <c r="C402" s="20">
        <v>240909000024</v>
      </c>
      <c r="D402" s="21">
        <v>45553</v>
      </c>
      <c r="E402" s="21" t="s">
        <v>43</v>
      </c>
      <c r="F402" s="19" t="s">
        <v>44</v>
      </c>
      <c r="G402" s="19" t="s">
        <v>108</v>
      </c>
      <c r="H402" s="19">
        <v>2.5</v>
      </c>
      <c r="I402" s="47"/>
      <c r="J402" s="54">
        <v>39816</v>
      </c>
      <c r="K402" s="43"/>
      <c r="L402" s="49">
        <f>SUM(J402/M402)</f>
        <v>1678.58347386172</v>
      </c>
      <c r="M402" s="50">
        <v>23.72</v>
      </c>
      <c r="N402" s="44">
        <v>7.08</v>
      </c>
      <c r="O402" s="45">
        <f>SUM(M402*N402)</f>
        <v>167.9376</v>
      </c>
      <c r="P402" s="51"/>
      <c r="Q402" s="51"/>
      <c r="R402" s="74">
        <f t="shared" si="243"/>
        <v>127.900302114804</v>
      </c>
      <c r="S402" s="74"/>
      <c r="T402" s="75">
        <f t="shared" si="244"/>
        <v>0.226586102719033</v>
      </c>
      <c r="U402" s="74"/>
      <c r="V402" s="74"/>
      <c r="W402" s="76">
        <f t="shared" si="241"/>
        <v>128.126888217523</v>
      </c>
      <c r="X402" s="77">
        <f t="shared" si="245"/>
        <v>1.49273036253776</v>
      </c>
      <c r="Y402" s="77"/>
      <c r="Z402" s="77"/>
      <c r="AA402" s="77">
        <f t="shared" si="242"/>
        <v>1.49273036253776</v>
      </c>
      <c r="AB402" s="86">
        <v>7.08</v>
      </c>
      <c r="AC402" s="74">
        <f t="shared" si="239"/>
        <v>10.5685309667674</v>
      </c>
      <c r="AD402" s="74">
        <f t="shared" si="240"/>
        <v>138.69541918429</v>
      </c>
      <c r="AE402" s="74">
        <f t="shared" si="237"/>
        <v>29.24218081571</v>
      </c>
    </row>
    <row r="403" customFormat="1" spans="1:31">
      <c r="A403" s="18"/>
      <c r="B403" s="19"/>
      <c r="C403" s="20">
        <v>240909000039</v>
      </c>
      <c r="D403" s="21">
        <v>45553</v>
      </c>
      <c r="E403" s="21" t="s">
        <v>62</v>
      </c>
      <c r="F403" s="19" t="s">
        <v>63</v>
      </c>
      <c r="G403" s="19" t="s">
        <v>340</v>
      </c>
      <c r="H403" s="19">
        <v>0.81</v>
      </c>
      <c r="I403" s="41">
        <v>69.3</v>
      </c>
      <c r="J403" s="53"/>
      <c r="K403" s="43"/>
      <c r="L403" s="19"/>
      <c r="M403" s="43"/>
      <c r="N403" s="44"/>
      <c r="O403" s="45">
        <f t="shared" ref="O403:O407" si="252">SUM(I403)</f>
        <v>69.3</v>
      </c>
      <c r="P403" s="51"/>
      <c r="Q403" s="51"/>
      <c r="R403" s="74">
        <f t="shared" si="243"/>
        <v>41.4396978851964</v>
      </c>
      <c r="S403" s="74"/>
      <c r="T403" s="75">
        <f t="shared" si="244"/>
        <v>0.0734138972809668</v>
      </c>
      <c r="U403" s="74"/>
      <c r="V403" s="74"/>
      <c r="W403" s="76">
        <f t="shared" si="241"/>
        <v>41.5131117824773</v>
      </c>
      <c r="X403" s="77">
        <f t="shared" si="245"/>
        <v>0.483644637462236</v>
      </c>
      <c r="Y403" s="77"/>
      <c r="Z403" s="77"/>
      <c r="AA403" s="77">
        <f t="shared" si="242"/>
        <v>0.483644637462236</v>
      </c>
      <c r="AB403" s="86">
        <v>7.08</v>
      </c>
      <c r="AC403" s="74">
        <f t="shared" si="239"/>
        <v>3.42420403323263</v>
      </c>
      <c r="AD403" s="74">
        <f t="shared" si="240"/>
        <v>44.93731581571</v>
      </c>
      <c r="AE403" s="74">
        <f t="shared" si="237"/>
        <v>24.36268418429</v>
      </c>
    </row>
    <row r="404" customFormat="1" spans="1:31">
      <c r="A404" s="18"/>
      <c r="B404" s="19"/>
      <c r="C404" s="20">
        <v>240909000040</v>
      </c>
      <c r="D404" s="21">
        <v>45553</v>
      </c>
      <c r="E404" s="21" t="s">
        <v>43</v>
      </c>
      <c r="F404" s="19" t="s">
        <v>44</v>
      </c>
      <c r="G404" s="19" t="s">
        <v>341</v>
      </c>
      <c r="H404" s="19">
        <v>40</v>
      </c>
      <c r="I404" s="41">
        <v>3470</v>
      </c>
      <c r="J404" s="53"/>
      <c r="K404" s="43"/>
      <c r="L404" s="19"/>
      <c r="M404" s="43"/>
      <c r="N404" s="44"/>
      <c r="O404" s="45">
        <f t="shared" si="252"/>
        <v>3470</v>
      </c>
      <c r="P404" s="51"/>
      <c r="Q404" s="51"/>
      <c r="R404" s="74">
        <f t="shared" si="243"/>
        <v>2046.40483383686</v>
      </c>
      <c r="S404" s="74"/>
      <c r="T404" s="75">
        <f t="shared" si="244"/>
        <v>3.62537764350453</v>
      </c>
      <c r="U404" s="74"/>
      <c r="V404" s="74"/>
      <c r="W404" s="76">
        <f t="shared" si="241"/>
        <v>2050.03021148036</v>
      </c>
      <c r="X404" s="77">
        <f t="shared" si="245"/>
        <v>23.8836858006042</v>
      </c>
      <c r="Y404" s="77"/>
      <c r="Z404" s="77"/>
      <c r="AA404" s="77">
        <f t="shared" si="242"/>
        <v>23.8836858006042</v>
      </c>
      <c r="AB404" s="86">
        <v>7.08</v>
      </c>
      <c r="AC404" s="74">
        <f t="shared" si="239"/>
        <v>169.096495468278</v>
      </c>
      <c r="AD404" s="74">
        <f t="shared" si="240"/>
        <v>2219.12670694864</v>
      </c>
      <c r="AE404" s="74">
        <f t="shared" si="237"/>
        <v>1250.87329305136</v>
      </c>
    </row>
    <row r="405" customFormat="1" spans="1:31">
      <c r="A405" s="18"/>
      <c r="B405" s="19"/>
      <c r="C405" s="20">
        <v>240909000044</v>
      </c>
      <c r="D405" s="21">
        <v>45553</v>
      </c>
      <c r="E405" s="21" t="s">
        <v>62</v>
      </c>
      <c r="F405" s="19" t="s">
        <v>63</v>
      </c>
      <c r="G405" s="19" t="s">
        <v>342</v>
      </c>
      <c r="H405" s="19">
        <v>4</v>
      </c>
      <c r="I405" s="41">
        <v>350</v>
      </c>
      <c r="J405" s="53"/>
      <c r="K405" s="43"/>
      <c r="L405" s="19"/>
      <c r="M405" s="43"/>
      <c r="N405" s="44"/>
      <c r="O405" s="45">
        <f t="shared" si="252"/>
        <v>350</v>
      </c>
      <c r="P405" s="51"/>
      <c r="Q405" s="51"/>
      <c r="R405" s="74">
        <f t="shared" si="243"/>
        <v>204.640483383686</v>
      </c>
      <c r="S405" s="74"/>
      <c r="T405" s="75">
        <f t="shared" si="244"/>
        <v>0.362537764350453</v>
      </c>
      <c r="U405" s="74">
        <v>30</v>
      </c>
      <c r="V405" s="74"/>
      <c r="W405" s="76">
        <f t="shared" si="241"/>
        <v>235.003021148036</v>
      </c>
      <c r="X405" s="77">
        <f t="shared" si="245"/>
        <v>2.38836858006042</v>
      </c>
      <c r="Y405" s="77"/>
      <c r="Z405" s="77"/>
      <c r="AA405" s="77">
        <f t="shared" si="242"/>
        <v>2.38836858006042</v>
      </c>
      <c r="AB405" s="86">
        <v>7.08</v>
      </c>
      <c r="AC405" s="74">
        <f t="shared" si="239"/>
        <v>16.9096495468278</v>
      </c>
      <c r="AD405" s="74">
        <f t="shared" si="240"/>
        <v>251.912670694864</v>
      </c>
      <c r="AE405" s="74">
        <f t="shared" si="237"/>
        <v>98.0873293051359</v>
      </c>
    </row>
    <row r="406" customFormat="1" spans="1:31">
      <c r="A406" s="18"/>
      <c r="B406" s="19"/>
      <c r="C406" s="20">
        <v>240909000057</v>
      </c>
      <c r="D406" s="21">
        <v>45553</v>
      </c>
      <c r="E406" s="21" t="s">
        <v>50</v>
      </c>
      <c r="F406" s="19" t="s">
        <v>51</v>
      </c>
      <c r="G406" s="19" t="s">
        <v>122</v>
      </c>
      <c r="H406" s="19">
        <v>59</v>
      </c>
      <c r="I406" s="41">
        <v>3779</v>
      </c>
      <c r="J406" s="53"/>
      <c r="K406" s="43"/>
      <c r="L406" s="19"/>
      <c r="M406" s="43"/>
      <c r="N406" s="44"/>
      <c r="O406" s="45">
        <f t="shared" si="252"/>
        <v>3779</v>
      </c>
      <c r="P406" s="51"/>
      <c r="Q406" s="51"/>
      <c r="R406" s="74">
        <f t="shared" si="243"/>
        <v>3018.44712990937</v>
      </c>
      <c r="S406" s="74"/>
      <c r="T406" s="75">
        <f t="shared" si="244"/>
        <v>5.34743202416918</v>
      </c>
      <c r="U406" s="74"/>
      <c r="V406" s="74"/>
      <c r="W406" s="76">
        <f t="shared" si="241"/>
        <v>3023.79456193353</v>
      </c>
      <c r="X406" s="77">
        <f t="shared" si="245"/>
        <v>35.2284365558912</v>
      </c>
      <c r="Y406" s="77"/>
      <c r="Z406" s="77"/>
      <c r="AA406" s="77">
        <f t="shared" si="242"/>
        <v>35.2284365558912</v>
      </c>
      <c r="AB406" s="86">
        <v>7.08</v>
      </c>
      <c r="AC406" s="74">
        <f t="shared" si="239"/>
        <v>249.41733081571</v>
      </c>
      <c r="AD406" s="74">
        <f t="shared" si="240"/>
        <v>3273.21189274924</v>
      </c>
      <c r="AE406" s="74">
        <f t="shared" si="237"/>
        <v>505.788107250755</v>
      </c>
    </row>
    <row r="407" customFormat="1" spans="1:31">
      <c r="A407" s="18"/>
      <c r="B407" s="19"/>
      <c r="C407" s="20">
        <v>240910000003</v>
      </c>
      <c r="D407" s="21">
        <v>45553</v>
      </c>
      <c r="E407" s="21" t="s">
        <v>50</v>
      </c>
      <c r="F407" s="19" t="s">
        <v>51</v>
      </c>
      <c r="G407" s="19" t="s">
        <v>343</v>
      </c>
      <c r="H407" s="19">
        <v>6</v>
      </c>
      <c r="I407" s="41">
        <v>408</v>
      </c>
      <c r="J407" s="53"/>
      <c r="K407" s="43"/>
      <c r="L407" s="19"/>
      <c r="M407" s="43"/>
      <c r="N407" s="44"/>
      <c r="O407" s="45">
        <f t="shared" si="252"/>
        <v>408</v>
      </c>
      <c r="P407" s="51"/>
      <c r="Q407" s="51"/>
      <c r="R407" s="74">
        <f t="shared" si="243"/>
        <v>306.960725075529</v>
      </c>
      <c r="S407" s="74"/>
      <c r="T407" s="75">
        <f t="shared" si="244"/>
        <v>0.54380664652568</v>
      </c>
      <c r="U407" s="74"/>
      <c r="V407" s="74"/>
      <c r="W407" s="76">
        <f t="shared" si="241"/>
        <v>307.504531722054</v>
      </c>
      <c r="X407" s="77">
        <f t="shared" si="245"/>
        <v>3.58255287009063</v>
      </c>
      <c r="Y407" s="77"/>
      <c r="Z407" s="77"/>
      <c r="AA407" s="77">
        <f t="shared" si="242"/>
        <v>3.58255287009063</v>
      </c>
      <c r="AB407" s="86">
        <v>7.08</v>
      </c>
      <c r="AC407" s="74">
        <f t="shared" si="239"/>
        <v>25.3644743202417</v>
      </c>
      <c r="AD407" s="74">
        <f t="shared" si="240"/>
        <v>332.869006042296</v>
      </c>
      <c r="AE407" s="74">
        <f t="shared" si="237"/>
        <v>75.1309939577039</v>
      </c>
    </row>
    <row r="408" customFormat="1" spans="1:31">
      <c r="A408" s="18"/>
      <c r="B408" s="19"/>
      <c r="C408" s="20">
        <v>240910000007</v>
      </c>
      <c r="D408" s="21">
        <v>45553</v>
      </c>
      <c r="E408" s="21" t="s">
        <v>43</v>
      </c>
      <c r="F408" s="19" t="s">
        <v>44</v>
      </c>
      <c r="G408" s="19" t="s">
        <v>108</v>
      </c>
      <c r="H408" s="19">
        <v>0.48</v>
      </c>
      <c r="I408" s="47"/>
      <c r="J408" s="54">
        <v>16353</v>
      </c>
      <c r="K408" s="43"/>
      <c r="L408" s="49">
        <f>SUM(J408/M408)</f>
        <v>1678.95277207392</v>
      </c>
      <c r="M408" s="50">
        <v>9.74</v>
      </c>
      <c r="N408" s="44">
        <v>7.08</v>
      </c>
      <c r="O408" s="45">
        <f>SUM(M408*N408)</f>
        <v>68.9592</v>
      </c>
      <c r="P408" s="51"/>
      <c r="Q408" s="51"/>
      <c r="R408" s="74">
        <f t="shared" si="243"/>
        <v>24.5568580060423</v>
      </c>
      <c r="S408" s="74"/>
      <c r="T408" s="75">
        <f t="shared" si="244"/>
        <v>0.0435045317220544</v>
      </c>
      <c r="U408" s="74"/>
      <c r="V408" s="74"/>
      <c r="W408" s="76">
        <f t="shared" si="241"/>
        <v>24.6003625377643</v>
      </c>
      <c r="X408" s="77">
        <f t="shared" si="245"/>
        <v>0.286604229607251</v>
      </c>
      <c r="Y408" s="77"/>
      <c r="Z408" s="77"/>
      <c r="AA408" s="77">
        <f t="shared" si="242"/>
        <v>0.286604229607251</v>
      </c>
      <c r="AB408" s="86">
        <v>7.08</v>
      </c>
      <c r="AC408" s="74">
        <f t="shared" si="239"/>
        <v>2.02915794561933</v>
      </c>
      <c r="AD408" s="74">
        <f t="shared" si="240"/>
        <v>26.6295204833837</v>
      </c>
      <c r="AE408" s="74">
        <f t="shared" si="237"/>
        <v>42.3296795166163</v>
      </c>
    </row>
    <row r="409" customFormat="1" spans="1:31">
      <c r="A409" s="18"/>
      <c r="B409" s="19"/>
      <c r="C409" s="20">
        <v>240910000008</v>
      </c>
      <c r="D409" s="21">
        <v>45553</v>
      </c>
      <c r="E409" s="21" t="s">
        <v>46</v>
      </c>
      <c r="F409" s="19" t="s">
        <v>47</v>
      </c>
      <c r="G409" s="19" t="s">
        <v>119</v>
      </c>
      <c r="H409" s="19">
        <v>0.22</v>
      </c>
      <c r="I409" s="41">
        <v>75.9</v>
      </c>
      <c r="J409" s="53"/>
      <c r="K409" s="43"/>
      <c r="L409" s="19"/>
      <c r="M409" s="43"/>
      <c r="N409" s="44"/>
      <c r="O409" s="45">
        <f t="shared" ref="O409:O416" si="253">SUM(I409)</f>
        <v>75.9</v>
      </c>
      <c r="P409" s="51"/>
      <c r="Q409" s="51"/>
      <c r="R409" s="74">
        <f t="shared" si="243"/>
        <v>11.2552265861027</v>
      </c>
      <c r="S409" s="74"/>
      <c r="T409" s="75">
        <f t="shared" si="244"/>
        <v>0.0199395770392749</v>
      </c>
      <c r="U409" s="74"/>
      <c r="V409" s="74"/>
      <c r="W409" s="76">
        <f t="shared" si="241"/>
        <v>11.275166163142</v>
      </c>
      <c r="X409" s="77">
        <f t="shared" si="245"/>
        <v>0.131360271903323</v>
      </c>
      <c r="Y409" s="77"/>
      <c r="Z409" s="77"/>
      <c r="AA409" s="77">
        <f t="shared" si="242"/>
        <v>0.131360271903323</v>
      </c>
      <c r="AB409" s="86">
        <v>7.08</v>
      </c>
      <c r="AC409" s="74">
        <f t="shared" si="239"/>
        <v>0.930030725075529</v>
      </c>
      <c r="AD409" s="74">
        <f t="shared" si="240"/>
        <v>12.2051968882175</v>
      </c>
      <c r="AE409" s="74">
        <f t="shared" si="237"/>
        <v>63.6948031117825</v>
      </c>
    </row>
    <row r="410" customFormat="1" spans="1:31">
      <c r="A410" s="18"/>
      <c r="B410" s="19"/>
      <c r="C410" s="20">
        <v>240910000012</v>
      </c>
      <c r="D410" s="21">
        <v>45553</v>
      </c>
      <c r="E410" s="21" t="s">
        <v>62</v>
      </c>
      <c r="F410" s="19" t="s">
        <v>63</v>
      </c>
      <c r="G410" s="19" t="s">
        <v>299</v>
      </c>
      <c r="H410" s="19">
        <v>23</v>
      </c>
      <c r="I410" s="41">
        <v>1452</v>
      </c>
      <c r="J410" s="53"/>
      <c r="K410" s="43"/>
      <c r="L410" s="19"/>
      <c r="M410" s="43"/>
      <c r="N410" s="44"/>
      <c r="O410" s="45">
        <f t="shared" si="253"/>
        <v>1452</v>
      </c>
      <c r="P410" s="51"/>
      <c r="Q410" s="51"/>
      <c r="R410" s="74">
        <f t="shared" si="243"/>
        <v>1176.68277945619</v>
      </c>
      <c r="S410" s="74"/>
      <c r="T410" s="75">
        <f t="shared" si="244"/>
        <v>2.08459214501511</v>
      </c>
      <c r="U410" s="74"/>
      <c r="V410" s="74"/>
      <c r="W410" s="76">
        <f t="shared" si="241"/>
        <v>1178.76737160121</v>
      </c>
      <c r="X410" s="77">
        <f t="shared" si="245"/>
        <v>13.7331193353474</v>
      </c>
      <c r="Y410" s="77"/>
      <c r="Z410" s="77"/>
      <c r="AA410" s="77">
        <f t="shared" si="242"/>
        <v>13.7331193353474</v>
      </c>
      <c r="AB410" s="86">
        <v>7.08</v>
      </c>
      <c r="AC410" s="74">
        <f t="shared" si="239"/>
        <v>97.2304848942598</v>
      </c>
      <c r="AD410" s="74">
        <f t="shared" si="240"/>
        <v>1275.99785649547</v>
      </c>
      <c r="AE410" s="74">
        <f t="shared" si="237"/>
        <v>176.002143504532</v>
      </c>
    </row>
    <row r="411" customFormat="1" spans="1:31">
      <c r="A411" s="18"/>
      <c r="B411" s="19"/>
      <c r="C411" s="20">
        <v>240910000017</v>
      </c>
      <c r="D411" s="21">
        <v>45553</v>
      </c>
      <c r="E411" s="21" t="s">
        <v>46</v>
      </c>
      <c r="F411" s="19" t="s">
        <v>47</v>
      </c>
      <c r="G411" s="19" t="s">
        <v>225</v>
      </c>
      <c r="H411" s="19">
        <v>14</v>
      </c>
      <c r="I411" s="47"/>
      <c r="J411" s="54">
        <v>209508</v>
      </c>
      <c r="K411" s="43"/>
      <c r="L411" s="49">
        <f>SUM(J411/M411)</f>
        <v>1677.27163557762</v>
      </c>
      <c r="M411" s="50">
        <v>124.91</v>
      </c>
      <c r="N411" s="44">
        <v>7.08</v>
      </c>
      <c r="O411" s="45">
        <f>SUM(M411*N411)</f>
        <v>884.3628</v>
      </c>
      <c r="P411" s="51"/>
      <c r="Q411" s="51"/>
      <c r="R411" s="74">
        <f t="shared" si="243"/>
        <v>716.2416918429</v>
      </c>
      <c r="S411" s="74"/>
      <c r="T411" s="75">
        <f t="shared" si="244"/>
        <v>1.26888217522659</v>
      </c>
      <c r="U411" s="74"/>
      <c r="V411" s="74"/>
      <c r="W411" s="76">
        <f t="shared" si="241"/>
        <v>717.510574018127</v>
      </c>
      <c r="X411" s="77">
        <f t="shared" si="245"/>
        <v>8.35929003021148</v>
      </c>
      <c r="Y411" s="77"/>
      <c r="Z411" s="77"/>
      <c r="AA411" s="77">
        <f t="shared" si="242"/>
        <v>8.35929003021148</v>
      </c>
      <c r="AB411" s="86">
        <v>7.08</v>
      </c>
      <c r="AC411" s="74">
        <f t="shared" si="239"/>
        <v>59.1837734138973</v>
      </c>
      <c r="AD411" s="74">
        <f t="shared" si="240"/>
        <v>776.694347432024</v>
      </c>
      <c r="AE411" s="74">
        <f t="shared" si="237"/>
        <v>107.668452567976</v>
      </c>
    </row>
    <row r="412" customFormat="1" spans="1:31">
      <c r="A412" s="18"/>
      <c r="B412" s="19"/>
      <c r="C412" s="20">
        <v>240910000026</v>
      </c>
      <c r="D412" s="21">
        <v>45553</v>
      </c>
      <c r="E412" s="21" t="s">
        <v>62</v>
      </c>
      <c r="F412" s="19" t="s">
        <v>63</v>
      </c>
      <c r="G412" s="19" t="s">
        <v>344</v>
      </c>
      <c r="H412" s="19">
        <v>3.5</v>
      </c>
      <c r="I412" s="41">
        <v>255.5</v>
      </c>
      <c r="J412" s="53"/>
      <c r="K412" s="43"/>
      <c r="L412" s="19"/>
      <c r="M412" s="43"/>
      <c r="N412" s="44"/>
      <c r="O412" s="45">
        <f t="shared" si="253"/>
        <v>255.5</v>
      </c>
      <c r="P412" s="51"/>
      <c r="Q412" s="51"/>
      <c r="R412" s="74">
        <f t="shared" si="243"/>
        <v>179.060422960725</v>
      </c>
      <c r="S412" s="74"/>
      <c r="T412" s="75">
        <f t="shared" si="244"/>
        <v>0.317220543806646</v>
      </c>
      <c r="U412" s="74"/>
      <c r="V412" s="74"/>
      <c r="W412" s="76">
        <f t="shared" si="241"/>
        <v>179.377643504532</v>
      </c>
      <c r="X412" s="77">
        <f t="shared" si="245"/>
        <v>2.08982250755287</v>
      </c>
      <c r="Y412" s="77"/>
      <c r="Z412" s="77"/>
      <c r="AA412" s="77">
        <f t="shared" si="242"/>
        <v>2.08982250755287</v>
      </c>
      <c r="AB412" s="86">
        <v>7.08</v>
      </c>
      <c r="AC412" s="74">
        <f t="shared" si="239"/>
        <v>14.7959433534743</v>
      </c>
      <c r="AD412" s="74">
        <f t="shared" si="240"/>
        <v>194.173586858006</v>
      </c>
      <c r="AE412" s="74">
        <f t="shared" si="237"/>
        <v>61.326413141994</v>
      </c>
    </row>
    <row r="413" customFormat="1" spans="1:31">
      <c r="A413" s="18"/>
      <c r="B413" s="19"/>
      <c r="C413" s="20">
        <v>240910000027</v>
      </c>
      <c r="D413" s="21">
        <v>45553</v>
      </c>
      <c r="E413" s="21" t="s">
        <v>50</v>
      </c>
      <c r="F413" s="19" t="s">
        <v>51</v>
      </c>
      <c r="G413" s="19" t="s">
        <v>271</v>
      </c>
      <c r="H413" s="19">
        <v>2.5</v>
      </c>
      <c r="I413" s="41">
        <v>150</v>
      </c>
      <c r="J413" s="53"/>
      <c r="K413" s="43"/>
      <c r="L413" s="19"/>
      <c r="M413" s="43"/>
      <c r="N413" s="44"/>
      <c r="O413" s="45">
        <f t="shared" si="253"/>
        <v>150</v>
      </c>
      <c r="P413" s="51"/>
      <c r="Q413" s="51"/>
      <c r="R413" s="74">
        <f t="shared" si="243"/>
        <v>127.900302114804</v>
      </c>
      <c r="S413" s="74"/>
      <c r="T413" s="75">
        <f t="shared" si="244"/>
        <v>0.226586102719033</v>
      </c>
      <c r="U413" s="74"/>
      <c r="V413" s="74"/>
      <c r="W413" s="76">
        <f t="shared" si="241"/>
        <v>128.126888217523</v>
      </c>
      <c r="X413" s="77">
        <f t="shared" si="245"/>
        <v>1.49273036253776</v>
      </c>
      <c r="Y413" s="77"/>
      <c r="Z413" s="77"/>
      <c r="AA413" s="77">
        <f t="shared" si="242"/>
        <v>1.49273036253776</v>
      </c>
      <c r="AB413" s="86">
        <v>7.08</v>
      </c>
      <c r="AC413" s="74">
        <f t="shared" si="239"/>
        <v>10.5685309667674</v>
      </c>
      <c r="AD413" s="74">
        <f t="shared" si="240"/>
        <v>138.69541918429</v>
      </c>
      <c r="AE413" s="74">
        <f t="shared" si="237"/>
        <v>11.30458081571</v>
      </c>
    </row>
    <row r="414" customFormat="1" spans="1:31">
      <c r="A414" s="18"/>
      <c r="B414" s="19"/>
      <c r="C414" s="20">
        <v>240910000032</v>
      </c>
      <c r="D414" s="21">
        <v>45553</v>
      </c>
      <c r="E414" s="21" t="s">
        <v>246</v>
      </c>
      <c r="F414" s="19" t="s">
        <v>247</v>
      </c>
      <c r="G414" s="19" t="s">
        <v>345</v>
      </c>
      <c r="H414" s="19">
        <v>127.5</v>
      </c>
      <c r="I414" s="41">
        <v>7722.55</v>
      </c>
      <c r="J414" s="53"/>
      <c r="K414" s="43"/>
      <c r="L414" s="19"/>
      <c r="M414" s="43"/>
      <c r="N414" s="44"/>
      <c r="O414" s="45">
        <f t="shared" si="253"/>
        <v>7722.55</v>
      </c>
      <c r="P414" s="51"/>
      <c r="Q414" s="51"/>
      <c r="R414" s="74">
        <f t="shared" si="243"/>
        <v>6522.91540785498</v>
      </c>
      <c r="S414" s="74"/>
      <c r="T414" s="75">
        <f t="shared" si="244"/>
        <v>11.5558912386707</v>
      </c>
      <c r="U414" s="74"/>
      <c r="V414" s="74"/>
      <c r="W414" s="76">
        <f t="shared" si="241"/>
        <v>6534.47129909366</v>
      </c>
      <c r="X414" s="77">
        <f t="shared" si="245"/>
        <v>76.129248489426</v>
      </c>
      <c r="Y414" s="77"/>
      <c r="Z414" s="77"/>
      <c r="AA414" s="77">
        <f t="shared" si="242"/>
        <v>76.129248489426</v>
      </c>
      <c r="AB414" s="86">
        <v>7.08</v>
      </c>
      <c r="AC414" s="74">
        <f t="shared" si="239"/>
        <v>538.995079305136</v>
      </c>
      <c r="AD414" s="74">
        <f t="shared" si="240"/>
        <v>7073.46637839879</v>
      </c>
      <c r="AE414" s="74">
        <f t="shared" si="237"/>
        <v>649.083621601209</v>
      </c>
    </row>
    <row r="415" customFormat="1" spans="1:31">
      <c r="A415" s="18"/>
      <c r="B415" s="19"/>
      <c r="C415" s="20">
        <v>240910000033</v>
      </c>
      <c r="D415" s="21">
        <v>45553</v>
      </c>
      <c r="E415" s="21" t="s">
        <v>41</v>
      </c>
      <c r="F415" s="19" t="s">
        <v>41</v>
      </c>
      <c r="G415" s="19" t="s">
        <v>183</v>
      </c>
      <c r="H415" s="19">
        <v>90</v>
      </c>
      <c r="I415" s="41">
        <v>5130.5</v>
      </c>
      <c r="J415" s="53"/>
      <c r="K415" s="43"/>
      <c r="L415" s="19"/>
      <c r="M415" s="43"/>
      <c r="N415" s="44"/>
      <c r="O415" s="45">
        <f t="shared" si="253"/>
        <v>5130.5</v>
      </c>
      <c r="P415" s="51"/>
      <c r="Q415" s="51"/>
      <c r="R415" s="74">
        <f t="shared" si="243"/>
        <v>4604.41087613293</v>
      </c>
      <c r="S415" s="74"/>
      <c r="T415" s="75">
        <f t="shared" si="244"/>
        <v>8.1570996978852</v>
      </c>
      <c r="U415" s="74"/>
      <c r="V415" s="74"/>
      <c r="W415" s="76">
        <f t="shared" si="241"/>
        <v>4612.56797583082</v>
      </c>
      <c r="X415" s="77">
        <f t="shared" si="245"/>
        <v>53.7382930513595</v>
      </c>
      <c r="Y415" s="77"/>
      <c r="Z415" s="77"/>
      <c r="AA415" s="77">
        <f t="shared" si="242"/>
        <v>53.7382930513595</v>
      </c>
      <c r="AB415" s="86">
        <v>7.08</v>
      </c>
      <c r="AC415" s="74">
        <f t="shared" si="239"/>
        <v>380.467114803625</v>
      </c>
      <c r="AD415" s="74">
        <f t="shared" si="240"/>
        <v>4993.03509063444</v>
      </c>
      <c r="AE415" s="74">
        <f t="shared" si="237"/>
        <v>137.46490936556</v>
      </c>
    </row>
    <row r="416" customFormat="1" spans="1:31">
      <c r="A416" s="18"/>
      <c r="B416" s="19"/>
      <c r="C416" s="20">
        <v>240910000034</v>
      </c>
      <c r="D416" s="21">
        <v>45553</v>
      </c>
      <c r="E416" s="21" t="s">
        <v>41</v>
      </c>
      <c r="F416" s="19" t="s">
        <v>41</v>
      </c>
      <c r="G416" s="19" t="s">
        <v>187</v>
      </c>
      <c r="H416" s="19">
        <v>628</v>
      </c>
      <c r="I416" s="41">
        <v>33912</v>
      </c>
      <c r="J416" s="53"/>
      <c r="K416" s="43"/>
      <c r="L416" s="19"/>
      <c r="M416" s="43"/>
      <c r="N416" s="44"/>
      <c r="O416" s="45">
        <f t="shared" si="253"/>
        <v>33912</v>
      </c>
      <c r="P416" s="51"/>
      <c r="Q416" s="51"/>
      <c r="R416" s="74">
        <f t="shared" si="243"/>
        <v>32128.5558912387</v>
      </c>
      <c r="S416" s="74"/>
      <c r="T416" s="75">
        <f t="shared" si="244"/>
        <v>56.9184290030211</v>
      </c>
      <c r="U416" s="74"/>
      <c r="V416" s="74"/>
      <c r="W416" s="76">
        <f t="shared" si="241"/>
        <v>32185.4743202417</v>
      </c>
      <c r="X416" s="77">
        <f t="shared" si="245"/>
        <v>374.973867069486</v>
      </c>
      <c r="Y416" s="77"/>
      <c r="Z416" s="77"/>
      <c r="AA416" s="77">
        <f t="shared" si="242"/>
        <v>374.973867069486</v>
      </c>
      <c r="AB416" s="86">
        <v>7.08</v>
      </c>
      <c r="AC416" s="74">
        <f t="shared" si="239"/>
        <v>2654.81497885196</v>
      </c>
      <c r="AD416" s="74">
        <f t="shared" si="240"/>
        <v>34840.2892990937</v>
      </c>
      <c r="AE416" s="74">
        <f t="shared" si="237"/>
        <v>-928.289299093653</v>
      </c>
    </row>
    <row r="417" customFormat="1" spans="1:31">
      <c r="A417" s="18"/>
      <c r="B417" s="19"/>
      <c r="C417" s="20">
        <v>240910000037</v>
      </c>
      <c r="D417" s="21">
        <v>45553</v>
      </c>
      <c r="E417" s="21" t="s">
        <v>50</v>
      </c>
      <c r="F417" s="19" t="s">
        <v>51</v>
      </c>
      <c r="G417" s="19" t="s">
        <v>291</v>
      </c>
      <c r="H417" s="19">
        <v>10.5</v>
      </c>
      <c r="I417" s="47"/>
      <c r="J417" s="54">
        <v>149310</v>
      </c>
      <c r="K417" s="43"/>
      <c r="L417" s="49">
        <f>SUM(J417/M417)</f>
        <v>1678.01753202967</v>
      </c>
      <c r="M417" s="50">
        <v>88.98</v>
      </c>
      <c r="N417" s="44">
        <v>7.08</v>
      </c>
      <c r="O417" s="45">
        <f t="shared" ref="O417:O420" si="254">SUM(M417*N417)</f>
        <v>629.9784</v>
      </c>
      <c r="P417" s="51"/>
      <c r="Q417" s="51"/>
      <c r="R417" s="74">
        <f t="shared" si="243"/>
        <v>537.181268882175</v>
      </c>
      <c r="S417" s="74"/>
      <c r="T417" s="75">
        <f t="shared" si="244"/>
        <v>0.95166163141994</v>
      </c>
      <c r="U417" s="74"/>
      <c r="V417" s="74"/>
      <c r="W417" s="76">
        <f t="shared" si="241"/>
        <v>538.132930513595</v>
      </c>
      <c r="X417" s="77">
        <f t="shared" si="245"/>
        <v>6.26946752265861</v>
      </c>
      <c r="Y417" s="77"/>
      <c r="Z417" s="77"/>
      <c r="AA417" s="77">
        <f t="shared" si="242"/>
        <v>6.26946752265861</v>
      </c>
      <c r="AB417" s="86">
        <v>7.08</v>
      </c>
      <c r="AC417" s="74">
        <f t="shared" si="239"/>
        <v>44.387830060423</v>
      </c>
      <c r="AD417" s="74">
        <f t="shared" si="240"/>
        <v>582.520760574018</v>
      </c>
      <c r="AE417" s="74">
        <f t="shared" si="237"/>
        <v>47.4576394259818</v>
      </c>
    </row>
    <row r="418" customFormat="1" spans="1:31">
      <c r="A418" s="18"/>
      <c r="B418" s="19"/>
      <c r="C418" s="20">
        <v>240911000002</v>
      </c>
      <c r="D418" s="21">
        <v>45553</v>
      </c>
      <c r="E418" s="21" t="s">
        <v>43</v>
      </c>
      <c r="F418" s="19" t="s">
        <v>44</v>
      </c>
      <c r="G418" s="19" t="s">
        <v>346</v>
      </c>
      <c r="H418" s="19">
        <v>16</v>
      </c>
      <c r="I418" s="41">
        <v>1115</v>
      </c>
      <c r="J418" s="53"/>
      <c r="K418" s="43"/>
      <c r="L418" s="19"/>
      <c r="M418" s="43"/>
      <c r="N418" s="44"/>
      <c r="O418" s="45">
        <f t="shared" ref="O418:O423" si="255">SUM(I418)</f>
        <v>1115</v>
      </c>
      <c r="P418" s="51"/>
      <c r="Q418" s="51"/>
      <c r="R418" s="74">
        <f t="shared" si="243"/>
        <v>818.561933534743</v>
      </c>
      <c r="S418" s="74"/>
      <c r="T418" s="75">
        <f t="shared" si="244"/>
        <v>1.45015105740181</v>
      </c>
      <c r="U418" s="74"/>
      <c r="V418" s="74"/>
      <c r="W418" s="76">
        <f t="shared" si="241"/>
        <v>820.012084592145</v>
      </c>
      <c r="X418" s="77">
        <f t="shared" si="245"/>
        <v>9.55347432024169</v>
      </c>
      <c r="Y418" s="77"/>
      <c r="Z418" s="77"/>
      <c r="AA418" s="77">
        <f t="shared" si="242"/>
        <v>9.55347432024169</v>
      </c>
      <c r="AB418" s="86">
        <v>7.08</v>
      </c>
      <c r="AC418" s="74">
        <f t="shared" si="239"/>
        <v>67.6385981873112</v>
      </c>
      <c r="AD418" s="74">
        <f t="shared" si="240"/>
        <v>887.650682779456</v>
      </c>
      <c r="AE418" s="74">
        <f t="shared" si="237"/>
        <v>227.349317220544</v>
      </c>
    </row>
    <row r="419" customFormat="1" spans="1:31">
      <c r="A419" s="18"/>
      <c r="B419" s="19"/>
      <c r="C419" s="20">
        <v>240911000007</v>
      </c>
      <c r="D419" s="21">
        <v>45553</v>
      </c>
      <c r="E419" s="21" t="s">
        <v>96</v>
      </c>
      <c r="F419" s="19" t="s">
        <v>129</v>
      </c>
      <c r="G419" s="19" t="s">
        <v>347</v>
      </c>
      <c r="H419" s="19">
        <v>2.5</v>
      </c>
      <c r="I419" s="45"/>
      <c r="J419" s="53"/>
      <c r="K419" s="43"/>
      <c r="L419" s="19"/>
      <c r="M419" s="43">
        <v>25.630001</v>
      </c>
      <c r="N419" s="44">
        <v>7.08</v>
      </c>
      <c r="O419" s="45">
        <f t="shared" si="254"/>
        <v>181.46040708</v>
      </c>
      <c r="P419" s="51"/>
      <c r="Q419" s="51"/>
      <c r="R419" s="74">
        <f t="shared" si="243"/>
        <v>127.900302114804</v>
      </c>
      <c r="S419" s="74"/>
      <c r="T419" s="75">
        <f t="shared" si="244"/>
        <v>0.226586102719033</v>
      </c>
      <c r="U419" s="74"/>
      <c r="V419" s="75">
        <v>16</v>
      </c>
      <c r="W419" s="76">
        <f t="shared" si="241"/>
        <v>144.126888217523</v>
      </c>
      <c r="X419" s="77">
        <f t="shared" si="245"/>
        <v>1.49273036253776</v>
      </c>
      <c r="Y419" s="77"/>
      <c r="Z419" s="77"/>
      <c r="AA419" s="77">
        <f t="shared" si="242"/>
        <v>1.49273036253776</v>
      </c>
      <c r="AB419" s="86">
        <v>7.08</v>
      </c>
      <c r="AC419" s="74">
        <f t="shared" si="239"/>
        <v>10.5685309667674</v>
      </c>
      <c r="AD419" s="74">
        <f t="shared" si="240"/>
        <v>154.69541918429</v>
      </c>
      <c r="AE419" s="74">
        <f t="shared" si="237"/>
        <v>26.76498789571</v>
      </c>
    </row>
    <row r="420" customFormat="1" spans="1:31">
      <c r="A420" s="18"/>
      <c r="B420" s="19"/>
      <c r="C420" s="20">
        <v>240911000019</v>
      </c>
      <c r="D420" s="21">
        <v>45553</v>
      </c>
      <c r="E420" s="21" t="s">
        <v>62</v>
      </c>
      <c r="F420" s="19" t="s">
        <v>63</v>
      </c>
      <c r="G420" s="19" t="s">
        <v>219</v>
      </c>
      <c r="H420" s="19">
        <v>14.5</v>
      </c>
      <c r="I420" s="47"/>
      <c r="J420" s="54">
        <v>222588</v>
      </c>
      <c r="K420" s="43"/>
      <c r="L420" s="49">
        <f t="shared" ref="L420:L425" si="256">SUM(J420/M420)</f>
        <v>1720.95252822019</v>
      </c>
      <c r="M420" s="50">
        <v>129.34</v>
      </c>
      <c r="N420" s="44">
        <v>7.08</v>
      </c>
      <c r="O420" s="45">
        <f t="shared" si="254"/>
        <v>915.7272</v>
      </c>
      <c r="P420" s="52"/>
      <c r="Q420" s="52"/>
      <c r="R420" s="74">
        <f t="shared" si="243"/>
        <v>741.821752265861</v>
      </c>
      <c r="S420" s="74"/>
      <c r="T420" s="75">
        <f t="shared" si="244"/>
        <v>1.31419939577039</v>
      </c>
      <c r="U420" s="74"/>
      <c r="V420" s="74"/>
      <c r="W420" s="76">
        <f t="shared" si="241"/>
        <v>743.135951661631</v>
      </c>
      <c r="X420" s="77">
        <f t="shared" si="245"/>
        <v>8.65783610271903</v>
      </c>
      <c r="Y420" s="77"/>
      <c r="Z420" s="77"/>
      <c r="AA420" s="77">
        <f t="shared" si="242"/>
        <v>8.65783610271903</v>
      </c>
      <c r="AB420" s="86">
        <v>7.08</v>
      </c>
      <c r="AC420" s="74">
        <f t="shared" si="239"/>
        <v>61.2974796072507</v>
      </c>
      <c r="AD420" s="74">
        <f t="shared" si="240"/>
        <v>804.433431268882</v>
      </c>
      <c r="AE420" s="74">
        <f t="shared" si="237"/>
        <v>111.293768731118</v>
      </c>
    </row>
    <row r="421" customFormat="1" spans="1:31">
      <c r="A421" s="18" t="s">
        <v>348</v>
      </c>
      <c r="B421" s="19" t="s">
        <v>349</v>
      </c>
      <c r="C421" s="20">
        <v>240907000026</v>
      </c>
      <c r="D421" s="21">
        <v>45553</v>
      </c>
      <c r="E421" s="21" t="s">
        <v>62</v>
      </c>
      <c r="F421" s="19" t="s">
        <v>63</v>
      </c>
      <c r="G421" s="19" t="s">
        <v>266</v>
      </c>
      <c r="H421" s="19">
        <v>2805</v>
      </c>
      <c r="I421" s="41">
        <v>182935.75</v>
      </c>
      <c r="J421" s="53"/>
      <c r="K421" s="43"/>
      <c r="L421" s="19"/>
      <c r="M421" s="43"/>
      <c r="N421" s="44"/>
      <c r="O421" s="45">
        <f t="shared" si="255"/>
        <v>182935.75</v>
      </c>
      <c r="P421" s="46">
        <f>SUM(O421:O423)</f>
        <v>214710.75</v>
      </c>
      <c r="Q421" s="46" t="s">
        <v>350</v>
      </c>
      <c r="R421" s="74">
        <f>SUM(152637.5/3421)*H421</f>
        <v>125152.934083601</v>
      </c>
      <c r="S421" s="74"/>
      <c r="T421" s="75">
        <f>SUM(332.18/3421)*H421</f>
        <v>272.366237942122</v>
      </c>
      <c r="U421" s="74">
        <v>400</v>
      </c>
      <c r="V421" s="74"/>
      <c r="W421" s="76">
        <f t="shared" si="241"/>
        <v>125825.300321543</v>
      </c>
      <c r="X421" s="77">
        <f>SUM(1513.72/3421)*H421</f>
        <v>1241.15305466238</v>
      </c>
      <c r="Y421" s="77"/>
      <c r="Z421" s="77">
        <v>2955.75</v>
      </c>
      <c r="AA421" s="77">
        <f t="shared" ref="AA421:AA452" si="257">SUM(X421:Z421)</f>
        <v>4196.90305466238</v>
      </c>
      <c r="AB421" s="86">
        <v>7.08</v>
      </c>
      <c r="AC421" s="74">
        <f t="shared" si="239"/>
        <v>29714.0736270096</v>
      </c>
      <c r="AD421" s="74">
        <f t="shared" si="240"/>
        <v>155539.373948553</v>
      </c>
      <c r="AE421" s="74">
        <f t="shared" si="237"/>
        <v>27396.3760514474</v>
      </c>
    </row>
    <row r="422" customFormat="1" spans="1:31">
      <c r="A422" s="18"/>
      <c r="B422" s="19"/>
      <c r="C422" s="20">
        <v>240912000054</v>
      </c>
      <c r="D422" s="21">
        <v>45553</v>
      </c>
      <c r="E422" s="21" t="s">
        <v>246</v>
      </c>
      <c r="F422" s="19" t="s">
        <v>247</v>
      </c>
      <c r="G422" s="19" t="s">
        <v>351</v>
      </c>
      <c r="H422" s="19">
        <v>265</v>
      </c>
      <c r="I422" s="41">
        <v>14575</v>
      </c>
      <c r="J422" s="53"/>
      <c r="K422" s="43"/>
      <c r="L422" s="19"/>
      <c r="M422" s="43"/>
      <c r="N422" s="44"/>
      <c r="O422" s="45">
        <f t="shared" si="255"/>
        <v>14575</v>
      </c>
      <c r="P422" s="51"/>
      <c r="Q422" s="51"/>
      <c r="R422" s="74">
        <f>SUM(152637.5/3421)*H422</f>
        <v>11823.7174802689</v>
      </c>
      <c r="S422" s="74"/>
      <c r="T422" s="75">
        <f>SUM(332.18/3421)*H422</f>
        <v>25.7315697164572</v>
      </c>
      <c r="U422" s="74"/>
      <c r="V422" s="74"/>
      <c r="W422" s="76">
        <f t="shared" si="241"/>
        <v>11849.4490499854</v>
      </c>
      <c r="X422" s="77">
        <f>SUM(1513.72/3421)*H422</f>
        <v>117.256883952061</v>
      </c>
      <c r="Y422" s="77"/>
      <c r="Z422" s="77"/>
      <c r="AA422" s="77">
        <f t="shared" si="257"/>
        <v>117.256883952061</v>
      </c>
      <c r="AB422" s="86">
        <v>7.08</v>
      </c>
      <c r="AC422" s="74">
        <f t="shared" si="239"/>
        <v>830.178738380592</v>
      </c>
      <c r="AD422" s="74">
        <f t="shared" si="240"/>
        <v>12679.627788366</v>
      </c>
      <c r="AE422" s="74">
        <f t="shared" si="237"/>
        <v>1895.37221163401</v>
      </c>
    </row>
    <row r="423" customFormat="1" spans="1:31">
      <c r="A423" s="18"/>
      <c r="B423" s="19"/>
      <c r="C423" s="20">
        <v>240912000060</v>
      </c>
      <c r="D423" s="21">
        <v>45553</v>
      </c>
      <c r="E423" s="21" t="s">
        <v>246</v>
      </c>
      <c r="F423" s="19" t="s">
        <v>247</v>
      </c>
      <c r="G423" s="19" t="s">
        <v>352</v>
      </c>
      <c r="H423" s="19">
        <v>351</v>
      </c>
      <c r="I423" s="41">
        <v>17200</v>
      </c>
      <c r="J423" s="53"/>
      <c r="K423" s="43"/>
      <c r="L423" s="19"/>
      <c r="M423" s="43"/>
      <c r="N423" s="44"/>
      <c r="O423" s="45">
        <f t="shared" si="255"/>
        <v>17200</v>
      </c>
      <c r="P423" s="52"/>
      <c r="Q423" s="52"/>
      <c r="R423" s="74">
        <f>SUM(152637.5/3421)*H423</f>
        <v>15660.8484361298</v>
      </c>
      <c r="S423" s="74"/>
      <c r="T423" s="75">
        <f>SUM(332.18/3421)*H423</f>
        <v>34.0821923414206</v>
      </c>
      <c r="U423" s="74"/>
      <c r="V423" s="74"/>
      <c r="W423" s="76">
        <f t="shared" ref="W423:W454" si="258">SUM(R423:V423)</f>
        <v>15694.9306284712</v>
      </c>
      <c r="X423" s="77">
        <f>SUM(1513.72/3421)*H423</f>
        <v>155.31006138556</v>
      </c>
      <c r="Y423" s="77"/>
      <c r="Z423" s="77"/>
      <c r="AA423" s="77">
        <f t="shared" si="257"/>
        <v>155.31006138556</v>
      </c>
      <c r="AB423" s="86">
        <v>7.08</v>
      </c>
      <c r="AC423" s="74">
        <f t="shared" ref="AC423:AC454" si="259">SUM(AA423*AB423)</f>
        <v>1099.59523460976</v>
      </c>
      <c r="AD423" s="74">
        <f t="shared" ref="AD423:AD454" si="260">SUM(W423+AC423)</f>
        <v>16794.525863081</v>
      </c>
      <c r="AE423" s="74">
        <f t="shared" si="237"/>
        <v>405.474136919034</v>
      </c>
    </row>
    <row r="424" customFormat="1" spans="1:31">
      <c r="A424" s="18" t="s">
        <v>353</v>
      </c>
      <c r="B424" s="19" t="s">
        <v>354</v>
      </c>
      <c r="C424" s="20">
        <v>240908000017</v>
      </c>
      <c r="D424" s="21">
        <v>45555</v>
      </c>
      <c r="E424" s="21" t="s">
        <v>50</v>
      </c>
      <c r="F424" s="19" t="s">
        <v>51</v>
      </c>
      <c r="G424" s="19" t="s">
        <v>355</v>
      </c>
      <c r="H424" s="19">
        <v>83.5</v>
      </c>
      <c r="I424" s="47"/>
      <c r="J424" s="54">
        <v>1054255.5</v>
      </c>
      <c r="K424" s="43"/>
      <c r="L424" s="49">
        <f t="shared" si="256"/>
        <v>1720.44697934006</v>
      </c>
      <c r="M424" s="50">
        <v>612.78</v>
      </c>
      <c r="N424" s="44">
        <v>7.08</v>
      </c>
      <c r="O424" s="45">
        <f t="shared" ref="O424:O430" si="261">SUM(M424*N424)</f>
        <v>4338.4824</v>
      </c>
      <c r="P424" s="46">
        <f>SUM(O424:O513)</f>
        <v>123904.4456</v>
      </c>
      <c r="Q424" s="46" t="s">
        <v>85</v>
      </c>
      <c r="R424" s="74">
        <f>SUM(90159/2137)*H424</f>
        <v>3522.8247543285</v>
      </c>
      <c r="S424" s="74"/>
      <c r="T424" s="75">
        <f>SUM(344.1/2137)*H424</f>
        <v>13.4451801591015</v>
      </c>
      <c r="U424" s="75">
        <v>80</v>
      </c>
      <c r="V424" s="74"/>
      <c r="W424" s="76">
        <f t="shared" si="258"/>
        <v>3616.2699344876</v>
      </c>
      <c r="X424" s="77">
        <f>SUM(1473.46/2137)*H424</f>
        <v>57.5731913897988</v>
      </c>
      <c r="Y424" s="77"/>
      <c r="Z424" s="77"/>
      <c r="AA424" s="77">
        <f t="shared" si="257"/>
        <v>57.5731913897988</v>
      </c>
      <c r="AB424" s="86">
        <v>7.08</v>
      </c>
      <c r="AC424" s="74">
        <f t="shared" si="259"/>
        <v>407.618195039776</v>
      </c>
      <c r="AD424" s="74">
        <f t="shared" si="260"/>
        <v>4023.88812952738</v>
      </c>
      <c r="AE424" s="74">
        <f t="shared" ref="AE424:AE455" si="262">SUM(O424-AD424)</f>
        <v>314.594270472624</v>
      </c>
    </row>
    <row r="425" customFormat="1" spans="1:31">
      <c r="A425" s="18"/>
      <c r="B425" s="19"/>
      <c r="C425" s="20">
        <v>240908000027</v>
      </c>
      <c r="D425" s="21">
        <v>45555</v>
      </c>
      <c r="E425" s="21" t="s">
        <v>50</v>
      </c>
      <c r="F425" s="19" t="s">
        <v>51</v>
      </c>
      <c r="G425" s="19" t="s">
        <v>250</v>
      </c>
      <c r="H425" s="19">
        <v>22</v>
      </c>
      <c r="I425" s="47"/>
      <c r="J425" s="54">
        <v>316602</v>
      </c>
      <c r="K425" s="43"/>
      <c r="L425" s="49">
        <f t="shared" si="256"/>
        <v>1741.77256973098</v>
      </c>
      <c r="M425" s="50">
        <v>181.77</v>
      </c>
      <c r="N425" s="44">
        <v>7.08</v>
      </c>
      <c r="O425" s="45">
        <f t="shared" si="261"/>
        <v>1286.9316</v>
      </c>
      <c r="P425" s="51"/>
      <c r="Q425" s="51"/>
      <c r="R425" s="74">
        <f t="shared" ref="R425:R456" si="263">SUM(90159/2137)*H425</f>
        <v>928.169396350023</v>
      </c>
      <c r="S425" s="74"/>
      <c r="T425" s="75">
        <f t="shared" ref="T425:T456" si="264">SUM(344.1/2137)*H425</f>
        <v>3.54244267664951</v>
      </c>
      <c r="U425" s="75">
        <v>40</v>
      </c>
      <c r="V425" s="74"/>
      <c r="W425" s="76">
        <f t="shared" si="258"/>
        <v>971.711839026673</v>
      </c>
      <c r="X425" s="77">
        <f t="shared" ref="X425:X456" si="265">SUM(1473.46/2137)*H425</f>
        <v>15.1689845577913</v>
      </c>
      <c r="Y425" s="77"/>
      <c r="Z425" s="77"/>
      <c r="AA425" s="77">
        <f t="shared" si="257"/>
        <v>15.1689845577913</v>
      </c>
      <c r="AB425" s="86">
        <v>7.08</v>
      </c>
      <c r="AC425" s="74">
        <f t="shared" si="259"/>
        <v>107.396410669162</v>
      </c>
      <c r="AD425" s="74">
        <f t="shared" si="260"/>
        <v>1079.10824969584</v>
      </c>
      <c r="AE425" s="74">
        <f t="shared" si="262"/>
        <v>207.823350304164</v>
      </c>
    </row>
    <row r="426" customFormat="1" spans="1:31">
      <c r="A426" s="18"/>
      <c r="B426" s="19"/>
      <c r="C426" s="20">
        <v>240908000028</v>
      </c>
      <c r="D426" s="21">
        <v>45555</v>
      </c>
      <c r="E426" s="21" t="s">
        <v>50</v>
      </c>
      <c r="F426" s="19" t="s">
        <v>51</v>
      </c>
      <c r="G426" s="19" t="s">
        <v>203</v>
      </c>
      <c r="H426" s="19">
        <v>12.5</v>
      </c>
      <c r="I426" s="41">
        <v>718.5</v>
      </c>
      <c r="J426" s="53"/>
      <c r="K426" s="43"/>
      <c r="L426" s="19"/>
      <c r="M426" s="43"/>
      <c r="N426" s="44"/>
      <c r="O426" s="45">
        <f t="shared" ref="O426:O428" si="266">SUM(I426)</f>
        <v>718.5</v>
      </c>
      <c r="P426" s="51"/>
      <c r="Q426" s="51"/>
      <c r="R426" s="74">
        <f t="shared" si="263"/>
        <v>527.368975198877</v>
      </c>
      <c r="S426" s="74"/>
      <c r="T426" s="75">
        <f t="shared" si="264"/>
        <v>2.01275152082358</v>
      </c>
      <c r="U426" s="74"/>
      <c r="V426" s="74"/>
      <c r="W426" s="76">
        <f t="shared" si="258"/>
        <v>529.381726719701</v>
      </c>
      <c r="X426" s="77">
        <f t="shared" si="265"/>
        <v>8.61874122601778</v>
      </c>
      <c r="Y426" s="77"/>
      <c r="Z426" s="77"/>
      <c r="AA426" s="77">
        <f t="shared" si="257"/>
        <v>8.61874122601778</v>
      </c>
      <c r="AB426" s="86">
        <v>7.08</v>
      </c>
      <c r="AC426" s="74">
        <f t="shared" si="259"/>
        <v>61.0206878802059</v>
      </c>
      <c r="AD426" s="74">
        <f t="shared" si="260"/>
        <v>590.402414599907</v>
      </c>
      <c r="AE426" s="74">
        <f t="shared" si="262"/>
        <v>128.097585400093</v>
      </c>
    </row>
    <row r="427" customFormat="1" spans="1:31">
      <c r="A427" s="18"/>
      <c r="B427" s="19"/>
      <c r="C427" s="20">
        <v>240909000032</v>
      </c>
      <c r="D427" s="21">
        <v>45555</v>
      </c>
      <c r="E427" s="21" t="s">
        <v>46</v>
      </c>
      <c r="F427" s="19" t="s">
        <v>47</v>
      </c>
      <c r="G427" s="19" t="s">
        <v>91</v>
      </c>
      <c r="H427" s="19">
        <v>2</v>
      </c>
      <c r="I427" s="41">
        <v>123</v>
      </c>
      <c r="J427" s="53"/>
      <c r="K427" s="43"/>
      <c r="L427" s="19"/>
      <c r="M427" s="43"/>
      <c r="N427" s="44"/>
      <c r="O427" s="45">
        <f t="shared" si="266"/>
        <v>123</v>
      </c>
      <c r="P427" s="51"/>
      <c r="Q427" s="51"/>
      <c r="R427" s="74">
        <f t="shared" si="263"/>
        <v>84.3790360318203</v>
      </c>
      <c r="S427" s="74"/>
      <c r="T427" s="75">
        <f t="shared" si="264"/>
        <v>0.322040243331774</v>
      </c>
      <c r="U427" s="74"/>
      <c r="V427" s="74"/>
      <c r="W427" s="76">
        <f t="shared" si="258"/>
        <v>84.7010762751521</v>
      </c>
      <c r="X427" s="77">
        <f t="shared" si="265"/>
        <v>1.37899859616285</v>
      </c>
      <c r="Y427" s="77"/>
      <c r="Z427" s="77"/>
      <c r="AA427" s="77">
        <f t="shared" si="257"/>
        <v>1.37899859616285</v>
      </c>
      <c r="AB427" s="86">
        <v>7.08</v>
      </c>
      <c r="AC427" s="74">
        <f t="shared" si="259"/>
        <v>9.76331006083298</v>
      </c>
      <c r="AD427" s="74">
        <f t="shared" si="260"/>
        <v>94.4643863359851</v>
      </c>
      <c r="AE427" s="74">
        <f t="shared" si="262"/>
        <v>28.5356136640149</v>
      </c>
    </row>
    <row r="428" customFormat="1" spans="1:31">
      <c r="A428" s="18"/>
      <c r="B428" s="19"/>
      <c r="C428" s="20">
        <v>240909000043</v>
      </c>
      <c r="D428" s="21">
        <v>45555</v>
      </c>
      <c r="E428" s="21" t="s">
        <v>43</v>
      </c>
      <c r="F428" s="19" t="s">
        <v>44</v>
      </c>
      <c r="G428" s="19" t="s">
        <v>108</v>
      </c>
      <c r="H428" s="19">
        <v>2</v>
      </c>
      <c r="I428" s="41">
        <v>123</v>
      </c>
      <c r="J428" s="53"/>
      <c r="K428" s="43"/>
      <c r="L428" s="19"/>
      <c r="M428" s="43"/>
      <c r="N428" s="44"/>
      <c r="O428" s="45">
        <f t="shared" si="266"/>
        <v>123</v>
      </c>
      <c r="P428" s="51"/>
      <c r="Q428" s="51"/>
      <c r="R428" s="74">
        <f t="shared" si="263"/>
        <v>84.3790360318203</v>
      </c>
      <c r="S428" s="74"/>
      <c r="T428" s="75">
        <f t="shared" si="264"/>
        <v>0.322040243331774</v>
      </c>
      <c r="U428" s="74"/>
      <c r="V428" s="74"/>
      <c r="W428" s="76">
        <f t="shared" si="258"/>
        <v>84.7010762751521</v>
      </c>
      <c r="X428" s="77">
        <f t="shared" si="265"/>
        <v>1.37899859616285</v>
      </c>
      <c r="Y428" s="77"/>
      <c r="Z428" s="77"/>
      <c r="AA428" s="77">
        <f t="shared" si="257"/>
        <v>1.37899859616285</v>
      </c>
      <c r="AB428" s="86">
        <v>7.08</v>
      </c>
      <c r="AC428" s="74">
        <f t="shared" si="259"/>
        <v>9.76331006083298</v>
      </c>
      <c r="AD428" s="74">
        <f t="shared" si="260"/>
        <v>94.4643863359851</v>
      </c>
      <c r="AE428" s="74">
        <f t="shared" si="262"/>
        <v>28.5356136640149</v>
      </c>
    </row>
    <row r="429" customFormat="1" spans="1:31">
      <c r="A429" s="18"/>
      <c r="B429" s="19"/>
      <c r="C429" s="20">
        <v>240909000049</v>
      </c>
      <c r="D429" s="21">
        <v>45555</v>
      </c>
      <c r="E429" s="21" t="s">
        <v>46</v>
      </c>
      <c r="F429" s="19" t="s">
        <v>47</v>
      </c>
      <c r="G429" s="19" t="s">
        <v>296</v>
      </c>
      <c r="H429" s="19">
        <v>2</v>
      </c>
      <c r="I429" s="45"/>
      <c r="J429" s="54">
        <v>29258</v>
      </c>
      <c r="K429" s="43"/>
      <c r="L429" s="49">
        <f t="shared" ref="L429:L432" si="267">SUM(J429/M429)</f>
        <v>1710.99415204678</v>
      </c>
      <c r="M429" s="50">
        <v>17.1</v>
      </c>
      <c r="N429" s="44">
        <v>7.08</v>
      </c>
      <c r="O429" s="45">
        <f t="shared" si="261"/>
        <v>121.068</v>
      </c>
      <c r="P429" s="51"/>
      <c r="Q429" s="51"/>
      <c r="R429" s="74">
        <f t="shared" si="263"/>
        <v>84.3790360318203</v>
      </c>
      <c r="S429" s="74"/>
      <c r="T429" s="75">
        <f t="shared" si="264"/>
        <v>0.322040243331774</v>
      </c>
      <c r="U429" s="74"/>
      <c r="V429" s="74"/>
      <c r="W429" s="76">
        <f t="shared" si="258"/>
        <v>84.7010762751521</v>
      </c>
      <c r="X429" s="77">
        <f t="shared" si="265"/>
        <v>1.37899859616285</v>
      </c>
      <c r="Y429" s="77"/>
      <c r="Z429" s="77"/>
      <c r="AA429" s="77">
        <f t="shared" si="257"/>
        <v>1.37899859616285</v>
      </c>
      <c r="AB429" s="86">
        <v>7.08</v>
      </c>
      <c r="AC429" s="74">
        <f t="shared" si="259"/>
        <v>9.76331006083298</v>
      </c>
      <c r="AD429" s="74">
        <f t="shared" si="260"/>
        <v>94.4643863359851</v>
      </c>
      <c r="AE429" s="74">
        <f t="shared" si="262"/>
        <v>26.6036136640149</v>
      </c>
    </row>
    <row r="430" customFormat="1" spans="1:31">
      <c r="A430" s="18"/>
      <c r="B430" s="19"/>
      <c r="C430" s="20">
        <v>240909000052</v>
      </c>
      <c r="D430" s="21">
        <v>45555</v>
      </c>
      <c r="E430" s="21" t="s">
        <v>62</v>
      </c>
      <c r="F430" s="19" t="s">
        <v>63</v>
      </c>
      <c r="G430" s="19" t="s">
        <v>356</v>
      </c>
      <c r="H430" s="19">
        <v>3</v>
      </c>
      <c r="I430" s="41"/>
      <c r="J430" s="54">
        <v>53410</v>
      </c>
      <c r="K430" s="43"/>
      <c r="L430" s="49">
        <f t="shared" si="267"/>
        <v>1734.65410847678</v>
      </c>
      <c r="M430" s="50">
        <v>30.79</v>
      </c>
      <c r="N430" s="44">
        <v>7.08</v>
      </c>
      <c r="O430" s="45">
        <f t="shared" si="261"/>
        <v>217.9932</v>
      </c>
      <c r="P430" s="51"/>
      <c r="Q430" s="51"/>
      <c r="R430" s="74">
        <f t="shared" si="263"/>
        <v>126.56855404773</v>
      </c>
      <c r="S430" s="74"/>
      <c r="T430" s="75">
        <f t="shared" si="264"/>
        <v>0.48306036499766</v>
      </c>
      <c r="U430" s="74"/>
      <c r="V430" s="74"/>
      <c r="W430" s="76">
        <f t="shared" si="258"/>
        <v>127.051614412728</v>
      </c>
      <c r="X430" s="77">
        <f t="shared" si="265"/>
        <v>2.06849789424427</v>
      </c>
      <c r="Y430" s="77"/>
      <c r="Z430" s="77"/>
      <c r="AA430" s="77">
        <f t="shared" si="257"/>
        <v>2.06849789424427</v>
      </c>
      <c r="AB430" s="86">
        <v>7.08</v>
      </c>
      <c r="AC430" s="74">
        <f t="shared" si="259"/>
        <v>14.6449650912494</v>
      </c>
      <c r="AD430" s="74">
        <f t="shared" si="260"/>
        <v>141.696579503977</v>
      </c>
      <c r="AE430" s="74">
        <f t="shared" si="262"/>
        <v>76.2966204960226</v>
      </c>
    </row>
    <row r="431" customFormat="1" spans="1:31">
      <c r="A431" s="18"/>
      <c r="B431" s="19"/>
      <c r="C431" s="20">
        <v>240910000001</v>
      </c>
      <c r="D431" s="21">
        <v>45555</v>
      </c>
      <c r="E431" s="21" t="s">
        <v>50</v>
      </c>
      <c r="F431" s="19" t="s">
        <v>51</v>
      </c>
      <c r="G431" s="19" t="s">
        <v>311</v>
      </c>
      <c r="H431" s="19">
        <v>10.5</v>
      </c>
      <c r="I431" s="41">
        <v>651</v>
      </c>
      <c r="J431" s="53"/>
      <c r="K431" s="43"/>
      <c r="L431" s="19"/>
      <c r="M431" s="43"/>
      <c r="N431" s="44"/>
      <c r="O431" s="45">
        <f t="shared" ref="O431:O436" si="268">SUM(I431)</f>
        <v>651</v>
      </c>
      <c r="P431" s="51"/>
      <c r="Q431" s="51"/>
      <c r="R431" s="74">
        <f t="shared" si="263"/>
        <v>442.989939167057</v>
      </c>
      <c r="S431" s="74"/>
      <c r="T431" s="75">
        <f t="shared" si="264"/>
        <v>1.69071127749181</v>
      </c>
      <c r="U431" s="74"/>
      <c r="V431" s="74"/>
      <c r="W431" s="76">
        <f t="shared" si="258"/>
        <v>444.680650444548</v>
      </c>
      <c r="X431" s="77">
        <f t="shared" si="265"/>
        <v>7.23974262985494</v>
      </c>
      <c r="Y431" s="77"/>
      <c r="Z431" s="77"/>
      <c r="AA431" s="77">
        <f t="shared" si="257"/>
        <v>7.23974262985494</v>
      </c>
      <c r="AB431" s="86">
        <v>7.08</v>
      </c>
      <c r="AC431" s="74">
        <f t="shared" si="259"/>
        <v>51.257377819373</v>
      </c>
      <c r="AD431" s="74">
        <f t="shared" si="260"/>
        <v>495.938028263921</v>
      </c>
      <c r="AE431" s="74">
        <f t="shared" si="262"/>
        <v>155.061971736079</v>
      </c>
    </row>
    <row r="432" customFormat="1" spans="1:31">
      <c r="A432" s="18"/>
      <c r="B432" s="19"/>
      <c r="C432" s="20">
        <v>240910000002</v>
      </c>
      <c r="D432" s="21">
        <v>45555</v>
      </c>
      <c r="E432" s="21" t="s">
        <v>50</v>
      </c>
      <c r="F432" s="19" t="s">
        <v>51</v>
      </c>
      <c r="G432" s="19" t="s">
        <v>115</v>
      </c>
      <c r="H432" s="19">
        <v>20.5</v>
      </c>
      <c r="I432" s="47"/>
      <c r="J432" s="54">
        <v>304479</v>
      </c>
      <c r="K432" s="43"/>
      <c r="L432" s="49">
        <f t="shared" si="267"/>
        <v>1720.51195117817</v>
      </c>
      <c r="M432" s="50">
        <v>176.97</v>
      </c>
      <c r="N432" s="44">
        <v>7.08</v>
      </c>
      <c r="O432" s="45">
        <f>SUM(M432*N432)</f>
        <v>1252.9476</v>
      </c>
      <c r="P432" s="51"/>
      <c r="Q432" s="51"/>
      <c r="R432" s="74">
        <f t="shared" si="263"/>
        <v>864.885119326158</v>
      </c>
      <c r="S432" s="74"/>
      <c r="T432" s="75">
        <f t="shared" si="264"/>
        <v>3.30091249415068</v>
      </c>
      <c r="U432" s="74"/>
      <c r="V432" s="75">
        <v>105</v>
      </c>
      <c r="W432" s="76">
        <f t="shared" si="258"/>
        <v>973.186031820309</v>
      </c>
      <c r="X432" s="77">
        <f t="shared" si="265"/>
        <v>14.1347356106692</v>
      </c>
      <c r="Y432" s="77"/>
      <c r="Z432" s="77"/>
      <c r="AA432" s="77">
        <f t="shared" si="257"/>
        <v>14.1347356106692</v>
      </c>
      <c r="AB432" s="86">
        <v>7.08</v>
      </c>
      <c r="AC432" s="74">
        <f t="shared" si="259"/>
        <v>100.073928123538</v>
      </c>
      <c r="AD432" s="74">
        <f t="shared" si="260"/>
        <v>1073.25995994385</v>
      </c>
      <c r="AE432" s="74">
        <f t="shared" si="262"/>
        <v>179.687640056153</v>
      </c>
    </row>
    <row r="433" customFormat="1" spans="1:31">
      <c r="A433" s="18"/>
      <c r="B433" s="19"/>
      <c r="C433" s="20">
        <v>240910000004</v>
      </c>
      <c r="D433" s="21">
        <v>45555</v>
      </c>
      <c r="E433" s="21" t="s">
        <v>50</v>
      </c>
      <c r="F433" s="19" t="s">
        <v>51</v>
      </c>
      <c r="G433" s="19" t="s">
        <v>114</v>
      </c>
      <c r="H433" s="19">
        <v>1</v>
      </c>
      <c r="I433" s="41">
        <v>53</v>
      </c>
      <c r="J433" s="53"/>
      <c r="K433" s="43"/>
      <c r="L433" s="19"/>
      <c r="M433" s="43"/>
      <c r="N433" s="44"/>
      <c r="O433" s="45">
        <f t="shared" si="268"/>
        <v>53</v>
      </c>
      <c r="P433" s="51"/>
      <c r="Q433" s="51"/>
      <c r="R433" s="74">
        <f t="shared" si="263"/>
        <v>42.1895180159102</v>
      </c>
      <c r="S433" s="74"/>
      <c r="T433" s="75">
        <f t="shared" si="264"/>
        <v>0.161020121665887</v>
      </c>
      <c r="U433" s="74"/>
      <c r="V433" s="74"/>
      <c r="W433" s="76">
        <f t="shared" si="258"/>
        <v>42.350538137576</v>
      </c>
      <c r="X433" s="77">
        <f t="shared" si="265"/>
        <v>0.689499298081423</v>
      </c>
      <c r="Y433" s="77"/>
      <c r="Z433" s="77"/>
      <c r="AA433" s="77">
        <f t="shared" si="257"/>
        <v>0.689499298081423</v>
      </c>
      <c r="AB433" s="86">
        <v>7.08</v>
      </c>
      <c r="AC433" s="74">
        <f t="shared" si="259"/>
        <v>4.88165503041647</v>
      </c>
      <c r="AD433" s="74">
        <f t="shared" si="260"/>
        <v>47.2321931679925</v>
      </c>
      <c r="AE433" s="74">
        <f t="shared" si="262"/>
        <v>5.76780683200752</v>
      </c>
    </row>
    <row r="434" customFormat="1" spans="1:31">
      <c r="A434" s="18"/>
      <c r="B434" s="19"/>
      <c r="C434" s="20">
        <v>240910000009</v>
      </c>
      <c r="D434" s="21">
        <v>45555</v>
      </c>
      <c r="E434" s="21" t="s">
        <v>46</v>
      </c>
      <c r="F434" s="19" t="s">
        <v>47</v>
      </c>
      <c r="G434" s="19" t="s">
        <v>91</v>
      </c>
      <c r="H434" s="19">
        <v>0.79</v>
      </c>
      <c r="I434" s="41">
        <v>63</v>
      </c>
      <c r="J434" s="53"/>
      <c r="K434" s="43"/>
      <c r="L434" s="19"/>
      <c r="M434" s="43"/>
      <c r="N434" s="44"/>
      <c r="O434" s="45">
        <f t="shared" si="268"/>
        <v>63</v>
      </c>
      <c r="P434" s="51"/>
      <c r="Q434" s="51"/>
      <c r="R434" s="74">
        <f t="shared" si="263"/>
        <v>33.329719232569</v>
      </c>
      <c r="S434" s="74"/>
      <c r="T434" s="75">
        <f t="shared" si="264"/>
        <v>0.127205896116051</v>
      </c>
      <c r="U434" s="74"/>
      <c r="V434" s="74"/>
      <c r="W434" s="76">
        <f t="shared" si="258"/>
        <v>33.4569251286851</v>
      </c>
      <c r="X434" s="77">
        <f t="shared" si="265"/>
        <v>0.544704445484324</v>
      </c>
      <c r="Y434" s="77"/>
      <c r="Z434" s="77"/>
      <c r="AA434" s="77">
        <f t="shared" si="257"/>
        <v>0.544704445484324</v>
      </c>
      <c r="AB434" s="86">
        <v>7.08</v>
      </c>
      <c r="AC434" s="74">
        <f t="shared" si="259"/>
        <v>3.85650747402901</v>
      </c>
      <c r="AD434" s="74">
        <f t="shared" si="260"/>
        <v>37.3134326027141</v>
      </c>
      <c r="AE434" s="74">
        <f t="shared" si="262"/>
        <v>25.6865673972859</v>
      </c>
    </row>
    <row r="435" customFormat="1" spans="1:31">
      <c r="A435" s="18"/>
      <c r="B435" s="19"/>
      <c r="C435" s="20">
        <v>240910000010</v>
      </c>
      <c r="D435" s="21">
        <v>45555</v>
      </c>
      <c r="E435" s="21" t="s">
        <v>46</v>
      </c>
      <c r="F435" s="19" t="s">
        <v>47</v>
      </c>
      <c r="G435" s="19" t="s">
        <v>91</v>
      </c>
      <c r="H435" s="19">
        <v>1.5</v>
      </c>
      <c r="I435" s="41">
        <v>93</v>
      </c>
      <c r="J435" s="53"/>
      <c r="K435" s="43"/>
      <c r="L435" s="19"/>
      <c r="M435" s="43"/>
      <c r="N435" s="44"/>
      <c r="O435" s="45">
        <f t="shared" si="268"/>
        <v>93</v>
      </c>
      <c r="P435" s="51"/>
      <c r="Q435" s="51"/>
      <c r="R435" s="74">
        <f t="shared" si="263"/>
        <v>63.2842770238652</v>
      </c>
      <c r="S435" s="74"/>
      <c r="T435" s="75">
        <f t="shared" si="264"/>
        <v>0.24153018249883</v>
      </c>
      <c r="U435" s="74"/>
      <c r="V435" s="74"/>
      <c r="W435" s="76">
        <f t="shared" si="258"/>
        <v>63.5258072063641</v>
      </c>
      <c r="X435" s="77">
        <f t="shared" si="265"/>
        <v>1.03424894712213</v>
      </c>
      <c r="Y435" s="77"/>
      <c r="Z435" s="77"/>
      <c r="AA435" s="77">
        <f t="shared" si="257"/>
        <v>1.03424894712213</v>
      </c>
      <c r="AB435" s="86">
        <v>7.08</v>
      </c>
      <c r="AC435" s="74">
        <f t="shared" si="259"/>
        <v>7.32248254562468</v>
      </c>
      <c r="AD435" s="74">
        <f t="shared" si="260"/>
        <v>70.8482897519888</v>
      </c>
      <c r="AE435" s="74">
        <f t="shared" si="262"/>
        <v>22.1517102480112</v>
      </c>
    </row>
    <row r="436" customFormat="1" spans="1:31">
      <c r="A436" s="18"/>
      <c r="B436" s="19"/>
      <c r="C436" s="20">
        <v>240910000014</v>
      </c>
      <c r="D436" s="21">
        <v>45555</v>
      </c>
      <c r="E436" s="21" t="s">
        <v>46</v>
      </c>
      <c r="F436" s="19" t="s">
        <v>47</v>
      </c>
      <c r="G436" s="19" t="s">
        <v>91</v>
      </c>
      <c r="H436" s="19">
        <v>12</v>
      </c>
      <c r="I436" s="41">
        <v>690</v>
      </c>
      <c r="J436" s="53"/>
      <c r="K436" s="43"/>
      <c r="L436" s="19"/>
      <c r="M436" s="43"/>
      <c r="N436" s="44"/>
      <c r="O436" s="45">
        <f t="shared" si="268"/>
        <v>690</v>
      </c>
      <c r="P436" s="51"/>
      <c r="Q436" s="51"/>
      <c r="R436" s="74">
        <f t="shared" si="263"/>
        <v>506.274216190922</v>
      </c>
      <c r="S436" s="74"/>
      <c r="T436" s="75">
        <f t="shared" si="264"/>
        <v>1.93224145999064</v>
      </c>
      <c r="U436" s="74"/>
      <c r="V436" s="74"/>
      <c r="W436" s="76">
        <f t="shared" si="258"/>
        <v>508.206457650912</v>
      </c>
      <c r="X436" s="77">
        <f t="shared" si="265"/>
        <v>8.27399157697707</v>
      </c>
      <c r="Y436" s="77"/>
      <c r="Z436" s="77"/>
      <c r="AA436" s="77">
        <f t="shared" si="257"/>
        <v>8.27399157697707</v>
      </c>
      <c r="AB436" s="86">
        <v>7.08</v>
      </c>
      <c r="AC436" s="74">
        <f t="shared" si="259"/>
        <v>58.5798603649976</v>
      </c>
      <c r="AD436" s="74">
        <f t="shared" si="260"/>
        <v>566.78631801591</v>
      </c>
      <c r="AE436" s="74">
        <f t="shared" si="262"/>
        <v>123.21368198409</v>
      </c>
    </row>
    <row r="437" customFormat="1" spans="1:31">
      <c r="A437" s="18"/>
      <c r="B437" s="19"/>
      <c r="C437" s="20">
        <v>240910000016</v>
      </c>
      <c r="D437" s="21">
        <v>45555</v>
      </c>
      <c r="E437" s="21" t="s">
        <v>50</v>
      </c>
      <c r="F437" s="19" t="s">
        <v>51</v>
      </c>
      <c r="G437" s="19" t="s">
        <v>179</v>
      </c>
      <c r="H437" s="19">
        <v>9</v>
      </c>
      <c r="I437" s="47"/>
      <c r="J437" s="54">
        <v>112455</v>
      </c>
      <c r="K437" s="43"/>
      <c r="L437" s="49">
        <f t="shared" ref="L437:L439" si="269">SUM(J437/M437)</f>
        <v>1734.61360481259</v>
      </c>
      <c r="M437" s="50">
        <v>64.83</v>
      </c>
      <c r="N437" s="44">
        <v>7.08</v>
      </c>
      <c r="O437" s="45">
        <f t="shared" ref="O437:O439" si="270">SUM(M437*N437)</f>
        <v>458.9964</v>
      </c>
      <c r="P437" s="51"/>
      <c r="Q437" s="51"/>
      <c r="R437" s="74">
        <f t="shared" si="263"/>
        <v>379.705662143191</v>
      </c>
      <c r="S437" s="74"/>
      <c r="T437" s="75">
        <f t="shared" si="264"/>
        <v>1.44918109499298</v>
      </c>
      <c r="U437" s="74"/>
      <c r="V437" s="74"/>
      <c r="W437" s="76">
        <f t="shared" si="258"/>
        <v>381.154843238184</v>
      </c>
      <c r="X437" s="77">
        <f t="shared" si="265"/>
        <v>6.2054936827328</v>
      </c>
      <c r="Y437" s="77"/>
      <c r="Z437" s="77"/>
      <c r="AA437" s="77">
        <f t="shared" si="257"/>
        <v>6.2054936827328</v>
      </c>
      <c r="AB437" s="86">
        <v>7.08</v>
      </c>
      <c r="AC437" s="74">
        <f t="shared" si="259"/>
        <v>43.9348952737482</v>
      </c>
      <c r="AD437" s="74">
        <f t="shared" si="260"/>
        <v>425.089738511932</v>
      </c>
      <c r="AE437" s="74">
        <f t="shared" si="262"/>
        <v>33.9066614880678</v>
      </c>
    </row>
    <row r="438" customFormat="1" spans="1:31">
      <c r="A438" s="18"/>
      <c r="B438" s="19"/>
      <c r="C438" s="20">
        <v>240910000018</v>
      </c>
      <c r="D438" s="21">
        <v>45555</v>
      </c>
      <c r="E438" s="21" t="s">
        <v>50</v>
      </c>
      <c r="F438" s="19" t="s">
        <v>51</v>
      </c>
      <c r="G438" s="19" t="s">
        <v>87</v>
      </c>
      <c r="H438" s="19">
        <v>1</v>
      </c>
      <c r="I438" s="55"/>
      <c r="J438" s="54">
        <v>12495</v>
      </c>
      <c r="K438" s="43"/>
      <c r="L438" s="49">
        <f t="shared" si="269"/>
        <v>1735.41666666667</v>
      </c>
      <c r="M438" s="50">
        <v>7.2</v>
      </c>
      <c r="N438" s="44">
        <v>7.08</v>
      </c>
      <c r="O438" s="45">
        <f t="shared" si="270"/>
        <v>50.976</v>
      </c>
      <c r="P438" s="51"/>
      <c r="Q438" s="51"/>
      <c r="R438" s="74">
        <f t="shared" si="263"/>
        <v>42.1895180159102</v>
      </c>
      <c r="S438" s="74"/>
      <c r="T438" s="75">
        <f t="shared" si="264"/>
        <v>0.161020121665887</v>
      </c>
      <c r="U438" s="74"/>
      <c r="V438" s="74"/>
      <c r="W438" s="76">
        <f t="shared" si="258"/>
        <v>42.350538137576</v>
      </c>
      <c r="X438" s="77">
        <f t="shared" si="265"/>
        <v>0.689499298081423</v>
      </c>
      <c r="Y438" s="77"/>
      <c r="Z438" s="77"/>
      <c r="AA438" s="77">
        <f t="shared" si="257"/>
        <v>0.689499298081423</v>
      </c>
      <c r="AB438" s="86">
        <v>7.08</v>
      </c>
      <c r="AC438" s="74">
        <f t="shared" si="259"/>
        <v>4.88165503041647</v>
      </c>
      <c r="AD438" s="74">
        <f t="shared" si="260"/>
        <v>47.2321931679925</v>
      </c>
      <c r="AE438" s="74">
        <f t="shared" si="262"/>
        <v>3.74380683200752</v>
      </c>
    </row>
    <row r="439" customFormat="1" spans="1:31">
      <c r="A439" s="18"/>
      <c r="B439" s="19"/>
      <c r="C439" s="20">
        <v>240910000020</v>
      </c>
      <c r="D439" s="21">
        <v>45555</v>
      </c>
      <c r="E439" s="21" t="s">
        <v>50</v>
      </c>
      <c r="F439" s="19" t="s">
        <v>51</v>
      </c>
      <c r="G439" s="19" t="s">
        <v>87</v>
      </c>
      <c r="H439" s="19">
        <v>2.5</v>
      </c>
      <c r="I439" s="55"/>
      <c r="J439" s="54">
        <v>31237.5</v>
      </c>
      <c r="K439" s="43"/>
      <c r="L439" s="49">
        <f t="shared" si="269"/>
        <v>1735.41666666667</v>
      </c>
      <c r="M439" s="50">
        <v>18</v>
      </c>
      <c r="N439" s="44">
        <v>7.08</v>
      </c>
      <c r="O439" s="45">
        <f t="shared" si="270"/>
        <v>127.44</v>
      </c>
      <c r="P439" s="51"/>
      <c r="Q439" s="51"/>
      <c r="R439" s="74">
        <f t="shared" si="263"/>
        <v>105.473795039775</v>
      </c>
      <c r="S439" s="74"/>
      <c r="T439" s="75">
        <f t="shared" si="264"/>
        <v>0.402550304164717</v>
      </c>
      <c r="U439" s="74"/>
      <c r="V439" s="74"/>
      <c r="W439" s="76">
        <f t="shared" si="258"/>
        <v>105.87634534394</v>
      </c>
      <c r="X439" s="77">
        <f t="shared" si="265"/>
        <v>1.72374824520356</v>
      </c>
      <c r="Y439" s="77"/>
      <c r="Z439" s="77"/>
      <c r="AA439" s="77">
        <f t="shared" si="257"/>
        <v>1.72374824520356</v>
      </c>
      <c r="AB439" s="86">
        <v>7.08</v>
      </c>
      <c r="AC439" s="74">
        <f t="shared" si="259"/>
        <v>12.2041375760412</v>
      </c>
      <c r="AD439" s="74">
        <f t="shared" si="260"/>
        <v>118.080482919981</v>
      </c>
      <c r="AE439" s="74">
        <f t="shared" si="262"/>
        <v>9.35951708001879</v>
      </c>
    </row>
    <row r="440" customFormat="1" spans="1:31">
      <c r="A440" s="18"/>
      <c r="B440" s="19"/>
      <c r="C440" s="20">
        <v>240910000021</v>
      </c>
      <c r="D440" s="21">
        <v>45555</v>
      </c>
      <c r="E440" s="21" t="s">
        <v>41</v>
      </c>
      <c r="F440" s="19" t="s">
        <v>41</v>
      </c>
      <c r="G440" s="19" t="s">
        <v>357</v>
      </c>
      <c r="H440" s="19">
        <v>0.48</v>
      </c>
      <c r="I440" s="41">
        <v>69</v>
      </c>
      <c r="J440" s="53"/>
      <c r="K440" s="43"/>
      <c r="L440" s="19"/>
      <c r="M440" s="43"/>
      <c r="N440" s="44"/>
      <c r="O440" s="45">
        <f t="shared" ref="O440:O443" si="271">SUM(I440)</f>
        <v>69</v>
      </c>
      <c r="P440" s="51"/>
      <c r="Q440" s="51"/>
      <c r="R440" s="74">
        <f t="shared" si="263"/>
        <v>20.2509686476369</v>
      </c>
      <c r="S440" s="74"/>
      <c r="T440" s="75">
        <f t="shared" si="264"/>
        <v>0.0772896583996256</v>
      </c>
      <c r="U440" s="74"/>
      <c r="V440" s="74"/>
      <c r="W440" s="76">
        <f t="shared" si="258"/>
        <v>20.3282583060365</v>
      </c>
      <c r="X440" s="77">
        <f t="shared" si="265"/>
        <v>0.330959663079083</v>
      </c>
      <c r="Y440" s="77"/>
      <c r="Z440" s="77"/>
      <c r="AA440" s="77">
        <f t="shared" si="257"/>
        <v>0.330959663079083</v>
      </c>
      <c r="AB440" s="86">
        <v>7.08</v>
      </c>
      <c r="AC440" s="74">
        <f t="shared" si="259"/>
        <v>2.34319441459991</v>
      </c>
      <c r="AD440" s="74">
        <f t="shared" si="260"/>
        <v>22.6714527206364</v>
      </c>
      <c r="AE440" s="74">
        <f t="shared" si="262"/>
        <v>46.3285472793636</v>
      </c>
    </row>
    <row r="441" customFormat="1" spans="1:31">
      <c r="A441" s="18"/>
      <c r="B441" s="19"/>
      <c r="C441" s="20">
        <v>240910000022</v>
      </c>
      <c r="D441" s="21">
        <v>45555</v>
      </c>
      <c r="E441" s="21" t="s">
        <v>46</v>
      </c>
      <c r="F441" s="19" t="s">
        <v>47</v>
      </c>
      <c r="G441" s="19" t="s">
        <v>205</v>
      </c>
      <c r="H441" s="19">
        <v>15</v>
      </c>
      <c r="I441" s="41">
        <v>951</v>
      </c>
      <c r="J441" s="53"/>
      <c r="K441" s="43"/>
      <c r="L441" s="19"/>
      <c r="M441" s="43"/>
      <c r="N441" s="44"/>
      <c r="O441" s="45">
        <f t="shared" si="271"/>
        <v>951</v>
      </c>
      <c r="P441" s="51"/>
      <c r="Q441" s="51"/>
      <c r="R441" s="74">
        <f t="shared" si="263"/>
        <v>632.842770238652</v>
      </c>
      <c r="S441" s="74"/>
      <c r="T441" s="75">
        <f t="shared" si="264"/>
        <v>2.4153018249883</v>
      </c>
      <c r="U441" s="74"/>
      <c r="V441" s="74"/>
      <c r="W441" s="76">
        <f t="shared" si="258"/>
        <v>635.258072063641</v>
      </c>
      <c r="X441" s="77">
        <f t="shared" si="265"/>
        <v>10.3424894712213</v>
      </c>
      <c r="Y441" s="77"/>
      <c r="Z441" s="77"/>
      <c r="AA441" s="77">
        <f t="shared" si="257"/>
        <v>10.3424894712213</v>
      </c>
      <c r="AB441" s="86">
        <v>7.08</v>
      </c>
      <c r="AC441" s="74">
        <f t="shared" si="259"/>
        <v>73.2248254562468</v>
      </c>
      <c r="AD441" s="74">
        <f t="shared" si="260"/>
        <v>708.482897519888</v>
      </c>
      <c r="AE441" s="74">
        <f t="shared" si="262"/>
        <v>242.517102480112</v>
      </c>
    </row>
    <row r="442" customFormat="1" spans="1:31">
      <c r="A442" s="18"/>
      <c r="B442" s="19"/>
      <c r="C442" s="20">
        <v>240910000024</v>
      </c>
      <c r="D442" s="21">
        <v>45555</v>
      </c>
      <c r="E442" s="21" t="s">
        <v>62</v>
      </c>
      <c r="F442" s="19" t="s">
        <v>63</v>
      </c>
      <c r="G442" s="19" t="s">
        <v>358</v>
      </c>
      <c r="H442" s="19">
        <v>29</v>
      </c>
      <c r="I442" s="41">
        <v>1479</v>
      </c>
      <c r="J442" s="53"/>
      <c r="K442" s="43"/>
      <c r="L442" s="19"/>
      <c r="M442" s="43"/>
      <c r="N442" s="44"/>
      <c r="O442" s="45">
        <f t="shared" si="271"/>
        <v>1479</v>
      </c>
      <c r="P442" s="51"/>
      <c r="Q442" s="51"/>
      <c r="R442" s="74">
        <f t="shared" si="263"/>
        <v>1223.49602246139</v>
      </c>
      <c r="S442" s="74"/>
      <c r="T442" s="75">
        <f t="shared" si="264"/>
        <v>4.66958352831072</v>
      </c>
      <c r="U442" s="74"/>
      <c r="V442" s="74"/>
      <c r="W442" s="76">
        <f t="shared" si="258"/>
        <v>1228.16560598971</v>
      </c>
      <c r="X442" s="77">
        <f t="shared" si="265"/>
        <v>19.9954796443613</v>
      </c>
      <c r="Y442" s="77"/>
      <c r="Z442" s="77"/>
      <c r="AA442" s="77">
        <f t="shared" si="257"/>
        <v>19.9954796443613</v>
      </c>
      <c r="AB442" s="86">
        <v>7.08</v>
      </c>
      <c r="AC442" s="74">
        <f t="shared" si="259"/>
        <v>141.567995882078</v>
      </c>
      <c r="AD442" s="74">
        <f t="shared" si="260"/>
        <v>1369.73360187179</v>
      </c>
      <c r="AE442" s="74">
        <f t="shared" si="262"/>
        <v>109.266398128212</v>
      </c>
    </row>
    <row r="443" customFormat="1" spans="1:31">
      <c r="A443" s="18"/>
      <c r="B443" s="19"/>
      <c r="C443" s="20">
        <v>240910000025</v>
      </c>
      <c r="D443" s="21">
        <v>45555</v>
      </c>
      <c r="E443" s="21" t="s">
        <v>43</v>
      </c>
      <c r="F443" s="19" t="s">
        <v>44</v>
      </c>
      <c r="G443" s="19" t="s">
        <v>108</v>
      </c>
      <c r="H443" s="19">
        <v>3</v>
      </c>
      <c r="I443" s="41">
        <v>183</v>
      </c>
      <c r="J443" s="53"/>
      <c r="K443" s="43"/>
      <c r="L443" s="19"/>
      <c r="M443" s="43"/>
      <c r="N443" s="44"/>
      <c r="O443" s="45">
        <f t="shared" si="271"/>
        <v>183</v>
      </c>
      <c r="P443" s="51"/>
      <c r="Q443" s="51"/>
      <c r="R443" s="74">
        <f t="shared" si="263"/>
        <v>126.56855404773</v>
      </c>
      <c r="S443" s="74"/>
      <c r="T443" s="75">
        <f t="shared" si="264"/>
        <v>0.48306036499766</v>
      </c>
      <c r="U443" s="74"/>
      <c r="V443" s="74"/>
      <c r="W443" s="76">
        <f t="shared" si="258"/>
        <v>127.051614412728</v>
      </c>
      <c r="X443" s="77">
        <f t="shared" si="265"/>
        <v>2.06849789424427</v>
      </c>
      <c r="Y443" s="77"/>
      <c r="Z443" s="77"/>
      <c r="AA443" s="77">
        <f t="shared" si="257"/>
        <v>2.06849789424427</v>
      </c>
      <c r="AB443" s="86">
        <v>7.08</v>
      </c>
      <c r="AC443" s="74">
        <f t="shared" si="259"/>
        <v>14.6449650912494</v>
      </c>
      <c r="AD443" s="74">
        <f t="shared" si="260"/>
        <v>141.696579503977</v>
      </c>
      <c r="AE443" s="74">
        <f t="shared" si="262"/>
        <v>41.3034204960226</v>
      </c>
    </row>
    <row r="444" customFormat="1" spans="1:31">
      <c r="A444" s="18"/>
      <c r="B444" s="19"/>
      <c r="C444" s="20">
        <v>240910000030</v>
      </c>
      <c r="D444" s="21">
        <v>45555</v>
      </c>
      <c r="E444" s="21" t="s">
        <v>62</v>
      </c>
      <c r="F444" s="19" t="s">
        <v>63</v>
      </c>
      <c r="G444" s="19" t="s">
        <v>219</v>
      </c>
      <c r="H444" s="19">
        <v>28.5</v>
      </c>
      <c r="I444" s="47"/>
      <c r="J444" s="54">
        <v>382847</v>
      </c>
      <c r="K444" s="43"/>
      <c r="L444" s="49">
        <f>SUM(J444/M444)</f>
        <v>1720.50602193061</v>
      </c>
      <c r="M444" s="50">
        <v>222.52</v>
      </c>
      <c r="N444" s="44">
        <v>7.08</v>
      </c>
      <c r="O444" s="45">
        <f>SUM(M444*N444)</f>
        <v>1575.4416</v>
      </c>
      <c r="P444" s="51"/>
      <c r="Q444" s="51"/>
      <c r="R444" s="74">
        <f t="shared" si="263"/>
        <v>1202.40126345344</v>
      </c>
      <c r="S444" s="74"/>
      <c r="T444" s="75">
        <f t="shared" si="264"/>
        <v>4.58907346747777</v>
      </c>
      <c r="U444" s="74"/>
      <c r="V444" s="74"/>
      <c r="W444" s="76">
        <f t="shared" si="258"/>
        <v>1206.99033692092</v>
      </c>
      <c r="X444" s="77">
        <f t="shared" si="265"/>
        <v>19.6507299953205</v>
      </c>
      <c r="Y444" s="77"/>
      <c r="Z444" s="77"/>
      <c r="AA444" s="77">
        <f t="shared" si="257"/>
        <v>19.6507299953205</v>
      </c>
      <c r="AB444" s="86">
        <v>7.08</v>
      </c>
      <c r="AC444" s="74">
        <f t="shared" si="259"/>
        <v>139.127168366869</v>
      </c>
      <c r="AD444" s="74">
        <f t="shared" si="260"/>
        <v>1346.11750528779</v>
      </c>
      <c r="AE444" s="74">
        <f t="shared" si="262"/>
        <v>229.324094712211</v>
      </c>
    </row>
    <row r="445" customFormat="1" spans="1:31">
      <c r="A445" s="18"/>
      <c r="B445" s="19"/>
      <c r="C445" s="22">
        <v>240911000004</v>
      </c>
      <c r="D445" s="23">
        <v>45555</v>
      </c>
      <c r="E445" s="21" t="s">
        <v>46</v>
      </c>
      <c r="F445" s="24" t="s">
        <v>47</v>
      </c>
      <c r="G445" s="24" t="s">
        <v>359</v>
      </c>
      <c r="H445" s="24">
        <v>21.5</v>
      </c>
      <c r="I445" s="41">
        <v>1096.5</v>
      </c>
      <c r="J445" s="53"/>
      <c r="K445" s="43"/>
      <c r="L445" s="19"/>
      <c r="M445" s="43"/>
      <c r="N445" s="44"/>
      <c r="O445" s="45">
        <f t="shared" ref="O445:O449" si="272">SUM(I445)</f>
        <v>1096.5</v>
      </c>
      <c r="P445" s="51"/>
      <c r="Q445" s="51"/>
      <c r="R445" s="74">
        <f t="shared" si="263"/>
        <v>907.074637342068</v>
      </c>
      <c r="S445" s="74"/>
      <c r="T445" s="75">
        <f t="shared" si="264"/>
        <v>3.46193261581657</v>
      </c>
      <c r="U445" s="74"/>
      <c r="V445" s="74"/>
      <c r="W445" s="76">
        <f t="shared" si="258"/>
        <v>910.536569957885</v>
      </c>
      <c r="X445" s="77">
        <f t="shared" si="265"/>
        <v>14.8242349087506</v>
      </c>
      <c r="Y445" s="77"/>
      <c r="Z445" s="77"/>
      <c r="AA445" s="77">
        <f t="shared" si="257"/>
        <v>14.8242349087506</v>
      </c>
      <c r="AB445" s="86">
        <v>7.08</v>
      </c>
      <c r="AC445" s="74">
        <f t="shared" si="259"/>
        <v>104.955583153954</v>
      </c>
      <c r="AD445" s="74">
        <f t="shared" si="260"/>
        <v>1015.49215311184</v>
      </c>
      <c r="AE445" s="74">
        <f t="shared" si="262"/>
        <v>81.0078468881607</v>
      </c>
    </row>
    <row r="446" customFormat="1" spans="1:31">
      <c r="A446" s="18"/>
      <c r="B446" s="19"/>
      <c r="C446" s="20">
        <v>240911000006</v>
      </c>
      <c r="D446" s="21">
        <v>45555</v>
      </c>
      <c r="E446" s="21" t="s">
        <v>37</v>
      </c>
      <c r="F446" s="19" t="s">
        <v>38</v>
      </c>
      <c r="G446" s="19" t="s">
        <v>293</v>
      </c>
      <c r="H446" s="19">
        <v>33</v>
      </c>
      <c r="I446" s="41">
        <v>1865</v>
      </c>
      <c r="J446" s="53"/>
      <c r="K446" s="43"/>
      <c r="L446" s="19"/>
      <c r="M446" s="43"/>
      <c r="N446" s="44"/>
      <c r="O446" s="45">
        <f t="shared" si="272"/>
        <v>1865</v>
      </c>
      <c r="P446" s="51"/>
      <c r="Q446" s="51"/>
      <c r="R446" s="74">
        <f t="shared" si="263"/>
        <v>1392.25409452504</v>
      </c>
      <c r="S446" s="74"/>
      <c r="T446" s="75">
        <f t="shared" si="264"/>
        <v>5.31366401497426</v>
      </c>
      <c r="U446" s="74"/>
      <c r="V446" s="74"/>
      <c r="W446" s="76">
        <f t="shared" si="258"/>
        <v>1397.56775854001</v>
      </c>
      <c r="X446" s="77">
        <f t="shared" si="265"/>
        <v>22.7534768366869</v>
      </c>
      <c r="Y446" s="77"/>
      <c r="Z446" s="77"/>
      <c r="AA446" s="77">
        <f t="shared" si="257"/>
        <v>22.7534768366869</v>
      </c>
      <c r="AB446" s="86">
        <v>7.08</v>
      </c>
      <c r="AC446" s="74">
        <f t="shared" si="259"/>
        <v>161.094616003743</v>
      </c>
      <c r="AD446" s="74">
        <f t="shared" si="260"/>
        <v>1558.66237454375</v>
      </c>
      <c r="AE446" s="74">
        <f t="shared" si="262"/>
        <v>306.337625456247</v>
      </c>
    </row>
    <row r="447" customFormat="1" spans="1:31">
      <c r="A447" s="18"/>
      <c r="B447" s="19"/>
      <c r="C447" s="20">
        <v>240911000010</v>
      </c>
      <c r="D447" s="21">
        <v>45555</v>
      </c>
      <c r="E447" s="21" t="s">
        <v>43</v>
      </c>
      <c r="F447" s="19" t="s">
        <v>44</v>
      </c>
      <c r="G447" s="19" t="s">
        <v>108</v>
      </c>
      <c r="H447" s="19">
        <v>0.5</v>
      </c>
      <c r="I447" s="41">
        <v>63</v>
      </c>
      <c r="J447" s="53"/>
      <c r="K447" s="43"/>
      <c r="L447" s="19"/>
      <c r="M447" s="43"/>
      <c r="N447" s="44"/>
      <c r="O447" s="45">
        <f t="shared" si="272"/>
        <v>63</v>
      </c>
      <c r="P447" s="51"/>
      <c r="Q447" s="51"/>
      <c r="R447" s="74">
        <f t="shared" si="263"/>
        <v>21.0947590079551</v>
      </c>
      <c r="S447" s="74"/>
      <c r="T447" s="75">
        <f t="shared" si="264"/>
        <v>0.0805100608329434</v>
      </c>
      <c r="U447" s="74"/>
      <c r="V447" s="74"/>
      <c r="W447" s="76">
        <f t="shared" si="258"/>
        <v>21.175269068788</v>
      </c>
      <c r="X447" s="77">
        <f t="shared" si="265"/>
        <v>0.344749649040711</v>
      </c>
      <c r="Y447" s="77"/>
      <c r="Z447" s="77"/>
      <c r="AA447" s="77">
        <f t="shared" si="257"/>
        <v>0.344749649040711</v>
      </c>
      <c r="AB447" s="86">
        <v>7.08</v>
      </c>
      <c r="AC447" s="74">
        <f t="shared" si="259"/>
        <v>2.44082751520823</v>
      </c>
      <c r="AD447" s="74">
        <f t="shared" si="260"/>
        <v>23.6160965839962</v>
      </c>
      <c r="AE447" s="74">
        <f t="shared" si="262"/>
        <v>39.3839034160038</v>
      </c>
    </row>
    <row r="448" customFormat="1" spans="1:31">
      <c r="A448" s="18"/>
      <c r="B448" s="19"/>
      <c r="C448" s="20">
        <v>240911000015</v>
      </c>
      <c r="D448" s="21">
        <v>45555</v>
      </c>
      <c r="E448" s="21" t="s">
        <v>62</v>
      </c>
      <c r="F448" s="19" t="s">
        <v>63</v>
      </c>
      <c r="G448" s="19" t="s">
        <v>360</v>
      </c>
      <c r="H448" s="19">
        <v>77.5</v>
      </c>
      <c r="I448" s="41">
        <v>3952.5</v>
      </c>
      <c r="J448" s="53"/>
      <c r="K448" s="43"/>
      <c r="L448" s="19"/>
      <c r="M448" s="43"/>
      <c r="N448" s="44"/>
      <c r="O448" s="45">
        <f t="shared" si="272"/>
        <v>3952.5</v>
      </c>
      <c r="P448" s="51"/>
      <c r="Q448" s="51"/>
      <c r="R448" s="74">
        <f t="shared" si="263"/>
        <v>3269.68764623304</v>
      </c>
      <c r="S448" s="74"/>
      <c r="T448" s="75">
        <f t="shared" si="264"/>
        <v>12.4790594291062</v>
      </c>
      <c r="U448" s="74"/>
      <c r="V448" s="74"/>
      <c r="W448" s="76">
        <f t="shared" si="258"/>
        <v>3282.16670566214</v>
      </c>
      <c r="X448" s="77">
        <f t="shared" si="265"/>
        <v>53.4361956013102</v>
      </c>
      <c r="Y448" s="77"/>
      <c r="Z448" s="77"/>
      <c r="AA448" s="77">
        <f t="shared" si="257"/>
        <v>53.4361956013102</v>
      </c>
      <c r="AB448" s="86">
        <v>7.08</v>
      </c>
      <c r="AC448" s="74">
        <f t="shared" si="259"/>
        <v>378.328264857276</v>
      </c>
      <c r="AD448" s="74">
        <f t="shared" si="260"/>
        <v>3660.49497051942</v>
      </c>
      <c r="AE448" s="74">
        <f t="shared" si="262"/>
        <v>292.005029480584</v>
      </c>
    </row>
    <row r="449" customFormat="1" spans="1:31">
      <c r="A449" s="18"/>
      <c r="B449" s="19"/>
      <c r="C449" s="20">
        <v>240911000017</v>
      </c>
      <c r="D449" s="21">
        <v>45555</v>
      </c>
      <c r="E449" s="21" t="s">
        <v>62</v>
      </c>
      <c r="F449" s="19" t="s">
        <v>63</v>
      </c>
      <c r="G449" s="19" t="s">
        <v>361</v>
      </c>
      <c r="H449" s="19">
        <v>3</v>
      </c>
      <c r="I449" s="41">
        <v>183</v>
      </c>
      <c r="J449" s="53"/>
      <c r="K449" s="43"/>
      <c r="L449" s="19"/>
      <c r="M449" s="43"/>
      <c r="N449" s="44"/>
      <c r="O449" s="45">
        <f t="shared" si="272"/>
        <v>183</v>
      </c>
      <c r="P449" s="51"/>
      <c r="Q449" s="51"/>
      <c r="R449" s="74">
        <f t="shared" si="263"/>
        <v>126.56855404773</v>
      </c>
      <c r="S449" s="74"/>
      <c r="T449" s="75">
        <f t="shared" si="264"/>
        <v>0.48306036499766</v>
      </c>
      <c r="U449" s="74"/>
      <c r="V449" s="74"/>
      <c r="W449" s="76">
        <f t="shared" si="258"/>
        <v>127.051614412728</v>
      </c>
      <c r="X449" s="77">
        <f t="shared" si="265"/>
        <v>2.06849789424427</v>
      </c>
      <c r="Y449" s="77"/>
      <c r="Z449" s="77"/>
      <c r="AA449" s="77">
        <f t="shared" si="257"/>
        <v>2.06849789424427</v>
      </c>
      <c r="AB449" s="86">
        <v>7.08</v>
      </c>
      <c r="AC449" s="74">
        <f t="shared" si="259"/>
        <v>14.6449650912494</v>
      </c>
      <c r="AD449" s="74">
        <f t="shared" si="260"/>
        <v>141.696579503977</v>
      </c>
      <c r="AE449" s="74">
        <f t="shared" si="262"/>
        <v>41.3034204960226</v>
      </c>
    </row>
    <row r="450" customFormat="1" spans="1:31">
      <c r="A450" s="18"/>
      <c r="B450" s="19"/>
      <c r="C450" s="20">
        <v>240911000018</v>
      </c>
      <c r="D450" s="21">
        <v>45555</v>
      </c>
      <c r="E450" s="21" t="s">
        <v>62</v>
      </c>
      <c r="F450" s="19" t="s">
        <v>63</v>
      </c>
      <c r="G450" s="19" t="s">
        <v>362</v>
      </c>
      <c r="H450" s="19">
        <v>10.5</v>
      </c>
      <c r="I450" s="47"/>
      <c r="J450" s="54">
        <v>146893.5</v>
      </c>
      <c r="K450" s="43"/>
      <c r="L450" s="49">
        <f>SUM(J450/M450)</f>
        <v>1720.46732255798</v>
      </c>
      <c r="M450" s="50">
        <v>85.38</v>
      </c>
      <c r="N450" s="44">
        <v>7.08</v>
      </c>
      <c r="O450" s="45">
        <f>SUM(M450*N450)</f>
        <v>604.4904</v>
      </c>
      <c r="P450" s="51"/>
      <c r="Q450" s="51"/>
      <c r="R450" s="74">
        <f t="shared" si="263"/>
        <v>442.989939167057</v>
      </c>
      <c r="S450" s="74"/>
      <c r="T450" s="75">
        <f t="shared" si="264"/>
        <v>1.69071127749181</v>
      </c>
      <c r="U450" s="74"/>
      <c r="V450" s="74"/>
      <c r="W450" s="76">
        <f t="shared" si="258"/>
        <v>444.680650444548</v>
      </c>
      <c r="X450" s="77">
        <f t="shared" si="265"/>
        <v>7.23974262985494</v>
      </c>
      <c r="Y450" s="77"/>
      <c r="Z450" s="77"/>
      <c r="AA450" s="77">
        <f t="shared" si="257"/>
        <v>7.23974262985494</v>
      </c>
      <c r="AB450" s="86">
        <v>7.08</v>
      </c>
      <c r="AC450" s="74">
        <f t="shared" si="259"/>
        <v>51.257377819373</v>
      </c>
      <c r="AD450" s="74">
        <f t="shared" si="260"/>
        <v>495.938028263921</v>
      </c>
      <c r="AE450" s="74">
        <f t="shared" si="262"/>
        <v>108.552371736079</v>
      </c>
    </row>
    <row r="451" customFormat="1" spans="1:31">
      <c r="A451" s="18"/>
      <c r="B451" s="19"/>
      <c r="C451" s="20">
        <v>240911000020</v>
      </c>
      <c r="D451" s="21">
        <v>45555</v>
      </c>
      <c r="E451" s="21" t="s">
        <v>41</v>
      </c>
      <c r="F451" s="19" t="s">
        <v>41</v>
      </c>
      <c r="G451" s="19" t="s">
        <v>58</v>
      </c>
      <c r="H451" s="19">
        <v>3.5</v>
      </c>
      <c r="I451" s="41">
        <v>213</v>
      </c>
      <c r="J451" s="53"/>
      <c r="K451" s="43"/>
      <c r="L451" s="19"/>
      <c r="M451" s="43"/>
      <c r="N451" s="44"/>
      <c r="O451" s="45">
        <f t="shared" ref="O451:O456" si="273">SUM(I451)</f>
        <v>213</v>
      </c>
      <c r="P451" s="51"/>
      <c r="Q451" s="51"/>
      <c r="R451" s="74">
        <f t="shared" si="263"/>
        <v>147.663313055686</v>
      </c>
      <c r="S451" s="74"/>
      <c r="T451" s="75">
        <f t="shared" si="264"/>
        <v>0.563570425830604</v>
      </c>
      <c r="U451" s="74"/>
      <c r="V451" s="74"/>
      <c r="W451" s="76">
        <f t="shared" si="258"/>
        <v>148.226883481516</v>
      </c>
      <c r="X451" s="77">
        <f t="shared" si="265"/>
        <v>2.41324754328498</v>
      </c>
      <c r="Y451" s="77"/>
      <c r="Z451" s="77"/>
      <c r="AA451" s="77">
        <f t="shared" si="257"/>
        <v>2.41324754328498</v>
      </c>
      <c r="AB451" s="86">
        <v>7.08</v>
      </c>
      <c r="AC451" s="74">
        <f t="shared" si="259"/>
        <v>17.0857926064577</v>
      </c>
      <c r="AD451" s="74">
        <f t="shared" si="260"/>
        <v>165.312676087974</v>
      </c>
      <c r="AE451" s="74">
        <f t="shared" si="262"/>
        <v>47.6873239120263</v>
      </c>
    </row>
    <row r="452" customFormat="1" spans="1:31">
      <c r="A452" s="18"/>
      <c r="B452" s="19"/>
      <c r="C452" s="20">
        <v>240911000021</v>
      </c>
      <c r="D452" s="21">
        <v>45555</v>
      </c>
      <c r="E452" s="21" t="s">
        <v>62</v>
      </c>
      <c r="F452" s="19" t="s">
        <v>63</v>
      </c>
      <c r="G452" s="19" t="s">
        <v>258</v>
      </c>
      <c r="H452" s="19">
        <v>1.5</v>
      </c>
      <c r="I452" s="41">
        <v>93</v>
      </c>
      <c r="J452" s="53"/>
      <c r="K452" s="43"/>
      <c r="L452" s="19"/>
      <c r="M452" s="43"/>
      <c r="N452" s="44"/>
      <c r="O452" s="45">
        <f t="shared" si="273"/>
        <v>93</v>
      </c>
      <c r="P452" s="51"/>
      <c r="Q452" s="51"/>
      <c r="R452" s="74">
        <f t="shared" si="263"/>
        <v>63.2842770238652</v>
      </c>
      <c r="S452" s="74"/>
      <c r="T452" s="75">
        <f t="shared" si="264"/>
        <v>0.24153018249883</v>
      </c>
      <c r="U452" s="74"/>
      <c r="V452" s="74"/>
      <c r="W452" s="76">
        <f t="shared" si="258"/>
        <v>63.5258072063641</v>
      </c>
      <c r="X452" s="77">
        <f t="shared" si="265"/>
        <v>1.03424894712213</v>
      </c>
      <c r="Y452" s="77"/>
      <c r="Z452" s="77"/>
      <c r="AA452" s="77">
        <f t="shared" si="257"/>
        <v>1.03424894712213</v>
      </c>
      <c r="AB452" s="86">
        <v>7.08</v>
      </c>
      <c r="AC452" s="74">
        <f t="shared" si="259"/>
        <v>7.32248254562468</v>
      </c>
      <c r="AD452" s="74">
        <f t="shared" si="260"/>
        <v>70.8482897519888</v>
      </c>
      <c r="AE452" s="74">
        <f t="shared" si="262"/>
        <v>22.1517102480112</v>
      </c>
    </row>
    <row r="453" customFormat="1" spans="1:31">
      <c r="A453" s="18"/>
      <c r="B453" s="19"/>
      <c r="C453" s="20">
        <v>240911000025</v>
      </c>
      <c r="D453" s="21">
        <v>45555</v>
      </c>
      <c r="E453" s="21" t="s">
        <v>62</v>
      </c>
      <c r="F453" s="19" t="s">
        <v>363</v>
      </c>
      <c r="G453" s="19" t="s">
        <v>364</v>
      </c>
      <c r="H453" s="19">
        <v>12.5</v>
      </c>
      <c r="I453" s="41">
        <v>748.5</v>
      </c>
      <c r="J453" s="53"/>
      <c r="K453" s="43"/>
      <c r="L453" s="19"/>
      <c r="M453" s="43"/>
      <c r="N453" s="44"/>
      <c r="O453" s="45">
        <f t="shared" si="273"/>
        <v>748.5</v>
      </c>
      <c r="P453" s="51"/>
      <c r="Q453" s="51"/>
      <c r="R453" s="74">
        <f t="shared" si="263"/>
        <v>527.368975198877</v>
      </c>
      <c r="S453" s="74"/>
      <c r="T453" s="75">
        <f t="shared" si="264"/>
        <v>2.01275152082358</v>
      </c>
      <c r="U453" s="74">
        <v>30</v>
      </c>
      <c r="V453" s="74"/>
      <c r="W453" s="76">
        <f t="shared" si="258"/>
        <v>559.381726719701</v>
      </c>
      <c r="X453" s="77">
        <f t="shared" si="265"/>
        <v>8.61874122601778</v>
      </c>
      <c r="Y453" s="77"/>
      <c r="Z453" s="77"/>
      <c r="AA453" s="77">
        <f t="shared" ref="AA453:AA484" si="274">SUM(X453:Z453)</f>
        <v>8.61874122601778</v>
      </c>
      <c r="AB453" s="86">
        <v>7.08</v>
      </c>
      <c r="AC453" s="74">
        <f t="shared" si="259"/>
        <v>61.0206878802059</v>
      </c>
      <c r="AD453" s="74">
        <f t="shared" si="260"/>
        <v>620.402414599906</v>
      </c>
      <c r="AE453" s="74">
        <f t="shared" si="262"/>
        <v>128.097585400094</v>
      </c>
    </row>
    <row r="454" customFormat="1" spans="1:31">
      <c r="A454" s="18"/>
      <c r="B454" s="19"/>
      <c r="C454" s="20">
        <v>240911000027</v>
      </c>
      <c r="D454" s="21">
        <v>45555</v>
      </c>
      <c r="E454" s="21" t="s">
        <v>41</v>
      </c>
      <c r="F454" s="19" t="s">
        <v>41</v>
      </c>
      <c r="G454" s="19" t="s">
        <v>365</v>
      </c>
      <c r="H454" s="19">
        <v>21.5</v>
      </c>
      <c r="I454" s="41">
        <v>1139.5</v>
      </c>
      <c r="J454" s="53"/>
      <c r="K454" s="43"/>
      <c r="L454" s="19"/>
      <c r="M454" s="43"/>
      <c r="N454" s="44"/>
      <c r="O454" s="45">
        <f t="shared" si="273"/>
        <v>1139.5</v>
      </c>
      <c r="P454" s="51"/>
      <c r="Q454" s="51"/>
      <c r="R454" s="74">
        <f t="shared" si="263"/>
        <v>907.074637342068</v>
      </c>
      <c r="S454" s="74"/>
      <c r="T454" s="75">
        <f t="shared" si="264"/>
        <v>3.46193261581657</v>
      </c>
      <c r="U454" s="74"/>
      <c r="V454" s="74"/>
      <c r="W454" s="76">
        <f t="shared" si="258"/>
        <v>910.536569957885</v>
      </c>
      <c r="X454" s="77">
        <f t="shared" si="265"/>
        <v>14.8242349087506</v>
      </c>
      <c r="Y454" s="77"/>
      <c r="Z454" s="77"/>
      <c r="AA454" s="77">
        <f t="shared" si="274"/>
        <v>14.8242349087506</v>
      </c>
      <c r="AB454" s="86">
        <v>7.08</v>
      </c>
      <c r="AC454" s="74">
        <f t="shared" si="259"/>
        <v>104.955583153954</v>
      </c>
      <c r="AD454" s="74">
        <f t="shared" si="260"/>
        <v>1015.49215311184</v>
      </c>
      <c r="AE454" s="74">
        <f t="shared" si="262"/>
        <v>124.007846888161</v>
      </c>
    </row>
    <row r="455" customFormat="1" spans="1:31">
      <c r="A455" s="18"/>
      <c r="B455" s="19"/>
      <c r="C455" s="20">
        <v>240911000028</v>
      </c>
      <c r="D455" s="21">
        <v>45555</v>
      </c>
      <c r="E455" s="21" t="s">
        <v>41</v>
      </c>
      <c r="F455" s="19" t="s">
        <v>41</v>
      </c>
      <c r="G455" s="19" t="s">
        <v>58</v>
      </c>
      <c r="H455" s="19">
        <v>4.5</v>
      </c>
      <c r="I455" s="41">
        <v>273</v>
      </c>
      <c r="J455" s="53"/>
      <c r="K455" s="43"/>
      <c r="L455" s="19"/>
      <c r="M455" s="43"/>
      <c r="N455" s="44"/>
      <c r="O455" s="45">
        <f t="shared" si="273"/>
        <v>273</v>
      </c>
      <c r="P455" s="51"/>
      <c r="Q455" s="51"/>
      <c r="R455" s="74">
        <f t="shared" si="263"/>
        <v>189.852831071596</v>
      </c>
      <c r="S455" s="74"/>
      <c r="T455" s="75">
        <f t="shared" si="264"/>
        <v>0.724590547496491</v>
      </c>
      <c r="U455" s="74"/>
      <c r="V455" s="74"/>
      <c r="W455" s="76">
        <f t="shared" ref="W455:W486" si="275">SUM(R455:V455)</f>
        <v>190.577421619092</v>
      </c>
      <c r="X455" s="77">
        <f t="shared" si="265"/>
        <v>3.1027468413664</v>
      </c>
      <c r="Y455" s="77"/>
      <c r="Z455" s="77"/>
      <c r="AA455" s="77">
        <f t="shared" si="274"/>
        <v>3.1027468413664</v>
      </c>
      <c r="AB455" s="86">
        <v>7.08</v>
      </c>
      <c r="AC455" s="74">
        <f t="shared" ref="AC455:AC486" si="276">SUM(AA455*AB455)</f>
        <v>21.9674476368741</v>
      </c>
      <c r="AD455" s="74">
        <f t="shared" ref="AD455:AD486" si="277">SUM(W455+AC455)</f>
        <v>212.544869255966</v>
      </c>
      <c r="AE455" s="74">
        <f t="shared" si="262"/>
        <v>60.4551307440337</v>
      </c>
    </row>
    <row r="456" customFormat="1" spans="1:31">
      <c r="A456" s="18"/>
      <c r="B456" s="19"/>
      <c r="C456" s="20">
        <v>240911000029</v>
      </c>
      <c r="D456" s="21">
        <v>45555</v>
      </c>
      <c r="E456" s="21" t="s">
        <v>62</v>
      </c>
      <c r="F456" s="19" t="s">
        <v>63</v>
      </c>
      <c r="G456" s="19" t="s">
        <v>127</v>
      </c>
      <c r="H456" s="19">
        <v>0.28</v>
      </c>
      <c r="I456" s="41">
        <v>55</v>
      </c>
      <c r="J456" s="53"/>
      <c r="K456" s="43"/>
      <c r="L456" s="19"/>
      <c r="M456" s="43"/>
      <c r="N456" s="44"/>
      <c r="O456" s="45">
        <f t="shared" si="273"/>
        <v>55</v>
      </c>
      <c r="P456" s="51"/>
      <c r="Q456" s="51"/>
      <c r="R456" s="74">
        <f t="shared" si="263"/>
        <v>11.8130650444548</v>
      </c>
      <c r="S456" s="74"/>
      <c r="T456" s="75">
        <f t="shared" si="264"/>
        <v>0.0450856340664483</v>
      </c>
      <c r="U456" s="74"/>
      <c r="V456" s="74"/>
      <c r="W456" s="76">
        <f t="shared" si="275"/>
        <v>11.8581506785213</v>
      </c>
      <c r="X456" s="77">
        <f t="shared" si="265"/>
        <v>0.193059803462798</v>
      </c>
      <c r="Y456" s="77"/>
      <c r="Z456" s="77"/>
      <c r="AA456" s="77">
        <f t="shared" si="274"/>
        <v>0.193059803462798</v>
      </c>
      <c r="AB456" s="86">
        <v>7.08</v>
      </c>
      <c r="AC456" s="74">
        <f t="shared" si="276"/>
        <v>1.36686340851661</v>
      </c>
      <c r="AD456" s="74">
        <f t="shared" si="277"/>
        <v>13.2250140870379</v>
      </c>
      <c r="AE456" s="74">
        <f t="shared" ref="AE456:AE487" si="278">SUM(O456-AD456)</f>
        <v>41.7749859129621</v>
      </c>
    </row>
    <row r="457" customFormat="1" spans="1:31">
      <c r="A457" s="18"/>
      <c r="B457" s="19"/>
      <c r="C457" s="20">
        <v>240911000031</v>
      </c>
      <c r="D457" s="21">
        <v>45555</v>
      </c>
      <c r="E457" s="21" t="s">
        <v>50</v>
      </c>
      <c r="F457" s="19" t="s">
        <v>51</v>
      </c>
      <c r="G457" s="19" t="s">
        <v>87</v>
      </c>
      <c r="H457" s="19">
        <v>0.19</v>
      </c>
      <c r="I457" s="55"/>
      <c r="J457" s="54">
        <v>12985</v>
      </c>
      <c r="K457" s="43"/>
      <c r="L457" s="49">
        <f t="shared" ref="L457:L461" si="279">SUM(J457/M457)</f>
        <v>1735.96256684492</v>
      </c>
      <c r="M457" s="50">
        <v>7.48</v>
      </c>
      <c r="N457" s="44">
        <v>7.08</v>
      </c>
      <c r="O457" s="45">
        <f t="shared" ref="O457:O461" si="280">SUM(M457*N457)</f>
        <v>52.9584</v>
      </c>
      <c r="P457" s="51"/>
      <c r="Q457" s="51"/>
      <c r="R457" s="74">
        <f t="shared" ref="R457:R488" si="281">SUM(90159/2137)*H457</f>
        <v>8.01600842302293</v>
      </c>
      <c r="S457" s="74"/>
      <c r="T457" s="75">
        <f t="shared" ref="T457:T488" si="282">SUM(344.1/2137)*H457</f>
        <v>0.0305938231165185</v>
      </c>
      <c r="U457" s="74"/>
      <c r="V457" s="74"/>
      <c r="W457" s="76">
        <f t="shared" si="275"/>
        <v>8.04660224613945</v>
      </c>
      <c r="X457" s="77">
        <f t="shared" ref="X457:X488" si="283">SUM(1473.46/2137)*H457</f>
        <v>0.13100486663547</v>
      </c>
      <c r="Y457" s="77"/>
      <c r="Z457" s="77"/>
      <c r="AA457" s="77">
        <f t="shared" si="274"/>
        <v>0.13100486663547</v>
      </c>
      <c r="AB457" s="86">
        <v>7.08</v>
      </c>
      <c r="AC457" s="74">
        <f t="shared" si="276"/>
        <v>0.92751445577913</v>
      </c>
      <c r="AD457" s="74">
        <f t="shared" si="277"/>
        <v>8.97411670191858</v>
      </c>
      <c r="AE457" s="74">
        <f t="shared" si="278"/>
        <v>43.9842832980814</v>
      </c>
    </row>
    <row r="458" customFormat="1" spans="1:31">
      <c r="A458" s="18"/>
      <c r="B458" s="19"/>
      <c r="C458" s="20">
        <v>240911000034</v>
      </c>
      <c r="D458" s="21">
        <v>45555</v>
      </c>
      <c r="E458" s="21" t="s">
        <v>62</v>
      </c>
      <c r="F458" s="19" t="s">
        <v>63</v>
      </c>
      <c r="G458" s="19" t="s">
        <v>366</v>
      </c>
      <c r="H458" s="19">
        <v>18.5</v>
      </c>
      <c r="I458" s="41">
        <v>1060.5</v>
      </c>
      <c r="J458" s="53"/>
      <c r="K458" s="43"/>
      <c r="L458" s="19"/>
      <c r="M458" s="43"/>
      <c r="N458" s="44"/>
      <c r="O458" s="45">
        <f t="shared" ref="O458:O464" si="284">SUM(I458)</f>
        <v>1060.5</v>
      </c>
      <c r="P458" s="51"/>
      <c r="Q458" s="51"/>
      <c r="R458" s="74">
        <f t="shared" si="281"/>
        <v>780.506083294338</v>
      </c>
      <c r="S458" s="74"/>
      <c r="T458" s="75">
        <f t="shared" si="282"/>
        <v>2.97887225081891</v>
      </c>
      <c r="U458" s="74"/>
      <c r="V458" s="74"/>
      <c r="W458" s="76">
        <f t="shared" si="275"/>
        <v>783.484955545157</v>
      </c>
      <c r="X458" s="77">
        <f t="shared" si="283"/>
        <v>12.7557370145063</v>
      </c>
      <c r="Y458" s="77"/>
      <c r="Z458" s="77"/>
      <c r="AA458" s="77">
        <f t="shared" si="274"/>
        <v>12.7557370145063</v>
      </c>
      <c r="AB458" s="86">
        <v>7.08</v>
      </c>
      <c r="AC458" s="74">
        <f t="shared" si="276"/>
        <v>90.3106180627047</v>
      </c>
      <c r="AD458" s="74">
        <f t="shared" si="277"/>
        <v>873.795573607861</v>
      </c>
      <c r="AE458" s="74">
        <f t="shared" si="278"/>
        <v>186.704426392139</v>
      </c>
    </row>
    <row r="459" customFormat="1" spans="1:31">
      <c r="A459" s="18"/>
      <c r="B459" s="19"/>
      <c r="C459" s="20">
        <v>240912000001</v>
      </c>
      <c r="D459" s="21">
        <v>45555</v>
      </c>
      <c r="E459" s="21" t="s">
        <v>50</v>
      </c>
      <c r="F459" s="19" t="s">
        <v>51</v>
      </c>
      <c r="G459" s="19" t="s">
        <v>87</v>
      </c>
      <c r="H459" s="19">
        <v>15</v>
      </c>
      <c r="I459" s="55"/>
      <c r="J459" s="54">
        <v>262395</v>
      </c>
      <c r="K459" s="43"/>
      <c r="L459" s="49">
        <f t="shared" si="279"/>
        <v>1734.61360481259</v>
      </c>
      <c r="M459" s="50">
        <v>151.27</v>
      </c>
      <c r="N459" s="44">
        <v>7.08</v>
      </c>
      <c r="O459" s="45">
        <f t="shared" si="280"/>
        <v>1070.9916</v>
      </c>
      <c r="P459" s="51"/>
      <c r="Q459" s="51"/>
      <c r="R459" s="74">
        <f t="shared" si="281"/>
        <v>632.842770238652</v>
      </c>
      <c r="S459" s="74"/>
      <c r="T459" s="75">
        <f t="shared" si="282"/>
        <v>2.4153018249883</v>
      </c>
      <c r="U459" s="74"/>
      <c r="V459" s="75">
        <v>316</v>
      </c>
      <c r="W459" s="76">
        <f t="shared" si="275"/>
        <v>951.258072063641</v>
      </c>
      <c r="X459" s="77">
        <f t="shared" si="283"/>
        <v>10.3424894712213</v>
      </c>
      <c r="Y459" s="77"/>
      <c r="Z459" s="77"/>
      <c r="AA459" s="77">
        <f t="shared" si="274"/>
        <v>10.3424894712213</v>
      </c>
      <c r="AB459" s="86">
        <v>7.08</v>
      </c>
      <c r="AC459" s="74">
        <f t="shared" si="276"/>
        <v>73.2248254562471</v>
      </c>
      <c r="AD459" s="74">
        <f t="shared" si="277"/>
        <v>1024.48289751989</v>
      </c>
      <c r="AE459" s="74">
        <f t="shared" si="278"/>
        <v>46.5087024801123</v>
      </c>
    </row>
    <row r="460" customFormat="1" spans="1:31">
      <c r="A460" s="18"/>
      <c r="B460" s="19"/>
      <c r="C460" s="20">
        <v>240912000007</v>
      </c>
      <c r="D460" s="21">
        <v>45555</v>
      </c>
      <c r="E460" s="21" t="s">
        <v>50</v>
      </c>
      <c r="F460" s="19" t="s">
        <v>51</v>
      </c>
      <c r="G460" s="19" t="s">
        <v>179</v>
      </c>
      <c r="H460" s="19">
        <v>14.5</v>
      </c>
      <c r="I460" s="47"/>
      <c r="J460" s="54">
        <v>181177.5</v>
      </c>
      <c r="K460" s="43"/>
      <c r="L460" s="49">
        <f t="shared" si="279"/>
        <v>1734.75201072386</v>
      </c>
      <c r="M460" s="50">
        <v>104.44</v>
      </c>
      <c r="N460" s="44">
        <v>7.08</v>
      </c>
      <c r="O460" s="45">
        <f t="shared" si="280"/>
        <v>739.4352</v>
      </c>
      <c r="P460" s="51"/>
      <c r="Q460" s="51"/>
      <c r="R460" s="74">
        <f t="shared" si="281"/>
        <v>611.748011230697</v>
      </c>
      <c r="S460" s="74"/>
      <c r="T460" s="75">
        <f t="shared" si="282"/>
        <v>2.33479176415536</v>
      </c>
      <c r="U460" s="74"/>
      <c r="V460" s="74"/>
      <c r="W460" s="76">
        <f t="shared" si="275"/>
        <v>614.082802994853</v>
      </c>
      <c r="X460" s="77">
        <f t="shared" si="283"/>
        <v>9.99773982218063</v>
      </c>
      <c r="Y460" s="77"/>
      <c r="Z460" s="77"/>
      <c r="AA460" s="77">
        <f t="shared" si="274"/>
        <v>9.99773982218063</v>
      </c>
      <c r="AB460" s="86">
        <v>7.08</v>
      </c>
      <c r="AC460" s="74">
        <f t="shared" si="276"/>
        <v>70.7839979410388</v>
      </c>
      <c r="AD460" s="74">
        <f t="shared" si="277"/>
        <v>684.866800935891</v>
      </c>
      <c r="AE460" s="74">
        <f t="shared" si="278"/>
        <v>54.5683990641086</v>
      </c>
    </row>
    <row r="461" customFormat="1" spans="1:31">
      <c r="A461" s="18"/>
      <c r="B461" s="19"/>
      <c r="C461" s="20">
        <v>240912000012</v>
      </c>
      <c r="D461" s="21">
        <v>45555</v>
      </c>
      <c r="E461" s="21" t="s">
        <v>50</v>
      </c>
      <c r="F461" s="19" t="s">
        <v>51</v>
      </c>
      <c r="G461" s="19" t="s">
        <v>367</v>
      </c>
      <c r="H461" s="19">
        <v>13.5</v>
      </c>
      <c r="I461" s="47"/>
      <c r="J461" s="54">
        <v>205065</v>
      </c>
      <c r="K461" s="43"/>
      <c r="L461" s="49">
        <f t="shared" si="279"/>
        <v>1734.6049737777</v>
      </c>
      <c r="M461" s="50">
        <v>118.22</v>
      </c>
      <c r="N461" s="44">
        <v>7.08</v>
      </c>
      <c r="O461" s="45">
        <f t="shared" si="280"/>
        <v>836.9976</v>
      </c>
      <c r="P461" s="51"/>
      <c r="Q461" s="51"/>
      <c r="R461" s="74">
        <f t="shared" si="281"/>
        <v>569.558493214787</v>
      </c>
      <c r="S461" s="74"/>
      <c r="T461" s="75">
        <f t="shared" si="282"/>
        <v>2.17377164248947</v>
      </c>
      <c r="U461" s="74"/>
      <c r="V461" s="74"/>
      <c r="W461" s="76">
        <f t="shared" si="275"/>
        <v>571.732264857277</v>
      </c>
      <c r="X461" s="77">
        <f t="shared" si="283"/>
        <v>9.3082405240992</v>
      </c>
      <c r="Y461" s="77"/>
      <c r="Z461" s="77"/>
      <c r="AA461" s="77">
        <f t="shared" si="274"/>
        <v>9.3082405240992</v>
      </c>
      <c r="AB461" s="86">
        <v>7.08</v>
      </c>
      <c r="AC461" s="74">
        <f t="shared" si="276"/>
        <v>65.9023429106224</v>
      </c>
      <c r="AD461" s="74">
        <f t="shared" si="277"/>
        <v>637.634607767899</v>
      </c>
      <c r="AE461" s="74">
        <f t="shared" si="278"/>
        <v>199.362992232101</v>
      </c>
    </row>
    <row r="462" customFormat="1" spans="1:31">
      <c r="A462" s="18"/>
      <c r="B462" s="19"/>
      <c r="C462" s="20">
        <v>240912000015</v>
      </c>
      <c r="D462" s="21">
        <v>45555</v>
      </c>
      <c r="E462" s="21" t="s">
        <v>50</v>
      </c>
      <c r="F462" s="19" t="s">
        <v>51</v>
      </c>
      <c r="G462" s="19" t="s">
        <v>368</v>
      </c>
      <c r="H462" s="19">
        <v>30</v>
      </c>
      <c r="I462" s="41">
        <v>1530</v>
      </c>
      <c r="J462" s="53"/>
      <c r="K462" s="43"/>
      <c r="L462" s="19"/>
      <c r="M462" s="43"/>
      <c r="N462" s="44"/>
      <c r="O462" s="45">
        <f t="shared" si="284"/>
        <v>1530</v>
      </c>
      <c r="P462" s="51"/>
      <c r="Q462" s="51"/>
      <c r="R462" s="74">
        <f t="shared" si="281"/>
        <v>1265.6855404773</v>
      </c>
      <c r="S462" s="74"/>
      <c r="T462" s="75">
        <f t="shared" si="282"/>
        <v>4.8306036499766</v>
      </c>
      <c r="U462" s="74"/>
      <c r="V462" s="74"/>
      <c r="W462" s="76">
        <f t="shared" si="275"/>
        <v>1270.51614412728</v>
      </c>
      <c r="X462" s="77">
        <f t="shared" si="283"/>
        <v>20.6849789424427</v>
      </c>
      <c r="Y462" s="77"/>
      <c r="Z462" s="77"/>
      <c r="AA462" s="77">
        <f t="shared" si="274"/>
        <v>20.6849789424427</v>
      </c>
      <c r="AB462" s="86">
        <v>7.08</v>
      </c>
      <c r="AC462" s="74">
        <f t="shared" si="276"/>
        <v>146.449650912494</v>
      </c>
      <c r="AD462" s="74">
        <f t="shared" si="277"/>
        <v>1416.96579503978</v>
      </c>
      <c r="AE462" s="74">
        <f t="shared" si="278"/>
        <v>113.034204960225</v>
      </c>
    </row>
    <row r="463" customFormat="1" spans="1:31">
      <c r="A463" s="18"/>
      <c r="B463" s="19"/>
      <c r="C463" s="20">
        <v>240912000016</v>
      </c>
      <c r="D463" s="21">
        <v>45555</v>
      </c>
      <c r="E463" s="21" t="s">
        <v>50</v>
      </c>
      <c r="F463" s="19" t="s">
        <v>51</v>
      </c>
      <c r="G463" s="19" t="s">
        <v>369</v>
      </c>
      <c r="H463" s="19">
        <v>1.5</v>
      </c>
      <c r="I463" s="41">
        <v>102</v>
      </c>
      <c r="J463" s="53"/>
      <c r="K463" s="43"/>
      <c r="L463" s="19"/>
      <c r="M463" s="43"/>
      <c r="N463" s="44"/>
      <c r="O463" s="45">
        <f t="shared" si="284"/>
        <v>102</v>
      </c>
      <c r="P463" s="51"/>
      <c r="Q463" s="51"/>
      <c r="R463" s="74">
        <f t="shared" si="281"/>
        <v>63.2842770238652</v>
      </c>
      <c r="S463" s="74"/>
      <c r="T463" s="75">
        <f t="shared" si="282"/>
        <v>0.24153018249883</v>
      </c>
      <c r="U463" s="74"/>
      <c r="V463" s="74"/>
      <c r="W463" s="76">
        <f t="shared" si="275"/>
        <v>63.5258072063641</v>
      </c>
      <c r="X463" s="77">
        <f t="shared" si="283"/>
        <v>1.03424894712213</v>
      </c>
      <c r="Y463" s="77"/>
      <c r="Z463" s="77"/>
      <c r="AA463" s="77">
        <f t="shared" si="274"/>
        <v>1.03424894712213</v>
      </c>
      <c r="AB463" s="86">
        <v>7.08</v>
      </c>
      <c r="AC463" s="74">
        <f t="shared" si="276"/>
        <v>7.32248254562471</v>
      </c>
      <c r="AD463" s="74">
        <f t="shared" si="277"/>
        <v>70.8482897519888</v>
      </c>
      <c r="AE463" s="74">
        <f t="shared" si="278"/>
        <v>31.1517102480112</v>
      </c>
    </row>
    <row r="464" customFormat="1" spans="1:31">
      <c r="A464" s="18"/>
      <c r="B464" s="19"/>
      <c r="C464" s="20">
        <v>240912000017</v>
      </c>
      <c r="D464" s="21">
        <v>45555</v>
      </c>
      <c r="E464" s="21" t="s">
        <v>50</v>
      </c>
      <c r="F464" s="19" t="s">
        <v>51</v>
      </c>
      <c r="G464" s="19" t="s">
        <v>86</v>
      </c>
      <c r="H464" s="19">
        <v>7.5</v>
      </c>
      <c r="I464" s="41">
        <v>478.5</v>
      </c>
      <c r="J464" s="53"/>
      <c r="K464" s="43"/>
      <c r="L464" s="19"/>
      <c r="M464" s="43"/>
      <c r="N464" s="44"/>
      <c r="O464" s="45">
        <f t="shared" si="284"/>
        <v>478.5</v>
      </c>
      <c r="P464" s="51"/>
      <c r="Q464" s="51"/>
      <c r="R464" s="74">
        <f t="shared" si="281"/>
        <v>316.421385119326</v>
      </c>
      <c r="S464" s="74"/>
      <c r="T464" s="75">
        <f t="shared" si="282"/>
        <v>1.20765091249415</v>
      </c>
      <c r="U464" s="74"/>
      <c r="V464" s="74"/>
      <c r="W464" s="76">
        <f t="shared" si="275"/>
        <v>317.62903603182</v>
      </c>
      <c r="X464" s="77">
        <f t="shared" si="283"/>
        <v>5.17124473561067</v>
      </c>
      <c r="Y464" s="77"/>
      <c r="Z464" s="77"/>
      <c r="AA464" s="77">
        <f t="shared" si="274"/>
        <v>5.17124473561067</v>
      </c>
      <c r="AB464" s="86">
        <v>7.08</v>
      </c>
      <c r="AC464" s="74">
        <f t="shared" si="276"/>
        <v>36.6124127281235</v>
      </c>
      <c r="AD464" s="74">
        <f t="shared" si="277"/>
        <v>354.241448759944</v>
      </c>
      <c r="AE464" s="74">
        <f t="shared" si="278"/>
        <v>124.258551240056</v>
      </c>
    </row>
    <row r="465" customFormat="1" spans="1:31">
      <c r="A465" s="18"/>
      <c r="B465" s="19"/>
      <c r="C465" s="20">
        <v>240912000018</v>
      </c>
      <c r="D465" s="21">
        <v>45555</v>
      </c>
      <c r="E465" s="21" t="s">
        <v>50</v>
      </c>
      <c r="F465" s="19" t="s">
        <v>51</v>
      </c>
      <c r="G465" s="19" t="s">
        <v>57</v>
      </c>
      <c r="H465" s="19">
        <v>61</v>
      </c>
      <c r="I465" s="47"/>
      <c r="J465" s="54">
        <v>809970</v>
      </c>
      <c r="K465" s="43"/>
      <c r="L465" s="49">
        <f>SUM(J465/M465)</f>
        <v>1734.63400008566</v>
      </c>
      <c r="M465" s="50">
        <v>466.94</v>
      </c>
      <c r="N465" s="44">
        <v>7.08</v>
      </c>
      <c r="O465" s="45">
        <f>SUM(M465*N465)</f>
        <v>3305.9352</v>
      </c>
      <c r="P465" s="51"/>
      <c r="Q465" s="51"/>
      <c r="R465" s="74">
        <f t="shared" si="281"/>
        <v>2573.56059897052</v>
      </c>
      <c r="S465" s="74"/>
      <c r="T465" s="75">
        <f t="shared" si="282"/>
        <v>9.82222742161909</v>
      </c>
      <c r="U465" s="74"/>
      <c r="V465" s="74"/>
      <c r="W465" s="76">
        <f t="shared" si="275"/>
        <v>2583.38282639214</v>
      </c>
      <c r="X465" s="77">
        <f t="shared" si="283"/>
        <v>42.0594571829668</v>
      </c>
      <c r="Y465" s="77"/>
      <c r="Z465" s="77"/>
      <c r="AA465" s="77">
        <f t="shared" si="274"/>
        <v>42.0594571829668</v>
      </c>
      <c r="AB465" s="86">
        <v>7.08</v>
      </c>
      <c r="AC465" s="74">
        <f t="shared" si="276"/>
        <v>297.780956855405</v>
      </c>
      <c r="AD465" s="74">
        <f t="shared" si="277"/>
        <v>2881.16378324754</v>
      </c>
      <c r="AE465" s="74">
        <f t="shared" si="278"/>
        <v>424.771416752457</v>
      </c>
    </row>
    <row r="466" customFormat="1" spans="1:31">
      <c r="A466" s="18"/>
      <c r="B466" s="19"/>
      <c r="C466" s="20">
        <v>240912000020</v>
      </c>
      <c r="D466" s="21">
        <v>45555</v>
      </c>
      <c r="E466" s="21" t="s">
        <v>50</v>
      </c>
      <c r="F466" s="19" t="s">
        <v>51</v>
      </c>
      <c r="G466" s="19" t="s">
        <v>370</v>
      </c>
      <c r="H466" s="19">
        <v>4</v>
      </c>
      <c r="I466" s="41">
        <v>448</v>
      </c>
      <c r="J466" s="53"/>
      <c r="K466" s="43"/>
      <c r="L466" s="19"/>
      <c r="M466" s="43"/>
      <c r="N466" s="44"/>
      <c r="O466" s="45">
        <f t="shared" ref="O466:O470" si="285">SUM(I466)</f>
        <v>448</v>
      </c>
      <c r="P466" s="51"/>
      <c r="Q466" s="51"/>
      <c r="R466" s="74">
        <f t="shared" si="281"/>
        <v>168.758072063641</v>
      </c>
      <c r="S466" s="74"/>
      <c r="T466" s="75">
        <f t="shared" si="282"/>
        <v>0.644080486663547</v>
      </c>
      <c r="U466" s="74"/>
      <c r="V466" s="74"/>
      <c r="W466" s="76">
        <f t="shared" si="275"/>
        <v>169.402152550304</v>
      </c>
      <c r="X466" s="77">
        <f t="shared" si="283"/>
        <v>2.75799719232569</v>
      </c>
      <c r="Y466" s="77"/>
      <c r="Z466" s="77"/>
      <c r="AA466" s="77">
        <f t="shared" si="274"/>
        <v>2.75799719232569</v>
      </c>
      <c r="AB466" s="86">
        <v>7.08</v>
      </c>
      <c r="AC466" s="74">
        <f t="shared" si="276"/>
        <v>19.5266201216659</v>
      </c>
      <c r="AD466" s="74">
        <f t="shared" si="277"/>
        <v>188.92877267197</v>
      </c>
      <c r="AE466" s="74">
        <f t="shared" si="278"/>
        <v>259.07122732803</v>
      </c>
    </row>
    <row r="467" customFormat="1" spans="1:31">
      <c r="A467" s="18"/>
      <c r="B467" s="19"/>
      <c r="C467" s="22">
        <v>240912000023</v>
      </c>
      <c r="D467" s="23">
        <v>45555</v>
      </c>
      <c r="E467" s="21" t="s">
        <v>43</v>
      </c>
      <c r="F467" s="24" t="s">
        <v>44</v>
      </c>
      <c r="G467" s="24" t="s">
        <v>182</v>
      </c>
      <c r="H467" s="24">
        <v>4</v>
      </c>
      <c r="I467" s="47"/>
      <c r="J467" s="49">
        <v>57660.8</v>
      </c>
      <c r="K467" s="93"/>
      <c r="L467" s="49">
        <f>SUM(J467/M467)</f>
        <v>1711.00296735905</v>
      </c>
      <c r="M467" s="91">
        <v>33.7</v>
      </c>
      <c r="N467" s="44">
        <v>7.08</v>
      </c>
      <c r="O467" s="45">
        <f>SUM(M467*N467)</f>
        <v>238.596</v>
      </c>
      <c r="P467" s="51"/>
      <c r="Q467" s="51"/>
      <c r="R467" s="74">
        <f t="shared" si="281"/>
        <v>168.758072063641</v>
      </c>
      <c r="S467" s="74"/>
      <c r="T467" s="75">
        <f t="shared" si="282"/>
        <v>0.644080486663547</v>
      </c>
      <c r="U467" s="74"/>
      <c r="V467" s="74"/>
      <c r="W467" s="76">
        <f t="shared" si="275"/>
        <v>169.402152550304</v>
      </c>
      <c r="X467" s="77">
        <f t="shared" si="283"/>
        <v>2.75799719232569</v>
      </c>
      <c r="Y467" s="77"/>
      <c r="Z467" s="77"/>
      <c r="AA467" s="77">
        <f t="shared" si="274"/>
        <v>2.75799719232569</v>
      </c>
      <c r="AB467" s="86">
        <v>7.08</v>
      </c>
      <c r="AC467" s="74">
        <f t="shared" si="276"/>
        <v>19.5266201216659</v>
      </c>
      <c r="AD467" s="74">
        <f t="shared" si="277"/>
        <v>188.92877267197</v>
      </c>
      <c r="AE467" s="74">
        <f t="shared" si="278"/>
        <v>49.66722732803</v>
      </c>
    </row>
    <row r="468" customFormat="1" spans="1:31">
      <c r="A468" s="18"/>
      <c r="B468" s="19"/>
      <c r="C468" s="20">
        <v>240912000026</v>
      </c>
      <c r="D468" s="21">
        <v>45555</v>
      </c>
      <c r="E468" s="21" t="s">
        <v>46</v>
      </c>
      <c r="F468" s="19" t="s">
        <v>47</v>
      </c>
      <c r="G468" s="19" t="s">
        <v>175</v>
      </c>
      <c r="H468" s="19">
        <v>3</v>
      </c>
      <c r="I468" s="41">
        <v>183</v>
      </c>
      <c r="J468" s="53"/>
      <c r="K468" s="43"/>
      <c r="L468" s="19"/>
      <c r="M468" s="43"/>
      <c r="N468" s="44"/>
      <c r="O468" s="45">
        <f t="shared" si="285"/>
        <v>183</v>
      </c>
      <c r="P468" s="51"/>
      <c r="Q468" s="51"/>
      <c r="R468" s="74">
        <f t="shared" si="281"/>
        <v>126.56855404773</v>
      </c>
      <c r="S468" s="74"/>
      <c r="T468" s="75">
        <f t="shared" si="282"/>
        <v>0.48306036499766</v>
      </c>
      <c r="U468" s="74"/>
      <c r="V468" s="74"/>
      <c r="W468" s="76">
        <f t="shared" si="275"/>
        <v>127.051614412728</v>
      </c>
      <c r="X468" s="77">
        <f t="shared" si="283"/>
        <v>2.06849789424427</v>
      </c>
      <c r="Y468" s="77"/>
      <c r="Z468" s="77"/>
      <c r="AA468" s="77">
        <f t="shared" si="274"/>
        <v>2.06849789424427</v>
      </c>
      <c r="AB468" s="86">
        <v>7.08</v>
      </c>
      <c r="AC468" s="74">
        <f t="shared" si="276"/>
        <v>14.6449650912494</v>
      </c>
      <c r="AD468" s="74">
        <f t="shared" si="277"/>
        <v>141.696579503978</v>
      </c>
      <c r="AE468" s="74">
        <f t="shared" si="278"/>
        <v>41.3034204960225</v>
      </c>
    </row>
    <row r="469" customFormat="1" spans="1:31">
      <c r="A469" s="18"/>
      <c r="B469" s="19"/>
      <c r="C469" s="20">
        <v>240912000027</v>
      </c>
      <c r="D469" s="21">
        <v>45555</v>
      </c>
      <c r="E469" s="21" t="s">
        <v>46</v>
      </c>
      <c r="F469" s="19" t="s">
        <v>47</v>
      </c>
      <c r="G469" s="19" t="s">
        <v>205</v>
      </c>
      <c r="H469" s="19">
        <v>15</v>
      </c>
      <c r="I469" s="41">
        <v>951</v>
      </c>
      <c r="J469" s="53"/>
      <c r="K469" s="43"/>
      <c r="L469" s="19"/>
      <c r="M469" s="43"/>
      <c r="N469" s="44"/>
      <c r="O469" s="45">
        <f t="shared" si="285"/>
        <v>951</v>
      </c>
      <c r="P469" s="51"/>
      <c r="Q469" s="51"/>
      <c r="R469" s="74">
        <f t="shared" si="281"/>
        <v>632.842770238652</v>
      </c>
      <c r="S469" s="74"/>
      <c r="T469" s="75">
        <f t="shared" si="282"/>
        <v>2.4153018249883</v>
      </c>
      <c r="U469" s="74"/>
      <c r="V469" s="74"/>
      <c r="W469" s="76">
        <f t="shared" si="275"/>
        <v>635.258072063641</v>
      </c>
      <c r="X469" s="77">
        <f t="shared" si="283"/>
        <v>10.3424894712213</v>
      </c>
      <c r="Y469" s="77"/>
      <c r="Z469" s="77"/>
      <c r="AA469" s="77">
        <f t="shared" si="274"/>
        <v>10.3424894712213</v>
      </c>
      <c r="AB469" s="86">
        <v>7.08</v>
      </c>
      <c r="AC469" s="74">
        <f t="shared" si="276"/>
        <v>73.2248254562471</v>
      </c>
      <c r="AD469" s="74">
        <f t="shared" si="277"/>
        <v>708.482897519888</v>
      </c>
      <c r="AE469" s="74">
        <f t="shared" si="278"/>
        <v>242.517102480112</v>
      </c>
    </row>
    <row r="470" customFormat="1" spans="1:31">
      <c r="A470" s="18"/>
      <c r="B470" s="19"/>
      <c r="C470" s="20">
        <v>240912000030</v>
      </c>
      <c r="D470" s="21">
        <v>45555</v>
      </c>
      <c r="E470" s="21" t="s">
        <v>62</v>
      </c>
      <c r="F470" s="19" t="s">
        <v>63</v>
      </c>
      <c r="G470" s="19" t="s">
        <v>371</v>
      </c>
      <c r="H470" s="19">
        <v>9</v>
      </c>
      <c r="I470" s="41">
        <v>519</v>
      </c>
      <c r="J470" s="53"/>
      <c r="K470" s="43"/>
      <c r="L470" s="19"/>
      <c r="M470" s="43"/>
      <c r="N470" s="44"/>
      <c r="O470" s="45">
        <f t="shared" si="285"/>
        <v>519</v>
      </c>
      <c r="P470" s="51"/>
      <c r="Q470" s="51"/>
      <c r="R470" s="74">
        <f t="shared" si="281"/>
        <v>379.705662143191</v>
      </c>
      <c r="S470" s="74"/>
      <c r="T470" s="75">
        <f t="shared" si="282"/>
        <v>1.44918109499298</v>
      </c>
      <c r="U470" s="74"/>
      <c r="V470" s="74"/>
      <c r="W470" s="76">
        <f t="shared" si="275"/>
        <v>381.154843238184</v>
      </c>
      <c r="X470" s="77">
        <f t="shared" si="283"/>
        <v>6.2054936827328</v>
      </c>
      <c r="Y470" s="77"/>
      <c r="Z470" s="77"/>
      <c r="AA470" s="77">
        <f t="shared" si="274"/>
        <v>6.2054936827328</v>
      </c>
      <c r="AB470" s="86">
        <v>7.08</v>
      </c>
      <c r="AC470" s="74">
        <f t="shared" si="276"/>
        <v>43.9348952737482</v>
      </c>
      <c r="AD470" s="74">
        <f t="shared" si="277"/>
        <v>425.089738511933</v>
      </c>
      <c r="AE470" s="74">
        <f t="shared" si="278"/>
        <v>93.9102614880674</v>
      </c>
    </row>
    <row r="471" customFormat="1" spans="1:31">
      <c r="A471" s="18"/>
      <c r="B471" s="19"/>
      <c r="C471" s="20">
        <v>240912000032</v>
      </c>
      <c r="D471" s="21">
        <v>45555</v>
      </c>
      <c r="E471" s="21" t="s">
        <v>46</v>
      </c>
      <c r="F471" s="19" t="s">
        <v>47</v>
      </c>
      <c r="G471" s="19" t="s">
        <v>372</v>
      </c>
      <c r="H471" s="19">
        <v>3</v>
      </c>
      <c r="I471" s="92">
        <v>260</v>
      </c>
      <c r="J471" s="53"/>
      <c r="K471" s="43"/>
      <c r="L471" s="19"/>
      <c r="M471" s="43"/>
      <c r="N471" s="44"/>
      <c r="O471" s="45">
        <f>SUBTOTAL(9,I471)</f>
        <v>260</v>
      </c>
      <c r="P471" s="51"/>
      <c r="Q471" s="51"/>
      <c r="R471" s="74">
        <f t="shared" si="281"/>
        <v>126.56855404773</v>
      </c>
      <c r="S471" s="74"/>
      <c r="T471" s="75">
        <f t="shared" si="282"/>
        <v>0.48306036499766</v>
      </c>
      <c r="U471" s="74"/>
      <c r="V471" s="74"/>
      <c r="W471" s="76">
        <f t="shared" si="275"/>
        <v>127.051614412728</v>
      </c>
      <c r="X471" s="77">
        <f t="shared" si="283"/>
        <v>2.06849789424427</v>
      </c>
      <c r="Y471" s="77"/>
      <c r="Z471" s="77"/>
      <c r="AA471" s="77">
        <f t="shared" si="274"/>
        <v>2.06849789424427</v>
      </c>
      <c r="AB471" s="86">
        <v>7.08</v>
      </c>
      <c r="AC471" s="74">
        <f t="shared" si="276"/>
        <v>14.6449650912494</v>
      </c>
      <c r="AD471" s="74">
        <f t="shared" si="277"/>
        <v>141.696579503978</v>
      </c>
      <c r="AE471" s="74">
        <f t="shared" si="278"/>
        <v>118.303420496022</v>
      </c>
    </row>
    <row r="472" customFormat="1" spans="1:31">
      <c r="A472" s="18"/>
      <c r="B472" s="19"/>
      <c r="C472" s="20">
        <v>240912000033</v>
      </c>
      <c r="D472" s="21">
        <v>45555</v>
      </c>
      <c r="E472" s="21" t="s">
        <v>62</v>
      </c>
      <c r="F472" s="19" t="s">
        <v>63</v>
      </c>
      <c r="G472" s="19" t="s">
        <v>88</v>
      </c>
      <c r="H472" s="19">
        <v>0.525</v>
      </c>
      <c r="I472" s="41">
        <v>51</v>
      </c>
      <c r="J472" s="53"/>
      <c r="K472" s="43"/>
      <c r="L472" s="19"/>
      <c r="M472" s="43"/>
      <c r="N472" s="44"/>
      <c r="O472" s="45">
        <f t="shared" ref="O472:O478" si="286">SUM(I472)</f>
        <v>51</v>
      </c>
      <c r="P472" s="51"/>
      <c r="Q472" s="51"/>
      <c r="R472" s="74">
        <f t="shared" si="281"/>
        <v>22.1494969583528</v>
      </c>
      <c r="S472" s="74"/>
      <c r="T472" s="75">
        <f t="shared" si="282"/>
        <v>0.0845355638745906</v>
      </c>
      <c r="U472" s="74"/>
      <c r="V472" s="74"/>
      <c r="W472" s="76">
        <f t="shared" si="275"/>
        <v>22.2340325222274</v>
      </c>
      <c r="X472" s="77">
        <f t="shared" si="283"/>
        <v>0.361987131492747</v>
      </c>
      <c r="Y472" s="77"/>
      <c r="Z472" s="77"/>
      <c r="AA472" s="77">
        <f t="shared" si="274"/>
        <v>0.361987131492747</v>
      </c>
      <c r="AB472" s="86">
        <v>7.08</v>
      </c>
      <c r="AC472" s="74">
        <f t="shared" si="276"/>
        <v>2.56286889096865</v>
      </c>
      <c r="AD472" s="74">
        <f t="shared" si="277"/>
        <v>24.7969014131961</v>
      </c>
      <c r="AE472" s="74">
        <f t="shared" si="278"/>
        <v>26.2030985868039</v>
      </c>
    </row>
    <row r="473" customFormat="1" spans="1:31">
      <c r="A473" s="18"/>
      <c r="B473" s="19"/>
      <c r="C473" s="20">
        <v>240912000034</v>
      </c>
      <c r="D473" s="21">
        <v>45555</v>
      </c>
      <c r="E473" s="21" t="s">
        <v>62</v>
      </c>
      <c r="F473" s="19" t="s">
        <v>63</v>
      </c>
      <c r="G473" s="19" t="s">
        <v>88</v>
      </c>
      <c r="H473" s="19">
        <v>20.5</v>
      </c>
      <c r="I473" s="41">
        <v>1395.5</v>
      </c>
      <c r="J473" s="53"/>
      <c r="K473" s="43"/>
      <c r="L473" s="19"/>
      <c r="M473" s="43"/>
      <c r="N473" s="44"/>
      <c r="O473" s="45">
        <f t="shared" si="286"/>
        <v>1395.5</v>
      </c>
      <c r="P473" s="51"/>
      <c r="Q473" s="51"/>
      <c r="R473" s="74">
        <f t="shared" si="281"/>
        <v>864.885119326158</v>
      </c>
      <c r="S473" s="74"/>
      <c r="T473" s="75">
        <f t="shared" si="282"/>
        <v>3.30091249415068</v>
      </c>
      <c r="U473" s="74"/>
      <c r="V473" s="74"/>
      <c r="W473" s="76">
        <f t="shared" si="275"/>
        <v>868.186031820309</v>
      </c>
      <c r="X473" s="77">
        <f t="shared" si="283"/>
        <v>14.1347356106692</v>
      </c>
      <c r="Y473" s="77"/>
      <c r="Z473" s="77"/>
      <c r="AA473" s="77">
        <f t="shared" si="274"/>
        <v>14.1347356106692</v>
      </c>
      <c r="AB473" s="86">
        <v>7.08</v>
      </c>
      <c r="AC473" s="74">
        <f t="shared" si="276"/>
        <v>100.073928123538</v>
      </c>
      <c r="AD473" s="74">
        <f t="shared" si="277"/>
        <v>968.259959943847</v>
      </c>
      <c r="AE473" s="74">
        <f t="shared" si="278"/>
        <v>427.240040056153</v>
      </c>
    </row>
    <row r="474" customFormat="1" spans="1:31">
      <c r="A474" s="18"/>
      <c r="B474" s="19"/>
      <c r="C474" s="20">
        <v>240912000035</v>
      </c>
      <c r="D474" s="21">
        <v>45555</v>
      </c>
      <c r="E474" s="21" t="s">
        <v>46</v>
      </c>
      <c r="F474" s="19" t="s">
        <v>47</v>
      </c>
      <c r="G474" s="19" t="s">
        <v>91</v>
      </c>
      <c r="H474" s="19">
        <v>0.62</v>
      </c>
      <c r="I474" s="41">
        <v>63</v>
      </c>
      <c r="J474" s="53"/>
      <c r="K474" s="43"/>
      <c r="L474" s="19"/>
      <c r="M474" s="43"/>
      <c r="N474" s="44"/>
      <c r="O474" s="45">
        <f t="shared" si="286"/>
        <v>63</v>
      </c>
      <c r="P474" s="51"/>
      <c r="Q474" s="51"/>
      <c r="R474" s="74">
        <f t="shared" si="281"/>
        <v>26.1575011698643</v>
      </c>
      <c r="S474" s="74"/>
      <c r="T474" s="75">
        <f t="shared" si="282"/>
        <v>0.0998324754328498</v>
      </c>
      <c r="U474" s="74"/>
      <c r="V474" s="74"/>
      <c r="W474" s="76">
        <f t="shared" si="275"/>
        <v>26.2573336452971</v>
      </c>
      <c r="X474" s="77">
        <f t="shared" si="283"/>
        <v>0.427489564810482</v>
      </c>
      <c r="Y474" s="77"/>
      <c r="Z474" s="77"/>
      <c r="AA474" s="77">
        <f t="shared" si="274"/>
        <v>0.427489564810482</v>
      </c>
      <c r="AB474" s="86">
        <v>7.08</v>
      </c>
      <c r="AC474" s="74">
        <f t="shared" si="276"/>
        <v>3.02662611885821</v>
      </c>
      <c r="AD474" s="74">
        <f t="shared" si="277"/>
        <v>29.2839597641554</v>
      </c>
      <c r="AE474" s="74">
        <f t="shared" si="278"/>
        <v>33.7160402358446</v>
      </c>
    </row>
    <row r="475" customFormat="1" spans="1:31">
      <c r="A475" s="18"/>
      <c r="B475" s="19"/>
      <c r="C475" s="20">
        <v>240912000036</v>
      </c>
      <c r="D475" s="21">
        <v>45555</v>
      </c>
      <c r="E475" s="21" t="s">
        <v>62</v>
      </c>
      <c r="F475" s="19" t="s">
        <v>63</v>
      </c>
      <c r="G475" s="19" t="s">
        <v>88</v>
      </c>
      <c r="H475" s="19">
        <v>0.64</v>
      </c>
      <c r="I475" s="41">
        <v>51</v>
      </c>
      <c r="J475" s="53"/>
      <c r="K475" s="43"/>
      <c r="L475" s="19"/>
      <c r="M475" s="43"/>
      <c r="N475" s="44"/>
      <c r="O475" s="45">
        <f t="shared" si="286"/>
        <v>51</v>
      </c>
      <c r="P475" s="51"/>
      <c r="Q475" s="51"/>
      <c r="R475" s="74">
        <f t="shared" si="281"/>
        <v>27.0012915301825</v>
      </c>
      <c r="S475" s="74"/>
      <c r="T475" s="75">
        <f t="shared" si="282"/>
        <v>0.103052877866168</v>
      </c>
      <c r="U475" s="74"/>
      <c r="V475" s="74"/>
      <c r="W475" s="76">
        <f t="shared" si="275"/>
        <v>27.1043444080487</v>
      </c>
      <c r="X475" s="77">
        <f t="shared" si="283"/>
        <v>0.44127955077211</v>
      </c>
      <c r="Y475" s="77"/>
      <c r="Z475" s="77"/>
      <c r="AA475" s="77">
        <f t="shared" si="274"/>
        <v>0.44127955077211</v>
      </c>
      <c r="AB475" s="86">
        <v>7.08</v>
      </c>
      <c r="AC475" s="74">
        <f t="shared" si="276"/>
        <v>3.12425921946654</v>
      </c>
      <c r="AD475" s="74">
        <f t="shared" si="277"/>
        <v>30.2286036275152</v>
      </c>
      <c r="AE475" s="74">
        <f t="shared" si="278"/>
        <v>20.7713963724848</v>
      </c>
    </row>
    <row r="476" customFormat="1" spans="1:31">
      <c r="A476" s="18"/>
      <c r="B476" s="19"/>
      <c r="C476" s="20">
        <v>240912000037</v>
      </c>
      <c r="D476" s="21">
        <v>45555</v>
      </c>
      <c r="E476" s="21" t="s">
        <v>62</v>
      </c>
      <c r="F476" s="19" t="s">
        <v>63</v>
      </c>
      <c r="G476" s="19" t="s">
        <v>88</v>
      </c>
      <c r="H476" s="19">
        <v>5.5</v>
      </c>
      <c r="I476" s="41">
        <v>280.5</v>
      </c>
      <c r="J476" s="53"/>
      <c r="K476" s="43"/>
      <c r="L476" s="19"/>
      <c r="M476" s="43"/>
      <c r="N476" s="44"/>
      <c r="O476" s="45">
        <f t="shared" si="286"/>
        <v>280.5</v>
      </c>
      <c r="P476" s="51"/>
      <c r="Q476" s="51"/>
      <c r="R476" s="74">
        <f t="shared" si="281"/>
        <v>232.042349087506</v>
      </c>
      <c r="S476" s="74"/>
      <c r="T476" s="75">
        <f t="shared" si="282"/>
        <v>0.885610669162377</v>
      </c>
      <c r="U476" s="74"/>
      <c r="V476" s="74"/>
      <c r="W476" s="76">
        <f t="shared" si="275"/>
        <v>232.927959756668</v>
      </c>
      <c r="X476" s="77">
        <f t="shared" si="283"/>
        <v>3.79224613944782</v>
      </c>
      <c r="Y476" s="77"/>
      <c r="Z476" s="77"/>
      <c r="AA476" s="77">
        <f t="shared" si="274"/>
        <v>3.79224613944782</v>
      </c>
      <c r="AB476" s="86">
        <v>7.08</v>
      </c>
      <c r="AC476" s="74">
        <f t="shared" si="276"/>
        <v>26.8491026672906</v>
      </c>
      <c r="AD476" s="74">
        <f t="shared" si="277"/>
        <v>259.777062423959</v>
      </c>
      <c r="AE476" s="74">
        <f t="shared" si="278"/>
        <v>20.7229375760412</v>
      </c>
    </row>
    <row r="477" customFormat="1" spans="1:31">
      <c r="A477" s="18"/>
      <c r="B477" s="19"/>
      <c r="C477" s="20">
        <v>240912000041</v>
      </c>
      <c r="D477" s="21">
        <v>45555</v>
      </c>
      <c r="E477" s="21" t="s">
        <v>246</v>
      </c>
      <c r="F477" s="19" t="s">
        <v>247</v>
      </c>
      <c r="G477" s="19" t="s">
        <v>248</v>
      </c>
      <c r="H477" s="19">
        <v>3.5</v>
      </c>
      <c r="I477" s="41">
        <v>213</v>
      </c>
      <c r="J477" s="53"/>
      <c r="K477" s="43"/>
      <c r="L477" s="19"/>
      <c r="M477" s="43"/>
      <c r="N477" s="44"/>
      <c r="O477" s="45">
        <f t="shared" si="286"/>
        <v>213</v>
      </c>
      <c r="P477" s="51"/>
      <c r="Q477" s="51"/>
      <c r="R477" s="74">
        <f t="shared" si="281"/>
        <v>147.663313055686</v>
      </c>
      <c r="S477" s="74"/>
      <c r="T477" s="75">
        <f t="shared" si="282"/>
        <v>0.563570425830604</v>
      </c>
      <c r="U477" s="74"/>
      <c r="V477" s="74"/>
      <c r="W477" s="76">
        <f t="shared" si="275"/>
        <v>148.226883481516</v>
      </c>
      <c r="X477" s="77">
        <f t="shared" si="283"/>
        <v>2.41324754328498</v>
      </c>
      <c r="Y477" s="77"/>
      <c r="Z477" s="77"/>
      <c r="AA477" s="77">
        <f t="shared" si="274"/>
        <v>2.41324754328498</v>
      </c>
      <c r="AB477" s="86">
        <v>7.08</v>
      </c>
      <c r="AC477" s="74">
        <f t="shared" si="276"/>
        <v>17.0857926064577</v>
      </c>
      <c r="AD477" s="74">
        <f t="shared" si="277"/>
        <v>165.312676087974</v>
      </c>
      <c r="AE477" s="74">
        <f t="shared" si="278"/>
        <v>47.6873239120262</v>
      </c>
    </row>
    <row r="478" customFormat="1" spans="1:31">
      <c r="A478" s="18"/>
      <c r="B478" s="19"/>
      <c r="C478" s="20">
        <v>240912000042</v>
      </c>
      <c r="D478" s="21">
        <v>45555</v>
      </c>
      <c r="E478" s="21" t="s">
        <v>43</v>
      </c>
      <c r="F478" s="19" t="s">
        <v>44</v>
      </c>
      <c r="G478" s="19" t="s">
        <v>170</v>
      </c>
      <c r="H478" s="19">
        <v>6.5</v>
      </c>
      <c r="I478" s="41">
        <v>415</v>
      </c>
      <c r="J478" s="53"/>
      <c r="K478" s="43"/>
      <c r="L478" s="19"/>
      <c r="M478" s="43"/>
      <c r="N478" s="44"/>
      <c r="O478" s="45">
        <f t="shared" si="286"/>
        <v>415</v>
      </c>
      <c r="P478" s="51"/>
      <c r="Q478" s="51"/>
      <c r="R478" s="74">
        <f t="shared" si="281"/>
        <v>274.231867103416</v>
      </c>
      <c r="S478" s="74"/>
      <c r="T478" s="75">
        <f t="shared" si="282"/>
        <v>1.04663079082826</v>
      </c>
      <c r="U478" s="74"/>
      <c r="V478" s="74"/>
      <c r="W478" s="76">
        <f t="shared" si="275"/>
        <v>275.278497894244</v>
      </c>
      <c r="X478" s="77">
        <f t="shared" si="283"/>
        <v>4.48174543752925</v>
      </c>
      <c r="Y478" s="77"/>
      <c r="Z478" s="77"/>
      <c r="AA478" s="77">
        <f t="shared" si="274"/>
        <v>4.48174543752925</v>
      </c>
      <c r="AB478" s="86">
        <v>7.08</v>
      </c>
      <c r="AC478" s="74">
        <f t="shared" si="276"/>
        <v>31.7307576977071</v>
      </c>
      <c r="AD478" s="74">
        <f t="shared" si="277"/>
        <v>307.009255591951</v>
      </c>
      <c r="AE478" s="74">
        <f t="shared" si="278"/>
        <v>107.990744408049</v>
      </c>
    </row>
    <row r="479" customFormat="1" spans="1:31">
      <c r="A479" s="18"/>
      <c r="B479" s="19"/>
      <c r="C479" s="20">
        <v>240912000043</v>
      </c>
      <c r="D479" s="21">
        <v>45555</v>
      </c>
      <c r="E479" s="21" t="s">
        <v>50</v>
      </c>
      <c r="F479" s="19" t="s">
        <v>51</v>
      </c>
      <c r="G479" s="19" t="s">
        <v>373</v>
      </c>
      <c r="H479" s="19">
        <v>143.5</v>
      </c>
      <c r="I479" s="47"/>
      <c r="J479" s="54">
        <v>1968820</v>
      </c>
      <c r="K479" s="43"/>
      <c r="L479" s="49">
        <f>SUM(J479/M479)</f>
        <v>1734.61260594527</v>
      </c>
      <c r="M479" s="50">
        <v>1135.02</v>
      </c>
      <c r="N479" s="44">
        <v>7.08</v>
      </c>
      <c r="O479" s="45">
        <f>SUM(M479*N479)</f>
        <v>8035.9416</v>
      </c>
      <c r="P479" s="51"/>
      <c r="Q479" s="51"/>
      <c r="R479" s="74">
        <f t="shared" si="281"/>
        <v>6054.19583528311</v>
      </c>
      <c r="S479" s="74"/>
      <c r="T479" s="75">
        <f t="shared" si="282"/>
        <v>23.1063874590548</v>
      </c>
      <c r="U479" s="74"/>
      <c r="V479" s="74"/>
      <c r="W479" s="76">
        <f t="shared" si="275"/>
        <v>6077.30222274216</v>
      </c>
      <c r="X479" s="77">
        <f t="shared" si="283"/>
        <v>98.9431492746841</v>
      </c>
      <c r="Y479" s="77"/>
      <c r="Z479" s="77"/>
      <c r="AA479" s="77">
        <f t="shared" si="274"/>
        <v>98.9431492746841</v>
      </c>
      <c r="AB479" s="86">
        <v>7.08</v>
      </c>
      <c r="AC479" s="74">
        <f t="shared" si="276"/>
        <v>700.517496864764</v>
      </c>
      <c r="AD479" s="74">
        <f t="shared" si="277"/>
        <v>6777.81971960692</v>
      </c>
      <c r="AE479" s="74">
        <f t="shared" si="278"/>
        <v>1258.12188039308</v>
      </c>
    </row>
    <row r="480" customFormat="1" spans="1:31">
      <c r="A480" s="18"/>
      <c r="B480" s="19"/>
      <c r="C480" s="20">
        <v>240912000045</v>
      </c>
      <c r="D480" s="21">
        <v>45555</v>
      </c>
      <c r="E480" s="21" t="s">
        <v>46</v>
      </c>
      <c r="F480" s="19" t="s">
        <v>47</v>
      </c>
      <c r="G480" s="19" t="s">
        <v>128</v>
      </c>
      <c r="H480" s="19">
        <v>41</v>
      </c>
      <c r="I480" s="41">
        <v>2553</v>
      </c>
      <c r="J480" s="53"/>
      <c r="K480" s="43"/>
      <c r="L480" s="19"/>
      <c r="M480" s="43"/>
      <c r="N480" s="44"/>
      <c r="O480" s="45">
        <f t="shared" ref="O480:O489" si="287">SUM(I480)</f>
        <v>2553</v>
      </c>
      <c r="P480" s="51"/>
      <c r="Q480" s="51"/>
      <c r="R480" s="74">
        <f t="shared" si="281"/>
        <v>1729.77023865232</v>
      </c>
      <c r="S480" s="74"/>
      <c r="T480" s="75">
        <f t="shared" si="282"/>
        <v>6.60182498830136</v>
      </c>
      <c r="U480" s="74"/>
      <c r="V480" s="74"/>
      <c r="W480" s="76">
        <f t="shared" si="275"/>
        <v>1736.37206364062</v>
      </c>
      <c r="X480" s="77">
        <f t="shared" si="283"/>
        <v>28.2694712213383</v>
      </c>
      <c r="Y480" s="77">
        <v>29.3</v>
      </c>
      <c r="Z480" s="77"/>
      <c r="AA480" s="77">
        <f t="shared" si="274"/>
        <v>57.5694712213383</v>
      </c>
      <c r="AB480" s="86">
        <v>7.08</v>
      </c>
      <c r="AC480" s="74">
        <f t="shared" si="276"/>
        <v>407.591856247075</v>
      </c>
      <c r="AD480" s="74">
        <f t="shared" si="277"/>
        <v>2143.96391988769</v>
      </c>
      <c r="AE480" s="74">
        <f t="shared" si="278"/>
        <v>409.036080112307</v>
      </c>
    </row>
    <row r="481" customFormat="1" spans="1:31">
      <c r="A481" s="18"/>
      <c r="B481" s="19"/>
      <c r="C481" s="20">
        <v>240912000047</v>
      </c>
      <c r="D481" s="21">
        <v>45555</v>
      </c>
      <c r="E481" s="21" t="s">
        <v>43</v>
      </c>
      <c r="F481" s="19" t="s">
        <v>44</v>
      </c>
      <c r="G481" s="19" t="s">
        <v>118</v>
      </c>
      <c r="H481" s="19">
        <v>78</v>
      </c>
      <c r="I481" s="45"/>
      <c r="J481" s="54">
        <v>1105134</v>
      </c>
      <c r="K481" s="43"/>
      <c r="L481" s="49">
        <f>SUM(J481/M481)</f>
        <v>1738.99921321794</v>
      </c>
      <c r="M481" s="50">
        <v>635.5</v>
      </c>
      <c r="N481" s="44">
        <v>7.08</v>
      </c>
      <c r="O481" s="45">
        <f>SUM(M481*N481)</f>
        <v>4499.34</v>
      </c>
      <c r="P481" s="51"/>
      <c r="Q481" s="51"/>
      <c r="R481" s="74">
        <f t="shared" si="281"/>
        <v>3290.78240524099</v>
      </c>
      <c r="S481" s="74"/>
      <c r="T481" s="75">
        <f t="shared" si="282"/>
        <v>12.5595694899392</v>
      </c>
      <c r="U481" s="74"/>
      <c r="V481" s="74"/>
      <c r="W481" s="76">
        <f t="shared" si="275"/>
        <v>3303.34197473093</v>
      </c>
      <c r="X481" s="77">
        <f t="shared" si="283"/>
        <v>53.780945250351</v>
      </c>
      <c r="Y481" s="77"/>
      <c r="Z481" s="77"/>
      <c r="AA481" s="77">
        <f t="shared" si="274"/>
        <v>53.780945250351</v>
      </c>
      <c r="AB481" s="86">
        <v>7.08</v>
      </c>
      <c r="AC481" s="74">
        <f t="shared" si="276"/>
        <v>380.769092372485</v>
      </c>
      <c r="AD481" s="74">
        <f t="shared" si="277"/>
        <v>3684.11106710342</v>
      </c>
      <c r="AE481" s="74">
        <f t="shared" si="278"/>
        <v>815.228932896584</v>
      </c>
    </row>
    <row r="482" customFormat="1" spans="1:31">
      <c r="A482" s="18"/>
      <c r="B482" s="19"/>
      <c r="C482" s="20">
        <v>240912000059</v>
      </c>
      <c r="D482" s="21">
        <v>45555</v>
      </c>
      <c r="E482" s="21" t="s">
        <v>62</v>
      </c>
      <c r="F482" s="19" t="s">
        <v>63</v>
      </c>
      <c r="G482" s="19" t="s">
        <v>374</v>
      </c>
      <c r="H482" s="19">
        <v>0.46</v>
      </c>
      <c r="I482" s="41">
        <v>57</v>
      </c>
      <c r="J482" s="53"/>
      <c r="K482" s="43"/>
      <c r="L482" s="19"/>
      <c r="M482" s="43"/>
      <c r="N482" s="44"/>
      <c r="O482" s="45">
        <f t="shared" si="287"/>
        <v>57</v>
      </c>
      <c r="P482" s="51"/>
      <c r="Q482" s="51"/>
      <c r="R482" s="74">
        <f t="shared" si="281"/>
        <v>19.4071782873187</v>
      </c>
      <c r="S482" s="74"/>
      <c r="T482" s="75">
        <f t="shared" si="282"/>
        <v>0.0740692559663079</v>
      </c>
      <c r="U482" s="74"/>
      <c r="V482" s="74"/>
      <c r="W482" s="76">
        <f t="shared" si="275"/>
        <v>19.481247543285</v>
      </c>
      <c r="X482" s="77">
        <f t="shared" si="283"/>
        <v>0.317169677117454</v>
      </c>
      <c r="Y482" s="77"/>
      <c r="Z482" s="77"/>
      <c r="AA482" s="77">
        <f t="shared" si="274"/>
        <v>0.317169677117454</v>
      </c>
      <c r="AB482" s="86">
        <v>7.08</v>
      </c>
      <c r="AC482" s="74">
        <f t="shared" si="276"/>
        <v>2.24556131399158</v>
      </c>
      <c r="AD482" s="74">
        <f t="shared" si="277"/>
        <v>21.7268088572766</v>
      </c>
      <c r="AE482" s="74">
        <f t="shared" si="278"/>
        <v>35.2731911427234</v>
      </c>
    </row>
    <row r="483" customFormat="1" spans="1:31">
      <c r="A483" s="18"/>
      <c r="B483" s="19"/>
      <c r="C483" s="20">
        <v>240912000063</v>
      </c>
      <c r="D483" s="21">
        <v>45555</v>
      </c>
      <c r="E483" s="21" t="s">
        <v>43</v>
      </c>
      <c r="F483" s="19" t="s">
        <v>44</v>
      </c>
      <c r="G483" s="19" t="s">
        <v>110</v>
      </c>
      <c r="H483" s="19">
        <v>3.5</v>
      </c>
      <c r="I483" s="41">
        <v>238</v>
      </c>
      <c r="J483" s="53"/>
      <c r="K483" s="43"/>
      <c r="L483" s="19"/>
      <c r="M483" s="43"/>
      <c r="N483" s="44"/>
      <c r="O483" s="45">
        <f t="shared" si="287"/>
        <v>238</v>
      </c>
      <c r="P483" s="51"/>
      <c r="Q483" s="51"/>
      <c r="R483" s="74">
        <f t="shared" si="281"/>
        <v>147.663313055686</v>
      </c>
      <c r="S483" s="74"/>
      <c r="T483" s="75">
        <f t="shared" si="282"/>
        <v>0.563570425830604</v>
      </c>
      <c r="U483" s="74"/>
      <c r="V483" s="74"/>
      <c r="W483" s="76">
        <f t="shared" si="275"/>
        <v>148.226883481516</v>
      </c>
      <c r="X483" s="77">
        <f t="shared" si="283"/>
        <v>2.41324754328498</v>
      </c>
      <c r="Y483" s="77"/>
      <c r="Z483" s="77"/>
      <c r="AA483" s="77">
        <f t="shared" si="274"/>
        <v>2.41324754328498</v>
      </c>
      <c r="AB483" s="86">
        <v>7.08</v>
      </c>
      <c r="AC483" s="74">
        <f t="shared" si="276"/>
        <v>17.0857926064577</v>
      </c>
      <c r="AD483" s="74">
        <f t="shared" si="277"/>
        <v>165.312676087974</v>
      </c>
      <c r="AE483" s="74">
        <f t="shared" si="278"/>
        <v>72.6873239120262</v>
      </c>
    </row>
    <row r="484" customFormat="1" spans="1:31">
      <c r="A484" s="18"/>
      <c r="B484" s="19"/>
      <c r="C484" s="20">
        <v>240913000003</v>
      </c>
      <c r="D484" s="21">
        <v>45555</v>
      </c>
      <c r="E484" s="21" t="s">
        <v>43</v>
      </c>
      <c r="F484" s="19" t="s">
        <v>44</v>
      </c>
      <c r="G484" s="19" t="s">
        <v>110</v>
      </c>
      <c r="H484" s="19">
        <v>1.5</v>
      </c>
      <c r="I484" s="41">
        <v>102</v>
      </c>
      <c r="J484" s="53"/>
      <c r="K484" s="43"/>
      <c r="L484" s="19"/>
      <c r="M484" s="43"/>
      <c r="N484" s="44"/>
      <c r="O484" s="45">
        <f t="shared" si="287"/>
        <v>102</v>
      </c>
      <c r="P484" s="51"/>
      <c r="Q484" s="51"/>
      <c r="R484" s="74">
        <f t="shared" si="281"/>
        <v>63.2842770238652</v>
      </c>
      <c r="S484" s="74"/>
      <c r="T484" s="75">
        <f t="shared" si="282"/>
        <v>0.24153018249883</v>
      </c>
      <c r="U484" s="74"/>
      <c r="V484" s="74"/>
      <c r="W484" s="76">
        <f t="shared" si="275"/>
        <v>63.5258072063641</v>
      </c>
      <c r="X484" s="77">
        <f t="shared" si="283"/>
        <v>1.03424894712213</v>
      </c>
      <c r="Y484" s="77"/>
      <c r="Z484" s="77"/>
      <c r="AA484" s="77">
        <f t="shared" si="274"/>
        <v>1.03424894712213</v>
      </c>
      <c r="AB484" s="86">
        <v>7.08</v>
      </c>
      <c r="AC484" s="74">
        <f t="shared" si="276"/>
        <v>7.32248254562471</v>
      </c>
      <c r="AD484" s="74">
        <f t="shared" si="277"/>
        <v>70.8482897519888</v>
      </c>
      <c r="AE484" s="74">
        <f t="shared" si="278"/>
        <v>31.1517102480112</v>
      </c>
    </row>
    <row r="485" customFormat="1" spans="1:31">
      <c r="A485" s="18"/>
      <c r="B485" s="19"/>
      <c r="C485" s="20">
        <v>240913000004</v>
      </c>
      <c r="D485" s="21">
        <v>45555</v>
      </c>
      <c r="E485" s="21" t="s">
        <v>43</v>
      </c>
      <c r="F485" s="19" t="s">
        <v>44</v>
      </c>
      <c r="G485" s="19" t="s">
        <v>110</v>
      </c>
      <c r="H485" s="19">
        <v>4.5</v>
      </c>
      <c r="I485" s="41">
        <v>306</v>
      </c>
      <c r="J485" s="53"/>
      <c r="K485" s="43"/>
      <c r="L485" s="19"/>
      <c r="M485" s="43"/>
      <c r="N485" s="44"/>
      <c r="O485" s="45">
        <f t="shared" si="287"/>
        <v>306</v>
      </c>
      <c r="P485" s="51"/>
      <c r="Q485" s="51"/>
      <c r="R485" s="74">
        <f t="shared" si="281"/>
        <v>189.852831071596</v>
      </c>
      <c r="S485" s="74"/>
      <c r="T485" s="75">
        <f t="shared" si="282"/>
        <v>0.724590547496491</v>
      </c>
      <c r="U485" s="74"/>
      <c r="V485" s="74"/>
      <c r="W485" s="76">
        <f t="shared" si="275"/>
        <v>190.577421619092</v>
      </c>
      <c r="X485" s="77">
        <f t="shared" si="283"/>
        <v>3.1027468413664</v>
      </c>
      <c r="Y485" s="77"/>
      <c r="Z485" s="77"/>
      <c r="AA485" s="77">
        <f t="shared" ref="AA485:AA513" si="288">SUM(X485:Z485)</f>
        <v>3.1027468413664</v>
      </c>
      <c r="AB485" s="86">
        <v>7.08</v>
      </c>
      <c r="AC485" s="74">
        <f t="shared" si="276"/>
        <v>21.9674476368741</v>
      </c>
      <c r="AD485" s="74">
        <f t="shared" si="277"/>
        <v>212.544869255966</v>
      </c>
      <c r="AE485" s="74">
        <f t="shared" si="278"/>
        <v>93.4551307440337</v>
      </c>
    </row>
    <row r="486" customFormat="1" spans="1:31">
      <c r="A486" s="18"/>
      <c r="B486" s="19"/>
      <c r="C486" s="20">
        <v>240913000005</v>
      </c>
      <c r="D486" s="21">
        <v>45555</v>
      </c>
      <c r="E486" s="21" t="s">
        <v>43</v>
      </c>
      <c r="F486" s="19" t="s">
        <v>44</v>
      </c>
      <c r="G486" s="19" t="s">
        <v>375</v>
      </c>
      <c r="H486" s="19">
        <v>9</v>
      </c>
      <c r="I486" s="41">
        <v>519</v>
      </c>
      <c r="J486" s="53"/>
      <c r="K486" s="43"/>
      <c r="L486" s="19"/>
      <c r="M486" s="43"/>
      <c r="N486" s="44"/>
      <c r="O486" s="45">
        <f t="shared" si="287"/>
        <v>519</v>
      </c>
      <c r="P486" s="51"/>
      <c r="Q486" s="51"/>
      <c r="R486" s="74">
        <f t="shared" si="281"/>
        <v>379.705662143191</v>
      </c>
      <c r="S486" s="74"/>
      <c r="T486" s="75">
        <f t="shared" si="282"/>
        <v>1.44918109499298</v>
      </c>
      <c r="U486" s="74"/>
      <c r="V486" s="74"/>
      <c r="W486" s="76">
        <f t="shared" si="275"/>
        <v>381.154843238184</v>
      </c>
      <c r="X486" s="77">
        <f t="shared" si="283"/>
        <v>6.2054936827328</v>
      </c>
      <c r="Y486" s="77"/>
      <c r="Z486" s="77"/>
      <c r="AA486" s="77">
        <f t="shared" si="288"/>
        <v>6.2054936827328</v>
      </c>
      <c r="AB486" s="86">
        <v>7.08</v>
      </c>
      <c r="AC486" s="74">
        <f t="shared" si="276"/>
        <v>43.9348952737482</v>
      </c>
      <c r="AD486" s="74">
        <f t="shared" si="277"/>
        <v>425.089738511933</v>
      </c>
      <c r="AE486" s="74">
        <f t="shared" si="278"/>
        <v>93.9102614880674</v>
      </c>
    </row>
    <row r="487" customFormat="1" spans="1:31">
      <c r="A487" s="18"/>
      <c r="B487" s="19"/>
      <c r="C487" s="20">
        <v>240913000006</v>
      </c>
      <c r="D487" s="21">
        <v>45555</v>
      </c>
      <c r="E487" s="21" t="s">
        <v>50</v>
      </c>
      <c r="F487" s="19" t="s">
        <v>51</v>
      </c>
      <c r="G487" s="19" t="s">
        <v>114</v>
      </c>
      <c r="H487" s="19">
        <v>65.5</v>
      </c>
      <c r="I487" s="41">
        <v>3209.5</v>
      </c>
      <c r="J487" s="53"/>
      <c r="K487" s="43"/>
      <c r="L487" s="19"/>
      <c r="M487" s="43"/>
      <c r="N487" s="44"/>
      <c r="O487" s="45">
        <f t="shared" si="287"/>
        <v>3209.5</v>
      </c>
      <c r="P487" s="51"/>
      <c r="Q487" s="51"/>
      <c r="R487" s="74">
        <f t="shared" si="281"/>
        <v>2763.41343004212</v>
      </c>
      <c r="S487" s="74"/>
      <c r="T487" s="75">
        <f t="shared" si="282"/>
        <v>10.5468179691156</v>
      </c>
      <c r="U487" s="74"/>
      <c r="V487" s="74"/>
      <c r="W487" s="76">
        <f t="shared" ref="W487:W513" si="289">SUM(R487:V487)</f>
        <v>2773.96024801123</v>
      </c>
      <c r="X487" s="77">
        <f t="shared" si="283"/>
        <v>45.1622040243332</v>
      </c>
      <c r="Y487" s="77"/>
      <c r="Z487" s="77"/>
      <c r="AA487" s="77">
        <f t="shared" si="288"/>
        <v>45.1622040243332</v>
      </c>
      <c r="AB487" s="86">
        <v>7.08</v>
      </c>
      <c r="AC487" s="74">
        <f t="shared" ref="AC487:AC513" si="290">SUM(AA487*AB487)</f>
        <v>319.748404492279</v>
      </c>
      <c r="AD487" s="74">
        <f t="shared" ref="AD487:AD513" si="291">SUM(W487+AC487)</f>
        <v>3093.70865250351</v>
      </c>
      <c r="AE487" s="74">
        <f t="shared" si="278"/>
        <v>115.79134749649</v>
      </c>
    </row>
    <row r="488" customFormat="1" spans="1:31">
      <c r="A488" s="18"/>
      <c r="B488" s="19"/>
      <c r="C488" s="20">
        <v>240913000009</v>
      </c>
      <c r="D488" s="21">
        <v>45555</v>
      </c>
      <c r="E488" s="21" t="s">
        <v>50</v>
      </c>
      <c r="F488" s="19" t="s">
        <v>51</v>
      </c>
      <c r="G488" s="19" t="s">
        <v>376</v>
      </c>
      <c r="H488" s="19">
        <v>296.5</v>
      </c>
      <c r="I488" s="41">
        <v>15121.5</v>
      </c>
      <c r="J488" s="53"/>
      <c r="K488" s="43"/>
      <c r="L488" s="19"/>
      <c r="M488" s="43"/>
      <c r="N488" s="44"/>
      <c r="O488" s="45">
        <f t="shared" si="287"/>
        <v>15121.5</v>
      </c>
      <c r="P488" s="51"/>
      <c r="Q488" s="51"/>
      <c r="R488" s="74">
        <f t="shared" si="281"/>
        <v>12509.1920917174</v>
      </c>
      <c r="S488" s="74"/>
      <c r="T488" s="75">
        <f t="shared" si="282"/>
        <v>47.7424660739354</v>
      </c>
      <c r="U488" s="74"/>
      <c r="V488" s="74"/>
      <c r="W488" s="76">
        <f t="shared" si="289"/>
        <v>12556.9345577913</v>
      </c>
      <c r="X488" s="77">
        <f t="shared" si="283"/>
        <v>204.436541881142</v>
      </c>
      <c r="Y488" s="77"/>
      <c r="Z488" s="77"/>
      <c r="AA488" s="77">
        <f t="shared" si="288"/>
        <v>204.436541881142</v>
      </c>
      <c r="AB488" s="86">
        <v>7.08</v>
      </c>
      <c r="AC488" s="74">
        <f t="shared" si="290"/>
        <v>1447.41071651848</v>
      </c>
      <c r="AD488" s="74">
        <f t="shared" si="291"/>
        <v>14004.3452743098</v>
      </c>
      <c r="AE488" s="74">
        <f t="shared" ref="AE488:AE513" si="292">SUM(O488-AD488)</f>
        <v>1117.15472569022</v>
      </c>
    </row>
    <row r="489" customFormat="1" spans="1:31">
      <c r="A489" s="18"/>
      <c r="B489" s="19"/>
      <c r="C489" s="22">
        <v>240913000012</v>
      </c>
      <c r="D489" s="23">
        <v>45555</v>
      </c>
      <c r="E489" s="21" t="s">
        <v>43</v>
      </c>
      <c r="F489" s="24" t="s">
        <v>44</v>
      </c>
      <c r="G489" s="24" t="s">
        <v>377</v>
      </c>
      <c r="H489" s="24">
        <v>105</v>
      </c>
      <c r="I489" s="41">
        <v>5905</v>
      </c>
      <c r="J489" s="53"/>
      <c r="K489" s="43"/>
      <c r="L489" s="19"/>
      <c r="M489" s="43"/>
      <c r="N489" s="44"/>
      <c r="O489" s="45">
        <f t="shared" si="287"/>
        <v>5905</v>
      </c>
      <c r="P489" s="51"/>
      <c r="Q489" s="51"/>
      <c r="R489" s="74">
        <f t="shared" ref="R489:R513" si="293">SUM(90159/2137)*H489</f>
        <v>4429.89939167057</v>
      </c>
      <c r="S489" s="74"/>
      <c r="T489" s="75">
        <f t="shared" ref="T489:T513" si="294">SUM(344.1/2137)*H489</f>
        <v>16.9071127749181</v>
      </c>
      <c r="U489" s="74">
        <v>40</v>
      </c>
      <c r="V489" s="74"/>
      <c r="W489" s="76">
        <f t="shared" si="289"/>
        <v>4486.80650444548</v>
      </c>
      <c r="X489" s="77">
        <f t="shared" ref="X489:X513" si="295">SUM(1473.46/2137)*H489</f>
        <v>72.3974262985494</v>
      </c>
      <c r="Y489" s="77"/>
      <c r="Z489" s="77"/>
      <c r="AA489" s="77">
        <f t="shared" si="288"/>
        <v>72.3974262985494</v>
      </c>
      <c r="AB489" s="86">
        <v>7.08</v>
      </c>
      <c r="AC489" s="74">
        <f t="shared" si="290"/>
        <v>512.573778193729</v>
      </c>
      <c r="AD489" s="74">
        <f t="shared" si="291"/>
        <v>4999.38028263921</v>
      </c>
      <c r="AE489" s="74">
        <f t="shared" si="292"/>
        <v>905.619717360786</v>
      </c>
    </row>
    <row r="490" customFormat="1" spans="1:31">
      <c r="A490" s="18"/>
      <c r="B490" s="19"/>
      <c r="C490" s="20">
        <v>240913000013</v>
      </c>
      <c r="D490" s="21">
        <v>45555</v>
      </c>
      <c r="E490" s="21" t="s">
        <v>50</v>
      </c>
      <c r="F490" s="19" t="s">
        <v>51</v>
      </c>
      <c r="G490" s="19" t="s">
        <v>378</v>
      </c>
      <c r="H490" s="19">
        <v>10.5</v>
      </c>
      <c r="I490" s="47"/>
      <c r="J490" s="54">
        <v>163537</v>
      </c>
      <c r="K490" s="43"/>
      <c r="L490" s="49">
        <f t="shared" ref="L490:L494" si="296">SUM(J490/M490)</f>
        <v>1734.77246207701</v>
      </c>
      <c r="M490" s="50">
        <v>94.27</v>
      </c>
      <c r="N490" s="44">
        <v>7.08</v>
      </c>
      <c r="O490" s="45">
        <f t="shared" ref="O490:O494" si="297">SUM(M490*N490)</f>
        <v>667.4316</v>
      </c>
      <c r="P490" s="51"/>
      <c r="Q490" s="51"/>
      <c r="R490" s="74">
        <f t="shared" si="293"/>
        <v>442.989939167057</v>
      </c>
      <c r="S490" s="74"/>
      <c r="T490" s="75">
        <f t="shared" si="294"/>
        <v>1.69071127749181</v>
      </c>
      <c r="U490" s="74"/>
      <c r="V490" s="74"/>
      <c r="W490" s="76">
        <f t="shared" si="289"/>
        <v>444.680650444548</v>
      </c>
      <c r="X490" s="77">
        <f t="shared" si="295"/>
        <v>7.23974262985494</v>
      </c>
      <c r="Y490" s="77"/>
      <c r="Z490" s="77"/>
      <c r="AA490" s="77">
        <f t="shared" si="288"/>
        <v>7.23974262985494</v>
      </c>
      <c r="AB490" s="86">
        <v>7.08</v>
      </c>
      <c r="AC490" s="74">
        <f t="shared" si="290"/>
        <v>51.257377819373</v>
      </c>
      <c r="AD490" s="74">
        <f t="shared" si="291"/>
        <v>495.938028263921</v>
      </c>
      <c r="AE490" s="74">
        <f t="shared" si="292"/>
        <v>171.493571736079</v>
      </c>
    </row>
    <row r="491" customFormat="1" spans="1:31">
      <c r="A491" s="18"/>
      <c r="B491" s="19"/>
      <c r="C491" s="20">
        <v>240913000015</v>
      </c>
      <c r="D491" s="21">
        <v>45555</v>
      </c>
      <c r="E491" s="21" t="s">
        <v>50</v>
      </c>
      <c r="F491" s="19" t="s">
        <v>51</v>
      </c>
      <c r="G491" s="19" t="s">
        <v>206</v>
      </c>
      <c r="H491" s="19">
        <v>0.37</v>
      </c>
      <c r="I491" s="47">
        <v>69</v>
      </c>
      <c r="J491" s="53"/>
      <c r="K491" s="43"/>
      <c r="L491" s="19"/>
      <c r="M491" s="43"/>
      <c r="N491" s="44"/>
      <c r="O491" s="45">
        <f t="shared" ref="O491:O496" si="298">SUM(I491)</f>
        <v>69</v>
      </c>
      <c r="P491" s="51"/>
      <c r="Q491" s="51"/>
      <c r="R491" s="74">
        <f t="shared" si="293"/>
        <v>15.6101216658868</v>
      </c>
      <c r="S491" s="74"/>
      <c r="T491" s="75">
        <f t="shared" si="294"/>
        <v>0.0595774450163781</v>
      </c>
      <c r="U491" s="74"/>
      <c r="V491" s="74"/>
      <c r="W491" s="76">
        <f t="shared" si="289"/>
        <v>15.6696991109031</v>
      </c>
      <c r="X491" s="77">
        <f t="shared" si="295"/>
        <v>0.255114740290126</v>
      </c>
      <c r="Y491" s="77"/>
      <c r="Z491" s="77"/>
      <c r="AA491" s="77">
        <f t="shared" si="288"/>
        <v>0.255114740290126</v>
      </c>
      <c r="AB491" s="86">
        <v>7.08</v>
      </c>
      <c r="AC491" s="74">
        <f t="shared" si="290"/>
        <v>1.80621236125409</v>
      </c>
      <c r="AD491" s="74">
        <f t="shared" si="291"/>
        <v>17.4759114721572</v>
      </c>
      <c r="AE491" s="74">
        <f t="shared" si="292"/>
        <v>51.5240885278428</v>
      </c>
    </row>
    <row r="492" customFormat="1" spans="1:31">
      <c r="A492" s="18"/>
      <c r="B492" s="19"/>
      <c r="C492" s="20">
        <v>240913000021</v>
      </c>
      <c r="D492" s="21">
        <v>45555</v>
      </c>
      <c r="E492" s="21" t="s">
        <v>50</v>
      </c>
      <c r="F492" s="19" t="s">
        <v>51</v>
      </c>
      <c r="G492" s="19" t="s">
        <v>379</v>
      </c>
      <c r="H492" s="19">
        <v>11</v>
      </c>
      <c r="I492" s="47"/>
      <c r="J492" s="54">
        <v>171255</v>
      </c>
      <c r="K492" s="43"/>
      <c r="L492" s="49">
        <f t="shared" si="296"/>
        <v>1734.75486223663</v>
      </c>
      <c r="M492" s="50">
        <v>98.72</v>
      </c>
      <c r="N492" s="44">
        <v>7.08</v>
      </c>
      <c r="O492" s="45">
        <f t="shared" si="297"/>
        <v>698.9376</v>
      </c>
      <c r="P492" s="51"/>
      <c r="Q492" s="51"/>
      <c r="R492" s="74">
        <f t="shared" si="293"/>
        <v>464.084698175012</v>
      </c>
      <c r="S492" s="74"/>
      <c r="T492" s="75">
        <f t="shared" si="294"/>
        <v>1.77122133832475</v>
      </c>
      <c r="U492" s="74"/>
      <c r="V492" s="74"/>
      <c r="W492" s="76">
        <f t="shared" si="289"/>
        <v>465.855919513336</v>
      </c>
      <c r="X492" s="77">
        <f t="shared" si="295"/>
        <v>7.58449227889565</v>
      </c>
      <c r="Y492" s="77"/>
      <c r="Z492" s="77"/>
      <c r="AA492" s="77">
        <f t="shared" si="288"/>
        <v>7.58449227889565</v>
      </c>
      <c r="AB492" s="86">
        <v>7.08</v>
      </c>
      <c r="AC492" s="74">
        <f t="shared" si="290"/>
        <v>53.6982053345812</v>
      </c>
      <c r="AD492" s="74">
        <f t="shared" si="291"/>
        <v>519.554124847918</v>
      </c>
      <c r="AE492" s="74">
        <f t="shared" si="292"/>
        <v>179.383475152082</v>
      </c>
    </row>
    <row r="493" customFormat="1" spans="1:31">
      <c r="A493" s="18"/>
      <c r="B493" s="19"/>
      <c r="C493" s="20">
        <v>240913000022</v>
      </c>
      <c r="D493" s="21">
        <v>45555</v>
      </c>
      <c r="E493" s="21" t="s">
        <v>46</v>
      </c>
      <c r="F493" s="19" t="s">
        <v>47</v>
      </c>
      <c r="G493" s="19" t="s">
        <v>175</v>
      </c>
      <c r="H493" s="19">
        <v>2</v>
      </c>
      <c r="I493" s="41">
        <v>123</v>
      </c>
      <c r="J493" s="53"/>
      <c r="K493" s="43"/>
      <c r="L493" s="19"/>
      <c r="M493" s="43"/>
      <c r="N493" s="44"/>
      <c r="O493" s="45">
        <f t="shared" si="298"/>
        <v>123</v>
      </c>
      <c r="P493" s="51"/>
      <c r="Q493" s="51"/>
      <c r="R493" s="74">
        <f t="shared" si="293"/>
        <v>84.3790360318203</v>
      </c>
      <c r="S493" s="74"/>
      <c r="T493" s="75">
        <f t="shared" si="294"/>
        <v>0.322040243331774</v>
      </c>
      <c r="U493" s="74"/>
      <c r="V493" s="74"/>
      <c r="W493" s="76">
        <f t="shared" si="289"/>
        <v>84.7010762751521</v>
      </c>
      <c r="X493" s="77">
        <f t="shared" si="295"/>
        <v>1.37899859616285</v>
      </c>
      <c r="Y493" s="77"/>
      <c r="Z493" s="77"/>
      <c r="AA493" s="77">
        <f t="shared" si="288"/>
        <v>1.37899859616285</v>
      </c>
      <c r="AB493" s="86">
        <v>7.08</v>
      </c>
      <c r="AC493" s="74">
        <f t="shared" si="290"/>
        <v>9.76331006083294</v>
      </c>
      <c r="AD493" s="74">
        <f t="shared" si="291"/>
        <v>94.464386335985</v>
      </c>
      <c r="AE493" s="74">
        <f t="shared" si="292"/>
        <v>28.535613664015</v>
      </c>
    </row>
    <row r="494" customFormat="1" spans="1:31">
      <c r="A494" s="18"/>
      <c r="B494" s="19"/>
      <c r="C494" s="20">
        <v>240913000027</v>
      </c>
      <c r="D494" s="21">
        <v>45555</v>
      </c>
      <c r="E494" s="21" t="s">
        <v>62</v>
      </c>
      <c r="F494" s="19" t="s">
        <v>63</v>
      </c>
      <c r="G494" s="19" t="s">
        <v>380</v>
      </c>
      <c r="H494" s="19">
        <v>7</v>
      </c>
      <c r="I494" s="47"/>
      <c r="J494" s="54">
        <v>99300</v>
      </c>
      <c r="K494" s="43"/>
      <c r="L494" s="49">
        <f t="shared" si="296"/>
        <v>1736.01398601399</v>
      </c>
      <c r="M494" s="50">
        <v>57.2</v>
      </c>
      <c r="N494" s="44">
        <v>7.08</v>
      </c>
      <c r="O494" s="45">
        <f t="shared" si="297"/>
        <v>404.976</v>
      </c>
      <c r="P494" s="51"/>
      <c r="Q494" s="51"/>
      <c r="R494" s="74">
        <f t="shared" si="293"/>
        <v>295.326626111371</v>
      </c>
      <c r="S494" s="74"/>
      <c r="T494" s="75">
        <f t="shared" si="294"/>
        <v>1.12714085166121</v>
      </c>
      <c r="U494" s="74"/>
      <c r="V494" s="74"/>
      <c r="W494" s="76">
        <f t="shared" si="289"/>
        <v>296.453766963032</v>
      </c>
      <c r="X494" s="77">
        <f t="shared" si="295"/>
        <v>4.82649508656996</v>
      </c>
      <c r="Y494" s="77"/>
      <c r="Z494" s="77"/>
      <c r="AA494" s="77">
        <f t="shared" si="288"/>
        <v>4.82649508656996</v>
      </c>
      <c r="AB494" s="86">
        <v>7.08</v>
      </c>
      <c r="AC494" s="74">
        <f t="shared" si="290"/>
        <v>34.1715852129153</v>
      </c>
      <c r="AD494" s="74">
        <f t="shared" si="291"/>
        <v>330.625352175948</v>
      </c>
      <c r="AE494" s="74">
        <f t="shared" si="292"/>
        <v>74.3506478240524</v>
      </c>
    </row>
    <row r="495" customFormat="1" spans="1:31">
      <c r="A495" s="18"/>
      <c r="B495" s="19"/>
      <c r="C495" s="20">
        <v>240913000034</v>
      </c>
      <c r="D495" s="21">
        <v>45555</v>
      </c>
      <c r="E495" s="21" t="s">
        <v>62</v>
      </c>
      <c r="F495" s="19" t="s">
        <v>63</v>
      </c>
      <c r="G495" s="19" t="s">
        <v>88</v>
      </c>
      <c r="H495" s="19">
        <v>71</v>
      </c>
      <c r="I495" s="41">
        <v>3971</v>
      </c>
      <c r="J495" s="53"/>
      <c r="K495" s="43"/>
      <c r="L495" s="19"/>
      <c r="M495" s="43"/>
      <c r="N495" s="44"/>
      <c r="O495" s="45">
        <f t="shared" si="298"/>
        <v>3971</v>
      </c>
      <c r="P495" s="51"/>
      <c r="Q495" s="51"/>
      <c r="R495" s="74">
        <f t="shared" si="293"/>
        <v>2995.45577912962</v>
      </c>
      <c r="S495" s="74"/>
      <c r="T495" s="75">
        <f t="shared" si="294"/>
        <v>11.432428638278</v>
      </c>
      <c r="U495" s="74"/>
      <c r="V495" s="74"/>
      <c r="W495" s="76">
        <f t="shared" si="289"/>
        <v>3006.8882077679</v>
      </c>
      <c r="X495" s="77">
        <f t="shared" si="295"/>
        <v>48.954450163781</v>
      </c>
      <c r="Y495" s="77"/>
      <c r="Z495" s="77"/>
      <c r="AA495" s="77">
        <f t="shared" si="288"/>
        <v>48.954450163781</v>
      </c>
      <c r="AB495" s="86">
        <v>7.08</v>
      </c>
      <c r="AC495" s="74">
        <f t="shared" si="290"/>
        <v>346.597507159569</v>
      </c>
      <c r="AD495" s="74">
        <f t="shared" si="291"/>
        <v>3353.48571492747</v>
      </c>
      <c r="AE495" s="74">
        <f t="shared" si="292"/>
        <v>617.514285072531</v>
      </c>
    </row>
    <row r="496" customFormat="1" spans="1:31">
      <c r="A496" s="18"/>
      <c r="B496" s="19"/>
      <c r="C496" s="20">
        <v>240913000039</v>
      </c>
      <c r="D496" s="21">
        <v>45555</v>
      </c>
      <c r="E496" s="21" t="s">
        <v>43</v>
      </c>
      <c r="F496" s="19" t="s">
        <v>44</v>
      </c>
      <c r="G496" s="19" t="s">
        <v>110</v>
      </c>
      <c r="H496" s="19">
        <v>37</v>
      </c>
      <c r="I496" s="41">
        <v>2117.88</v>
      </c>
      <c r="J496" s="53"/>
      <c r="K496" s="43"/>
      <c r="L496" s="19"/>
      <c r="M496" s="43"/>
      <c r="N496" s="44"/>
      <c r="O496" s="45">
        <f t="shared" si="298"/>
        <v>2117.88</v>
      </c>
      <c r="P496" s="51"/>
      <c r="Q496" s="51"/>
      <c r="R496" s="74">
        <f t="shared" si="293"/>
        <v>1561.01216658868</v>
      </c>
      <c r="S496" s="74"/>
      <c r="T496" s="75">
        <f t="shared" si="294"/>
        <v>5.95774450163781</v>
      </c>
      <c r="U496" s="74"/>
      <c r="V496" s="74"/>
      <c r="W496" s="76">
        <f t="shared" si="289"/>
        <v>1566.96991109031</v>
      </c>
      <c r="X496" s="77">
        <f t="shared" si="295"/>
        <v>25.5114740290126</v>
      </c>
      <c r="Y496" s="77"/>
      <c r="Z496" s="77"/>
      <c r="AA496" s="77">
        <f t="shared" si="288"/>
        <v>25.5114740290126</v>
      </c>
      <c r="AB496" s="86">
        <v>7.08</v>
      </c>
      <c r="AC496" s="74">
        <f t="shared" si="290"/>
        <v>180.621236125409</v>
      </c>
      <c r="AD496" s="74">
        <f t="shared" si="291"/>
        <v>1747.59114721572</v>
      </c>
      <c r="AE496" s="74">
        <f t="shared" si="292"/>
        <v>370.288852784277</v>
      </c>
    </row>
    <row r="497" customFormat="1" spans="1:31">
      <c r="A497" s="18"/>
      <c r="B497" s="19"/>
      <c r="C497" s="20">
        <v>240913000040</v>
      </c>
      <c r="D497" s="21">
        <v>45555</v>
      </c>
      <c r="E497" s="21" t="s">
        <v>50</v>
      </c>
      <c r="F497" s="19" t="s">
        <v>51</v>
      </c>
      <c r="G497" s="19" t="s">
        <v>373</v>
      </c>
      <c r="H497" s="19">
        <v>63.5</v>
      </c>
      <c r="I497" s="47"/>
      <c r="J497" s="54">
        <v>1165220</v>
      </c>
      <c r="K497" s="43"/>
      <c r="L497" s="49">
        <f>SUM(J497/M497)</f>
        <v>1734.60364719018</v>
      </c>
      <c r="M497" s="50">
        <v>671.75</v>
      </c>
      <c r="N497" s="44">
        <v>7.08</v>
      </c>
      <c r="O497" s="45">
        <f>SUM(M497*N497)</f>
        <v>4755.99</v>
      </c>
      <c r="P497" s="51"/>
      <c r="Q497" s="51"/>
      <c r="R497" s="74">
        <f t="shared" si="293"/>
        <v>2679.03439401029</v>
      </c>
      <c r="S497" s="74"/>
      <c r="T497" s="75">
        <f t="shared" si="294"/>
        <v>10.2247777257838</v>
      </c>
      <c r="U497" s="74"/>
      <c r="V497" s="74"/>
      <c r="W497" s="76">
        <f t="shared" si="289"/>
        <v>2689.25917173608</v>
      </c>
      <c r="X497" s="77">
        <f t="shared" si="295"/>
        <v>43.7832054281703</v>
      </c>
      <c r="Y497" s="77"/>
      <c r="Z497" s="77"/>
      <c r="AA497" s="77">
        <f t="shared" si="288"/>
        <v>43.7832054281703</v>
      </c>
      <c r="AB497" s="86">
        <v>7.08</v>
      </c>
      <c r="AC497" s="74">
        <f t="shared" si="290"/>
        <v>309.985094431446</v>
      </c>
      <c r="AD497" s="74">
        <f t="shared" si="291"/>
        <v>2999.24426616752</v>
      </c>
      <c r="AE497" s="74">
        <f t="shared" si="292"/>
        <v>1756.74573383248</v>
      </c>
    </row>
    <row r="498" customFormat="1" spans="1:31">
      <c r="A498" s="18"/>
      <c r="B498" s="19"/>
      <c r="C498" s="20">
        <v>240913000045</v>
      </c>
      <c r="D498" s="21">
        <v>45555</v>
      </c>
      <c r="E498" s="21" t="s">
        <v>62</v>
      </c>
      <c r="F498" s="19" t="s">
        <v>63</v>
      </c>
      <c r="G498" s="19" t="s">
        <v>127</v>
      </c>
      <c r="H498" s="19">
        <v>0.1</v>
      </c>
      <c r="I498" s="41">
        <v>295</v>
      </c>
      <c r="J498" s="53"/>
      <c r="K498" s="43"/>
      <c r="L498" s="19"/>
      <c r="M498" s="43"/>
      <c r="N498" s="44"/>
      <c r="O498" s="45">
        <f t="shared" ref="O498:O502" si="299">SUM(I498)</f>
        <v>295</v>
      </c>
      <c r="P498" s="51"/>
      <c r="Q498" s="51"/>
      <c r="R498" s="74">
        <f t="shared" si="293"/>
        <v>4.21895180159102</v>
      </c>
      <c r="S498" s="74"/>
      <c r="T498" s="75">
        <f t="shared" si="294"/>
        <v>0.0161020121665887</v>
      </c>
      <c r="U498" s="74"/>
      <c r="V498" s="74"/>
      <c r="W498" s="76">
        <f t="shared" si="289"/>
        <v>4.2350538137576</v>
      </c>
      <c r="X498" s="77">
        <f t="shared" si="295"/>
        <v>0.0689499298081423</v>
      </c>
      <c r="Y498" s="77">
        <v>33.89</v>
      </c>
      <c r="Z498" s="77"/>
      <c r="AA498" s="77">
        <f t="shared" si="288"/>
        <v>33.9589499298081</v>
      </c>
      <c r="AB498" s="86">
        <v>7.08</v>
      </c>
      <c r="AC498" s="74">
        <f t="shared" si="290"/>
        <v>240.429365503042</v>
      </c>
      <c r="AD498" s="74">
        <f t="shared" si="291"/>
        <v>244.664419316799</v>
      </c>
      <c r="AE498" s="74">
        <f t="shared" si="292"/>
        <v>50.3355806832007</v>
      </c>
    </row>
    <row r="499" customFormat="1" spans="1:31">
      <c r="A499" s="18"/>
      <c r="B499" s="19"/>
      <c r="C499" s="20">
        <v>240914000004</v>
      </c>
      <c r="D499" s="21">
        <v>45555</v>
      </c>
      <c r="E499" s="21" t="s">
        <v>62</v>
      </c>
      <c r="F499" s="19" t="s">
        <v>103</v>
      </c>
      <c r="G499" s="19" t="s">
        <v>104</v>
      </c>
      <c r="H499" s="19">
        <v>4</v>
      </c>
      <c r="I499" s="41">
        <v>267</v>
      </c>
      <c r="J499" s="53"/>
      <c r="K499" s="43"/>
      <c r="L499" s="19"/>
      <c r="M499" s="43"/>
      <c r="N499" s="44"/>
      <c r="O499" s="45">
        <f t="shared" si="299"/>
        <v>267</v>
      </c>
      <c r="P499" s="51"/>
      <c r="Q499" s="51"/>
      <c r="R499" s="74">
        <f t="shared" si="293"/>
        <v>168.758072063641</v>
      </c>
      <c r="S499" s="74"/>
      <c r="T499" s="75">
        <f t="shared" si="294"/>
        <v>0.644080486663547</v>
      </c>
      <c r="U499" s="74"/>
      <c r="V499" s="74"/>
      <c r="W499" s="76">
        <f t="shared" si="289"/>
        <v>169.402152550304</v>
      </c>
      <c r="X499" s="77">
        <f t="shared" si="295"/>
        <v>2.75799719232569</v>
      </c>
      <c r="Y499" s="77"/>
      <c r="Z499" s="77"/>
      <c r="AA499" s="77">
        <f t="shared" si="288"/>
        <v>2.75799719232569</v>
      </c>
      <c r="AB499" s="86">
        <v>7.08</v>
      </c>
      <c r="AC499" s="74">
        <f t="shared" si="290"/>
        <v>19.5266201216659</v>
      </c>
      <c r="AD499" s="74">
        <f t="shared" si="291"/>
        <v>188.92877267197</v>
      </c>
      <c r="AE499" s="74">
        <f t="shared" si="292"/>
        <v>78.07122732803</v>
      </c>
    </row>
    <row r="500" customFormat="1" spans="1:31">
      <c r="A500" s="18"/>
      <c r="B500" s="19"/>
      <c r="C500" s="20">
        <v>240914000005</v>
      </c>
      <c r="D500" s="21">
        <v>45555</v>
      </c>
      <c r="E500" s="21" t="s">
        <v>62</v>
      </c>
      <c r="F500" s="19" t="s">
        <v>63</v>
      </c>
      <c r="G500" s="19" t="s">
        <v>381</v>
      </c>
      <c r="H500" s="19">
        <v>9</v>
      </c>
      <c r="I500" s="41">
        <v>986</v>
      </c>
      <c r="J500" s="53"/>
      <c r="K500" s="43"/>
      <c r="L500" s="19"/>
      <c r="M500" s="43"/>
      <c r="N500" s="44"/>
      <c r="O500" s="45">
        <f t="shared" si="299"/>
        <v>986</v>
      </c>
      <c r="P500" s="51"/>
      <c r="Q500" s="51"/>
      <c r="R500" s="74">
        <f t="shared" si="293"/>
        <v>379.705662143191</v>
      </c>
      <c r="S500" s="74"/>
      <c r="T500" s="75">
        <f t="shared" si="294"/>
        <v>1.44918109499298</v>
      </c>
      <c r="U500" s="74">
        <v>40</v>
      </c>
      <c r="V500" s="74"/>
      <c r="W500" s="76">
        <f t="shared" si="289"/>
        <v>421.154843238184</v>
      </c>
      <c r="X500" s="77">
        <f t="shared" si="295"/>
        <v>6.2054936827328</v>
      </c>
      <c r="Y500" s="77"/>
      <c r="Z500" s="77"/>
      <c r="AA500" s="77">
        <f t="shared" si="288"/>
        <v>6.2054936827328</v>
      </c>
      <c r="AB500" s="86">
        <v>7.08</v>
      </c>
      <c r="AC500" s="74">
        <f t="shared" si="290"/>
        <v>43.9348952737482</v>
      </c>
      <c r="AD500" s="74">
        <f t="shared" si="291"/>
        <v>465.089738511933</v>
      </c>
      <c r="AE500" s="74">
        <f t="shared" si="292"/>
        <v>520.910261488067</v>
      </c>
    </row>
    <row r="501" customFormat="1" spans="1:31">
      <c r="A501" s="18"/>
      <c r="B501" s="19"/>
      <c r="C501" s="20">
        <v>240914000014</v>
      </c>
      <c r="D501" s="21">
        <v>45555</v>
      </c>
      <c r="E501" s="21" t="s">
        <v>43</v>
      </c>
      <c r="F501" s="19" t="s">
        <v>44</v>
      </c>
      <c r="G501" s="19" t="s">
        <v>89</v>
      </c>
      <c r="H501" s="19">
        <v>0.88</v>
      </c>
      <c r="I501" s="41">
        <v>63</v>
      </c>
      <c r="J501" s="53"/>
      <c r="K501" s="43"/>
      <c r="L501" s="19"/>
      <c r="M501" s="43"/>
      <c r="N501" s="44"/>
      <c r="O501" s="45">
        <f t="shared" si="299"/>
        <v>63</v>
      </c>
      <c r="P501" s="51"/>
      <c r="Q501" s="51"/>
      <c r="R501" s="74">
        <f t="shared" si="293"/>
        <v>37.1267758540009</v>
      </c>
      <c r="S501" s="74"/>
      <c r="T501" s="75">
        <f t="shared" si="294"/>
        <v>0.14169770706598</v>
      </c>
      <c r="U501" s="74"/>
      <c r="V501" s="74"/>
      <c r="W501" s="76">
        <f t="shared" si="289"/>
        <v>37.2684735610669</v>
      </c>
      <c r="X501" s="77">
        <f t="shared" si="295"/>
        <v>0.606759382311652</v>
      </c>
      <c r="Y501" s="77"/>
      <c r="Z501" s="77"/>
      <c r="AA501" s="77">
        <f t="shared" si="288"/>
        <v>0.606759382311652</v>
      </c>
      <c r="AB501" s="86">
        <v>7.08</v>
      </c>
      <c r="AC501" s="74">
        <f t="shared" si="290"/>
        <v>4.29585642676649</v>
      </c>
      <c r="AD501" s="74">
        <f t="shared" si="291"/>
        <v>41.5643299878334</v>
      </c>
      <c r="AE501" s="74">
        <f t="shared" si="292"/>
        <v>21.4356700121666</v>
      </c>
    </row>
    <row r="502" customFormat="1" spans="1:31">
      <c r="A502" s="18"/>
      <c r="B502" s="19"/>
      <c r="C502" s="20">
        <v>240914000018</v>
      </c>
      <c r="D502" s="21">
        <v>45555</v>
      </c>
      <c r="E502" s="21" t="s">
        <v>43</v>
      </c>
      <c r="F502" s="19" t="s">
        <v>44</v>
      </c>
      <c r="G502" s="19" t="s">
        <v>110</v>
      </c>
      <c r="H502" s="19">
        <v>1.5</v>
      </c>
      <c r="I502" s="41">
        <v>102</v>
      </c>
      <c r="J502" s="53"/>
      <c r="K502" s="43"/>
      <c r="L502" s="19"/>
      <c r="M502" s="43"/>
      <c r="N502" s="44"/>
      <c r="O502" s="45">
        <f t="shared" si="299"/>
        <v>102</v>
      </c>
      <c r="P502" s="51"/>
      <c r="Q502" s="51"/>
      <c r="R502" s="74">
        <f t="shared" si="293"/>
        <v>63.2842770238652</v>
      </c>
      <c r="S502" s="74"/>
      <c r="T502" s="75">
        <f t="shared" si="294"/>
        <v>0.24153018249883</v>
      </c>
      <c r="U502" s="74"/>
      <c r="V502" s="74"/>
      <c r="W502" s="76">
        <f t="shared" si="289"/>
        <v>63.5258072063641</v>
      </c>
      <c r="X502" s="77">
        <f t="shared" si="295"/>
        <v>1.03424894712213</v>
      </c>
      <c r="Y502" s="77"/>
      <c r="Z502" s="77"/>
      <c r="AA502" s="77">
        <f t="shared" si="288"/>
        <v>1.03424894712213</v>
      </c>
      <c r="AB502" s="86">
        <v>7.08</v>
      </c>
      <c r="AC502" s="74">
        <f t="shared" si="290"/>
        <v>7.32248254562471</v>
      </c>
      <c r="AD502" s="74">
        <f t="shared" si="291"/>
        <v>70.8482897519888</v>
      </c>
      <c r="AE502" s="74">
        <f t="shared" si="292"/>
        <v>31.1517102480112</v>
      </c>
    </row>
    <row r="503" customFormat="1" spans="1:31">
      <c r="A503" s="18"/>
      <c r="B503" s="19"/>
      <c r="C503" s="20">
        <v>240914000019</v>
      </c>
      <c r="D503" s="21">
        <v>45555</v>
      </c>
      <c r="E503" s="21" t="s">
        <v>50</v>
      </c>
      <c r="F503" s="19" t="s">
        <v>51</v>
      </c>
      <c r="G503" s="19" t="s">
        <v>179</v>
      </c>
      <c r="H503" s="19">
        <v>3</v>
      </c>
      <c r="I503" s="47"/>
      <c r="J503" s="54">
        <v>37485</v>
      </c>
      <c r="K503" s="43"/>
      <c r="L503" s="49">
        <f>SUM(J503/M503)</f>
        <v>1734.61360481259</v>
      </c>
      <c r="M503" s="50">
        <v>21.61</v>
      </c>
      <c r="N503" s="44">
        <v>7.08</v>
      </c>
      <c r="O503" s="45">
        <f>SUM(M503*N503)</f>
        <v>152.9988</v>
      </c>
      <c r="P503" s="51"/>
      <c r="Q503" s="51"/>
      <c r="R503" s="74">
        <f t="shared" si="293"/>
        <v>126.56855404773</v>
      </c>
      <c r="S503" s="74"/>
      <c r="T503" s="75">
        <f t="shared" si="294"/>
        <v>0.48306036499766</v>
      </c>
      <c r="U503" s="74"/>
      <c r="V503" s="74"/>
      <c r="W503" s="76">
        <f t="shared" si="289"/>
        <v>127.051614412728</v>
      </c>
      <c r="X503" s="77">
        <f t="shared" si="295"/>
        <v>2.06849789424427</v>
      </c>
      <c r="Y503" s="77"/>
      <c r="Z503" s="77"/>
      <c r="AA503" s="77">
        <f t="shared" si="288"/>
        <v>2.06849789424427</v>
      </c>
      <c r="AB503" s="86">
        <v>7.08</v>
      </c>
      <c r="AC503" s="74">
        <f t="shared" si="290"/>
        <v>14.6449650912494</v>
      </c>
      <c r="AD503" s="74">
        <f t="shared" si="291"/>
        <v>141.696579503978</v>
      </c>
      <c r="AE503" s="74">
        <f t="shared" si="292"/>
        <v>11.3022204960225</v>
      </c>
    </row>
    <row r="504" customFormat="1" spans="1:31">
      <c r="A504" s="18"/>
      <c r="B504" s="19"/>
      <c r="C504" s="20">
        <v>240914000027</v>
      </c>
      <c r="D504" s="21">
        <v>45555</v>
      </c>
      <c r="E504" s="21" t="s">
        <v>46</v>
      </c>
      <c r="F504" s="19" t="s">
        <v>47</v>
      </c>
      <c r="G504" s="19" t="s">
        <v>91</v>
      </c>
      <c r="H504" s="19">
        <v>0.79</v>
      </c>
      <c r="I504" s="41">
        <v>108.5</v>
      </c>
      <c r="J504" s="53"/>
      <c r="K504" s="43"/>
      <c r="L504" s="19"/>
      <c r="M504" s="43"/>
      <c r="N504" s="44"/>
      <c r="O504" s="45">
        <f t="shared" ref="O504:O509" si="300">SUM(I504)</f>
        <v>108.5</v>
      </c>
      <c r="P504" s="51"/>
      <c r="Q504" s="51"/>
      <c r="R504" s="74">
        <f t="shared" si="293"/>
        <v>33.329719232569</v>
      </c>
      <c r="S504" s="74"/>
      <c r="T504" s="75">
        <f t="shared" si="294"/>
        <v>0.127205896116051</v>
      </c>
      <c r="U504" s="74"/>
      <c r="V504" s="75">
        <v>45.5</v>
      </c>
      <c r="W504" s="76">
        <f t="shared" si="289"/>
        <v>78.9569251286851</v>
      </c>
      <c r="X504" s="77">
        <f t="shared" si="295"/>
        <v>0.544704445484324</v>
      </c>
      <c r="Y504" s="77"/>
      <c r="Z504" s="77"/>
      <c r="AA504" s="77">
        <f t="shared" si="288"/>
        <v>0.544704445484324</v>
      </c>
      <c r="AB504" s="86">
        <v>7.08</v>
      </c>
      <c r="AC504" s="74">
        <f t="shared" si="290"/>
        <v>3.85650747402901</v>
      </c>
      <c r="AD504" s="74">
        <f t="shared" si="291"/>
        <v>82.8134326027141</v>
      </c>
      <c r="AE504" s="74">
        <f t="shared" si="292"/>
        <v>25.6865673972859</v>
      </c>
    </row>
    <row r="505" customFormat="1" spans="1:31">
      <c r="A505" s="18"/>
      <c r="B505" s="19"/>
      <c r="C505" s="20">
        <v>240914000029</v>
      </c>
      <c r="D505" s="21">
        <v>45555</v>
      </c>
      <c r="E505" s="21" t="s">
        <v>62</v>
      </c>
      <c r="F505" s="19" t="s">
        <v>63</v>
      </c>
      <c r="G505" s="19" t="s">
        <v>222</v>
      </c>
      <c r="H505" s="19">
        <v>40</v>
      </c>
      <c r="I505" s="41">
        <v>3289.5</v>
      </c>
      <c r="J505" s="53"/>
      <c r="K505" s="43"/>
      <c r="L505" s="19"/>
      <c r="M505" s="43"/>
      <c r="N505" s="44"/>
      <c r="O505" s="45">
        <f t="shared" si="300"/>
        <v>3289.5</v>
      </c>
      <c r="P505" s="51"/>
      <c r="Q505" s="51"/>
      <c r="R505" s="74">
        <f t="shared" si="293"/>
        <v>1687.58072063641</v>
      </c>
      <c r="S505" s="74"/>
      <c r="T505" s="75">
        <f t="shared" si="294"/>
        <v>6.44080486663547</v>
      </c>
      <c r="U505" s="74"/>
      <c r="V505" s="74"/>
      <c r="W505" s="76">
        <f t="shared" si="289"/>
        <v>1694.02152550304</v>
      </c>
      <c r="X505" s="77">
        <f t="shared" si="295"/>
        <v>27.5799719232569</v>
      </c>
      <c r="Y505" s="77"/>
      <c r="Z505" s="77"/>
      <c r="AA505" s="77">
        <f t="shared" si="288"/>
        <v>27.5799719232569</v>
      </c>
      <c r="AB505" s="86">
        <v>7.08</v>
      </c>
      <c r="AC505" s="74">
        <f t="shared" si="290"/>
        <v>195.266201216659</v>
      </c>
      <c r="AD505" s="74">
        <f t="shared" si="291"/>
        <v>1889.2877267197</v>
      </c>
      <c r="AE505" s="74">
        <f t="shared" si="292"/>
        <v>1400.2122732803</v>
      </c>
    </row>
    <row r="506" customFormat="1" spans="1:31">
      <c r="A506" s="18"/>
      <c r="B506" s="19"/>
      <c r="C506" s="20">
        <v>240914000030</v>
      </c>
      <c r="D506" s="21">
        <v>45555</v>
      </c>
      <c r="E506" s="21" t="s">
        <v>50</v>
      </c>
      <c r="F506" s="19" t="s">
        <v>51</v>
      </c>
      <c r="G506" s="19" t="s">
        <v>87</v>
      </c>
      <c r="H506" s="19">
        <v>103.5</v>
      </c>
      <c r="I506" s="55"/>
      <c r="J506" s="54">
        <v>1303767.5</v>
      </c>
      <c r="K506" s="43"/>
      <c r="L506" s="49">
        <f>SUM(J506/M506)</f>
        <v>1734.60990926266</v>
      </c>
      <c r="M506" s="50">
        <v>751.62</v>
      </c>
      <c r="N506" s="44">
        <v>7.08</v>
      </c>
      <c r="O506" s="45">
        <f>SUM(M506*N506)</f>
        <v>5321.4696</v>
      </c>
      <c r="P506" s="51"/>
      <c r="Q506" s="51"/>
      <c r="R506" s="74">
        <f t="shared" si="293"/>
        <v>4366.6151146467</v>
      </c>
      <c r="S506" s="74"/>
      <c r="T506" s="75">
        <f t="shared" si="294"/>
        <v>16.6655825924193</v>
      </c>
      <c r="U506" s="75">
        <v>150</v>
      </c>
      <c r="V506" s="74"/>
      <c r="W506" s="76">
        <f t="shared" si="289"/>
        <v>4533.28069723912</v>
      </c>
      <c r="X506" s="77">
        <f t="shared" si="295"/>
        <v>71.3631773514272</v>
      </c>
      <c r="Y506" s="77"/>
      <c r="Z506" s="77"/>
      <c r="AA506" s="77">
        <f t="shared" si="288"/>
        <v>71.3631773514272</v>
      </c>
      <c r="AB506" s="86">
        <v>7.08</v>
      </c>
      <c r="AC506" s="74">
        <f t="shared" si="290"/>
        <v>505.251295648105</v>
      </c>
      <c r="AD506" s="74">
        <f t="shared" si="291"/>
        <v>5038.53199288722</v>
      </c>
      <c r="AE506" s="74">
        <f t="shared" si="292"/>
        <v>282.937607112775</v>
      </c>
    </row>
    <row r="507" customFormat="1" spans="1:31">
      <c r="A507" s="18"/>
      <c r="B507" s="19"/>
      <c r="C507" s="20">
        <v>240914000034</v>
      </c>
      <c r="D507" s="21">
        <v>45555</v>
      </c>
      <c r="E507" s="21" t="s">
        <v>41</v>
      </c>
      <c r="F507" s="19" t="s">
        <v>41</v>
      </c>
      <c r="G507" s="19" t="s">
        <v>382</v>
      </c>
      <c r="H507" s="19">
        <v>72.5</v>
      </c>
      <c r="I507" s="41">
        <v>4335</v>
      </c>
      <c r="J507" s="53"/>
      <c r="K507" s="43"/>
      <c r="L507" s="19"/>
      <c r="M507" s="43"/>
      <c r="N507" s="44"/>
      <c r="O507" s="45">
        <f t="shared" si="300"/>
        <v>4335</v>
      </c>
      <c r="P507" s="51"/>
      <c r="Q507" s="51"/>
      <c r="R507" s="74">
        <f t="shared" si="293"/>
        <v>3058.74005615349</v>
      </c>
      <c r="S507" s="74"/>
      <c r="T507" s="75">
        <f t="shared" si="294"/>
        <v>11.6739588207768</v>
      </c>
      <c r="U507" s="74"/>
      <c r="V507" s="74"/>
      <c r="W507" s="76">
        <f t="shared" si="289"/>
        <v>3070.41401497426</v>
      </c>
      <c r="X507" s="77">
        <f t="shared" si="295"/>
        <v>49.9886991109031</v>
      </c>
      <c r="Y507" s="77"/>
      <c r="Z507" s="77"/>
      <c r="AA507" s="77">
        <f t="shared" si="288"/>
        <v>49.9886991109031</v>
      </c>
      <c r="AB507" s="86">
        <v>7.08</v>
      </c>
      <c r="AC507" s="74">
        <f t="shared" si="290"/>
        <v>353.919989705194</v>
      </c>
      <c r="AD507" s="74">
        <f t="shared" si="291"/>
        <v>3424.33400467946</v>
      </c>
      <c r="AE507" s="74">
        <f t="shared" si="292"/>
        <v>910.665995320543</v>
      </c>
    </row>
    <row r="508" customFormat="1" spans="1:31">
      <c r="A508" s="18"/>
      <c r="B508" s="19"/>
      <c r="C508" s="20">
        <v>240914000035</v>
      </c>
      <c r="D508" s="21">
        <v>45555</v>
      </c>
      <c r="E508" s="21" t="s">
        <v>50</v>
      </c>
      <c r="F508" s="19" t="s">
        <v>51</v>
      </c>
      <c r="G508" s="19" t="s">
        <v>55</v>
      </c>
      <c r="H508" s="19">
        <v>58</v>
      </c>
      <c r="I508" s="41">
        <v>3248</v>
      </c>
      <c r="J508" s="53"/>
      <c r="K508" s="43"/>
      <c r="L508" s="19"/>
      <c r="M508" s="43"/>
      <c r="N508" s="44"/>
      <c r="O508" s="45">
        <f t="shared" si="300"/>
        <v>3248</v>
      </c>
      <c r="P508" s="51"/>
      <c r="Q508" s="51"/>
      <c r="R508" s="74">
        <f t="shared" si="293"/>
        <v>2446.99204492279</v>
      </c>
      <c r="S508" s="74"/>
      <c r="T508" s="75">
        <f t="shared" si="294"/>
        <v>9.33916705662143</v>
      </c>
      <c r="U508" s="74"/>
      <c r="V508" s="74"/>
      <c r="W508" s="76">
        <f t="shared" si="289"/>
        <v>2456.33121197941</v>
      </c>
      <c r="X508" s="77">
        <f t="shared" si="295"/>
        <v>39.9909592887225</v>
      </c>
      <c r="Y508" s="77"/>
      <c r="Z508" s="77"/>
      <c r="AA508" s="77">
        <f t="shared" si="288"/>
        <v>39.9909592887225</v>
      </c>
      <c r="AB508" s="86">
        <v>7.08</v>
      </c>
      <c r="AC508" s="74">
        <f t="shared" si="290"/>
        <v>283.135991764155</v>
      </c>
      <c r="AD508" s="74">
        <f t="shared" si="291"/>
        <v>2739.46720374357</v>
      </c>
      <c r="AE508" s="74">
        <f t="shared" si="292"/>
        <v>508.532796256434</v>
      </c>
    </row>
    <row r="509" customFormat="1" spans="1:31">
      <c r="A509" s="18"/>
      <c r="B509" s="19"/>
      <c r="C509" s="20">
        <v>240914000039</v>
      </c>
      <c r="D509" s="21">
        <v>45555</v>
      </c>
      <c r="E509" s="21" t="s">
        <v>50</v>
      </c>
      <c r="F509" s="19" t="s">
        <v>51</v>
      </c>
      <c r="G509" s="19" t="s">
        <v>383</v>
      </c>
      <c r="H509" s="19">
        <v>144</v>
      </c>
      <c r="I509" s="41">
        <v>8364</v>
      </c>
      <c r="J509" s="53"/>
      <c r="K509" s="43"/>
      <c r="L509" s="19"/>
      <c r="M509" s="43"/>
      <c r="N509" s="44"/>
      <c r="O509" s="45">
        <f t="shared" si="300"/>
        <v>8364</v>
      </c>
      <c r="P509" s="51"/>
      <c r="Q509" s="51"/>
      <c r="R509" s="74">
        <f t="shared" si="293"/>
        <v>6075.29059429106</v>
      </c>
      <c r="S509" s="74"/>
      <c r="T509" s="75">
        <f t="shared" si="294"/>
        <v>23.1868975198877</v>
      </c>
      <c r="U509" s="74"/>
      <c r="V509" s="74"/>
      <c r="W509" s="76">
        <f t="shared" si="289"/>
        <v>6098.47749181095</v>
      </c>
      <c r="X509" s="77">
        <f t="shared" si="295"/>
        <v>99.2878989237248</v>
      </c>
      <c r="Y509" s="77"/>
      <c r="Z509" s="77"/>
      <c r="AA509" s="77">
        <f t="shared" si="288"/>
        <v>99.2878989237248</v>
      </c>
      <c r="AB509" s="86">
        <v>7.08</v>
      </c>
      <c r="AC509" s="74">
        <f t="shared" si="290"/>
        <v>702.958324379972</v>
      </c>
      <c r="AD509" s="74">
        <f t="shared" si="291"/>
        <v>6801.43581619092</v>
      </c>
      <c r="AE509" s="74">
        <f t="shared" si="292"/>
        <v>1562.56418380908</v>
      </c>
    </row>
    <row r="510" customFormat="1" spans="1:31">
      <c r="A510" s="18"/>
      <c r="B510" s="19"/>
      <c r="C510" s="20">
        <v>240914000040</v>
      </c>
      <c r="D510" s="21">
        <v>45555</v>
      </c>
      <c r="E510" s="21" t="s">
        <v>50</v>
      </c>
      <c r="F510" s="19" t="s">
        <v>51</v>
      </c>
      <c r="G510" s="19" t="s">
        <v>130</v>
      </c>
      <c r="H510" s="19">
        <v>63</v>
      </c>
      <c r="I510" s="45"/>
      <c r="J510" s="54">
        <v>932905.64</v>
      </c>
      <c r="K510" s="43"/>
      <c r="L510" s="49">
        <f>SUM(J510/M510)</f>
        <v>1711</v>
      </c>
      <c r="M510" s="50">
        <v>545.24</v>
      </c>
      <c r="N510" s="44">
        <v>7.08</v>
      </c>
      <c r="O510" s="45">
        <f>SUM(M510*N510)</f>
        <v>3860.2992</v>
      </c>
      <c r="P510" s="51"/>
      <c r="Q510" s="51"/>
      <c r="R510" s="74">
        <f t="shared" si="293"/>
        <v>2657.93963500234</v>
      </c>
      <c r="S510" s="74"/>
      <c r="T510" s="75">
        <f t="shared" si="294"/>
        <v>10.1442676649509</v>
      </c>
      <c r="U510" s="74"/>
      <c r="V510" s="75">
        <v>46.15</v>
      </c>
      <c r="W510" s="76">
        <f t="shared" si="289"/>
        <v>2714.23390266729</v>
      </c>
      <c r="X510" s="77">
        <f t="shared" si="295"/>
        <v>43.4384557791296</v>
      </c>
      <c r="Y510" s="77"/>
      <c r="Z510" s="77"/>
      <c r="AA510" s="77">
        <f t="shared" si="288"/>
        <v>43.4384557791296</v>
      </c>
      <c r="AB510" s="86">
        <v>7.08</v>
      </c>
      <c r="AC510" s="74">
        <f t="shared" si="290"/>
        <v>307.544266916238</v>
      </c>
      <c r="AD510" s="74">
        <f t="shared" si="291"/>
        <v>3021.77816958353</v>
      </c>
      <c r="AE510" s="74">
        <f t="shared" si="292"/>
        <v>838.521030416472</v>
      </c>
    </row>
    <row r="511" customFormat="1" spans="1:31">
      <c r="A511" s="18"/>
      <c r="B511" s="19"/>
      <c r="C511" s="20">
        <v>240914000043</v>
      </c>
      <c r="D511" s="21">
        <v>45555</v>
      </c>
      <c r="E511" s="21" t="s">
        <v>62</v>
      </c>
      <c r="F511" s="19" t="s">
        <v>63</v>
      </c>
      <c r="G511" s="19" t="s">
        <v>384</v>
      </c>
      <c r="H511" s="19">
        <v>4</v>
      </c>
      <c r="I511" s="41">
        <v>243</v>
      </c>
      <c r="J511" s="53"/>
      <c r="K511" s="43"/>
      <c r="L511" s="19"/>
      <c r="M511" s="43"/>
      <c r="N511" s="44"/>
      <c r="O511" s="45">
        <f t="shared" ref="O511:O524" si="301">SUM(I511)</f>
        <v>243</v>
      </c>
      <c r="P511" s="51"/>
      <c r="Q511" s="51"/>
      <c r="R511" s="74">
        <f t="shared" si="293"/>
        <v>168.758072063641</v>
      </c>
      <c r="S511" s="74"/>
      <c r="T511" s="75">
        <f t="shared" si="294"/>
        <v>0.644080486663547</v>
      </c>
      <c r="U511" s="74"/>
      <c r="V511" s="74"/>
      <c r="W511" s="76">
        <f t="shared" si="289"/>
        <v>169.402152550304</v>
      </c>
      <c r="X511" s="77">
        <f t="shared" si="295"/>
        <v>2.75799719232569</v>
      </c>
      <c r="Y511" s="77"/>
      <c r="Z511" s="77"/>
      <c r="AA511" s="77">
        <f t="shared" si="288"/>
        <v>2.75799719232569</v>
      </c>
      <c r="AB511" s="86">
        <v>7.08</v>
      </c>
      <c r="AC511" s="74">
        <f t="shared" si="290"/>
        <v>19.5266201216659</v>
      </c>
      <c r="AD511" s="74">
        <f t="shared" si="291"/>
        <v>188.92877267197</v>
      </c>
      <c r="AE511" s="74">
        <f t="shared" si="292"/>
        <v>54.07122732803</v>
      </c>
    </row>
    <row r="512" customFormat="1" spans="1:31">
      <c r="A512" s="18"/>
      <c r="B512" s="19"/>
      <c r="C512" s="20">
        <v>240914000046</v>
      </c>
      <c r="D512" s="21">
        <v>45555</v>
      </c>
      <c r="E512" s="21" t="s">
        <v>50</v>
      </c>
      <c r="F512" s="19" t="s">
        <v>51</v>
      </c>
      <c r="G512" s="19" t="s">
        <v>55</v>
      </c>
      <c r="H512" s="19">
        <v>10</v>
      </c>
      <c r="I512" s="41">
        <v>560</v>
      </c>
      <c r="J512" s="53"/>
      <c r="K512" s="43"/>
      <c r="L512" s="19"/>
      <c r="M512" s="43"/>
      <c r="N512" s="44"/>
      <c r="O512" s="45">
        <f t="shared" si="301"/>
        <v>560</v>
      </c>
      <c r="P512" s="51"/>
      <c r="Q512" s="51"/>
      <c r="R512" s="74">
        <f t="shared" si="293"/>
        <v>421.895180159102</v>
      </c>
      <c r="S512" s="74"/>
      <c r="T512" s="75">
        <f t="shared" si="294"/>
        <v>1.61020121665887</v>
      </c>
      <c r="U512" s="74"/>
      <c r="V512" s="74"/>
      <c r="W512" s="76">
        <f t="shared" si="289"/>
        <v>423.50538137576</v>
      </c>
      <c r="X512" s="77">
        <f t="shared" si="295"/>
        <v>6.89499298081422</v>
      </c>
      <c r="Y512" s="77"/>
      <c r="Z512" s="77"/>
      <c r="AA512" s="77">
        <f t="shared" si="288"/>
        <v>6.89499298081422</v>
      </c>
      <c r="AB512" s="86">
        <v>7.08</v>
      </c>
      <c r="AC512" s="74">
        <f t="shared" si="290"/>
        <v>48.8165503041647</v>
      </c>
      <c r="AD512" s="74">
        <f t="shared" ref="AD512:AD527" si="302">SUM(W512+AC512)</f>
        <v>472.321931679925</v>
      </c>
      <c r="AE512" s="74">
        <f t="shared" ref="AE512:AE527" si="303">SUM(O512-AD512)</f>
        <v>87.6780683200749</v>
      </c>
    </row>
    <row r="513" customFormat="1" spans="1:31">
      <c r="A513" s="18"/>
      <c r="B513" s="19"/>
      <c r="C513" s="20">
        <v>240914000064</v>
      </c>
      <c r="D513" s="21">
        <v>45555</v>
      </c>
      <c r="E513" s="21" t="s">
        <v>50</v>
      </c>
      <c r="F513" s="19" t="s">
        <v>51</v>
      </c>
      <c r="G513" s="19" t="s">
        <v>385</v>
      </c>
      <c r="H513" s="19">
        <v>3</v>
      </c>
      <c r="I513" s="41">
        <v>195</v>
      </c>
      <c r="J513" s="53"/>
      <c r="K513" s="43"/>
      <c r="L513" s="19"/>
      <c r="M513" s="43"/>
      <c r="N513" s="44"/>
      <c r="O513" s="45">
        <f t="shared" si="301"/>
        <v>195</v>
      </c>
      <c r="P513" s="52"/>
      <c r="Q513" s="52"/>
      <c r="R513" s="74">
        <f t="shared" si="293"/>
        <v>126.56855404773</v>
      </c>
      <c r="S513" s="74"/>
      <c r="T513" s="75">
        <f t="shared" si="294"/>
        <v>0.48306036499766</v>
      </c>
      <c r="U513" s="74"/>
      <c r="V513" s="74"/>
      <c r="W513" s="76">
        <f t="shared" ref="W513:W527" si="304">SUM(R513:V513)</f>
        <v>127.051614412728</v>
      </c>
      <c r="X513" s="77">
        <f t="shared" si="295"/>
        <v>2.06849789424427</v>
      </c>
      <c r="Y513" s="77"/>
      <c r="Z513" s="77"/>
      <c r="AA513" s="77">
        <f t="shared" ref="AA513:AA527" si="305">SUM(X513:Z513)</f>
        <v>2.06849789424427</v>
      </c>
      <c r="AB513" s="86">
        <v>7.08</v>
      </c>
      <c r="AC513" s="74">
        <f t="shared" ref="AC513:AC527" si="306">SUM(AA513*AB513)</f>
        <v>14.6449650912494</v>
      </c>
      <c r="AD513" s="74">
        <f t="shared" si="302"/>
        <v>141.696579503978</v>
      </c>
      <c r="AE513" s="74">
        <f t="shared" si="303"/>
        <v>53.3034204960225</v>
      </c>
    </row>
    <row r="514" customFormat="1" spans="1:31">
      <c r="A514" s="18" t="s">
        <v>386</v>
      </c>
      <c r="B514" s="19" t="s">
        <v>387</v>
      </c>
      <c r="C514" s="20">
        <v>240914000058</v>
      </c>
      <c r="D514" s="21">
        <v>45557</v>
      </c>
      <c r="E514" s="21" t="s">
        <v>50</v>
      </c>
      <c r="F514" s="19" t="s">
        <v>51</v>
      </c>
      <c r="G514" s="19" t="s">
        <v>164</v>
      </c>
      <c r="H514" s="19">
        <v>0.68</v>
      </c>
      <c r="I514" s="41">
        <v>170</v>
      </c>
      <c r="J514" s="53"/>
      <c r="K514" s="43"/>
      <c r="L514" s="19"/>
      <c r="M514" s="43"/>
      <c r="N514" s="44"/>
      <c r="O514" s="45">
        <f t="shared" si="301"/>
        <v>170</v>
      </c>
      <c r="P514" s="46">
        <f>SUM(O514:O527)</f>
        <v>10160.17641416</v>
      </c>
      <c r="Q514" s="46" t="s">
        <v>40</v>
      </c>
      <c r="R514" s="74">
        <f>SUM(4900/64)*H514</f>
        <v>52.0625</v>
      </c>
      <c r="S514" s="74"/>
      <c r="T514" s="75">
        <f>SUM(49.99/64)*H514</f>
        <v>0.53114375</v>
      </c>
      <c r="U514" s="74"/>
      <c r="V514" s="74"/>
      <c r="W514" s="76">
        <f t="shared" si="304"/>
        <v>52.59364375</v>
      </c>
      <c r="X514" s="77">
        <f>SUM(248.51/64)*H514</f>
        <v>2.64041875</v>
      </c>
      <c r="Y514" s="77"/>
      <c r="Z514" s="77"/>
      <c r="AA514" s="77">
        <f t="shared" si="305"/>
        <v>2.64041875</v>
      </c>
      <c r="AB514" s="86">
        <v>7.08</v>
      </c>
      <c r="AC514" s="74">
        <f t="shared" si="306"/>
        <v>18.69416475</v>
      </c>
      <c r="AD514" s="74">
        <f t="shared" si="302"/>
        <v>71.2878085</v>
      </c>
      <c r="AE514" s="74">
        <f t="shared" si="303"/>
        <v>98.7121915</v>
      </c>
    </row>
    <row r="515" customFormat="1" spans="1:31">
      <c r="A515" s="18"/>
      <c r="B515" s="19"/>
      <c r="C515" s="20">
        <v>240915000011</v>
      </c>
      <c r="D515" s="21">
        <v>45557</v>
      </c>
      <c r="E515" s="21" t="s">
        <v>62</v>
      </c>
      <c r="F515" s="19" t="s">
        <v>63</v>
      </c>
      <c r="G515" s="19" t="s">
        <v>316</v>
      </c>
      <c r="H515" s="19">
        <v>0.16</v>
      </c>
      <c r="I515" s="41">
        <v>115</v>
      </c>
      <c r="J515" s="53"/>
      <c r="K515" s="43"/>
      <c r="L515" s="19"/>
      <c r="M515" s="43"/>
      <c r="N515" s="44"/>
      <c r="O515" s="45">
        <f t="shared" si="301"/>
        <v>115</v>
      </c>
      <c r="P515" s="51"/>
      <c r="Q515" s="51"/>
      <c r="R515" s="74">
        <f t="shared" ref="R515:R527" si="307">SUM(4900/64)*H515</f>
        <v>12.25</v>
      </c>
      <c r="S515" s="74"/>
      <c r="T515" s="75">
        <f t="shared" ref="T515:T527" si="308">SUM(49.99/64)*H515</f>
        <v>0.124975</v>
      </c>
      <c r="U515" s="74"/>
      <c r="V515" s="74"/>
      <c r="W515" s="76">
        <f t="shared" si="304"/>
        <v>12.374975</v>
      </c>
      <c r="X515" s="77">
        <f t="shared" ref="X515:X527" si="309">SUM(248.51/64)*H515</f>
        <v>0.621275</v>
      </c>
      <c r="Y515" s="77"/>
      <c r="Z515" s="77"/>
      <c r="AA515" s="77">
        <f t="shared" si="305"/>
        <v>0.621275</v>
      </c>
      <c r="AB515" s="86">
        <v>7.08</v>
      </c>
      <c r="AC515" s="74">
        <f t="shared" si="306"/>
        <v>4.398627</v>
      </c>
      <c r="AD515" s="74">
        <f t="shared" si="302"/>
        <v>16.773602</v>
      </c>
      <c r="AE515" s="74">
        <f t="shared" si="303"/>
        <v>98.226398</v>
      </c>
    </row>
    <row r="516" customFormat="1" spans="1:31">
      <c r="A516" s="18"/>
      <c r="B516" s="19"/>
      <c r="C516" s="20">
        <v>240915000013</v>
      </c>
      <c r="D516" s="21">
        <v>45557</v>
      </c>
      <c r="E516" s="21" t="s">
        <v>50</v>
      </c>
      <c r="F516" s="19" t="s">
        <v>51</v>
      </c>
      <c r="G516" s="19" t="s">
        <v>185</v>
      </c>
      <c r="H516" s="19">
        <v>37</v>
      </c>
      <c r="I516" s="41">
        <v>5180</v>
      </c>
      <c r="J516" s="53"/>
      <c r="K516" s="43"/>
      <c r="L516" s="19"/>
      <c r="M516" s="43"/>
      <c r="N516" s="44"/>
      <c r="O516" s="45">
        <f t="shared" si="301"/>
        <v>5180</v>
      </c>
      <c r="P516" s="51"/>
      <c r="Q516" s="51"/>
      <c r="R516" s="74">
        <f t="shared" si="307"/>
        <v>2832.8125</v>
      </c>
      <c r="S516" s="74"/>
      <c r="T516" s="75">
        <f t="shared" si="308"/>
        <v>28.90046875</v>
      </c>
      <c r="U516" s="74"/>
      <c r="V516" s="74"/>
      <c r="W516" s="76">
        <f t="shared" si="304"/>
        <v>2861.71296875</v>
      </c>
      <c r="X516" s="77">
        <f t="shared" si="309"/>
        <v>143.66984375</v>
      </c>
      <c r="Y516" s="77"/>
      <c r="Z516" s="77"/>
      <c r="AA516" s="77">
        <f t="shared" si="305"/>
        <v>143.66984375</v>
      </c>
      <c r="AB516" s="86">
        <v>7.08</v>
      </c>
      <c r="AC516" s="74">
        <f t="shared" si="306"/>
        <v>1017.18249375</v>
      </c>
      <c r="AD516" s="74">
        <f t="shared" si="302"/>
        <v>3878.8954625</v>
      </c>
      <c r="AE516" s="74">
        <f t="shared" si="303"/>
        <v>1301.1045375</v>
      </c>
    </row>
    <row r="517" customFormat="1" spans="1:31">
      <c r="A517" s="18"/>
      <c r="B517" s="19"/>
      <c r="C517" s="20">
        <v>240915000021</v>
      </c>
      <c r="D517" s="21">
        <v>45557</v>
      </c>
      <c r="E517" s="21" t="s">
        <v>50</v>
      </c>
      <c r="F517" s="19" t="s">
        <v>51</v>
      </c>
      <c r="G517" s="19" t="s">
        <v>65</v>
      </c>
      <c r="H517" s="19">
        <v>0.54</v>
      </c>
      <c r="I517" s="41">
        <v>170</v>
      </c>
      <c r="J517" s="53"/>
      <c r="K517" s="43"/>
      <c r="L517" s="19"/>
      <c r="M517" s="43"/>
      <c r="N517" s="44"/>
      <c r="O517" s="45">
        <f t="shared" si="301"/>
        <v>170</v>
      </c>
      <c r="P517" s="51"/>
      <c r="Q517" s="51"/>
      <c r="R517" s="74">
        <f t="shared" si="307"/>
        <v>41.34375</v>
      </c>
      <c r="S517" s="74"/>
      <c r="T517" s="75">
        <f t="shared" si="308"/>
        <v>0.421790625</v>
      </c>
      <c r="U517" s="74"/>
      <c r="V517" s="74"/>
      <c r="W517" s="76">
        <f t="shared" si="304"/>
        <v>41.765540625</v>
      </c>
      <c r="X517" s="77">
        <f t="shared" si="309"/>
        <v>2.096803125</v>
      </c>
      <c r="Y517" s="77"/>
      <c r="Z517" s="77"/>
      <c r="AA517" s="77">
        <f t="shared" si="305"/>
        <v>2.096803125</v>
      </c>
      <c r="AB517" s="86">
        <v>7.08</v>
      </c>
      <c r="AC517" s="74">
        <f t="shared" si="306"/>
        <v>14.845366125</v>
      </c>
      <c r="AD517" s="74">
        <f t="shared" si="302"/>
        <v>56.61090675</v>
      </c>
      <c r="AE517" s="74">
        <f t="shared" si="303"/>
        <v>113.38909325</v>
      </c>
    </row>
    <row r="518" customFormat="1" spans="1:31">
      <c r="A518" s="18"/>
      <c r="B518" s="19"/>
      <c r="C518" s="20">
        <v>240917000012</v>
      </c>
      <c r="D518" s="21">
        <v>45557</v>
      </c>
      <c r="E518" s="21" t="s">
        <v>43</v>
      </c>
      <c r="F518" s="19" t="s">
        <v>44</v>
      </c>
      <c r="G518" s="19" t="s">
        <v>388</v>
      </c>
      <c r="H518" s="19">
        <v>3</v>
      </c>
      <c r="I518" s="41">
        <v>345</v>
      </c>
      <c r="J518" s="53"/>
      <c r="K518" s="43"/>
      <c r="L518" s="19"/>
      <c r="M518" s="43"/>
      <c r="N518" s="44"/>
      <c r="O518" s="45">
        <f t="shared" si="301"/>
        <v>345</v>
      </c>
      <c r="P518" s="51"/>
      <c r="Q518" s="51"/>
      <c r="R518" s="74">
        <f t="shared" si="307"/>
        <v>229.6875</v>
      </c>
      <c r="S518" s="74"/>
      <c r="T518" s="75">
        <f t="shared" si="308"/>
        <v>2.34328125</v>
      </c>
      <c r="U518" s="74"/>
      <c r="V518" s="74"/>
      <c r="W518" s="76">
        <f t="shared" si="304"/>
        <v>232.03078125</v>
      </c>
      <c r="X518" s="77">
        <f t="shared" si="309"/>
        <v>11.64890625</v>
      </c>
      <c r="Y518" s="77"/>
      <c r="Z518" s="77"/>
      <c r="AA518" s="77">
        <f t="shared" si="305"/>
        <v>11.64890625</v>
      </c>
      <c r="AB518" s="86">
        <v>7.08</v>
      </c>
      <c r="AC518" s="74">
        <f t="shared" si="306"/>
        <v>82.47425625</v>
      </c>
      <c r="AD518" s="74">
        <f t="shared" si="302"/>
        <v>314.5050375</v>
      </c>
      <c r="AE518" s="74">
        <f t="shared" si="303"/>
        <v>30.4949625</v>
      </c>
    </row>
    <row r="519" customFormat="1" spans="1:31">
      <c r="A519" s="18"/>
      <c r="B519" s="19"/>
      <c r="C519" s="20">
        <v>240917000015</v>
      </c>
      <c r="D519" s="21">
        <v>45557</v>
      </c>
      <c r="E519" s="21" t="s">
        <v>62</v>
      </c>
      <c r="F519" s="19" t="s">
        <v>63</v>
      </c>
      <c r="G519" s="19" t="s">
        <v>389</v>
      </c>
      <c r="H519" s="19">
        <v>2.5</v>
      </c>
      <c r="I519" s="41">
        <v>300</v>
      </c>
      <c r="J519" s="53"/>
      <c r="K519" s="43"/>
      <c r="L519" s="19"/>
      <c r="M519" s="43"/>
      <c r="N519" s="44"/>
      <c r="O519" s="45">
        <f t="shared" si="301"/>
        <v>300</v>
      </c>
      <c r="P519" s="51"/>
      <c r="Q519" s="51"/>
      <c r="R519" s="74">
        <f t="shared" si="307"/>
        <v>191.40625</v>
      </c>
      <c r="S519" s="74"/>
      <c r="T519" s="75">
        <f t="shared" si="308"/>
        <v>1.952734375</v>
      </c>
      <c r="U519" s="74"/>
      <c r="V519" s="74"/>
      <c r="W519" s="76">
        <f t="shared" si="304"/>
        <v>193.358984375</v>
      </c>
      <c r="X519" s="77">
        <f t="shared" si="309"/>
        <v>9.707421875</v>
      </c>
      <c r="Y519" s="77"/>
      <c r="Z519" s="77"/>
      <c r="AA519" s="77">
        <f t="shared" si="305"/>
        <v>9.707421875</v>
      </c>
      <c r="AB519" s="86">
        <v>7.08</v>
      </c>
      <c r="AC519" s="74">
        <f t="shared" si="306"/>
        <v>68.728546875</v>
      </c>
      <c r="AD519" s="74">
        <f t="shared" si="302"/>
        <v>262.08753125</v>
      </c>
      <c r="AE519" s="74">
        <f t="shared" si="303"/>
        <v>37.91246875</v>
      </c>
    </row>
    <row r="520" customFormat="1" spans="1:31">
      <c r="A520" s="18"/>
      <c r="B520" s="19"/>
      <c r="C520" s="20">
        <v>240918000002</v>
      </c>
      <c r="D520" s="21">
        <v>45557</v>
      </c>
      <c r="E520" s="21" t="s">
        <v>37</v>
      </c>
      <c r="F520" s="19" t="s">
        <v>38</v>
      </c>
      <c r="G520" s="19" t="s">
        <v>39</v>
      </c>
      <c r="H520" s="19">
        <v>5</v>
      </c>
      <c r="I520" s="41">
        <v>605</v>
      </c>
      <c r="J520" s="53"/>
      <c r="K520" s="43"/>
      <c r="L520" s="19"/>
      <c r="M520" s="43"/>
      <c r="N520" s="44"/>
      <c r="O520" s="45">
        <f t="shared" si="301"/>
        <v>605</v>
      </c>
      <c r="P520" s="51"/>
      <c r="Q520" s="51"/>
      <c r="R520" s="74">
        <f t="shared" si="307"/>
        <v>382.8125</v>
      </c>
      <c r="S520" s="74"/>
      <c r="T520" s="75">
        <f t="shared" si="308"/>
        <v>3.90546875</v>
      </c>
      <c r="U520" s="74"/>
      <c r="V520" s="74"/>
      <c r="W520" s="76">
        <f t="shared" si="304"/>
        <v>386.71796875</v>
      </c>
      <c r="X520" s="77">
        <f t="shared" si="309"/>
        <v>19.41484375</v>
      </c>
      <c r="Y520" s="77"/>
      <c r="Z520" s="77"/>
      <c r="AA520" s="77">
        <f t="shared" si="305"/>
        <v>19.41484375</v>
      </c>
      <c r="AB520" s="86">
        <v>7.08</v>
      </c>
      <c r="AC520" s="74">
        <f t="shared" si="306"/>
        <v>137.45709375</v>
      </c>
      <c r="AD520" s="74">
        <f t="shared" si="302"/>
        <v>524.1750625</v>
      </c>
      <c r="AE520" s="74">
        <f t="shared" si="303"/>
        <v>80.8249375</v>
      </c>
    </row>
    <row r="521" customFormat="1" spans="1:31">
      <c r="A521" s="18"/>
      <c r="B521" s="19"/>
      <c r="C521" s="20">
        <v>240918000014</v>
      </c>
      <c r="D521" s="21">
        <v>45557</v>
      </c>
      <c r="E521" s="21" t="s">
        <v>46</v>
      </c>
      <c r="F521" s="19" t="s">
        <v>47</v>
      </c>
      <c r="G521" s="19" t="s">
        <v>78</v>
      </c>
      <c r="H521" s="19">
        <v>3.5</v>
      </c>
      <c r="I521" s="41">
        <v>420</v>
      </c>
      <c r="J521" s="53"/>
      <c r="K521" s="43"/>
      <c r="L521" s="19"/>
      <c r="M521" s="43"/>
      <c r="N521" s="44"/>
      <c r="O521" s="45">
        <f t="shared" si="301"/>
        <v>420</v>
      </c>
      <c r="P521" s="51"/>
      <c r="Q521" s="51"/>
      <c r="R521" s="74">
        <f t="shared" si="307"/>
        <v>267.96875</v>
      </c>
      <c r="S521" s="74"/>
      <c r="T521" s="75">
        <f t="shared" si="308"/>
        <v>2.733828125</v>
      </c>
      <c r="U521" s="74"/>
      <c r="V521" s="74"/>
      <c r="W521" s="76">
        <f t="shared" si="304"/>
        <v>270.702578125</v>
      </c>
      <c r="X521" s="77">
        <f t="shared" si="309"/>
        <v>13.590390625</v>
      </c>
      <c r="Y521" s="77"/>
      <c r="Z521" s="77"/>
      <c r="AA521" s="77">
        <f t="shared" si="305"/>
        <v>13.590390625</v>
      </c>
      <c r="AB521" s="86">
        <v>7.08</v>
      </c>
      <c r="AC521" s="74">
        <f t="shared" si="306"/>
        <v>96.219965625</v>
      </c>
      <c r="AD521" s="74">
        <f t="shared" si="302"/>
        <v>366.92254375</v>
      </c>
      <c r="AE521" s="74">
        <f t="shared" si="303"/>
        <v>53.07745625</v>
      </c>
    </row>
    <row r="522" customFormat="1" spans="1:31">
      <c r="A522" s="18"/>
      <c r="B522" s="19"/>
      <c r="C522" s="20">
        <v>240919000026</v>
      </c>
      <c r="D522" s="21">
        <v>45557</v>
      </c>
      <c r="E522" s="21" t="s">
        <v>50</v>
      </c>
      <c r="F522" s="19" t="s">
        <v>51</v>
      </c>
      <c r="G522" s="19" t="s">
        <v>54</v>
      </c>
      <c r="H522" s="19">
        <v>0.46</v>
      </c>
      <c r="I522" s="41">
        <v>170</v>
      </c>
      <c r="J522" s="53"/>
      <c r="K522" s="43"/>
      <c r="L522" s="19"/>
      <c r="M522" s="43"/>
      <c r="N522" s="44"/>
      <c r="O522" s="45">
        <f t="shared" si="301"/>
        <v>170</v>
      </c>
      <c r="P522" s="51"/>
      <c r="Q522" s="51"/>
      <c r="R522" s="74">
        <f t="shared" si="307"/>
        <v>35.21875</v>
      </c>
      <c r="S522" s="74"/>
      <c r="T522" s="75">
        <f t="shared" si="308"/>
        <v>0.359303125</v>
      </c>
      <c r="U522" s="74"/>
      <c r="V522" s="74"/>
      <c r="W522" s="76">
        <f t="shared" si="304"/>
        <v>35.578053125</v>
      </c>
      <c r="X522" s="77">
        <f t="shared" si="309"/>
        <v>1.786165625</v>
      </c>
      <c r="Y522" s="77"/>
      <c r="Z522" s="77"/>
      <c r="AA522" s="77">
        <f t="shared" si="305"/>
        <v>1.786165625</v>
      </c>
      <c r="AB522" s="86">
        <v>7.08</v>
      </c>
      <c r="AC522" s="74">
        <f t="shared" si="306"/>
        <v>12.646052625</v>
      </c>
      <c r="AD522" s="74">
        <f t="shared" si="302"/>
        <v>48.22410575</v>
      </c>
      <c r="AE522" s="74">
        <f t="shared" si="303"/>
        <v>121.77589425</v>
      </c>
    </row>
    <row r="523" customFormat="1" spans="1:31">
      <c r="A523" s="18"/>
      <c r="B523" s="19"/>
      <c r="C523" s="20">
        <v>240919000027</v>
      </c>
      <c r="D523" s="21">
        <v>45557</v>
      </c>
      <c r="E523" s="21" t="s">
        <v>62</v>
      </c>
      <c r="F523" s="19" t="s">
        <v>63</v>
      </c>
      <c r="G523" s="19" t="s">
        <v>390</v>
      </c>
      <c r="H523" s="19">
        <v>2.5</v>
      </c>
      <c r="I523" s="41">
        <v>300</v>
      </c>
      <c r="J523" s="53"/>
      <c r="K523" s="43"/>
      <c r="L523" s="19"/>
      <c r="M523" s="43"/>
      <c r="N523" s="44"/>
      <c r="O523" s="45">
        <f t="shared" si="301"/>
        <v>300</v>
      </c>
      <c r="P523" s="51"/>
      <c r="Q523" s="51"/>
      <c r="R523" s="74">
        <f t="shared" si="307"/>
        <v>191.40625</v>
      </c>
      <c r="S523" s="74"/>
      <c r="T523" s="75">
        <f t="shared" si="308"/>
        <v>1.952734375</v>
      </c>
      <c r="U523" s="74"/>
      <c r="V523" s="74"/>
      <c r="W523" s="76">
        <f t="shared" si="304"/>
        <v>193.358984375</v>
      </c>
      <c r="X523" s="77">
        <f t="shared" si="309"/>
        <v>9.707421875</v>
      </c>
      <c r="Y523" s="77"/>
      <c r="Z523" s="77"/>
      <c r="AA523" s="77">
        <f t="shared" si="305"/>
        <v>9.707421875</v>
      </c>
      <c r="AB523" s="86">
        <v>7.08</v>
      </c>
      <c r="AC523" s="74">
        <f t="shared" si="306"/>
        <v>68.728546875</v>
      </c>
      <c r="AD523" s="74">
        <f t="shared" si="302"/>
        <v>262.08753125</v>
      </c>
      <c r="AE523" s="74">
        <f t="shared" si="303"/>
        <v>37.91246875</v>
      </c>
    </row>
    <row r="524" customFormat="1" spans="1:31">
      <c r="A524" s="18"/>
      <c r="B524" s="19"/>
      <c r="C524" s="20">
        <v>240919000031</v>
      </c>
      <c r="D524" s="21">
        <v>45557</v>
      </c>
      <c r="E524" s="21" t="s">
        <v>46</v>
      </c>
      <c r="F524" s="19" t="s">
        <v>47</v>
      </c>
      <c r="G524" s="19" t="s">
        <v>391</v>
      </c>
      <c r="H524" s="19">
        <v>2.5</v>
      </c>
      <c r="I524" s="41">
        <v>300</v>
      </c>
      <c r="J524" s="53"/>
      <c r="K524" s="43"/>
      <c r="L524" s="19"/>
      <c r="M524" s="43"/>
      <c r="N524" s="44"/>
      <c r="O524" s="45">
        <f t="shared" si="301"/>
        <v>300</v>
      </c>
      <c r="P524" s="51"/>
      <c r="Q524" s="51"/>
      <c r="R524" s="74">
        <f t="shared" si="307"/>
        <v>191.40625</v>
      </c>
      <c r="S524" s="74"/>
      <c r="T524" s="75">
        <f t="shared" si="308"/>
        <v>1.952734375</v>
      </c>
      <c r="U524" s="74"/>
      <c r="V524" s="74"/>
      <c r="W524" s="76">
        <f t="shared" si="304"/>
        <v>193.358984375</v>
      </c>
      <c r="X524" s="77">
        <f t="shared" si="309"/>
        <v>9.707421875</v>
      </c>
      <c r="Y524" s="77"/>
      <c r="Z524" s="77"/>
      <c r="AA524" s="77">
        <f t="shared" si="305"/>
        <v>9.707421875</v>
      </c>
      <c r="AB524" s="86">
        <v>7.08</v>
      </c>
      <c r="AC524" s="74">
        <f t="shared" si="306"/>
        <v>68.728546875</v>
      </c>
      <c r="AD524" s="74">
        <f t="shared" si="302"/>
        <v>262.08753125</v>
      </c>
      <c r="AE524" s="74">
        <f t="shared" si="303"/>
        <v>37.91246875</v>
      </c>
    </row>
    <row r="525" customFormat="1" spans="1:31">
      <c r="A525" s="18"/>
      <c r="B525" s="19"/>
      <c r="C525" s="20">
        <v>240919000044</v>
      </c>
      <c r="D525" s="21">
        <v>45557</v>
      </c>
      <c r="E525" s="21" t="s">
        <v>46</v>
      </c>
      <c r="F525" s="19">
        <v>13635229849</v>
      </c>
      <c r="G525" s="19" t="s">
        <v>140</v>
      </c>
      <c r="H525" s="19">
        <v>0.44</v>
      </c>
      <c r="I525" s="45"/>
      <c r="J525" s="54">
        <v>29389</v>
      </c>
      <c r="K525" s="43"/>
      <c r="L525" s="49">
        <f>SUM(J525/M525)</f>
        <v>1738.99387704214</v>
      </c>
      <c r="M525" s="50">
        <v>16.900002</v>
      </c>
      <c r="N525" s="44">
        <v>7.08</v>
      </c>
      <c r="O525" s="45">
        <f>SUM(M525*N525)</f>
        <v>119.65201416</v>
      </c>
      <c r="P525" s="51"/>
      <c r="Q525" s="51"/>
      <c r="R525" s="74">
        <f t="shared" si="307"/>
        <v>33.6875</v>
      </c>
      <c r="S525" s="74"/>
      <c r="T525" s="75">
        <f t="shared" si="308"/>
        <v>0.34368125</v>
      </c>
      <c r="U525" s="74"/>
      <c r="V525" s="74"/>
      <c r="W525" s="76">
        <f t="shared" si="304"/>
        <v>34.03118125</v>
      </c>
      <c r="X525" s="77">
        <f t="shared" si="309"/>
        <v>1.70850625</v>
      </c>
      <c r="Y525" s="77"/>
      <c r="Z525" s="77"/>
      <c r="AA525" s="77">
        <f t="shared" si="305"/>
        <v>1.70850625</v>
      </c>
      <c r="AB525" s="86">
        <v>7.08</v>
      </c>
      <c r="AC525" s="74">
        <f t="shared" si="306"/>
        <v>12.09622425</v>
      </c>
      <c r="AD525" s="74">
        <f t="shared" ref="AD525:AD556" si="310">SUM(W525+AC525)</f>
        <v>46.1274055</v>
      </c>
      <c r="AE525" s="74">
        <f t="shared" si="303"/>
        <v>73.52460866</v>
      </c>
    </row>
    <row r="526" customFormat="1" spans="1:31">
      <c r="A526" s="18"/>
      <c r="B526" s="19"/>
      <c r="C526" s="20">
        <v>240920000001</v>
      </c>
      <c r="D526" s="21">
        <v>45557</v>
      </c>
      <c r="E526" s="21" t="s">
        <v>96</v>
      </c>
      <c r="F526" s="19" t="s">
        <v>112</v>
      </c>
      <c r="G526" s="19" t="s">
        <v>113</v>
      </c>
      <c r="H526" s="19">
        <v>8</v>
      </c>
      <c r="I526" s="45"/>
      <c r="J526" s="54">
        <v>224877</v>
      </c>
      <c r="K526" s="43"/>
      <c r="L526" s="49">
        <f>SUM(J526/M526)</f>
        <v>1711.0020543255</v>
      </c>
      <c r="M526" s="50">
        <v>131.43</v>
      </c>
      <c r="N526" s="44">
        <v>7.08</v>
      </c>
      <c r="O526" s="45">
        <f>SUM(M526*N526)</f>
        <v>930.5244</v>
      </c>
      <c r="P526" s="51"/>
      <c r="Q526" s="51"/>
      <c r="R526" s="74">
        <f t="shared" si="307"/>
        <v>612.5</v>
      </c>
      <c r="S526" s="74"/>
      <c r="T526" s="75">
        <f t="shared" si="308"/>
        <v>6.24875</v>
      </c>
      <c r="U526" s="74"/>
      <c r="V526" s="74"/>
      <c r="W526" s="76">
        <f t="shared" si="304"/>
        <v>618.74875</v>
      </c>
      <c r="X526" s="77">
        <f t="shared" si="309"/>
        <v>31.06375</v>
      </c>
      <c r="Y526" s="77"/>
      <c r="Z526" s="77"/>
      <c r="AA526" s="77">
        <f t="shared" si="305"/>
        <v>31.06375</v>
      </c>
      <c r="AB526" s="86">
        <v>7.08</v>
      </c>
      <c r="AC526" s="74">
        <f t="shared" ref="AC526:AC557" si="311">SUM(AA526*AB526)</f>
        <v>219.93135</v>
      </c>
      <c r="AD526" s="74">
        <f t="shared" si="310"/>
        <v>838.6801</v>
      </c>
      <c r="AE526" s="74">
        <f t="shared" ref="AE526:AE557" si="312">SUM(O526-AD526)</f>
        <v>91.8443</v>
      </c>
    </row>
    <row r="527" customFormat="1" spans="1:31">
      <c r="A527" s="18"/>
      <c r="B527" s="19"/>
      <c r="C527" s="20">
        <v>240921000013</v>
      </c>
      <c r="D527" s="21">
        <v>45557</v>
      </c>
      <c r="E527" s="21" t="s">
        <v>41</v>
      </c>
      <c r="F527" s="19" t="s">
        <v>41</v>
      </c>
      <c r="G527" s="19" t="s">
        <v>365</v>
      </c>
      <c r="H527" s="19">
        <v>9</v>
      </c>
      <c r="I527" s="41">
        <v>1035</v>
      </c>
      <c r="J527" s="53"/>
      <c r="K527" s="43"/>
      <c r="L527" s="19"/>
      <c r="M527" s="43"/>
      <c r="N527" s="44"/>
      <c r="O527" s="45">
        <f t="shared" ref="O527:O535" si="313">SUM(I527)</f>
        <v>1035</v>
      </c>
      <c r="P527" s="52"/>
      <c r="Q527" s="52"/>
      <c r="R527" s="74">
        <f t="shared" si="307"/>
        <v>689.0625</v>
      </c>
      <c r="S527" s="74"/>
      <c r="T527" s="75">
        <f t="shared" si="308"/>
        <v>7.02984375</v>
      </c>
      <c r="U527" s="74"/>
      <c r="V527" s="74"/>
      <c r="W527" s="76">
        <f t="shared" ref="W527:W558" si="314">SUM(R527:V527)</f>
        <v>696.09234375</v>
      </c>
      <c r="X527" s="77">
        <f t="shared" si="309"/>
        <v>34.94671875</v>
      </c>
      <c r="Y527" s="77"/>
      <c r="Z527" s="77"/>
      <c r="AA527" s="77">
        <f t="shared" ref="AA527:AA558" si="315">SUM(X527:Z527)</f>
        <v>34.94671875</v>
      </c>
      <c r="AB527" s="86">
        <v>7.08</v>
      </c>
      <c r="AC527" s="74">
        <f t="shared" si="311"/>
        <v>247.42276875</v>
      </c>
      <c r="AD527" s="74">
        <f t="shared" si="310"/>
        <v>943.5151125</v>
      </c>
      <c r="AE527" s="74">
        <f t="shared" si="312"/>
        <v>91.4848875</v>
      </c>
    </row>
    <row r="528" customFormat="1" spans="1:31">
      <c r="A528" s="18" t="s">
        <v>392</v>
      </c>
      <c r="B528" s="19" t="s">
        <v>393</v>
      </c>
      <c r="C528" s="20">
        <v>240907000017</v>
      </c>
      <c r="D528" s="21">
        <v>45558</v>
      </c>
      <c r="E528" s="21" t="s">
        <v>50</v>
      </c>
      <c r="F528" s="19" t="s">
        <v>51</v>
      </c>
      <c r="G528" s="19" t="s">
        <v>394</v>
      </c>
      <c r="H528" s="19">
        <v>9.5</v>
      </c>
      <c r="I528" s="41">
        <v>598.5</v>
      </c>
      <c r="J528" s="53"/>
      <c r="K528" s="43"/>
      <c r="L528" s="19"/>
      <c r="M528" s="43"/>
      <c r="N528" s="44"/>
      <c r="O528" s="45">
        <f t="shared" si="313"/>
        <v>598.5</v>
      </c>
      <c r="P528" s="46">
        <f>SUM(O528:O598)</f>
        <v>131640.27279292</v>
      </c>
      <c r="Q528" s="46" t="s">
        <v>85</v>
      </c>
      <c r="R528" s="74">
        <f>SUM(107339/2118)*H528</f>
        <v>481.454438149197</v>
      </c>
      <c r="S528" s="74"/>
      <c r="T528" s="75">
        <f>SUM(125/2118)*H528</f>
        <v>0.56067044381492</v>
      </c>
      <c r="U528" s="74"/>
      <c r="V528" s="74"/>
      <c r="W528" s="76">
        <f t="shared" si="314"/>
        <v>482.015108593012</v>
      </c>
      <c r="X528" s="77">
        <f>SUM(1358.02/2118)*H528</f>
        <v>6.0912134088763</v>
      </c>
      <c r="Y528" s="77"/>
      <c r="Z528" s="77"/>
      <c r="AA528" s="77">
        <f t="shared" si="315"/>
        <v>6.0912134088763</v>
      </c>
      <c r="AB528" s="86">
        <v>7.08</v>
      </c>
      <c r="AC528" s="74">
        <f t="shared" si="311"/>
        <v>43.1257909348442</v>
      </c>
      <c r="AD528" s="74">
        <f t="shared" si="310"/>
        <v>525.140899527857</v>
      </c>
      <c r="AE528" s="74">
        <f t="shared" si="312"/>
        <v>73.359100472143</v>
      </c>
    </row>
    <row r="529" customFormat="1" spans="1:31">
      <c r="A529" s="18"/>
      <c r="B529" s="19"/>
      <c r="C529" s="20">
        <v>240909000033</v>
      </c>
      <c r="D529" s="21">
        <v>45558</v>
      </c>
      <c r="E529" s="21" t="s">
        <v>37</v>
      </c>
      <c r="F529" s="19" t="s">
        <v>38</v>
      </c>
      <c r="G529" s="19" t="s">
        <v>395</v>
      </c>
      <c r="H529" s="19">
        <v>0.88</v>
      </c>
      <c r="I529" s="41">
        <v>100</v>
      </c>
      <c r="J529" s="53"/>
      <c r="K529" s="43"/>
      <c r="L529" s="19"/>
      <c r="M529" s="43"/>
      <c r="N529" s="44"/>
      <c r="O529" s="45">
        <f t="shared" si="313"/>
        <v>100</v>
      </c>
      <c r="P529" s="51"/>
      <c r="Q529" s="51"/>
      <c r="R529" s="74">
        <f t="shared" ref="R529:R560" si="316">SUM(107339/2118)*H529</f>
        <v>44.5978847969783</v>
      </c>
      <c r="S529" s="74"/>
      <c r="T529" s="75">
        <f t="shared" ref="T529:T560" si="317">SUM(125/2118)*H529</f>
        <v>0.0519357884796978</v>
      </c>
      <c r="U529" s="74"/>
      <c r="V529" s="74"/>
      <c r="W529" s="76">
        <f t="shared" si="314"/>
        <v>44.649820585458</v>
      </c>
      <c r="X529" s="77">
        <f t="shared" ref="X529:X560" si="318">SUM(1358.02/2118)*H529</f>
        <v>0.564238715769594</v>
      </c>
      <c r="Y529" s="77">
        <v>4.22</v>
      </c>
      <c r="Z529" s="77"/>
      <c r="AA529" s="77">
        <f t="shared" si="315"/>
        <v>4.78423871576959</v>
      </c>
      <c r="AB529" s="86">
        <v>7.08</v>
      </c>
      <c r="AC529" s="74">
        <f t="shared" si="311"/>
        <v>33.8724101076487</v>
      </c>
      <c r="AD529" s="74">
        <f t="shared" si="310"/>
        <v>78.5222306931067</v>
      </c>
      <c r="AE529" s="74">
        <f t="shared" si="312"/>
        <v>21.4777693068933</v>
      </c>
    </row>
    <row r="530" customFormat="1" spans="1:31">
      <c r="A530" s="18"/>
      <c r="B530" s="19"/>
      <c r="C530" s="20">
        <v>240909000037</v>
      </c>
      <c r="D530" s="21">
        <v>45558</v>
      </c>
      <c r="E530" s="21" t="s">
        <v>62</v>
      </c>
      <c r="F530" s="19" t="s">
        <v>63</v>
      </c>
      <c r="G530" s="19" t="s">
        <v>396</v>
      </c>
      <c r="H530" s="19">
        <v>5</v>
      </c>
      <c r="I530" s="41">
        <v>333.3</v>
      </c>
      <c r="J530" s="53"/>
      <c r="K530" s="43"/>
      <c r="L530" s="19"/>
      <c r="M530" s="43"/>
      <c r="N530" s="44"/>
      <c r="O530" s="45">
        <f t="shared" si="313"/>
        <v>333.3</v>
      </c>
      <c r="P530" s="51"/>
      <c r="Q530" s="51"/>
      <c r="R530" s="74">
        <f t="shared" si="316"/>
        <v>253.397072710104</v>
      </c>
      <c r="S530" s="74"/>
      <c r="T530" s="75">
        <f t="shared" si="317"/>
        <v>0.29508970727101</v>
      </c>
      <c r="U530" s="74"/>
      <c r="V530" s="74"/>
      <c r="W530" s="76">
        <f t="shared" si="314"/>
        <v>253.692162417375</v>
      </c>
      <c r="X530" s="77">
        <f t="shared" si="318"/>
        <v>3.20590179414542</v>
      </c>
      <c r="Y530" s="77"/>
      <c r="Z530" s="77"/>
      <c r="AA530" s="77">
        <f t="shared" si="315"/>
        <v>3.20590179414542</v>
      </c>
      <c r="AB530" s="86">
        <v>7.08</v>
      </c>
      <c r="AC530" s="74">
        <f t="shared" si="311"/>
        <v>22.6977847025496</v>
      </c>
      <c r="AD530" s="74">
        <f t="shared" si="310"/>
        <v>276.389947119924</v>
      </c>
      <c r="AE530" s="74">
        <f t="shared" si="312"/>
        <v>56.9100528800756</v>
      </c>
    </row>
    <row r="531" customFormat="1" spans="1:31">
      <c r="A531" s="18"/>
      <c r="B531" s="19"/>
      <c r="C531" s="20">
        <v>240909000045</v>
      </c>
      <c r="D531" s="21">
        <v>45558</v>
      </c>
      <c r="E531" s="21" t="s">
        <v>62</v>
      </c>
      <c r="F531" s="19" t="s">
        <v>63</v>
      </c>
      <c r="G531" s="19" t="s">
        <v>397</v>
      </c>
      <c r="H531" s="19">
        <v>5</v>
      </c>
      <c r="I531" s="41">
        <v>333.3</v>
      </c>
      <c r="J531" s="53"/>
      <c r="K531" s="43"/>
      <c r="L531" s="19"/>
      <c r="M531" s="43"/>
      <c r="N531" s="44"/>
      <c r="O531" s="45">
        <f t="shared" si="313"/>
        <v>333.3</v>
      </c>
      <c r="P531" s="51"/>
      <c r="Q531" s="51"/>
      <c r="R531" s="74">
        <f t="shared" si="316"/>
        <v>253.397072710104</v>
      </c>
      <c r="S531" s="74"/>
      <c r="T531" s="75">
        <f t="shared" si="317"/>
        <v>0.29508970727101</v>
      </c>
      <c r="U531" s="74"/>
      <c r="V531" s="74"/>
      <c r="W531" s="76">
        <f t="shared" si="314"/>
        <v>253.692162417375</v>
      </c>
      <c r="X531" s="77">
        <f t="shared" si="318"/>
        <v>3.20590179414542</v>
      </c>
      <c r="Y531" s="77"/>
      <c r="Z531" s="77"/>
      <c r="AA531" s="77">
        <f t="shared" si="315"/>
        <v>3.20590179414542</v>
      </c>
      <c r="AB531" s="86">
        <v>7.08</v>
      </c>
      <c r="AC531" s="74">
        <f t="shared" si="311"/>
        <v>22.6977847025496</v>
      </c>
      <c r="AD531" s="74">
        <f t="shared" si="310"/>
        <v>276.389947119924</v>
      </c>
      <c r="AE531" s="74">
        <f t="shared" si="312"/>
        <v>56.9100528800756</v>
      </c>
    </row>
    <row r="532" customFormat="1" spans="1:31">
      <c r="A532" s="18"/>
      <c r="B532" s="19"/>
      <c r="C532" s="20">
        <v>240910000006</v>
      </c>
      <c r="D532" s="21">
        <v>45558</v>
      </c>
      <c r="E532" s="21" t="s">
        <v>50</v>
      </c>
      <c r="F532" s="19" t="s">
        <v>51</v>
      </c>
      <c r="G532" s="19" t="s">
        <v>370</v>
      </c>
      <c r="H532" s="19">
        <v>7.5</v>
      </c>
      <c r="I532" s="41">
        <v>650</v>
      </c>
      <c r="J532" s="53"/>
      <c r="K532" s="43"/>
      <c r="L532" s="19"/>
      <c r="M532" s="43"/>
      <c r="N532" s="44"/>
      <c r="O532" s="45">
        <f t="shared" si="313"/>
        <v>650</v>
      </c>
      <c r="P532" s="51"/>
      <c r="Q532" s="51"/>
      <c r="R532" s="74">
        <f t="shared" si="316"/>
        <v>380.095609065156</v>
      </c>
      <c r="S532" s="74"/>
      <c r="T532" s="75">
        <f t="shared" si="317"/>
        <v>0.442634560906516</v>
      </c>
      <c r="U532" s="74"/>
      <c r="V532" s="74"/>
      <c r="W532" s="76">
        <f t="shared" si="314"/>
        <v>380.538243626062</v>
      </c>
      <c r="X532" s="77">
        <f t="shared" si="318"/>
        <v>4.80885269121813</v>
      </c>
      <c r="Y532" s="77"/>
      <c r="Z532" s="77"/>
      <c r="AA532" s="77">
        <f t="shared" si="315"/>
        <v>4.80885269121813</v>
      </c>
      <c r="AB532" s="86">
        <v>7.08</v>
      </c>
      <c r="AC532" s="74">
        <f t="shared" si="311"/>
        <v>34.0466770538244</v>
      </c>
      <c r="AD532" s="74">
        <f t="shared" si="310"/>
        <v>414.584920679887</v>
      </c>
      <c r="AE532" s="74">
        <f t="shared" si="312"/>
        <v>235.415079320113</v>
      </c>
    </row>
    <row r="533" customFormat="1" spans="1:31">
      <c r="A533" s="18"/>
      <c r="B533" s="19"/>
      <c r="C533" s="20">
        <v>240911000024</v>
      </c>
      <c r="D533" s="21">
        <v>45558</v>
      </c>
      <c r="E533" s="21" t="s">
        <v>43</v>
      </c>
      <c r="F533" s="19" t="s">
        <v>44</v>
      </c>
      <c r="G533" s="19" t="s">
        <v>108</v>
      </c>
      <c r="H533" s="19">
        <v>1</v>
      </c>
      <c r="I533" s="41">
        <v>69</v>
      </c>
      <c r="J533" s="53"/>
      <c r="K533" s="43"/>
      <c r="L533" s="19"/>
      <c r="M533" s="43"/>
      <c r="N533" s="44"/>
      <c r="O533" s="45">
        <f t="shared" si="313"/>
        <v>69</v>
      </c>
      <c r="P533" s="51"/>
      <c r="Q533" s="51"/>
      <c r="R533" s="74">
        <f t="shared" si="316"/>
        <v>50.6794145420208</v>
      </c>
      <c r="S533" s="74"/>
      <c r="T533" s="75">
        <f t="shared" si="317"/>
        <v>0.0590179414542021</v>
      </c>
      <c r="U533" s="74"/>
      <c r="V533" s="74"/>
      <c r="W533" s="76">
        <f t="shared" si="314"/>
        <v>50.738432483475</v>
      </c>
      <c r="X533" s="77">
        <f t="shared" si="318"/>
        <v>0.641180358829084</v>
      </c>
      <c r="Y533" s="77"/>
      <c r="Z533" s="77"/>
      <c r="AA533" s="77">
        <f t="shared" si="315"/>
        <v>0.641180358829084</v>
      </c>
      <c r="AB533" s="86">
        <v>7.08</v>
      </c>
      <c r="AC533" s="74">
        <f t="shared" si="311"/>
        <v>4.53955694050992</v>
      </c>
      <c r="AD533" s="74">
        <f t="shared" si="310"/>
        <v>55.2779894239849</v>
      </c>
      <c r="AE533" s="74">
        <f t="shared" si="312"/>
        <v>13.7220105760151</v>
      </c>
    </row>
    <row r="534" customFormat="1" spans="1:31">
      <c r="A534" s="18"/>
      <c r="B534" s="19"/>
      <c r="C534" s="20">
        <v>240911000033</v>
      </c>
      <c r="D534" s="21">
        <v>45558</v>
      </c>
      <c r="E534" s="21" t="s">
        <v>62</v>
      </c>
      <c r="F534" s="19" t="s">
        <v>63</v>
      </c>
      <c r="G534" s="19" t="s">
        <v>398</v>
      </c>
      <c r="H534" s="19">
        <v>2.5</v>
      </c>
      <c r="I534" s="41">
        <v>214.2</v>
      </c>
      <c r="J534" s="53"/>
      <c r="K534" s="43"/>
      <c r="L534" s="19"/>
      <c r="M534" s="43"/>
      <c r="N534" s="44"/>
      <c r="O534" s="45">
        <f t="shared" si="313"/>
        <v>214.2</v>
      </c>
      <c r="P534" s="51"/>
      <c r="Q534" s="51"/>
      <c r="R534" s="74">
        <f t="shared" si="316"/>
        <v>126.698536355052</v>
      </c>
      <c r="S534" s="74"/>
      <c r="T534" s="75">
        <f t="shared" si="317"/>
        <v>0.147544853635505</v>
      </c>
      <c r="U534" s="74"/>
      <c r="V534" s="74"/>
      <c r="W534" s="76">
        <f t="shared" si="314"/>
        <v>126.846081208687</v>
      </c>
      <c r="X534" s="77">
        <f t="shared" si="318"/>
        <v>1.60295089707271</v>
      </c>
      <c r="Y534" s="77"/>
      <c r="Z534" s="77"/>
      <c r="AA534" s="77">
        <f t="shared" si="315"/>
        <v>1.60295089707271</v>
      </c>
      <c r="AB534" s="86">
        <v>7.08</v>
      </c>
      <c r="AC534" s="74">
        <f t="shared" si="311"/>
        <v>11.3488923512748</v>
      </c>
      <c r="AD534" s="74">
        <f t="shared" si="310"/>
        <v>138.194973559962</v>
      </c>
      <c r="AE534" s="74">
        <f t="shared" si="312"/>
        <v>76.0050264400378</v>
      </c>
    </row>
    <row r="535" customFormat="1" spans="1:31">
      <c r="A535" s="18"/>
      <c r="B535" s="19"/>
      <c r="C535" s="20">
        <v>240912000006</v>
      </c>
      <c r="D535" s="21">
        <v>45558</v>
      </c>
      <c r="E535" s="21" t="s">
        <v>50</v>
      </c>
      <c r="F535" s="19" t="s">
        <v>51</v>
      </c>
      <c r="G535" s="19" t="s">
        <v>114</v>
      </c>
      <c r="H535" s="19">
        <v>0.62</v>
      </c>
      <c r="I535" s="41">
        <v>60</v>
      </c>
      <c r="J535" s="53"/>
      <c r="K535" s="43"/>
      <c r="L535" s="19"/>
      <c r="M535" s="43"/>
      <c r="N535" s="44"/>
      <c r="O535" s="45">
        <f t="shared" si="313"/>
        <v>60</v>
      </c>
      <c r="P535" s="51"/>
      <c r="Q535" s="51"/>
      <c r="R535" s="74">
        <f t="shared" si="316"/>
        <v>31.4212370160529</v>
      </c>
      <c r="S535" s="74"/>
      <c r="T535" s="75">
        <f t="shared" si="317"/>
        <v>0.0365911237016053</v>
      </c>
      <c r="U535" s="74"/>
      <c r="V535" s="74"/>
      <c r="W535" s="76">
        <f t="shared" si="314"/>
        <v>31.4578281397545</v>
      </c>
      <c r="X535" s="77">
        <f t="shared" si="318"/>
        <v>0.397531822474032</v>
      </c>
      <c r="Y535" s="77"/>
      <c r="Z535" s="77"/>
      <c r="AA535" s="77">
        <f t="shared" si="315"/>
        <v>0.397531822474032</v>
      </c>
      <c r="AB535" s="86">
        <v>7.08</v>
      </c>
      <c r="AC535" s="74">
        <f t="shared" si="311"/>
        <v>2.81452530311615</v>
      </c>
      <c r="AD535" s="74">
        <f t="shared" si="310"/>
        <v>34.2723534428706</v>
      </c>
      <c r="AE535" s="74">
        <f t="shared" si="312"/>
        <v>25.7276465571294</v>
      </c>
    </row>
    <row r="536" customFormat="1" spans="1:31">
      <c r="A536" s="18"/>
      <c r="B536" s="19"/>
      <c r="C536" s="20">
        <v>240912000009</v>
      </c>
      <c r="D536" s="21">
        <v>45558</v>
      </c>
      <c r="E536" s="21" t="s">
        <v>50</v>
      </c>
      <c r="F536" s="19" t="s">
        <v>51</v>
      </c>
      <c r="G536" s="19" t="s">
        <v>179</v>
      </c>
      <c r="H536" s="19">
        <v>2</v>
      </c>
      <c r="I536" s="47"/>
      <c r="J536" s="54">
        <v>29400</v>
      </c>
      <c r="K536" s="43"/>
      <c r="L536" s="49">
        <f>SUM(J536/M536)</f>
        <v>1735.53719008264</v>
      </c>
      <c r="M536" s="50">
        <v>16.94</v>
      </c>
      <c r="N536" s="44">
        <v>7.08</v>
      </c>
      <c r="O536" s="45">
        <f>SUM(M536*N536)</f>
        <v>119.9352</v>
      </c>
      <c r="P536" s="51"/>
      <c r="Q536" s="51"/>
      <c r="R536" s="74">
        <f t="shared" si="316"/>
        <v>101.358829084042</v>
      </c>
      <c r="S536" s="74"/>
      <c r="T536" s="75">
        <f t="shared" si="317"/>
        <v>0.118035882908404</v>
      </c>
      <c r="U536" s="74"/>
      <c r="V536" s="74"/>
      <c r="W536" s="76">
        <f t="shared" si="314"/>
        <v>101.47686496695</v>
      </c>
      <c r="X536" s="77">
        <f t="shared" si="318"/>
        <v>1.28236071765817</v>
      </c>
      <c r="Y536" s="77"/>
      <c r="Z536" s="77"/>
      <c r="AA536" s="77">
        <f t="shared" si="315"/>
        <v>1.28236071765817</v>
      </c>
      <c r="AB536" s="86">
        <v>7.08</v>
      </c>
      <c r="AC536" s="74">
        <f t="shared" si="311"/>
        <v>9.07911388101983</v>
      </c>
      <c r="AD536" s="74">
        <f t="shared" si="310"/>
        <v>110.55597884797</v>
      </c>
      <c r="AE536" s="74">
        <f t="shared" si="312"/>
        <v>9.37922115203021</v>
      </c>
    </row>
    <row r="537" customFormat="1" spans="1:31">
      <c r="A537" s="18"/>
      <c r="B537" s="19"/>
      <c r="C537" s="20">
        <v>240912000010</v>
      </c>
      <c r="D537" s="21">
        <v>45558</v>
      </c>
      <c r="E537" s="21" t="s">
        <v>50</v>
      </c>
      <c r="F537" s="19" t="s">
        <v>51</v>
      </c>
      <c r="G537" s="19" t="s">
        <v>54</v>
      </c>
      <c r="H537" s="19">
        <v>14.5</v>
      </c>
      <c r="I537" s="41">
        <v>910</v>
      </c>
      <c r="J537" s="53"/>
      <c r="K537" s="43"/>
      <c r="L537" s="19"/>
      <c r="M537" s="43"/>
      <c r="N537" s="44"/>
      <c r="O537" s="45">
        <f t="shared" ref="O537:O539" si="319">SUM(I537)</f>
        <v>910</v>
      </c>
      <c r="P537" s="51"/>
      <c r="Q537" s="51"/>
      <c r="R537" s="74">
        <f t="shared" si="316"/>
        <v>734.851510859301</v>
      </c>
      <c r="S537" s="74"/>
      <c r="T537" s="75">
        <f t="shared" si="317"/>
        <v>0.85576015108593</v>
      </c>
      <c r="U537" s="74"/>
      <c r="V537" s="74"/>
      <c r="W537" s="76">
        <f t="shared" si="314"/>
        <v>735.707271010387</v>
      </c>
      <c r="X537" s="77">
        <f t="shared" si="318"/>
        <v>9.29711520302172</v>
      </c>
      <c r="Y537" s="77"/>
      <c r="Z537" s="77"/>
      <c r="AA537" s="77">
        <f t="shared" si="315"/>
        <v>9.29711520302172</v>
      </c>
      <c r="AB537" s="86">
        <v>7.08</v>
      </c>
      <c r="AC537" s="74">
        <f t="shared" si="311"/>
        <v>65.8235756373938</v>
      </c>
      <c r="AD537" s="74">
        <f t="shared" si="310"/>
        <v>801.530846647781</v>
      </c>
      <c r="AE537" s="74">
        <f t="shared" si="312"/>
        <v>108.469153352219</v>
      </c>
    </row>
    <row r="538" customFormat="1" spans="1:31">
      <c r="A538" s="18"/>
      <c r="B538" s="19"/>
      <c r="C538" s="20">
        <v>240912000011</v>
      </c>
      <c r="D538" s="21">
        <v>45558</v>
      </c>
      <c r="E538" s="21" t="s">
        <v>50</v>
      </c>
      <c r="F538" s="19" t="s">
        <v>51</v>
      </c>
      <c r="G538" s="19" t="s">
        <v>332</v>
      </c>
      <c r="H538" s="19">
        <v>12</v>
      </c>
      <c r="I538" s="41">
        <v>907.5</v>
      </c>
      <c r="J538" s="53"/>
      <c r="K538" s="43"/>
      <c r="L538" s="19"/>
      <c r="M538" s="43"/>
      <c r="N538" s="44"/>
      <c r="O538" s="45">
        <f t="shared" si="319"/>
        <v>907.5</v>
      </c>
      <c r="P538" s="51"/>
      <c r="Q538" s="51"/>
      <c r="R538" s="74">
        <f t="shared" si="316"/>
        <v>608.152974504249</v>
      </c>
      <c r="S538" s="74"/>
      <c r="T538" s="75">
        <f t="shared" si="317"/>
        <v>0.708215297450425</v>
      </c>
      <c r="U538" s="74">
        <v>30</v>
      </c>
      <c r="V538" s="74"/>
      <c r="W538" s="76">
        <f t="shared" si="314"/>
        <v>638.8611898017</v>
      </c>
      <c r="X538" s="77">
        <f t="shared" si="318"/>
        <v>7.69416430594901</v>
      </c>
      <c r="Y538" s="77"/>
      <c r="Z538" s="77"/>
      <c r="AA538" s="77">
        <f t="shared" si="315"/>
        <v>7.69416430594901</v>
      </c>
      <c r="AB538" s="86">
        <v>7.08</v>
      </c>
      <c r="AC538" s="74">
        <f t="shared" si="311"/>
        <v>54.474683286119</v>
      </c>
      <c r="AD538" s="74">
        <f t="shared" si="310"/>
        <v>693.335873087819</v>
      </c>
      <c r="AE538" s="74">
        <f t="shared" si="312"/>
        <v>214.164126912181</v>
      </c>
    </row>
    <row r="539" customFormat="1" spans="1:31">
      <c r="A539" s="18"/>
      <c r="B539" s="19"/>
      <c r="C539" s="20">
        <v>240912000013</v>
      </c>
      <c r="D539" s="21">
        <v>45558</v>
      </c>
      <c r="E539" s="21" t="s">
        <v>50</v>
      </c>
      <c r="F539" s="19" t="s">
        <v>51</v>
      </c>
      <c r="G539" s="19" t="s">
        <v>399</v>
      </c>
      <c r="H539" s="19">
        <v>4</v>
      </c>
      <c r="I539" s="41">
        <v>325</v>
      </c>
      <c r="J539" s="53"/>
      <c r="K539" s="43"/>
      <c r="L539" s="19"/>
      <c r="M539" s="43"/>
      <c r="N539" s="44"/>
      <c r="O539" s="45">
        <f t="shared" si="319"/>
        <v>325</v>
      </c>
      <c r="P539" s="51"/>
      <c r="Q539" s="51"/>
      <c r="R539" s="74">
        <f t="shared" si="316"/>
        <v>202.717658168083</v>
      </c>
      <c r="S539" s="74"/>
      <c r="T539" s="75">
        <f t="shared" si="317"/>
        <v>0.236071765816808</v>
      </c>
      <c r="U539" s="74"/>
      <c r="V539" s="74"/>
      <c r="W539" s="76">
        <f t="shared" si="314"/>
        <v>202.9537299339</v>
      </c>
      <c r="X539" s="77">
        <f t="shared" si="318"/>
        <v>2.56472143531634</v>
      </c>
      <c r="Y539" s="77"/>
      <c r="Z539" s="77"/>
      <c r="AA539" s="77">
        <f t="shared" si="315"/>
        <v>2.56472143531634</v>
      </c>
      <c r="AB539" s="86">
        <v>7.08</v>
      </c>
      <c r="AC539" s="74">
        <f t="shared" si="311"/>
        <v>18.1582277620397</v>
      </c>
      <c r="AD539" s="74">
        <f t="shared" si="310"/>
        <v>221.11195769594</v>
      </c>
      <c r="AE539" s="74">
        <f t="shared" si="312"/>
        <v>103.88804230406</v>
      </c>
    </row>
    <row r="540" customFormat="1" spans="1:31">
      <c r="A540" s="18"/>
      <c r="B540" s="19"/>
      <c r="C540" s="20">
        <v>240912000014</v>
      </c>
      <c r="D540" s="21">
        <v>45558</v>
      </c>
      <c r="E540" s="21" t="s">
        <v>50</v>
      </c>
      <c r="F540" s="19" t="s">
        <v>51</v>
      </c>
      <c r="G540" s="19" t="s">
        <v>250</v>
      </c>
      <c r="H540" s="19">
        <v>19.5</v>
      </c>
      <c r="I540" s="47"/>
      <c r="J540" s="54">
        <v>325950</v>
      </c>
      <c r="K540" s="43"/>
      <c r="L540" s="49">
        <f>SUM(J540/M540)</f>
        <v>1741.74414876563</v>
      </c>
      <c r="M540" s="50">
        <v>187.14</v>
      </c>
      <c r="N540" s="44">
        <v>7.08</v>
      </c>
      <c r="O540" s="45">
        <f>SUM(M540*N540)</f>
        <v>1324.9512</v>
      </c>
      <c r="P540" s="51"/>
      <c r="Q540" s="51"/>
      <c r="R540" s="74">
        <f t="shared" si="316"/>
        <v>988.248583569405</v>
      </c>
      <c r="S540" s="74"/>
      <c r="T540" s="75">
        <f t="shared" si="317"/>
        <v>1.15084985835694</v>
      </c>
      <c r="U540" s="74">
        <v>30</v>
      </c>
      <c r="V540" s="74"/>
      <c r="W540" s="76">
        <f t="shared" si="314"/>
        <v>1019.39943342776</v>
      </c>
      <c r="X540" s="77">
        <f t="shared" si="318"/>
        <v>12.5030169971671</v>
      </c>
      <c r="Y540" s="77"/>
      <c r="Z540" s="77"/>
      <c r="AA540" s="77">
        <f t="shared" si="315"/>
        <v>12.5030169971671</v>
      </c>
      <c r="AB540" s="86">
        <v>7.08</v>
      </c>
      <c r="AC540" s="74">
        <f t="shared" si="311"/>
        <v>88.5213603399434</v>
      </c>
      <c r="AD540" s="74">
        <f t="shared" si="310"/>
        <v>1107.92079376771</v>
      </c>
      <c r="AE540" s="74">
        <f t="shared" si="312"/>
        <v>217.030406232295</v>
      </c>
    </row>
    <row r="541" customFormat="1" spans="1:31">
      <c r="A541" s="18"/>
      <c r="B541" s="19"/>
      <c r="C541" s="20">
        <v>240912000021</v>
      </c>
      <c r="D541" s="21">
        <v>45558</v>
      </c>
      <c r="E541" s="21" t="s">
        <v>50</v>
      </c>
      <c r="F541" s="19" t="s">
        <v>51</v>
      </c>
      <c r="G541" s="19" t="s">
        <v>332</v>
      </c>
      <c r="H541" s="19">
        <v>2.5</v>
      </c>
      <c r="I541" s="41">
        <v>184.5</v>
      </c>
      <c r="J541" s="53"/>
      <c r="K541" s="43"/>
      <c r="L541" s="19"/>
      <c r="M541" s="43"/>
      <c r="N541" s="44"/>
      <c r="O541" s="45">
        <f t="shared" ref="O541:O550" si="320">SUM(I541)</f>
        <v>184.5</v>
      </c>
      <c r="P541" s="51"/>
      <c r="Q541" s="51"/>
      <c r="R541" s="74">
        <f t="shared" si="316"/>
        <v>126.698536355052</v>
      </c>
      <c r="S541" s="74"/>
      <c r="T541" s="75">
        <f t="shared" si="317"/>
        <v>0.147544853635505</v>
      </c>
      <c r="U541" s="74"/>
      <c r="V541" s="74"/>
      <c r="W541" s="76">
        <f t="shared" si="314"/>
        <v>126.846081208687</v>
      </c>
      <c r="X541" s="77">
        <f t="shared" si="318"/>
        <v>1.60295089707271</v>
      </c>
      <c r="Y541" s="77"/>
      <c r="Z541" s="77"/>
      <c r="AA541" s="77">
        <f t="shared" si="315"/>
        <v>1.60295089707271</v>
      </c>
      <c r="AB541" s="86">
        <v>7.08</v>
      </c>
      <c r="AC541" s="74">
        <f t="shared" si="311"/>
        <v>11.3488923512748</v>
      </c>
      <c r="AD541" s="74">
        <f t="shared" si="310"/>
        <v>138.194973559962</v>
      </c>
      <c r="AE541" s="74">
        <f t="shared" si="312"/>
        <v>46.3050264400378</v>
      </c>
    </row>
    <row r="542" customFormat="1" spans="1:31">
      <c r="A542" s="18"/>
      <c r="B542" s="19"/>
      <c r="C542" s="20">
        <v>240912000022</v>
      </c>
      <c r="D542" s="21">
        <v>45558</v>
      </c>
      <c r="E542" s="21" t="s">
        <v>50</v>
      </c>
      <c r="F542" s="19" t="s">
        <v>51</v>
      </c>
      <c r="G542" s="19" t="s">
        <v>400</v>
      </c>
      <c r="H542" s="19">
        <v>23.5</v>
      </c>
      <c r="I542" s="41">
        <v>1625</v>
      </c>
      <c r="J542" s="53"/>
      <c r="K542" s="43"/>
      <c r="L542" s="19"/>
      <c r="M542" s="43"/>
      <c r="N542" s="44"/>
      <c r="O542" s="45">
        <f t="shared" si="320"/>
        <v>1625</v>
      </c>
      <c r="P542" s="51"/>
      <c r="Q542" s="51"/>
      <c r="R542" s="74">
        <f t="shared" si="316"/>
        <v>1190.96624173749</v>
      </c>
      <c r="S542" s="74"/>
      <c r="T542" s="75">
        <f t="shared" si="317"/>
        <v>1.38692162417375</v>
      </c>
      <c r="U542" s="74"/>
      <c r="V542" s="74"/>
      <c r="W542" s="76">
        <f t="shared" si="314"/>
        <v>1192.35316336166</v>
      </c>
      <c r="X542" s="77">
        <f t="shared" si="318"/>
        <v>15.0677384324835</v>
      </c>
      <c r="Y542" s="77"/>
      <c r="Z542" s="77"/>
      <c r="AA542" s="77">
        <f t="shared" si="315"/>
        <v>15.0677384324835</v>
      </c>
      <c r="AB542" s="86">
        <v>7.08</v>
      </c>
      <c r="AC542" s="74">
        <f t="shared" si="311"/>
        <v>106.679588101983</v>
      </c>
      <c r="AD542" s="74">
        <f t="shared" si="310"/>
        <v>1299.03275146364</v>
      </c>
      <c r="AE542" s="74">
        <f t="shared" si="312"/>
        <v>325.967248536355</v>
      </c>
    </row>
    <row r="543" customFormat="1" spans="1:31">
      <c r="A543" s="18"/>
      <c r="B543" s="19"/>
      <c r="C543" s="20">
        <v>240912000024</v>
      </c>
      <c r="D543" s="21">
        <v>45558</v>
      </c>
      <c r="E543" s="21" t="s">
        <v>43</v>
      </c>
      <c r="F543" s="19" t="s">
        <v>44</v>
      </c>
      <c r="G543" s="19" t="s">
        <v>224</v>
      </c>
      <c r="H543" s="19">
        <v>15.5</v>
      </c>
      <c r="I543" s="41">
        <v>1080</v>
      </c>
      <c r="J543" s="53"/>
      <c r="K543" s="43"/>
      <c r="L543" s="19"/>
      <c r="M543" s="43"/>
      <c r="N543" s="44"/>
      <c r="O543" s="45">
        <f t="shared" si="320"/>
        <v>1080</v>
      </c>
      <c r="P543" s="51"/>
      <c r="Q543" s="51"/>
      <c r="R543" s="74">
        <f t="shared" si="316"/>
        <v>785.530925401322</v>
      </c>
      <c r="S543" s="74"/>
      <c r="T543" s="75">
        <f t="shared" si="317"/>
        <v>0.914778092540132</v>
      </c>
      <c r="U543" s="74"/>
      <c r="V543" s="74"/>
      <c r="W543" s="76">
        <f t="shared" si="314"/>
        <v>786.445703493862</v>
      </c>
      <c r="X543" s="77">
        <f t="shared" si="318"/>
        <v>9.9382955618508</v>
      </c>
      <c r="Y543" s="77"/>
      <c r="Z543" s="77"/>
      <c r="AA543" s="77">
        <f t="shared" si="315"/>
        <v>9.9382955618508</v>
      </c>
      <c r="AB543" s="86">
        <v>7.08</v>
      </c>
      <c r="AC543" s="74">
        <f t="shared" si="311"/>
        <v>70.3631325779037</v>
      </c>
      <c r="AD543" s="74">
        <f t="shared" si="310"/>
        <v>856.808836071766</v>
      </c>
      <c r="AE543" s="74">
        <f t="shared" si="312"/>
        <v>223.191163928234</v>
      </c>
    </row>
    <row r="544" customFormat="1" spans="1:31">
      <c r="A544" s="18"/>
      <c r="B544" s="19"/>
      <c r="C544" s="20">
        <v>240912000031</v>
      </c>
      <c r="D544" s="21">
        <v>45558</v>
      </c>
      <c r="E544" s="21" t="s">
        <v>62</v>
      </c>
      <c r="F544" s="19" t="s">
        <v>63</v>
      </c>
      <c r="G544" s="19" t="s">
        <v>371</v>
      </c>
      <c r="H544" s="19">
        <v>2</v>
      </c>
      <c r="I544" s="41">
        <v>196.8</v>
      </c>
      <c r="J544" s="53"/>
      <c r="K544" s="43"/>
      <c r="L544" s="19"/>
      <c r="M544" s="43"/>
      <c r="N544" s="44"/>
      <c r="O544" s="45">
        <f t="shared" si="320"/>
        <v>196.8</v>
      </c>
      <c r="P544" s="51"/>
      <c r="Q544" s="51"/>
      <c r="R544" s="74">
        <f t="shared" si="316"/>
        <v>101.358829084042</v>
      </c>
      <c r="S544" s="74"/>
      <c r="T544" s="75">
        <f t="shared" si="317"/>
        <v>0.118035882908404</v>
      </c>
      <c r="U544" s="74"/>
      <c r="V544" s="74"/>
      <c r="W544" s="76">
        <f t="shared" si="314"/>
        <v>101.47686496695</v>
      </c>
      <c r="X544" s="77">
        <f t="shared" si="318"/>
        <v>1.28236071765817</v>
      </c>
      <c r="Y544" s="77"/>
      <c r="Z544" s="77"/>
      <c r="AA544" s="77">
        <f t="shared" si="315"/>
        <v>1.28236071765817</v>
      </c>
      <c r="AB544" s="86">
        <v>7.08</v>
      </c>
      <c r="AC544" s="74">
        <f t="shared" si="311"/>
        <v>9.07911388101983</v>
      </c>
      <c r="AD544" s="74">
        <f t="shared" si="310"/>
        <v>110.55597884797</v>
      </c>
      <c r="AE544" s="74">
        <f t="shared" si="312"/>
        <v>86.2440211520302</v>
      </c>
    </row>
    <row r="545" customFormat="1" spans="1:31">
      <c r="A545" s="18"/>
      <c r="B545" s="19"/>
      <c r="C545" s="20">
        <v>240912000040</v>
      </c>
      <c r="D545" s="21">
        <v>45558</v>
      </c>
      <c r="E545" s="21" t="s">
        <v>37</v>
      </c>
      <c r="F545" s="19" t="s">
        <v>38</v>
      </c>
      <c r="G545" s="19" t="s">
        <v>293</v>
      </c>
      <c r="H545" s="19">
        <v>9.5</v>
      </c>
      <c r="I545" s="41">
        <v>632</v>
      </c>
      <c r="J545" s="53"/>
      <c r="K545" s="43"/>
      <c r="L545" s="19"/>
      <c r="M545" s="43"/>
      <c r="N545" s="44"/>
      <c r="O545" s="45">
        <f t="shared" si="320"/>
        <v>632</v>
      </c>
      <c r="P545" s="51"/>
      <c r="Q545" s="51"/>
      <c r="R545" s="74">
        <f t="shared" si="316"/>
        <v>481.454438149197</v>
      </c>
      <c r="S545" s="74"/>
      <c r="T545" s="75">
        <f t="shared" si="317"/>
        <v>0.56067044381492</v>
      </c>
      <c r="U545" s="74"/>
      <c r="V545" s="74"/>
      <c r="W545" s="76">
        <f t="shared" si="314"/>
        <v>482.015108593012</v>
      </c>
      <c r="X545" s="77">
        <f t="shared" si="318"/>
        <v>6.0912134088763</v>
      </c>
      <c r="Y545" s="77">
        <v>4.23</v>
      </c>
      <c r="Z545" s="77"/>
      <c r="AA545" s="77">
        <f t="shared" si="315"/>
        <v>10.3212134088763</v>
      </c>
      <c r="AB545" s="86">
        <v>7.08</v>
      </c>
      <c r="AC545" s="74">
        <f t="shared" si="311"/>
        <v>73.0741909348442</v>
      </c>
      <c r="AD545" s="74">
        <f t="shared" si="310"/>
        <v>555.089299527856</v>
      </c>
      <c r="AE545" s="74">
        <f t="shared" si="312"/>
        <v>76.9107004721435</v>
      </c>
    </row>
    <row r="546" customFormat="1" spans="1:31">
      <c r="A546" s="18"/>
      <c r="B546" s="19"/>
      <c r="C546" s="20">
        <v>240912000044</v>
      </c>
      <c r="D546" s="21">
        <v>45558</v>
      </c>
      <c r="E546" s="21" t="s">
        <v>50</v>
      </c>
      <c r="F546" s="19" t="s">
        <v>51</v>
      </c>
      <c r="G546" s="19" t="s">
        <v>243</v>
      </c>
      <c r="H546" s="19">
        <v>3.5</v>
      </c>
      <c r="I546" s="41">
        <v>257.4</v>
      </c>
      <c r="J546" s="53"/>
      <c r="K546" s="43"/>
      <c r="L546" s="19"/>
      <c r="M546" s="43"/>
      <c r="N546" s="44"/>
      <c r="O546" s="45">
        <f t="shared" si="320"/>
        <v>257.4</v>
      </c>
      <c r="P546" s="51"/>
      <c r="Q546" s="51"/>
      <c r="R546" s="74">
        <f t="shared" si="316"/>
        <v>177.377950897073</v>
      </c>
      <c r="S546" s="74"/>
      <c r="T546" s="75">
        <f t="shared" si="317"/>
        <v>0.206562795089707</v>
      </c>
      <c r="U546" s="74"/>
      <c r="V546" s="74"/>
      <c r="W546" s="76">
        <f t="shared" si="314"/>
        <v>177.584513692162</v>
      </c>
      <c r="X546" s="77">
        <f t="shared" si="318"/>
        <v>2.24413125590179</v>
      </c>
      <c r="Y546" s="77"/>
      <c r="Z546" s="77"/>
      <c r="AA546" s="77">
        <f t="shared" si="315"/>
        <v>2.24413125590179</v>
      </c>
      <c r="AB546" s="86">
        <v>7.08</v>
      </c>
      <c r="AC546" s="74">
        <f t="shared" si="311"/>
        <v>15.8884492917847</v>
      </c>
      <c r="AD546" s="74">
        <f t="shared" si="310"/>
        <v>193.472962983947</v>
      </c>
      <c r="AE546" s="74">
        <f t="shared" si="312"/>
        <v>63.9270370160529</v>
      </c>
    </row>
    <row r="547" customFormat="1" spans="1:31">
      <c r="A547" s="18"/>
      <c r="B547" s="19"/>
      <c r="C547" s="20">
        <v>240912000046</v>
      </c>
      <c r="D547" s="21">
        <v>45558</v>
      </c>
      <c r="E547" s="21" t="s">
        <v>191</v>
      </c>
      <c r="F547" s="19" t="s">
        <v>192</v>
      </c>
      <c r="G547" s="19" t="s">
        <v>401</v>
      </c>
      <c r="H547" s="19">
        <v>1.5</v>
      </c>
      <c r="I547" s="41">
        <v>102.3</v>
      </c>
      <c r="J547" s="53"/>
      <c r="K547" s="43"/>
      <c r="L547" s="19"/>
      <c r="M547" s="43"/>
      <c r="N547" s="44"/>
      <c r="O547" s="45">
        <f t="shared" si="320"/>
        <v>102.3</v>
      </c>
      <c r="P547" s="51"/>
      <c r="Q547" s="51"/>
      <c r="R547" s="74">
        <f t="shared" si="316"/>
        <v>76.0191218130312</v>
      </c>
      <c r="S547" s="74"/>
      <c r="T547" s="75">
        <f t="shared" si="317"/>
        <v>0.0885269121813031</v>
      </c>
      <c r="U547" s="74"/>
      <c r="V547" s="74"/>
      <c r="W547" s="76">
        <f t="shared" si="314"/>
        <v>76.1076487252125</v>
      </c>
      <c r="X547" s="77">
        <f t="shared" si="318"/>
        <v>0.961770538243626</v>
      </c>
      <c r="Y547" s="77"/>
      <c r="Z547" s="77"/>
      <c r="AA547" s="77">
        <f t="shared" si="315"/>
        <v>0.961770538243626</v>
      </c>
      <c r="AB547" s="86">
        <v>7.08</v>
      </c>
      <c r="AC547" s="74">
        <f t="shared" si="311"/>
        <v>6.80933541076487</v>
      </c>
      <c r="AD547" s="74">
        <f t="shared" si="310"/>
        <v>82.9169841359773</v>
      </c>
      <c r="AE547" s="74">
        <f t="shared" si="312"/>
        <v>19.3830158640227</v>
      </c>
    </row>
    <row r="548" customFormat="1" spans="1:31">
      <c r="A548" s="18"/>
      <c r="B548" s="19"/>
      <c r="C548" s="20">
        <v>240912000048</v>
      </c>
      <c r="D548" s="21">
        <v>45558</v>
      </c>
      <c r="E548" s="21" t="s">
        <v>50</v>
      </c>
      <c r="F548" s="19" t="s">
        <v>51</v>
      </c>
      <c r="G548" s="19" t="s">
        <v>402</v>
      </c>
      <c r="H548" s="19">
        <v>12.5</v>
      </c>
      <c r="I548" s="41">
        <v>790.35</v>
      </c>
      <c r="J548" s="53"/>
      <c r="K548" s="43"/>
      <c r="L548" s="19"/>
      <c r="M548" s="43"/>
      <c r="N548" s="44"/>
      <c r="O548" s="45">
        <f t="shared" si="320"/>
        <v>790.35</v>
      </c>
      <c r="P548" s="51"/>
      <c r="Q548" s="51"/>
      <c r="R548" s="74">
        <f t="shared" si="316"/>
        <v>633.49268177526</v>
      </c>
      <c r="S548" s="74"/>
      <c r="T548" s="75">
        <f t="shared" si="317"/>
        <v>0.737724268177526</v>
      </c>
      <c r="U548" s="74"/>
      <c r="V548" s="74"/>
      <c r="W548" s="76">
        <f t="shared" si="314"/>
        <v>634.230406043437</v>
      </c>
      <c r="X548" s="77">
        <f t="shared" si="318"/>
        <v>8.01475448536355</v>
      </c>
      <c r="Y548" s="77"/>
      <c r="Z548" s="77"/>
      <c r="AA548" s="77">
        <f t="shared" si="315"/>
        <v>8.01475448536355</v>
      </c>
      <c r="AB548" s="86">
        <v>7.08</v>
      </c>
      <c r="AC548" s="74">
        <f t="shared" si="311"/>
        <v>56.7444617563739</v>
      </c>
      <c r="AD548" s="74">
        <f t="shared" si="310"/>
        <v>690.974867799811</v>
      </c>
      <c r="AE548" s="74">
        <f t="shared" si="312"/>
        <v>99.3751322001889</v>
      </c>
    </row>
    <row r="549" customFormat="1" spans="1:31">
      <c r="A549" s="18"/>
      <c r="B549" s="19"/>
      <c r="C549" s="22">
        <v>240912000053</v>
      </c>
      <c r="D549" s="23">
        <v>45558</v>
      </c>
      <c r="E549" s="21" t="s">
        <v>43</v>
      </c>
      <c r="F549" s="24" t="s">
        <v>44</v>
      </c>
      <c r="G549" s="24" t="s">
        <v>403</v>
      </c>
      <c r="H549" s="24">
        <v>6</v>
      </c>
      <c r="I549" s="41">
        <v>382.8</v>
      </c>
      <c r="J549" s="53"/>
      <c r="K549" s="43"/>
      <c r="L549" s="19"/>
      <c r="M549" s="43"/>
      <c r="N549" s="44"/>
      <c r="O549" s="45">
        <f t="shared" si="320"/>
        <v>382.8</v>
      </c>
      <c r="P549" s="51"/>
      <c r="Q549" s="51"/>
      <c r="R549" s="74">
        <f t="shared" si="316"/>
        <v>304.076487252125</v>
      </c>
      <c r="S549" s="74"/>
      <c r="T549" s="75">
        <f t="shared" si="317"/>
        <v>0.354107648725212</v>
      </c>
      <c r="U549" s="74"/>
      <c r="V549" s="74"/>
      <c r="W549" s="76">
        <f t="shared" si="314"/>
        <v>304.43059490085</v>
      </c>
      <c r="X549" s="77">
        <f t="shared" si="318"/>
        <v>3.8470821529745</v>
      </c>
      <c r="Y549" s="77"/>
      <c r="Z549" s="77"/>
      <c r="AA549" s="77">
        <f t="shared" si="315"/>
        <v>3.8470821529745</v>
      </c>
      <c r="AB549" s="86">
        <v>7.08</v>
      </c>
      <c r="AC549" s="74">
        <f t="shared" si="311"/>
        <v>27.2373416430595</v>
      </c>
      <c r="AD549" s="74">
        <f t="shared" si="310"/>
        <v>331.667936543909</v>
      </c>
      <c r="AE549" s="74">
        <f t="shared" si="312"/>
        <v>51.1320634560906</v>
      </c>
    </row>
    <row r="550" customFormat="1" spans="1:31">
      <c r="A550" s="18"/>
      <c r="B550" s="19"/>
      <c r="C550" s="20">
        <v>240912000061</v>
      </c>
      <c r="D550" s="21">
        <v>45558</v>
      </c>
      <c r="E550" s="21" t="s">
        <v>62</v>
      </c>
      <c r="F550" s="19" t="s">
        <v>63</v>
      </c>
      <c r="G550" s="19" t="s">
        <v>404</v>
      </c>
      <c r="H550" s="19">
        <v>0.2</v>
      </c>
      <c r="I550" s="41">
        <v>69.3</v>
      </c>
      <c r="J550" s="53"/>
      <c r="K550" s="43"/>
      <c r="L550" s="19"/>
      <c r="M550" s="43"/>
      <c r="N550" s="44"/>
      <c r="O550" s="45">
        <f t="shared" si="320"/>
        <v>69.3</v>
      </c>
      <c r="P550" s="51"/>
      <c r="Q550" s="51"/>
      <c r="R550" s="74">
        <f t="shared" si="316"/>
        <v>10.1358829084042</v>
      </c>
      <c r="S550" s="74"/>
      <c r="T550" s="75">
        <f t="shared" si="317"/>
        <v>0.0118035882908404</v>
      </c>
      <c r="U550" s="74"/>
      <c r="V550" s="74"/>
      <c r="W550" s="76">
        <f t="shared" si="314"/>
        <v>10.147686496695</v>
      </c>
      <c r="X550" s="77">
        <f t="shared" si="318"/>
        <v>0.128236071765817</v>
      </c>
      <c r="Y550" s="77"/>
      <c r="Z550" s="77"/>
      <c r="AA550" s="77">
        <f t="shared" si="315"/>
        <v>0.128236071765817</v>
      </c>
      <c r="AB550" s="86">
        <v>7.08</v>
      </c>
      <c r="AC550" s="74">
        <f t="shared" si="311"/>
        <v>0.907911388101983</v>
      </c>
      <c r="AD550" s="74">
        <f t="shared" si="310"/>
        <v>11.055597884797</v>
      </c>
      <c r="AE550" s="74">
        <f t="shared" si="312"/>
        <v>58.244402115203</v>
      </c>
    </row>
    <row r="551" customFormat="1" spans="1:31">
      <c r="A551" s="18"/>
      <c r="B551" s="19"/>
      <c r="C551" s="20">
        <v>240913000001</v>
      </c>
      <c r="D551" s="21">
        <v>45558</v>
      </c>
      <c r="E551" s="21" t="s">
        <v>96</v>
      </c>
      <c r="F551" s="19" t="s">
        <v>209</v>
      </c>
      <c r="G551" s="19" t="s">
        <v>405</v>
      </c>
      <c r="H551" s="19">
        <v>3.5</v>
      </c>
      <c r="I551" s="45"/>
      <c r="J551" s="54">
        <v>82220</v>
      </c>
      <c r="K551" s="43"/>
      <c r="L551" s="49">
        <f t="shared" ref="L551:L554" si="321">SUM(J551/M551)</f>
        <v>1739.00169204738</v>
      </c>
      <c r="M551" s="50">
        <v>47.28</v>
      </c>
      <c r="N551" s="44">
        <v>7.08</v>
      </c>
      <c r="O551" s="45">
        <f t="shared" ref="O551:O555" si="322">SUM(M551*N551)</f>
        <v>334.7424</v>
      </c>
      <c r="P551" s="51"/>
      <c r="Q551" s="51"/>
      <c r="R551" s="74">
        <f t="shared" si="316"/>
        <v>177.377950897073</v>
      </c>
      <c r="S551" s="74"/>
      <c r="T551" s="75">
        <f t="shared" si="317"/>
        <v>0.206562795089707</v>
      </c>
      <c r="U551" s="74"/>
      <c r="V551" s="74"/>
      <c r="W551" s="76">
        <f t="shared" si="314"/>
        <v>177.584513692162</v>
      </c>
      <c r="X551" s="77">
        <f t="shared" si="318"/>
        <v>2.24413125590179</v>
      </c>
      <c r="Y551" s="77"/>
      <c r="Z551" s="77"/>
      <c r="AA551" s="77">
        <f t="shared" si="315"/>
        <v>2.24413125590179</v>
      </c>
      <c r="AB551" s="86">
        <v>7.08</v>
      </c>
      <c r="AC551" s="74">
        <f t="shared" si="311"/>
        <v>15.8884492917847</v>
      </c>
      <c r="AD551" s="74">
        <f t="shared" si="310"/>
        <v>193.472962983947</v>
      </c>
      <c r="AE551" s="74">
        <f t="shared" si="312"/>
        <v>141.269437016053</v>
      </c>
    </row>
    <row r="552" customFormat="1" spans="1:31">
      <c r="A552" s="18"/>
      <c r="B552" s="19"/>
      <c r="C552" s="20">
        <v>240913000007</v>
      </c>
      <c r="D552" s="21">
        <v>45558</v>
      </c>
      <c r="E552" s="21" t="s">
        <v>50</v>
      </c>
      <c r="F552" s="19" t="s">
        <v>51</v>
      </c>
      <c r="G552" s="19" t="s">
        <v>114</v>
      </c>
      <c r="H552" s="19">
        <v>7.5</v>
      </c>
      <c r="I552" s="41">
        <v>465</v>
      </c>
      <c r="J552" s="53"/>
      <c r="K552" s="43"/>
      <c r="L552" s="19"/>
      <c r="M552" s="43"/>
      <c r="N552" s="44"/>
      <c r="O552" s="45">
        <f t="shared" ref="O552:O557" si="323">SUM(I552)</f>
        <v>465</v>
      </c>
      <c r="P552" s="51"/>
      <c r="Q552" s="51"/>
      <c r="R552" s="74">
        <f t="shared" si="316"/>
        <v>380.095609065156</v>
      </c>
      <c r="S552" s="74"/>
      <c r="T552" s="75">
        <f t="shared" si="317"/>
        <v>0.442634560906516</v>
      </c>
      <c r="U552" s="74">
        <v>30</v>
      </c>
      <c r="V552" s="74"/>
      <c r="W552" s="76">
        <f t="shared" si="314"/>
        <v>410.538243626062</v>
      </c>
      <c r="X552" s="77">
        <f t="shared" si="318"/>
        <v>4.80885269121813</v>
      </c>
      <c r="Y552" s="77"/>
      <c r="Z552" s="77"/>
      <c r="AA552" s="77">
        <f t="shared" si="315"/>
        <v>4.80885269121813</v>
      </c>
      <c r="AB552" s="86">
        <v>7.08</v>
      </c>
      <c r="AC552" s="74">
        <f t="shared" si="311"/>
        <v>34.0466770538244</v>
      </c>
      <c r="AD552" s="74">
        <f t="shared" si="310"/>
        <v>444.584920679887</v>
      </c>
      <c r="AE552" s="74">
        <f t="shared" si="312"/>
        <v>20.4150793201134</v>
      </c>
    </row>
    <row r="553" customFormat="1" spans="1:31">
      <c r="A553" s="18"/>
      <c r="B553" s="19"/>
      <c r="C553" s="20">
        <v>240913000010</v>
      </c>
      <c r="D553" s="21">
        <v>45558</v>
      </c>
      <c r="E553" s="21" t="s">
        <v>50</v>
      </c>
      <c r="F553" s="19" t="s">
        <v>51</v>
      </c>
      <c r="G553" s="19" t="s">
        <v>115</v>
      </c>
      <c r="H553" s="19">
        <v>7</v>
      </c>
      <c r="I553" s="47"/>
      <c r="J553" s="54">
        <v>107163</v>
      </c>
      <c r="K553" s="43"/>
      <c r="L553" s="49">
        <f t="shared" si="321"/>
        <v>1720.66473988439</v>
      </c>
      <c r="M553" s="50">
        <v>62.28</v>
      </c>
      <c r="N553" s="44">
        <v>7.08</v>
      </c>
      <c r="O553" s="45">
        <f t="shared" si="322"/>
        <v>440.9424</v>
      </c>
      <c r="P553" s="51"/>
      <c r="Q553" s="51"/>
      <c r="R553" s="74">
        <f t="shared" si="316"/>
        <v>354.755901794145</v>
      </c>
      <c r="S553" s="74"/>
      <c r="T553" s="75">
        <f t="shared" si="317"/>
        <v>0.413125590179415</v>
      </c>
      <c r="U553" s="74"/>
      <c r="V553" s="74"/>
      <c r="W553" s="76">
        <f t="shared" si="314"/>
        <v>355.169027384325</v>
      </c>
      <c r="X553" s="77">
        <f t="shared" si="318"/>
        <v>4.48826251180359</v>
      </c>
      <c r="Y553" s="77"/>
      <c r="Z553" s="77"/>
      <c r="AA553" s="77">
        <f t="shared" si="315"/>
        <v>4.48826251180359</v>
      </c>
      <c r="AB553" s="86">
        <v>7.08</v>
      </c>
      <c r="AC553" s="74">
        <f t="shared" si="311"/>
        <v>31.7768985835694</v>
      </c>
      <c r="AD553" s="74">
        <f t="shared" si="310"/>
        <v>386.945925967894</v>
      </c>
      <c r="AE553" s="74">
        <f t="shared" si="312"/>
        <v>53.9964740321058</v>
      </c>
    </row>
    <row r="554" customFormat="1" spans="1:31">
      <c r="A554" s="18"/>
      <c r="B554" s="19"/>
      <c r="C554" s="20">
        <v>240913000017</v>
      </c>
      <c r="D554" s="21">
        <v>45558</v>
      </c>
      <c r="E554" s="21" t="s">
        <v>43</v>
      </c>
      <c r="F554" s="19" t="s">
        <v>44</v>
      </c>
      <c r="G554" s="19" t="s">
        <v>142</v>
      </c>
      <c r="H554" s="19">
        <v>0.61</v>
      </c>
      <c r="I554" s="47"/>
      <c r="J554" s="54">
        <v>18596</v>
      </c>
      <c r="K554" s="43"/>
      <c r="L554" s="49">
        <f t="shared" si="321"/>
        <v>1734.70149253731</v>
      </c>
      <c r="M554" s="50">
        <v>10.72</v>
      </c>
      <c r="N554" s="44">
        <v>7.08</v>
      </c>
      <c r="O554" s="45">
        <f t="shared" si="322"/>
        <v>75.8976</v>
      </c>
      <c r="P554" s="51"/>
      <c r="Q554" s="51"/>
      <c r="R554" s="74">
        <f t="shared" si="316"/>
        <v>30.9144428706327</v>
      </c>
      <c r="S554" s="74"/>
      <c r="T554" s="75">
        <f t="shared" si="317"/>
        <v>0.0360009442870633</v>
      </c>
      <c r="U554" s="74"/>
      <c r="V554" s="74"/>
      <c r="W554" s="76">
        <f t="shared" si="314"/>
        <v>30.9504438149197</v>
      </c>
      <c r="X554" s="77">
        <f t="shared" si="318"/>
        <v>0.391120018885741</v>
      </c>
      <c r="Y554" s="77"/>
      <c r="Z554" s="77"/>
      <c r="AA554" s="77">
        <f t="shared" si="315"/>
        <v>0.391120018885741</v>
      </c>
      <c r="AB554" s="86">
        <v>7.08</v>
      </c>
      <c r="AC554" s="74">
        <f t="shared" si="311"/>
        <v>2.76912973371105</v>
      </c>
      <c r="AD554" s="74">
        <f t="shared" si="310"/>
        <v>33.7195735486308</v>
      </c>
      <c r="AE554" s="74">
        <f t="shared" si="312"/>
        <v>42.1780264513692</v>
      </c>
    </row>
    <row r="555" customFormat="1" spans="1:31">
      <c r="A555" s="18"/>
      <c r="B555" s="19"/>
      <c r="C555" s="20">
        <v>240913000020</v>
      </c>
      <c r="D555" s="21">
        <v>45558</v>
      </c>
      <c r="E555" s="21" t="s">
        <v>46</v>
      </c>
      <c r="F555" s="19" t="s">
        <v>47</v>
      </c>
      <c r="G555" s="19" t="s">
        <v>406</v>
      </c>
      <c r="H555" s="19">
        <v>33.5</v>
      </c>
      <c r="I555" s="92">
        <v>0</v>
      </c>
      <c r="J555" s="53"/>
      <c r="K555" s="43"/>
      <c r="L555" s="19"/>
      <c r="M555" s="43"/>
      <c r="N555" s="44"/>
      <c r="O555" s="45">
        <f>SUBTOTAL(9,I555)</f>
        <v>0</v>
      </c>
      <c r="P555" s="51"/>
      <c r="Q555" s="51"/>
      <c r="R555" s="74">
        <f t="shared" si="316"/>
        <v>1697.7603871577</v>
      </c>
      <c r="S555" s="74"/>
      <c r="T555" s="75">
        <f t="shared" si="317"/>
        <v>1.97710103871577</v>
      </c>
      <c r="U555" s="74"/>
      <c r="V555" s="74"/>
      <c r="W555" s="76">
        <f t="shared" si="314"/>
        <v>1699.73748819641</v>
      </c>
      <c r="X555" s="77">
        <f t="shared" si="318"/>
        <v>21.4795420207743</v>
      </c>
      <c r="Y555" s="77"/>
      <c r="Z555" s="77"/>
      <c r="AA555" s="77">
        <f t="shared" si="315"/>
        <v>21.4795420207743</v>
      </c>
      <c r="AB555" s="86">
        <v>7.08</v>
      </c>
      <c r="AC555" s="74">
        <f t="shared" si="311"/>
        <v>152.075157507082</v>
      </c>
      <c r="AD555" s="74">
        <f t="shared" si="310"/>
        <v>1851.81264570349</v>
      </c>
      <c r="AE555" s="74">
        <f t="shared" si="312"/>
        <v>-1851.81264570349</v>
      </c>
    </row>
    <row r="556" customFormat="1" spans="1:31">
      <c r="A556" s="18"/>
      <c r="B556" s="19"/>
      <c r="C556" s="20">
        <v>240913000023</v>
      </c>
      <c r="D556" s="21">
        <v>45558</v>
      </c>
      <c r="E556" s="21" t="s">
        <v>62</v>
      </c>
      <c r="F556" s="19" t="s">
        <v>63</v>
      </c>
      <c r="G556" s="19" t="s">
        <v>407</v>
      </c>
      <c r="H556" s="19">
        <v>7</v>
      </c>
      <c r="I556" s="41">
        <v>491.7</v>
      </c>
      <c r="J556" s="53"/>
      <c r="K556" s="43"/>
      <c r="L556" s="19"/>
      <c r="M556" s="43"/>
      <c r="N556" s="44"/>
      <c r="O556" s="45">
        <f t="shared" si="323"/>
        <v>491.7</v>
      </c>
      <c r="P556" s="51"/>
      <c r="Q556" s="51"/>
      <c r="R556" s="74">
        <f t="shared" si="316"/>
        <v>354.755901794145</v>
      </c>
      <c r="S556" s="74"/>
      <c r="T556" s="75">
        <f t="shared" si="317"/>
        <v>0.413125590179415</v>
      </c>
      <c r="U556" s="74"/>
      <c r="V556" s="74"/>
      <c r="W556" s="76">
        <f t="shared" si="314"/>
        <v>355.169027384325</v>
      </c>
      <c r="X556" s="77">
        <f t="shared" si="318"/>
        <v>4.48826251180359</v>
      </c>
      <c r="Y556" s="77"/>
      <c r="Z556" s="77"/>
      <c r="AA556" s="77">
        <f t="shared" si="315"/>
        <v>4.48826251180359</v>
      </c>
      <c r="AB556" s="86">
        <v>7.08</v>
      </c>
      <c r="AC556" s="74">
        <f t="shared" si="311"/>
        <v>31.7768985835694</v>
      </c>
      <c r="AD556" s="74">
        <f t="shared" si="310"/>
        <v>386.945925967894</v>
      </c>
      <c r="AE556" s="74">
        <f t="shared" si="312"/>
        <v>104.754074032106</v>
      </c>
    </row>
    <row r="557" customFormat="1" spans="1:31">
      <c r="A557" s="18"/>
      <c r="B557" s="19"/>
      <c r="C557" s="20">
        <v>240913000025</v>
      </c>
      <c r="D557" s="21">
        <v>45558</v>
      </c>
      <c r="E557" s="21" t="s">
        <v>191</v>
      </c>
      <c r="F557" s="19" t="s">
        <v>192</v>
      </c>
      <c r="G557" s="19" t="s">
        <v>408</v>
      </c>
      <c r="H557" s="19">
        <v>0.52</v>
      </c>
      <c r="I557" s="41">
        <v>75.9</v>
      </c>
      <c r="J557" s="53"/>
      <c r="K557" s="43"/>
      <c r="L557" s="19"/>
      <c r="M557" s="43"/>
      <c r="N557" s="44"/>
      <c r="O557" s="45">
        <f t="shared" si="323"/>
        <v>75.9</v>
      </c>
      <c r="P557" s="51"/>
      <c r="Q557" s="51"/>
      <c r="R557" s="74">
        <f t="shared" si="316"/>
        <v>26.3532955618508</v>
      </c>
      <c r="S557" s="74"/>
      <c r="T557" s="75">
        <f t="shared" si="317"/>
        <v>0.0306893295561851</v>
      </c>
      <c r="U557" s="74"/>
      <c r="V557" s="74"/>
      <c r="W557" s="76">
        <f t="shared" si="314"/>
        <v>26.383984891407</v>
      </c>
      <c r="X557" s="77">
        <f t="shared" si="318"/>
        <v>0.333413786591124</v>
      </c>
      <c r="Y557" s="77"/>
      <c r="Z557" s="77"/>
      <c r="AA557" s="77">
        <f t="shared" si="315"/>
        <v>0.333413786591124</v>
      </c>
      <c r="AB557" s="86">
        <v>7.08</v>
      </c>
      <c r="AC557" s="74">
        <f t="shared" si="311"/>
        <v>2.36056960906516</v>
      </c>
      <c r="AD557" s="74">
        <f t="shared" ref="AD557:AD596" si="324">SUM(W557+AC557)</f>
        <v>28.7445545004721</v>
      </c>
      <c r="AE557" s="74">
        <f t="shared" si="312"/>
        <v>47.1554454995279</v>
      </c>
    </row>
    <row r="558" customFormat="1" spans="1:31">
      <c r="A558" s="18"/>
      <c r="B558" s="19"/>
      <c r="C558" s="20">
        <v>240913000026</v>
      </c>
      <c r="D558" s="21">
        <v>45558</v>
      </c>
      <c r="E558" s="21" t="s">
        <v>96</v>
      </c>
      <c r="F558" s="19" t="s">
        <v>209</v>
      </c>
      <c r="G558" s="19" t="s">
        <v>405</v>
      </c>
      <c r="H558" s="19">
        <v>12</v>
      </c>
      <c r="I558" s="45"/>
      <c r="J558" s="54">
        <v>183065</v>
      </c>
      <c r="K558" s="43"/>
      <c r="L558" s="49">
        <f>SUM(J558/M558)</f>
        <v>1739.00446470979</v>
      </c>
      <c r="M558" s="50">
        <v>105.27</v>
      </c>
      <c r="N558" s="44">
        <v>7.08</v>
      </c>
      <c r="O558" s="45">
        <f>SUM(M558*N558)</f>
        <v>745.3116</v>
      </c>
      <c r="P558" s="51"/>
      <c r="Q558" s="51"/>
      <c r="R558" s="74">
        <f t="shared" si="316"/>
        <v>608.152974504249</v>
      </c>
      <c r="S558" s="74"/>
      <c r="T558" s="75">
        <f t="shared" si="317"/>
        <v>0.708215297450425</v>
      </c>
      <c r="U558" s="74"/>
      <c r="V558" s="74"/>
      <c r="W558" s="76">
        <f t="shared" si="314"/>
        <v>608.8611898017</v>
      </c>
      <c r="X558" s="77">
        <f t="shared" si="318"/>
        <v>7.69416430594901</v>
      </c>
      <c r="Y558" s="77"/>
      <c r="Z558" s="77"/>
      <c r="AA558" s="77">
        <f t="shared" si="315"/>
        <v>7.69416430594901</v>
      </c>
      <c r="AB558" s="86">
        <v>7.08</v>
      </c>
      <c r="AC558" s="74">
        <f t="shared" ref="AC558:AC596" si="325">SUM(AA558*AB558)</f>
        <v>54.474683286119</v>
      </c>
      <c r="AD558" s="74">
        <f t="shared" si="324"/>
        <v>663.335873087819</v>
      </c>
      <c r="AE558" s="74">
        <f t="shared" ref="AE558:AE596" si="326">SUM(O558-AD558)</f>
        <v>81.9757269121812</v>
      </c>
    </row>
    <row r="559" customFormat="1" spans="1:31">
      <c r="A559" s="18"/>
      <c r="B559" s="19"/>
      <c r="C559" s="20">
        <v>240913000028</v>
      </c>
      <c r="D559" s="21">
        <v>45558</v>
      </c>
      <c r="E559" s="21" t="s">
        <v>50</v>
      </c>
      <c r="F559" s="19" t="s">
        <v>51</v>
      </c>
      <c r="G559" s="19" t="s">
        <v>158</v>
      </c>
      <c r="H559" s="19">
        <v>2</v>
      </c>
      <c r="I559" s="41">
        <v>135.3</v>
      </c>
      <c r="J559" s="53"/>
      <c r="K559" s="43"/>
      <c r="L559" s="19"/>
      <c r="M559" s="43"/>
      <c r="N559" s="44"/>
      <c r="O559" s="45">
        <f t="shared" ref="O559:O570" si="327">SUM(I559)</f>
        <v>135.3</v>
      </c>
      <c r="P559" s="51"/>
      <c r="Q559" s="51"/>
      <c r="R559" s="74">
        <f t="shared" si="316"/>
        <v>101.358829084042</v>
      </c>
      <c r="S559" s="74"/>
      <c r="T559" s="75">
        <f t="shared" si="317"/>
        <v>0.118035882908404</v>
      </c>
      <c r="U559" s="74"/>
      <c r="V559" s="74"/>
      <c r="W559" s="76">
        <f t="shared" ref="W559:W597" si="328">SUM(R559:V559)</f>
        <v>101.47686496695</v>
      </c>
      <c r="X559" s="77">
        <f t="shared" si="318"/>
        <v>1.28236071765817</v>
      </c>
      <c r="Y559" s="77"/>
      <c r="Z559" s="77"/>
      <c r="AA559" s="77">
        <f t="shared" ref="AA559:AA597" si="329">SUM(X559:Z559)</f>
        <v>1.28236071765817</v>
      </c>
      <c r="AB559" s="86">
        <v>7.08</v>
      </c>
      <c r="AC559" s="74">
        <f t="shared" si="325"/>
        <v>9.07911388101983</v>
      </c>
      <c r="AD559" s="74">
        <f t="shared" si="324"/>
        <v>110.55597884797</v>
      </c>
      <c r="AE559" s="74">
        <f t="shared" si="326"/>
        <v>24.7440211520302</v>
      </c>
    </row>
    <row r="560" customFormat="1" spans="1:31">
      <c r="A560" s="18"/>
      <c r="B560" s="19"/>
      <c r="C560" s="20">
        <v>240913000029</v>
      </c>
      <c r="D560" s="21">
        <v>45558</v>
      </c>
      <c r="E560" s="21" t="s">
        <v>41</v>
      </c>
      <c r="F560" s="19" t="s">
        <v>41</v>
      </c>
      <c r="G560" s="19" t="s">
        <v>183</v>
      </c>
      <c r="H560" s="19">
        <v>290</v>
      </c>
      <c r="I560" s="41">
        <v>21662.5</v>
      </c>
      <c r="J560" s="53"/>
      <c r="K560" s="43"/>
      <c r="L560" s="19"/>
      <c r="M560" s="43"/>
      <c r="N560" s="44"/>
      <c r="O560" s="45">
        <f t="shared" si="327"/>
        <v>21662.5</v>
      </c>
      <c r="P560" s="51"/>
      <c r="Q560" s="51"/>
      <c r="R560" s="74">
        <f t="shared" si="316"/>
        <v>14697.030217186</v>
      </c>
      <c r="S560" s="74"/>
      <c r="T560" s="75">
        <f t="shared" si="317"/>
        <v>17.1152030217186</v>
      </c>
      <c r="U560" s="74"/>
      <c r="V560" s="74"/>
      <c r="W560" s="76">
        <f t="shared" si="328"/>
        <v>14714.1454202077</v>
      </c>
      <c r="X560" s="77">
        <f t="shared" si="318"/>
        <v>185.942304060434</v>
      </c>
      <c r="Y560" s="77"/>
      <c r="Z560" s="77"/>
      <c r="AA560" s="77">
        <f t="shared" si="329"/>
        <v>185.942304060434</v>
      </c>
      <c r="AB560" s="86">
        <v>7.08</v>
      </c>
      <c r="AC560" s="74">
        <f t="shared" si="325"/>
        <v>1316.47151274788</v>
      </c>
      <c r="AD560" s="74">
        <f t="shared" si="324"/>
        <v>16030.6169329556</v>
      </c>
      <c r="AE560" s="74">
        <f t="shared" si="326"/>
        <v>5631.88306704438</v>
      </c>
    </row>
    <row r="561" customFormat="1" spans="1:31">
      <c r="A561" s="18"/>
      <c r="B561" s="19"/>
      <c r="C561" s="20">
        <v>240913000035</v>
      </c>
      <c r="D561" s="21">
        <v>45558</v>
      </c>
      <c r="E561" s="21" t="s">
        <v>46</v>
      </c>
      <c r="F561" s="19" t="s">
        <v>47</v>
      </c>
      <c r="G561" s="19" t="s">
        <v>409</v>
      </c>
      <c r="H561" s="19">
        <v>5</v>
      </c>
      <c r="I561" s="41">
        <v>333</v>
      </c>
      <c r="J561" s="53"/>
      <c r="K561" s="43"/>
      <c r="L561" s="19"/>
      <c r="M561" s="43"/>
      <c r="N561" s="44"/>
      <c r="O561" s="45">
        <f t="shared" si="327"/>
        <v>333</v>
      </c>
      <c r="P561" s="51"/>
      <c r="Q561" s="51"/>
      <c r="R561" s="74">
        <f t="shared" ref="R561:R598" si="330">SUM(107339/2118)*H561</f>
        <v>253.397072710104</v>
      </c>
      <c r="S561" s="74"/>
      <c r="T561" s="75">
        <f t="shared" ref="T561:T598" si="331">SUM(125/2118)*H561</f>
        <v>0.29508970727101</v>
      </c>
      <c r="U561" s="74"/>
      <c r="V561" s="74"/>
      <c r="W561" s="76">
        <f t="shared" si="328"/>
        <v>253.692162417375</v>
      </c>
      <c r="X561" s="77">
        <f t="shared" ref="X561:X598" si="332">SUM(1358.02/2118)*H561</f>
        <v>3.20590179414542</v>
      </c>
      <c r="Y561" s="77"/>
      <c r="Z561" s="77"/>
      <c r="AA561" s="77">
        <f t="shared" si="329"/>
        <v>3.20590179414542</v>
      </c>
      <c r="AB561" s="86">
        <v>7.08</v>
      </c>
      <c r="AC561" s="74">
        <f t="shared" si="325"/>
        <v>22.6977847025496</v>
      </c>
      <c r="AD561" s="74">
        <f t="shared" si="324"/>
        <v>276.389947119924</v>
      </c>
      <c r="AE561" s="74">
        <f t="shared" si="326"/>
        <v>56.6100528800756</v>
      </c>
    </row>
    <row r="562" customFormat="1" spans="1:31">
      <c r="A562" s="18"/>
      <c r="B562" s="19"/>
      <c r="C562" s="20">
        <v>240913000036</v>
      </c>
      <c r="D562" s="21">
        <v>45558</v>
      </c>
      <c r="E562" s="21" t="s">
        <v>41</v>
      </c>
      <c r="F562" s="19" t="s">
        <v>41</v>
      </c>
      <c r="G562" s="19" t="s">
        <v>79</v>
      </c>
      <c r="H562" s="19">
        <v>9.5</v>
      </c>
      <c r="I562" s="41">
        <v>632.25</v>
      </c>
      <c r="J562" s="53"/>
      <c r="K562" s="43"/>
      <c r="L562" s="19"/>
      <c r="M562" s="43"/>
      <c r="N562" s="44"/>
      <c r="O562" s="45">
        <f t="shared" si="327"/>
        <v>632.25</v>
      </c>
      <c r="P562" s="51"/>
      <c r="Q562" s="51"/>
      <c r="R562" s="74">
        <f t="shared" si="330"/>
        <v>481.454438149197</v>
      </c>
      <c r="S562" s="74"/>
      <c r="T562" s="75">
        <f t="shared" si="331"/>
        <v>0.56067044381492</v>
      </c>
      <c r="U562" s="74">
        <v>30</v>
      </c>
      <c r="V562" s="74"/>
      <c r="W562" s="76">
        <f t="shared" si="328"/>
        <v>512.015108593012</v>
      </c>
      <c r="X562" s="77">
        <f t="shared" si="332"/>
        <v>6.0912134088763</v>
      </c>
      <c r="Y562" s="77"/>
      <c r="Z562" s="77"/>
      <c r="AA562" s="77">
        <f t="shared" si="329"/>
        <v>6.0912134088763</v>
      </c>
      <c r="AB562" s="86">
        <v>7.08</v>
      </c>
      <c r="AC562" s="74">
        <f t="shared" si="325"/>
        <v>43.1257909348442</v>
      </c>
      <c r="AD562" s="74">
        <f t="shared" si="324"/>
        <v>555.140899527856</v>
      </c>
      <c r="AE562" s="74">
        <f t="shared" si="326"/>
        <v>77.1091004721436</v>
      </c>
    </row>
    <row r="563" customFormat="1" spans="1:31">
      <c r="A563" s="18"/>
      <c r="B563" s="19"/>
      <c r="C563" s="20">
        <v>240913000038</v>
      </c>
      <c r="D563" s="21">
        <v>45558</v>
      </c>
      <c r="E563" s="21" t="s">
        <v>37</v>
      </c>
      <c r="F563" s="19" t="s">
        <v>38</v>
      </c>
      <c r="G563" s="19" t="s">
        <v>410</v>
      </c>
      <c r="H563" s="19">
        <v>5</v>
      </c>
      <c r="I563" s="41">
        <v>353</v>
      </c>
      <c r="J563" s="53"/>
      <c r="K563" s="43"/>
      <c r="L563" s="19"/>
      <c r="M563" s="43"/>
      <c r="N563" s="44"/>
      <c r="O563" s="45">
        <f t="shared" si="327"/>
        <v>353</v>
      </c>
      <c r="P563" s="51"/>
      <c r="Q563" s="51"/>
      <c r="R563" s="74">
        <f t="shared" si="330"/>
        <v>253.397072710104</v>
      </c>
      <c r="S563" s="74"/>
      <c r="T563" s="75">
        <f t="shared" si="331"/>
        <v>0.29508970727101</v>
      </c>
      <c r="U563" s="74"/>
      <c r="V563" s="74"/>
      <c r="W563" s="76">
        <f t="shared" si="328"/>
        <v>253.692162417375</v>
      </c>
      <c r="X563" s="77">
        <f t="shared" si="332"/>
        <v>3.20590179414542</v>
      </c>
      <c r="Y563" s="77"/>
      <c r="Z563" s="77"/>
      <c r="AA563" s="77">
        <f t="shared" si="329"/>
        <v>3.20590179414542</v>
      </c>
      <c r="AB563" s="86">
        <v>7.08</v>
      </c>
      <c r="AC563" s="74">
        <f t="shared" si="325"/>
        <v>22.6977847025496</v>
      </c>
      <c r="AD563" s="74">
        <f t="shared" si="324"/>
        <v>276.389947119924</v>
      </c>
      <c r="AE563" s="74">
        <f t="shared" si="326"/>
        <v>76.6100528800756</v>
      </c>
    </row>
    <row r="564" customFormat="1" spans="1:31">
      <c r="A564" s="18"/>
      <c r="B564" s="19"/>
      <c r="C564" s="20">
        <v>240913000043</v>
      </c>
      <c r="D564" s="21">
        <v>45558</v>
      </c>
      <c r="E564" s="21" t="s">
        <v>62</v>
      </c>
      <c r="F564" s="19" t="s">
        <v>63</v>
      </c>
      <c r="G564" s="19" t="s">
        <v>411</v>
      </c>
      <c r="H564" s="19">
        <v>3</v>
      </c>
      <c r="I564" s="41">
        <v>201.3</v>
      </c>
      <c r="J564" s="53"/>
      <c r="K564" s="43"/>
      <c r="L564" s="19"/>
      <c r="M564" s="43"/>
      <c r="N564" s="44"/>
      <c r="O564" s="45">
        <f t="shared" si="327"/>
        <v>201.3</v>
      </c>
      <c r="P564" s="51"/>
      <c r="Q564" s="51"/>
      <c r="R564" s="74">
        <f t="shared" si="330"/>
        <v>152.038243626062</v>
      </c>
      <c r="S564" s="74"/>
      <c r="T564" s="75">
        <f t="shared" si="331"/>
        <v>0.177053824362606</v>
      </c>
      <c r="U564" s="74"/>
      <c r="V564" s="74"/>
      <c r="W564" s="76">
        <f t="shared" si="328"/>
        <v>152.215297450425</v>
      </c>
      <c r="X564" s="77">
        <f t="shared" si="332"/>
        <v>1.92354107648725</v>
      </c>
      <c r="Y564" s="77"/>
      <c r="Z564" s="77"/>
      <c r="AA564" s="77">
        <f t="shared" si="329"/>
        <v>1.92354107648725</v>
      </c>
      <c r="AB564" s="86">
        <v>7.08</v>
      </c>
      <c r="AC564" s="74">
        <f t="shared" si="325"/>
        <v>13.6186708215297</v>
      </c>
      <c r="AD564" s="74">
        <f t="shared" si="324"/>
        <v>165.833968271955</v>
      </c>
      <c r="AE564" s="74">
        <f t="shared" si="326"/>
        <v>35.4660317280453</v>
      </c>
    </row>
    <row r="565" customFormat="1" spans="1:31">
      <c r="A565" s="18"/>
      <c r="B565" s="19"/>
      <c r="C565" s="20">
        <v>240913000044</v>
      </c>
      <c r="D565" s="21">
        <v>45558</v>
      </c>
      <c r="E565" s="21" t="s">
        <v>62</v>
      </c>
      <c r="F565" s="19" t="s">
        <v>63</v>
      </c>
      <c r="G565" s="19" t="s">
        <v>412</v>
      </c>
      <c r="H565" s="19">
        <v>0.93</v>
      </c>
      <c r="I565" s="41">
        <v>75.9</v>
      </c>
      <c r="J565" s="53"/>
      <c r="K565" s="43"/>
      <c r="L565" s="19"/>
      <c r="M565" s="43"/>
      <c r="N565" s="44"/>
      <c r="O565" s="45">
        <f t="shared" si="327"/>
        <v>75.9</v>
      </c>
      <c r="P565" s="51"/>
      <c r="Q565" s="51"/>
      <c r="R565" s="74">
        <f t="shared" si="330"/>
        <v>47.1318555240793</v>
      </c>
      <c r="S565" s="74"/>
      <c r="T565" s="75">
        <f t="shared" si="331"/>
        <v>0.0548866855524079</v>
      </c>
      <c r="U565" s="74"/>
      <c r="V565" s="74"/>
      <c r="W565" s="76">
        <f t="shared" si="328"/>
        <v>47.1867422096317</v>
      </c>
      <c r="X565" s="77">
        <f t="shared" si="332"/>
        <v>0.596297733711048</v>
      </c>
      <c r="Y565" s="77"/>
      <c r="Z565" s="77"/>
      <c r="AA565" s="77">
        <f t="shared" si="329"/>
        <v>0.596297733711048</v>
      </c>
      <c r="AB565" s="86">
        <v>7.08</v>
      </c>
      <c r="AC565" s="74">
        <f t="shared" si="325"/>
        <v>4.22178795467422</v>
      </c>
      <c r="AD565" s="74">
        <f t="shared" si="324"/>
        <v>51.408530164306</v>
      </c>
      <c r="AE565" s="74">
        <f t="shared" si="326"/>
        <v>24.4914698356941</v>
      </c>
    </row>
    <row r="566" customFormat="1" spans="1:31">
      <c r="A566" s="18"/>
      <c r="B566" s="19"/>
      <c r="C566" s="20">
        <v>240913000047</v>
      </c>
      <c r="D566" s="21">
        <v>45558</v>
      </c>
      <c r="E566" s="21" t="s">
        <v>62</v>
      </c>
      <c r="F566" s="19" t="s">
        <v>63</v>
      </c>
      <c r="G566" s="19" t="s">
        <v>413</v>
      </c>
      <c r="H566" s="19">
        <v>3</v>
      </c>
      <c r="I566" s="41">
        <v>256.2</v>
      </c>
      <c r="J566" s="53"/>
      <c r="K566" s="43"/>
      <c r="L566" s="19"/>
      <c r="M566" s="43"/>
      <c r="N566" s="44"/>
      <c r="O566" s="45">
        <f t="shared" si="327"/>
        <v>256.2</v>
      </c>
      <c r="P566" s="51"/>
      <c r="Q566" s="51"/>
      <c r="R566" s="74">
        <f t="shared" si="330"/>
        <v>152.038243626062</v>
      </c>
      <c r="S566" s="74"/>
      <c r="T566" s="75">
        <f t="shared" si="331"/>
        <v>0.177053824362606</v>
      </c>
      <c r="U566" s="74"/>
      <c r="V566" s="74"/>
      <c r="W566" s="76">
        <f t="shared" si="328"/>
        <v>152.215297450425</v>
      </c>
      <c r="X566" s="77">
        <f t="shared" si="332"/>
        <v>1.92354107648725</v>
      </c>
      <c r="Y566" s="77"/>
      <c r="Z566" s="77"/>
      <c r="AA566" s="77">
        <f t="shared" si="329"/>
        <v>1.92354107648725</v>
      </c>
      <c r="AB566" s="86">
        <v>7.08</v>
      </c>
      <c r="AC566" s="74">
        <f t="shared" si="325"/>
        <v>13.6186708215297</v>
      </c>
      <c r="AD566" s="74">
        <f t="shared" si="324"/>
        <v>165.833968271955</v>
      </c>
      <c r="AE566" s="74">
        <f t="shared" si="326"/>
        <v>90.3660317280453</v>
      </c>
    </row>
    <row r="567" customFormat="1" spans="1:31">
      <c r="A567" s="18"/>
      <c r="B567" s="19"/>
      <c r="C567" s="20">
        <v>240914000002</v>
      </c>
      <c r="D567" s="21">
        <v>45558</v>
      </c>
      <c r="E567" s="21" t="s">
        <v>41</v>
      </c>
      <c r="F567" s="19" t="s">
        <v>68</v>
      </c>
      <c r="G567" s="19" t="s">
        <v>69</v>
      </c>
      <c r="H567" s="19">
        <v>5.5</v>
      </c>
      <c r="I567" s="41">
        <v>402.6</v>
      </c>
      <c r="J567" s="53"/>
      <c r="K567" s="43"/>
      <c r="L567" s="19"/>
      <c r="M567" s="43"/>
      <c r="N567" s="44"/>
      <c r="O567" s="45">
        <f t="shared" si="327"/>
        <v>402.6</v>
      </c>
      <c r="P567" s="51"/>
      <c r="Q567" s="51"/>
      <c r="R567" s="74">
        <f t="shared" si="330"/>
        <v>278.736779981114</v>
      </c>
      <c r="S567" s="74"/>
      <c r="T567" s="75">
        <f t="shared" si="331"/>
        <v>0.324598677998111</v>
      </c>
      <c r="U567" s="74"/>
      <c r="V567" s="74"/>
      <c r="W567" s="76">
        <f t="shared" si="328"/>
        <v>279.061378659112</v>
      </c>
      <c r="X567" s="77">
        <f t="shared" si="332"/>
        <v>3.52649197355996</v>
      </c>
      <c r="Y567" s="77"/>
      <c r="Z567" s="77"/>
      <c r="AA567" s="77">
        <f t="shared" si="329"/>
        <v>3.52649197355996</v>
      </c>
      <c r="AB567" s="86">
        <v>7.08</v>
      </c>
      <c r="AC567" s="74">
        <f t="shared" si="325"/>
        <v>24.9675631728045</v>
      </c>
      <c r="AD567" s="74">
        <f t="shared" si="324"/>
        <v>304.028941831917</v>
      </c>
      <c r="AE567" s="74">
        <f t="shared" si="326"/>
        <v>98.5710581680831</v>
      </c>
    </row>
    <row r="568" customFormat="1" spans="1:31">
      <c r="A568" s="18"/>
      <c r="B568" s="19"/>
      <c r="C568" s="20">
        <v>240914000003</v>
      </c>
      <c r="D568" s="21">
        <v>45558</v>
      </c>
      <c r="E568" s="21" t="s">
        <v>41</v>
      </c>
      <c r="F568" s="19" t="s">
        <v>68</v>
      </c>
      <c r="G568" s="19" t="s">
        <v>69</v>
      </c>
      <c r="H568" s="19">
        <v>0.23</v>
      </c>
      <c r="I568" s="41">
        <v>75.9</v>
      </c>
      <c r="J568" s="53"/>
      <c r="K568" s="43"/>
      <c r="L568" s="19"/>
      <c r="M568" s="43"/>
      <c r="N568" s="44"/>
      <c r="O568" s="45">
        <f t="shared" si="327"/>
        <v>75.9</v>
      </c>
      <c r="P568" s="51"/>
      <c r="Q568" s="51"/>
      <c r="R568" s="74">
        <f t="shared" si="330"/>
        <v>11.6562653446648</v>
      </c>
      <c r="S568" s="74"/>
      <c r="T568" s="75">
        <f t="shared" si="331"/>
        <v>0.0135741265344665</v>
      </c>
      <c r="U568" s="74"/>
      <c r="V568" s="74"/>
      <c r="W568" s="76">
        <f t="shared" si="328"/>
        <v>11.6698394711992</v>
      </c>
      <c r="X568" s="77">
        <f t="shared" si="332"/>
        <v>0.147471482530689</v>
      </c>
      <c r="Y568" s="77"/>
      <c r="Z568" s="77"/>
      <c r="AA568" s="77">
        <f t="shared" si="329"/>
        <v>0.147471482530689</v>
      </c>
      <c r="AB568" s="86">
        <v>7.08</v>
      </c>
      <c r="AC568" s="74">
        <f t="shared" si="325"/>
        <v>1.04409809631728</v>
      </c>
      <c r="AD568" s="74">
        <f t="shared" si="324"/>
        <v>12.7139375675165</v>
      </c>
      <c r="AE568" s="74">
        <f t="shared" si="326"/>
        <v>63.1860624324835</v>
      </c>
    </row>
    <row r="569" customFormat="1" spans="1:31">
      <c r="A569" s="18"/>
      <c r="B569" s="19"/>
      <c r="C569" s="20">
        <v>240914000010</v>
      </c>
      <c r="D569" s="21">
        <v>45558</v>
      </c>
      <c r="E569" s="21" t="s">
        <v>50</v>
      </c>
      <c r="F569" s="19" t="s">
        <v>51</v>
      </c>
      <c r="G569" s="19" t="s">
        <v>343</v>
      </c>
      <c r="H569" s="19">
        <v>5</v>
      </c>
      <c r="I569" s="41">
        <v>390</v>
      </c>
      <c r="J569" s="53"/>
      <c r="K569" s="43"/>
      <c r="L569" s="19"/>
      <c r="M569" s="43"/>
      <c r="N569" s="44"/>
      <c r="O569" s="45">
        <f t="shared" si="327"/>
        <v>390</v>
      </c>
      <c r="P569" s="51"/>
      <c r="Q569" s="51"/>
      <c r="R569" s="74">
        <f t="shared" si="330"/>
        <v>253.397072710104</v>
      </c>
      <c r="S569" s="74"/>
      <c r="T569" s="75">
        <f t="shared" si="331"/>
        <v>0.29508970727101</v>
      </c>
      <c r="U569" s="74"/>
      <c r="V569" s="74"/>
      <c r="W569" s="76">
        <f t="shared" si="328"/>
        <v>253.692162417375</v>
      </c>
      <c r="X569" s="77">
        <f t="shared" si="332"/>
        <v>3.20590179414542</v>
      </c>
      <c r="Y569" s="77"/>
      <c r="Z569" s="77"/>
      <c r="AA569" s="77">
        <f t="shared" si="329"/>
        <v>3.20590179414542</v>
      </c>
      <c r="AB569" s="86">
        <v>7.08</v>
      </c>
      <c r="AC569" s="74">
        <f t="shared" si="325"/>
        <v>22.6977847025496</v>
      </c>
      <c r="AD569" s="74">
        <f t="shared" si="324"/>
        <v>276.389947119924</v>
      </c>
      <c r="AE569" s="74">
        <f t="shared" si="326"/>
        <v>113.610052880076</v>
      </c>
    </row>
    <row r="570" customFormat="1" spans="1:31">
      <c r="A570" s="18"/>
      <c r="B570" s="19"/>
      <c r="C570" s="20">
        <v>240914000020</v>
      </c>
      <c r="D570" s="21">
        <v>45558</v>
      </c>
      <c r="E570" s="21" t="s">
        <v>50</v>
      </c>
      <c r="F570" s="19" t="s">
        <v>51</v>
      </c>
      <c r="G570" s="19" t="s">
        <v>164</v>
      </c>
      <c r="H570" s="19">
        <v>10</v>
      </c>
      <c r="I570" s="41">
        <v>845</v>
      </c>
      <c r="J570" s="53"/>
      <c r="K570" s="43"/>
      <c r="L570" s="19"/>
      <c r="M570" s="43"/>
      <c r="N570" s="44"/>
      <c r="O570" s="45">
        <f t="shared" si="327"/>
        <v>845</v>
      </c>
      <c r="P570" s="51"/>
      <c r="Q570" s="51"/>
      <c r="R570" s="74">
        <f t="shared" si="330"/>
        <v>506.794145420208</v>
      </c>
      <c r="S570" s="74"/>
      <c r="T570" s="75">
        <f t="shared" si="331"/>
        <v>0.590179414542021</v>
      </c>
      <c r="U570" s="74"/>
      <c r="V570" s="74"/>
      <c r="W570" s="76">
        <f t="shared" si="328"/>
        <v>507.38432483475</v>
      </c>
      <c r="X570" s="77">
        <f t="shared" si="332"/>
        <v>6.41180358829084</v>
      </c>
      <c r="Y570" s="77"/>
      <c r="Z570" s="77"/>
      <c r="AA570" s="77">
        <f t="shared" si="329"/>
        <v>6.41180358829084</v>
      </c>
      <c r="AB570" s="86">
        <v>7.08</v>
      </c>
      <c r="AC570" s="74">
        <f t="shared" si="325"/>
        <v>45.3955694050992</v>
      </c>
      <c r="AD570" s="74">
        <f t="shared" si="324"/>
        <v>552.779894239849</v>
      </c>
      <c r="AE570" s="74">
        <f t="shared" si="326"/>
        <v>292.220105760151</v>
      </c>
    </row>
    <row r="571" customFormat="1" spans="1:31">
      <c r="A571" s="18"/>
      <c r="B571" s="19"/>
      <c r="C571" s="20">
        <v>240914000022</v>
      </c>
      <c r="D571" s="21">
        <v>45558</v>
      </c>
      <c r="E571" s="21" t="s">
        <v>43</v>
      </c>
      <c r="F571" s="19" t="s">
        <v>44</v>
      </c>
      <c r="G571" s="19" t="s">
        <v>414</v>
      </c>
      <c r="H571" s="19">
        <v>2.5</v>
      </c>
      <c r="I571" s="45"/>
      <c r="J571" s="54">
        <v>40700</v>
      </c>
      <c r="K571" s="43"/>
      <c r="L571" s="49">
        <f>SUM(J571/M571)</f>
        <v>1741.54906895803</v>
      </c>
      <c r="M571" s="50">
        <v>23.369999</v>
      </c>
      <c r="N571" s="44">
        <v>7.08</v>
      </c>
      <c r="O571" s="45">
        <f>SUM(M571*N571)</f>
        <v>165.45959292</v>
      </c>
      <c r="P571" s="51"/>
      <c r="Q571" s="51"/>
      <c r="R571" s="74">
        <f t="shared" si="330"/>
        <v>126.698536355052</v>
      </c>
      <c r="S571" s="74"/>
      <c r="T571" s="75">
        <f t="shared" si="331"/>
        <v>0.147544853635505</v>
      </c>
      <c r="U571" s="74"/>
      <c r="V571" s="74"/>
      <c r="W571" s="76">
        <f t="shared" si="328"/>
        <v>126.846081208687</v>
      </c>
      <c r="X571" s="77">
        <f t="shared" si="332"/>
        <v>1.60295089707271</v>
      </c>
      <c r="Y571" s="77"/>
      <c r="Z571" s="77"/>
      <c r="AA571" s="77">
        <f t="shared" si="329"/>
        <v>1.60295089707271</v>
      </c>
      <c r="AB571" s="86">
        <v>7.08</v>
      </c>
      <c r="AC571" s="74">
        <f t="shared" si="325"/>
        <v>11.3488923512748</v>
      </c>
      <c r="AD571" s="74">
        <f t="shared" si="324"/>
        <v>138.194973559962</v>
      </c>
      <c r="AE571" s="74">
        <f t="shared" si="326"/>
        <v>27.2646193600378</v>
      </c>
    </row>
    <row r="572" customFormat="1" spans="1:31">
      <c r="A572" s="18"/>
      <c r="B572" s="19"/>
      <c r="C572" s="20">
        <v>240914000025</v>
      </c>
      <c r="D572" s="21">
        <v>45558</v>
      </c>
      <c r="E572" s="21" t="s">
        <v>46</v>
      </c>
      <c r="F572" s="19" t="s">
        <v>47</v>
      </c>
      <c r="G572" s="19" t="s">
        <v>91</v>
      </c>
      <c r="H572" s="19">
        <v>2.5</v>
      </c>
      <c r="I572" s="41">
        <v>168.3</v>
      </c>
      <c r="J572" s="53"/>
      <c r="K572" s="43"/>
      <c r="L572" s="19"/>
      <c r="M572" s="43"/>
      <c r="N572" s="44"/>
      <c r="O572" s="45">
        <f t="shared" ref="O572:O576" si="333">SUM(I572)</f>
        <v>168.3</v>
      </c>
      <c r="P572" s="51"/>
      <c r="Q572" s="51"/>
      <c r="R572" s="74">
        <f t="shared" si="330"/>
        <v>126.698536355052</v>
      </c>
      <c r="S572" s="74"/>
      <c r="T572" s="75">
        <f t="shared" si="331"/>
        <v>0.147544853635505</v>
      </c>
      <c r="U572" s="74"/>
      <c r="V572" s="74"/>
      <c r="W572" s="76">
        <f t="shared" si="328"/>
        <v>126.846081208687</v>
      </c>
      <c r="X572" s="77">
        <f t="shared" si="332"/>
        <v>1.60295089707271</v>
      </c>
      <c r="Y572" s="77"/>
      <c r="Z572" s="77"/>
      <c r="AA572" s="77">
        <f t="shared" si="329"/>
        <v>1.60295089707271</v>
      </c>
      <c r="AB572" s="86">
        <v>7.08</v>
      </c>
      <c r="AC572" s="74">
        <f t="shared" si="325"/>
        <v>11.3488923512748</v>
      </c>
      <c r="AD572" s="74">
        <f t="shared" si="324"/>
        <v>138.194973559962</v>
      </c>
      <c r="AE572" s="74">
        <f t="shared" si="326"/>
        <v>30.1050264400378</v>
      </c>
    </row>
    <row r="573" customFormat="1" spans="1:31">
      <c r="A573" s="18"/>
      <c r="B573" s="19"/>
      <c r="C573" s="20">
        <v>240914000026</v>
      </c>
      <c r="D573" s="21">
        <v>45558</v>
      </c>
      <c r="E573" s="21" t="s">
        <v>37</v>
      </c>
      <c r="F573" s="19" t="s">
        <v>38</v>
      </c>
      <c r="G573" s="19" t="s">
        <v>241</v>
      </c>
      <c r="H573" s="19">
        <v>12.5</v>
      </c>
      <c r="I573" s="41">
        <v>823.5</v>
      </c>
      <c r="J573" s="53"/>
      <c r="K573" s="43"/>
      <c r="L573" s="19"/>
      <c r="M573" s="43"/>
      <c r="N573" s="44"/>
      <c r="O573" s="45">
        <f t="shared" si="333"/>
        <v>823.5</v>
      </c>
      <c r="P573" s="51"/>
      <c r="Q573" s="51"/>
      <c r="R573" s="74">
        <f t="shared" si="330"/>
        <v>633.49268177526</v>
      </c>
      <c r="S573" s="74"/>
      <c r="T573" s="75">
        <f t="shared" si="331"/>
        <v>0.737724268177526</v>
      </c>
      <c r="U573" s="74"/>
      <c r="V573" s="74"/>
      <c r="W573" s="76">
        <f t="shared" si="328"/>
        <v>634.230406043437</v>
      </c>
      <c r="X573" s="77">
        <f t="shared" si="332"/>
        <v>8.01475448536355</v>
      </c>
      <c r="Y573" s="77"/>
      <c r="Z573" s="77"/>
      <c r="AA573" s="77">
        <f t="shared" si="329"/>
        <v>8.01475448536355</v>
      </c>
      <c r="AB573" s="86">
        <v>7.08</v>
      </c>
      <c r="AC573" s="74">
        <f t="shared" si="325"/>
        <v>56.7444617563739</v>
      </c>
      <c r="AD573" s="74">
        <f t="shared" si="324"/>
        <v>690.974867799811</v>
      </c>
      <c r="AE573" s="74">
        <f t="shared" si="326"/>
        <v>132.525132200189</v>
      </c>
    </row>
    <row r="574" customFormat="1" spans="1:31">
      <c r="A574" s="18"/>
      <c r="B574" s="19"/>
      <c r="C574" s="22">
        <v>240914000028</v>
      </c>
      <c r="D574" s="23">
        <v>45558</v>
      </c>
      <c r="E574" s="21" t="s">
        <v>62</v>
      </c>
      <c r="F574" s="24" t="s">
        <v>63</v>
      </c>
      <c r="G574" s="24" t="s">
        <v>415</v>
      </c>
      <c r="H574" s="24">
        <v>5</v>
      </c>
      <c r="I574" s="55">
        <v>333.3</v>
      </c>
      <c r="J574" s="53"/>
      <c r="K574" s="43"/>
      <c r="L574" s="19"/>
      <c r="M574" s="43"/>
      <c r="N574" s="44"/>
      <c r="O574" s="45">
        <f t="shared" si="333"/>
        <v>333.3</v>
      </c>
      <c r="P574" s="51"/>
      <c r="Q574" s="51"/>
      <c r="R574" s="74">
        <f t="shared" si="330"/>
        <v>253.397072710104</v>
      </c>
      <c r="S574" s="74"/>
      <c r="T574" s="75">
        <f t="shared" si="331"/>
        <v>0.29508970727101</v>
      </c>
      <c r="U574" s="74"/>
      <c r="V574" s="74"/>
      <c r="W574" s="76">
        <f t="shared" si="328"/>
        <v>253.692162417375</v>
      </c>
      <c r="X574" s="77">
        <f t="shared" si="332"/>
        <v>3.20590179414542</v>
      </c>
      <c r="Y574" s="77"/>
      <c r="Z574" s="77"/>
      <c r="AA574" s="77">
        <f t="shared" si="329"/>
        <v>3.20590179414542</v>
      </c>
      <c r="AB574" s="86">
        <v>7.08</v>
      </c>
      <c r="AC574" s="74">
        <f t="shared" si="325"/>
        <v>22.6977847025496</v>
      </c>
      <c r="AD574" s="74">
        <f t="shared" si="324"/>
        <v>276.389947119924</v>
      </c>
      <c r="AE574" s="74">
        <f t="shared" si="326"/>
        <v>56.9100528800756</v>
      </c>
    </row>
    <row r="575" customFormat="1" spans="1:31">
      <c r="A575" s="18"/>
      <c r="B575" s="19"/>
      <c r="C575" s="20">
        <v>240914000031</v>
      </c>
      <c r="D575" s="21">
        <v>45558</v>
      </c>
      <c r="E575" s="21" t="s">
        <v>50</v>
      </c>
      <c r="F575" s="19" t="s">
        <v>51</v>
      </c>
      <c r="G575" s="19" t="s">
        <v>141</v>
      </c>
      <c r="H575" s="19">
        <v>6</v>
      </c>
      <c r="I575" s="41">
        <v>485</v>
      </c>
      <c r="J575" s="53"/>
      <c r="K575" s="43"/>
      <c r="L575" s="19"/>
      <c r="M575" s="43"/>
      <c r="N575" s="44"/>
      <c r="O575" s="45">
        <f t="shared" si="333"/>
        <v>485</v>
      </c>
      <c r="P575" s="51"/>
      <c r="Q575" s="51"/>
      <c r="R575" s="74">
        <f t="shared" si="330"/>
        <v>304.076487252125</v>
      </c>
      <c r="S575" s="74"/>
      <c r="T575" s="75">
        <f t="shared" si="331"/>
        <v>0.354107648725212</v>
      </c>
      <c r="U575" s="74"/>
      <c r="V575" s="74"/>
      <c r="W575" s="76">
        <f t="shared" si="328"/>
        <v>304.43059490085</v>
      </c>
      <c r="X575" s="77">
        <f t="shared" si="332"/>
        <v>3.8470821529745</v>
      </c>
      <c r="Y575" s="77">
        <v>17.65</v>
      </c>
      <c r="Z575" s="77"/>
      <c r="AA575" s="77">
        <f t="shared" si="329"/>
        <v>21.4970821529745</v>
      </c>
      <c r="AB575" s="86">
        <v>7.08</v>
      </c>
      <c r="AC575" s="74">
        <f t="shared" si="325"/>
        <v>152.199341643059</v>
      </c>
      <c r="AD575" s="74">
        <f t="shared" si="324"/>
        <v>456.629936543909</v>
      </c>
      <c r="AE575" s="74">
        <f t="shared" si="326"/>
        <v>28.3700634560906</v>
      </c>
    </row>
    <row r="576" customFormat="1" spans="1:31">
      <c r="A576" s="18"/>
      <c r="B576" s="19"/>
      <c r="C576" s="20">
        <v>240914000038</v>
      </c>
      <c r="D576" s="21">
        <v>45558</v>
      </c>
      <c r="E576" s="21" t="s">
        <v>50</v>
      </c>
      <c r="F576" s="19" t="s">
        <v>51</v>
      </c>
      <c r="G576" s="19" t="s">
        <v>159</v>
      </c>
      <c r="H576" s="19">
        <v>2.5</v>
      </c>
      <c r="I576" s="41">
        <v>235</v>
      </c>
      <c r="J576" s="53"/>
      <c r="K576" s="43"/>
      <c r="L576" s="19"/>
      <c r="M576" s="43"/>
      <c r="N576" s="44"/>
      <c r="O576" s="45">
        <f t="shared" si="333"/>
        <v>235</v>
      </c>
      <c r="P576" s="51"/>
      <c r="Q576" s="51"/>
      <c r="R576" s="74">
        <f t="shared" si="330"/>
        <v>126.698536355052</v>
      </c>
      <c r="S576" s="74"/>
      <c r="T576" s="75">
        <f t="shared" si="331"/>
        <v>0.147544853635505</v>
      </c>
      <c r="U576" s="74"/>
      <c r="V576" s="74"/>
      <c r="W576" s="76">
        <f t="shared" si="328"/>
        <v>126.846081208687</v>
      </c>
      <c r="X576" s="77">
        <f t="shared" si="332"/>
        <v>1.60295089707271</v>
      </c>
      <c r="Y576" s="77">
        <v>12.7</v>
      </c>
      <c r="Z576" s="77"/>
      <c r="AA576" s="77">
        <f t="shared" si="329"/>
        <v>14.3029508970727</v>
      </c>
      <c r="AB576" s="86">
        <v>7.08</v>
      </c>
      <c r="AC576" s="74">
        <f t="shared" si="325"/>
        <v>101.264892351275</v>
      </c>
      <c r="AD576" s="74">
        <f t="shared" si="324"/>
        <v>228.110973559962</v>
      </c>
      <c r="AE576" s="74">
        <f t="shared" si="326"/>
        <v>6.88902644003778</v>
      </c>
    </row>
    <row r="577" customFormat="1" spans="1:31">
      <c r="A577" s="18"/>
      <c r="B577" s="19"/>
      <c r="C577" s="20">
        <v>240914000044</v>
      </c>
      <c r="D577" s="21">
        <v>45558</v>
      </c>
      <c r="E577" s="21" t="s">
        <v>50</v>
      </c>
      <c r="F577" s="19" t="s">
        <v>51</v>
      </c>
      <c r="G577" s="19" t="s">
        <v>57</v>
      </c>
      <c r="H577" s="19">
        <v>0.3</v>
      </c>
      <c r="I577" s="47"/>
      <c r="J577" s="54">
        <v>14700</v>
      </c>
      <c r="K577" s="43"/>
      <c r="L577" s="49">
        <f t="shared" ref="L577:L582" si="334">SUM(J577/M577)</f>
        <v>1735.53719008264</v>
      </c>
      <c r="M577" s="50">
        <v>8.47</v>
      </c>
      <c r="N577" s="44">
        <v>7.08</v>
      </c>
      <c r="O577" s="45">
        <f t="shared" ref="O577:O582" si="335">SUM(M577*N577)</f>
        <v>59.9676</v>
      </c>
      <c r="P577" s="51"/>
      <c r="Q577" s="51"/>
      <c r="R577" s="74">
        <f t="shared" si="330"/>
        <v>15.2038243626062</v>
      </c>
      <c r="S577" s="74"/>
      <c r="T577" s="75">
        <f t="shared" si="331"/>
        <v>0.0177053824362606</v>
      </c>
      <c r="U577" s="74"/>
      <c r="V577" s="74"/>
      <c r="W577" s="76">
        <f t="shared" si="328"/>
        <v>15.2215297450425</v>
      </c>
      <c r="X577" s="77">
        <f t="shared" si="332"/>
        <v>0.192354107648725</v>
      </c>
      <c r="Y577" s="77"/>
      <c r="Z577" s="77"/>
      <c r="AA577" s="77">
        <f t="shared" si="329"/>
        <v>0.192354107648725</v>
      </c>
      <c r="AB577" s="86">
        <v>7.08</v>
      </c>
      <c r="AC577" s="74">
        <f t="shared" si="325"/>
        <v>1.36186708215297</v>
      </c>
      <c r="AD577" s="74">
        <f t="shared" si="324"/>
        <v>16.5833968271955</v>
      </c>
      <c r="AE577" s="74">
        <f t="shared" si="326"/>
        <v>43.3842031728045</v>
      </c>
    </row>
    <row r="578" customFormat="1" spans="1:31">
      <c r="A578" s="18"/>
      <c r="B578" s="19"/>
      <c r="C578" s="20">
        <v>240914000047</v>
      </c>
      <c r="D578" s="21">
        <v>45558</v>
      </c>
      <c r="E578" s="21" t="s">
        <v>46</v>
      </c>
      <c r="F578" s="19" t="s">
        <v>47</v>
      </c>
      <c r="G578" s="19" t="s">
        <v>416</v>
      </c>
      <c r="H578" s="19">
        <v>7.5</v>
      </c>
      <c r="I578" s="41">
        <v>606</v>
      </c>
      <c r="J578" s="53"/>
      <c r="K578" s="43"/>
      <c r="L578" s="19"/>
      <c r="M578" s="43"/>
      <c r="N578" s="44"/>
      <c r="O578" s="45">
        <f t="shared" ref="O578:O586" si="336">SUM(I578)</f>
        <v>606</v>
      </c>
      <c r="P578" s="51"/>
      <c r="Q578" s="51"/>
      <c r="R578" s="74">
        <f t="shared" si="330"/>
        <v>380.095609065156</v>
      </c>
      <c r="S578" s="74"/>
      <c r="T578" s="75">
        <f t="shared" si="331"/>
        <v>0.442634560906516</v>
      </c>
      <c r="U578" s="74"/>
      <c r="V578" s="74"/>
      <c r="W578" s="76">
        <f t="shared" si="328"/>
        <v>380.538243626062</v>
      </c>
      <c r="X578" s="77">
        <f t="shared" si="332"/>
        <v>4.80885269121813</v>
      </c>
      <c r="Y578" s="77"/>
      <c r="Z578" s="77"/>
      <c r="AA578" s="77">
        <f t="shared" si="329"/>
        <v>4.80885269121813</v>
      </c>
      <c r="AB578" s="86">
        <v>7.08</v>
      </c>
      <c r="AC578" s="74">
        <f t="shared" si="325"/>
        <v>34.0466770538244</v>
      </c>
      <c r="AD578" s="74">
        <f t="shared" si="324"/>
        <v>414.584920679887</v>
      </c>
      <c r="AE578" s="74">
        <f t="shared" si="326"/>
        <v>191.415079320113</v>
      </c>
    </row>
    <row r="579" customFormat="1" spans="1:31">
      <c r="A579" s="18"/>
      <c r="B579" s="19"/>
      <c r="C579" s="20">
        <v>240914000049</v>
      </c>
      <c r="D579" s="21">
        <v>45558</v>
      </c>
      <c r="E579" s="21" t="s">
        <v>62</v>
      </c>
      <c r="F579" s="19" t="s">
        <v>63</v>
      </c>
      <c r="G579" s="19" t="s">
        <v>417</v>
      </c>
      <c r="H579" s="19">
        <v>7.5</v>
      </c>
      <c r="I579" s="92">
        <v>487</v>
      </c>
      <c r="J579" s="53"/>
      <c r="K579" s="43"/>
      <c r="L579" s="19"/>
      <c r="M579" s="43"/>
      <c r="N579" s="44"/>
      <c r="O579" s="45">
        <f>SUBTOTAL(9,I579)</f>
        <v>487</v>
      </c>
      <c r="P579" s="51"/>
      <c r="Q579" s="51"/>
      <c r="R579" s="74">
        <f t="shared" si="330"/>
        <v>380.095609065156</v>
      </c>
      <c r="S579" s="74"/>
      <c r="T579" s="75">
        <f t="shared" si="331"/>
        <v>0.442634560906516</v>
      </c>
      <c r="U579" s="74"/>
      <c r="V579" s="74"/>
      <c r="W579" s="76">
        <f t="shared" si="328"/>
        <v>380.538243626062</v>
      </c>
      <c r="X579" s="77">
        <f t="shared" si="332"/>
        <v>4.80885269121813</v>
      </c>
      <c r="Y579" s="77"/>
      <c r="Z579" s="77"/>
      <c r="AA579" s="77">
        <f t="shared" si="329"/>
        <v>4.80885269121813</v>
      </c>
      <c r="AB579" s="86">
        <v>7.08</v>
      </c>
      <c r="AC579" s="74">
        <f t="shared" si="325"/>
        <v>34.0466770538244</v>
      </c>
      <c r="AD579" s="74">
        <f t="shared" si="324"/>
        <v>414.584920679887</v>
      </c>
      <c r="AE579" s="74">
        <f t="shared" si="326"/>
        <v>72.4150793201134</v>
      </c>
    </row>
    <row r="580" customFormat="1" spans="1:31">
      <c r="A580" s="18"/>
      <c r="B580" s="19"/>
      <c r="C580" s="20">
        <v>240914000065</v>
      </c>
      <c r="D580" s="21">
        <v>45558</v>
      </c>
      <c r="E580" s="21" t="s">
        <v>62</v>
      </c>
      <c r="F580" s="19" t="s">
        <v>63</v>
      </c>
      <c r="G580" s="19" t="s">
        <v>340</v>
      </c>
      <c r="H580" s="19">
        <v>3.5</v>
      </c>
      <c r="I580" s="41">
        <v>234.3</v>
      </c>
      <c r="J580" s="53"/>
      <c r="K580" s="43"/>
      <c r="L580" s="19"/>
      <c r="M580" s="43"/>
      <c r="N580" s="44"/>
      <c r="O580" s="45">
        <f t="shared" si="336"/>
        <v>234.3</v>
      </c>
      <c r="P580" s="51"/>
      <c r="Q580" s="51"/>
      <c r="R580" s="74">
        <f t="shared" si="330"/>
        <v>177.377950897073</v>
      </c>
      <c r="S580" s="74"/>
      <c r="T580" s="75">
        <f t="shared" si="331"/>
        <v>0.206562795089707</v>
      </c>
      <c r="U580" s="74"/>
      <c r="V580" s="74"/>
      <c r="W580" s="76">
        <f t="shared" si="328"/>
        <v>177.584513692162</v>
      </c>
      <c r="X580" s="77">
        <f t="shared" si="332"/>
        <v>2.24413125590179</v>
      </c>
      <c r="Y580" s="77"/>
      <c r="Z580" s="77"/>
      <c r="AA580" s="77">
        <f t="shared" si="329"/>
        <v>2.24413125590179</v>
      </c>
      <c r="AB580" s="86">
        <v>7.08</v>
      </c>
      <c r="AC580" s="74">
        <f t="shared" si="325"/>
        <v>15.8884492917847</v>
      </c>
      <c r="AD580" s="74">
        <f t="shared" si="324"/>
        <v>193.472962983947</v>
      </c>
      <c r="AE580" s="74">
        <f t="shared" si="326"/>
        <v>40.8270370160529</v>
      </c>
    </row>
    <row r="581" customFormat="1" spans="1:31">
      <c r="A581" s="18"/>
      <c r="B581" s="19"/>
      <c r="C581" s="20">
        <v>240914000070</v>
      </c>
      <c r="D581" s="21">
        <v>45558</v>
      </c>
      <c r="E581" s="21" t="s">
        <v>96</v>
      </c>
      <c r="F581" s="19" t="s">
        <v>209</v>
      </c>
      <c r="G581" s="19" t="s">
        <v>405</v>
      </c>
      <c r="H581" s="19">
        <v>0.42</v>
      </c>
      <c r="I581" s="45"/>
      <c r="J581" s="54">
        <v>16834</v>
      </c>
      <c r="K581" s="43"/>
      <c r="L581" s="49">
        <f t="shared" si="334"/>
        <v>1739.04958677686</v>
      </c>
      <c r="M581" s="50">
        <v>9.68</v>
      </c>
      <c r="N581" s="44">
        <v>7.08</v>
      </c>
      <c r="O581" s="45">
        <f t="shared" si="335"/>
        <v>68.5344</v>
      </c>
      <c r="P581" s="51"/>
      <c r="Q581" s="51"/>
      <c r="R581" s="74">
        <f t="shared" si="330"/>
        <v>21.2853541076487</v>
      </c>
      <c r="S581" s="74"/>
      <c r="T581" s="75">
        <f t="shared" si="331"/>
        <v>0.0247875354107649</v>
      </c>
      <c r="U581" s="74"/>
      <c r="V581" s="74"/>
      <c r="W581" s="76">
        <f t="shared" si="328"/>
        <v>21.3101416430595</v>
      </c>
      <c r="X581" s="77">
        <f t="shared" si="332"/>
        <v>0.269295750708215</v>
      </c>
      <c r="Y581" s="77"/>
      <c r="Z581" s="77"/>
      <c r="AA581" s="77">
        <f t="shared" si="329"/>
        <v>0.269295750708215</v>
      </c>
      <c r="AB581" s="86">
        <v>7.08</v>
      </c>
      <c r="AC581" s="74">
        <f t="shared" si="325"/>
        <v>1.90661391501416</v>
      </c>
      <c r="AD581" s="74">
        <f t="shared" si="324"/>
        <v>23.2167555580737</v>
      </c>
      <c r="AE581" s="74">
        <f t="shared" si="326"/>
        <v>45.3176444419263</v>
      </c>
    </row>
    <row r="582" customFormat="1" spans="1:31">
      <c r="A582" s="18"/>
      <c r="B582" s="19"/>
      <c r="C582" s="20">
        <v>240914000072</v>
      </c>
      <c r="D582" s="21">
        <v>45558</v>
      </c>
      <c r="E582" s="21" t="s">
        <v>41</v>
      </c>
      <c r="F582" s="19" t="s">
        <v>41</v>
      </c>
      <c r="G582" s="19" t="s">
        <v>325</v>
      </c>
      <c r="H582" s="19">
        <v>5.5</v>
      </c>
      <c r="I582" s="45"/>
      <c r="J582" s="54">
        <v>97558</v>
      </c>
      <c r="K582" s="43"/>
      <c r="L582" s="49">
        <f t="shared" si="334"/>
        <v>1739.00178253119</v>
      </c>
      <c r="M582" s="50">
        <v>56.1</v>
      </c>
      <c r="N582" s="44">
        <v>7.08</v>
      </c>
      <c r="O582" s="45">
        <f t="shared" si="335"/>
        <v>397.188</v>
      </c>
      <c r="P582" s="51"/>
      <c r="Q582" s="51"/>
      <c r="R582" s="74">
        <f t="shared" si="330"/>
        <v>278.736779981114</v>
      </c>
      <c r="S582" s="74"/>
      <c r="T582" s="75">
        <f t="shared" si="331"/>
        <v>0.324598677998111</v>
      </c>
      <c r="U582" s="74"/>
      <c r="V582" s="74"/>
      <c r="W582" s="76">
        <f t="shared" si="328"/>
        <v>279.061378659112</v>
      </c>
      <c r="X582" s="77">
        <f t="shared" si="332"/>
        <v>3.52649197355996</v>
      </c>
      <c r="Y582" s="77"/>
      <c r="Z582" s="77"/>
      <c r="AA582" s="77">
        <f t="shared" si="329"/>
        <v>3.52649197355996</v>
      </c>
      <c r="AB582" s="86">
        <v>7.08</v>
      </c>
      <c r="AC582" s="74">
        <f t="shared" si="325"/>
        <v>24.9675631728045</v>
      </c>
      <c r="AD582" s="74">
        <f t="shared" si="324"/>
        <v>304.028941831917</v>
      </c>
      <c r="AE582" s="74">
        <f t="shared" si="326"/>
        <v>93.1590581680831</v>
      </c>
    </row>
    <row r="583" customFormat="1" spans="1:31">
      <c r="A583" s="18"/>
      <c r="B583" s="19"/>
      <c r="C583" s="20">
        <v>240915000014</v>
      </c>
      <c r="D583" s="21">
        <v>45558</v>
      </c>
      <c r="E583" s="21" t="s">
        <v>62</v>
      </c>
      <c r="F583" s="19" t="s">
        <v>63</v>
      </c>
      <c r="G583" s="19" t="s">
        <v>398</v>
      </c>
      <c r="H583" s="19">
        <v>2</v>
      </c>
      <c r="I583" s="41">
        <v>148.5</v>
      </c>
      <c r="J583" s="53"/>
      <c r="K583" s="43"/>
      <c r="L583" s="19"/>
      <c r="M583" s="43"/>
      <c r="N583" s="44"/>
      <c r="O583" s="45">
        <f t="shared" si="336"/>
        <v>148.5</v>
      </c>
      <c r="P583" s="51"/>
      <c r="Q583" s="51"/>
      <c r="R583" s="74">
        <f t="shared" si="330"/>
        <v>101.358829084042</v>
      </c>
      <c r="S583" s="74"/>
      <c r="T583" s="75">
        <f t="shared" si="331"/>
        <v>0.118035882908404</v>
      </c>
      <c r="U583" s="74"/>
      <c r="V583" s="74"/>
      <c r="W583" s="76">
        <f t="shared" si="328"/>
        <v>101.47686496695</v>
      </c>
      <c r="X583" s="77">
        <f t="shared" si="332"/>
        <v>1.28236071765817</v>
      </c>
      <c r="Y583" s="77"/>
      <c r="Z583" s="77"/>
      <c r="AA583" s="77">
        <f t="shared" si="329"/>
        <v>1.28236071765817</v>
      </c>
      <c r="AB583" s="86">
        <v>7.08</v>
      </c>
      <c r="AC583" s="74">
        <f t="shared" si="325"/>
        <v>9.07911388101983</v>
      </c>
      <c r="AD583" s="74">
        <f t="shared" si="324"/>
        <v>110.55597884797</v>
      </c>
      <c r="AE583" s="74">
        <f t="shared" si="326"/>
        <v>37.9440211520302</v>
      </c>
    </row>
    <row r="584" customFormat="1" spans="1:31">
      <c r="A584" s="18"/>
      <c r="B584" s="19"/>
      <c r="C584" s="20">
        <v>240915000019</v>
      </c>
      <c r="D584" s="21">
        <v>45558</v>
      </c>
      <c r="E584" s="21" t="s">
        <v>50</v>
      </c>
      <c r="F584" s="19" t="s">
        <v>51</v>
      </c>
      <c r="G584" s="19" t="s">
        <v>418</v>
      </c>
      <c r="H584" s="19">
        <v>5.5</v>
      </c>
      <c r="I584" s="41">
        <v>680</v>
      </c>
      <c r="J584" s="53"/>
      <c r="K584" s="43"/>
      <c r="L584" s="19"/>
      <c r="M584" s="43"/>
      <c r="N584" s="44"/>
      <c r="O584" s="45">
        <f t="shared" si="336"/>
        <v>680</v>
      </c>
      <c r="P584" s="51"/>
      <c r="Q584" s="51"/>
      <c r="R584" s="74">
        <f t="shared" si="330"/>
        <v>278.736779981114</v>
      </c>
      <c r="S584" s="74"/>
      <c r="T584" s="75">
        <f t="shared" si="331"/>
        <v>0.324598677998111</v>
      </c>
      <c r="U584" s="74"/>
      <c r="V584" s="74"/>
      <c r="W584" s="76">
        <f t="shared" si="328"/>
        <v>279.061378659112</v>
      </c>
      <c r="X584" s="77">
        <f t="shared" si="332"/>
        <v>3.52649197355996</v>
      </c>
      <c r="Y584" s="77"/>
      <c r="Z584" s="77"/>
      <c r="AA584" s="77">
        <f t="shared" si="329"/>
        <v>3.52649197355996</v>
      </c>
      <c r="AB584" s="86">
        <v>7.08</v>
      </c>
      <c r="AC584" s="74">
        <f t="shared" si="325"/>
        <v>24.9675631728045</v>
      </c>
      <c r="AD584" s="74">
        <f t="shared" si="324"/>
        <v>304.028941831917</v>
      </c>
      <c r="AE584" s="74">
        <f t="shared" si="326"/>
        <v>375.971058168083</v>
      </c>
    </row>
    <row r="585" customFormat="1" spans="1:31">
      <c r="A585" s="18"/>
      <c r="B585" s="19"/>
      <c r="C585" s="20">
        <v>240915000020</v>
      </c>
      <c r="D585" s="21">
        <v>45558</v>
      </c>
      <c r="E585" s="21" t="s">
        <v>62</v>
      </c>
      <c r="F585" s="19" t="s">
        <v>63</v>
      </c>
      <c r="G585" s="19" t="s">
        <v>419</v>
      </c>
      <c r="H585" s="19">
        <v>3</v>
      </c>
      <c r="I585" s="41">
        <v>221.1</v>
      </c>
      <c r="J585" s="53"/>
      <c r="K585" s="43"/>
      <c r="L585" s="19"/>
      <c r="M585" s="43"/>
      <c r="N585" s="44"/>
      <c r="O585" s="45">
        <f t="shared" si="336"/>
        <v>221.1</v>
      </c>
      <c r="P585" s="51"/>
      <c r="Q585" s="51"/>
      <c r="R585" s="74">
        <f t="shared" si="330"/>
        <v>152.038243626062</v>
      </c>
      <c r="S585" s="74"/>
      <c r="T585" s="75">
        <f t="shared" si="331"/>
        <v>0.177053824362606</v>
      </c>
      <c r="U585" s="74"/>
      <c r="V585" s="74"/>
      <c r="W585" s="76">
        <f t="shared" si="328"/>
        <v>152.215297450425</v>
      </c>
      <c r="X585" s="77">
        <f t="shared" si="332"/>
        <v>1.92354107648725</v>
      </c>
      <c r="Y585" s="77"/>
      <c r="Z585" s="77"/>
      <c r="AA585" s="77">
        <f t="shared" si="329"/>
        <v>1.92354107648725</v>
      </c>
      <c r="AB585" s="86">
        <v>7.08</v>
      </c>
      <c r="AC585" s="74">
        <f t="shared" si="325"/>
        <v>13.6186708215297</v>
      </c>
      <c r="AD585" s="74">
        <f t="shared" si="324"/>
        <v>165.833968271955</v>
      </c>
      <c r="AE585" s="74">
        <f t="shared" si="326"/>
        <v>55.2660317280453</v>
      </c>
    </row>
    <row r="586" customFormat="1" spans="1:31">
      <c r="A586" s="18"/>
      <c r="B586" s="19"/>
      <c r="C586" s="20">
        <v>240915000022</v>
      </c>
      <c r="D586" s="21">
        <v>45558</v>
      </c>
      <c r="E586" s="21" t="s">
        <v>50</v>
      </c>
      <c r="F586" s="19" t="s">
        <v>51</v>
      </c>
      <c r="G586" s="19" t="s">
        <v>420</v>
      </c>
      <c r="H586" s="19">
        <v>3</v>
      </c>
      <c r="I586" s="41">
        <v>195</v>
      </c>
      <c r="J586" s="53"/>
      <c r="K586" s="43"/>
      <c r="L586" s="19"/>
      <c r="M586" s="43"/>
      <c r="N586" s="44"/>
      <c r="O586" s="45">
        <f t="shared" si="336"/>
        <v>195</v>
      </c>
      <c r="P586" s="51"/>
      <c r="Q586" s="51"/>
      <c r="R586" s="74">
        <f t="shared" si="330"/>
        <v>152.038243626062</v>
      </c>
      <c r="S586" s="74"/>
      <c r="T586" s="75">
        <f t="shared" si="331"/>
        <v>0.177053824362606</v>
      </c>
      <c r="U586" s="74"/>
      <c r="V586" s="74"/>
      <c r="W586" s="76">
        <f t="shared" si="328"/>
        <v>152.215297450425</v>
      </c>
      <c r="X586" s="77">
        <f t="shared" si="332"/>
        <v>1.92354107648725</v>
      </c>
      <c r="Y586" s="77"/>
      <c r="Z586" s="77"/>
      <c r="AA586" s="77">
        <f t="shared" si="329"/>
        <v>1.92354107648725</v>
      </c>
      <c r="AB586" s="86">
        <v>7.08</v>
      </c>
      <c r="AC586" s="74">
        <f t="shared" si="325"/>
        <v>13.6186708215297</v>
      </c>
      <c r="AD586" s="74">
        <f t="shared" si="324"/>
        <v>165.833968271955</v>
      </c>
      <c r="AE586" s="74">
        <f t="shared" si="326"/>
        <v>29.1660317280453</v>
      </c>
    </row>
    <row r="587" customFormat="1" spans="1:31">
      <c r="A587" s="18"/>
      <c r="B587" s="19"/>
      <c r="C587" s="20">
        <v>240915000024</v>
      </c>
      <c r="D587" s="21">
        <v>45558</v>
      </c>
      <c r="E587" s="21" t="s">
        <v>50</v>
      </c>
      <c r="F587" s="19" t="s">
        <v>51</v>
      </c>
      <c r="G587" s="19" t="s">
        <v>263</v>
      </c>
      <c r="H587" s="19">
        <v>5.5</v>
      </c>
      <c r="I587" s="47"/>
      <c r="J587" s="54">
        <v>107800</v>
      </c>
      <c r="K587" s="43"/>
      <c r="L587" s="49">
        <f>SUM(J587/M587)</f>
        <v>1734.79240424847</v>
      </c>
      <c r="M587" s="50">
        <v>62.14</v>
      </c>
      <c r="N587" s="44">
        <v>7.08</v>
      </c>
      <c r="O587" s="45">
        <f>SUM(M587*N587)</f>
        <v>439.9512</v>
      </c>
      <c r="P587" s="51"/>
      <c r="Q587" s="51"/>
      <c r="R587" s="74">
        <f t="shared" si="330"/>
        <v>278.736779981114</v>
      </c>
      <c r="S587" s="74"/>
      <c r="T587" s="75">
        <f t="shared" si="331"/>
        <v>0.324598677998111</v>
      </c>
      <c r="U587" s="74"/>
      <c r="V587" s="74"/>
      <c r="W587" s="76">
        <f t="shared" si="328"/>
        <v>279.061378659112</v>
      </c>
      <c r="X587" s="77">
        <f t="shared" si="332"/>
        <v>3.52649197355996</v>
      </c>
      <c r="Y587" s="77"/>
      <c r="Z587" s="77"/>
      <c r="AA587" s="77">
        <f t="shared" si="329"/>
        <v>3.52649197355996</v>
      </c>
      <c r="AB587" s="86">
        <v>7.08</v>
      </c>
      <c r="AC587" s="74">
        <f t="shared" si="325"/>
        <v>24.9675631728045</v>
      </c>
      <c r="AD587" s="74">
        <f t="shared" si="324"/>
        <v>304.028941831917</v>
      </c>
      <c r="AE587" s="74">
        <f t="shared" si="326"/>
        <v>135.922258168083</v>
      </c>
    </row>
    <row r="588" customFormat="1" spans="1:31">
      <c r="A588" s="18"/>
      <c r="B588" s="19"/>
      <c r="C588" s="20">
        <v>240915000026</v>
      </c>
      <c r="D588" s="21">
        <v>45558</v>
      </c>
      <c r="E588" s="21" t="s">
        <v>50</v>
      </c>
      <c r="F588" s="19" t="s">
        <v>51</v>
      </c>
      <c r="G588" s="19" t="s">
        <v>52</v>
      </c>
      <c r="H588" s="19">
        <v>1</v>
      </c>
      <c r="I588" s="47"/>
      <c r="J588" s="54">
        <v>23887</v>
      </c>
      <c r="K588" s="43"/>
      <c r="L588" s="49">
        <f>SUM(J588/M588)</f>
        <v>1734.71314451707</v>
      </c>
      <c r="M588" s="50">
        <v>13.77</v>
      </c>
      <c r="N588" s="44">
        <v>7.08</v>
      </c>
      <c r="O588" s="45">
        <f>SUM(M588*N588)</f>
        <v>97.4916</v>
      </c>
      <c r="P588" s="51"/>
      <c r="Q588" s="51"/>
      <c r="R588" s="74">
        <f t="shared" si="330"/>
        <v>50.6794145420208</v>
      </c>
      <c r="S588" s="74"/>
      <c r="T588" s="75">
        <f t="shared" si="331"/>
        <v>0.0590179414542021</v>
      </c>
      <c r="U588" s="74"/>
      <c r="V588" s="74"/>
      <c r="W588" s="76">
        <f t="shared" si="328"/>
        <v>50.738432483475</v>
      </c>
      <c r="X588" s="77">
        <f t="shared" si="332"/>
        <v>0.641180358829084</v>
      </c>
      <c r="Y588" s="77"/>
      <c r="Z588" s="77"/>
      <c r="AA588" s="77">
        <f t="shared" si="329"/>
        <v>0.641180358829084</v>
      </c>
      <c r="AB588" s="86">
        <v>7.08</v>
      </c>
      <c r="AC588" s="74">
        <f t="shared" si="325"/>
        <v>4.53955694050992</v>
      </c>
      <c r="AD588" s="74">
        <f t="shared" si="324"/>
        <v>55.2779894239849</v>
      </c>
      <c r="AE588" s="74">
        <f t="shared" si="326"/>
        <v>42.2136105760151</v>
      </c>
    </row>
    <row r="589" customFormat="1" spans="1:31">
      <c r="A589" s="18"/>
      <c r="B589" s="19"/>
      <c r="C589" s="20">
        <v>240915000028</v>
      </c>
      <c r="D589" s="21">
        <v>45558</v>
      </c>
      <c r="E589" s="21" t="s">
        <v>50</v>
      </c>
      <c r="F589" s="19" t="s">
        <v>51</v>
      </c>
      <c r="G589" s="19" t="s">
        <v>54</v>
      </c>
      <c r="H589" s="19">
        <v>5</v>
      </c>
      <c r="I589" s="41">
        <v>340</v>
      </c>
      <c r="J589" s="53"/>
      <c r="K589" s="43"/>
      <c r="L589" s="19"/>
      <c r="M589" s="43"/>
      <c r="N589" s="44"/>
      <c r="O589" s="45">
        <f t="shared" ref="O589:O600" si="337">SUM(I589)</f>
        <v>340</v>
      </c>
      <c r="P589" s="51"/>
      <c r="Q589" s="51"/>
      <c r="R589" s="74">
        <f t="shared" si="330"/>
        <v>253.397072710104</v>
      </c>
      <c r="S589" s="74"/>
      <c r="T589" s="75">
        <f t="shared" si="331"/>
        <v>0.29508970727101</v>
      </c>
      <c r="U589" s="74"/>
      <c r="V589" s="74"/>
      <c r="W589" s="76">
        <f t="shared" si="328"/>
        <v>253.692162417375</v>
      </c>
      <c r="X589" s="77">
        <f t="shared" si="332"/>
        <v>3.20590179414542</v>
      </c>
      <c r="Y589" s="77"/>
      <c r="Z589" s="77"/>
      <c r="AA589" s="77">
        <f t="shared" si="329"/>
        <v>3.20590179414542</v>
      </c>
      <c r="AB589" s="86">
        <v>7.08</v>
      </c>
      <c r="AC589" s="74">
        <f t="shared" si="325"/>
        <v>22.6977847025496</v>
      </c>
      <c r="AD589" s="74">
        <f t="shared" si="324"/>
        <v>276.389947119924</v>
      </c>
      <c r="AE589" s="74">
        <f t="shared" si="326"/>
        <v>63.6100528800756</v>
      </c>
    </row>
    <row r="590" customFormat="1" spans="1:31">
      <c r="A590" s="18"/>
      <c r="B590" s="19"/>
      <c r="C590" s="20">
        <v>240916000006</v>
      </c>
      <c r="D590" s="21">
        <v>45558</v>
      </c>
      <c r="E590" s="21" t="s">
        <v>62</v>
      </c>
      <c r="F590" s="19" t="s">
        <v>63</v>
      </c>
      <c r="G590" s="19" t="s">
        <v>100</v>
      </c>
      <c r="H590" s="19">
        <v>0.5</v>
      </c>
      <c r="I590" s="41">
        <v>100.8</v>
      </c>
      <c r="J590" s="53"/>
      <c r="K590" s="43"/>
      <c r="L590" s="19"/>
      <c r="M590" s="43"/>
      <c r="N590" s="44"/>
      <c r="O590" s="45">
        <f t="shared" si="337"/>
        <v>100.8</v>
      </c>
      <c r="P590" s="51"/>
      <c r="Q590" s="51"/>
      <c r="R590" s="74">
        <f t="shared" si="330"/>
        <v>25.3397072710104</v>
      </c>
      <c r="S590" s="74"/>
      <c r="T590" s="75">
        <f t="shared" si="331"/>
        <v>0.029508970727101</v>
      </c>
      <c r="U590" s="74"/>
      <c r="V590" s="74"/>
      <c r="W590" s="76">
        <f t="shared" si="328"/>
        <v>25.3692162417375</v>
      </c>
      <c r="X590" s="77">
        <f t="shared" si="332"/>
        <v>0.320590179414542</v>
      </c>
      <c r="Y590" s="77"/>
      <c r="Z590" s="77"/>
      <c r="AA590" s="77">
        <f t="shared" si="329"/>
        <v>0.320590179414542</v>
      </c>
      <c r="AB590" s="86">
        <v>7.08</v>
      </c>
      <c r="AC590" s="74">
        <f t="shared" si="325"/>
        <v>2.26977847025496</v>
      </c>
      <c r="AD590" s="74">
        <f t="shared" si="324"/>
        <v>27.6389947119924</v>
      </c>
      <c r="AE590" s="74">
        <f t="shared" si="326"/>
        <v>73.1610052880075</v>
      </c>
    </row>
    <row r="591" customFormat="1" spans="1:31">
      <c r="A591" s="18"/>
      <c r="B591" s="19"/>
      <c r="C591" s="20">
        <v>240917000004</v>
      </c>
      <c r="D591" s="21">
        <v>45558</v>
      </c>
      <c r="E591" s="21" t="s">
        <v>46</v>
      </c>
      <c r="F591" s="19" t="s">
        <v>47</v>
      </c>
      <c r="G591" s="19" t="s">
        <v>149</v>
      </c>
      <c r="H591" s="19">
        <v>0.86</v>
      </c>
      <c r="I591" s="41">
        <v>76</v>
      </c>
      <c r="J591" s="53"/>
      <c r="K591" s="43"/>
      <c r="L591" s="19"/>
      <c r="M591" s="43"/>
      <c r="N591" s="44"/>
      <c r="O591" s="45">
        <f t="shared" si="337"/>
        <v>76</v>
      </c>
      <c r="P591" s="51"/>
      <c r="Q591" s="51"/>
      <c r="R591" s="74">
        <f t="shared" si="330"/>
        <v>43.5842965061379</v>
      </c>
      <c r="S591" s="74"/>
      <c r="T591" s="75">
        <f t="shared" si="331"/>
        <v>0.0507554296506138</v>
      </c>
      <c r="U591" s="74"/>
      <c r="V591" s="74"/>
      <c r="W591" s="76">
        <f t="shared" si="328"/>
        <v>43.6350519357885</v>
      </c>
      <c r="X591" s="77">
        <f t="shared" si="332"/>
        <v>0.551415108593012</v>
      </c>
      <c r="Y591" s="77"/>
      <c r="Z591" s="77"/>
      <c r="AA591" s="77">
        <f t="shared" si="329"/>
        <v>0.551415108593012</v>
      </c>
      <c r="AB591" s="86">
        <v>7.08</v>
      </c>
      <c r="AC591" s="74">
        <f t="shared" si="325"/>
        <v>3.90401896883853</v>
      </c>
      <c r="AD591" s="74">
        <f t="shared" si="324"/>
        <v>47.539070904627</v>
      </c>
      <c r="AE591" s="74">
        <f t="shared" si="326"/>
        <v>28.460929095373</v>
      </c>
    </row>
    <row r="592" customFormat="1" spans="1:31">
      <c r="A592" s="18"/>
      <c r="B592" s="19"/>
      <c r="C592" s="20">
        <v>240917000010</v>
      </c>
      <c r="D592" s="21">
        <v>45558</v>
      </c>
      <c r="E592" s="21" t="s">
        <v>43</v>
      </c>
      <c r="F592" s="19" t="s">
        <v>44</v>
      </c>
      <c r="G592" s="19" t="s">
        <v>421</v>
      </c>
      <c r="H592" s="19">
        <v>17</v>
      </c>
      <c r="I592" s="41">
        <v>1072</v>
      </c>
      <c r="J592" s="53"/>
      <c r="K592" s="43"/>
      <c r="L592" s="19"/>
      <c r="M592" s="43"/>
      <c r="N592" s="44"/>
      <c r="O592" s="45">
        <f t="shared" si="337"/>
        <v>1072</v>
      </c>
      <c r="P592" s="51"/>
      <c r="Q592" s="51"/>
      <c r="R592" s="74">
        <f t="shared" si="330"/>
        <v>861.550047214353</v>
      </c>
      <c r="S592" s="74"/>
      <c r="T592" s="75">
        <f t="shared" si="331"/>
        <v>1.00330500472144</v>
      </c>
      <c r="U592" s="74"/>
      <c r="V592" s="74"/>
      <c r="W592" s="76">
        <f t="shared" si="328"/>
        <v>862.553352219075</v>
      </c>
      <c r="X592" s="77">
        <f t="shared" si="332"/>
        <v>10.9000661000944</v>
      </c>
      <c r="Y592" s="77"/>
      <c r="Z592" s="77"/>
      <c r="AA592" s="77">
        <f t="shared" si="329"/>
        <v>10.9000661000944</v>
      </c>
      <c r="AB592" s="86">
        <v>7.08</v>
      </c>
      <c r="AC592" s="74">
        <f t="shared" si="325"/>
        <v>77.1724679886686</v>
      </c>
      <c r="AD592" s="74">
        <f t="shared" si="324"/>
        <v>939.725820207743</v>
      </c>
      <c r="AE592" s="74">
        <f t="shared" si="326"/>
        <v>132.274179792257</v>
      </c>
    </row>
    <row r="593" customFormat="1" spans="1:31">
      <c r="A593" s="18"/>
      <c r="B593" s="19"/>
      <c r="C593" s="20">
        <v>240917000023</v>
      </c>
      <c r="D593" s="21">
        <v>45558</v>
      </c>
      <c r="E593" s="21" t="s">
        <v>50</v>
      </c>
      <c r="F593" s="19" t="s">
        <v>51</v>
      </c>
      <c r="G593" s="19" t="s">
        <v>422</v>
      </c>
      <c r="H593" s="19">
        <v>3</v>
      </c>
      <c r="I593" s="41">
        <v>221</v>
      </c>
      <c r="J593" s="53"/>
      <c r="K593" s="43"/>
      <c r="L593" s="19"/>
      <c r="M593" s="43"/>
      <c r="N593" s="44"/>
      <c r="O593" s="45">
        <f t="shared" si="337"/>
        <v>221</v>
      </c>
      <c r="P593" s="51"/>
      <c r="Q593" s="51"/>
      <c r="R593" s="74">
        <f t="shared" si="330"/>
        <v>152.038243626062</v>
      </c>
      <c r="S593" s="74"/>
      <c r="T593" s="75">
        <f t="shared" si="331"/>
        <v>0.177053824362606</v>
      </c>
      <c r="U593" s="74"/>
      <c r="V593" s="74"/>
      <c r="W593" s="76">
        <f t="shared" si="328"/>
        <v>152.215297450425</v>
      </c>
      <c r="X593" s="77">
        <f t="shared" si="332"/>
        <v>1.92354107648725</v>
      </c>
      <c r="Y593" s="77"/>
      <c r="Z593" s="77"/>
      <c r="AA593" s="77">
        <f t="shared" si="329"/>
        <v>1.92354107648725</v>
      </c>
      <c r="AB593" s="86">
        <v>7.08</v>
      </c>
      <c r="AC593" s="74">
        <f t="shared" si="325"/>
        <v>13.6186708215297</v>
      </c>
      <c r="AD593" s="74">
        <f t="shared" si="324"/>
        <v>165.833968271955</v>
      </c>
      <c r="AE593" s="74">
        <f t="shared" si="326"/>
        <v>55.1660317280453</v>
      </c>
    </row>
    <row r="594" customFormat="1" spans="1:31">
      <c r="A594" s="18"/>
      <c r="B594" s="19"/>
      <c r="C594" s="20">
        <v>240918000006</v>
      </c>
      <c r="D594" s="21">
        <v>45558</v>
      </c>
      <c r="E594" s="21" t="s">
        <v>43</v>
      </c>
      <c r="F594" s="19" t="s">
        <v>44</v>
      </c>
      <c r="G594" s="19" t="s">
        <v>346</v>
      </c>
      <c r="H594" s="19">
        <v>4.5</v>
      </c>
      <c r="I594" s="41">
        <v>330</v>
      </c>
      <c r="J594" s="53"/>
      <c r="K594" s="43"/>
      <c r="L594" s="19"/>
      <c r="M594" s="43"/>
      <c r="N594" s="44"/>
      <c r="O594" s="45">
        <f t="shared" si="337"/>
        <v>330</v>
      </c>
      <c r="P594" s="51"/>
      <c r="Q594" s="51"/>
      <c r="R594" s="74">
        <f t="shared" si="330"/>
        <v>228.057365439093</v>
      </c>
      <c r="S594" s="74"/>
      <c r="T594" s="75">
        <f t="shared" si="331"/>
        <v>0.265580736543909</v>
      </c>
      <c r="U594" s="74"/>
      <c r="V594" s="74"/>
      <c r="W594" s="76">
        <f t="shared" si="328"/>
        <v>228.322946175637</v>
      </c>
      <c r="X594" s="77">
        <f t="shared" si="332"/>
        <v>2.88531161473088</v>
      </c>
      <c r="Y594" s="77"/>
      <c r="Z594" s="77"/>
      <c r="AA594" s="77">
        <f t="shared" si="329"/>
        <v>2.88531161473088</v>
      </c>
      <c r="AB594" s="86">
        <v>7.08</v>
      </c>
      <c r="AC594" s="74">
        <f t="shared" si="325"/>
        <v>20.4280062322946</v>
      </c>
      <c r="AD594" s="74">
        <f t="shared" si="324"/>
        <v>248.750952407932</v>
      </c>
      <c r="AE594" s="74">
        <f t="shared" si="326"/>
        <v>81.249047592068</v>
      </c>
    </row>
    <row r="595" customFormat="1" spans="1:31">
      <c r="A595" s="18"/>
      <c r="B595" s="19"/>
      <c r="C595" s="20">
        <v>240918000016</v>
      </c>
      <c r="D595" s="21">
        <v>45558</v>
      </c>
      <c r="E595" s="21" t="s">
        <v>41</v>
      </c>
      <c r="F595" s="19" t="s">
        <v>41</v>
      </c>
      <c r="G595" s="19" t="s">
        <v>423</v>
      </c>
      <c r="H595" s="19">
        <v>277</v>
      </c>
      <c r="I595" s="41">
        <v>18282</v>
      </c>
      <c r="J595" s="53"/>
      <c r="K595" s="43"/>
      <c r="L595" s="19"/>
      <c r="M595" s="43"/>
      <c r="N595" s="44"/>
      <c r="O595" s="45">
        <f t="shared" si="337"/>
        <v>18282</v>
      </c>
      <c r="P595" s="51"/>
      <c r="Q595" s="51"/>
      <c r="R595" s="74">
        <f t="shared" si="330"/>
        <v>14038.1978281398</v>
      </c>
      <c r="S595" s="74"/>
      <c r="T595" s="75">
        <f t="shared" si="331"/>
        <v>16.347969782814</v>
      </c>
      <c r="U595" s="74"/>
      <c r="V595" s="74"/>
      <c r="W595" s="76">
        <f t="shared" si="328"/>
        <v>14054.5457979226</v>
      </c>
      <c r="X595" s="77">
        <f t="shared" si="332"/>
        <v>177.606959395656</v>
      </c>
      <c r="Y595" s="77"/>
      <c r="Z595" s="77"/>
      <c r="AA595" s="77">
        <f t="shared" si="329"/>
        <v>177.606959395656</v>
      </c>
      <c r="AB595" s="86">
        <v>7.08</v>
      </c>
      <c r="AC595" s="74">
        <f t="shared" si="325"/>
        <v>1257.45727252125</v>
      </c>
      <c r="AD595" s="74">
        <f t="shared" si="324"/>
        <v>15312.0030704438</v>
      </c>
      <c r="AE595" s="74">
        <f t="shared" si="326"/>
        <v>2969.99692955619</v>
      </c>
    </row>
    <row r="596" customFormat="1" spans="1:31">
      <c r="A596" s="18"/>
      <c r="B596" s="19"/>
      <c r="C596" s="20">
        <v>240918000028</v>
      </c>
      <c r="D596" s="21">
        <v>45558</v>
      </c>
      <c r="E596" s="21" t="s">
        <v>46</v>
      </c>
      <c r="F596" s="19" t="s">
        <v>47</v>
      </c>
      <c r="G596" s="19" t="s">
        <v>424</v>
      </c>
      <c r="H596" s="19">
        <v>0.79</v>
      </c>
      <c r="I596" s="41">
        <v>69.3</v>
      </c>
      <c r="J596" s="53"/>
      <c r="K596" s="43"/>
      <c r="L596" s="19"/>
      <c r="M596" s="43"/>
      <c r="N596" s="44"/>
      <c r="O596" s="45">
        <f t="shared" si="337"/>
        <v>69.3</v>
      </c>
      <c r="P596" s="51"/>
      <c r="Q596" s="51"/>
      <c r="R596" s="74">
        <f t="shared" si="330"/>
        <v>40.0367374881964</v>
      </c>
      <c r="S596" s="74"/>
      <c r="T596" s="75">
        <f t="shared" si="331"/>
        <v>0.0466241737488196</v>
      </c>
      <c r="U596" s="74"/>
      <c r="V596" s="74"/>
      <c r="W596" s="76">
        <f t="shared" si="328"/>
        <v>40.0833616619452</v>
      </c>
      <c r="X596" s="77">
        <f t="shared" si="332"/>
        <v>0.506532483474976</v>
      </c>
      <c r="Y596" s="77"/>
      <c r="Z596" s="77"/>
      <c r="AA596" s="77">
        <f t="shared" si="329"/>
        <v>0.506532483474976</v>
      </c>
      <c r="AB596" s="86">
        <v>7.08</v>
      </c>
      <c r="AC596" s="74">
        <f t="shared" si="325"/>
        <v>3.58624998300283</v>
      </c>
      <c r="AD596" s="74">
        <f t="shared" si="324"/>
        <v>43.6696116449481</v>
      </c>
      <c r="AE596" s="74">
        <f t="shared" si="326"/>
        <v>25.6303883550519</v>
      </c>
    </row>
    <row r="597" customFormat="1" spans="1:31">
      <c r="A597" s="18"/>
      <c r="B597" s="19"/>
      <c r="C597" s="20">
        <v>240918000047</v>
      </c>
      <c r="D597" s="21">
        <v>45558</v>
      </c>
      <c r="E597" s="21" t="s">
        <v>41</v>
      </c>
      <c r="F597" s="19" t="s">
        <v>41</v>
      </c>
      <c r="G597" s="19" t="s">
        <v>187</v>
      </c>
      <c r="H597" s="19">
        <v>697</v>
      </c>
      <c r="I597" s="41">
        <v>38683.5</v>
      </c>
      <c r="J597" s="53"/>
      <c r="K597" s="43"/>
      <c r="L597" s="19"/>
      <c r="M597" s="43"/>
      <c r="N597" s="44"/>
      <c r="O597" s="45">
        <f t="shared" si="337"/>
        <v>38683.5</v>
      </c>
      <c r="P597" s="51"/>
      <c r="Q597" s="51"/>
      <c r="R597" s="74">
        <f t="shared" si="330"/>
        <v>35323.5519357885</v>
      </c>
      <c r="S597" s="74"/>
      <c r="T597" s="75">
        <f t="shared" si="331"/>
        <v>41.1355051935788</v>
      </c>
      <c r="U597" s="74"/>
      <c r="V597" s="74"/>
      <c r="W597" s="76">
        <f t="shared" si="328"/>
        <v>35364.6874409821</v>
      </c>
      <c r="X597" s="77">
        <f t="shared" si="332"/>
        <v>446.902710103872</v>
      </c>
      <c r="Y597" s="77"/>
      <c r="Z597" s="77"/>
      <c r="AA597" s="77">
        <f t="shared" si="329"/>
        <v>446.902710103872</v>
      </c>
      <c r="AB597" s="86">
        <v>7.08</v>
      </c>
      <c r="AC597" s="74">
        <f t="shared" ref="AC597:AC628" si="338">SUM(AA597*AB597)</f>
        <v>3164.07118753541</v>
      </c>
      <c r="AD597" s="74">
        <f t="shared" ref="AD597:AD628" si="339">SUM(W597+AC597)</f>
        <v>38528.7586285175</v>
      </c>
      <c r="AE597" s="74">
        <f t="shared" ref="AE597:AE628" si="340">SUM(O597-AD597)</f>
        <v>154.741371482538</v>
      </c>
    </row>
    <row r="598" customFormat="1" spans="1:31">
      <c r="A598" s="18"/>
      <c r="B598" s="19"/>
      <c r="C598" s="20">
        <v>240923000036</v>
      </c>
      <c r="D598" s="21">
        <v>45558</v>
      </c>
      <c r="E598" s="21" t="s">
        <v>41</v>
      </c>
      <c r="F598" s="19" t="s">
        <v>41</v>
      </c>
      <c r="G598" s="19" t="s">
        <v>187</v>
      </c>
      <c r="H598" s="19">
        <v>493</v>
      </c>
      <c r="I598" s="41">
        <v>27361.5</v>
      </c>
      <c r="J598" s="53"/>
      <c r="K598" s="43"/>
      <c r="L598" s="19"/>
      <c r="M598" s="43"/>
      <c r="N598" s="44"/>
      <c r="O598" s="45">
        <f t="shared" si="337"/>
        <v>27361.5</v>
      </c>
      <c r="P598" s="52"/>
      <c r="Q598" s="52"/>
      <c r="R598" s="74">
        <f t="shared" si="330"/>
        <v>24984.9513692162</v>
      </c>
      <c r="S598" s="74"/>
      <c r="T598" s="75">
        <f t="shared" si="331"/>
        <v>29.0958451369216</v>
      </c>
      <c r="U598" s="74"/>
      <c r="V598" s="74"/>
      <c r="W598" s="76">
        <f t="shared" ref="W598:W629" si="341">SUM(R598:V598)</f>
        <v>25014.0472143532</v>
      </c>
      <c r="X598" s="77">
        <f t="shared" si="332"/>
        <v>316.101916902738</v>
      </c>
      <c r="Y598" s="77"/>
      <c r="Z598" s="77"/>
      <c r="AA598" s="77">
        <f t="shared" ref="AA598:AA629" si="342">SUM(X598:Z598)</f>
        <v>316.101916902738</v>
      </c>
      <c r="AB598" s="86">
        <v>7.08</v>
      </c>
      <c r="AC598" s="74">
        <f t="shared" si="338"/>
        <v>2238.00157167139</v>
      </c>
      <c r="AD598" s="74">
        <f t="shared" si="339"/>
        <v>27252.0487860246</v>
      </c>
      <c r="AE598" s="74">
        <f t="shared" si="340"/>
        <v>109.451213975448</v>
      </c>
    </row>
    <row r="599" customFormat="1" spans="1:31">
      <c r="A599" s="18" t="s">
        <v>425</v>
      </c>
      <c r="B599" s="19" t="s">
        <v>426</v>
      </c>
      <c r="C599" s="20">
        <v>240912000056</v>
      </c>
      <c r="D599" s="21">
        <v>45558</v>
      </c>
      <c r="E599" s="21" t="s">
        <v>43</v>
      </c>
      <c r="F599" s="19" t="s">
        <v>44</v>
      </c>
      <c r="G599" s="19" t="s">
        <v>252</v>
      </c>
      <c r="H599" s="19">
        <v>81.5</v>
      </c>
      <c r="I599" s="41">
        <v>4862</v>
      </c>
      <c r="J599" s="53"/>
      <c r="K599" s="43"/>
      <c r="L599" s="19"/>
      <c r="M599" s="43"/>
      <c r="N599" s="44"/>
      <c r="O599" s="45">
        <f t="shared" si="337"/>
        <v>4862</v>
      </c>
      <c r="P599" s="46">
        <f>SUM(O599:O695)</f>
        <v>167830.75562832</v>
      </c>
      <c r="Q599" s="46" t="s">
        <v>85</v>
      </c>
      <c r="R599" s="74">
        <f>SUM(121252/2910)*H599</f>
        <v>3395.88934707904</v>
      </c>
      <c r="S599" s="74"/>
      <c r="T599" s="75">
        <f>SUM(180.75/2910)*H599</f>
        <v>5.06224226804124</v>
      </c>
      <c r="U599" s="75">
        <v>270</v>
      </c>
      <c r="V599" s="74"/>
      <c r="W599" s="76">
        <f t="shared" si="341"/>
        <v>3670.95158934708</v>
      </c>
      <c r="X599" s="77">
        <f>SUM(1701.28/2910)*H599</f>
        <v>47.6475326460481</v>
      </c>
      <c r="Y599" s="77"/>
      <c r="Z599" s="77"/>
      <c r="AA599" s="77">
        <f t="shared" si="342"/>
        <v>47.6475326460481</v>
      </c>
      <c r="AB599" s="86">
        <v>7.08</v>
      </c>
      <c r="AC599" s="74">
        <f t="shared" si="338"/>
        <v>337.344531134021</v>
      </c>
      <c r="AD599" s="74">
        <f t="shared" si="339"/>
        <v>4008.2961204811</v>
      </c>
      <c r="AE599" s="74">
        <f t="shared" si="340"/>
        <v>853.7038795189</v>
      </c>
    </row>
    <row r="600" customFormat="1" spans="1:31">
      <c r="A600" s="18"/>
      <c r="B600" s="19"/>
      <c r="C600" s="20">
        <v>240912000057</v>
      </c>
      <c r="D600" s="21">
        <v>45558</v>
      </c>
      <c r="E600" s="21" t="s">
        <v>46</v>
      </c>
      <c r="F600" s="19" t="s">
        <v>47</v>
      </c>
      <c r="G600" s="19" t="s">
        <v>416</v>
      </c>
      <c r="H600" s="19">
        <v>2</v>
      </c>
      <c r="I600" s="41">
        <v>123</v>
      </c>
      <c r="J600" s="53"/>
      <c r="K600" s="43"/>
      <c r="L600" s="19"/>
      <c r="M600" s="43"/>
      <c r="N600" s="44"/>
      <c r="O600" s="45">
        <f t="shared" si="337"/>
        <v>123</v>
      </c>
      <c r="P600" s="51"/>
      <c r="Q600" s="51"/>
      <c r="R600" s="74">
        <f t="shared" ref="R600:R631" si="343">SUM(121252/2910)*H600</f>
        <v>83.3347079037801</v>
      </c>
      <c r="S600" s="74"/>
      <c r="T600" s="75">
        <f t="shared" ref="T600:T631" si="344">SUM(180.75/2910)*H600</f>
        <v>0.124226804123711</v>
      </c>
      <c r="U600" s="74"/>
      <c r="V600" s="74"/>
      <c r="W600" s="76">
        <f t="shared" si="341"/>
        <v>83.4589347079038</v>
      </c>
      <c r="X600" s="77">
        <f t="shared" ref="X600:X631" si="345">SUM(1701.28/2910)*H600</f>
        <v>1.169264604811</v>
      </c>
      <c r="Y600" s="77"/>
      <c r="Z600" s="77"/>
      <c r="AA600" s="77">
        <f t="shared" si="342"/>
        <v>1.169264604811</v>
      </c>
      <c r="AB600" s="86">
        <v>7.08</v>
      </c>
      <c r="AC600" s="74">
        <f t="shared" si="338"/>
        <v>8.27839340206186</v>
      </c>
      <c r="AD600" s="74">
        <f t="shared" si="339"/>
        <v>91.7373281099656</v>
      </c>
      <c r="AE600" s="74">
        <f t="shared" si="340"/>
        <v>31.2626718900344</v>
      </c>
    </row>
    <row r="601" customFormat="1" spans="1:31">
      <c r="A601" s="18"/>
      <c r="B601" s="19"/>
      <c r="C601" s="20">
        <v>240913000011</v>
      </c>
      <c r="D601" s="21">
        <v>45558</v>
      </c>
      <c r="E601" s="21" t="s">
        <v>50</v>
      </c>
      <c r="F601" s="19" t="s">
        <v>51</v>
      </c>
      <c r="G601" s="19" t="s">
        <v>427</v>
      </c>
      <c r="H601" s="19">
        <v>4</v>
      </c>
      <c r="I601" s="45"/>
      <c r="J601" s="54">
        <v>58604.3</v>
      </c>
      <c r="K601" s="43"/>
      <c r="L601" s="49">
        <f t="shared" ref="L601:L604" si="346">SUM(J601/M601)</f>
        <v>1739</v>
      </c>
      <c r="M601" s="50">
        <v>33.7</v>
      </c>
      <c r="N601" s="44">
        <v>7.08</v>
      </c>
      <c r="O601" s="45">
        <f t="shared" ref="O601:O604" si="347">SUM(M601*N601)</f>
        <v>238.596</v>
      </c>
      <c r="P601" s="51"/>
      <c r="Q601" s="51"/>
      <c r="R601" s="74">
        <f t="shared" si="343"/>
        <v>166.66941580756</v>
      </c>
      <c r="S601" s="74"/>
      <c r="T601" s="75">
        <f t="shared" si="344"/>
        <v>0.248453608247423</v>
      </c>
      <c r="U601" s="74"/>
      <c r="V601" s="74"/>
      <c r="W601" s="76">
        <f t="shared" si="341"/>
        <v>166.917869415808</v>
      </c>
      <c r="X601" s="77">
        <f t="shared" si="345"/>
        <v>2.33852920962199</v>
      </c>
      <c r="Y601" s="77"/>
      <c r="Z601" s="77"/>
      <c r="AA601" s="77">
        <f t="shared" si="342"/>
        <v>2.33852920962199</v>
      </c>
      <c r="AB601" s="86">
        <v>7.08</v>
      </c>
      <c r="AC601" s="74">
        <f t="shared" si="338"/>
        <v>16.5567868041237</v>
      </c>
      <c r="AD601" s="74">
        <f t="shared" si="339"/>
        <v>183.474656219931</v>
      </c>
      <c r="AE601" s="74">
        <f t="shared" si="340"/>
        <v>55.1213437800687</v>
      </c>
    </row>
    <row r="602" customFormat="1" spans="1:31">
      <c r="A602" s="18"/>
      <c r="B602" s="19"/>
      <c r="C602" s="20">
        <v>240913000024</v>
      </c>
      <c r="D602" s="21">
        <v>45558</v>
      </c>
      <c r="E602" s="21" t="s">
        <v>46</v>
      </c>
      <c r="F602" s="19" t="s">
        <v>47</v>
      </c>
      <c r="G602" s="19" t="s">
        <v>424</v>
      </c>
      <c r="H602" s="19">
        <v>11.5</v>
      </c>
      <c r="I602" s="41">
        <v>661.5</v>
      </c>
      <c r="J602" s="53"/>
      <c r="K602" s="43"/>
      <c r="L602" s="19"/>
      <c r="M602" s="43"/>
      <c r="N602" s="44"/>
      <c r="O602" s="45">
        <f>SUM(I602)</f>
        <v>661.5</v>
      </c>
      <c r="P602" s="51"/>
      <c r="Q602" s="51"/>
      <c r="R602" s="74">
        <f t="shared" si="343"/>
        <v>479.174570446735</v>
      </c>
      <c r="S602" s="74"/>
      <c r="T602" s="75">
        <f t="shared" si="344"/>
        <v>0.71430412371134</v>
      </c>
      <c r="U602" s="74"/>
      <c r="V602" s="74"/>
      <c r="W602" s="76">
        <f t="shared" si="341"/>
        <v>479.888874570447</v>
      </c>
      <c r="X602" s="77">
        <f t="shared" si="345"/>
        <v>6.72327147766323</v>
      </c>
      <c r="Y602" s="77"/>
      <c r="Z602" s="77"/>
      <c r="AA602" s="77">
        <f t="shared" si="342"/>
        <v>6.72327147766323</v>
      </c>
      <c r="AB602" s="86">
        <v>7.08</v>
      </c>
      <c r="AC602" s="74">
        <f t="shared" si="338"/>
        <v>47.6007620618557</v>
      </c>
      <c r="AD602" s="74">
        <f t="shared" si="339"/>
        <v>527.489636632302</v>
      </c>
      <c r="AE602" s="74">
        <f t="shared" si="340"/>
        <v>134.010363367698</v>
      </c>
    </row>
    <row r="603" customFormat="1" spans="1:31">
      <c r="A603" s="18"/>
      <c r="B603" s="19"/>
      <c r="C603" s="20">
        <v>240913000041</v>
      </c>
      <c r="D603" s="21">
        <v>45558</v>
      </c>
      <c r="E603" s="21" t="s">
        <v>43</v>
      </c>
      <c r="F603" s="19" t="s">
        <v>44</v>
      </c>
      <c r="G603" s="19" t="s">
        <v>428</v>
      </c>
      <c r="H603" s="19">
        <v>22.5</v>
      </c>
      <c r="I603" s="45"/>
      <c r="J603" s="54">
        <v>375380</v>
      </c>
      <c r="K603" s="43"/>
      <c r="L603" s="49">
        <f t="shared" si="346"/>
        <v>1738.99749837858</v>
      </c>
      <c r="M603" s="50">
        <v>215.86</v>
      </c>
      <c r="N603" s="44">
        <v>7.08</v>
      </c>
      <c r="O603" s="45">
        <f t="shared" si="347"/>
        <v>1528.2888</v>
      </c>
      <c r="P603" s="51"/>
      <c r="Q603" s="51"/>
      <c r="R603" s="74">
        <f t="shared" si="343"/>
        <v>937.515463917526</v>
      </c>
      <c r="S603" s="74"/>
      <c r="T603" s="75">
        <f t="shared" si="344"/>
        <v>1.39755154639175</v>
      </c>
      <c r="U603" s="74"/>
      <c r="V603" s="75">
        <v>310</v>
      </c>
      <c r="W603" s="76">
        <f t="shared" si="341"/>
        <v>1248.91301546392</v>
      </c>
      <c r="X603" s="77">
        <f t="shared" si="345"/>
        <v>13.1542268041237</v>
      </c>
      <c r="Y603" s="77"/>
      <c r="Z603" s="77"/>
      <c r="AA603" s="77">
        <f t="shared" si="342"/>
        <v>13.1542268041237</v>
      </c>
      <c r="AB603" s="86">
        <v>7.08</v>
      </c>
      <c r="AC603" s="74">
        <f t="shared" si="338"/>
        <v>93.1319257731959</v>
      </c>
      <c r="AD603" s="74">
        <f t="shared" si="339"/>
        <v>1342.04494123711</v>
      </c>
      <c r="AE603" s="74">
        <f t="shared" si="340"/>
        <v>186.243858762887</v>
      </c>
    </row>
    <row r="604" customFormat="1" spans="1:31">
      <c r="A604" s="18"/>
      <c r="B604" s="19"/>
      <c r="C604" s="20">
        <v>240913000046</v>
      </c>
      <c r="D604" s="21">
        <v>45558</v>
      </c>
      <c r="E604" s="21" t="s">
        <v>96</v>
      </c>
      <c r="F604" s="19" t="s">
        <v>209</v>
      </c>
      <c r="G604" s="19" t="s">
        <v>405</v>
      </c>
      <c r="H604" s="19">
        <v>7</v>
      </c>
      <c r="I604" s="45"/>
      <c r="J604" s="54">
        <v>97732</v>
      </c>
      <c r="K604" s="43"/>
      <c r="L604" s="49">
        <f t="shared" si="346"/>
        <v>1739.00355871886</v>
      </c>
      <c r="M604" s="50">
        <v>56.2</v>
      </c>
      <c r="N604" s="44">
        <v>7.08</v>
      </c>
      <c r="O604" s="45">
        <f t="shared" si="347"/>
        <v>397.896</v>
      </c>
      <c r="P604" s="51"/>
      <c r="Q604" s="51"/>
      <c r="R604" s="74">
        <f t="shared" si="343"/>
        <v>291.67147766323</v>
      </c>
      <c r="S604" s="74"/>
      <c r="T604" s="75">
        <f t="shared" si="344"/>
        <v>0.43479381443299</v>
      </c>
      <c r="U604" s="74"/>
      <c r="V604" s="74"/>
      <c r="W604" s="76">
        <f t="shared" si="341"/>
        <v>292.106271477663</v>
      </c>
      <c r="X604" s="77">
        <f t="shared" si="345"/>
        <v>4.09242611683849</v>
      </c>
      <c r="Y604" s="77"/>
      <c r="Z604" s="77"/>
      <c r="AA604" s="77">
        <f t="shared" si="342"/>
        <v>4.09242611683849</v>
      </c>
      <c r="AB604" s="86">
        <v>7.08</v>
      </c>
      <c r="AC604" s="74">
        <f t="shared" si="338"/>
        <v>28.9743769072165</v>
      </c>
      <c r="AD604" s="74">
        <f t="shared" si="339"/>
        <v>321.08064838488</v>
      </c>
      <c r="AE604" s="74">
        <f t="shared" si="340"/>
        <v>76.8153516151203</v>
      </c>
    </row>
    <row r="605" customFormat="1" spans="1:31">
      <c r="A605" s="18"/>
      <c r="B605" s="19"/>
      <c r="C605" s="20">
        <v>240914000009</v>
      </c>
      <c r="D605" s="21">
        <v>45558</v>
      </c>
      <c r="E605" s="21" t="s">
        <v>50</v>
      </c>
      <c r="F605" s="19" t="s">
        <v>51</v>
      </c>
      <c r="G605" s="19" t="s">
        <v>270</v>
      </c>
      <c r="H605" s="19">
        <v>4</v>
      </c>
      <c r="I605" s="41">
        <v>204</v>
      </c>
      <c r="J605" s="53"/>
      <c r="K605" s="43"/>
      <c r="L605" s="19"/>
      <c r="M605" s="43"/>
      <c r="N605" s="44"/>
      <c r="O605" s="45">
        <f t="shared" ref="O605:O609" si="348">SUM(I605)</f>
        <v>204</v>
      </c>
      <c r="P605" s="51"/>
      <c r="Q605" s="51"/>
      <c r="R605" s="74">
        <f t="shared" si="343"/>
        <v>166.66941580756</v>
      </c>
      <c r="S605" s="74"/>
      <c r="T605" s="75">
        <f t="shared" si="344"/>
        <v>0.248453608247423</v>
      </c>
      <c r="U605" s="74"/>
      <c r="V605" s="74"/>
      <c r="W605" s="76">
        <f t="shared" si="341"/>
        <v>166.917869415808</v>
      </c>
      <c r="X605" s="77">
        <f t="shared" si="345"/>
        <v>2.33852920962199</v>
      </c>
      <c r="Y605" s="77"/>
      <c r="Z605" s="77"/>
      <c r="AA605" s="77">
        <f t="shared" si="342"/>
        <v>2.33852920962199</v>
      </c>
      <c r="AB605" s="86">
        <v>7.08</v>
      </c>
      <c r="AC605" s="74">
        <f t="shared" si="338"/>
        <v>16.5567868041237</v>
      </c>
      <c r="AD605" s="74">
        <f t="shared" si="339"/>
        <v>183.474656219931</v>
      </c>
      <c r="AE605" s="74">
        <f t="shared" si="340"/>
        <v>20.5253437800687</v>
      </c>
    </row>
    <row r="606" customFormat="1" spans="1:31">
      <c r="A606" s="18"/>
      <c r="B606" s="19"/>
      <c r="C606" s="20">
        <v>240914000015</v>
      </c>
      <c r="D606" s="21">
        <v>45558</v>
      </c>
      <c r="E606" s="21" t="s">
        <v>50</v>
      </c>
      <c r="F606" s="19" t="s">
        <v>51</v>
      </c>
      <c r="G606" s="19" t="s">
        <v>115</v>
      </c>
      <c r="H606" s="19">
        <v>210</v>
      </c>
      <c r="I606" s="47"/>
      <c r="J606" s="54">
        <v>2879550</v>
      </c>
      <c r="K606" s="43"/>
      <c r="L606" s="49">
        <f t="shared" ref="L606:L610" si="349">SUM(J606/M606)</f>
        <v>1720.44905957986</v>
      </c>
      <c r="M606" s="50">
        <v>1673.72</v>
      </c>
      <c r="N606" s="44">
        <v>7.08</v>
      </c>
      <c r="O606" s="45">
        <f t="shared" ref="O606:O610" si="350">SUM(M606*N606)</f>
        <v>11849.9376</v>
      </c>
      <c r="P606" s="51"/>
      <c r="Q606" s="51"/>
      <c r="R606" s="74">
        <f t="shared" si="343"/>
        <v>8750.14432989691</v>
      </c>
      <c r="S606" s="74"/>
      <c r="T606" s="75">
        <f t="shared" si="344"/>
        <v>13.0438144329897</v>
      </c>
      <c r="U606" s="74">
        <v>90</v>
      </c>
      <c r="V606" s="74"/>
      <c r="W606" s="76">
        <f t="shared" si="341"/>
        <v>8853.1881443299</v>
      </c>
      <c r="X606" s="77">
        <f t="shared" si="345"/>
        <v>122.772783505155</v>
      </c>
      <c r="Y606" s="77"/>
      <c r="Z606" s="77"/>
      <c r="AA606" s="77">
        <f t="shared" si="342"/>
        <v>122.772783505155</v>
      </c>
      <c r="AB606" s="86">
        <v>7.08</v>
      </c>
      <c r="AC606" s="74">
        <f t="shared" si="338"/>
        <v>869.231307216495</v>
      </c>
      <c r="AD606" s="74">
        <f t="shared" si="339"/>
        <v>9722.41945154639</v>
      </c>
      <c r="AE606" s="74">
        <f t="shared" si="340"/>
        <v>2127.51814845361</v>
      </c>
    </row>
    <row r="607" customFormat="1" spans="1:31">
      <c r="A607" s="18"/>
      <c r="B607" s="19"/>
      <c r="C607" s="20">
        <v>240914000021</v>
      </c>
      <c r="D607" s="21">
        <v>45558</v>
      </c>
      <c r="E607" s="21" t="s">
        <v>50</v>
      </c>
      <c r="F607" s="19" t="s">
        <v>51</v>
      </c>
      <c r="G607" s="19" t="s">
        <v>52</v>
      </c>
      <c r="H607" s="19">
        <v>1</v>
      </c>
      <c r="I607" s="47"/>
      <c r="J607" s="54">
        <v>16905</v>
      </c>
      <c r="K607" s="43"/>
      <c r="L607" s="49">
        <f t="shared" si="349"/>
        <v>1735.62628336756</v>
      </c>
      <c r="M607" s="50">
        <v>9.74</v>
      </c>
      <c r="N607" s="44">
        <v>7.08</v>
      </c>
      <c r="O607" s="45">
        <f t="shared" si="350"/>
        <v>68.9592</v>
      </c>
      <c r="P607" s="51"/>
      <c r="Q607" s="51"/>
      <c r="R607" s="74">
        <f t="shared" si="343"/>
        <v>41.66735395189</v>
      </c>
      <c r="S607" s="74"/>
      <c r="T607" s="75">
        <f t="shared" si="344"/>
        <v>0.0621134020618557</v>
      </c>
      <c r="U607" s="74"/>
      <c r="V607" s="74"/>
      <c r="W607" s="76">
        <f t="shared" si="341"/>
        <v>41.7294673539519</v>
      </c>
      <c r="X607" s="77">
        <f t="shared" si="345"/>
        <v>0.584632302405498</v>
      </c>
      <c r="Y607" s="77"/>
      <c r="Z607" s="77"/>
      <c r="AA607" s="77">
        <f t="shared" si="342"/>
        <v>0.584632302405498</v>
      </c>
      <c r="AB607" s="86">
        <v>7.08</v>
      </c>
      <c r="AC607" s="74">
        <f t="shared" si="338"/>
        <v>4.13919670103093</v>
      </c>
      <c r="AD607" s="74">
        <f t="shared" si="339"/>
        <v>45.8686640549828</v>
      </c>
      <c r="AE607" s="74">
        <f t="shared" si="340"/>
        <v>23.0905359450172</v>
      </c>
    </row>
    <row r="608" customFormat="1" spans="1:31">
      <c r="A608" s="18"/>
      <c r="B608" s="19"/>
      <c r="C608" s="20">
        <v>240914000023</v>
      </c>
      <c r="D608" s="21">
        <v>45558</v>
      </c>
      <c r="E608" s="21" t="s">
        <v>50</v>
      </c>
      <c r="F608" s="19" t="s">
        <v>51</v>
      </c>
      <c r="G608" s="19" t="s">
        <v>429</v>
      </c>
      <c r="H608" s="19">
        <v>9</v>
      </c>
      <c r="I608" s="41">
        <v>630.3</v>
      </c>
      <c r="J608" s="53"/>
      <c r="K608" s="43"/>
      <c r="L608" s="19"/>
      <c r="M608" s="43"/>
      <c r="N608" s="44"/>
      <c r="O608" s="45">
        <f t="shared" si="348"/>
        <v>630.3</v>
      </c>
      <c r="P608" s="51"/>
      <c r="Q608" s="51"/>
      <c r="R608" s="74">
        <f t="shared" si="343"/>
        <v>375.00618556701</v>
      </c>
      <c r="S608" s="74"/>
      <c r="T608" s="75">
        <f t="shared" si="344"/>
        <v>0.559020618556701</v>
      </c>
      <c r="U608" s="74"/>
      <c r="V608" s="74"/>
      <c r="W608" s="76">
        <f t="shared" si="341"/>
        <v>375.565206185567</v>
      </c>
      <c r="X608" s="77">
        <f t="shared" si="345"/>
        <v>5.26169072164948</v>
      </c>
      <c r="Y608" s="77"/>
      <c r="Z608" s="77"/>
      <c r="AA608" s="77">
        <f t="shared" si="342"/>
        <v>5.26169072164948</v>
      </c>
      <c r="AB608" s="86">
        <v>7.08</v>
      </c>
      <c r="AC608" s="74">
        <f t="shared" si="338"/>
        <v>37.2527703092783</v>
      </c>
      <c r="AD608" s="74">
        <f t="shared" si="339"/>
        <v>412.817976494845</v>
      </c>
      <c r="AE608" s="74">
        <f t="shared" si="340"/>
        <v>217.482023505155</v>
      </c>
    </row>
    <row r="609" customFormat="1" spans="1:31">
      <c r="A609" s="18"/>
      <c r="B609" s="19"/>
      <c r="C609" s="20">
        <v>240914000032</v>
      </c>
      <c r="D609" s="21">
        <v>45558</v>
      </c>
      <c r="E609" s="21" t="s">
        <v>62</v>
      </c>
      <c r="F609" s="19" t="s">
        <v>63</v>
      </c>
      <c r="G609" s="19" t="s">
        <v>366</v>
      </c>
      <c r="H609" s="19">
        <v>9</v>
      </c>
      <c r="I609" s="41">
        <v>519</v>
      </c>
      <c r="J609" s="53"/>
      <c r="K609" s="43"/>
      <c r="L609" s="19"/>
      <c r="M609" s="43"/>
      <c r="N609" s="44"/>
      <c r="O609" s="45">
        <f t="shared" si="348"/>
        <v>519</v>
      </c>
      <c r="P609" s="51"/>
      <c r="Q609" s="51"/>
      <c r="R609" s="74">
        <f t="shared" si="343"/>
        <v>375.00618556701</v>
      </c>
      <c r="S609" s="74"/>
      <c r="T609" s="75">
        <f t="shared" si="344"/>
        <v>0.559020618556701</v>
      </c>
      <c r="U609" s="74"/>
      <c r="V609" s="74"/>
      <c r="W609" s="76">
        <f t="shared" si="341"/>
        <v>375.565206185567</v>
      </c>
      <c r="X609" s="77">
        <f t="shared" si="345"/>
        <v>5.26169072164948</v>
      </c>
      <c r="Y609" s="77"/>
      <c r="Z609" s="77"/>
      <c r="AA609" s="77">
        <f t="shared" si="342"/>
        <v>5.26169072164948</v>
      </c>
      <c r="AB609" s="86">
        <v>7.08</v>
      </c>
      <c r="AC609" s="74">
        <f t="shared" si="338"/>
        <v>37.2527703092783</v>
      </c>
      <c r="AD609" s="74">
        <f t="shared" si="339"/>
        <v>412.817976494845</v>
      </c>
      <c r="AE609" s="74">
        <f t="shared" si="340"/>
        <v>106.182023505155</v>
      </c>
    </row>
    <row r="610" customFormat="1" spans="1:31">
      <c r="A610" s="18"/>
      <c r="B610" s="19"/>
      <c r="C610" s="20">
        <v>240914000042</v>
      </c>
      <c r="D610" s="21">
        <v>45558</v>
      </c>
      <c r="E610" s="21" t="s">
        <v>46</v>
      </c>
      <c r="F610" s="19" t="s">
        <v>47</v>
      </c>
      <c r="G610" s="19" t="s">
        <v>84</v>
      </c>
      <c r="H610" s="19">
        <v>273</v>
      </c>
      <c r="I610" s="45"/>
      <c r="J610" s="54">
        <v>3216752</v>
      </c>
      <c r="K610" s="43"/>
      <c r="L610" s="49">
        <f t="shared" si="349"/>
        <v>1760</v>
      </c>
      <c r="M610" s="50">
        <v>1827.7</v>
      </c>
      <c r="N610" s="44">
        <v>7.08</v>
      </c>
      <c r="O610" s="45">
        <f t="shared" si="350"/>
        <v>12940.116</v>
      </c>
      <c r="P610" s="51"/>
      <c r="Q610" s="51"/>
      <c r="R610" s="74">
        <f t="shared" si="343"/>
        <v>11375.187628866</v>
      </c>
      <c r="S610" s="74"/>
      <c r="T610" s="75">
        <f t="shared" si="344"/>
        <v>16.9569587628866</v>
      </c>
      <c r="U610" s="74"/>
      <c r="V610" s="74"/>
      <c r="W610" s="76">
        <f t="shared" si="341"/>
        <v>11392.1445876289</v>
      </c>
      <c r="X610" s="77">
        <f t="shared" si="345"/>
        <v>159.604618556701</v>
      </c>
      <c r="Y610" s="77"/>
      <c r="Z610" s="77"/>
      <c r="AA610" s="77">
        <f t="shared" si="342"/>
        <v>159.604618556701</v>
      </c>
      <c r="AB610" s="86">
        <v>7.08</v>
      </c>
      <c r="AC610" s="74">
        <f t="shared" si="338"/>
        <v>1130.00069938144</v>
      </c>
      <c r="AD610" s="74">
        <f t="shared" si="339"/>
        <v>12522.1452870103</v>
      </c>
      <c r="AE610" s="74">
        <f t="shared" si="340"/>
        <v>417.970712989691</v>
      </c>
    </row>
    <row r="611" customFormat="1" spans="1:31">
      <c r="A611" s="18"/>
      <c r="B611" s="19"/>
      <c r="C611" s="20">
        <v>240914000050</v>
      </c>
      <c r="D611" s="21">
        <v>45558</v>
      </c>
      <c r="E611" s="21" t="s">
        <v>46</v>
      </c>
      <c r="F611" s="19" t="s">
        <v>47</v>
      </c>
      <c r="G611" s="19" t="s">
        <v>430</v>
      </c>
      <c r="H611" s="19">
        <v>25.5</v>
      </c>
      <c r="I611" s="41">
        <v>1499</v>
      </c>
      <c r="J611" s="53"/>
      <c r="K611" s="43"/>
      <c r="L611" s="19"/>
      <c r="M611" s="43"/>
      <c r="N611" s="44"/>
      <c r="O611" s="45">
        <f t="shared" ref="O611:O615" si="351">SUM(I611)</f>
        <v>1499</v>
      </c>
      <c r="P611" s="51"/>
      <c r="Q611" s="51"/>
      <c r="R611" s="74">
        <f t="shared" si="343"/>
        <v>1062.5175257732</v>
      </c>
      <c r="S611" s="74"/>
      <c r="T611" s="75">
        <f t="shared" si="344"/>
        <v>1.58389175257732</v>
      </c>
      <c r="U611" s="74"/>
      <c r="V611" s="75">
        <v>89</v>
      </c>
      <c r="W611" s="76">
        <f t="shared" si="341"/>
        <v>1153.10141752577</v>
      </c>
      <c r="X611" s="77">
        <f t="shared" si="345"/>
        <v>14.9081237113402</v>
      </c>
      <c r="Y611" s="77"/>
      <c r="Z611" s="77"/>
      <c r="AA611" s="77">
        <f t="shared" si="342"/>
        <v>14.9081237113402</v>
      </c>
      <c r="AB611" s="86">
        <v>7.08</v>
      </c>
      <c r="AC611" s="74">
        <f t="shared" si="338"/>
        <v>105.549515876289</v>
      </c>
      <c r="AD611" s="74">
        <f t="shared" si="339"/>
        <v>1258.65093340206</v>
      </c>
      <c r="AE611" s="74">
        <f t="shared" si="340"/>
        <v>240.349066597938</v>
      </c>
    </row>
    <row r="612" customFormat="1" spans="1:31">
      <c r="A612" s="18"/>
      <c r="B612" s="19"/>
      <c r="C612" s="20">
        <v>240914000055</v>
      </c>
      <c r="D612" s="21">
        <v>45558</v>
      </c>
      <c r="E612" s="21" t="s">
        <v>46</v>
      </c>
      <c r="F612" s="19">
        <v>13635229849</v>
      </c>
      <c r="G612" s="19" t="s">
        <v>140</v>
      </c>
      <c r="H612" s="19">
        <v>5</v>
      </c>
      <c r="I612" s="45"/>
      <c r="J612" s="54">
        <v>80689</v>
      </c>
      <c r="K612" s="43"/>
      <c r="L612" s="49">
        <f t="shared" ref="L612:L616" si="352">SUM(J612/M612)</f>
        <v>1738.98706896552</v>
      </c>
      <c r="M612" s="50">
        <v>46.4</v>
      </c>
      <c r="N612" s="44">
        <v>7.08</v>
      </c>
      <c r="O612" s="45">
        <f t="shared" ref="O612:O616" si="353">SUM(M612*N612)</f>
        <v>328.512</v>
      </c>
      <c r="P612" s="51"/>
      <c r="Q612" s="51"/>
      <c r="R612" s="74">
        <f t="shared" si="343"/>
        <v>208.33676975945</v>
      </c>
      <c r="S612" s="74"/>
      <c r="T612" s="75">
        <f t="shared" si="344"/>
        <v>0.310567010309278</v>
      </c>
      <c r="U612" s="74"/>
      <c r="V612" s="74"/>
      <c r="W612" s="76">
        <f t="shared" si="341"/>
        <v>208.647336769759</v>
      </c>
      <c r="X612" s="77">
        <f t="shared" si="345"/>
        <v>2.92316151202749</v>
      </c>
      <c r="Y612" s="77"/>
      <c r="Z612" s="77"/>
      <c r="AA612" s="77">
        <f t="shared" si="342"/>
        <v>2.92316151202749</v>
      </c>
      <c r="AB612" s="86">
        <v>7.08</v>
      </c>
      <c r="AC612" s="74">
        <f t="shared" si="338"/>
        <v>20.6959835051546</v>
      </c>
      <c r="AD612" s="74">
        <f t="shared" si="339"/>
        <v>229.343320274914</v>
      </c>
      <c r="AE612" s="74">
        <f t="shared" si="340"/>
        <v>99.1686797250859</v>
      </c>
    </row>
    <row r="613" customFormat="1" spans="1:31">
      <c r="A613" s="18"/>
      <c r="B613" s="19"/>
      <c r="C613" s="20">
        <v>240914000056</v>
      </c>
      <c r="D613" s="21">
        <v>45558</v>
      </c>
      <c r="E613" s="21" t="s">
        <v>46</v>
      </c>
      <c r="F613" s="19">
        <v>13635229849</v>
      </c>
      <c r="G613" s="19" t="s">
        <v>140</v>
      </c>
      <c r="H613" s="19">
        <v>7</v>
      </c>
      <c r="I613" s="45"/>
      <c r="J613" s="54">
        <v>110235</v>
      </c>
      <c r="K613" s="43"/>
      <c r="L613" s="49">
        <f t="shared" si="352"/>
        <v>1738.99660487475</v>
      </c>
      <c r="M613" s="50">
        <v>63.390003</v>
      </c>
      <c r="N613" s="44">
        <v>7.08</v>
      </c>
      <c r="O613" s="45">
        <f t="shared" si="353"/>
        <v>448.80122124</v>
      </c>
      <c r="P613" s="51"/>
      <c r="Q613" s="51"/>
      <c r="R613" s="74">
        <f t="shared" si="343"/>
        <v>291.67147766323</v>
      </c>
      <c r="S613" s="74"/>
      <c r="T613" s="75">
        <f t="shared" si="344"/>
        <v>0.43479381443299</v>
      </c>
      <c r="U613" s="74"/>
      <c r="V613" s="74"/>
      <c r="W613" s="76">
        <f t="shared" si="341"/>
        <v>292.106271477663</v>
      </c>
      <c r="X613" s="77">
        <f t="shared" si="345"/>
        <v>4.09242611683849</v>
      </c>
      <c r="Y613" s="77"/>
      <c r="Z613" s="77"/>
      <c r="AA613" s="77">
        <f t="shared" si="342"/>
        <v>4.09242611683849</v>
      </c>
      <c r="AB613" s="86">
        <v>7.08</v>
      </c>
      <c r="AC613" s="74">
        <f t="shared" si="338"/>
        <v>28.9743769072165</v>
      </c>
      <c r="AD613" s="74">
        <f t="shared" si="339"/>
        <v>321.08064838488</v>
      </c>
      <c r="AE613" s="74">
        <f t="shared" si="340"/>
        <v>127.72057285512</v>
      </c>
    </row>
    <row r="614" customFormat="1" spans="1:31">
      <c r="A614" s="18"/>
      <c r="B614" s="19"/>
      <c r="C614" s="20">
        <v>240914000061</v>
      </c>
      <c r="D614" s="21">
        <v>45558</v>
      </c>
      <c r="E614" s="21" t="s">
        <v>43</v>
      </c>
      <c r="F614" s="19" t="s">
        <v>44</v>
      </c>
      <c r="G614" s="19" t="s">
        <v>431</v>
      </c>
      <c r="H614" s="19">
        <v>7</v>
      </c>
      <c r="I614" s="41">
        <v>420</v>
      </c>
      <c r="J614" s="53"/>
      <c r="K614" s="43"/>
      <c r="L614" s="19"/>
      <c r="M614" s="43"/>
      <c r="N614" s="44"/>
      <c r="O614" s="45">
        <f t="shared" si="351"/>
        <v>420</v>
      </c>
      <c r="P614" s="51"/>
      <c r="Q614" s="51"/>
      <c r="R614" s="74">
        <f t="shared" si="343"/>
        <v>291.67147766323</v>
      </c>
      <c r="S614" s="74"/>
      <c r="T614" s="75">
        <f t="shared" si="344"/>
        <v>0.43479381443299</v>
      </c>
      <c r="U614" s="74"/>
      <c r="V614" s="74"/>
      <c r="W614" s="76">
        <f t="shared" si="341"/>
        <v>292.106271477663</v>
      </c>
      <c r="X614" s="77">
        <f t="shared" si="345"/>
        <v>4.09242611683849</v>
      </c>
      <c r="Y614" s="77"/>
      <c r="Z614" s="77"/>
      <c r="AA614" s="77">
        <f t="shared" si="342"/>
        <v>4.09242611683849</v>
      </c>
      <c r="AB614" s="86">
        <v>7.08</v>
      </c>
      <c r="AC614" s="74">
        <f t="shared" si="338"/>
        <v>28.9743769072165</v>
      </c>
      <c r="AD614" s="74">
        <f t="shared" si="339"/>
        <v>321.08064838488</v>
      </c>
      <c r="AE614" s="74">
        <f t="shared" si="340"/>
        <v>98.9193516151203</v>
      </c>
    </row>
    <row r="615" customFormat="1" spans="1:31">
      <c r="A615" s="18"/>
      <c r="B615" s="19"/>
      <c r="C615" s="20">
        <v>240914000067</v>
      </c>
      <c r="D615" s="21">
        <v>45558</v>
      </c>
      <c r="E615" s="21" t="s">
        <v>43</v>
      </c>
      <c r="F615" s="19" t="s">
        <v>44</v>
      </c>
      <c r="G615" s="19" t="s">
        <v>313</v>
      </c>
      <c r="H615" s="19">
        <v>10</v>
      </c>
      <c r="I615" s="41">
        <v>603</v>
      </c>
      <c r="J615" s="53"/>
      <c r="K615" s="43"/>
      <c r="L615" s="19"/>
      <c r="M615" s="43"/>
      <c r="N615" s="44"/>
      <c r="O615" s="45">
        <f t="shared" si="351"/>
        <v>603</v>
      </c>
      <c r="P615" s="51"/>
      <c r="Q615" s="51"/>
      <c r="R615" s="74">
        <f t="shared" si="343"/>
        <v>416.6735395189</v>
      </c>
      <c r="S615" s="74"/>
      <c r="T615" s="75">
        <f t="shared" si="344"/>
        <v>0.621134020618557</v>
      </c>
      <c r="U615" s="74"/>
      <c r="V615" s="74"/>
      <c r="W615" s="76">
        <f t="shared" si="341"/>
        <v>417.294673539519</v>
      </c>
      <c r="X615" s="77">
        <f t="shared" si="345"/>
        <v>5.84632302405498</v>
      </c>
      <c r="Y615" s="77"/>
      <c r="Z615" s="77"/>
      <c r="AA615" s="77">
        <f t="shared" si="342"/>
        <v>5.84632302405498</v>
      </c>
      <c r="AB615" s="86">
        <v>7.08</v>
      </c>
      <c r="AC615" s="74">
        <f t="shared" si="338"/>
        <v>41.3919670103093</v>
      </c>
      <c r="AD615" s="74">
        <f t="shared" si="339"/>
        <v>458.686640549828</v>
      </c>
      <c r="AE615" s="74">
        <f t="shared" si="340"/>
        <v>144.313359450172</v>
      </c>
    </row>
    <row r="616" customFormat="1" spans="1:31">
      <c r="A616" s="18"/>
      <c r="B616" s="19"/>
      <c r="C616" s="20">
        <v>240914000069</v>
      </c>
      <c r="D616" s="21">
        <v>45558</v>
      </c>
      <c r="E616" s="21" t="s">
        <v>96</v>
      </c>
      <c r="F616" s="19" t="s">
        <v>209</v>
      </c>
      <c r="G616" s="19" t="s">
        <v>405</v>
      </c>
      <c r="H616" s="19">
        <v>4</v>
      </c>
      <c r="I616" s="45"/>
      <c r="J616" s="54">
        <v>58605</v>
      </c>
      <c r="K616" s="43"/>
      <c r="L616" s="49">
        <f t="shared" si="352"/>
        <v>1739.02077151335</v>
      </c>
      <c r="M616" s="50">
        <v>33.7</v>
      </c>
      <c r="N616" s="44">
        <v>7.08</v>
      </c>
      <c r="O616" s="45">
        <f t="shared" si="353"/>
        <v>238.596</v>
      </c>
      <c r="P616" s="51"/>
      <c r="Q616" s="51"/>
      <c r="R616" s="74">
        <f t="shared" si="343"/>
        <v>166.66941580756</v>
      </c>
      <c r="S616" s="74"/>
      <c r="T616" s="75">
        <f t="shared" si="344"/>
        <v>0.248453608247423</v>
      </c>
      <c r="U616" s="74"/>
      <c r="V616" s="74"/>
      <c r="W616" s="76">
        <f t="shared" si="341"/>
        <v>166.917869415808</v>
      </c>
      <c r="X616" s="77">
        <f t="shared" si="345"/>
        <v>2.33852920962199</v>
      </c>
      <c r="Y616" s="77"/>
      <c r="Z616" s="77"/>
      <c r="AA616" s="77">
        <f t="shared" si="342"/>
        <v>2.33852920962199</v>
      </c>
      <c r="AB616" s="86">
        <v>7.08</v>
      </c>
      <c r="AC616" s="74">
        <f t="shared" si="338"/>
        <v>16.5567868041237</v>
      </c>
      <c r="AD616" s="74">
        <f t="shared" si="339"/>
        <v>183.474656219931</v>
      </c>
      <c r="AE616" s="74">
        <f t="shared" si="340"/>
        <v>55.1213437800687</v>
      </c>
    </row>
    <row r="617" customFormat="1" spans="1:31">
      <c r="A617" s="18"/>
      <c r="B617" s="19"/>
      <c r="C617" s="20">
        <v>240915000001</v>
      </c>
      <c r="D617" s="21">
        <v>45558</v>
      </c>
      <c r="E617" s="21" t="s">
        <v>41</v>
      </c>
      <c r="F617" s="19" t="s">
        <v>41</v>
      </c>
      <c r="G617" s="19" t="s">
        <v>432</v>
      </c>
      <c r="H617" s="19">
        <v>1.5</v>
      </c>
      <c r="I617" s="41">
        <v>128</v>
      </c>
      <c r="J617" s="53"/>
      <c r="K617" s="43"/>
      <c r="L617" s="19"/>
      <c r="M617" s="43"/>
      <c r="N617" s="44"/>
      <c r="O617" s="45">
        <f t="shared" ref="O617:O622" si="354">SUM(I617)</f>
        <v>128</v>
      </c>
      <c r="P617" s="51"/>
      <c r="Q617" s="51"/>
      <c r="R617" s="74">
        <f t="shared" si="343"/>
        <v>62.5010309278351</v>
      </c>
      <c r="S617" s="74"/>
      <c r="T617" s="75">
        <f t="shared" si="344"/>
        <v>0.0931701030927835</v>
      </c>
      <c r="U617" s="74"/>
      <c r="V617" s="74"/>
      <c r="W617" s="76">
        <f t="shared" si="341"/>
        <v>62.5942010309278</v>
      </c>
      <c r="X617" s="77">
        <f t="shared" si="345"/>
        <v>0.876948453608247</v>
      </c>
      <c r="Y617" s="77"/>
      <c r="Z617" s="77"/>
      <c r="AA617" s="77">
        <f t="shared" si="342"/>
        <v>0.876948453608247</v>
      </c>
      <c r="AB617" s="86">
        <v>7.08</v>
      </c>
      <c r="AC617" s="74">
        <f t="shared" si="338"/>
        <v>6.20879505154639</v>
      </c>
      <c r="AD617" s="74">
        <f t="shared" si="339"/>
        <v>68.8029960824742</v>
      </c>
      <c r="AE617" s="74">
        <f t="shared" si="340"/>
        <v>59.1970039175258</v>
      </c>
    </row>
    <row r="618" customFormat="1" spans="1:31">
      <c r="A618" s="18"/>
      <c r="B618" s="19"/>
      <c r="C618" s="20">
        <v>240915000002</v>
      </c>
      <c r="D618" s="21">
        <v>45558</v>
      </c>
      <c r="E618" s="21" t="s">
        <v>46</v>
      </c>
      <c r="F618" s="19" t="s">
        <v>47</v>
      </c>
      <c r="G618" s="19" t="s">
        <v>323</v>
      </c>
      <c r="H618" s="19">
        <v>6.5</v>
      </c>
      <c r="I618" s="45"/>
      <c r="J618" s="54">
        <v>90862</v>
      </c>
      <c r="K618" s="43"/>
      <c r="L618" s="49">
        <f>SUM(J618/M618)</f>
        <v>1738.98564593301</v>
      </c>
      <c r="M618" s="50">
        <v>52.25</v>
      </c>
      <c r="N618" s="44">
        <v>7.08</v>
      </c>
      <c r="O618" s="45">
        <f>SUM(M618*N618)</f>
        <v>369.93</v>
      </c>
      <c r="P618" s="51"/>
      <c r="Q618" s="51"/>
      <c r="R618" s="74">
        <f t="shared" si="343"/>
        <v>270.837800687285</v>
      </c>
      <c r="S618" s="74"/>
      <c r="T618" s="75">
        <f t="shared" si="344"/>
        <v>0.403737113402062</v>
      </c>
      <c r="U618" s="74"/>
      <c r="V618" s="74"/>
      <c r="W618" s="76">
        <f t="shared" si="341"/>
        <v>271.241537800687</v>
      </c>
      <c r="X618" s="77">
        <f t="shared" si="345"/>
        <v>3.80010996563574</v>
      </c>
      <c r="Y618" s="77"/>
      <c r="Z618" s="77"/>
      <c r="AA618" s="77">
        <f t="shared" si="342"/>
        <v>3.80010996563574</v>
      </c>
      <c r="AB618" s="86">
        <v>7.08</v>
      </c>
      <c r="AC618" s="74">
        <f t="shared" si="338"/>
        <v>26.904778556701</v>
      </c>
      <c r="AD618" s="74">
        <f t="shared" si="339"/>
        <v>298.146316357388</v>
      </c>
      <c r="AE618" s="74">
        <f t="shared" si="340"/>
        <v>71.7836836426117</v>
      </c>
    </row>
    <row r="619" customFormat="1" spans="1:31">
      <c r="A619" s="18"/>
      <c r="B619" s="19"/>
      <c r="C619" s="20">
        <v>240915000003</v>
      </c>
      <c r="D619" s="21">
        <v>45558</v>
      </c>
      <c r="E619" s="21" t="s">
        <v>62</v>
      </c>
      <c r="F619" s="19" t="s">
        <v>63</v>
      </c>
      <c r="G619" s="19" t="s">
        <v>374</v>
      </c>
      <c r="H619" s="19">
        <v>13</v>
      </c>
      <c r="I619" s="41">
        <v>741</v>
      </c>
      <c r="J619" s="53"/>
      <c r="K619" s="43"/>
      <c r="L619" s="19"/>
      <c r="M619" s="43"/>
      <c r="N619" s="44"/>
      <c r="O619" s="45">
        <f t="shared" si="354"/>
        <v>741</v>
      </c>
      <c r="P619" s="51"/>
      <c r="Q619" s="51"/>
      <c r="R619" s="74">
        <f t="shared" si="343"/>
        <v>541.67560137457</v>
      </c>
      <c r="S619" s="74"/>
      <c r="T619" s="75">
        <f t="shared" si="344"/>
        <v>0.807474226804124</v>
      </c>
      <c r="U619" s="74"/>
      <c r="V619" s="74"/>
      <c r="W619" s="76">
        <f t="shared" si="341"/>
        <v>542.483075601375</v>
      </c>
      <c r="X619" s="77">
        <f t="shared" si="345"/>
        <v>7.60021993127148</v>
      </c>
      <c r="Y619" s="77"/>
      <c r="Z619" s="77"/>
      <c r="AA619" s="77">
        <f t="shared" si="342"/>
        <v>7.60021993127148</v>
      </c>
      <c r="AB619" s="86">
        <v>7.08</v>
      </c>
      <c r="AC619" s="74">
        <f t="shared" si="338"/>
        <v>53.8095571134021</v>
      </c>
      <c r="AD619" s="74">
        <f t="shared" si="339"/>
        <v>596.292632714777</v>
      </c>
      <c r="AE619" s="74">
        <f t="shared" si="340"/>
        <v>144.707367285223</v>
      </c>
    </row>
    <row r="620" customFormat="1" spans="1:31">
      <c r="A620" s="18"/>
      <c r="B620" s="19"/>
      <c r="C620" s="22">
        <v>240915000006</v>
      </c>
      <c r="D620" s="23">
        <v>45558</v>
      </c>
      <c r="E620" s="21" t="s">
        <v>62</v>
      </c>
      <c r="F620" s="24" t="s">
        <v>63</v>
      </c>
      <c r="G620" s="24" t="s">
        <v>433</v>
      </c>
      <c r="H620" s="24">
        <v>4</v>
      </c>
      <c r="I620" s="47"/>
      <c r="J620" s="54">
        <v>65400</v>
      </c>
      <c r="K620" s="43"/>
      <c r="L620" s="49">
        <f t="shared" ref="L620:L625" si="355">SUM(J620/M620)</f>
        <v>1734.28798727128</v>
      </c>
      <c r="M620" s="50">
        <v>37.71</v>
      </c>
      <c r="N620" s="44">
        <v>7.08</v>
      </c>
      <c r="O620" s="45">
        <f t="shared" ref="O620:O625" si="356">SUM(M620*N620)</f>
        <v>266.9868</v>
      </c>
      <c r="P620" s="51"/>
      <c r="Q620" s="51"/>
      <c r="R620" s="74">
        <f t="shared" si="343"/>
        <v>166.66941580756</v>
      </c>
      <c r="S620" s="74"/>
      <c r="T620" s="75">
        <f t="shared" si="344"/>
        <v>0.248453608247423</v>
      </c>
      <c r="U620" s="74"/>
      <c r="V620" s="74"/>
      <c r="W620" s="76">
        <f t="shared" si="341"/>
        <v>166.917869415808</v>
      </c>
      <c r="X620" s="77">
        <f t="shared" si="345"/>
        <v>2.33852920962199</v>
      </c>
      <c r="Y620" s="77"/>
      <c r="Z620" s="77"/>
      <c r="AA620" s="77">
        <f t="shared" si="342"/>
        <v>2.33852920962199</v>
      </c>
      <c r="AB620" s="86">
        <v>7.08</v>
      </c>
      <c r="AC620" s="74">
        <f t="shared" si="338"/>
        <v>16.5567868041237</v>
      </c>
      <c r="AD620" s="74">
        <f t="shared" si="339"/>
        <v>183.474656219931</v>
      </c>
      <c r="AE620" s="74">
        <f t="shared" si="340"/>
        <v>83.5121437800688</v>
      </c>
    </row>
    <row r="621" customFormat="1" spans="1:31">
      <c r="A621" s="18"/>
      <c r="B621" s="19"/>
      <c r="C621" s="20">
        <v>240915000007</v>
      </c>
      <c r="D621" s="21">
        <v>45558</v>
      </c>
      <c r="E621" s="21" t="s">
        <v>62</v>
      </c>
      <c r="F621" s="19" t="s">
        <v>63</v>
      </c>
      <c r="G621" s="19" t="s">
        <v>223</v>
      </c>
      <c r="H621" s="19">
        <v>298</v>
      </c>
      <c r="I621" s="41">
        <v>17177</v>
      </c>
      <c r="J621" s="53"/>
      <c r="K621" s="43"/>
      <c r="L621" s="19"/>
      <c r="M621" s="43"/>
      <c r="N621" s="44"/>
      <c r="O621" s="45">
        <f t="shared" si="354"/>
        <v>17177</v>
      </c>
      <c r="P621" s="51"/>
      <c r="Q621" s="51"/>
      <c r="R621" s="74">
        <f t="shared" si="343"/>
        <v>12416.8714776632</v>
      </c>
      <c r="S621" s="74"/>
      <c r="T621" s="75">
        <f t="shared" si="344"/>
        <v>18.509793814433</v>
      </c>
      <c r="U621" s="74"/>
      <c r="V621" s="74"/>
      <c r="W621" s="76">
        <f t="shared" si="341"/>
        <v>12435.3812714777</v>
      </c>
      <c r="X621" s="77">
        <f t="shared" si="345"/>
        <v>174.220426116838</v>
      </c>
      <c r="Y621" s="77"/>
      <c r="Z621" s="77"/>
      <c r="AA621" s="77">
        <f t="shared" si="342"/>
        <v>174.220426116838</v>
      </c>
      <c r="AB621" s="86">
        <v>7.08</v>
      </c>
      <c r="AC621" s="74">
        <f t="shared" si="338"/>
        <v>1233.48061690722</v>
      </c>
      <c r="AD621" s="74">
        <f t="shared" si="339"/>
        <v>13668.8618883849</v>
      </c>
      <c r="AE621" s="74">
        <f t="shared" si="340"/>
        <v>3508.13811161512</v>
      </c>
    </row>
    <row r="622" customFormat="1" spans="1:31">
      <c r="A622" s="18"/>
      <c r="B622" s="19"/>
      <c r="C622" s="20">
        <v>240915000009</v>
      </c>
      <c r="D622" s="21">
        <v>45558</v>
      </c>
      <c r="E622" s="21" t="s">
        <v>46</v>
      </c>
      <c r="F622" s="19" t="s">
        <v>47</v>
      </c>
      <c r="G622" s="19" t="s">
        <v>175</v>
      </c>
      <c r="H622" s="19">
        <v>5.5</v>
      </c>
      <c r="I622" s="41">
        <v>333</v>
      </c>
      <c r="J622" s="53"/>
      <c r="K622" s="43"/>
      <c r="L622" s="19"/>
      <c r="M622" s="43"/>
      <c r="N622" s="44"/>
      <c r="O622" s="45">
        <f t="shared" si="354"/>
        <v>333</v>
      </c>
      <c r="P622" s="51"/>
      <c r="Q622" s="51"/>
      <c r="R622" s="74">
        <f t="shared" si="343"/>
        <v>229.170446735395</v>
      </c>
      <c r="S622" s="74"/>
      <c r="T622" s="75">
        <f t="shared" si="344"/>
        <v>0.341623711340206</v>
      </c>
      <c r="U622" s="74"/>
      <c r="V622" s="74"/>
      <c r="W622" s="76">
        <f t="shared" si="341"/>
        <v>229.512070446735</v>
      </c>
      <c r="X622" s="77">
        <f t="shared" si="345"/>
        <v>3.21547766323024</v>
      </c>
      <c r="Y622" s="77"/>
      <c r="Z622" s="77"/>
      <c r="AA622" s="77">
        <f t="shared" si="342"/>
        <v>3.21547766323024</v>
      </c>
      <c r="AB622" s="86">
        <v>7.08</v>
      </c>
      <c r="AC622" s="74">
        <f t="shared" si="338"/>
        <v>22.7655818556701</v>
      </c>
      <c r="AD622" s="74">
        <f t="shared" si="339"/>
        <v>252.277652302405</v>
      </c>
      <c r="AE622" s="74">
        <f t="shared" si="340"/>
        <v>80.7223476975945</v>
      </c>
    </row>
    <row r="623" customFormat="1" spans="1:31">
      <c r="A623" s="18"/>
      <c r="B623" s="19"/>
      <c r="C623" s="20">
        <v>240915000012</v>
      </c>
      <c r="D623" s="21">
        <v>45558</v>
      </c>
      <c r="E623" s="21" t="s">
        <v>41</v>
      </c>
      <c r="F623" s="19" t="s">
        <v>41</v>
      </c>
      <c r="G623" s="19" t="s">
        <v>300</v>
      </c>
      <c r="H623" s="19">
        <v>548</v>
      </c>
      <c r="I623" s="55">
        <v>28298</v>
      </c>
      <c r="J623" s="53"/>
      <c r="K623" s="91"/>
      <c r="L623" s="49"/>
      <c r="M623" s="50"/>
      <c r="N623" s="44"/>
      <c r="O623" s="45">
        <f>SUBTOTAL(9,I623)</f>
        <v>28298</v>
      </c>
      <c r="P623" s="51"/>
      <c r="Q623" s="51"/>
      <c r="R623" s="74">
        <f t="shared" si="343"/>
        <v>22833.7099656357</v>
      </c>
      <c r="S623" s="74"/>
      <c r="T623" s="75">
        <f t="shared" si="344"/>
        <v>34.0381443298969</v>
      </c>
      <c r="U623" s="74"/>
      <c r="V623" s="74"/>
      <c r="W623" s="76">
        <f t="shared" si="341"/>
        <v>22867.7481099656</v>
      </c>
      <c r="X623" s="77">
        <f t="shared" si="345"/>
        <v>320.378501718213</v>
      </c>
      <c r="Y623" s="77"/>
      <c r="Z623" s="77"/>
      <c r="AA623" s="77">
        <f t="shared" si="342"/>
        <v>320.378501718213</v>
      </c>
      <c r="AB623" s="86">
        <v>7.08</v>
      </c>
      <c r="AC623" s="74">
        <f t="shared" si="338"/>
        <v>2268.27979216495</v>
      </c>
      <c r="AD623" s="74">
        <f t="shared" si="339"/>
        <v>25136.0279021306</v>
      </c>
      <c r="AE623" s="74">
        <f t="shared" si="340"/>
        <v>3161.9720978694</v>
      </c>
    </row>
    <row r="624" customFormat="1" spans="1:31">
      <c r="A624" s="18"/>
      <c r="B624" s="19"/>
      <c r="C624" s="20">
        <v>240915000015</v>
      </c>
      <c r="D624" s="21">
        <v>45558</v>
      </c>
      <c r="E624" s="21" t="s">
        <v>62</v>
      </c>
      <c r="F624" s="19" t="s">
        <v>63</v>
      </c>
      <c r="G624" s="19" t="s">
        <v>434</v>
      </c>
      <c r="H624" s="19">
        <v>25.5</v>
      </c>
      <c r="I624" s="45"/>
      <c r="J624" s="54">
        <v>370320</v>
      </c>
      <c r="K624" s="43"/>
      <c r="L624" s="49">
        <f t="shared" si="355"/>
        <v>1738.9997652031</v>
      </c>
      <c r="M624" s="50">
        <v>212.95</v>
      </c>
      <c r="N624" s="44">
        <v>7.08</v>
      </c>
      <c r="O624" s="45">
        <f t="shared" si="356"/>
        <v>1507.686</v>
      </c>
      <c r="P624" s="51"/>
      <c r="Q624" s="51"/>
      <c r="R624" s="74">
        <f t="shared" si="343"/>
        <v>1062.5175257732</v>
      </c>
      <c r="S624" s="74"/>
      <c r="T624" s="75">
        <f t="shared" si="344"/>
        <v>1.58389175257732</v>
      </c>
      <c r="U624" s="74"/>
      <c r="V624" s="74"/>
      <c r="W624" s="76">
        <f t="shared" si="341"/>
        <v>1064.10141752577</v>
      </c>
      <c r="X624" s="77">
        <f t="shared" si="345"/>
        <v>14.9081237113402</v>
      </c>
      <c r="Y624" s="77"/>
      <c r="Z624" s="77"/>
      <c r="AA624" s="77">
        <f t="shared" si="342"/>
        <v>14.9081237113402</v>
      </c>
      <c r="AB624" s="86">
        <v>7.08</v>
      </c>
      <c r="AC624" s="74">
        <f t="shared" si="338"/>
        <v>105.549515876289</v>
      </c>
      <c r="AD624" s="74">
        <f t="shared" si="339"/>
        <v>1169.65093340206</v>
      </c>
      <c r="AE624" s="74">
        <f t="shared" si="340"/>
        <v>338.035066597938</v>
      </c>
    </row>
    <row r="625" customFormat="1" spans="1:31">
      <c r="A625" s="18"/>
      <c r="B625" s="19"/>
      <c r="C625" s="20">
        <v>240915000017</v>
      </c>
      <c r="D625" s="21">
        <v>45558</v>
      </c>
      <c r="E625" s="21" t="s">
        <v>50</v>
      </c>
      <c r="F625" s="19" t="s">
        <v>51</v>
      </c>
      <c r="G625" s="19" t="s">
        <v>291</v>
      </c>
      <c r="H625" s="19">
        <v>30</v>
      </c>
      <c r="I625" s="47"/>
      <c r="J625" s="90">
        <v>374850</v>
      </c>
      <c r="K625" s="43"/>
      <c r="L625" s="49">
        <f t="shared" si="355"/>
        <v>1734.61360481259</v>
      </c>
      <c r="M625" s="50">
        <v>216.1</v>
      </c>
      <c r="N625" s="44">
        <v>7.08</v>
      </c>
      <c r="O625" s="45">
        <f t="shared" si="356"/>
        <v>1529.988</v>
      </c>
      <c r="P625" s="51"/>
      <c r="Q625" s="51"/>
      <c r="R625" s="74">
        <f t="shared" si="343"/>
        <v>1250.0206185567</v>
      </c>
      <c r="S625" s="74"/>
      <c r="T625" s="75">
        <f t="shared" si="344"/>
        <v>1.86340206185567</v>
      </c>
      <c r="U625" s="74"/>
      <c r="V625" s="74"/>
      <c r="W625" s="76">
        <f t="shared" si="341"/>
        <v>1251.88402061856</v>
      </c>
      <c r="X625" s="77">
        <f t="shared" si="345"/>
        <v>17.5389690721649</v>
      </c>
      <c r="Y625" s="77"/>
      <c r="Z625" s="77"/>
      <c r="AA625" s="77">
        <f t="shared" si="342"/>
        <v>17.5389690721649</v>
      </c>
      <c r="AB625" s="86">
        <v>7.08</v>
      </c>
      <c r="AC625" s="74">
        <f t="shared" si="338"/>
        <v>124.175901030928</v>
      </c>
      <c r="AD625" s="74">
        <f t="shared" si="339"/>
        <v>1376.05992164948</v>
      </c>
      <c r="AE625" s="74">
        <f t="shared" si="340"/>
        <v>153.928078350516</v>
      </c>
    </row>
    <row r="626" customFormat="1" spans="1:31">
      <c r="A626" s="18"/>
      <c r="B626" s="19"/>
      <c r="C626" s="20">
        <v>240915000018</v>
      </c>
      <c r="D626" s="21">
        <v>45558</v>
      </c>
      <c r="E626" s="21" t="s">
        <v>62</v>
      </c>
      <c r="F626" s="19" t="s">
        <v>63</v>
      </c>
      <c r="G626" s="19" t="s">
        <v>380</v>
      </c>
      <c r="H626" s="19">
        <v>20.5</v>
      </c>
      <c r="I626" s="41">
        <v>1045.5</v>
      </c>
      <c r="J626" s="53"/>
      <c r="K626" s="43"/>
      <c r="L626" s="19"/>
      <c r="M626" s="43"/>
      <c r="N626" s="44"/>
      <c r="O626" s="45">
        <f t="shared" ref="O626:O632" si="357">SUM(I626)</f>
        <v>1045.5</v>
      </c>
      <c r="P626" s="51"/>
      <c r="Q626" s="51"/>
      <c r="R626" s="74">
        <f t="shared" si="343"/>
        <v>854.180756013746</v>
      </c>
      <c r="S626" s="74"/>
      <c r="T626" s="75">
        <f t="shared" si="344"/>
        <v>1.27332474226804</v>
      </c>
      <c r="U626" s="74"/>
      <c r="V626" s="74"/>
      <c r="W626" s="76">
        <f t="shared" si="341"/>
        <v>855.454080756014</v>
      </c>
      <c r="X626" s="77">
        <f t="shared" si="345"/>
        <v>11.9849621993127</v>
      </c>
      <c r="Y626" s="77"/>
      <c r="Z626" s="77"/>
      <c r="AA626" s="77">
        <f t="shared" si="342"/>
        <v>11.9849621993127</v>
      </c>
      <c r="AB626" s="86">
        <v>7.08</v>
      </c>
      <c r="AC626" s="74">
        <f t="shared" si="338"/>
        <v>84.853532371134</v>
      </c>
      <c r="AD626" s="74">
        <f t="shared" si="339"/>
        <v>940.307613127148</v>
      </c>
      <c r="AE626" s="74">
        <f t="shared" si="340"/>
        <v>105.192386872852</v>
      </c>
    </row>
    <row r="627" customFormat="1" spans="1:31">
      <c r="A627" s="18"/>
      <c r="B627" s="19"/>
      <c r="C627" s="20">
        <v>240915000023</v>
      </c>
      <c r="D627" s="21">
        <v>45558</v>
      </c>
      <c r="E627" s="21" t="s">
        <v>50</v>
      </c>
      <c r="F627" s="19" t="s">
        <v>51</v>
      </c>
      <c r="G627" s="19" t="s">
        <v>420</v>
      </c>
      <c r="H627" s="19">
        <v>1.5</v>
      </c>
      <c r="I627" s="41">
        <v>87</v>
      </c>
      <c r="J627" s="53"/>
      <c r="K627" s="43"/>
      <c r="L627" s="19"/>
      <c r="M627" s="43"/>
      <c r="N627" s="44"/>
      <c r="O627" s="45">
        <f t="shared" si="357"/>
        <v>87</v>
      </c>
      <c r="P627" s="51"/>
      <c r="Q627" s="51"/>
      <c r="R627" s="74">
        <f t="shared" si="343"/>
        <v>62.5010309278351</v>
      </c>
      <c r="S627" s="74"/>
      <c r="T627" s="75">
        <f t="shared" si="344"/>
        <v>0.0931701030927835</v>
      </c>
      <c r="U627" s="74"/>
      <c r="V627" s="74"/>
      <c r="W627" s="76">
        <f t="shared" si="341"/>
        <v>62.5942010309278</v>
      </c>
      <c r="X627" s="77">
        <f t="shared" si="345"/>
        <v>0.876948453608247</v>
      </c>
      <c r="Y627" s="77"/>
      <c r="Z627" s="77"/>
      <c r="AA627" s="77">
        <f t="shared" si="342"/>
        <v>0.876948453608247</v>
      </c>
      <c r="AB627" s="86">
        <v>7.08</v>
      </c>
      <c r="AC627" s="74">
        <f t="shared" si="338"/>
        <v>6.20879505154639</v>
      </c>
      <c r="AD627" s="74">
        <f t="shared" si="339"/>
        <v>68.8029960824742</v>
      </c>
      <c r="AE627" s="74">
        <f t="shared" si="340"/>
        <v>18.1970039175258</v>
      </c>
    </row>
    <row r="628" customFormat="1" spans="1:31">
      <c r="A628" s="18"/>
      <c r="B628" s="19"/>
      <c r="C628" s="20">
        <v>240915000025</v>
      </c>
      <c r="D628" s="21">
        <v>45558</v>
      </c>
      <c r="E628" s="21" t="s">
        <v>50</v>
      </c>
      <c r="F628" s="19" t="s">
        <v>51</v>
      </c>
      <c r="G628" s="19" t="s">
        <v>263</v>
      </c>
      <c r="H628" s="19">
        <v>5.5</v>
      </c>
      <c r="I628" s="47"/>
      <c r="J628" s="54">
        <v>78155</v>
      </c>
      <c r="K628" s="43"/>
      <c r="L628" s="49">
        <f t="shared" ref="L628:L633" si="358">SUM(J628/M628)</f>
        <v>1734.85016648169</v>
      </c>
      <c r="M628" s="50">
        <v>45.05</v>
      </c>
      <c r="N628" s="44">
        <v>7.08</v>
      </c>
      <c r="O628" s="45">
        <f t="shared" ref="O628:O633" si="359">SUM(M628*N628)</f>
        <v>318.954</v>
      </c>
      <c r="P628" s="51"/>
      <c r="Q628" s="51"/>
      <c r="R628" s="74">
        <f t="shared" si="343"/>
        <v>229.170446735395</v>
      </c>
      <c r="S628" s="74"/>
      <c r="T628" s="75">
        <f t="shared" si="344"/>
        <v>0.341623711340206</v>
      </c>
      <c r="U628" s="74"/>
      <c r="V628" s="74"/>
      <c r="W628" s="76">
        <f t="shared" si="341"/>
        <v>229.512070446735</v>
      </c>
      <c r="X628" s="77">
        <f t="shared" si="345"/>
        <v>3.21547766323024</v>
      </c>
      <c r="Y628" s="77"/>
      <c r="Z628" s="77"/>
      <c r="AA628" s="77">
        <f t="shared" si="342"/>
        <v>3.21547766323024</v>
      </c>
      <c r="AB628" s="86">
        <v>7.08</v>
      </c>
      <c r="AC628" s="74">
        <f t="shared" si="338"/>
        <v>22.7655818556701</v>
      </c>
      <c r="AD628" s="74">
        <f t="shared" si="339"/>
        <v>252.277652302405</v>
      </c>
      <c r="AE628" s="74">
        <f t="shared" si="340"/>
        <v>66.6763476975945</v>
      </c>
    </row>
    <row r="629" customFormat="1" spans="1:31">
      <c r="A629" s="18"/>
      <c r="B629" s="19"/>
      <c r="C629" s="20">
        <v>240916000001</v>
      </c>
      <c r="D629" s="21">
        <v>45558</v>
      </c>
      <c r="E629" s="21" t="s">
        <v>96</v>
      </c>
      <c r="F629" s="19" t="s">
        <v>209</v>
      </c>
      <c r="G629" s="19" t="s">
        <v>283</v>
      </c>
      <c r="H629" s="19">
        <v>25</v>
      </c>
      <c r="I629" s="45"/>
      <c r="J629" s="54">
        <v>332497</v>
      </c>
      <c r="K629" s="43"/>
      <c r="L629" s="49">
        <f t="shared" si="358"/>
        <v>1739.0010460251</v>
      </c>
      <c r="M629" s="50">
        <v>191.2</v>
      </c>
      <c r="N629" s="44">
        <v>7.08</v>
      </c>
      <c r="O629" s="45">
        <f t="shared" si="359"/>
        <v>1353.696</v>
      </c>
      <c r="P629" s="51"/>
      <c r="Q629" s="51"/>
      <c r="R629" s="74">
        <f t="shared" si="343"/>
        <v>1041.68384879725</v>
      </c>
      <c r="S629" s="74"/>
      <c r="T629" s="75">
        <f t="shared" si="344"/>
        <v>1.55283505154639</v>
      </c>
      <c r="U629" s="74"/>
      <c r="V629" s="74"/>
      <c r="W629" s="76">
        <f t="shared" si="341"/>
        <v>1043.2366838488</v>
      </c>
      <c r="X629" s="77">
        <f t="shared" si="345"/>
        <v>14.6158075601375</v>
      </c>
      <c r="Y629" s="77"/>
      <c r="Z629" s="77"/>
      <c r="AA629" s="77">
        <f t="shared" si="342"/>
        <v>14.6158075601375</v>
      </c>
      <c r="AB629" s="86">
        <v>7.08</v>
      </c>
      <c r="AC629" s="74">
        <f t="shared" ref="AC629:AC660" si="360">SUM(AA629*AB629)</f>
        <v>103.479917525773</v>
      </c>
      <c r="AD629" s="74">
        <f t="shared" ref="AD629:AD660" si="361">SUM(W629+AC629)</f>
        <v>1146.71660137457</v>
      </c>
      <c r="AE629" s="74">
        <f t="shared" ref="AE629:AE660" si="362">SUM(O629-AD629)</f>
        <v>206.979398625429</v>
      </c>
    </row>
    <row r="630" customFormat="1" spans="1:31">
      <c r="A630" s="18"/>
      <c r="B630" s="19"/>
      <c r="C630" s="20">
        <v>240916000002</v>
      </c>
      <c r="D630" s="21">
        <v>45558</v>
      </c>
      <c r="E630" s="21" t="s">
        <v>62</v>
      </c>
      <c r="F630" s="19" t="s">
        <v>63</v>
      </c>
      <c r="G630" s="19" t="s">
        <v>435</v>
      </c>
      <c r="H630" s="19">
        <v>1.5</v>
      </c>
      <c r="I630" s="41">
        <v>102</v>
      </c>
      <c r="J630" s="53"/>
      <c r="K630" s="43"/>
      <c r="L630" s="19"/>
      <c r="M630" s="43"/>
      <c r="N630" s="44"/>
      <c r="O630" s="45">
        <f t="shared" si="357"/>
        <v>102</v>
      </c>
      <c r="P630" s="51"/>
      <c r="Q630" s="51"/>
      <c r="R630" s="74">
        <f t="shared" si="343"/>
        <v>62.5010309278351</v>
      </c>
      <c r="S630" s="74"/>
      <c r="T630" s="75">
        <f t="shared" si="344"/>
        <v>0.0931701030927835</v>
      </c>
      <c r="U630" s="74"/>
      <c r="V630" s="74"/>
      <c r="W630" s="76">
        <f t="shared" ref="W630:W661" si="363">SUM(R630:V630)</f>
        <v>62.5942010309278</v>
      </c>
      <c r="X630" s="77">
        <f t="shared" si="345"/>
        <v>0.876948453608247</v>
      </c>
      <c r="Y630" s="77"/>
      <c r="Z630" s="77"/>
      <c r="AA630" s="77">
        <f t="shared" ref="AA630:AA661" si="364">SUM(X630:Z630)</f>
        <v>0.876948453608247</v>
      </c>
      <c r="AB630" s="86">
        <v>7.08</v>
      </c>
      <c r="AC630" s="74">
        <f t="shared" si="360"/>
        <v>6.20879505154639</v>
      </c>
      <c r="AD630" s="74">
        <f t="shared" si="361"/>
        <v>68.8029960824742</v>
      </c>
      <c r="AE630" s="74">
        <f t="shared" si="362"/>
        <v>33.1970039175258</v>
      </c>
    </row>
    <row r="631" customFormat="1" spans="1:31">
      <c r="A631" s="18"/>
      <c r="B631" s="19"/>
      <c r="C631" s="20">
        <v>240916000003</v>
      </c>
      <c r="D631" s="21">
        <v>45558</v>
      </c>
      <c r="E631" s="21" t="s">
        <v>62</v>
      </c>
      <c r="F631" s="19" t="s">
        <v>63</v>
      </c>
      <c r="G631" s="19" t="s">
        <v>436</v>
      </c>
      <c r="H631" s="19">
        <v>3.5</v>
      </c>
      <c r="I631" s="41">
        <v>213</v>
      </c>
      <c r="J631" s="53"/>
      <c r="K631" s="43"/>
      <c r="L631" s="19"/>
      <c r="M631" s="43"/>
      <c r="N631" s="44"/>
      <c r="O631" s="45">
        <f t="shared" si="357"/>
        <v>213</v>
      </c>
      <c r="P631" s="51"/>
      <c r="Q631" s="51"/>
      <c r="R631" s="74">
        <f t="shared" si="343"/>
        <v>145.835738831615</v>
      </c>
      <c r="S631" s="74"/>
      <c r="T631" s="75">
        <f t="shared" si="344"/>
        <v>0.217396907216495</v>
      </c>
      <c r="U631" s="74"/>
      <c r="V631" s="74"/>
      <c r="W631" s="76">
        <f t="shared" si="363"/>
        <v>146.053135738832</v>
      </c>
      <c r="X631" s="77">
        <f t="shared" si="345"/>
        <v>2.04621305841924</v>
      </c>
      <c r="Y631" s="77"/>
      <c r="Z631" s="77"/>
      <c r="AA631" s="77">
        <f t="shared" si="364"/>
        <v>2.04621305841924</v>
      </c>
      <c r="AB631" s="86">
        <v>7.08</v>
      </c>
      <c r="AC631" s="74">
        <f t="shared" si="360"/>
        <v>14.4871884536082</v>
      </c>
      <c r="AD631" s="74">
        <f t="shared" si="361"/>
        <v>160.54032419244</v>
      </c>
      <c r="AE631" s="74">
        <f t="shared" si="362"/>
        <v>52.4596758075602</v>
      </c>
    </row>
    <row r="632" customFormat="1" spans="1:31">
      <c r="A632" s="18"/>
      <c r="B632" s="19"/>
      <c r="C632" s="20">
        <v>240916000004</v>
      </c>
      <c r="D632" s="21">
        <v>45558</v>
      </c>
      <c r="E632" s="21" t="s">
        <v>62</v>
      </c>
      <c r="F632" s="19" t="s">
        <v>63</v>
      </c>
      <c r="G632" s="19" t="s">
        <v>437</v>
      </c>
      <c r="H632" s="19">
        <v>0.98</v>
      </c>
      <c r="I632" s="41">
        <v>63</v>
      </c>
      <c r="J632" s="53"/>
      <c r="K632" s="43"/>
      <c r="L632" s="19"/>
      <c r="M632" s="43"/>
      <c r="N632" s="44"/>
      <c r="O632" s="45">
        <f t="shared" si="357"/>
        <v>63</v>
      </c>
      <c r="P632" s="51"/>
      <c r="Q632" s="51"/>
      <c r="R632" s="74">
        <f t="shared" ref="R632:R663" si="365">SUM(121252/2910)*H632</f>
        <v>40.8340068728522</v>
      </c>
      <c r="S632" s="74"/>
      <c r="T632" s="75">
        <f t="shared" ref="T632:T663" si="366">SUM(180.75/2910)*H632</f>
        <v>0.0608711340206186</v>
      </c>
      <c r="U632" s="74"/>
      <c r="V632" s="74"/>
      <c r="W632" s="76">
        <f t="shared" si="363"/>
        <v>40.8948780068729</v>
      </c>
      <c r="X632" s="77">
        <f t="shared" ref="X632:X663" si="367">SUM(1701.28/2910)*H632</f>
        <v>0.572939656357388</v>
      </c>
      <c r="Y632" s="77"/>
      <c r="Z632" s="77"/>
      <c r="AA632" s="77">
        <f t="shared" si="364"/>
        <v>0.572939656357388</v>
      </c>
      <c r="AB632" s="86">
        <v>7.08</v>
      </c>
      <c r="AC632" s="74">
        <f t="shared" si="360"/>
        <v>4.05641276701031</v>
      </c>
      <c r="AD632" s="74">
        <f t="shared" si="361"/>
        <v>44.9512907738832</v>
      </c>
      <c r="AE632" s="74">
        <f t="shared" si="362"/>
        <v>18.0487092261168</v>
      </c>
    </row>
    <row r="633" customFormat="1" spans="1:31">
      <c r="A633" s="18"/>
      <c r="B633" s="19"/>
      <c r="C633" s="20">
        <v>240916000007</v>
      </c>
      <c r="D633" s="21">
        <v>45558</v>
      </c>
      <c r="E633" s="21" t="s">
        <v>62</v>
      </c>
      <c r="F633" s="19" t="s">
        <v>63</v>
      </c>
      <c r="G633" s="19" t="s">
        <v>438</v>
      </c>
      <c r="H633" s="19">
        <v>14</v>
      </c>
      <c r="I633" s="47"/>
      <c r="J633" s="54">
        <v>224910</v>
      </c>
      <c r="K633" s="43"/>
      <c r="L633" s="49">
        <f t="shared" si="358"/>
        <v>1734.61360481259</v>
      </c>
      <c r="M633" s="50">
        <v>129.66</v>
      </c>
      <c r="N633" s="44">
        <v>7.08</v>
      </c>
      <c r="O633" s="45">
        <f t="shared" si="359"/>
        <v>917.9928</v>
      </c>
      <c r="P633" s="51"/>
      <c r="Q633" s="51"/>
      <c r="R633" s="74">
        <f t="shared" si="365"/>
        <v>583.34295532646</v>
      </c>
      <c r="S633" s="74"/>
      <c r="T633" s="75">
        <f t="shared" si="366"/>
        <v>0.869587628865979</v>
      </c>
      <c r="U633" s="74">
        <v>30</v>
      </c>
      <c r="V633" s="74"/>
      <c r="W633" s="76">
        <f t="shared" si="363"/>
        <v>614.212542955326</v>
      </c>
      <c r="X633" s="77">
        <f t="shared" si="367"/>
        <v>8.18485223367698</v>
      </c>
      <c r="Y633" s="77"/>
      <c r="Z633" s="77"/>
      <c r="AA633" s="77">
        <f t="shared" si="364"/>
        <v>8.18485223367698</v>
      </c>
      <c r="AB633" s="86">
        <v>7.08</v>
      </c>
      <c r="AC633" s="74">
        <f t="shared" si="360"/>
        <v>57.948753814433</v>
      </c>
      <c r="AD633" s="74">
        <f t="shared" si="361"/>
        <v>672.161296769759</v>
      </c>
      <c r="AE633" s="74">
        <f t="shared" si="362"/>
        <v>245.831503230241</v>
      </c>
    </row>
    <row r="634" customFormat="1" spans="1:31">
      <c r="A634" s="18"/>
      <c r="B634" s="19"/>
      <c r="C634" s="20">
        <v>240917000001</v>
      </c>
      <c r="D634" s="21">
        <v>45558</v>
      </c>
      <c r="E634" s="21" t="s">
        <v>41</v>
      </c>
      <c r="F634" s="19" t="s">
        <v>41</v>
      </c>
      <c r="G634" s="19" t="s">
        <v>439</v>
      </c>
      <c r="H634" s="19">
        <v>9.5</v>
      </c>
      <c r="I634" s="41">
        <v>604.5</v>
      </c>
      <c r="J634" s="53"/>
      <c r="K634" s="43"/>
      <c r="L634" s="19"/>
      <c r="M634" s="43"/>
      <c r="N634" s="44"/>
      <c r="O634" s="45">
        <f t="shared" ref="O634:O640" si="368">SUM(I634)</f>
        <v>604.5</v>
      </c>
      <c r="P634" s="51"/>
      <c r="Q634" s="51"/>
      <c r="R634" s="74">
        <f t="shared" si="365"/>
        <v>395.839862542955</v>
      </c>
      <c r="S634" s="74"/>
      <c r="T634" s="75">
        <f t="shared" si="366"/>
        <v>0.590077319587629</v>
      </c>
      <c r="U634" s="74"/>
      <c r="V634" s="74"/>
      <c r="W634" s="76">
        <f t="shared" si="363"/>
        <v>396.429939862543</v>
      </c>
      <c r="X634" s="77">
        <f t="shared" si="367"/>
        <v>5.55400687285223</v>
      </c>
      <c r="Y634" s="77"/>
      <c r="Z634" s="77"/>
      <c r="AA634" s="77">
        <f t="shared" si="364"/>
        <v>5.55400687285223</v>
      </c>
      <c r="AB634" s="86">
        <v>7.08</v>
      </c>
      <c r="AC634" s="74">
        <f t="shared" si="360"/>
        <v>39.3223686597938</v>
      </c>
      <c r="AD634" s="74">
        <f t="shared" si="361"/>
        <v>435.752308522337</v>
      </c>
      <c r="AE634" s="74">
        <f t="shared" si="362"/>
        <v>168.747691477663</v>
      </c>
    </row>
    <row r="635" customFormat="1" spans="1:31">
      <c r="A635" s="18"/>
      <c r="B635" s="19"/>
      <c r="C635" s="20">
        <v>240917000002</v>
      </c>
      <c r="D635" s="21">
        <v>45558</v>
      </c>
      <c r="E635" s="21" t="s">
        <v>46</v>
      </c>
      <c r="F635" s="19" t="s">
        <v>47</v>
      </c>
      <c r="G635" s="19" t="s">
        <v>252</v>
      </c>
      <c r="H635" s="19">
        <v>0.96</v>
      </c>
      <c r="I635" s="47"/>
      <c r="J635" s="54">
        <v>15435</v>
      </c>
      <c r="K635" s="43"/>
      <c r="L635" s="49">
        <f t="shared" ref="L635:L638" si="369">SUM(J635/M635)</f>
        <v>1736.22047244094</v>
      </c>
      <c r="M635" s="50">
        <v>8.89</v>
      </c>
      <c r="N635" s="44">
        <v>7.08</v>
      </c>
      <c r="O635" s="45">
        <f t="shared" ref="O635:O638" si="370">SUM(M635*N635)</f>
        <v>62.9412</v>
      </c>
      <c r="P635" s="51"/>
      <c r="Q635" s="51"/>
      <c r="R635" s="74">
        <f t="shared" si="365"/>
        <v>40.0006597938144</v>
      </c>
      <c r="S635" s="74"/>
      <c r="T635" s="75">
        <f t="shared" si="366"/>
        <v>0.0596288659793814</v>
      </c>
      <c r="U635" s="74"/>
      <c r="V635" s="74"/>
      <c r="W635" s="76">
        <f t="shared" si="363"/>
        <v>40.0602886597938</v>
      </c>
      <c r="X635" s="77">
        <f t="shared" si="367"/>
        <v>0.561247010309278</v>
      </c>
      <c r="Y635" s="77"/>
      <c r="Z635" s="77"/>
      <c r="AA635" s="77">
        <f t="shared" si="364"/>
        <v>0.561247010309278</v>
      </c>
      <c r="AB635" s="86">
        <v>7.08</v>
      </c>
      <c r="AC635" s="74">
        <f t="shared" si="360"/>
        <v>3.97362883298969</v>
      </c>
      <c r="AD635" s="74">
        <f t="shared" si="361"/>
        <v>44.0339174927835</v>
      </c>
      <c r="AE635" s="74">
        <f t="shared" si="362"/>
        <v>18.9072825072165</v>
      </c>
    </row>
    <row r="636" customFormat="1" spans="1:31">
      <c r="A636" s="18"/>
      <c r="B636" s="19"/>
      <c r="C636" s="20">
        <v>240917000003</v>
      </c>
      <c r="D636" s="21">
        <v>45558</v>
      </c>
      <c r="E636" s="21" t="s">
        <v>46</v>
      </c>
      <c r="F636" s="19" t="s">
        <v>47</v>
      </c>
      <c r="G636" s="19" t="s">
        <v>424</v>
      </c>
      <c r="H636" s="19">
        <v>0.32</v>
      </c>
      <c r="I636" s="41">
        <v>63</v>
      </c>
      <c r="J636" s="53"/>
      <c r="K636" s="43"/>
      <c r="L636" s="19"/>
      <c r="M636" s="43"/>
      <c r="N636" s="44"/>
      <c r="O636" s="45">
        <f t="shared" si="368"/>
        <v>63</v>
      </c>
      <c r="P636" s="51"/>
      <c r="Q636" s="51"/>
      <c r="R636" s="74">
        <f t="shared" si="365"/>
        <v>13.3335532646048</v>
      </c>
      <c r="S636" s="74"/>
      <c r="T636" s="75">
        <f t="shared" si="366"/>
        <v>0.0198762886597938</v>
      </c>
      <c r="U636" s="74"/>
      <c r="V636" s="74"/>
      <c r="W636" s="76">
        <f t="shared" si="363"/>
        <v>13.3534295532646</v>
      </c>
      <c r="X636" s="77">
        <f t="shared" si="367"/>
        <v>0.187082336769759</v>
      </c>
      <c r="Y636" s="77"/>
      <c r="Z636" s="77"/>
      <c r="AA636" s="77">
        <f t="shared" si="364"/>
        <v>0.187082336769759</v>
      </c>
      <c r="AB636" s="86">
        <v>7.08</v>
      </c>
      <c r="AC636" s="74">
        <f t="shared" si="360"/>
        <v>1.3245429443299</v>
      </c>
      <c r="AD636" s="74">
        <f t="shared" si="361"/>
        <v>14.6779724975945</v>
      </c>
      <c r="AE636" s="74">
        <f t="shared" si="362"/>
        <v>48.3220275024055</v>
      </c>
    </row>
    <row r="637" customFormat="1" spans="1:31">
      <c r="A637" s="18"/>
      <c r="B637" s="19"/>
      <c r="C637" s="20">
        <v>240917000005</v>
      </c>
      <c r="D637" s="21">
        <v>45558</v>
      </c>
      <c r="E637" s="21" t="s">
        <v>46</v>
      </c>
      <c r="F637" s="19" t="s">
        <v>47</v>
      </c>
      <c r="G637" s="19" t="s">
        <v>296</v>
      </c>
      <c r="H637" s="19">
        <v>5</v>
      </c>
      <c r="I637" s="45"/>
      <c r="J637" s="54">
        <v>71147</v>
      </c>
      <c r="K637" s="43"/>
      <c r="L637" s="49">
        <f t="shared" si="369"/>
        <v>1693.97619047619</v>
      </c>
      <c r="M637" s="50">
        <v>42</v>
      </c>
      <c r="N637" s="44">
        <v>7.08</v>
      </c>
      <c r="O637" s="45">
        <f t="shared" si="370"/>
        <v>297.36</v>
      </c>
      <c r="P637" s="51"/>
      <c r="Q637" s="51"/>
      <c r="R637" s="74">
        <f t="shared" si="365"/>
        <v>208.33676975945</v>
      </c>
      <c r="S637" s="74"/>
      <c r="T637" s="75">
        <f t="shared" si="366"/>
        <v>0.310567010309278</v>
      </c>
      <c r="U637" s="74"/>
      <c r="V637" s="74"/>
      <c r="W637" s="76">
        <f t="shared" si="363"/>
        <v>208.647336769759</v>
      </c>
      <c r="X637" s="77">
        <f t="shared" si="367"/>
        <v>2.92316151202749</v>
      </c>
      <c r="Y637" s="77"/>
      <c r="Z637" s="77"/>
      <c r="AA637" s="77">
        <f t="shared" si="364"/>
        <v>2.92316151202749</v>
      </c>
      <c r="AB637" s="86">
        <v>7.08</v>
      </c>
      <c r="AC637" s="74">
        <f t="shared" si="360"/>
        <v>20.6959835051546</v>
      </c>
      <c r="AD637" s="74">
        <f t="shared" si="361"/>
        <v>229.343320274914</v>
      </c>
      <c r="AE637" s="74">
        <f t="shared" si="362"/>
        <v>68.0166797250859</v>
      </c>
    </row>
    <row r="638" customFormat="1" spans="1:31">
      <c r="A638" s="18"/>
      <c r="B638" s="19"/>
      <c r="C638" s="20">
        <v>240917000006</v>
      </c>
      <c r="D638" s="21">
        <v>45558</v>
      </c>
      <c r="E638" s="21" t="s">
        <v>46</v>
      </c>
      <c r="F638" s="19" t="s">
        <v>47</v>
      </c>
      <c r="G638" s="19" t="s">
        <v>296</v>
      </c>
      <c r="H638" s="19">
        <v>0.54</v>
      </c>
      <c r="I638" s="45"/>
      <c r="J638" s="54">
        <v>14907</v>
      </c>
      <c r="K638" s="43"/>
      <c r="L638" s="49">
        <f t="shared" si="369"/>
        <v>1693.97727272727</v>
      </c>
      <c r="M638" s="50">
        <v>8.8</v>
      </c>
      <c r="N638" s="44">
        <v>7.08</v>
      </c>
      <c r="O638" s="45">
        <f t="shared" si="370"/>
        <v>62.304</v>
      </c>
      <c r="P638" s="51"/>
      <c r="Q638" s="51"/>
      <c r="R638" s="74">
        <f t="shared" si="365"/>
        <v>22.5003711340206</v>
      </c>
      <c r="S638" s="74"/>
      <c r="T638" s="75">
        <f t="shared" si="366"/>
        <v>0.0335412371134021</v>
      </c>
      <c r="U638" s="74"/>
      <c r="V638" s="74"/>
      <c r="W638" s="76">
        <f t="shared" si="363"/>
        <v>22.533912371134</v>
      </c>
      <c r="X638" s="77">
        <f t="shared" si="367"/>
        <v>0.315701443298969</v>
      </c>
      <c r="Y638" s="77"/>
      <c r="Z638" s="77"/>
      <c r="AA638" s="77">
        <f t="shared" si="364"/>
        <v>0.315701443298969</v>
      </c>
      <c r="AB638" s="86">
        <v>7.08</v>
      </c>
      <c r="AC638" s="74">
        <f t="shared" si="360"/>
        <v>2.2351662185567</v>
      </c>
      <c r="AD638" s="74">
        <f t="shared" si="361"/>
        <v>24.7690785896907</v>
      </c>
      <c r="AE638" s="74">
        <f t="shared" si="362"/>
        <v>37.5349214103093</v>
      </c>
    </row>
    <row r="639" customFormat="1" spans="1:31">
      <c r="A639" s="18"/>
      <c r="B639" s="19"/>
      <c r="C639" s="20">
        <v>240917000007</v>
      </c>
      <c r="D639" s="21">
        <v>45558</v>
      </c>
      <c r="E639" s="21" t="s">
        <v>46</v>
      </c>
      <c r="F639" s="19" t="s">
        <v>47</v>
      </c>
      <c r="G639" s="19" t="s">
        <v>91</v>
      </c>
      <c r="H639" s="19">
        <v>4</v>
      </c>
      <c r="I639" s="41">
        <v>243</v>
      </c>
      <c r="J639" s="53"/>
      <c r="K639" s="43"/>
      <c r="L639" s="19"/>
      <c r="M639" s="43"/>
      <c r="N639" s="44"/>
      <c r="O639" s="45">
        <f t="shared" si="368"/>
        <v>243</v>
      </c>
      <c r="P639" s="51"/>
      <c r="Q639" s="51"/>
      <c r="R639" s="74">
        <f t="shared" si="365"/>
        <v>166.66941580756</v>
      </c>
      <c r="S639" s="74"/>
      <c r="T639" s="75">
        <f t="shared" si="366"/>
        <v>0.248453608247423</v>
      </c>
      <c r="U639" s="74"/>
      <c r="V639" s="74"/>
      <c r="W639" s="76">
        <f t="shared" si="363"/>
        <v>166.917869415808</v>
      </c>
      <c r="X639" s="77">
        <f t="shared" si="367"/>
        <v>2.33852920962199</v>
      </c>
      <c r="Y639" s="77"/>
      <c r="Z639" s="77"/>
      <c r="AA639" s="77">
        <f t="shared" si="364"/>
        <v>2.33852920962199</v>
      </c>
      <c r="AB639" s="86">
        <v>7.08</v>
      </c>
      <c r="AC639" s="74">
        <f t="shared" si="360"/>
        <v>16.5567868041237</v>
      </c>
      <c r="AD639" s="74">
        <f t="shared" si="361"/>
        <v>183.474656219931</v>
      </c>
      <c r="AE639" s="74">
        <f t="shared" si="362"/>
        <v>59.5253437800687</v>
      </c>
    </row>
    <row r="640" customFormat="1" spans="1:31">
      <c r="A640" s="18"/>
      <c r="B640" s="19"/>
      <c r="C640" s="20">
        <v>240917000009</v>
      </c>
      <c r="D640" s="21">
        <v>45558</v>
      </c>
      <c r="E640" s="21" t="s">
        <v>43</v>
      </c>
      <c r="F640" s="19" t="s">
        <v>44</v>
      </c>
      <c r="G640" s="19" t="s">
        <v>108</v>
      </c>
      <c r="H640" s="19">
        <v>0.6</v>
      </c>
      <c r="I640" s="41">
        <v>63</v>
      </c>
      <c r="J640" s="53"/>
      <c r="K640" s="43"/>
      <c r="L640" s="19"/>
      <c r="M640" s="43"/>
      <c r="N640" s="44"/>
      <c r="O640" s="45">
        <f t="shared" si="368"/>
        <v>63</v>
      </c>
      <c r="P640" s="51"/>
      <c r="Q640" s="51"/>
      <c r="R640" s="74">
        <f t="shared" si="365"/>
        <v>25.000412371134</v>
      </c>
      <c r="S640" s="74"/>
      <c r="T640" s="75">
        <f t="shared" si="366"/>
        <v>0.0372680412371134</v>
      </c>
      <c r="U640" s="74"/>
      <c r="V640" s="74"/>
      <c r="W640" s="76">
        <f t="shared" si="363"/>
        <v>25.0376804123711</v>
      </c>
      <c r="X640" s="77">
        <f t="shared" si="367"/>
        <v>0.350779381443299</v>
      </c>
      <c r="Y640" s="77"/>
      <c r="Z640" s="77"/>
      <c r="AA640" s="77">
        <f t="shared" si="364"/>
        <v>0.350779381443299</v>
      </c>
      <c r="AB640" s="86">
        <v>7.08</v>
      </c>
      <c r="AC640" s="74">
        <f t="shared" si="360"/>
        <v>2.48351802061856</v>
      </c>
      <c r="AD640" s="74">
        <f t="shared" si="361"/>
        <v>27.5211984329897</v>
      </c>
      <c r="AE640" s="74">
        <f t="shared" si="362"/>
        <v>35.4788015670103</v>
      </c>
    </row>
    <row r="641" customFormat="1" spans="1:31">
      <c r="A641" s="18"/>
      <c r="B641" s="19"/>
      <c r="C641" s="20">
        <v>240917000011</v>
      </c>
      <c r="D641" s="21">
        <v>45558</v>
      </c>
      <c r="E641" s="21" t="s">
        <v>43</v>
      </c>
      <c r="F641" s="19" t="s">
        <v>44</v>
      </c>
      <c r="G641" s="19" t="s">
        <v>440</v>
      </c>
      <c r="H641" s="19">
        <v>4.5</v>
      </c>
      <c r="I641" s="45"/>
      <c r="J641" s="54">
        <v>66000</v>
      </c>
      <c r="K641" s="43"/>
      <c r="L641" s="49">
        <f t="shared" ref="L641:L643" si="371">SUM(J641/M641)</f>
        <v>1743.72523117569</v>
      </c>
      <c r="M641" s="50">
        <v>37.85</v>
      </c>
      <c r="N641" s="44">
        <v>7.08</v>
      </c>
      <c r="O641" s="45">
        <f t="shared" ref="O641:O643" si="372">SUM(M641*N641)</f>
        <v>267.978</v>
      </c>
      <c r="P641" s="51"/>
      <c r="Q641" s="51"/>
      <c r="R641" s="74">
        <f t="shared" si="365"/>
        <v>187.503092783505</v>
      </c>
      <c r="S641" s="74"/>
      <c r="T641" s="75">
        <f t="shared" si="366"/>
        <v>0.279510309278351</v>
      </c>
      <c r="U641" s="74"/>
      <c r="V641" s="74"/>
      <c r="W641" s="76">
        <f t="shared" si="363"/>
        <v>187.782603092784</v>
      </c>
      <c r="X641" s="77">
        <f t="shared" si="367"/>
        <v>2.63084536082474</v>
      </c>
      <c r="Y641" s="77"/>
      <c r="Z641" s="77"/>
      <c r="AA641" s="77">
        <f t="shared" si="364"/>
        <v>2.63084536082474</v>
      </c>
      <c r="AB641" s="86">
        <v>7.08</v>
      </c>
      <c r="AC641" s="74">
        <f t="shared" si="360"/>
        <v>18.6263851546392</v>
      </c>
      <c r="AD641" s="74">
        <f t="shared" si="361"/>
        <v>206.408988247423</v>
      </c>
      <c r="AE641" s="74">
        <f t="shared" si="362"/>
        <v>61.5690117525773</v>
      </c>
    </row>
    <row r="642" customFormat="1" spans="1:31">
      <c r="A642" s="18"/>
      <c r="B642" s="19"/>
      <c r="C642" s="22">
        <v>240917000013</v>
      </c>
      <c r="D642" s="23">
        <v>45558</v>
      </c>
      <c r="E642" s="21" t="s">
        <v>43</v>
      </c>
      <c r="F642" s="24" t="s">
        <v>44</v>
      </c>
      <c r="G642" s="24" t="s">
        <v>441</v>
      </c>
      <c r="H642" s="24">
        <v>1.5</v>
      </c>
      <c r="I642" s="47"/>
      <c r="J642" s="54">
        <v>14700</v>
      </c>
      <c r="K642" s="43"/>
      <c r="L642" s="49">
        <f t="shared" si="371"/>
        <v>1509.24024640657</v>
      </c>
      <c r="M642" s="50">
        <v>9.74</v>
      </c>
      <c r="N642" s="44">
        <v>7.08</v>
      </c>
      <c r="O642" s="45">
        <f t="shared" si="372"/>
        <v>68.9592</v>
      </c>
      <c r="P642" s="51"/>
      <c r="Q642" s="51"/>
      <c r="R642" s="74">
        <f t="shared" si="365"/>
        <v>62.5010309278351</v>
      </c>
      <c r="S642" s="74"/>
      <c r="T642" s="75">
        <f t="shared" si="366"/>
        <v>0.0931701030927835</v>
      </c>
      <c r="U642" s="74"/>
      <c r="V642" s="74"/>
      <c r="W642" s="76">
        <f t="shared" si="363"/>
        <v>62.5942010309278</v>
      </c>
      <c r="X642" s="77">
        <f t="shared" si="367"/>
        <v>0.876948453608247</v>
      </c>
      <c r="Y642" s="77"/>
      <c r="Z642" s="77"/>
      <c r="AA642" s="77">
        <f t="shared" si="364"/>
        <v>0.876948453608247</v>
      </c>
      <c r="AB642" s="86">
        <v>7.08</v>
      </c>
      <c r="AC642" s="74">
        <f t="shared" si="360"/>
        <v>6.20879505154639</v>
      </c>
      <c r="AD642" s="74">
        <f t="shared" si="361"/>
        <v>68.8029960824742</v>
      </c>
      <c r="AE642" s="74">
        <f t="shared" si="362"/>
        <v>0.156203917525772</v>
      </c>
    </row>
    <row r="643" customFormat="1" spans="1:31">
      <c r="A643" s="18"/>
      <c r="B643" s="19"/>
      <c r="C643" s="20">
        <v>240917000014</v>
      </c>
      <c r="D643" s="21">
        <v>45558</v>
      </c>
      <c r="E643" s="21" t="s">
        <v>43</v>
      </c>
      <c r="F643" s="19" t="s">
        <v>44</v>
      </c>
      <c r="G643" s="19" t="s">
        <v>441</v>
      </c>
      <c r="H643" s="19">
        <v>138</v>
      </c>
      <c r="I643" s="47"/>
      <c r="J643" s="54">
        <v>2028600</v>
      </c>
      <c r="K643" s="43"/>
      <c r="L643" s="49">
        <f t="shared" si="371"/>
        <v>1734.60226252469</v>
      </c>
      <c r="M643" s="50">
        <v>1169.49</v>
      </c>
      <c r="N643" s="44">
        <v>7.08</v>
      </c>
      <c r="O643" s="45">
        <f t="shared" si="372"/>
        <v>8279.9892</v>
      </c>
      <c r="P643" s="51"/>
      <c r="Q643" s="51"/>
      <c r="R643" s="74">
        <f t="shared" si="365"/>
        <v>5750.09484536083</v>
      </c>
      <c r="S643" s="74"/>
      <c r="T643" s="75">
        <f t="shared" si="366"/>
        <v>8.57164948453608</v>
      </c>
      <c r="U643" s="74"/>
      <c r="V643" s="74"/>
      <c r="W643" s="76">
        <f t="shared" si="363"/>
        <v>5758.66649484536</v>
      </c>
      <c r="X643" s="77">
        <f t="shared" si="367"/>
        <v>80.6792577319588</v>
      </c>
      <c r="Y643" s="77"/>
      <c r="Z643" s="77"/>
      <c r="AA643" s="77">
        <f t="shared" si="364"/>
        <v>80.6792577319588</v>
      </c>
      <c r="AB643" s="86">
        <v>7.08</v>
      </c>
      <c r="AC643" s="74">
        <f t="shared" si="360"/>
        <v>571.209144742268</v>
      </c>
      <c r="AD643" s="74">
        <f t="shared" si="361"/>
        <v>6329.87563958763</v>
      </c>
      <c r="AE643" s="74">
        <f t="shared" si="362"/>
        <v>1950.11356041237</v>
      </c>
    </row>
    <row r="644" customFormat="1" spans="1:31">
      <c r="A644" s="18"/>
      <c r="B644" s="19"/>
      <c r="C644" s="20">
        <v>240917000020</v>
      </c>
      <c r="D644" s="21">
        <v>45558</v>
      </c>
      <c r="E644" s="21" t="s">
        <v>50</v>
      </c>
      <c r="F644" s="19" t="s">
        <v>51</v>
      </c>
      <c r="G644" s="19" t="s">
        <v>442</v>
      </c>
      <c r="H644" s="19">
        <v>10</v>
      </c>
      <c r="I644" s="41">
        <v>680</v>
      </c>
      <c r="J644" s="53"/>
      <c r="K644" s="43"/>
      <c r="L644" s="19"/>
      <c r="M644" s="43"/>
      <c r="N644" s="44"/>
      <c r="O644" s="45">
        <f t="shared" ref="O644:O655" si="373">SUM(I644)</f>
        <v>680</v>
      </c>
      <c r="P644" s="51"/>
      <c r="Q644" s="51"/>
      <c r="R644" s="74">
        <f t="shared" si="365"/>
        <v>416.6735395189</v>
      </c>
      <c r="S644" s="74"/>
      <c r="T644" s="75">
        <f t="shared" si="366"/>
        <v>0.621134020618557</v>
      </c>
      <c r="U644" s="74"/>
      <c r="V644" s="74"/>
      <c r="W644" s="76">
        <f t="shared" si="363"/>
        <v>417.294673539519</v>
      </c>
      <c r="X644" s="77">
        <f t="shared" si="367"/>
        <v>5.84632302405498</v>
      </c>
      <c r="Y644" s="77"/>
      <c r="Z644" s="77"/>
      <c r="AA644" s="77">
        <f t="shared" si="364"/>
        <v>5.84632302405498</v>
      </c>
      <c r="AB644" s="86">
        <v>7.08</v>
      </c>
      <c r="AC644" s="74">
        <f t="shared" si="360"/>
        <v>41.3919670103093</v>
      </c>
      <c r="AD644" s="74">
        <f t="shared" si="361"/>
        <v>458.686640549828</v>
      </c>
      <c r="AE644" s="74">
        <f t="shared" si="362"/>
        <v>221.313359450172</v>
      </c>
    </row>
    <row r="645" customFormat="1" spans="1:31">
      <c r="A645" s="18"/>
      <c r="B645" s="19"/>
      <c r="C645" s="20">
        <v>240917000021</v>
      </c>
      <c r="D645" s="21">
        <v>45558</v>
      </c>
      <c r="E645" s="21" t="s">
        <v>50</v>
      </c>
      <c r="F645" s="19" t="s">
        <v>51</v>
      </c>
      <c r="G645" s="19" t="s">
        <v>420</v>
      </c>
      <c r="H645" s="19">
        <v>0.1</v>
      </c>
      <c r="I645" s="41">
        <v>58</v>
      </c>
      <c r="J645" s="53"/>
      <c r="K645" s="43"/>
      <c r="L645" s="19"/>
      <c r="M645" s="43"/>
      <c r="N645" s="44"/>
      <c r="O645" s="45">
        <f t="shared" si="373"/>
        <v>58</v>
      </c>
      <c r="P645" s="51"/>
      <c r="Q645" s="51"/>
      <c r="R645" s="74">
        <f t="shared" si="365"/>
        <v>4.166735395189</v>
      </c>
      <c r="S645" s="74"/>
      <c r="T645" s="75">
        <f t="shared" si="366"/>
        <v>0.00621134020618557</v>
      </c>
      <c r="U645" s="74"/>
      <c r="V645" s="74"/>
      <c r="W645" s="76">
        <f t="shared" si="363"/>
        <v>4.17294673539519</v>
      </c>
      <c r="X645" s="77">
        <f t="shared" si="367"/>
        <v>0.0584632302405498</v>
      </c>
      <c r="Y645" s="77"/>
      <c r="Z645" s="77"/>
      <c r="AA645" s="77">
        <f t="shared" si="364"/>
        <v>0.0584632302405498</v>
      </c>
      <c r="AB645" s="86">
        <v>7.08</v>
      </c>
      <c r="AC645" s="74">
        <f t="shared" si="360"/>
        <v>0.413919670103093</v>
      </c>
      <c r="AD645" s="74">
        <f t="shared" si="361"/>
        <v>4.58686640549828</v>
      </c>
      <c r="AE645" s="74">
        <f t="shared" si="362"/>
        <v>53.4131335945017</v>
      </c>
    </row>
    <row r="646" customFormat="1" spans="1:31">
      <c r="A646" s="18"/>
      <c r="B646" s="19"/>
      <c r="C646" s="20">
        <v>240917000022</v>
      </c>
      <c r="D646" s="21">
        <v>45558</v>
      </c>
      <c r="E646" s="21" t="s">
        <v>50</v>
      </c>
      <c r="F646" s="19" t="s">
        <v>51</v>
      </c>
      <c r="G646" s="19" t="s">
        <v>379</v>
      </c>
      <c r="H646" s="19">
        <v>7</v>
      </c>
      <c r="I646" s="47"/>
      <c r="J646" s="54">
        <v>109515</v>
      </c>
      <c r="K646" s="43"/>
      <c r="L646" s="49">
        <f>SUM(J646/M646)</f>
        <v>1734.7536828766</v>
      </c>
      <c r="M646" s="50">
        <v>63.13</v>
      </c>
      <c r="N646" s="44">
        <v>7.08</v>
      </c>
      <c r="O646" s="45">
        <f>SUM(M646*N646)</f>
        <v>446.9604</v>
      </c>
      <c r="P646" s="51"/>
      <c r="Q646" s="51"/>
      <c r="R646" s="74">
        <f t="shared" si="365"/>
        <v>291.67147766323</v>
      </c>
      <c r="S646" s="74"/>
      <c r="T646" s="75">
        <f t="shared" si="366"/>
        <v>0.43479381443299</v>
      </c>
      <c r="U646" s="74"/>
      <c r="V646" s="74"/>
      <c r="W646" s="76">
        <f t="shared" si="363"/>
        <v>292.106271477663</v>
      </c>
      <c r="X646" s="77">
        <f t="shared" si="367"/>
        <v>4.09242611683849</v>
      </c>
      <c r="Y646" s="77"/>
      <c r="Z646" s="77"/>
      <c r="AA646" s="77">
        <f t="shared" si="364"/>
        <v>4.09242611683849</v>
      </c>
      <c r="AB646" s="86">
        <v>7.08</v>
      </c>
      <c r="AC646" s="74">
        <f t="shared" si="360"/>
        <v>28.9743769072165</v>
      </c>
      <c r="AD646" s="74">
        <f t="shared" si="361"/>
        <v>321.08064838488</v>
      </c>
      <c r="AE646" s="74">
        <f t="shared" si="362"/>
        <v>125.87975161512</v>
      </c>
    </row>
    <row r="647" customFormat="1" spans="1:31">
      <c r="A647" s="18"/>
      <c r="B647" s="19"/>
      <c r="C647" s="20">
        <v>240917000024</v>
      </c>
      <c r="D647" s="21">
        <v>45558</v>
      </c>
      <c r="E647" s="21" t="s">
        <v>50</v>
      </c>
      <c r="F647" s="19" t="s">
        <v>51</v>
      </c>
      <c r="G647" s="19" t="s">
        <v>86</v>
      </c>
      <c r="H647" s="19">
        <v>5.5</v>
      </c>
      <c r="I647" s="41">
        <v>357.5</v>
      </c>
      <c r="J647" s="53"/>
      <c r="K647" s="43"/>
      <c r="L647" s="19"/>
      <c r="M647" s="43"/>
      <c r="N647" s="44"/>
      <c r="O647" s="45">
        <f t="shared" si="373"/>
        <v>357.5</v>
      </c>
      <c r="P647" s="51"/>
      <c r="Q647" s="51"/>
      <c r="R647" s="74">
        <f t="shared" si="365"/>
        <v>229.170446735395</v>
      </c>
      <c r="S647" s="74"/>
      <c r="T647" s="75">
        <f t="shared" si="366"/>
        <v>0.341623711340206</v>
      </c>
      <c r="U647" s="74"/>
      <c r="V647" s="74"/>
      <c r="W647" s="76">
        <f t="shared" si="363"/>
        <v>229.512070446735</v>
      </c>
      <c r="X647" s="77">
        <f t="shared" si="367"/>
        <v>3.21547766323024</v>
      </c>
      <c r="Y647" s="77"/>
      <c r="Z647" s="77"/>
      <c r="AA647" s="77">
        <f t="shared" si="364"/>
        <v>3.21547766323024</v>
      </c>
      <c r="AB647" s="86">
        <v>7.08</v>
      </c>
      <c r="AC647" s="74">
        <f t="shared" si="360"/>
        <v>22.7655818556701</v>
      </c>
      <c r="AD647" s="74">
        <f t="shared" si="361"/>
        <v>252.277652302405</v>
      </c>
      <c r="AE647" s="74">
        <f t="shared" si="362"/>
        <v>105.222347697595</v>
      </c>
    </row>
    <row r="648" customFormat="1" spans="1:31">
      <c r="A648" s="18"/>
      <c r="B648" s="19"/>
      <c r="C648" s="20">
        <v>240918000003</v>
      </c>
      <c r="D648" s="21">
        <v>45558</v>
      </c>
      <c r="E648" s="21" t="s">
        <v>37</v>
      </c>
      <c r="F648" s="19" t="s">
        <v>38</v>
      </c>
      <c r="G648" s="19" t="s">
        <v>443</v>
      </c>
      <c r="H648" s="19">
        <v>1.5</v>
      </c>
      <c r="I648" s="41">
        <v>102</v>
      </c>
      <c r="J648" s="53"/>
      <c r="K648" s="43"/>
      <c r="L648" s="19"/>
      <c r="M648" s="43"/>
      <c r="N648" s="44"/>
      <c r="O648" s="45">
        <f t="shared" si="373"/>
        <v>102</v>
      </c>
      <c r="P648" s="51"/>
      <c r="Q648" s="51"/>
      <c r="R648" s="74">
        <f t="shared" si="365"/>
        <v>62.5010309278351</v>
      </c>
      <c r="S648" s="74"/>
      <c r="T648" s="75">
        <f t="shared" si="366"/>
        <v>0.0931701030927835</v>
      </c>
      <c r="U648" s="74"/>
      <c r="V648" s="74"/>
      <c r="W648" s="76">
        <f t="shared" si="363"/>
        <v>62.5942010309278</v>
      </c>
      <c r="X648" s="77">
        <f t="shared" si="367"/>
        <v>0.876948453608247</v>
      </c>
      <c r="Y648" s="77"/>
      <c r="Z648" s="77"/>
      <c r="AA648" s="77">
        <f t="shared" si="364"/>
        <v>0.876948453608247</v>
      </c>
      <c r="AB648" s="86">
        <v>7.08</v>
      </c>
      <c r="AC648" s="74">
        <f t="shared" si="360"/>
        <v>6.20879505154639</v>
      </c>
      <c r="AD648" s="74">
        <f t="shared" si="361"/>
        <v>68.8029960824742</v>
      </c>
      <c r="AE648" s="74">
        <f t="shared" si="362"/>
        <v>33.1970039175258</v>
      </c>
    </row>
    <row r="649" customFormat="1" spans="1:31">
      <c r="A649" s="18"/>
      <c r="B649" s="19"/>
      <c r="C649" s="20">
        <v>240918000004</v>
      </c>
      <c r="D649" s="21">
        <v>45558</v>
      </c>
      <c r="E649" s="21" t="s">
        <v>37</v>
      </c>
      <c r="F649" s="19" t="s">
        <v>38</v>
      </c>
      <c r="G649" s="19" t="s">
        <v>155</v>
      </c>
      <c r="H649" s="19">
        <v>0.605</v>
      </c>
      <c r="I649" s="41">
        <v>125</v>
      </c>
      <c r="J649" s="53"/>
      <c r="K649" s="43"/>
      <c r="L649" s="19"/>
      <c r="M649" s="43"/>
      <c r="N649" s="44"/>
      <c r="O649" s="45">
        <f t="shared" si="373"/>
        <v>125</v>
      </c>
      <c r="P649" s="51"/>
      <c r="Q649" s="51"/>
      <c r="R649" s="74">
        <f t="shared" si="365"/>
        <v>25.2087491408935</v>
      </c>
      <c r="S649" s="74"/>
      <c r="T649" s="75">
        <f t="shared" si="366"/>
        <v>0.0375786082474227</v>
      </c>
      <c r="U649" s="74"/>
      <c r="V649" s="74"/>
      <c r="W649" s="76">
        <f t="shared" si="363"/>
        <v>25.2463277491409</v>
      </c>
      <c r="X649" s="77">
        <f t="shared" si="367"/>
        <v>0.353702542955326</v>
      </c>
      <c r="Y649" s="77">
        <v>8.75</v>
      </c>
      <c r="Z649" s="77"/>
      <c r="AA649" s="77">
        <f t="shared" si="364"/>
        <v>9.10370254295533</v>
      </c>
      <c r="AB649" s="86">
        <v>7.08</v>
      </c>
      <c r="AC649" s="74">
        <f t="shared" si="360"/>
        <v>64.4542140041237</v>
      </c>
      <c r="AD649" s="74">
        <f t="shared" si="361"/>
        <v>89.7005417532646</v>
      </c>
      <c r="AE649" s="74">
        <f t="shared" si="362"/>
        <v>35.2994582467354</v>
      </c>
    </row>
    <row r="650" customFormat="1" spans="1:31">
      <c r="A650" s="18"/>
      <c r="B650" s="19"/>
      <c r="C650" s="20">
        <v>240918000005</v>
      </c>
      <c r="D650" s="21">
        <v>45558</v>
      </c>
      <c r="E650" s="21" t="s">
        <v>43</v>
      </c>
      <c r="F650" s="19" t="s">
        <v>44</v>
      </c>
      <c r="G650" s="19" t="s">
        <v>110</v>
      </c>
      <c r="H650" s="19">
        <v>1</v>
      </c>
      <c r="I650" s="41">
        <v>68</v>
      </c>
      <c r="J650" s="53"/>
      <c r="K650" s="43"/>
      <c r="L650" s="19"/>
      <c r="M650" s="43"/>
      <c r="N650" s="44"/>
      <c r="O650" s="45">
        <f t="shared" si="373"/>
        <v>68</v>
      </c>
      <c r="P650" s="51"/>
      <c r="Q650" s="51"/>
      <c r="R650" s="74">
        <f t="shared" si="365"/>
        <v>41.66735395189</v>
      </c>
      <c r="S650" s="74"/>
      <c r="T650" s="75">
        <f t="shared" si="366"/>
        <v>0.0621134020618557</v>
      </c>
      <c r="U650" s="74"/>
      <c r="V650" s="74"/>
      <c r="W650" s="76">
        <f t="shared" si="363"/>
        <v>41.7294673539519</v>
      </c>
      <c r="X650" s="77">
        <f t="shared" si="367"/>
        <v>0.584632302405498</v>
      </c>
      <c r="Y650" s="77"/>
      <c r="Z650" s="77"/>
      <c r="AA650" s="77">
        <f t="shared" si="364"/>
        <v>0.584632302405498</v>
      </c>
      <c r="AB650" s="86">
        <v>7.08</v>
      </c>
      <c r="AC650" s="74">
        <f t="shared" si="360"/>
        <v>4.13919670103093</v>
      </c>
      <c r="AD650" s="74">
        <f t="shared" si="361"/>
        <v>45.8686640549828</v>
      </c>
      <c r="AE650" s="74">
        <f t="shared" si="362"/>
        <v>22.1313359450172</v>
      </c>
    </row>
    <row r="651" customFormat="1" spans="1:31">
      <c r="A651" s="18"/>
      <c r="B651" s="19"/>
      <c r="C651" s="20">
        <v>240918000007</v>
      </c>
      <c r="D651" s="21">
        <v>45558</v>
      </c>
      <c r="E651" s="21" t="s">
        <v>43</v>
      </c>
      <c r="F651" s="19" t="s">
        <v>44</v>
      </c>
      <c r="G651" s="19" t="s">
        <v>108</v>
      </c>
      <c r="H651" s="19">
        <v>0.18</v>
      </c>
      <c r="I651" s="41">
        <v>63</v>
      </c>
      <c r="J651" s="53"/>
      <c r="K651" s="43"/>
      <c r="L651" s="19"/>
      <c r="M651" s="43"/>
      <c r="N651" s="44"/>
      <c r="O651" s="45">
        <f t="shared" si="373"/>
        <v>63</v>
      </c>
      <c r="P651" s="51"/>
      <c r="Q651" s="51"/>
      <c r="R651" s="74">
        <f t="shared" si="365"/>
        <v>7.50012371134021</v>
      </c>
      <c r="S651" s="74"/>
      <c r="T651" s="75">
        <f t="shared" si="366"/>
        <v>0.011180412371134</v>
      </c>
      <c r="U651" s="74"/>
      <c r="V651" s="74"/>
      <c r="W651" s="76">
        <f t="shared" si="363"/>
        <v>7.51130412371134</v>
      </c>
      <c r="X651" s="77">
        <f t="shared" si="367"/>
        <v>0.10523381443299</v>
      </c>
      <c r="Y651" s="77"/>
      <c r="Z651" s="77"/>
      <c r="AA651" s="77">
        <f t="shared" si="364"/>
        <v>0.10523381443299</v>
      </c>
      <c r="AB651" s="86">
        <v>7.08</v>
      </c>
      <c r="AC651" s="74">
        <f t="shared" si="360"/>
        <v>0.745055406185567</v>
      </c>
      <c r="AD651" s="74">
        <f t="shared" si="361"/>
        <v>8.25635952989691</v>
      </c>
      <c r="AE651" s="74">
        <f t="shared" si="362"/>
        <v>54.7436404701031</v>
      </c>
    </row>
    <row r="652" customFormat="1" spans="1:31">
      <c r="A652" s="18"/>
      <c r="B652" s="19"/>
      <c r="C652" s="20">
        <v>240918000008</v>
      </c>
      <c r="D652" s="21">
        <v>45558</v>
      </c>
      <c r="E652" s="21" t="s">
        <v>43</v>
      </c>
      <c r="F652" s="19" t="s">
        <v>44</v>
      </c>
      <c r="G652" s="19" t="s">
        <v>108</v>
      </c>
      <c r="H652" s="19">
        <v>0.16</v>
      </c>
      <c r="I652" s="41">
        <v>63</v>
      </c>
      <c r="J652" s="53"/>
      <c r="K652" s="43"/>
      <c r="L652" s="19"/>
      <c r="M652" s="43"/>
      <c r="N652" s="44"/>
      <c r="O652" s="45">
        <f t="shared" si="373"/>
        <v>63</v>
      </c>
      <c r="P652" s="51"/>
      <c r="Q652" s="51"/>
      <c r="R652" s="74">
        <f t="shared" si="365"/>
        <v>6.66677663230241</v>
      </c>
      <c r="S652" s="74"/>
      <c r="T652" s="75">
        <f t="shared" si="366"/>
        <v>0.00993814432989691</v>
      </c>
      <c r="U652" s="74"/>
      <c r="V652" s="74"/>
      <c r="W652" s="76">
        <f t="shared" si="363"/>
        <v>6.6767147766323</v>
      </c>
      <c r="X652" s="77">
        <f t="shared" si="367"/>
        <v>0.0935411683848797</v>
      </c>
      <c r="Y652" s="77"/>
      <c r="Z652" s="77"/>
      <c r="AA652" s="77">
        <f t="shared" si="364"/>
        <v>0.0935411683848797</v>
      </c>
      <c r="AB652" s="86">
        <v>7.08</v>
      </c>
      <c r="AC652" s="74">
        <f t="shared" si="360"/>
        <v>0.662271472164948</v>
      </c>
      <c r="AD652" s="74">
        <f t="shared" si="361"/>
        <v>7.33898624879725</v>
      </c>
      <c r="AE652" s="74">
        <f t="shared" si="362"/>
        <v>55.6610137512028</v>
      </c>
    </row>
    <row r="653" customFormat="1" spans="1:31">
      <c r="A653" s="18"/>
      <c r="B653" s="19"/>
      <c r="C653" s="20">
        <v>240918000009</v>
      </c>
      <c r="D653" s="21">
        <v>45558</v>
      </c>
      <c r="E653" s="21" t="s">
        <v>50</v>
      </c>
      <c r="F653" s="19" t="s">
        <v>51</v>
      </c>
      <c r="G653" s="19" t="s">
        <v>181</v>
      </c>
      <c r="H653" s="19">
        <v>7</v>
      </c>
      <c r="I653" s="41">
        <v>447</v>
      </c>
      <c r="J653" s="53"/>
      <c r="K653" s="43"/>
      <c r="L653" s="19"/>
      <c r="M653" s="43"/>
      <c r="N653" s="44"/>
      <c r="O653" s="45">
        <f t="shared" si="373"/>
        <v>447</v>
      </c>
      <c r="P653" s="51"/>
      <c r="Q653" s="51"/>
      <c r="R653" s="74">
        <f t="shared" si="365"/>
        <v>291.67147766323</v>
      </c>
      <c r="S653" s="74"/>
      <c r="T653" s="75">
        <f t="shared" si="366"/>
        <v>0.43479381443299</v>
      </c>
      <c r="U653" s="74"/>
      <c r="V653" s="74"/>
      <c r="W653" s="76">
        <f t="shared" si="363"/>
        <v>292.106271477663</v>
      </c>
      <c r="X653" s="77">
        <f t="shared" si="367"/>
        <v>4.09242611683849</v>
      </c>
      <c r="Y653" s="77"/>
      <c r="Z653" s="77"/>
      <c r="AA653" s="77">
        <f t="shared" si="364"/>
        <v>4.09242611683849</v>
      </c>
      <c r="AB653" s="86">
        <v>7.08</v>
      </c>
      <c r="AC653" s="74">
        <f t="shared" si="360"/>
        <v>28.9743769072165</v>
      </c>
      <c r="AD653" s="74">
        <f t="shared" si="361"/>
        <v>321.08064838488</v>
      </c>
      <c r="AE653" s="74">
        <f t="shared" si="362"/>
        <v>125.91935161512</v>
      </c>
    </row>
    <row r="654" customFormat="1" spans="1:31">
      <c r="A654" s="18"/>
      <c r="B654" s="19"/>
      <c r="C654" s="20">
        <v>240918000010</v>
      </c>
      <c r="D654" s="21">
        <v>45558</v>
      </c>
      <c r="E654" s="21" t="s">
        <v>43</v>
      </c>
      <c r="F654" s="19" t="s">
        <v>44</v>
      </c>
      <c r="G654" s="19" t="s">
        <v>444</v>
      </c>
      <c r="H654" s="19">
        <v>3</v>
      </c>
      <c r="I654" s="41">
        <v>183</v>
      </c>
      <c r="J654" s="53"/>
      <c r="K654" s="43"/>
      <c r="L654" s="19"/>
      <c r="M654" s="43"/>
      <c r="N654" s="44"/>
      <c r="O654" s="45">
        <f t="shared" si="373"/>
        <v>183</v>
      </c>
      <c r="P654" s="51"/>
      <c r="Q654" s="51"/>
      <c r="R654" s="74">
        <f t="shared" si="365"/>
        <v>125.00206185567</v>
      </c>
      <c r="S654" s="74"/>
      <c r="T654" s="75">
        <f t="shared" si="366"/>
        <v>0.186340206185567</v>
      </c>
      <c r="U654" s="74"/>
      <c r="V654" s="74"/>
      <c r="W654" s="76">
        <f t="shared" si="363"/>
        <v>125.188402061856</v>
      </c>
      <c r="X654" s="77">
        <f t="shared" si="367"/>
        <v>1.75389690721649</v>
      </c>
      <c r="Y654" s="77"/>
      <c r="Z654" s="77"/>
      <c r="AA654" s="77">
        <f t="shared" si="364"/>
        <v>1.75389690721649</v>
      </c>
      <c r="AB654" s="86">
        <v>7.08</v>
      </c>
      <c r="AC654" s="74">
        <f t="shared" si="360"/>
        <v>12.4175901030928</v>
      </c>
      <c r="AD654" s="74">
        <f t="shared" si="361"/>
        <v>137.605992164948</v>
      </c>
      <c r="AE654" s="74">
        <f t="shared" si="362"/>
        <v>45.3940078350516</v>
      </c>
    </row>
    <row r="655" customFormat="1" spans="1:31">
      <c r="A655" s="18"/>
      <c r="B655" s="19"/>
      <c r="C655" s="20">
        <v>240918000011</v>
      </c>
      <c r="D655" s="21">
        <v>45558</v>
      </c>
      <c r="E655" s="21" t="s">
        <v>50</v>
      </c>
      <c r="F655" s="19" t="s">
        <v>51</v>
      </c>
      <c r="G655" s="19" t="s">
        <v>332</v>
      </c>
      <c r="H655" s="19">
        <v>2.5</v>
      </c>
      <c r="I655" s="41">
        <v>162.5</v>
      </c>
      <c r="J655" s="53"/>
      <c r="K655" s="43"/>
      <c r="L655" s="19"/>
      <c r="M655" s="43"/>
      <c r="N655" s="44"/>
      <c r="O655" s="45">
        <f t="shared" si="373"/>
        <v>162.5</v>
      </c>
      <c r="P655" s="51"/>
      <c r="Q655" s="51"/>
      <c r="R655" s="74">
        <f t="shared" si="365"/>
        <v>104.168384879725</v>
      </c>
      <c r="S655" s="74"/>
      <c r="T655" s="75">
        <f t="shared" si="366"/>
        <v>0.155283505154639</v>
      </c>
      <c r="U655" s="74"/>
      <c r="V655" s="74"/>
      <c r="W655" s="76">
        <f t="shared" si="363"/>
        <v>104.32366838488</v>
      </c>
      <c r="X655" s="77">
        <f t="shared" si="367"/>
        <v>1.46158075601375</v>
      </c>
      <c r="Y655" s="77"/>
      <c r="Z655" s="77"/>
      <c r="AA655" s="77">
        <f t="shared" si="364"/>
        <v>1.46158075601375</v>
      </c>
      <c r="AB655" s="86">
        <v>7.08</v>
      </c>
      <c r="AC655" s="74">
        <f t="shared" si="360"/>
        <v>10.3479917525773</v>
      </c>
      <c r="AD655" s="74">
        <f t="shared" si="361"/>
        <v>114.671660137457</v>
      </c>
      <c r="AE655" s="74">
        <f t="shared" si="362"/>
        <v>47.8283398625429</v>
      </c>
    </row>
    <row r="656" customFormat="1" spans="1:31">
      <c r="A656" s="18"/>
      <c r="B656" s="19"/>
      <c r="C656" s="20">
        <v>240918000013</v>
      </c>
      <c r="D656" s="21">
        <v>45558</v>
      </c>
      <c r="E656" s="21" t="s">
        <v>46</v>
      </c>
      <c r="F656" s="19" t="s">
        <v>47</v>
      </c>
      <c r="G656" s="19" t="s">
        <v>272</v>
      </c>
      <c r="H656" s="19">
        <v>7.5</v>
      </c>
      <c r="I656" s="45"/>
      <c r="J656" s="54">
        <v>113295.85</v>
      </c>
      <c r="K656" s="43"/>
      <c r="L656" s="49">
        <f>SUM(J656/M656)</f>
        <v>1739</v>
      </c>
      <c r="M656" s="50">
        <v>65.15</v>
      </c>
      <c r="N656" s="44">
        <v>7.08</v>
      </c>
      <c r="O656" s="45">
        <f>SUM(M656*N656)</f>
        <v>461.262</v>
      </c>
      <c r="P656" s="51"/>
      <c r="Q656" s="51"/>
      <c r="R656" s="74">
        <f t="shared" si="365"/>
        <v>312.505154639175</v>
      </c>
      <c r="S656" s="74"/>
      <c r="T656" s="75">
        <f t="shared" si="366"/>
        <v>0.465850515463918</v>
      </c>
      <c r="U656" s="74"/>
      <c r="V656" s="74"/>
      <c r="W656" s="76">
        <f t="shared" si="363"/>
        <v>312.971005154639</v>
      </c>
      <c r="X656" s="77">
        <f t="shared" si="367"/>
        <v>4.38474226804124</v>
      </c>
      <c r="Y656" s="77"/>
      <c r="Z656" s="77"/>
      <c r="AA656" s="77">
        <f t="shared" si="364"/>
        <v>4.38474226804124</v>
      </c>
      <c r="AB656" s="86">
        <v>7.08</v>
      </c>
      <c r="AC656" s="74">
        <f t="shared" si="360"/>
        <v>31.043975257732</v>
      </c>
      <c r="AD656" s="74">
        <f t="shared" si="361"/>
        <v>344.014980412371</v>
      </c>
      <c r="AE656" s="74">
        <f t="shared" si="362"/>
        <v>117.247019587629</v>
      </c>
    </row>
    <row r="657" customFormat="1" spans="1:31">
      <c r="A657" s="18"/>
      <c r="B657" s="19"/>
      <c r="C657" s="20">
        <v>240918000015</v>
      </c>
      <c r="D657" s="21">
        <v>45558</v>
      </c>
      <c r="E657" s="21" t="s">
        <v>46</v>
      </c>
      <c r="F657" s="19" t="s">
        <v>47</v>
      </c>
      <c r="G657" s="19" t="s">
        <v>91</v>
      </c>
      <c r="H657" s="19">
        <v>5</v>
      </c>
      <c r="I657" s="41">
        <v>303</v>
      </c>
      <c r="J657" s="53"/>
      <c r="K657" s="43"/>
      <c r="L657" s="19"/>
      <c r="M657" s="43"/>
      <c r="N657" s="44"/>
      <c r="O657" s="45">
        <f t="shared" ref="O657:O662" si="374">SUM(I657)</f>
        <v>303</v>
      </c>
      <c r="P657" s="51"/>
      <c r="Q657" s="51"/>
      <c r="R657" s="74">
        <f t="shared" si="365"/>
        <v>208.33676975945</v>
      </c>
      <c r="S657" s="74"/>
      <c r="T657" s="75">
        <f t="shared" si="366"/>
        <v>0.310567010309278</v>
      </c>
      <c r="U657" s="74"/>
      <c r="V657" s="74"/>
      <c r="W657" s="76">
        <f t="shared" si="363"/>
        <v>208.647336769759</v>
      </c>
      <c r="X657" s="77">
        <f t="shared" si="367"/>
        <v>2.92316151202749</v>
      </c>
      <c r="Y657" s="77"/>
      <c r="Z657" s="77"/>
      <c r="AA657" s="77">
        <f t="shared" si="364"/>
        <v>2.92316151202749</v>
      </c>
      <c r="AB657" s="86">
        <v>7.08</v>
      </c>
      <c r="AC657" s="74">
        <f t="shared" si="360"/>
        <v>20.6959835051546</v>
      </c>
      <c r="AD657" s="74">
        <f t="shared" si="361"/>
        <v>229.343320274914</v>
      </c>
      <c r="AE657" s="74">
        <f t="shared" si="362"/>
        <v>73.6566797250859</v>
      </c>
    </row>
    <row r="658" customFormat="1" spans="1:31">
      <c r="A658" s="18"/>
      <c r="B658" s="19"/>
      <c r="C658" s="20">
        <v>240918000017</v>
      </c>
      <c r="D658" s="21">
        <v>45558</v>
      </c>
      <c r="E658" s="21" t="s">
        <v>50</v>
      </c>
      <c r="F658" s="19" t="s">
        <v>51</v>
      </c>
      <c r="G658" s="19" t="s">
        <v>87</v>
      </c>
      <c r="H658" s="19">
        <v>7</v>
      </c>
      <c r="I658" s="55"/>
      <c r="J658" s="54">
        <v>81217.5</v>
      </c>
      <c r="K658" s="43"/>
      <c r="L658" s="49">
        <f>SUM(J658/M658)</f>
        <v>1734.6753524135</v>
      </c>
      <c r="M658" s="50">
        <v>46.82</v>
      </c>
      <c r="N658" s="44">
        <v>7.08</v>
      </c>
      <c r="O658" s="45">
        <f>SUM(M658*N658)</f>
        <v>331.4856</v>
      </c>
      <c r="P658" s="51"/>
      <c r="Q658" s="51"/>
      <c r="R658" s="74">
        <f t="shared" si="365"/>
        <v>291.67147766323</v>
      </c>
      <c r="S658" s="74"/>
      <c r="T658" s="75">
        <f t="shared" si="366"/>
        <v>0.43479381443299</v>
      </c>
      <c r="U658" s="74"/>
      <c r="V658" s="74"/>
      <c r="W658" s="76">
        <f t="shared" si="363"/>
        <v>292.106271477663</v>
      </c>
      <c r="X658" s="77">
        <f t="shared" si="367"/>
        <v>4.09242611683849</v>
      </c>
      <c r="Y658" s="77"/>
      <c r="Z658" s="77"/>
      <c r="AA658" s="77">
        <f t="shared" si="364"/>
        <v>4.09242611683849</v>
      </c>
      <c r="AB658" s="86">
        <v>7.08</v>
      </c>
      <c r="AC658" s="74">
        <f t="shared" si="360"/>
        <v>28.9743769072165</v>
      </c>
      <c r="AD658" s="74">
        <f t="shared" si="361"/>
        <v>321.08064838488</v>
      </c>
      <c r="AE658" s="74">
        <f t="shared" si="362"/>
        <v>10.4049516151203</v>
      </c>
    </row>
    <row r="659" customFormat="1" spans="1:31">
      <c r="A659" s="18"/>
      <c r="B659" s="19"/>
      <c r="C659" s="20">
        <v>240918000019</v>
      </c>
      <c r="D659" s="21">
        <v>45558</v>
      </c>
      <c r="E659" s="21" t="s">
        <v>43</v>
      </c>
      <c r="F659" s="19" t="s">
        <v>44</v>
      </c>
      <c r="G659" s="19" t="s">
        <v>321</v>
      </c>
      <c r="H659" s="19">
        <v>2.5</v>
      </c>
      <c r="I659" s="41">
        <v>168</v>
      </c>
      <c r="J659" s="53"/>
      <c r="K659" s="43"/>
      <c r="L659" s="19"/>
      <c r="M659" s="43"/>
      <c r="N659" s="44"/>
      <c r="O659" s="45">
        <f t="shared" si="374"/>
        <v>168</v>
      </c>
      <c r="P659" s="51"/>
      <c r="Q659" s="51"/>
      <c r="R659" s="74">
        <f t="shared" si="365"/>
        <v>104.168384879725</v>
      </c>
      <c r="S659" s="74"/>
      <c r="T659" s="75">
        <f t="shared" si="366"/>
        <v>0.155283505154639</v>
      </c>
      <c r="U659" s="74"/>
      <c r="V659" s="74"/>
      <c r="W659" s="76">
        <f t="shared" si="363"/>
        <v>104.32366838488</v>
      </c>
      <c r="X659" s="77">
        <f t="shared" si="367"/>
        <v>1.46158075601375</v>
      </c>
      <c r="Y659" s="77"/>
      <c r="Z659" s="77"/>
      <c r="AA659" s="77">
        <f t="shared" si="364"/>
        <v>1.46158075601375</v>
      </c>
      <c r="AB659" s="86">
        <v>7.08</v>
      </c>
      <c r="AC659" s="74">
        <f t="shared" si="360"/>
        <v>10.3479917525773</v>
      </c>
      <c r="AD659" s="74">
        <f t="shared" si="361"/>
        <v>114.671660137457</v>
      </c>
      <c r="AE659" s="74">
        <f t="shared" si="362"/>
        <v>53.3283398625429</v>
      </c>
    </row>
    <row r="660" customFormat="1" spans="1:31">
      <c r="A660" s="18"/>
      <c r="B660" s="19"/>
      <c r="C660" s="20">
        <v>240918000022</v>
      </c>
      <c r="D660" s="21">
        <v>45558</v>
      </c>
      <c r="E660" s="21" t="s">
        <v>50</v>
      </c>
      <c r="F660" s="19" t="s">
        <v>51</v>
      </c>
      <c r="G660" s="19" t="s">
        <v>114</v>
      </c>
      <c r="H660" s="19">
        <v>47.5</v>
      </c>
      <c r="I660" s="41">
        <v>2447.5</v>
      </c>
      <c r="J660" s="53"/>
      <c r="K660" s="43"/>
      <c r="L660" s="19"/>
      <c r="M660" s="43"/>
      <c r="N660" s="44"/>
      <c r="O660" s="45">
        <f t="shared" si="374"/>
        <v>2447.5</v>
      </c>
      <c r="P660" s="51"/>
      <c r="Q660" s="51"/>
      <c r="R660" s="74">
        <f t="shared" si="365"/>
        <v>1979.19931271478</v>
      </c>
      <c r="S660" s="74"/>
      <c r="T660" s="75">
        <f t="shared" si="366"/>
        <v>2.95038659793814</v>
      </c>
      <c r="U660" s="75">
        <v>120</v>
      </c>
      <c r="V660" s="74"/>
      <c r="W660" s="76">
        <f t="shared" si="363"/>
        <v>2102.14969931271</v>
      </c>
      <c r="X660" s="77">
        <f t="shared" si="367"/>
        <v>27.7700343642612</v>
      </c>
      <c r="Y660" s="77"/>
      <c r="Z660" s="77"/>
      <c r="AA660" s="77">
        <f t="shared" si="364"/>
        <v>27.7700343642612</v>
      </c>
      <c r="AB660" s="86">
        <v>7.08</v>
      </c>
      <c r="AC660" s="74">
        <f t="shared" si="360"/>
        <v>196.611843298969</v>
      </c>
      <c r="AD660" s="74">
        <f t="shared" si="361"/>
        <v>2298.76154261168</v>
      </c>
      <c r="AE660" s="74">
        <f t="shared" si="362"/>
        <v>148.738457388316</v>
      </c>
    </row>
    <row r="661" customFormat="1" spans="1:31">
      <c r="A661" s="18"/>
      <c r="B661" s="19"/>
      <c r="C661" s="20">
        <v>240918000023</v>
      </c>
      <c r="D661" s="21">
        <v>45558</v>
      </c>
      <c r="E661" s="21" t="s">
        <v>41</v>
      </c>
      <c r="F661" s="19" t="s">
        <v>41</v>
      </c>
      <c r="G661" s="19" t="s">
        <v>357</v>
      </c>
      <c r="H661" s="19">
        <v>7.5</v>
      </c>
      <c r="I661" s="41">
        <v>478.5</v>
      </c>
      <c r="J661" s="53"/>
      <c r="K661" s="43"/>
      <c r="L661" s="19"/>
      <c r="M661" s="43"/>
      <c r="N661" s="44"/>
      <c r="O661" s="45">
        <f t="shared" si="374"/>
        <v>478.5</v>
      </c>
      <c r="P661" s="51"/>
      <c r="Q661" s="51"/>
      <c r="R661" s="74">
        <f t="shared" si="365"/>
        <v>312.505154639175</v>
      </c>
      <c r="S661" s="74"/>
      <c r="T661" s="75">
        <f t="shared" si="366"/>
        <v>0.465850515463918</v>
      </c>
      <c r="U661" s="74"/>
      <c r="V661" s="74"/>
      <c r="W661" s="76">
        <f t="shared" si="363"/>
        <v>312.971005154639</v>
      </c>
      <c r="X661" s="77">
        <f t="shared" si="367"/>
        <v>4.38474226804124</v>
      </c>
      <c r="Y661" s="77"/>
      <c r="Z661" s="77"/>
      <c r="AA661" s="77">
        <f t="shared" si="364"/>
        <v>4.38474226804124</v>
      </c>
      <c r="AB661" s="86">
        <v>7.08</v>
      </c>
      <c r="AC661" s="74">
        <f t="shared" ref="AC661:AC693" si="375">SUM(AA661*AB661)</f>
        <v>31.043975257732</v>
      </c>
      <c r="AD661" s="74">
        <f t="shared" ref="AD661:AD694" si="376">SUM(W661+AC661)</f>
        <v>344.014980412371</v>
      </c>
      <c r="AE661" s="74">
        <f t="shared" ref="AE661:AE693" si="377">SUM(O661-AD661)</f>
        <v>134.485019587629</v>
      </c>
    </row>
    <row r="662" customFormat="1" spans="1:31">
      <c r="A662" s="18"/>
      <c r="B662" s="19"/>
      <c r="C662" s="20">
        <v>240918000024</v>
      </c>
      <c r="D662" s="21">
        <v>45558</v>
      </c>
      <c r="E662" s="21" t="s">
        <v>62</v>
      </c>
      <c r="F662" s="19" t="s">
        <v>63</v>
      </c>
      <c r="G662" s="19" t="s">
        <v>445</v>
      </c>
      <c r="H662" s="19">
        <v>33.5</v>
      </c>
      <c r="I662" s="41">
        <v>2099</v>
      </c>
      <c r="J662" s="53"/>
      <c r="K662" s="43"/>
      <c r="L662" s="19"/>
      <c r="M662" s="43"/>
      <c r="N662" s="44"/>
      <c r="O662" s="45">
        <f t="shared" si="374"/>
        <v>2099</v>
      </c>
      <c r="P662" s="51"/>
      <c r="Q662" s="51"/>
      <c r="R662" s="74">
        <f t="shared" si="365"/>
        <v>1395.85635738832</v>
      </c>
      <c r="S662" s="74"/>
      <c r="T662" s="75">
        <f t="shared" si="366"/>
        <v>2.08079896907216</v>
      </c>
      <c r="U662" s="74">
        <v>80</v>
      </c>
      <c r="V662" s="74"/>
      <c r="W662" s="76">
        <f t="shared" ref="W662:W693" si="378">SUM(R662:V662)</f>
        <v>1477.93715635739</v>
      </c>
      <c r="X662" s="77">
        <f t="shared" si="367"/>
        <v>19.5851821305842</v>
      </c>
      <c r="Y662" s="77"/>
      <c r="Z662" s="77"/>
      <c r="AA662" s="77">
        <f t="shared" ref="AA662:AA693" si="379">SUM(X662:Z662)</f>
        <v>19.5851821305842</v>
      </c>
      <c r="AB662" s="86">
        <v>7.08</v>
      </c>
      <c r="AC662" s="74">
        <f t="shared" si="375"/>
        <v>138.663089484536</v>
      </c>
      <c r="AD662" s="74">
        <f t="shared" si="376"/>
        <v>1616.60024584192</v>
      </c>
      <c r="AE662" s="74">
        <f t="shared" si="377"/>
        <v>482.399754158075</v>
      </c>
    </row>
    <row r="663" customFormat="1" spans="1:31">
      <c r="A663" s="18"/>
      <c r="B663" s="19"/>
      <c r="C663" s="20">
        <v>240918000025</v>
      </c>
      <c r="D663" s="21">
        <v>45558</v>
      </c>
      <c r="E663" s="21" t="s">
        <v>62</v>
      </c>
      <c r="F663" s="19" t="s">
        <v>63</v>
      </c>
      <c r="G663" s="19" t="s">
        <v>101</v>
      </c>
      <c r="H663" s="19">
        <v>13</v>
      </c>
      <c r="I663" s="47"/>
      <c r="J663" s="54">
        <v>183015</v>
      </c>
      <c r="K663" s="43"/>
      <c r="L663" s="49">
        <f>SUM(J663/M663)</f>
        <v>1734.73933649289</v>
      </c>
      <c r="M663" s="50">
        <v>105.5</v>
      </c>
      <c r="N663" s="44">
        <v>7.08</v>
      </c>
      <c r="O663" s="45">
        <f>SUM(M663*N663)</f>
        <v>746.94</v>
      </c>
      <c r="P663" s="51"/>
      <c r="Q663" s="51"/>
      <c r="R663" s="74">
        <f t="shared" si="365"/>
        <v>541.67560137457</v>
      </c>
      <c r="S663" s="74"/>
      <c r="T663" s="75">
        <f t="shared" si="366"/>
        <v>0.807474226804124</v>
      </c>
      <c r="U663" s="74"/>
      <c r="V663" s="74"/>
      <c r="W663" s="76">
        <f t="shared" si="378"/>
        <v>542.483075601375</v>
      </c>
      <c r="X663" s="77">
        <f t="shared" si="367"/>
        <v>7.60021993127148</v>
      </c>
      <c r="Y663" s="77"/>
      <c r="Z663" s="77"/>
      <c r="AA663" s="77">
        <f t="shared" si="379"/>
        <v>7.60021993127148</v>
      </c>
      <c r="AB663" s="86">
        <v>7.08</v>
      </c>
      <c r="AC663" s="74">
        <f t="shared" si="375"/>
        <v>53.8095571134021</v>
      </c>
      <c r="AD663" s="74">
        <f t="shared" si="376"/>
        <v>596.292632714777</v>
      </c>
      <c r="AE663" s="74">
        <f t="shared" si="377"/>
        <v>150.647367285223</v>
      </c>
    </row>
    <row r="664" customFormat="1" spans="1:31">
      <c r="A664" s="18"/>
      <c r="B664" s="19"/>
      <c r="C664" s="22">
        <v>240918000029</v>
      </c>
      <c r="D664" s="23">
        <v>45558</v>
      </c>
      <c r="E664" s="21" t="s">
        <v>46</v>
      </c>
      <c r="F664" s="24" t="s">
        <v>47</v>
      </c>
      <c r="G664" s="24" t="s">
        <v>446</v>
      </c>
      <c r="H664" s="24">
        <v>2</v>
      </c>
      <c r="I664" s="41">
        <v>198</v>
      </c>
      <c r="J664" s="53"/>
      <c r="K664" s="43"/>
      <c r="L664" s="19"/>
      <c r="M664" s="43"/>
      <c r="N664" s="44"/>
      <c r="O664" s="45">
        <f t="shared" ref="O664:O667" si="380">SUM(I664)</f>
        <v>198</v>
      </c>
      <c r="P664" s="51"/>
      <c r="Q664" s="51"/>
      <c r="R664" s="74">
        <f t="shared" ref="R664:R695" si="381">SUM(121252/2910)*H664</f>
        <v>83.3347079037801</v>
      </c>
      <c r="S664" s="74"/>
      <c r="T664" s="75">
        <f t="shared" ref="T664:T695" si="382">SUM(180.75/2910)*H664</f>
        <v>0.124226804123711</v>
      </c>
      <c r="U664" s="74"/>
      <c r="V664" s="75">
        <v>13</v>
      </c>
      <c r="W664" s="76">
        <f t="shared" si="378"/>
        <v>96.4589347079038</v>
      </c>
      <c r="X664" s="77">
        <f t="shared" ref="X664:X695" si="383">SUM(1701.28/2910)*H664</f>
        <v>1.169264604811</v>
      </c>
      <c r="Y664" s="77"/>
      <c r="Z664" s="77"/>
      <c r="AA664" s="77">
        <f t="shared" si="379"/>
        <v>1.169264604811</v>
      </c>
      <c r="AB664" s="86">
        <v>7.08</v>
      </c>
      <c r="AC664" s="74">
        <f t="shared" si="375"/>
        <v>8.27839340206186</v>
      </c>
      <c r="AD664" s="74">
        <f t="shared" si="376"/>
        <v>104.737328109966</v>
      </c>
      <c r="AE664" s="74">
        <f t="shared" si="377"/>
        <v>93.2626718900344</v>
      </c>
    </row>
    <row r="665" customFormat="1" spans="1:31">
      <c r="A665" s="18"/>
      <c r="B665" s="19"/>
      <c r="C665" s="20">
        <v>240918000037</v>
      </c>
      <c r="D665" s="21">
        <v>45558</v>
      </c>
      <c r="E665" s="21" t="s">
        <v>50</v>
      </c>
      <c r="F665" s="19" t="s">
        <v>51</v>
      </c>
      <c r="G665" s="19" t="s">
        <v>141</v>
      </c>
      <c r="H665" s="19">
        <v>4.5</v>
      </c>
      <c r="I665" s="41">
        <v>330</v>
      </c>
      <c r="J665" s="53"/>
      <c r="K665" s="43"/>
      <c r="L665" s="19"/>
      <c r="M665" s="43"/>
      <c r="N665" s="44"/>
      <c r="O665" s="45">
        <f t="shared" si="380"/>
        <v>330</v>
      </c>
      <c r="P665" s="51"/>
      <c r="Q665" s="51"/>
      <c r="R665" s="74">
        <f t="shared" si="381"/>
        <v>187.503092783505</v>
      </c>
      <c r="S665" s="74"/>
      <c r="T665" s="75">
        <f t="shared" si="382"/>
        <v>0.279510309278351</v>
      </c>
      <c r="U665" s="74"/>
      <c r="V665" s="74"/>
      <c r="W665" s="76">
        <f t="shared" si="378"/>
        <v>187.782603092784</v>
      </c>
      <c r="X665" s="77">
        <f t="shared" si="383"/>
        <v>2.63084536082474</v>
      </c>
      <c r="Y665" s="77"/>
      <c r="Z665" s="77"/>
      <c r="AA665" s="77">
        <f t="shared" si="379"/>
        <v>2.63084536082474</v>
      </c>
      <c r="AB665" s="86">
        <v>7.08</v>
      </c>
      <c r="AC665" s="74">
        <f t="shared" si="375"/>
        <v>18.6263851546392</v>
      </c>
      <c r="AD665" s="74">
        <f t="shared" si="376"/>
        <v>206.408988247423</v>
      </c>
      <c r="AE665" s="74">
        <f t="shared" si="377"/>
        <v>123.591011752577</v>
      </c>
    </row>
    <row r="666" customFormat="1" spans="1:31">
      <c r="A666" s="18"/>
      <c r="B666" s="19"/>
      <c r="C666" s="20">
        <v>240918000038</v>
      </c>
      <c r="D666" s="21">
        <v>45558</v>
      </c>
      <c r="E666" s="21" t="s">
        <v>43</v>
      </c>
      <c r="F666" s="19" t="s">
        <v>44</v>
      </c>
      <c r="G666" s="19" t="s">
        <v>447</v>
      </c>
      <c r="H666" s="19">
        <v>0.72</v>
      </c>
      <c r="I666" s="41">
        <v>63</v>
      </c>
      <c r="J666" s="53"/>
      <c r="K666" s="43"/>
      <c r="L666" s="19"/>
      <c r="M666" s="43"/>
      <c r="N666" s="44"/>
      <c r="O666" s="45">
        <f t="shared" si="380"/>
        <v>63</v>
      </c>
      <c r="P666" s="51"/>
      <c r="Q666" s="51"/>
      <c r="R666" s="74">
        <f t="shared" si="381"/>
        <v>30.0004948453608</v>
      </c>
      <c r="S666" s="74"/>
      <c r="T666" s="75">
        <f t="shared" si="382"/>
        <v>0.0447216494845361</v>
      </c>
      <c r="U666" s="74"/>
      <c r="V666" s="74"/>
      <c r="W666" s="76">
        <f t="shared" si="378"/>
        <v>30.0452164948454</v>
      </c>
      <c r="X666" s="77">
        <f t="shared" si="383"/>
        <v>0.420935257731959</v>
      </c>
      <c r="Y666" s="77"/>
      <c r="Z666" s="77"/>
      <c r="AA666" s="77">
        <f t="shared" si="379"/>
        <v>0.420935257731959</v>
      </c>
      <c r="AB666" s="86">
        <v>7.08</v>
      </c>
      <c r="AC666" s="74">
        <f t="shared" si="375"/>
        <v>2.98022162474227</v>
      </c>
      <c r="AD666" s="74">
        <f t="shared" si="376"/>
        <v>33.0254381195876</v>
      </c>
      <c r="AE666" s="74">
        <f t="shared" si="377"/>
        <v>29.9745618804124</v>
      </c>
    </row>
    <row r="667" customFormat="1" spans="1:31">
      <c r="A667" s="18"/>
      <c r="B667" s="19"/>
      <c r="C667" s="20">
        <v>240918000039</v>
      </c>
      <c r="D667" s="21">
        <v>45558</v>
      </c>
      <c r="E667" s="21" t="s">
        <v>43</v>
      </c>
      <c r="F667" s="19" t="s">
        <v>44</v>
      </c>
      <c r="G667" s="19" t="s">
        <v>431</v>
      </c>
      <c r="H667" s="19">
        <v>12.5</v>
      </c>
      <c r="I667" s="41">
        <v>750</v>
      </c>
      <c r="J667" s="53"/>
      <c r="K667" s="43"/>
      <c r="L667" s="19"/>
      <c r="M667" s="43"/>
      <c r="N667" s="44"/>
      <c r="O667" s="45">
        <f t="shared" si="380"/>
        <v>750</v>
      </c>
      <c r="P667" s="51"/>
      <c r="Q667" s="51"/>
      <c r="R667" s="74">
        <f t="shared" si="381"/>
        <v>520.841924398625</v>
      </c>
      <c r="S667" s="74"/>
      <c r="T667" s="75">
        <f t="shared" si="382"/>
        <v>0.776417525773196</v>
      </c>
      <c r="U667" s="74"/>
      <c r="V667" s="74"/>
      <c r="W667" s="76">
        <f t="shared" si="378"/>
        <v>521.618341924399</v>
      </c>
      <c r="X667" s="77">
        <f t="shared" si="383"/>
        <v>7.30790378006873</v>
      </c>
      <c r="Y667" s="77"/>
      <c r="Z667" s="77"/>
      <c r="AA667" s="77">
        <f t="shared" si="379"/>
        <v>7.30790378006873</v>
      </c>
      <c r="AB667" s="86">
        <v>7.08</v>
      </c>
      <c r="AC667" s="74">
        <f t="shared" si="375"/>
        <v>51.7399587628866</v>
      </c>
      <c r="AD667" s="74">
        <f t="shared" si="376"/>
        <v>573.358300687285</v>
      </c>
      <c r="AE667" s="74">
        <f t="shared" si="377"/>
        <v>176.641699312715</v>
      </c>
    </row>
    <row r="668" customFormat="1" spans="1:31">
      <c r="A668" s="18"/>
      <c r="B668" s="19"/>
      <c r="C668" s="20">
        <v>240918000040</v>
      </c>
      <c r="D668" s="21">
        <v>45558</v>
      </c>
      <c r="E668" s="21" t="s">
        <v>62</v>
      </c>
      <c r="F668" s="19" t="s">
        <v>63</v>
      </c>
      <c r="G668" s="19" t="s">
        <v>448</v>
      </c>
      <c r="H668" s="19">
        <v>42</v>
      </c>
      <c r="I668" s="47"/>
      <c r="J668" s="54">
        <v>524790</v>
      </c>
      <c r="K668" s="43"/>
      <c r="L668" s="49">
        <f t="shared" ref="L668:L671" si="384">SUM(J668/M668)</f>
        <v>1734.61360481259</v>
      </c>
      <c r="M668" s="50">
        <v>302.54</v>
      </c>
      <c r="N668" s="44">
        <v>7.08</v>
      </c>
      <c r="O668" s="45">
        <f t="shared" ref="O668:O671" si="385">SUM(M668*N668)</f>
        <v>2141.9832</v>
      </c>
      <c r="P668" s="51"/>
      <c r="Q668" s="51"/>
      <c r="R668" s="74">
        <f t="shared" si="381"/>
        <v>1750.02886597938</v>
      </c>
      <c r="S668" s="74"/>
      <c r="T668" s="75">
        <f t="shared" si="382"/>
        <v>2.60876288659794</v>
      </c>
      <c r="U668" s="74"/>
      <c r="V668" s="74"/>
      <c r="W668" s="76">
        <f t="shared" si="378"/>
        <v>1752.63762886598</v>
      </c>
      <c r="X668" s="77">
        <f t="shared" si="383"/>
        <v>24.5545567010309</v>
      </c>
      <c r="Y668" s="77"/>
      <c r="Z668" s="77"/>
      <c r="AA668" s="77">
        <f t="shared" si="379"/>
        <v>24.5545567010309</v>
      </c>
      <c r="AB668" s="86">
        <v>7.08</v>
      </c>
      <c r="AC668" s="74">
        <f t="shared" si="375"/>
        <v>173.846261443299</v>
      </c>
      <c r="AD668" s="74">
        <f t="shared" si="376"/>
        <v>1926.48389030928</v>
      </c>
      <c r="AE668" s="74">
        <f t="shared" si="377"/>
        <v>215.499309690722</v>
      </c>
    </row>
    <row r="669" customFormat="1" spans="1:31">
      <c r="A669" s="18"/>
      <c r="B669" s="19"/>
      <c r="C669" s="20">
        <v>240918000041</v>
      </c>
      <c r="D669" s="21">
        <v>45558</v>
      </c>
      <c r="E669" s="21" t="s">
        <v>43</v>
      </c>
      <c r="F669" s="19" t="s">
        <v>44</v>
      </c>
      <c r="G669" s="19" t="s">
        <v>76</v>
      </c>
      <c r="H669" s="19">
        <v>10</v>
      </c>
      <c r="I669" s="41">
        <v>550</v>
      </c>
      <c r="J669" s="53"/>
      <c r="K669" s="43"/>
      <c r="L669" s="19"/>
      <c r="M669" s="43"/>
      <c r="N669" s="44"/>
      <c r="O669" s="45">
        <f>SUM(I669)</f>
        <v>550</v>
      </c>
      <c r="P669" s="51"/>
      <c r="Q669" s="51"/>
      <c r="R669" s="74">
        <f t="shared" si="381"/>
        <v>416.6735395189</v>
      </c>
      <c r="S669" s="74"/>
      <c r="T669" s="75">
        <f t="shared" si="382"/>
        <v>0.621134020618557</v>
      </c>
      <c r="U669" s="74"/>
      <c r="V669" s="74"/>
      <c r="W669" s="76">
        <f t="shared" si="378"/>
        <v>417.294673539519</v>
      </c>
      <c r="X669" s="77">
        <f t="shared" si="383"/>
        <v>5.84632302405498</v>
      </c>
      <c r="Y669" s="77"/>
      <c r="Z669" s="77"/>
      <c r="AA669" s="77">
        <f t="shared" si="379"/>
        <v>5.84632302405498</v>
      </c>
      <c r="AB669" s="86">
        <v>7.08</v>
      </c>
      <c r="AC669" s="74">
        <f t="shared" si="375"/>
        <v>41.3919670103093</v>
      </c>
      <c r="AD669" s="74">
        <f t="shared" si="376"/>
        <v>458.686640549828</v>
      </c>
      <c r="AE669" s="74">
        <f t="shared" si="377"/>
        <v>91.3133594501718</v>
      </c>
    </row>
    <row r="670" customFormat="1" spans="1:31">
      <c r="A670" s="18"/>
      <c r="B670" s="19"/>
      <c r="C670" s="20">
        <v>240918000045</v>
      </c>
      <c r="D670" s="21">
        <v>45558</v>
      </c>
      <c r="E670" s="21" t="s">
        <v>62</v>
      </c>
      <c r="F670" s="19" t="s">
        <v>63</v>
      </c>
      <c r="G670" s="19" t="s">
        <v>449</v>
      </c>
      <c r="H670" s="19">
        <v>3</v>
      </c>
      <c r="I670" s="47"/>
      <c r="J670" s="54">
        <v>44835</v>
      </c>
      <c r="K670" s="43"/>
      <c r="L670" s="49">
        <f t="shared" si="384"/>
        <v>1735.10061919505</v>
      </c>
      <c r="M670" s="50">
        <v>25.84</v>
      </c>
      <c r="N670" s="44">
        <v>7.08</v>
      </c>
      <c r="O670" s="45">
        <f t="shared" si="385"/>
        <v>182.9472</v>
      </c>
      <c r="P670" s="51"/>
      <c r="Q670" s="51"/>
      <c r="R670" s="74">
        <f t="shared" si="381"/>
        <v>125.00206185567</v>
      </c>
      <c r="S670" s="74"/>
      <c r="T670" s="75">
        <f t="shared" si="382"/>
        <v>0.186340206185567</v>
      </c>
      <c r="U670" s="74"/>
      <c r="V670" s="74"/>
      <c r="W670" s="76">
        <f t="shared" si="378"/>
        <v>125.188402061856</v>
      </c>
      <c r="X670" s="77">
        <f t="shared" si="383"/>
        <v>1.75389690721649</v>
      </c>
      <c r="Y670" s="77"/>
      <c r="Z670" s="77"/>
      <c r="AA670" s="77">
        <f t="shared" si="379"/>
        <v>1.75389690721649</v>
      </c>
      <c r="AB670" s="86">
        <v>7.08</v>
      </c>
      <c r="AC670" s="74">
        <f t="shared" si="375"/>
        <v>12.4175901030928</v>
      </c>
      <c r="AD670" s="74">
        <f t="shared" si="376"/>
        <v>137.605992164948</v>
      </c>
      <c r="AE670" s="74">
        <f t="shared" si="377"/>
        <v>45.3412078350516</v>
      </c>
    </row>
    <row r="671" customFormat="1" spans="1:31">
      <c r="A671" s="18"/>
      <c r="B671" s="19"/>
      <c r="C671" s="20">
        <v>240918000049</v>
      </c>
      <c r="D671" s="21">
        <v>45558</v>
      </c>
      <c r="E671" s="21" t="s">
        <v>43</v>
      </c>
      <c r="F671" s="19" t="s">
        <v>44</v>
      </c>
      <c r="G671" s="19" t="s">
        <v>297</v>
      </c>
      <c r="H671" s="19">
        <v>69</v>
      </c>
      <c r="I671" s="47"/>
      <c r="J671" s="54">
        <v>963585</v>
      </c>
      <c r="K671" s="43"/>
      <c r="L671" s="49">
        <f t="shared" si="384"/>
        <v>1734.62646264626</v>
      </c>
      <c r="M671" s="50">
        <v>555.5</v>
      </c>
      <c r="N671" s="44">
        <v>7.08</v>
      </c>
      <c r="O671" s="45">
        <f t="shared" si="385"/>
        <v>3932.94</v>
      </c>
      <c r="P671" s="51"/>
      <c r="Q671" s="51"/>
      <c r="R671" s="74">
        <f t="shared" si="381"/>
        <v>2875.04742268041</v>
      </c>
      <c r="S671" s="74"/>
      <c r="T671" s="75">
        <f t="shared" si="382"/>
        <v>4.28582474226804</v>
      </c>
      <c r="U671" s="74"/>
      <c r="V671" s="74"/>
      <c r="W671" s="76">
        <f t="shared" si="378"/>
        <v>2879.33324742268</v>
      </c>
      <c r="X671" s="77">
        <f t="shared" si="383"/>
        <v>40.3396288659794</v>
      </c>
      <c r="Y671" s="77"/>
      <c r="Z671" s="77"/>
      <c r="AA671" s="77">
        <f t="shared" si="379"/>
        <v>40.3396288659794</v>
      </c>
      <c r="AB671" s="86">
        <v>7.08</v>
      </c>
      <c r="AC671" s="74">
        <f t="shared" si="375"/>
        <v>285.604572371134</v>
      </c>
      <c r="AD671" s="74">
        <f t="shared" si="376"/>
        <v>3164.93781979381</v>
      </c>
      <c r="AE671" s="74">
        <f t="shared" si="377"/>
        <v>768.002180206185</v>
      </c>
    </row>
    <row r="672" customFormat="1" spans="1:31">
      <c r="A672" s="18"/>
      <c r="B672" s="19"/>
      <c r="C672" s="20">
        <v>240919000001</v>
      </c>
      <c r="D672" s="21">
        <v>45558</v>
      </c>
      <c r="E672" s="21" t="s">
        <v>41</v>
      </c>
      <c r="F672" s="19" t="s">
        <v>41</v>
      </c>
      <c r="G672" s="19" t="s">
        <v>58</v>
      </c>
      <c r="H672" s="19">
        <v>0.6</v>
      </c>
      <c r="I672" s="41">
        <v>63</v>
      </c>
      <c r="J672" s="53"/>
      <c r="K672" s="43"/>
      <c r="L672" s="19"/>
      <c r="M672" s="43"/>
      <c r="N672" s="44"/>
      <c r="O672" s="45">
        <f>SUM(I672)</f>
        <v>63</v>
      </c>
      <c r="P672" s="51"/>
      <c r="Q672" s="51"/>
      <c r="R672" s="74">
        <f t="shared" si="381"/>
        <v>25.000412371134</v>
      </c>
      <c r="S672" s="74"/>
      <c r="T672" s="75">
        <f t="shared" si="382"/>
        <v>0.0372680412371134</v>
      </c>
      <c r="U672" s="74"/>
      <c r="V672" s="74"/>
      <c r="W672" s="76">
        <f t="shared" si="378"/>
        <v>25.0376804123711</v>
      </c>
      <c r="X672" s="77">
        <f t="shared" si="383"/>
        <v>0.350779381443299</v>
      </c>
      <c r="Y672" s="77"/>
      <c r="Z672" s="77"/>
      <c r="AA672" s="77">
        <f t="shared" si="379"/>
        <v>0.350779381443299</v>
      </c>
      <c r="AB672" s="86">
        <v>7.08</v>
      </c>
      <c r="AC672" s="74">
        <f t="shared" si="375"/>
        <v>2.48351802061856</v>
      </c>
      <c r="AD672" s="74">
        <f t="shared" si="376"/>
        <v>27.5211984329897</v>
      </c>
      <c r="AE672" s="74">
        <f t="shared" si="377"/>
        <v>35.4788015670103</v>
      </c>
    </row>
    <row r="673" customFormat="1" spans="1:31">
      <c r="A673" s="18"/>
      <c r="B673" s="19"/>
      <c r="C673" s="20">
        <v>240919000002</v>
      </c>
      <c r="D673" s="21">
        <v>45558</v>
      </c>
      <c r="E673" s="21" t="s">
        <v>43</v>
      </c>
      <c r="F673" s="19" t="s">
        <v>44</v>
      </c>
      <c r="G673" s="19" t="s">
        <v>182</v>
      </c>
      <c r="H673" s="19">
        <v>1.5</v>
      </c>
      <c r="I673" s="45"/>
      <c r="J673" s="54">
        <v>22521</v>
      </c>
      <c r="K673" s="43"/>
      <c r="L673" s="49">
        <f>SUM(J673/M673)</f>
        <v>1739.07322478199</v>
      </c>
      <c r="M673" s="50">
        <v>12.950001</v>
      </c>
      <c r="N673" s="44">
        <v>7.08</v>
      </c>
      <c r="O673" s="45">
        <f t="shared" ref="O673:O677" si="386">SUM(M673*N673)</f>
        <v>91.68600708</v>
      </c>
      <c r="P673" s="51"/>
      <c r="Q673" s="51"/>
      <c r="R673" s="74">
        <f t="shared" si="381"/>
        <v>62.5010309278351</v>
      </c>
      <c r="S673" s="74"/>
      <c r="T673" s="75">
        <f t="shared" si="382"/>
        <v>0.0931701030927835</v>
      </c>
      <c r="U673" s="74"/>
      <c r="V673" s="74"/>
      <c r="W673" s="76">
        <f t="shared" si="378"/>
        <v>62.5942010309278</v>
      </c>
      <c r="X673" s="77">
        <f t="shared" si="383"/>
        <v>0.876948453608247</v>
      </c>
      <c r="Y673" s="77"/>
      <c r="Z673" s="77"/>
      <c r="AA673" s="77">
        <f t="shared" si="379"/>
        <v>0.876948453608247</v>
      </c>
      <c r="AB673" s="86">
        <v>7.08</v>
      </c>
      <c r="AC673" s="74">
        <f t="shared" si="375"/>
        <v>6.20879505154639</v>
      </c>
      <c r="AD673" s="74">
        <f t="shared" si="376"/>
        <v>68.8029960824742</v>
      </c>
      <c r="AE673" s="74">
        <f t="shared" si="377"/>
        <v>22.8830109975258</v>
      </c>
    </row>
    <row r="674" customFormat="1" spans="1:31">
      <c r="A674" s="18"/>
      <c r="B674" s="19"/>
      <c r="C674" s="20">
        <v>240919000005</v>
      </c>
      <c r="D674" s="21">
        <v>45558</v>
      </c>
      <c r="E674" s="21" t="s">
        <v>50</v>
      </c>
      <c r="F674" s="19" t="s">
        <v>51</v>
      </c>
      <c r="G674" s="19" t="s">
        <v>450</v>
      </c>
      <c r="H674" s="19">
        <v>46</v>
      </c>
      <c r="I674" s="47"/>
      <c r="J674" s="54">
        <v>584325</v>
      </c>
      <c r="K674" s="43"/>
      <c r="L674" s="49">
        <f>SUM(J674/M674)</f>
        <v>1734.62269191949</v>
      </c>
      <c r="M674" s="50">
        <v>336.86</v>
      </c>
      <c r="N674" s="44">
        <v>7.08</v>
      </c>
      <c r="O674" s="45">
        <f t="shared" si="386"/>
        <v>2384.9688</v>
      </c>
      <c r="P674" s="51"/>
      <c r="Q674" s="51"/>
      <c r="R674" s="74">
        <f t="shared" si="381"/>
        <v>1916.69828178694</v>
      </c>
      <c r="S674" s="74"/>
      <c r="T674" s="75">
        <f t="shared" si="382"/>
        <v>2.85721649484536</v>
      </c>
      <c r="U674" s="74"/>
      <c r="V674" s="74"/>
      <c r="W674" s="76">
        <f t="shared" si="378"/>
        <v>1919.55549828179</v>
      </c>
      <c r="X674" s="77">
        <f t="shared" si="383"/>
        <v>26.8930859106529</v>
      </c>
      <c r="Y674" s="77"/>
      <c r="Z674" s="77"/>
      <c r="AA674" s="77">
        <f t="shared" si="379"/>
        <v>26.8930859106529</v>
      </c>
      <c r="AB674" s="86">
        <v>7.08</v>
      </c>
      <c r="AC674" s="74">
        <f t="shared" si="375"/>
        <v>190.403048247423</v>
      </c>
      <c r="AD674" s="74">
        <f t="shared" si="376"/>
        <v>2109.95854652921</v>
      </c>
      <c r="AE674" s="74">
        <f t="shared" si="377"/>
        <v>275.010253470791</v>
      </c>
    </row>
    <row r="675" customFormat="1" spans="1:31">
      <c r="A675" s="18"/>
      <c r="B675" s="19"/>
      <c r="C675" s="20">
        <v>240919000007</v>
      </c>
      <c r="D675" s="21">
        <v>45558</v>
      </c>
      <c r="E675" s="21" t="s">
        <v>43</v>
      </c>
      <c r="F675" s="19" t="s">
        <v>44</v>
      </c>
      <c r="G675" s="19" t="s">
        <v>109</v>
      </c>
      <c r="H675" s="19">
        <v>31</v>
      </c>
      <c r="I675" s="45"/>
      <c r="J675" s="54">
        <v>539090</v>
      </c>
      <c r="K675" s="43"/>
      <c r="L675" s="49">
        <f>SUM(J675/M675)</f>
        <v>1739</v>
      </c>
      <c r="M675" s="50">
        <v>310</v>
      </c>
      <c r="N675" s="44">
        <v>7.08</v>
      </c>
      <c r="O675" s="45">
        <f t="shared" si="386"/>
        <v>2194.8</v>
      </c>
      <c r="P675" s="51"/>
      <c r="Q675" s="51"/>
      <c r="R675" s="74">
        <f t="shared" si="381"/>
        <v>1291.68797250859</v>
      </c>
      <c r="S675" s="74"/>
      <c r="T675" s="75">
        <f t="shared" si="382"/>
        <v>1.92551546391753</v>
      </c>
      <c r="U675" s="74"/>
      <c r="V675" s="74"/>
      <c r="W675" s="76">
        <f t="shared" si="378"/>
        <v>1293.61348797251</v>
      </c>
      <c r="X675" s="77">
        <f t="shared" si="383"/>
        <v>18.1236013745704</v>
      </c>
      <c r="Y675" s="77"/>
      <c r="Z675" s="77"/>
      <c r="AA675" s="77">
        <f t="shared" si="379"/>
        <v>18.1236013745704</v>
      </c>
      <c r="AB675" s="86">
        <v>7.08</v>
      </c>
      <c r="AC675" s="74">
        <f t="shared" si="375"/>
        <v>128.315097731959</v>
      </c>
      <c r="AD675" s="74">
        <f t="shared" si="376"/>
        <v>1421.92858570447</v>
      </c>
      <c r="AE675" s="74">
        <f t="shared" si="377"/>
        <v>772.871414295533</v>
      </c>
    </row>
    <row r="676" customFormat="1" spans="1:31">
      <c r="A676" s="18"/>
      <c r="B676" s="19"/>
      <c r="C676" s="20">
        <v>240919000008</v>
      </c>
      <c r="D676" s="21">
        <v>45558</v>
      </c>
      <c r="E676" s="21" t="s">
        <v>43</v>
      </c>
      <c r="F676" s="19" t="s">
        <v>44</v>
      </c>
      <c r="G676" s="19" t="s">
        <v>109</v>
      </c>
      <c r="H676" s="19">
        <v>0.94</v>
      </c>
      <c r="I676" s="45"/>
      <c r="J676" s="54">
        <v>17390</v>
      </c>
      <c r="K676" s="43"/>
      <c r="L676" s="49">
        <f>SUM(J676/M676)</f>
        <v>1739</v>
      </c>
      <c r="M676" s="50">
        <v>10</v>
      </c>
      <c r="N676" s="44">
        <v>7.08</v>
      </c>
      <c r="O676" s="45">
        <f t="shared" si="386"/>
        <v>70.8</v>
      </c>
      <c r="P676" s="51"/>
      <c r="Q676" s="51"/>
      <c r="R676" s="74">
        <f t="shared" si="381"/>
        <v>39.1673127147766</v>
      </c>
      <c r="S676" s="74"/>
      <c r="T676" s="75">
        <f t="shared" si="382"/>
        <v>0.0583865979381443</v>
      </c>
      <c r="U676" s="74"/>
      <c r="V676" s="74"/>
      <c r="W676" s="76">
        <f t="shared" si="378"/>
        <v>39.2256993127148</v>
      </c>
      <c r="X676" s="77">
        <f t="shared" si="383"/>
        <v>0.549554364261168</v>
      </c>
      <c r="Y676" s="77"/>
      <c r="Z676" s="77"/>
      <c r="AA676" s="77">
        <f t="shared" si="379"/>
        <v>0.549554364261168</v>
      </c>
      <c r="AB676" s="86">
        <v>7.08</v>
      </c>
      <c r="AC676" s="74">
        <f t="shared" si="375"/>
        <v>3.89084489896907</v>
      </c>
      <c r="AD676" s="74">
        <f t="shared" si="376"/>
        <v>43.1165442116838</v>
      </c>
      <c r="AE676" s="74">
        <f t="shared" si="377"/>
        <v>27.6834557883162</v>
      </c>
    </row>
    <row r="677" customFormat="1" spans="1:31">
      <c r="A677" s="18"/>
      <c r="B677" s="19"/>
      <c r="C677" s="20">
        <v>240919000010</v>
      </c>
      <c r="D677" s="21">
        <v>45558</v>
      </c>
      <c r="E677" s="21" t="s">
        <v>43</v>
      </c>
      <c r="F677" s="19" t="s">
        <v>44</v>
      </c>
      <c r="G677" s="19" t="s">
        <v>109</v>
      </c>
      <c r="H677" s="19">
        <v>43</v>
      </c>
      <c r="I677" s="45"/>
      <c r="J677" s="54">
        <v>747770</v>
      </c>
      <c r="K677" s="43"/>
      <c r="L677" s="49">
        <f>SUM(J677/M677)</f>
        <v>1739</v>
      </c>
      <c r="M677" s="50">
        <v>430</v>
      </c>
      <c r="N677" s="44">
        <v>7.08</v>
      </c>
      <c r="O677" s="45">
        <f t="shared" si="386"/>
        <v>3044.4</v>
      </c>
      <c r="P677" s="51"/>
      <c r="Q677" s="51"/>
      <c r="R677" s="74">
        <f t="shared" si="381"/>
        <v>1791.69621993127</v>
      </c>
      <c r="S677" s="74"/>
      <c r="T677" s="75">
        <f t="shared" si="382"/>
        <v>2.67087628865979</v>
      </c>
      <c r="U677" s="74"/>
      <c r="V677" s="74"/>
      <c r="W677" s="76">
        <f t="shared" si="378"/>
        <v>1794.36709621993</v>
      </c>
      <c r="X677" s="77">
        <f t="shared" si="383"/>
        <v>25.1391890034364</v>
      </c>
      <c r="Y677" s="77"/>
      <c r="Z677" s="77"/>
      <c r="AA677" s="77">
        <f t="shared" si="379"/>
        <v>25.1391890034364</v>
      </c>
      <c r="AB677" s="86">
        <v>7.08</v>
      </c>
      <c r="AC677" s="74">
        <f t="shared" si="375"/>
        <v>177.98545814433</v>
      </c>
      <c r="AD677" s="74">
        <f t="shared" si="376"/>
        <v>1972.35255436426</v>
      </c>
      <c r="AE677" s="74">
        <f t="shared" si="377"/>
        <v>1072.04744563574</v>
      </c>
    </row>
    <row r="678" customFormat="1" spans="1:31">
      <c r="A678" s="18"/>
      <c r="B678" s="19"/>
      <c r="C678" s="20">
        <v>240919000014</v>
      </c>
      <c r="D678" s="21">
        <v>45558</v>
      </c>
      <c r="E678" s="21" t="s">
        <v>50</v>
      </c>
      <c r="F678" s="19" t="s">
        <v>51</v>
      </c>
      <c r="G678" s="19" t="s">
        <v>55</v>
      </c>
      <c r="H678" s="19">
        <v>5.5</v>
      </c>
      <c r="I678" s="41">
        <v>319</v>
      </c>
      <c r="J678" s="53"/>
      <c r="K678" s="43"/>
      <c r="L678" s="19"/>
      <c r="M678" s="43"/>
      <c r="N678" s="44"/>
      <c r="O678" s="45">
        <f>SUM(I678)</f>
        <v>319</v>
      </c>
      <c r="P678" s="51"/>
      <c r="Q678" s="51"/>
      <c r="R678" s="74">
        <f t="shared" si="381"/>
        <v>229.170446735395</v>
      </c>
      <c r="S678" s="74"/>
      <c r="T678" s="75">
        <f t="shared" si="382"/>
        <v>0.341623711340206</v>
      </c>
      <c r="U678" s="74"/>
      <c r="V678" s="74"/>
      <c r="W678" s="76">
        <f t="shared" si="378"/>
        <v>229.512070446735</v>
      </c>
      <c r="X678" s="77">
        <f t="shared" si="383"/>
        <v>3.21547766323024</v>
      </c>
      <c r="Y678" s="77"/>
      <c r="Z678" s="77"/>
      <c r="AA678" s="77">
        <f t="shared" si="379"/>
        <v>3.21547766323024</v>
      </c>
      <c r="AB678" s="86">
        <v>7.08</v>
      </c>
      <c r="AC678" s="74">
        <f t="shared" si="375"/>
        <v>22.7655818556701</v>
      </c>
      <c r="AD678" s="74">
        <f t="shared" si="376"/>
        <v>252.277652302405</v>
      </c>
      <c r="AE678" s="74">
        <f t="shared" si="377"/>
        <v>66.7223476975945</v>
      </c>
    </row>
    <row r="679" customFormat="1" spans="1:31">
      <c r="A679" s="18"/>
      <c r="B679" s="19"/>
      <c r="C679" s="20">
        <v>240919000018</v>
      </c>
      <c r="D679" s="21">
        <v>45558</v>
      </c>
      <c r="E679" s="21" t="s">
        <v>43</v>
      </c>
      <c r="F679" s="19" t="s">
        <v>44</v>
      </c>
      <c r="G679" s="19" t="s">
        <v>451</v>
      </c>
      <c r="H679" s="19">
        <v>110.5</v>
      </c>
      <c r="I679" s="45"/>
      <c r="J679" s="54">
        <v>1421980.3</v>
      </c>
      <c r="K679" s="43"/>
      <c r="L679" s="49">
        <f t="shared" ref="L679:L681" si="387">SUM(J679/M679)</f>
        <v>1739</v>
      </c>
      <c r="M679" s="50">
        <v>817.7</v>
      </c>
      <c r="N679" s="44">
        <v>7.08</v>
      </c>
      <c r="O679" s="45">
        <f t="shared" ref="O679:O681" si="388">SUM(M679*N679)</f>
        <v>5789.316</v>
      </c>
      <c r="P679" s="51"/>
      <c r="Q679" s="51"/>
      <c r="R679" s="74">
        <f t="shared" si="381"/>
        <v>4604.24261168385</v>
      </c>
      <c r="S679" s="74"/>
      <c r="T679" s="75">
        <f t="shared" si="382"/>
        <v>6.86353092783505</v>
      </c>
      <c r="U679" s="74"/>
      <c r="V679" s="74"/>
      <c r="W679" s="76">
        <f t="shared" si="378"/>
        <v>4611.10614261168</v>
      </c>
      <c r="X679" s="77">
        <f t="shared" si="383"/>
        <v>64.6018694158076</v>
      </c>
      <c r="Y679" s="77"/>
      <c r="Z679" s="77"/>
      <c r="AA679" s="77">
        <f t="shared" si="379"/>
        <v>64.6018694158076</v>
      </c>
      <c r="AB679" s="86">
        <v>7.08</v>
      </c>
      <c r="AC679" s="74">
        <f t="shared" si="375"/>
        <v>457.381235463918</v>
      </c>
      <c r="AD679" s="74">
        <f t="shared" si="376"/>
        <v>5068.4873780756</v>
      </c>
      <c r="AE679" s="74">
        <f t="shared" si="377"/>
        <v>720.828621924398</v>
      </c>
    </row>
    <row r="680" customFormat="1" spans="1:31">
      <c r="A680" s="18"/>
      <c r="B680" s="19"/>
      <c r="C680" s="20">
        <v>240919000024</v>
      </c>
      <c r="D680" s="21">
        <v>45558</v>
      </c>
      <c r="E680" s="21" t="s">
        <v>50</v>
      </c>
      <c r="F680" s="19" t="s">
        <v>51</v>
      </c>
      <c r="G680" s="19" t="s">
        <v>115</v>
      </c>
      <c r="H680" s="19">
        <v>2</v>
      </c>
      <c r="I680" s="47"/>
      <c r="J680" s="54">
        <v>35964</v>
      </c>
      <c r="K680" s="43"/>
      <c r="L680" s="49">
        <f t="shared" si="387"/>
        <v>1720.76555023923</v>
      </c>
      <c r="M680" s="50">
        <v>20.9</v>
      </c>
      <c r="N680" s="44">
        <v>7.08</v>
      </c>
      <c r="O680" s="45">
        <f t="shared" si="388"/>
        <v>147.972</v>
      </c>
      <c r="P680" s="51"/>
      <c r="Q680" s="51"/>
      <c r="R680" s="74">
        <f t="shared" si="381"/>
        <v>83.3347079037801</v>
      </c>
      <c r="S680" s="74"/>
      <c r="T680" s="75">
        <f t="shared" si="382"/>
        <v>0.124226804123711</v>
      </c>
      <c r="U680" s="74"/>
      <c r="V680" s="75">
        <v>36</v>
      </c>
      <c r="W680" s="76">
        <f t="shared" si="378"/>
        <v>119.458934707904</v>
      </c>
      <c r="X680" s="77">
        <f t="shared" si="383"/>
        <v>1.169264604811</v>
      </c>
      <c r="Y680" s="77"/>
      <c r="Z680" s="77"/>
      <c r="AA680" s="77">
        <f t="shared" si="379"/>
        <v>1.169264604811</v>
      </c>
      <c r="AB680" s="86">
        <v>7.08</v>
      </c>
      <c r="AC680" s="74">
        <f t="shared" si="375"/>
        <v>8.27839340206186</v>
      </c>
      <c r="AD680" s="74">
        <f t="shared" si="376"/>
        <v>127.737328109966</v>
      </c>
      <c r="AE680" s="74">
        <f t="shared" si="377"/>
        <v>20.2346718900344</v>
      </c>
    </row>
    <row r="681" customFormat="1" spans="1:31">
      <c r="A681" s="18"/>
      <c r="B681" s="19"/>
      <c r="C681" s="20">
        <v>240919000025</v>
      </c>
      <c r="D681" s="21">
        <v>45558</v>
      </c>
      <c r="E681" s="21" t="s">
        <v>50</v>
      </c>
      <c r="F681" s="19" t="s">
        <v>51</v>
      </c>
      <c r="G681" s="19" t="s">
        <v>87</v>
      </c>
      <c r="H681" s="19">
        <v>3</v>
      </c>
      <c r="I681" s="55"/>
      <c r="J681" s="54">
        <v>47162.5</v>
      </c>
      <c r="K681" s="43"/>
      <c r="L681" s="49">
        <f t="shared" si="387"/>
        <v>1735.19131714496</v>
      </c>
      <c r="M681" s="50">
        <v>27.18</v>
      </c>
      <c r="N681" s="44">
        <v>7.08</v>
      </c>
      <c r="O681" s="45">
        <f t="shared" si="388"/>
        <v>192.4344</v>
      </c>
      <c r="P681" s="51"/>
      <c r="Q681" s="51"/>
      <c r="R681" s="74">
        <f t="shared" si="381"/>
        <v>125.00206185567</v>
      </c>
      <c r="S681" s="74"/>
      <c r="T681" s="75">
        <f t="shared" si="382"/>
        <v>0.186340206185567</v>
      </c>
      <c r="U681" s="74"/>
      <c r="V681" s="75">
        <v>21</v>
      </c>
      <c r="W681" s="76">
        <f t="shared" si="378"/>
        <v>146.188402061856</v>
      </c>
      <c r="X681" s="77">
        <f t="shared" si="383"/>
        <v>1.75389690721649</v>
      </c>
      <c r="Y681" s="77"/>
      <c r="Z681" s="77"/>
      <c r="AA681" s="77">
        <f t="shared" si="379"/>
        <v>1.75389690721649</v>
      </c>
      <c r="AB681" s="86">
        <v>7.08</v>
      </c>
      <c r="AC681" s="74">
        <f t="shared" si="375"/>
        <v>12.4175901030928</v>
      </c>
      <c r="AD681" s="74">
        <f t="shared" si="376"/>
        <v>158.605992164948</v>
      </c>
      <c r="AE681" s="74">
        <f t="shared" si="377"/>
        <v>33.8284078350516</v>
      </c>
    </row>
    <row r="682" customFormat="1" spans="1:31">
      <c r="A682" s="18"/>
      <c r="B682" s="19"/>
      <c r="C682" s="20">
        <v>240919000040</v>
      </c>
      <c r="D682" s="21">
        <v>45558</v>
      </c>
      <c r="E682" s="21" t="s">
        <v>50</v>
      </c>
      <c r="F682" s="19" t="s">
        <v>51</v>
      </c>
      <c r="G682" s="19" t="s">
        <v>114</v>
      </c>
      <c r="H682" s="19">
        <v>11.5</v>
      </c>
      <c r="I682" s="41">
        <v>575</v>
      </c>
      <c r="J682" s="53"/>
      <c r="K682" s="43"/>
      <c r="L682" s="19"/>
      <c r="M682" s="43"/>
      <c r="N682" s="44"/>
      <c r="O682" s="45">
        <f t="shared" ref="O682:O685" si="389">SUM(I682)</f>
        <v>575</v>
      </c>
      <c r="P682" s="51"/>
      <c r="Q682" s="51"/>
      <c r="R682" s="74">
        <f t="shared" si="381"/>
        <v>479.174570446735</v>
      </c>
      <c r="S682" s="74"/>
      <c r="T682" s="75">
        <f t="shared" si="382"/>
        <v>0.71430412371134</v>
      </c>
      <c r="U682" s="74"/>
      <c r="V682" s="74"/>
      <c r="W682" s="76">
        <f t="shared" si="378"/>
        <v>479.888874570447</v>
      </c>
      <c r="X682" s="77">
        <f t="shared" si="383"/>
        <v>6.72327147766323</v>
      </c>
      <c r="Y682" s="77"/>
      <c r="Z682" s="77"/>
      <c r="AA682" s="77">
        <f t="shared" si="379"/>
        <v>6.72327147766323</v>
      </c>
      <c r="AB682" s="86">
        <v>7.08</v>
      </c>
      <c r="AC682" s="74">
        <f t="shared" si="375"/>
        <v>47.6007620618557</v>
      </c>
      <c r="AD682" s="74">
        <f t="shared" si="376"/>
        <v>527.489636632302</v>
      </c>
      <c r="AE682" s="74">
        <f t="shared" si="377"/>
        <v>47.5103633676977</v>
      </c>
    </row>
    <row r="683" customFormat="1" spans="1:31">
      <c r="A683" s="18"/>
      <c r="B683" s="19"/>
      <c r="C683" s="20">
        <v>240920000002</v>
      </c>
      <c r="D683" s="21">
        <v>45558</v>
      </c>
      <c r="E683" s="21" t="s">
        <v>43</v>
      </c>
      <c r="F683" s="19" t="s">
        <v>452</v>
      </c>
      <c r="G683" s="19" t="s">
        <v>453</v>
      </c>
      <c r="H683" s="19">
        <v>10.5</v>
      </c>
      <c r="I683" s="45"/>
      <c r="J683" s="54">
        <v>148815.15</v>
      </c>
      <c r="K683" s="43"/>
      <c r="L683" s="49">
        <f>SUM(J683/M683)</f>
        <v>1774.77817531306</v>
      </c>
      <c r="M683" s="50">
        <v>83.85</v>
      </c>
      <c r="N683" s="44">
        <v>7.08</v>
      </c>
      <c r="O683" s="45">
        <f>SUM(M683*N683)</f>
        <v>593.658</v>
      </c>
      <c r="P683" s="51"/>
      <c r="Q683" s="51"/>
      <c r="R683" s="74">
        <f t="shared" si="381"/>
        <v>437.507216494845</v>
      </c>
      <c r="S683" s="74"/>
      <c r="T683" s="75">
        <f t="shared" si="382"/>
        <v>0.652190721649485</v>
      </c>
      <c r="U683" s="74"/>
      <c r="V683" s="74"/>
      <c r="W683" s="76">
        <f t="shared" si="378"/>
        <v>438.159407216495</v>
      </c>
      <c r="X683" s="77">
        <f t="shared" si="383"/>
        <v>6.13863917525773</v>
      </c>
      <c r="Y683" s="77"/>
      <c r="Z683" s="77"/>
      <c r="AA683" s="77">
        <f t="shared" si="379"/>
        <v>6.13863917525773</v>
      </c>
      <c r="AB683" s="86">
        <v>7.08</v>
      </c>
      <c r="AC683" s="74">
        <f t="shared" si="375"/>
        <v>43.4615653608247</v>
      </c>
      <c r="AD683" s="74">
        <f t="shared" si="376"/>
        <v>481.62097257732</v>
      </c>
      <c r="AE683" s="74">
        <f t="shared" si="377"/>
        <v>112.03702742268</v>
      </c>
    </row>
    <row r="684" customFormat="1" spans="1:31">
      <c r="A684" s="18"/>
      <c r="B684" s="19"/>
      <c r="C684" s="20">
        <v>240920000003</v>
      </c>
      <c r="D684" s="21">
        <v>45558</v>
      </c>
      <c r="E684" s="21" t="s">
        <v>43</v>
      </c>
      <c r="F684" s="19" t="s">
        <v>44</v>
      </c>
      <c r="G684" s="19" t="s">
        <v>108</v>
      </c>
      <c r="H684" s="19">
        <v>2</v>
      </c>
      <c r="I684" s="41">
        <v>123</v>
      </c>
      <c r="J684" s="53"/>
      <c r="K684" s="43"/>
      <c r="L684" s="19"/>
      <c r="M684" s="43"/>
      <c r="N684" s="44"/>
      <c r="O684" s="45">
        <f t="shared" si="389"/>
        <v>123</v>
      </c>
      <c r="P684" s="51"/>
      <c r="Q684" s="51"/>
      <c r="R684" s="74">
        <f t="shared" si="381"/>
        <v>83.3347079037801</v>
      </c>
      <c r="S684" s="74"/>
      <c r="T684" s="75">
        <f t="shared" si="382"/>
        <v>0.124226804123711</v>
      </c>
      <c r="U684" s="74"/>
      <c r="V684" s="74"/>
      <c r="W684" s="76">
        <f t="shared" si="378"/>
        <v>83.4589347079038</v>
      </c>
      <c r="X684" s="77">
        <f t="shared" si="383"/>
        <v>1.169264604811</v>
      </c>
      <c r="Y684" s="77"/>
      <c r="Z684" s="77"/>
      <c r="AA684" s="77">
        <f t="shared" si="379"/>
        <v>1.169264604811</v>
      </c>
      <c r="AB684" s="86">
        <v>7.08</v>
      </c>
      <c r="AC684" s="74">
        <f t="shared" si="375"/>
        <v>8.27839340206186</v>
      </c>
      <c r="AD684" s="74">
        <f t="shared" si="376"/>
        <v>91.7373281099656</v>
      </c>
      <c r="AE684" s="74">
        <f t="shared" si="377"/>
        <v>31.2626718900344</v>
      </c>
    </row>
    <row r="685" customFormat="1" spans="1:31">
      <c r="A685" s="18"/>
      <c r="B685" s="19"/>
      <c r="C685" s="20">
        <v>240920000009</v>
      </c>
      <c r="D685" s="21">
        <v>45558</v>
      </c>
      <c r="E685" s="21" t="s">
        <v>62</v>
      </c>
      <c r="F685" s="19" t="s">
        <v>63</v>
      </c>
      <c r="G685" s="19" t="s">
        <v>274</v>
      </c>
      <c r="H685" s="19">
        <v>42</v>
      </c>
      <c r="I685" s="41">
        <v>2142</v>
      </c>
      <c r="J685" s="53"/>
      <c r="K685" s="43"/>
      <c r="L685" s="19"/>
      <c r="M685" s="43"/>
      <c r="N685" s="44"/>
      <c r="O685" s="45">
        <f t="shared" si="389"/>
        <v>2142</v>
      </c>
      <c r="P685" s="51"/>
      <c r="Q685" s="51"/>
      <c r="R685" s="74">
        <f t="shared" si="381"/>
        <v>1750.02886597938</v>
      </c>
      <c r="S685" s="74"/>
      <c r="T685" s="75">
        <f t="shared" si="382"/>
        <v>2.60876288659794</v>
      </c>
      <c r="U685" s="74"/>
      <c r="V685" s="74"/>
      <c r="W685" s="76">
        <f t="shared" si="378"/>
        <v>1752.63762886598</v>
      </c>
      <c r="X685" s="77">
        <f t="shared" si="383"/>
        <v>24.5545567010309</v>
      </c>
      <c r="Y685" s="77"/>
      <c r="Z685" s="77"/>
      <c r="AA685" s="77">
        <f t="shared" si="379"/>
        <v>24.5545567010309</v>
      </c>
      <c r="AB685" s="86">
        <v>7.08</v>
      </c>
      <c r="AC685" s="74">
        <f t="shared" si="375"/>
        <v>173.846261443299</v>
      </c>
      <c r="AD685" s="74">
        <f t="shared" si="376"/>
        <v>1926.48389030928</v>
      </c>
      <c r="AE685" s="74">
        <f t="shared" si="377"/>
        <v>215.516109690722</v>
      </c>
    </row>
    <row r="686" customFormat="1" spans="1:31">
      <c r="A686" s="18"/>
      <c r="B686" s="19"/>
      <c r="C686" s="22">
        <v>240920000011</v>
      </c>
      <c r="D686" s="23">
        <v>45558</v>
      </c>
      <c r="E686" s="21" t="s">
        <v>50</v>
      </c>
      <c r="F686" s="24" t="s">
        <v>51</v>
      </c>
      <c r="G686" s="24" t="s">
        <v>87</v>
      </c>
      <c r="H686" s="24">
        <v>19</v>
      </c>
      <c r="I686" s="55"/>
      <c r="J686" s="54">
        <v>218662.5</v>
      </c>
      <c r="K686" s="43"/>
      <c r="L686" s="49">
        <f>SUM(J686/M686)</f>
        <v>1734.72828242761</v>
      </c>
      <c r="M686" s="50">
        <v>126.05</v>
      </c>
      <c r="N686" s="44">
        <v>7.08</v>
      </c>
      <c r="O686" s="45">
        <f>SUM(M686*N686)</f>
        <v>892.434</v>
      </c>
      <c r="P686" s="51"/>
      <c r="Q686" s="51"/>
      <c r="R686" s="74">
        <f t="shared" si="381"/>
        <v>791.679725085911</v>
      </c>
      <c r="S686" s="74"/>
      <c r="T686" s="75">
        <f t="shared" si="382"/>
        <v>1.18015463917526</v>
      </c>
      <c r="U686" s="74"/>
      <c r="V686" s="74"/>
      <c r="W686" s="76">
        <f t="shared" si="378"/>
        <v>792.859879725086</v>
      </c>
      <c r="X686" s="77">
        <f t="shared" si="383"/>
        <v>11.1080137457045</v>
      </c>
      <c r="Y686" s="77"/>
      <c r="Z686" s="77"/>
      <c r="AA686" s="77">
        <f t="shared" si="379"/>
        <v>11.1080137457045</v>
      </c>
      <c r="AB686" s="86">
        <v>7.08</v>
      </c>
      <c r="AC686" s="74">
        <f t="shared" si="375"/>
        <v>78.6447373195876</v>
      </c>
      <c r="AD686" s="74">
        <f t="shared" si="376"/>
        <v>871.504617044674</v>
      </c>
      <c r="AE686" s="74">
        <f t="shared" si="377"/>
        <v>20.9293829553263</v>
      </c>
    </row>
    <row r="687" customFormat="1" spans="1:31">
      <c r="A687" s="18"/>
      <c r="B687" s="19"/>
      <c r="C687" s="20">
        <v>240920000012</v>
      </c>
      <c r="D687" s="21">
        <v>45558</v>
      </c>
      <c r="E687" s="21" t="s">
        <v>62</v>
      </c>
      <c r="F687" s="19" t="s">
        <v>63</v>
      </c>
      <c r="G687" s="19" t="s">
        <v>214</v>
      </c>
      <c r="H687" s="19">
        <v>1</v>
      </c>
      <c r="I687" s="41">
        <v>100</v>
      </c>
      <c r="J687" s="53"/>
      <c r="K687" s="43"/>
      <c r="L687" s="19"/>
      <c r="M687" s="43"/>
      <c r="N687" s="44"/>
      <c r="O687" s="45">
        <f t="shared" ref="O687:O697" si="390">SUM(I687)</f>
        <v>100</v>
      </c>
      <c r="P687" s="51"/>
      <c r="Q687" s="51"/>
      <c r="R687" s="74">
        <f t="shared" si="381"/>
        <v>41.66735395189</v>
      </c>
      <c r="S687" s="74"/>
      <c r="T687" s="75">
        <f t="shared" si="382"/>
        <v>0.0621134020618557</v>
      </c>
      <c r="U687" s="74"/>
      <c r="V687" s="74"/>
      <c r="W687" s="76">
        <f t="shared" si="378"/>
        <v>41.7294673539519</v>
      </c>
      <c r="X687" s="77">
        <f t="shared" si="383"/>
        <v>0.584632302405498</v>
      </c>
      <c r="Y687" s="77"/>
      <c r="Z687" s="77"/>
      <c r="AA687" s="77">
        <f t="shared" si="379"/>
        <v>0.584632302405498</v>
      </c>
      <c r="AB687" s="86">
        <v>7.08</v>
      </c>
      <c r="AC687" s="74">
        <f t="shared" si="375"/>
        <v>4.13919670103093</v>
      </c>
      <c r="AD687" s="74">
        <f t="shared" si="376"/>
        <v>45.8686640549828</v>
      </c>
      <c r="AE687" s="74">
        <f t="shared" si="377"/>
        <v>54.1313359450172</v>
      </c>
    </row>
    <row r="688" customFormat="1" spans="1:31">
      <c r="A688" s="18"/>
      <c r="B688" s="19"/>
      <c r="C688" s="20">
        <v>240920000020</v>
      </c>
      <c r="D688" s="21">
        <v>45558</v>
      </c>
      <c r="E688" s="21" t="s">
        <v>50</v>
      </c>
      <c r="F688" s="19" t="s">
        <v>51</v>
      </c>
      <c r="G688" s="19" t="s">
        <v>454</v>
      </c>
      <c r="H688" s="19">
        <v>17</v>
      </c>
      <c r="I688" s="41">
        <v>990</v>
      </c>
      <c r="J688" s="53"/>
      <c r="K688" s="43"/>
      <c r="L688" s="19"/>
      <c r="M688" s="43"/>
      <c r="N688" s="44"/>
      <c r="O688" s="45">
        <f t="shared" si="390"/>
        <v>990</v>
      </c>
      <c r="P688" s="51"/>
      <c r="Q688" s="51"/>
      <c r="R688" s="74">
        <f t="shared" si="381"/>
        <v>708.345017182131</v>
      </c>
      <c r="S688" s="74"/>
      <c r="T688" s="75">
        <f t="shared" si="382"/>
        <v>1.05592783505155</v>
      </c>
      <c r="U688" s="74"/>
      <c r="V688" s="74"/>
      <c r="W688" s="76">
        <f t="shared" si="378"/>
        <v>709.400945017182</v>
      </c>
      <c r="X688" s="77">
        <f t="shared" si="383"/>
        <v>9.93874914089347</v>
      </c>
      <c r="Y688" s="77"/>
      <c r="Z688" s="77"/>
      <c r="AA688" s="77">
        <f t="shared" si="379"/>
        <v>9.93874914089347</v>
      </c>
      <c r="AB688" s="86">
        <v>7.08</v>
      </c>
      <c r="AC688" s="74">
        <f t="shared" si="375"/>
        <v>70.3663439175258</v>
      </c>
      <c r="AD688" s="74">
        <f t="shared" si="376"/>
        <v>779.767288934708</v>
      </c>
      <c r="AE688" s="74">
        <f t="shared" si="377"/>
        <v>210.232711065292</v>
      </c>
    </row>
    <row r="689" customFormat="1" spans="1:31">
      <c r="A689" s="18"/>
      <c r="B689" s="19"/>
      <c r="C689" s="20">
        <v>240920000028</v>
      </c>
      <c r="D689" s="21">
        <v>45558</v>
      </c>
      <c r="E689" s="21" t="s">
        <v>62</v>
      </c>
      <c r="F689" s="19" t="s">
        <v>63</v>
      </c>
      <c r="G689" s="19" t="s">
        <v>88</v>
      </c>
      <c r="H689" s="19">
        <v>4.5</v>
      </c>
      <c r="I689" s="41">
        <v>229.5</v>
      </c>
      <c r="J689" s="53"/>
      <c r="K689" s="43"/>
      <c r="L689" s="19"/>
      <c r="M689" s="43"/>
      <c r="N689" s="44"/>
      <c r="O689" s="45">
        <f t="shared" si="390"/>
        <v>229.5</v>
      </c>
      <c r="P689" s="51"/>
      <c r="Q689" s="51"/>
      <c r="R689" s="74">
        <f t="shared" si="381"/>
        <v>187.503092783505</v>
      </c>
      <c r="S689" s="74"/>
      <c r="T689" s="75">
        <f t="shared" si="382"/>
        <v>0.279510309278351</v>
      </c>
      <c r="U689" s="74"/>
      <c r="V689" s="74"/>
      <c r="W689" s="76">
        <f t="shared" si="378"/>
        <v>187.782603092784</v>
      </c>
      <c r="X689" s="77">
        <f t="shared" si="383"/>
        <v>2.63084536082474</v>
      </c>
      <c r="Y689" s="77"/>
      <c r="Z689" s="77"/>
      <c r="AA689" s="77">
        <f t="shared" si="379"/>
        <v>2.63084536082474</v>
      </c>
      <c r="AB689" s="86">
        <v>7.08</v>
      </c>
      <c r="AC689" s="74">
        <f t="shared" si="375"/>
        <v>18.6263851546392</v>
      </c>
      <c r="AD689" s="74">
        <f t="shared" si="376"/>
        <v>206.408988247423</v>
      </c>
      <c r="AE689" s="74">
        <f t="shared" si="377"/>
        <v>23.0910117525773</v>
      </c>
    </row>
    <row r="690" customFormat="1" spans="1:31">
      <c r="A690" s="18"/>
      <c r="B690" s="19"/>
      <c r="C690" s="20">
        <v>240920000029</v>
      </c>
      <c r="D690" s="21">
        <v>45558</v>
      </c>
      <c r="E690" s="21" t="s">
        <v>62</v>
      </c>
      <c r="F690" s="19" t="s">
        <v>63</v>
      </c>
      <c r="G690" s="19" t="s">
        <v>88</v>
      </c>
      <c r="H690" s="19">
        <v>0.62</v>
      </c>
      <c r="I690" s="41">
        <v>51</v>
      </c>
      <c r="J690" s="53"/>
      <c r="K690" s="43"/>
      <c r="L690" s="19"/>
      <c r="M690" s="43"/>
      <c r="N690" s="44"/>
      <c r="O690" s="45">
        <f t="shared" si="390"/>
        <v>51</v>
      </c>
      <c r="P690" s="51"/>
      <c r="Q690" s="51"/>
      <c r="R690" s="74">
        <f t="shared" si="381"/>
        <v>25.8337594501718</v>
      </c>
      <c r="S690" s="74"/>
      <c r="T690" s="75">
        <f t="shared" si="382"/>
        <v>0.0385103092783505</v>
      </c>
      <c r="U690" s="74"/>
      <c r="V690" s="74"/>
      <c r="W690" s="76">
        <f t="shared" si="378"/>
        <v>25.8722697594502</v>
      </c>
      <c r="X690" s="77">
        <f t="shared" si="383"/>
        <v>0.362472027491409</v>
      </c>
      <c r="Y690" s="77"/>
      <c r="Z690" s="77"/>
      <c r="AA690" s="77">
        <f t="shared" si="379"/>
        <v>0.362472027491409</v>
      </c>
      <c r="AB690" s="86">
        <v>7.08</v>
      </c>
      <c r="AC690" s="74">
        <f t="shared" si="375"/>
        <v>2.56630195463917</v>
      </c>
      <c r="AD690" s="74">
        <f t="shared" si="376"/>
        <v>28.4385717140893</v>
      </c>
      <c r="AE690" s="74">
        <f t="shared" si="377"/>
        <v>22.5614282859107</v>
      </c>
    </row>
    <row r="691" customFormat="1" spans="1:31">
      <c r="A691" s="18"/>
      <c r="B691" s="19"/>
      <c r="C691" s="20">
        <v>240920000031</v>
      </c>
      <c r="D691" s="21">
        <v>45558</v>
      </c>
      <c r="E691" s="21" t="s">
        <v>46</v>
      </c>
      <c r="F691" s="19" t="s">
        <v>47</v>
      </c>
      <c r="G691" s="19" t="s">
        <v>409</v>
      </c>
      <c r="H691" s="19">
        <v>375</v>
      </c>
      <c r="I691" s="41">
        <v>19125</v>
      </c>
      <c r="J691" s="53"/>
      <c r="K691" s="43"/>
      <c r="L691" s="19"/>
      <c r="M691" s="43"/>
      <c r="N691" s="44"/>
      <c r="O691" s="45">
        <f t="shared" si="390"/>
        <v>19125</v>
      </c>
      <c r="P691" s="51"/>
      <c r="Q691" s="51"/>
      <c r="R691" s="74">
        <f t="shared" si="381"/>
        <v>15625.2577319588</v>
      </c>
      <c r="S691" s="74"/>
      <c r="T691" s="75">
        <f t="shared" si="382"/>
        <v>23.2925257731959</v>
      </c>
      <c r="U691" s="74"/>
      <c r="V691" s="74"/>
      <c r="W691" s="76">
        <f t="shared" si="378"/>
        <v>15648.550257732</v>
      </c>
      <c r="X691" s="77">
        <f t="shared" si="383"/>
        <v>219.237113402062</v>
      </c>
      <c r="Y691" s="77"/>
      <c r="Z691" s="77"/>
      <c r="AA691" s="77">
        <f t="shared" si="379"/>
        <v>219.237113402062</v>
      </c>
      <c r="AB691" s="86">
        <v>7.08</v>
      </c>
      <c r="AC691" s="74">
        <f t="shared" si="375"/>
        <v>1552.1987628866</v>
      </c>
      <c r="AD691" s="74">
        <f t="shared" si="376"/>
        <v>17200.7490206186</v>
      </c>
      <c r="AE691" s="74">
        <f t="shared" si="377"/>
        <v>1924.25097938144</v>
      </c>
    </row>
    <row r="692" customFormat="1" spans="1:31">
      <c r="A692" s="18"/>
      <c r="B692" s="19"/>
      <c r="C692" s="20">
        <v>240920000032</v>
      </c>
      <c r="D692" s="21">
        <v>45558</v>
      </c>
      <c r="E692" s="21" t="s">
        <v>50</v>
      </c>
      <c r="F692" s="19" t="s">
        <v>51</v>
      </c>
      <c r="G692" s="19" t="s">
        <v>114</v>
      </c>
      <c r="H692" s="19">
        <v>0.7</v>
      </c>
      <c r="I692" s="41">
        <v>53</v>
      </c>
      <c r="J692" s="53"/>
      <c r="K692" s="43"/>
      <c r="L692" s="19"/>
      <c r="M692" s="43"/>
      <c r="N692" s="44"/>
      <c r="O692" s="45">
        <f t="shared" si="390"/>
        <v>53</v>
      </c>
      <c r="P692" s="51"/>
      <c r="Q692" s="51"/>
      <c r="R692" s="74">
        <f t="shared" si="381"/>
        <v>29.167147766323</v>
      </c>
      <c r="S692" s="74"/>
      <c r="T692" s="75">
        <f t="shared" si="382"/>
        <v>0.043479381443299</v>
      </c>
      <c r="U692" s="74"/>
      <c r="V692" s="74"/>
      <c r="W692" s="76">
        <f t="shared" si="378"/>
        <v>29.2106271477663</v>
      </c>
      <c r="X692" s="77">
        <f t="shared" si="383"/>
        <v>0.409242611683849</v>
      </c>
      <c r="Y692" s="77"/>
      <c r="Z692" s="77"/>
      <c r="AA692" s="77">
        <f t="shared" si="379"/>
        <v>0.409242611683849</v>
      </c>
      <c r="AB692" s="86">
        <v>7.08</v>
      </c>
      <c r="AC692" s="74">
        <f t="shared" si="375"/>
        <v>2.89743769072165</v>
      </c>
      <c r="AD692" s="74">
        <f t="shared" si="376"/>
        <v>32.108064838488</v>
      </c>
      <c r="AE692" s="74">
        <f t="shared" si="377"/>
        <v>20.891935161512</v>
      </c>
    </row>
    <row r="693" customFormat="1" spans="1:31">
      <c r="A693" s="18"/>
      <c r="B693" s="19"/>
      <c r="C693" s="20">
        <v>240920000034</v>
      </c>
      <c r="D693" s="21">
        <v>45558</v>
      </c>
      <c r="E693" s="21" t="s">
        <v>62</v>
      </c>
      <c r="F693" s="19" t="s">
        <v>63</v>
      </c>
      <c r="G693" s="19" t="s">
        <v>445</v>
      </c>
      <c r="H693" s="19">
        <v>0.89</v>
      </c>
      <c r="I693" s="41">
        <v>69</v>
      </c>
      <c r="J693" s="53"/>
      <c r="K693" s="43"/>
      <c r="L693" s="19"/>
      <c r="M693" s="43"/>
      <c r="N693" s="44"/>
      <c r="O693" s="45">
        <f t="shared" si="390"/>
        <v>69</v>
      </c>
      <c r="P693" s="51"/>
      <c r="Q693" s="51"/>
      <c r="R693" s="74">
        <f t="shared" si="381"/>
        <v>37.0839450171821</v>
      </c>
      <c r="S693" s="74"/>
      <c r="T693" s="75">
        <f t="shared" si="382"/>
        <v>0.0552809278350515</v>
      </c>
      <c r="U693" s="74"/>
      <c r="V693" s="74"/>
      <c r="W693" s="76">
        <f t="shared" ref="W693:W710" si="391">SUM(R693:V693)</f>
        <v>37.1392259450172</v>
      </c>
      <c r="X693" s="77">
        <f t="shared" si="383"/>
        <v>0.520322749140893</v>
      </c>
      <c r="Y693" s="77"/>
      <c r="Z693" s="77"/>
      <c r="AA693" s="77">
        <f t="shared" si="379"/>
        <v>0.520322749140893</v>
      </c>
      <c r="AB693" s="86">
        <v>7.08</v>
      </c>
      <c r="AC693" s="74">
        <f t="shared" si="375"/>
        <v>3.68388506391753</v>
      </c>
      <c r="AD693" s="74">
        <f t="shared" si="376"/>
        <v>40.8231110089347</v>
      </c>
      <c r="AE693" s="74">
        <f t="shared" si="377"/>
        <v>28.1768889910653</v>
      </c>
    </row>
    <row r="694" customFormat="1" spans="1:31">
      <c r="A694" s="18"/>
      <c r="B694" s="19"/>
      <c r="C694" s="20">
        <v>240920000035</v>
      </c>
      <c r="D694" s="21">
        <v>45558</v>
      </c>
      <c r="E694" s="21" t="s">
        <v>246</v>
      </c>
      <c r="F694" s="19" t="s">
        <v>247</v>
      </c>
      <c r="G694" s="19" t="s">
        <v>248</v>
      </c>
      <c r="H694" s="19">
        <v>126.5</v>
      </c>
      <c r="I694" s="41">
        <v>7218.5</v>
      </c>
      <c r="J694" s="53"/>
      <c r="K694" s="43"/>
      <c r="L694" s="19"/>
      <c r="M694" s="43"/>
      <c r="N694" s="44"/>
      <c r="O694" s="45">
        <f t="shared" si="390"/>
        <v>7218.5</v>
      </c>
      <c r="P694" s="51"/>
      <c r="Q694" s="51"/>
      <c r="R694" s="74">
        <f t="shared" si="381"/>
        <v>5270.92027491409</v>
      </c>
      <c r="S694" s="74"/>
      <c r="T694" s="75">
        <f t="shared" si="382"/>
        <v>7.85734536082474</v>
      </c>
      <c r="U694" s="74"/>
      <c r="V694" s="74"/>
      <c r="W694" s="76">
        <f t="shared" si="391"/>
        <v>5278.77762027491</v>
      </c>
      <c r="X694" s="77">
        <f t="shared" si="383"/>
        <v>73.9559862542955</v>
      </c>
      <c r="Y694" s="77"/>
      <c r="Z694" s="77"/>
      <c r="AA694" s="77">
        <f t="shared" ref="AA694:AA710" si="392">SUM(X694:Z694)</f>
        <v>73.9559862542955</v>
      </c>
      <c r="AB694" s="86">
        <v>7.08</v>
      </c>
      <c r="AC694" s="74">
        <f t="shared" ref="AC694:AC710" si="393">SUM(AA694*AB694)</f>
        <v>523.608382680412</v>
      </c>
      <c r="AD694" s="74">
        <f t="shared" si="376"/>
        <v>5802.38600295533</v>
      </c>
      <c r="AE694" s="74">
        <f t="shared" ref="AE694:AE710" si="394">SUM(O694-AD694)</f>
        <v>1416.11399704467</v>
      </c>
    </row>
    <row r="695" customFormat="1" spans="1:31">
      <c r="A695" s="18"/>
      <c r="B695" s="19"/>
      <c r="C695" s="20">
        <v>240920000044</v>
      </c>
      <c r="D695" s="21">
        <v>45558</v>
      </c>
      <c r="E695" s="21" t="s">
        <v>50</v>
      </c>
      <c r="F695" s="19" t="s">
        <v>51</v>
      </c>
      <c r="G695" s="19" t="s">
        <v>455</v>
      </c>
      <c r="H695" s="19">
        <v>27.5</v>
      </c>
      <c r="I695" s="41">
        <v>1402.5</v>
      </c>
      <c r="J695" s="53"/>
      <c r="K695" s="43"/>
      <c r="L695" s="19"/>
      <c r="M695" s="43"/>
      <c r="N695" s="44"/>
      <c r="O695" s="45">
        <f t="shared" si="390"/>
        <v>1402.5</v>
      </c>
      <c r="P695" s="52"/>
      <c r="Q695" s="52"/>
      <c r="R695" s="74">
        <f t="shared" si="381"/>
        <v>1145.85223367698</v>
      </c>
      <c r="S695" s="74"/>
      <c r="T695" s="75">
        <f t="shared" si="382"/>
        <v>1.70811855670103</v>
      </c>
      <c r="U695" s="74"/>
      <c r="V695" s="74"/>
      <c r="W695" s="76">
        <f t="shared" si="391"/>
        <v>1147.56035223368</v>
      </c>
      <c r="X695" s="77">
        <f t="shared" si="383"/>
        <v>16.0773883161512</v>
      </c>
      <c r="Y695" s="77"/>
      <c r="Z695" s="77"/>
      <c r="AA695" s="77">
        <f t="shared" si="392"/>
        <v>16.0773883161512</v>
      </c>
      <c r="AB695" s="86">
        <v>7.08</v>
      </c>
      <c r="AC695" s="74">
        <f t="shared" si="393"/>
        <v>113.827909278351</v>
      </c>
      <c r="AD695" s="74">
        <f t="shared" ref="AD695:AD710" si="395">SUM(W695+AC695)</f>
        <v>1261.38826151203</v>
      </c>
      <c r="AE695" s="74">
        <f t="shared" si="394"/>
        <v>141.111738487972</v>
      </c>
    </row>
    <row r="696" customFormat="1" spans="1:31">
      <c r="A696" s="18" t="s">
        <v>456</v>
      </c>
      <c r="B696" s="19" t="s">
        <v>457</v>
      </c>
      <c r="C696" s="20">
        <v>240919000035</v>
      </c>
      <c r="D696" s="21">
        <v>45924</v>
      </c>
      <c r="E696" s="21" t="s">
        <v>41</v>
      </c>
      <c r="F696" s="19" t="s">
        <v>41</v>
      </c>
      <c r="G696" s="19" t="s">
        <v>458</v>
      </c>
      <c r="H696" s="19">
        <v>497</v>
      </c>
      <c r="I696" s="47">
        <v>27343</v>
      </c>
      <c r="J696" s="94"/>
      <c r="K696" s="94"/>
      <c r="L696" s="94"/>
      <c r="M696" s="94"/>
      <c r="N696" s="95"/>
      <c r="O696" s="96">
        <f t="shared" si="390"/>
        <v>27343</v>
      </c>
      <c r="P696" s="97">
        <f>SUM(O696)</f>
        <v>27343</v>
      </c>
      <c r="Q696" s="97" t="s">
        <v>459</v>
      </c>
      <c r="R696" s="98"/>
      <c r="S696" s="98"/>
      <c r="T696" s="97"/>
      <c r="U696" s="98"/>
      <c r="V696" s="98"/>
      <c r="W696" s="76">
        <f t="shared" si="391"/>
        <v>0</v>
      </c>
      <c r="X696" s="99">
        <v>433.63</v>
      </c>
      <c r="Y696" s="99"/>
      <c r="Z696" s="99"/>
      <c r="AA696" s="77">
        <f t="shared" si="392"/>
        <v>433.63</v>
      </c>
      <c r="AB696" s="86">
        <v>7.08</v>
      </c>
      <c r="AC696" s="74">
        <f t="shared" si="393"/>
        <v>3070.1004</v>
      </c>
      <c r="AD696" s="74">
        <f t="shared" si="395"/>
        <v>3070.1004</v>
      </c>
      <c r="AE696" s="74">
        <f t="shared" si="394"/>
        <v>24272.8996</v>
      </c>
    </row>
    <row r="697" customFormat="1" spans="1:31">
      <c r="A697" s="18" t="s">
        <v>460</v>
      </c>
      <c r="B697" s="19" t="s">
        <v>461</v>
      </c>
      <c r="C697" s="20">
        <v>240918000026</v>
      </c>
      <c r="D697" s="21">
        <v>45559</v>
      </c>
      <c r="E697" s="21" t="s">
        <v>62</v>
      </c>
      <c r="F697" s="19" t="s">
        <v>63</v>
      </c>
      <c r="G697" s="19" t="s">
        <v>462</v>
      </c>
      <c r="H697" s="19">
        <v>4</v>
      </c>
      <c r="I697" s="41">
        <v>480</v>
      </c>
      <c r="J697" s="53"/>
      <c r="K697" s="43"/>
      <c r="L697" s="19"/>
      <c r="M697" s="43"/>
      <c r="N697" s="44"/>
      <c r="O697" s="45">
        <f t="shared" si="390"/>
        <v>480</v>
      </c>
      <c r="P697" s="46">
        <f>SUM(O697:O710)</f>
        <v>15820.6348</v>
      </c>
      <c r="Q697" s="46" t="s">
        <v>40</v>
      </c>
      <c r="R697" s="74">
        <f>SUM(7200/96)*H697</f>
        <v>300</v>
      </c>
      <c r="S697" s="74"/>
      <c r="T697" s="75">
        <f>SUM(69.98/96)*H697</f>
        <v>2.91583333333333</v>
      </c>
      <c r="U697" s="74"/>
      <c r="V697" s="74"/>
      <c r="W697" s="76">
        <f t="shared" si="391"/>
        <v>302.915833333333</v>
      </c>
      <c r="X697" s="77">
        <f>SUM(347.95/96)*H697</f>
        <v>14.4979166666667</v>
      </c>
      <c r="Y697" s="77"/>
      <c r="Z697" s="77"/>
      <c r="AA697" s="77">
        <f t="shared" si="392"/>
        <v>14.4979166666667</v>
      </c>
      <c r="AB697" s="86">
        <v>7.08</v>
      </c>
      <c r="AC697" s="74">
        <f t="shared" si="393"/>
        <v>102.64525</v>
      </c>
      <c r="AD697" s="74">
        <f t="shared" si="395"/>
        <v>405.561083333333</v>
      </c>
      <c r="AE697" s="74">
        <f t="shared" si="394"/>
        <v>74.4389166666666</v>
      </c>
    </row>
    <row r="698" customFormat="1" spans="1:31">
      <c r="A698" s="18"/>
      <c r="B698" s="19"/>
      <c r="C698" s="20">
        <v>240918000052</v>
      </c>
      <c r="D698" s="21">
        <v>45559</v>
      </c>
      <c r="E698" s="21" t="s">
        <v>463</v>
      </c>
      <c r="F698" s="19"/>
      <c r="G698" s="19" t="s">
        <v>97</v>
      </c>
      <c r="H698" s="19">
        <v>0.27</v>
      </c>
      <c r="I698" s="45"/>
      <c r="J698" s="54">
        <v>15356</v>
      </c>
      <c r="K698" s="43"/>
      <c r="L698" s="49">
        <f>SUM(J698/M698)</f>
        <v>1745</v>
      </c>
      <c r="M698" s="50">
        <v>8.8</v>
      </c>
      <c r="N698" s="44">
        <v>7.08</v>
      </c>
      <c r="O698" s="45">
        <f>SUM(M698*N698)</f>
        <v>62.304</v>
      </c>
      <c r="P698" s="51"/>
      <c r="Q698" s="51"/>
      <c r="R698" s="74">
        <f t="shared" ref="R698:R710" si="396">SUM(7200/96)*H698</f>
        <v>20.25</v>
      </c>
      <c r="S698" s="74"/>
      <c r="T698" s="75">
        <f t="shared" ref="T698:T710" si="397">SUM(69.98/96)*H698</f>
        <v>0.19681875</v>
      </c>
      <c r="U698" s="74"/>
      <c r="V698" s="74"/>
      <c r="W698" s="76">
        <f t="shared" si="391"/>
        <v>20.44681875</v>
      </c>
      <c r="X698" s="77">
        <f t="shared" ref="X698:X710" si="398">SUM(347.95/96)*H698</f>
        <v>0.978609375</v>
      </c>
      <c r="Y698" s="77"/>
      <c r="Z698" s="77"/>
      <c r="AA698" s="77">
        <f t="shared" si="392"/>
        <v>0.978609375</v>
      </c>
      <c r="AB698" s="86">
        <v>7.08</v>
      </c>
      <c r="AC698" s="74">
        <f t="shared" si="393"/>
        <v>6.928554375</v>
      </c>
      <c r="AD698" s="74">
        <f t="shared" si="395"/>
        <v>27.375373125</v>
      </c>
      <c r="AE698" s="74">
        <f t="shared" si="394"/>
        <v>34.928626875</v>
      </c>
    </row>
    <row r="699" customFormat="1" spans="1:31">
      <c r="A699" s="18"/>
      <c r="B699" s="19"/>
      <c r="C699" s="20">
        <v>240919000015</v>
      </c>
      <c r="D699" s="21">
        <v>45559</v>
      </c>
      <c r="E699" s="21" t="s">
        <v>50</v>
      </c>
      <c r="F699" s="19" t="s">
        <v>51</v>
      </c>
      <c r="G699" s="19" t="s">
        <v>65</v>
      </c>
      <c r="H699" s="19">
        <v>2</v>
      </c>
      <c r="I699" s="41">
        <v>510</v>
      </c>
      <c r="J699" s="53"/>
      <c r="K699" s="43"/>
      <c r="L699" s="19"/>
      <c r="M699" s="43"/>
      <c r="N699" s="44"/>
      <c r="O699" s="45">
        <f t="shared" ref="O699:O703" si="399">SUM(I699)</f>
        <v>510</v>
      </c>
      <c r="P699" s="51"/>
      <c r="Q699" s="51"/>
      <c r="R699" s="74">
        <f t="shared" si="396"/>
        <v>150</v>
      </c>
      <c r="S699" s="74"/>
      <c r="T699" s="75">
        <f t="shared" si="397"/>
        <v>1.45791666666667</v>
      </c>
      <c r="U699" s="74"/>
      <c r="V699" s="74"/>
      <c r="W699" s="76">
        <f t="shared" si="391"/>
        <v>151.457916666667</v>
      </c>
      <c r="X699" s="77">
        <f t="shared" si="398"/>
        <v>7.24895833333333</v>
      </c>
      <c r="Y699" s="77"/>
      <c r="Z699" s="77"/>
      <c r="AA699" s="77">
        <f t="shared" si="392"/>
        <v>7.24895833333333</v>
      </c>
      <c r="AB699" s="86">
        <v>7.08</v>
      </c>
      <c r="AC699" s="74">
        <f t="shared" si="393"/>
        <v>51.322625</v>
      </c>
      <c r="AD699" s="74">
        <f t="shared" si="395"/>
        <v>202.780541666667</v>
      </c>
      <c r="AE699" s="74">
        <f t="shared" si="394"/>
        <v>307.219458333333</v>
      </c>
    </row>
    <row r="700" customFormat="1" spans="1:31">
      <c r="A700" s="18"/>
      <c r="B700" s="19"/>
      <c r="C700" s="20">
        <v>240919000030</v>
      </c>
      <c r="D700" s="21">
        <v>45559</v>
      </c>
      <c r="E700" s="21" t="s">
        <v>50</v>
      </c>
      <c r="F700" s="19" t="s">
        <v>51</v>
      </c>
      <c r="G700" s="19" t="s">
        <v>203</v>
      </c>
      <c r="H700" s="19">
        <v>7</v>
      </c>
      <c r="I700" s="41">
        <v>805</v>
      </c>
      <c r="J700" s="53"/>
      <c r="K700" s="43"/>
      <c r="L700" s="19"/>
      <c r="M700" s="43"/>
      <c r="N700" s="44"/>
      <c r="O700" s="45">
        <f t="shared" si="399"/>
        <v>805</v>
      </c>
      <c r="P700" s="51"/>
      <c r="Q700" s="51"/>
      <c r="R700" s="74">
        <f t="shared" si="396"/>
        <v>525</v>
      </c>
      <c r="S700" s="74"/>
      <c r="T700" s="75">
        <f t="shared" si="397"/>
        <v>5.10270833333333</v>
      </c>
      <c r="U700" s="74"/>
      <c r="V700" s="74"/>
      <c r="W700" s="76">
        <f t="shared" si="391"/>
        <v>530.102708333333</v>
      </c>
      <c r="X700" s="77">
        <f t="shared" si="398"/>
        <v>25.3713541666667</v>
      </c>
      <c r="Y700" s="77"/>
      <c r="Z700" s="77"/>
      <c r="AA700" s="77">
        <f t="shared" si="392"/>
        <v>25.3713541666667</v>
      </c>
      <c r="AB700" s="86">
        <v>7.08</v>
      </c>
      <c r="AC700" s="74">
        <f t="shared" si="393"/>
        <v>179.6291875</v>
      </c>
      <c r="AD700" s="74">
        <f t="shared" si="395"/>
        <v>709.731895833333</v>
      </c>
      <c r="AE700" s="74">
        <f t="shared" si="394"/>
        <v>95.2681041666667</v>
      </c>
    </row>
    <row r="701" customFormat="1" spans="1:31">
      <c r="A701" s="18"/>
      <c r="B701" s="19"/>
      <c r="C701" s="20">
        <v>240920000038</v>
      </c>
      <c r="D701" s="21">
        <v>45559</v>
      </c>
      <c r="E701" s="21" t="s">
        <v>41</v>
      </c>
      <c r="F701" s="19" t="s">
        <v>41</v>
      </c>
      <c r="G701" s="19" t="s">
        <v>439</v>
      </c>
      <c r="H701" s="19">
        <v>33</v>
      </c>
      <c r="I701" s="41">
        <v>3960</v>
      </c>
      <c r="J701" s="53"/>
      <c r="K701" s="43"/>
      <c r="L701" s="19"/>
      <c r="M701" s="43"/>
      <c r="N701" s="44"/>
      <c r="O701" s="45">
        <f t="shared" si="399"/>
        <v>3960</v>
      </c>
      <c r="P701" s="51"/>
      <c r="Q701" s="51"/>
      <c r="R701" s="74">
        <f t="shared" si="396"/>
        <v>2475</v>
      </c>
      <c r="S701" s="74"/>
      <c r="T701" s="75">
        <f t="shared" si="397"/>
        <v>24.055625</v>
      </c>
      <c r="U701" s="74"/>
      <c r="V701" s="74"/>
      <c r="W701" s="76">
        <f t="shared" si="391"/>
        <v>2499.055625</v>
      </c>
      <c r="X701" s="77">
        <f t="shared" si="398"/>
        <v>119.6078125</v>
      </c>
      <c r="Y701" s="77"/>
      <c r="Z701" s="77"/>
      <c r="AA701" s="77">
        <f t="shared" si="392"/>
        <v>119.6078125</v>
      </c>
      <c r="AB701" s="86">
        <v>7.08</v>
      </c>
      <c r="AC701" s="74">
        <f t="shared" si="393"/>
        <v>846.8233125</v>
      </c>
      <c r="AD701" s="74">
        <f t="shared" si="395"/>
        <v>3345.8789375</v>
      </c>
      <c r="AE701" s="74">
        <f t="shared" si="394"/>
        <v>614.1210625</v>
      </c>
    </row>
    <row r="702" customFormat="1" spans="1:31">
      <c r="A702" s="18"/>
      <c r="B702" s="19"/>
      <c r="C702" s="20">
        <v>240920000047</v>
      </c>
      <c r="D702" s="21">
        <v>45559</v>
      </c>
      <c r="E702" s="21" t="s">
        <v>43</v>
      </c>
      <c r="F702" s="19" t="s">
        <v>44</v>
      </c>
      <c r="G702" s="19" t="s">
        <v>108</v>
      </c>
      <c r="H702" s="19">
        <v>2.5</v>
      </c>
      <c r="I702" s="41">
        <v>422</v>
      </c>
      <c r="J702" s="53"/>
      <c r="K702" s="43"/>
      <c r="L702" s="19"/>
      <c r="M702" s="43"/>
      <c r="N702" s="44"/>
      <c r="O702" s="45">
        <f t="shared" si="399"/>
        <v>422</v>
      </c>
      <c r="P702" s="51"/>
      <c r="Q702" s="51"/>
      <c r="R702" s="74">
        <f t="shared" si="396"/>
        <v>187.5</v>
      </c>
      <c r="S702" s="74"/>
      <c r="T702" s="75">
        <f t="shared" si="397"/>
        <v>1.82239583333333</v>
      </c>
      <c r="U702" s="74"/>
      <c r="V702" s="74"/>
      <c r="W702" s="76">
        <f t="shared" si="391"/>
        <v>189.322395833333</v>
      </c>
      <c r="X702" s="77">
        <f t="shared" si="398"/>
        <v>9.06119791666667</v>
      </c>
      <c r="Y702" s="77"/>
      <c r="Z702" s="77"/>
      <c r="AA702" s="77">
        <f t="shared" si="392"/>
        <v>9.06119791666667</v>
      </c>
      <c r="AB702" s="86">
        <v>7.08</v>
      </c>
      <c r="AC702" s="74">
        <f t="shared" si="393"/>
        <v>64.15328125</v>
      </c>
      <c r="AD702" s="74">
        <f t="shared" si="395"/>
        <v>253.475677083333</v>
      </c>
      <c r="AE702" s="74">
        <f t="shared" si="394"/>
        <v>168.524322916667</v>
      </c>
    </row>
    <row r="703" customFormat="1" spans="1:31">
      <c r="A703" s="18"/>
      <c r="B703" s="19"/>
      <c r="C703" s="20">
        <v>240921000003</v>
      </c>
      <c r="D703" s="21">
        <v>45559</v>
      </c>
      <c r="E703" s="21" t="s">
        <v>41</v>
      </c>
      <c r="F703" s="19" t="s">
        <v>41</v>
      </c>
      <c r="G703" s="19" t="s">
        <v>282</v>
      </c>
      <c r="H703" s="19">
        <v>2</v>
      </c>
      <c r="I703" s="47">
        <v>320</v>
      </c>
      <c r="J703" s="53"/>
      <c r="K703" s="43"/>
      <c r="L703" s="19"/>
      <c r="M703" s="43"/>
      <c r="N703" s="44"/>
      <c r="O703" s="45">
        <f t="shared" si="399"/>
        <v>320</v>
      </c>
      <c r="P703" s="51"/>
      <c r="Q703" s="51"/>
      <c r="R703" s="74">
        <f t="shared" si="396"/>
        <v>150</v>
      </c>
      <c r="S703" s="74"/>
      <c r="T703" s="75">
        <f t="shared" si="397"/>
        <v>1.45791666666667</v>
      </c>
      <c r="U703" s="74"/>
      <c r="V703" s="74"/>
      <c r="W703" s="76">
        <f t="shared" si="391"/>
        <v>151.457916666667</v>
      </c>
      <c r="X703" s="77">
        <f t="shared" si="398"/>
        <v>7.24895833333333</v>
      </c>
      <c r="Y703" s="77"/>
      <c r="Z703" s="77"/>
      <c r="AA703" s="77">
        <f t="shared" si="392"/>
        <v>7.24895833333333</v>
      </c>
      <c r="AB703" s="86">
        <v>7.08</v>
      </c>
      <c r="AC703" s="74">
        <f t="shared" si="393"/>
        <v>51.322625</v>
      </c>
      <c r="AD703" s="74">
        <f t="shared" si="395"/>
        <v>202.780541666667</v>
      </c>
      <c r="AE703" s="74">
        <f t="shared" si="394"/>
        <v>117.219458333333</v>
      </c>
    </row>
    <row r="704" customFormat="1" spans="1:31">
      <c r="A704" s="18"/>
      <c r="B704" s="19"/>
      <c r="C704" s="20">
        <v>240921000021</v>
      </c>
      <c r="D704" s="21">
        <v>45559</v>
      </c>
      <c r="E704" s="21" t="s">
        <v>96</v>
      </c>
      <c r="F704" s="19" t="s">
        <v>129</v>
      </c>
      <c r="G704" s="19" t="s">
        <v>464</v>
      </c>
      <c r="H704" s="19">
        <v>0.56</v>
      </c>
      <c r="I704" s="45"/>
      <c r="J704" s="54">
        <v>29806</v>
      </c>
      <c r="K704" s="43"/>
      <c r="L704" s="49">
        <f>SUM(J704/M704)</f>
        <v>1738.9731621937</v>
      </c>
      <c r="M704" s="50">
        <v>17.14</v>
      </c>
      <c r="N704" s="44">
        <v>7.08</v>
      </c>
      <c r="O704" s="45">
        <f>SUM(M704*N704)</f>
        <v>121.3512</v>
      </c>
      <c r="P704" s="51"/>
      <c r="Q704" s="51"/>
      <c r="R704" s="74">
        <f t="shared" si="396"/>
        <v>42</v>
      </c>
      <c r="S704" s="74"/>
      <c r="T704" s="75">
        <f t="shared" si="397"/>
        <v>0.408216666666667</v>
      </c>
      <c r="U704" s="74"/>
      <c r="V704" s="74"/>
      <c r="W704" s="76">
        <f t="shared" si="391"/>
        <v>42.4082166666667</v>
      </c>
      <c r="X704" s="77">
        <f t="shared" si="398"/>
        <v>2.02970833333333</v>
      </c>
      <c r="Y704" s="77"/>
      <c r="Z704" s="77"/>
      <c r="AA704" s="77">
        <f t="shared" si="392"/>
        <v>2.02970833333333</v>
      </c>
      <c r="AB704" s="86">
        <v>7.08</v>
      </c>
      <c r="AC704" s="74">
        <f t="shared" si="393"/>
        <v>14.370335</v>
      </c>
      <c r="AD704" s="74">
        <f t="shared" si="395"/>
        <v>56.7785516666667</v>
      </c>
      <c r="AE704" s="74">
        <f t="shared" si="394"/>
        <v>64.5726483333333</v>
      </c>
    </row>
    <row r="705" customFormat="1" spans="1:31">
      <c r="A705" s="18"/>
      <c r="B705" s="19"/>
      <c r="C705" s="20">
        <v>240922000001</v>
      </c>
      <c r="D705" s="21">
        <v>45559</v>
      </c>
      <c r="E705" s="21" t="s">
        <v>41</v>
      </c>
      <c r="F705" s="19" t="s">
        <v>41</v>
      </c>
      <c r="G705" s="19" t="s">
        <v>465</v>
      </c>
      <c r="H705" s="19">
        <v>2.5</v>
      </c>
      <c r="I705" s="47"/>
      <c r="J705" s="54">
        <v>73500</v>
      </c>
      <c r="K705" s="43"/>
      <c r="L705" s="49">
        <f>SUM(J705/M705)</f>
        <v>1734.71796082134</v>
      </c>
      <c r="M705" s="50">
        <v>42.37</v>
      </c>
      <c r="N705" s="44">
        <v>7.08</v>
      </c>
      <c r="O705" s="45">
        <f>SUM(M705*N705)</f>
        <v>299.9796</v>
      </c>
      <c r="P705" s="51"/>
      <c r="Q705" s="51"/>
      <c r="R705" s="74">
        <f t="shared" si="396"/>
        <v>187.5</v>
      </c>
      <c r="S705" s="74"/>
      <c r="T705" s="75">
        <f t="shared" si="397"/>
        <v>1.82239583333333</v>
      </c>
      <c r="U705" s="74"/>
      <c r="V705" s="74"/>
      <c r="W705" s="76">
        <f t="shared" si="391"/>
        <v>189.322395833333</v>
      </c>
      <c r="X705" s="77">
        <f t="shared" si="398"/>
        <v>9.06119791666667</v>
      </c>
      <c r="Y705" s="77"/>
      <c r="Z705" s="77"/>
      <c r="AA705" s="77">
        <f t="shared" si="392"/>
        <v>9.06119791666667</v>
      </c>
      <c r="AB705" s="86">
        <v>7.08</v>
      </c>
      <c r="AC705" s="74">
        <f t="shared" si="393"/>
        <v>64.15328125</v>
      </c>
      <c r="AD705" s="74">
        <f t="shared" si="395"/>
        <v>253.475677083333</v>
      </c>
      <c r="AE705" s="74">
        <f t="shared" si="394"/>
        <v>46.5039229166667</v>
      </c>
    </row>
    <row r="706" customFormat="1" spans="1:31">
      <c r="A706" s="18"/>
      <c r="B706" s="19"/>
      <c r="C706" s="20">
        <v>240922000002</v>
      </c>
      <c r="D706" s="21">
        <v>45559</v>
      </c>
      <c r="E706" s="21" t="s">
        <v>41</v>
      </c>
      <c r="F706" s="19" t="s">
        <v>41</v>
      </c>
      <c r="G706" s="19" t="s">
        <v>466</v>
      </c>
      <c r="H706" s="19">
        <v>6</v>
      </c>
      <c r="I706" s="41">
        <v>690</v>
      </c>
      <c r="J706" s="53"/>
      <c r="K706" s="43"/>
      <c r="L706" s="19"/>
      <c r="M706" s="43"/>
      <c r="N706" s="44"/>
      <c r="O706" s="45">
        <f t="shared" ref="O706:O713" si="400">SUM(I706)</f>
        <v>690</v>
      </c>
      <c r="P706" s="51"/>
      <c r="Q706" s="51"/>
      <c r="R706" s="74">
        <f t="shared" si="396"/>
        <v>450</v>
      </c>
      <c r="S706" s="74"/>
      <c r="T706" s="75">
        <f t="shared" si="397"/>
        <v>4.37375</v>
      </c>
      <c r="U706" s="74"/>
      <c r="V706" s="74"/>
      <c r="W706" s="76">
        <f t="shared" si="391"/>
        <v>454.37375</v>
      </c>
      <c r="X706" s="77">
        <f t="shared" si="398"/>
        <v>21.746875</v>
      </c>
      <c r="Y706" s="77"/>
      <c r="Z706" s="77"/>
      <c r="AA706" s="77">
        <f t="shared" si="392"/>
        <v>21.746875</v>
      </c>
      <c r="AB706" s="86">
        <v>7.08</v>
      </c>
      <c r="AC706" s="74">
        <f t="shared" si="393"/>
        <v>153.967875</v>
      </c>
      <c r="AD706" s="74">
        <f t="shared" si="395"/>
        <v>608.341625</v>
      </c>
      <c r="AE706" s="74">
        <f t="shared" si="394"/>
        <v>81.658375</v>
      </c>
    </row>
    <row r="707" customFormat="1" spans="1:31">
      <c r="A707" s="18"/>
      <c r="B707" s="19"/>
      <c r="C707" s="20">
        <v>240922000007</v>
      </c>
      <c r="D707" s="21">
        <v>45559</v>
      </c>
      <c r="E707" s="21" t="s">
        <v>46</v>
      </c>
      <c r="F707" s="19" t="s">
        <v>47</v>
      </c>
      <c r="G707" s="19" t="s">
        <v>424</v>
      </c>
      <c r="H707" s="19">
        <v>2</v>
      </c>
      <c r="I707" s="41">
        <v>230</v>
      </c>
      <c r="J707" s="53"/>
      <c r="K707" s="43"/>
      <c r="L707" s="19"/>
      <c r="M707" s="43"/>
      <c r="N707" s="44"/>
      <c r="O707" s="45">
        <f t="shared" si="400"/>
        <v>230</v>
      </c>
      <c r="P707" s="51"/>
      <c r="Q707" s="51"/>
      <c r="R707" s="74">
        <f t="shared" si="396"/>
        <v>150</v>
      </c>
      <c r="S707" s="74"/>
      <c r="T707" s="75">
        <f t="shared" si="397"/>
        <v>1.45791666666667</v>
      </c>
      <c r="U707" s="74"/>
      <c r="V707" s="74"/>
      <c r="W707" s="76">
        <f t="shared" si="391"/>
        <v>151.457916666667</v>
      </c>
      <c r="X707" s="77">
        <f t="shared" si="398"/>
        <v>7.24895833333333</v>
      </c>
      <c r="Y707" s="77"/>
      <c r="Z707" s="77"/>
      <c r="AA707" s="77">
        <f t="shared" si="392"/>
        <v>7.24895833333333</v>
      </c>
      <c r="AB707" s="86">
        <v>7.08</v>
      </c>
      <c r="AC707" s="74">
        <f t="shared" si="393"/>
        <v>51.322625</v>
      </c>
      <c r="AD707" s="74">
        <f t="shared" ref="AD707:AD738" si="401">SUM(W707+AC707)</f>
        <v>202.780541666667</v>
      </c>
      <c r="AE707" s="74">
        <f t="shared" ref="AE707:AE738" si="402">SUM(O707-AD707)</f>
        <v>27.2194583333333</v>
      </c>
    </row>
    <row r="708" customFormat="1" spans="1:31">
      <c r="A708" s="18"/>
      <c r="B708" s="19"/>
      <c r="C708" s="20">
        <v>240922000009</v>
      </c>
      <c r="D708" s="21">
        <v>45559</v>
      </c>
      <c r="E708" s="21" t="s">
        <v>46</v>
      </c>
      <c r="F708" s="19" t="s">
        <v>47</v>
      </c>
      <c r="G708" s="19" t="s">
        <v>149</v>
      </c>
      <c r="H708" s="19">
        <v>18</v>
      </c>
      <c r="I708" s="41">
        <v>2160</v>
      </c>
      <c r="J708" s="53"/>
      <c r="K708" s="43"/>
      <c r="L708" s="19"/>
      <c r="M708" s="43"/>
      <c r="N708" s="44"/>
      <c r="O708" s="45">
        <f t="shared" si="400"/>
        <v>2160</v>
      </c>
      <c r="P708" s="51"/>
      <c r="Q708" s="51"/>
      <c r="R708" s="74">
        <f t="shared" si="396"/>
        <v>1350</v>
      </c>
      <c r="S708" s="74"/>
      <c r="T708" s="75">
        <f t="shared" si="397"/>
        <v>13.12125</v>
      </c>
      <c r="U708" s="74"/>
      <c r="V708" s="74"/>
      <c r="W708" s="76">
        <f t="shared" si="391"/>
        <v>1363.12125</v>
      </c>
      <c r="X708" s="77">
        <f t="shared" si="398"/>
        <v>65.240625</v>
      </c>
      <c r="Y708" s="77"/>
      <c r="Z708" s="77"/>
      <c r="AA708" s="77">
        <f t="shared" si="392"/>
        <v>65.240625</v>
      </c>
      <c r="AB708" s="86">
        <v>7.08</v>
      </c>
      <c r="AC708" s="74">
        <f t="shared" ref="AC708:AC739" si="403">SUM(AA708*AB708)</f>
        <v>461.903625</v>
      </c>
      <c r="AD708" s="74">
        <f t="shared" si="401"/>
        <v>1825.024875</v>
      </c>
      <c r="AE708" s="74">
        <f t="shared" si="402"/>
        <v>334.975125</v>
      </c>
    </row>
    <row r="709" customFormat="1" spans="1:31">
      <c r="A709" s="18"/>
      <c r="B709" s="19"/>
      <c r="C709" s="20">
        <v>240923000028</v>
      </c>
      <c r="D709" s="21">
        <v>45559</v>
      </c>
      <c r="E709" s="21" t="s">
        <v>43</v>
      </c>
      <c r="F709" s="19" t="s">
        <v>44</v>
      </c>
      <c r="G709" s="19" t="s">
        <v>467</v>
      </c>
      <c r="H709" s="19">
        <v>3</v>
      </c>
      <c r="I709" s="41">
        <v>360</v>
      </c>
      <c r="J709" s="53"/>
      <c r="K709" s="43"/>
      <c r="L709" s="19"/>
      <c r="M709" s="43"/>
      <c r="N709" s="44"/>
      <c r="O709" s="45">
        <f t="shared" si="400"/>
        <v>360</v>
      </c>
      <c r="P709" s="51"/>
      <c r="Q709" s="51"/>
      <c r="R709" s="74">
        <f t="shared" si="396"/>
        <v>225</v>
      </c>
      <c r="S709" s="74"/>
      <c r="T709" s="75">
        <f t="shared" si="397"/>
        <v>2.186875</v>
      </c>
      <c r="U709" s="74"/>
      <c r="V709" s="74"/>
      <c r="W709" s="76">
        <f t="shared" si="391"/>
        <v>227.186875</v>
      </c>
      <c r="X709" s="77">
        <f t="shared" si="398"/>
        <v>10.8734375</v>
      </c>
      <c r="Y709" s="77"/>
      <c r="Z709" s="77"/>
      <c r="AA709" s="77">
        <f t="shared" si="392"/>
        <v>10.8734375</v>
      </c>
      <c r="AB709" s="86">
        <v>7.08</v>
      </c>
      <c r="AC709" s="74">
        <f t="shared" si="403"/>
        <v>76.9839375</v>
      </c>
      <c r="AD709" s="74">
        <f t="shared" si="401"/>
        <v>304.1708125</v>
      </c>
      <c r="AE709" s="74">
        <f t="shared" si="402"/>
        <v>55.8291875</v>
      </c>
    </row>
    <row r="710" customFormat="1" spans="1:31">
      <c r="A710" s="18"/>
      <c r="B710" s="19"/>
      <c r="C710" s="20">
        <v>240923000040</v>
      </c>
      <c r="D710" s="21">
        <v>45559</v>
      </c>
      <c r="E710" s="21" t="s">
        <v>62</v>
      </c>
      <c r="F710" s="19" t="s">
        <v>63</v>
      </c>
      <c r="G710" s="19" t="s">
        <v>468</v>
      </c>
      <c r="H710" s="19">
        <v>26</v>
      </c>
      <c r="I710" s="41">
        <v>5400</v>
      </c>
      <c r="J710" s="53"/>
      <c r="K710" s="43"/>
      <c r="L710" s="19"/>
      <c r="M710" s="43"/>
      <c r="N710" s="44"/>
      <c r="O710" s="45">
        <f t="shared" si="400"/>
        <v>5400</v>
      </c>
      <c r="P710" s="52"/>
      <c r="Q710" s="52"/>
      <c r="R710" s="74">
        <f t="shared" si="396"/>
        <v>1950</v>
      </c>
      <c r="S710" s="74"/>
      <c r="T710" s="75">
        <f t="shared" si="397"/>
        <v>18.9529166666667</v>
      </c>
      <c r="U710" s="74"/>
      <c r="V710" s="74"/>
      <c r="W710" s="76">
        <f t="shared" ref="W710:W741" si="404">SUM(R710:V710)</f>
        <v>1968.95291666667</v>
      </c>
      <c r="X710" s="77">
        <f t="shared" si="398"/>
        <v>94.2364583333333</v>
      </c>
      <c r="Y710" s="77"/>
      <c r="Z710" s="77"/>
      <c r="AA710" s="77">
        <f t="shared" ref="AA710:AA741" si="405">SUM(X710:Z710)</f>
        <v>94.2364583333333</v>
      </c>
      <c r="AB710" s="86">
        <v>7.08</v>
      </c>
      <c r="AC710" s="74">
        <f t="shared" si="403"/>
        <v>667.194125</v>
      </c>
      <c r="AD710" s="74">
        <f t="shared" si="401"/>
        <v>2636.14704166667</v>
      </c>
      <c r="AE710" s="74">
        <f t="shared" si="402"/>
        <v>2763.85295833333</v>
      </c>
    </row>
    <row r="711" customFormat="1" spans="1:31">
      <c r="A711" s="18" t="s">
        <v>469</v>
      </c>
      <c r="B711" s="19" t="s">
        <v>470</v>
      </c>
      <c r="C711" s="20">
        <v>240914000017</v>
      </c>
      <c r="D711" s="21">
        <v>45560</v>
      </c>
      <c r="E711" s="21" t="s">
        <v>50</v>
      </c>
      <c r="F711" s="19" t="s">
        <v>51</v>
      </c>
      <c r="G711" s="19" t="s">
        <v>311</v>
      </c>
      <c r="H711" s="19">
        <v>18</v>
      </c>
      <c r="I711" s="41">
        <v>1170</v>
      </c>
      <c r="J711" s="53"/>
      <c r="K711" s="43"/>
      <c r="L711" s="19"/>
      <c r="M711" s="43"/>
      <c r="N711" s="44"/>
      <c r="O711" s="45">
        <f t="shared" si="400"/>
        <v>1170</v>
      </c>
      <c r="P711" s="46">
        <f>SUM(O711:O765)</f>
        <v>85393.72066548</v>
      </c>
      <c r="Q711" s="46" t="s">
        <v>85</v>
      </c>
      <c r="R711" s="74">
        <f>SUM(62386.6/1196)*H711</f>
        <v>938.928762541806</v>
      </c>
      <c r="S711" s="74"/>
      <c r="T711" s="75">
        <f>SUM(125/1196)*H711</f>
        <v>1.88127090301003</v>
      </c>
      <c r="U711" s="74"/>
      <c r="V711" s="74"/>
      <c r="W711" s="76">
        <f t="shared" si="404"/>
        <v>940.810033444816</v>
      </c>
      <c r="X711" s="77">
        <f>SUM(976.57/1196)*H711</f>
        <v>14.6975418060201</v>
      </c>
      <c r="Y711" s="77"/>
      <c r="Z711" s="77"/>
      <c r="AA711" s="77">
        <f t="shared" si="405"/>
        <v>14.6975418060201</v>
      </c>
      <c r="AB711" s="86">
        <v>7.08</v>
      </c>
      <c r="AC711" s="74">
        <f t="shared" si="403"/>
        <v>104.058595986622</v>
      </c>
      <c r="AD711" s="74">
        <f t="shared" si="401"/>
        <v>1044.86862943144</v>
      </c>
      <c r="AE711" s="74">
        <f t="shared" si="402"/>
        <v>125.131370568562</v>
      </c>
    </row>
    <row r="712" customFormat="1" spans="1:31">
      <c r="A712" s="18"/>
      <c r="B712" s="19"/>
      <c r="C712" s="20">
        <v>240914000024</v>
      </c>
      <c r="D712" s="21">
        <v>45560</v>
      </c>
      <c r="E712" s="21" t="s">
        <v>50</v>
      </c>
      <c r="F712" s="19" t="s">
        <v>51</v>
      </c>
      <c r="G712" s="19" t="s">
        <v>429</v>
      </c>
      <c r="H712" s="19">
        <v>4</v>
      </c>
      <c r="I712" s="41">
        <v>238</v>
      </c>
      <c r="J712" s="53"/>
      <c r="K712" s="43"/>
      <c r="L712" s="19"/>
      <c r="M712" s="43"/>
      <c r="N712" s="44"/>
      <c r="O712" s="45">
        <f t="shared" si="400"/>
        <v>238</v>
      </c>
      <c r="P712" s="51"/>
      <c r="Q712" s="51"/>
      <c r="R712" s="74">
        <f t="shared" ref="R712:R743" si="406">SUM(62386.6/1196)*H712</f>
        <v>208.650836120401</v>
      </c>
      <c r="S712" s="74"/>
      <c r="T712" s="75">
        <f t="shared" ref="T712:T743" si="407">SUM(125/1196)*H712</f>
        <v>0.418060200668896</v>
      </c>
      <c r="U712" s="74"/>
      <c r="V712" s="74"/>
      <c r="W712" s="76">
        <f t="shared" si="404"/>
        <v>209.06889632107</v>
      </c>
      <c r="X712" s="77">
        <f t="shared" ref="X712:X743" si="408">SUM(976.57/1196)*H712</f>
        <v>3.26612040133779</v>
      </c>
      <c r="Y712" s="77"/>
      <c r="Z712" s="77"/>
      <c r="AA712" s="77">
        <f t="shared" si="405"/>
        <v>3.26612040133779</v>
      </c>
      <c r="AB712" s="86">
        <v>7.08</v>
      </c>
      <c r="AC712" s="74">
        <f t="shared" si="403"/>
        <v>23.1241324414716</v>
      </c>
      <c r="AD712" s="74">
        <f t="shared" si="401"/>
        <v>232.193028762542</v>
      </c>
      <c r="AE712" s="74">
        <f t="shared" si="402"/>
        <v>5.80697123745821</v>
      </c>
    </row>
    <row r="713" customFormat="1" spans="1:31">
      <c r="A713" s="18"/>
      <c r="B713" s="19"/>
      <c r="C713" s="20">
        <v>240914000033</v>
      </c>
      <c r="D713" s="21">
        <v>45560</v>
      </c>
      <c r="E713" s="21" t="s">
        <v>46</v>
      </c>
      <c r="F713" s="19" t="s">
        <v>47</v>
      </c>
      <c r="G713" s="19" t="s">
        <v>424</v>
      </c>
      <c r="H713" s="19">
        <v>25.5</v>
      </c>
      <c r="I713" s="41">
        <v>1551.5</v>
      </c>
      <c r="J713" s="53"/>
      <c r="K713" s="43"/>
      <c r="L713" s="19"/>
      <c r="M713" s="43"/>
      <c r="N713" s="44"/>
      <c r="O713" s="45">
        <f t="shared" si="400"/>
        <v>1551.5</v>
      </c>
      <c r="P713" s="51"/>
      <c r="Q713" s="51"/>
      <c r="R713" s="74">
        <f t="shared" si="406"/>
        <v>1330.14908026756</v>
      </c>
      <c r="S713" s="74"/>
      <c r="T713" s="75">
        <f t="shared" si="407"/>
        <v>2.66513377926421</v>
      </c>
      <c r="U713" s="74"/>
      <c r="V713" s="74"/>
      <c r="W713" s="76">
        <f t="shared" si="404"/>
        <v>1332.81421404682</v>
      </c>
      <c r="X713" s="77">
        <f t="shared" si="408"/>
        <v>20.8215175585284</v>
      </c>
      <c r="Y713" s="77"/>
      <c r="Z713" s="77"/>
      <c r="AA713" s="77">
        <f t="shared" si="405"/>
        <v>20.8215175585284</v>
      </c>
      <c r="AB713" s="86">
        <v>7.08</v>
      </c>
      <c r="AC713" s="74">
        <f t="shared" si="403"/>
        <v>147.416344314381</v>
      </c>
      <c r="AD713" s="74">
        <f t="shared" si="401"/>
        <v>1480.2305583612</v>
      </c>
      <c r="AE713" s="74">
        <f t="shared" si="402"/>
        <v>71.2694416387963</v>
      </c>
    </row>
    <row r="714" customFormat="1" spans="1:31">
      <c r="A714" s="18"/>
      <c r="B714" s="19"/>
      <c r="C714" s="20">
        <v>240914000048</v>
      </c>
      <c r="D714" s="21">
        <v>45560</v>
      </c>
      <c r="E714" s="21" t="s">
        <v>62</v>
      </c>
      <c r="F714" s="19" t="s">
        <v>63</v>
      </c>
      <c r="G714" s="19" t="s">
        <v>471</v>
      </c>
      <c r="H714" s="19">
        <v>11</v>
      </c>
      <c r="I714" s="47"/>
      <c r="J714" s="54">
        <v>248136</v>
      </c>
      <c r="K714" s="43"/>
      <c r="L714" s="49">
        <f>SUM(J714/M714)</f>
        <v>1734.61027612723</v>
      </c>
      <c r="M714" s="50">
        <v>143.05</v>
      </c>
      <c r="N714" s="44">
        <v>7.08</v>
      </c>
      <c r="O714" s="45">
        <f>SUM(M714*N714)</f>
        <v>1012.794</v>
      </c>
      <c r="P714" s="51"/>
      <c r="Q714" s="51"/>
      <c r="R714" s="74">
        <f t="shared" si="406"/>
        <v>573.789799331104</v>
      </c>
      <c r="S714" s="74"/>
      <c r="T714" s="75">
        <f t="shared" si="407"/>
        <v>1.14966555183946</v>
      </c>
      <c r="U714" s="74"/>
      <c r="V714" s="74"/>
      <c r="W714" s="76">
        <f t="shared" si="404"/>
        <v>574.939464882943</v>
      </c>
      <c r="X714" s="77">
        <f t="shared" si="408"/>
        <v>8.98183110367893</v>
      </c>
      <c r="Y714" s="77"/>
      <c r="Z714" s="77"/>
      <c r="AA714" s="77">
        <f t="shared" si="405"/>
        <v>8.98183110367893</v>
      </c>
      <c r="AB714" s="86">
        <v>7.08</v>
      </c>
      <c r="AC714" s="74">
        <f t="shared" si="403"/>
        <v>63.5913642140468</v>
      </c>
      <c r="AD714" s="74">
        <f t="shared" si="401"/>
        <v>638.53082909699</v>
      </c>
      <c r="AE714" s="74">
        <f t="shared" si="402"/>
        <v>374.26317090301</v>
      </c>
    </row>
    <row r="715" customFormat="1" spans="1:31">
      <c r="A715" s="18"/>
      <c r="B715" s="19"/>
      <c r="C715" s="20">
        <v>240914000054</v>
      </c>
      <c r="D715" s="21">
        <v>45560</v>
      </c>
      <c r="E715" s="21" t="s">
        <v>96</v>
      </c>
      <c r="F715" s="19" t="s">
        <v>209</v>
      </c>
      <c r="G715" s="19" t="s">
        <v>210</v>
      </c>
      <c r="H715" s="19">
        <v>8.5</v>
      </c>
      <c r="I715" s="45"/>
      <c r="J715" s="54">
        <v>130182</v>
      </c>
      <c r="K715" s="43"/>
      <c r="L715" s="49">
        <f>SUM(J715/M715)</f>
        <v>1739.00614480363</v>
      </c>
      <c r="M715" s="50">
        <v>74.86</v>
      </c>
      <c r="N715" s="44">
        <v>7.08</v>
      </c>
      <c r="O715" s="45">
        <f>SUM(M715*N715)</f>
        <v>530.0088</v>
      </c>
      <c r="P715" s="51"/>
      <c r="Q715" s="51"/>
      <c r="R715" s="74">
        <f t="shared" si="406"/>
        <v>443.383026755853</v>
      </c>
      <c r="S715" s="74"/>
      <c r="T715" s="75">
        <f t="shared" si="407"/>
        <v>0.888377926421405</v>
      </c>
      <c r="U715" s="74"/>
      <c r="V715" s="74"/>
      <c r="W715" s="76">
        <f t="shared" si="404"/>
        <v>444.271404682274</v>
      </c>
      <c r="X715" s="77">
        <f t="shared" si="408"/>
        <v>6.94050585284281</v>
      </c>
      <c r="Y715" s="77"/>
      <c r="Z715" s="77"/>
      <c r="AA715" s="77">
        <f t="shared" si="405"/>
        <v>6.94050585284281</v>
      </c>
      <c r="AB715" s="86">
        <v>7.08</v>
      </c>
      <c r="AC715" s="74">
        <f t="shared" si="403"/>
        <v>49.1387814381271</v>
      </c>
      <c r="AD715" s="74">
        <f t="shared" si="401"/>
        <v>493.410186120401</v>
      </c>
      <c r="AE715" s="74">
        <f t="shared" si="402"/>
        <v>36.5986138795986</v>
      </c>
    </row>
    <row r="716" customFormat="1" spans="1:31">
      <c r="A716" s="18"/>
      <c r="B716" s="19"/>
      <c r="C716" s="20">
        <v>240914000057</v>
      </c>
      <c r="D716" s="21">
        <v>45560</v>
      </c>
      <c r="E716" s="21" t="s">
        <v>46</v>
      </c>
      <c r="F716" s="19" t="s">
        <v>47</v>
      </c>
      <c r="G716" s="19" t="s">
        <v>472</v>
      </c>
      <c r="H716" s="19">
        <v>21.5</v>
      </c>
      <c r="I716" s="41">
        <v>1429</v>
      </c>
      <c r="J716" s="53"/>
      <c r="K716" s="43"/>
      <c r="L716" s="19"/>
      <c r="M716" s="43"/>
      <c r="N716" s="44"/>
      <c r="O716" s="45">
        <f t="shared" ref="O716:O722" si="409">SUM(I716)</f>
        <v>1429</v>
      </c>
      <c r="P716" s="51"/>
      <c r="Q716" s="51"/>
      <c r="R716" s="74">
        <f t="shared" si="406"/>
        <v>1121.49824414716</v>
      </c>
      <c r="S716" s="74"/>
      <c r="T716" s="75">
        <f t="shared" si="407"/>
        <v>2.24707357859532</v>
      </c>
      <c r="U716" s="74"/>
      <c r="V716" s="74"/>
      <c r="W716" s="76">
        <f t="shared" si="404"/>
        <v>1123.74531772575</v>
      </c>
      <c r="X716" s="77">
        <f t="shared" si="408"/>
        <v>17.5553971571906</v>
      </c>
      <c r="Y716" s="77"/>
      <c r="Z716" s="77"/>
      <c r="AA716" s="77">
        <f t="shared" si="405"/>
        <v>17.5553971571906</v>
      </c>
      <c r="AB716" s="86">
        <v>7.08</v>
      </c>
      <c r="AC716" s="74">
        <f t="shared" si="403"/>
        <v>124.29221187291</v>
      </c>
      <c r="AD716" s="74">
        <f t="shared" si="401"/>
        <v>1248.03752959866</v>
      </c>
      <c r="AE716" s="74">
        <f t="shared" si="402"/>
        <v>180.962470401338</v>
      </c>
    </row>
    <row r="717" customFormat="1" spans="1:31">
      <c r="A717" s="18"/>
      <c r="B717" s="19"/>
      <c r="C717" s="20">
        <v>240915000004</v>
      </c>
      <c r="D717" s="21">
        <v>45560</v>
      </c>
      <c r="E717" s="21" t="s">
        <v>62</v>
      </c>
      <c r="F717" s="19" t="s">
        <v>63</v>
      </c>
      <c r="G717" s="19" t="s">
        <v>298</v>
      </c>
      <c r="H717" s="19">
        <v>19</v>
      </c>
      <c r="I717" s="41">
        <v>1237.9</v>
      </c>
      <c r="J717" s="53"/>
      <c r="K717" s="43"/>
      <c r="L717" s="19"/>
      <c r="M717" s="43"/>
      <c r="N717" s="44"/>
      <c r="O717" s="45">
        <f t="shared" si="409"/>
        <v>1237.9</v>
      </c>
      <c r="P717" s="51"/>
      <c r="Q717" s="51"/>
      <c r="R717" s="74">
        <f t="shared" si="406"/>
        <v>991.091471571906</v>
      </c>
      <c r="S717" s="74"/>
      <c r="T717" s="75">
        <f t="shared" si="407"/>
        <v>1.98578595317726</v>
      </c>
      <c r="U717" s="74">
        <v>45</v>
      </c>
      <c r="V717" s="74"/>
      <c r="W717" s="76">
        <f t="shared" si="404"/>
        <v>1038.07725752508</v>
      </c>
      <c r="X717" s="77">
        <f t="shared" si="408"/>
        <v>15.5140719063545</v>
      </c>
      <c r="Y717" s="77"/>
      <c r="Z717" s="77"/>
      <c r="AA717" s="77">
        <f t="shared" si="405"/>
        <v>15.5140719063545</v>
      </c>
      <c r="AB717" s="86">
        <v>7.08</v>
      </c>
      <c r="AC717" s="74">
        <f t="shared" si="403"/>
        <v>109.83962909699</v>
      </c>
      <c r="AD717" s="74">
        <f t="shared" si="401"/>
        <v>1147.91688662207</v>
      </c>
      <c r="AE717" s="74">
        <f t="shared" si="402"/>
        <v>89.9831133779267</v>
      </c>
    </row>
    <row r="718" customFormat="1" spans="1:31">
      <c r="A718" s="18"/>
      <c r="B718" s="19"/>
      <c r="C718" s="20">
        <v>240915000010</v>
      </c>
      <c r="D718" s="21">
        <v>45560</v>
      </c>
      <c r="E718" s="21" t="s">
        <v>43</v>
      </c>
      <c r="F718" s="19" t="s">
        <v>44</v>
      </c>
      <c r="G718" s="19" t="s">
        <v>171</v>
      </c>
      <c r="H718" s="19">
        <v>4.5</v>
      </c>
      <c r="I718" s="41">
        <v>330</v>
      </c>
      <c r="J718" s="53"/>
      <c r="K718" s="43"/>
      <c r="L718" s="19"/>
      <c r="M718" s="43"/>
      <c r="N718" s="44"/>
      <c r="O718" s="45">
        <f t="shared" si="409"/>
        <v>330</v>
      </c>
      <c r="P718" s="51"/>
      <c r="Q718" s="51"/>
      <c r="R718" s="74">
        <f t="shared" si="406"/>
        <v>234.732190635452</v>
      </c>
      <c r="S718" s="74"/>
      <c r="T718" s="75">
        <f t="shared" si="407"/>
        <v>0.470317725752508</v>
      </c>
      <c r="U718" s="74"/>
      <c r="V718" s="74"/>
      <c r="W718" s="76">
        <f t="shared" si="404"/>
        <v>235.202508361204</v>
      </c>
      <c r="X718" s="77">
        <f t="shared" si="408"/>
        <v>3.67438545150502</v>
      </c>
      <c r="Y718" s="77"/>
      <c r="Z718" s="77"/>
      <c r="AA718" s="77">
        <f t="shared" si="405"/>
        <v>3.67438545150502</v>
      </c>
      <c r="AB718" s="86">
        <v>7.08</v>
      </c>
      <c r="AC718" s="74">
        <f t="shared" si="403"/>
        <v>26.0146489966555</v>
      </c>
      <c r="AD718" s="74">
        <f t="shared" si="401"/>
        <v>261.217157357859</v>
      </c>
      <c r="AE718" s="74">
        <f t="shared" si="402"/>
        <v>68.7828426421405</v>
      </c>
    </row>
    <row r="719" customFormat="1" spans="1:31">
      <c r="A719" s="18"/>
      <c r="B719" s="19"/>
      <c r="C719" s="20">
        <v>240915000016</v>
      </c>
      <c r="D719" s="21">
        <v>45560</v>
      </c>
      <c r="E719" s="21" t="s">
        <v>62</v>
      </c>
      <c r="F719" s="19" t="s">
        <v>63</v>
      </c>
      <c r="G719" s="19" t="s">
        <v>473</v>
      </c>
      <c r="H719" s="19">
        <v>6</v>
      </c>
      <c r="I719" s="41">
        <v>422.4</v>
      </c>
      <c r="J719" s="53"/>
      <c r="K719" s="43"/>
      <c r="L719" s="19"/>
      <c r="M719" s="43"/>
      <c r="N719" s="44"/>
      <c r="O719" s="45">
        <f t="shared" si="409"/>
        <v>422.4</v>
      </c>
      <c r="P719" s="51"/>
      <c r="Q719" s="51"/>
      <c r="R719" s="74">
        <f t="shared" si="406"/>
        <v>312.976254180602</v>
      </c>
      <c r="S719" s="74"/>
      <c r="T719" s="75">
        <f t="shared" si="407"/>
        <v>0.627090301003345</v>
      </c>
      <c r="U719" s="74"/>
      <c r="V719" s="74"/>
      <c r="W719" s="76">
        <f t="shared" si="404"/>
        <v>313.603344481605</v>
      </c>
      <c r="X719" s="77">
        <f t="shared" si="408"/>
        <v>4.89918060200669</v>
      </c>
      <c r="Y719" s="77"/>
      <c r="Z719" s="77"/>
      <c r="AA719" s="77">
        <f t="shared" si="405"/>
        <v>4.89918060200669</v>
      </c>
      <c r="AB719" s="86">
        <v>7.08</v>
      </c>
      <c r="AC719" s="74">
        <f t="shared" si="403"/>
        <v>34.6861986622074</v>
      </c>
      <c r="AD719" s="74">
        <f t="shared" si="401"/>
        <v>348.289543143813</v>
      </c>
      <c r="AE719" s="74">
        <f t="shared" si="402"/>
        <v>74.1104568561873</v>
      </c>
    </row>
    <row r="720" customFormat="1" spans="1:31">
      <c r="A720" s="18"/>
      <c r="B720" s="19"/>
      <c r="C720" s="20">
        <v>240916000005</v>
      </c>
      <c r="D720" s="21">
        <v>45560</v>
      </c>
      <c r="E720" s="21" t="s">
        <v>62</v>
      </c>
      <c r="F720" s="19" t="s">
        <v>63</v>
      </c>
      <c r="G720" s="19" t="s">
        <v>412</v>
      </c>
      <c r="H720" s="19">
        <v>0.61</v>
      </c>
      <c r="I720" s="41">
        <v>110.4</v>
      </c>
      <c r="J720" s="53"/>
      <c r="K720" s="43"/>
      <c r="L720" s="19"/>
      <c r="M720" s="43"/>
      <c r="N720" s="44"/>
      <c r="O720" s="45">
        <f t="shared" si="409"/>
        <v>110.4</v>
      </c>
      <c r="P720" s="51"/>
      <c r="Q720" s="51"/>
      <c r="R720" s="74">
        <f t="shared" si="406"/>
        <v>31.8192525083612</v>
      </c>
      <c r="S720" s="74"/>
      <c r="T720" s="75">
        <f t="shared" si="407"/>
        <v>0.0637541806020067</v>
      </c>
      <c r="U720" s="74"/>
      <c r="V720" s="74"/>
      <c r="W720" s="76">
        <f t="shared" si="404"/>
        <v>31.8830066889632</v>
      </c>
      <c r="X720" s="77">
        <f t="shared" si="408"/>
        <v>0.498083361204013</v>
      </c>
      <c r="Y720" s="77"/>
      <c r="Z720" s="77"/>
      <c r="AA720" s="77">
        <f t="shared" si="405"/>
        <v>0.498083361204013</v>
      </c>
      <c r="AB720" s="86">
        <v>7.08</v>
      </c>
      <c r="AC720" s="74">
        <f t="shared" si="403"/>
        <v>3.52643019732441</v>
      </c>
      <c r="AD720" s="74">
        <f t="shared" si="401"/>
        <v>35.4094368862876</v>
      </c>
      <c r="AE720" s="74">
        <f t="shared" si="402"/>
        <v>74.9905631137124</v>
      </c>
    </row>
    <row r="721" customFormat="1" spans="1:31">
      <c r="A721" s="18"/>
      <c r="B721" s="19"/>
      <c r="C721" s="20">
        <v>240917000008</v>
      </c>
      <c r="D721" s="21">
        <v>45560</v>
      </c>
      <c r="E721" s="21" t="s">
        <v>46</v>
      </c>
      <c r="F721" s="19" t="s">
        <v>47</v>
      </c>
      <c r="G721" s="19" t="s">
        <v>91</v>
      </c>
      <c r="H721" s="19">
        <v>2.5</v>
      </c>
      <c r="I721" s="41">
        <v>168.3</v>
      </c>
      <c r="J721" s="53"/>
      <c r="K721" s="43"/>
      <c r="L721" s="19"/>
      <c r="M721" s="43"/>
      <c r="N721" s="44"/>
      <c r="O721" s="45">
        <f t="shared" si="409"/>
        <v>168.3</v>
      </c>
      <c r="P721" s="51"/>
      <c r="Q721" s="51"/>
      <c r="R721" s="74">
        <f t="shared" si="406"/>
        <v>130.406772575251</v>
      </c>
      <c r="S721" s="74"/>
      <c r="T721" s="75">
        <f t="shared" si="407"/>
        <v>0.26128762541806</v>
      </c>
      <c r="U721" s="74"/>
      <c r="V721" s="74"/>
      <c r="W721" s="76">
        <f t="shared" si="404"/>
        <v>130.668060200669</v>
      </c>
      <c r="X721" s="77">
        <f t="shared" si="408"/>
        <v>2.04132525083612</v>
      </c>
      <c r="Y721" s="77"/>
      <c r="Z721" s="77"/>
      <c r="AA721" s="77">
        <f t="shared" si="405"/>
        <v>2.04132525083612</v>
      </c>
      <c r="AB721" s="86">
        <v>7.08</v>
      </c>
      <c r="AC721" s="74">
        <f t="shared" si="403"/>
        <v>14.4525827759197</v>
      </c>
      <c r="AD721" s="74">
        <f t="shared" si="401"/>
        <v>145.120642976589</v>
      </c>
      <c r="AE721" s="74">
        <f t="shared" si="402"/>
        <v>23.1793570234114</v>
      </c>
    </row>
    <row r="722" customFormat="1" spans="1:31">
      <c r="A722" s="18"/>
      <c r="B722" s="19"/>
      <c r="C722" s="20">
        <v>240918000001</v>
      </c>
      <c r="D722" s="21">
        <v>45560</v>
      </c>
      <c r="E722" s="21" t="s">
        <v>37</v>
      </c>
      <c r="F722" s="19" t="s">
        <v>38</v>
      </c>
      <c r="G722" s="19" t="s">
        <v>474</v>
      </c>
      <c r="H722" s="19">
        <v>32</v>
      </c>
      <c r="I722" s="41">
        <v>2040</v>
      </c>
      <c r="J722" s="53"/>
      <c r="K722" s="43"/>
      <c r="L722" s="19"/>
      <c r="M722" s="43"/>
      <c r="N722" s="44"/>
      <c r="O722" s="45">
        <f t="shared" si="409"/>
        <v>2040</v>
      </c>
      <c r="P722" s="51"/>
      <c r="Q722" s="51"/>
      <c r="R722" s="74">
        <f t="shared" si="406"/>
        <v>1669.20668896321</v>
      </c>
      <c r="S722" s="74"/>
      <c r="T722" s="75">
        <f t="shared" si="407"/>
        <v>3.34448160535117</v>
      </c>
      <c r="U722" s="74"/>
      <c r="V722" s="74"/>
      <c r="W722" s="76">
        <f t="shared" si="404"/>
        <v>1672.55117056856</v>
      </c>
      <c r="X722" s="77">
        <f t="shared" si="408"/>
        <v>26.1289632107023</v>
      </c>
      <c r="Y722" s="77"/>
      <c r="Z722" s="77"/>
      <c r="AA722" s="77">
        <f t="shared" si="405"/>
        <v>26.1289632107023</v>
      </c>
      <c r="AB722" s="86">
        <v>7.08</v>
      </c>
      <c r="AC722" s="74">
        <f t="shared" si="403"/>
        <v>184.993059531773</v>
      </c>
      <c r="AD722" s="74">
        <f t="shared" si="401"/>
        <v>1857.54423010033</v>
      </c>
      <c r="AE722" s="74">
        <f t="shared" si="402"/>
        <v>182.455769899666</v>
      </c>
    </row>
    <row r="723" customFormat="1" spans="1:31">
      <c r="A723" s="18"/>
      <c r="B723" s="19"/>
      <c r="C723" s="20">
        <v>240918000018</v>
      </c>
      <c r="D723" s="21">
        <v>45560</v>
      </c>
      <c r="E723" s="21" t="s">
        <v>37</v>
      </c>
      <c r="F723" s="19" t="s">
        <v>38</v>
      </c>
      <c r="G723" s="19" t="s">
        <v>475</v>
      </c>
      <c r="H723" s="19">
        <v>112</v>
      </c>
      <c r="I723" s="47"/>
      <c r="J723" s="54">
        <v>1596480</v>
      </c>
      <c r="K723" s="43"/>
      <c r="L723" s="49">
        <f>SUM(J723/M723)</f>
        <v>1699.21450922792</v>
      </c>
      <c r="M723" s="50">
        <v>939.54</v>
      </c>
      <c r="N723" s="44">
        <v>7.08</v>
      </c>
      <c r="O723" s="45">
        <f>SUM(M723*N723)</f>
        <v>6651.9432</v>
      </c>
      <c r="P723" s="51"/>
      <c r="Q723" s="51"/>
      <c r="R723" s="74">
        <f t="shared" si="406"/>
        <v>5842.22341137124</v>
      </c>
      <c r="S723" s="74"/>
      <c r="T723" s="75">
        <f t="shared" si="407"/>
        <v>11.7056856187291</v>
      </c>
      <c r="U723" s="74"/>
      <c r="V723" s="74"/>
      <c r="W723" s="76">
        <f t="shared" si="404"/>
        <v>5853.92909698997</v>
      </c>
      <c r="X723" s="77">
        <f t="shared" si="408"/>
        <v>91.4513712374582</v>
      </c>
      <c r="Y723" s="77"/>
      <c r="Z723" s="77"/>
      <c r="AA723" s="77">
        <f t="shared" si="405"/>
        <v>91.4513712374582</v>
      </c>
      <c r="AB723" s="86">
        <v>7.08</v>
      </c>
      <c r="AC723" s="74">
        <f t="shared" si="403"/>
        <v>647.475708361204</v>
      </c>
      <c r="AD723" s="74">
        <f t="shared" si="401"/>
        <v>6501.40480535117</v>
      </c>
      <c r="AE723" s="74">
        <f t="shared" si="402"/>
        <v>150.53839464883</v>
      </c>
    </row>
    <row r="724" customFormat="1" spans="1:31">
      <c r="A724" s="18"/>
      <c r="B724" s="19"/>
      <c r="C724" s="20">
        <v>240918000021</v>
      </c>
      <c r="D724" s="21">
        <v>45560</v>
      </c>
      <c r="E724" s="21" t="s">
        <v>62</v>
      </c>
      <c r="F724" s="19" t="s">
        <v>63</v>
      </c>
      <c r="G724" s="19" t="s">
        <v>174</v>
      </c>
      <c r="H724" s="19">
        <v>24.5</v>
      </c>
      <c r="I724" s="41">
        <v>2068</v>
      </c>
      <c r="J724" s="53"/>
      <c r="K724" s="43"/>
      <c r="L724" s="19"/>
      <c r="M724" s="43"/>
      <c r="N724" s="44"/>
      <c r="O724" s="45">
        <f t="shared" ref="O724:O728" si="410">SUM(I724)</f>
        <v>2068</v>
      </c>
      <c r="P724" s="51"/>
      <c r="Q724" s="51"/>
      <c r="R724" s="74">
        <f t="shared" si="406"/>
        <v>1277.98637123746</v>
      </c>
      <c r="S724" s="74"/>
      <c r="T724" s="75">
        <f t="shared" si="407"/>
        <v>2.56061872909699</v>
      </c>
      <c r="U724" s="74"/>
      <c r="V724" s="74"/>
      <c r="W724" s="76">
        <f t="shared" si="404"/>
        <v>1280.54698996656</v>
      </c>
      <c r="X724" s="77">
        <f t="shared" si="408"/>
        <v>20.004987458194</v>
      </c>
      <c r="Y724" s="77"/>
      <c r="Z724" s="77"/>
      <c r="AA724" s="77">
        <f t="shared" si="405"/>
        <v>20.004987458194</v>
      </c>
      <c r="AB724" s="86">
        <v>7.08</v>
      </c>
      <c r="AC724" s="74">
        <f t="shared" si="403"/>
        <v>141.635311204013</v>
      </c>
      <c r="AD724" s="74">
        <f t="shared" si="401"/>
        <v>1422.18230117057</v>
      </c>
      <c r="AE724" s="74">
        <f t="shared" si="402"/>
        <v>645.817698829431</v>
      </c>
    </row>
    <row r="725" customFormat="1" spans="1:31">
      <c r="A725" s="18"/>
      <c r="B725" s="19"/>
      <c r="C725" s="20">
        <v>240918000033</v>
      </c>
      <c r="D725" s="21">
        <v>45560</v>
      </c>
      <c r="E725" s="21" t="s">
        <v>62</v>
      </c>
      <c r="F725" s="19" t="s">
        <v>63</v>
      </c>
      <c r="G725" s="19" t="s">
        <v>476</v>
      </c>
      <c r="H725" s="19">
        <v>11</v>
      </c>
      <c r="I725" s="41">
        <v>726.3</v>
      </c>
      <c r="J725" s="53"/>
      <c r="K725" s="43"/>
      <c r="L725" s="19"/>
      <c r="M725" s="43"/>
      <c r="N725" s="44"/>
      <c r="O725" s="45">
        <f t="shared" si="410"/>
        <v>726.3</v>
      </c>
      <c r="P725" s="51"/>
      <c r="Q725" s="51"/>
      <c r="R725" s="74">
        <f t="shared" si="406"/>
        <v>573.789799331104</v>
      </c>
      <c r="S725" s="74"/>
      <c r="T725" s="75">
        <f t="shared" si="407"/>
        <v>1.14966555183946</v>
      </c>
      <c r="U725" s="74">
        <v>30</v>
      </c>
      <c r="V725" s="74"/>
      <c r="W725" s="76">
        <f t="shared" si="404"/>
        <v>604.939464882943</v>
      </c>
      <c r="X725" s="77">
        <f t="shared" si="408"/>
        <v>8.98183110367893</v>
      </c>
      <c r="Y725" s="77"/>
      <c r="Z725" s="77"/>
      <c r="AA725" s="77">
        <f t="shared" si="405"/>
        <v>8.98183110367893</v>
      </c>
      <c r="AB725" s="86">
        <v>7.08</v>
      </c>
      <c r="AC725" s="74">
        <f t="shared" si="403"/>
        <v>63.5913642140468</v>
      </c>
      <c r="AD725" s="74">
        <f t="shared" si="401"/>
        <v>668.53082909699</v>
      </c>
      <c r="AE725" s="74">
        <f t="shared" si="402"/>
        <v>57.76917090301</v>
      </c>
    </row>
    <row r="726" customFormat="1" spans="1:31">
      <c r="A726" s="18"/>
      <c r="B726" s="19"/>
      <c r="C726" s="20">
        <v>240918000034</v>
      </c>
      <c r="D726" s="21">
        <v>45560</v>
      </c>
      <c r="E726" s="21" t="s">
        <v>43</v>
      </c>
      <c r="F726" s="19" t="s">
        <v>44</v>
      </c>
      <c r="G726" s="19" t="s">
        <v>56</v>
      </c>
      <c r="H726" s="19">
        <v>12.5</v>
      </c>
      <c r="I726" s="41">
        <v>850</v>
      </c>
      <c r="J726" s="53"/>
      <c r="K726" s="43"/>
      <c r="L726" s="19"/>
      <c r="M726" s="43"/>
      <c r="N726" s="44"/>
      <c r="O726" s="45">
        <f t="shared" si="410"/>
        <v>850</v>
      </c>
      <c r="P726" s="51"/>
      <c r="Q726" s="51"/>
      <c r="R726" s="74">
        <f t="shared" si="406"/>
        <v>652.033862876254</v>
      </c>
      <c r="S726" s="74"/>
      <c r="T726" s="75">
        <f t="shared" si="407"/>
        <v>1.3064381270903</v>
      </c>
      <c r="U726" s="74">
        <v>60</v>
      </c>
      <c r="V726" s="74"/>
      <c r="W726" s="76">
        <f t="shared" si="404"/>
        <v>713.340301003344</v>
      </c>
      <c r="X726" s="77">
        <f t="shared" si="408"/>
        <v>10.2066262541806</v>
      </c>
      <c r="Y726" s="77"/>
      <c r="Z726" s="77"/>
      <c r="AA726" s="77">
        <f t="shared" si="405"/>
        <v>10.2066262541806</v>
      </c>
      <c r="AB726" s="86">
        <v>7.08</v>
      </c>
      <c r="AC726" s="74">
        <f t="shared" si="403"/>
        <v>72.2629138795987</v>
      </c>
      <c r="AD726" s="74">
        <f t="shared" si="401"/>
        <v>785.603214882943</v>
      </c>
      <c r="AE726" s="74">
        <f t="shared" si="402"/>
        <v>64.396785117057</v>
      </c>
    </row>
    <row r="727" customFormat="1" spans="1:31">
      <c r="A727" s="18"/>
      <c r="B727" s="19"/>
      <c r="C727" s="20">
        <v>240918000036</v>
      </c>
      <c r="D727" s="21">
        <v>45560</v>
      </c>
      <c r="E727" s="21" t="s">
        <v>43</v>
      </c>
      <c r="F727" s="19" t="s">
        <v>44</v>
      </c>
      <c r="G727" s="19" t="s">
        <v>56</v>
      </c>
      <c r="H727" s="19">
        <v>4</v>
      </c>
      <c r="I727" s="41">
        <v>267</v>
      </c>
      <c r="J727" s="53"/>
      <c r="K727" s="43"/>
      <c r="L727" s="19"/>
      <c r="M727" s="43"/>
      <c r="N727" s="44"/>
      <c r="O727" s="45">
        <f t="shared" si="410"/>
        <v>267</v>
      </c>
      <c r="P727" s="51"/>
      <c r="Q727" s="51"/>
      <c r="R727" s="74">
        <f t="shared" si="406"/>
        <v>208.650836120401</v>
      </c>
      <c r="S727" s="74"/>
      <c r="T727" s="75">
        <f t="shared" si="407"/>
        <v>0.418060200668896</v>
      </c>
      <c r="U727" s="74"/>
      <c r="V727" s="74"/>
      <c r="W727" s="76">
        <f t="shared" si="404"/>
        <v>209.06889632107</v>
      </c>
      <c r="X727" s="77">
        <f t="shared" si="408"/>
        <v>3.26612040133779</v>
      </c>
      <c r="Y727" s="77"/>
      <c r="Z727" s="77"/>
      <c r="AA727" s="77">
        <f t="shared" si="405"/>
        <v>3.26612040133779</v>
      </c>
      <c r="AB727" s="86">
        <v>7.08</v>
      </c>
      <c r="AC727" s="74">
        <f t="shared" si="403"/>
        <v>23.1241324414716</v>
      </c>
      <c r="AD727" s="74">
        <f t="shared" si="401"/>
        <v>232.193028762542</v>
      </c>
      <c r="AE727" s="74">
        <f t="shared" si="402"/>
        <v>34.8069712374582</v>
      </c>
    </row>
    <row r="728" customFormat="1" spans="1:31">
      <c r="A728" s="18"/>
      <c r="B728" s="19"/>
      <c r="C728" s="20">
        <v>240918000042</v>
      </c>
      <c r="D728" s="21">
        <v>45560</v>
      </c>
      <c r="E728" s="21" t="s">
        <v>50</v>
      </c>
      <c r="F728" s="19" t="s">
        <v>51</v>
      </c>
      <c r="G728" s="19" t="s">
        <v>141</v>
      </c>
      <c r="H728" s="19">
        <v>13.5</v>
      </c>
      <c r="I728" s="41">
        <v>823.5</v>
      </c>
      <c r="J728" s="53"/>
      <c r="K728" s="43"/>
      <c r="L728" s="19"/>
      <c r="M728" s="43"/>
      <c r="N728" s="44"/>
      <c r="O728" s="45">
        <f t="shared" si="410"/>
        <v>823.5</v>
      </c>
      <c r="P728" s="51"/>
      <c r="Q728" s="51"/>
      <c r="R728" s="74">
        <f t="shared" si="406"/>
        <v>704.196571906355</v>
      </c>
      <c r="S728" s="74"/>
      <c r="T728" s="75">
        <f t="shared" si="407"/>
        <v>1.41095317725753</v>
      </c>
      <c r="U728" s="74"/>
      <c r="V728" s="74"/>
      <c r="W728" s="76">
        <f t="shared" si="404"/>
        <v>705.607525083612</v>
      </c>
      <c r="X728" s="77">
        <f t="shared" si="408"/>
        <v>11.0231563545151</v>
      </c>
      <c r="Y728" s="77"/>
      <c r="Z728" s="77"/>
      <c r="AA728" s="77">
        <f t="shared" si="405"/>
        <v>11.0231563545151</v>
      </c>
      <c r="AB728" s="86">
        <v>7.08</v>
      </c>
      <c r="AC728" s="74">
        <f t="shared" si="403"/>
        <v>78.0439469899666</v>
      </c>
      <c r="AD728" s="74">
        <f t="shared" si="401"/>
        <v>783.651472073579</v>
      </c>
      <c r="AE728" s="74">
        <f t="shared" si="402"/>
        <v>39.8485279264214</v>
      </c>
    </row>
    <row r="729" customFormat="1" spans="1:31">
      <c r="A729" s="18"/>
      <c r="B729" s="19"/>
      <c r="C729" s="20">
        <v>240918000043</v>
      </c>
      <c r="D729" s="21">
        <v>45560</v>
      </c>
      <c r="E729" s="21" t="s">
        <v>43</v>
      </c>
      <c r="F729" s="19" t="s">
        <v>44</v>
      </c>
      <c r="G729" s="19" t="s">
        <v>477</v>
      </c>
      <c r="H729" s="19">
        <v>0.92</v>
      </c>
      <c r="I729" s="45"/>
      <c r="J729" s="54">
        <v>24346</v>
      </c>
      <c r="K729" s="43"/>
      <c r="L729" s="49">
        <f>SUM(J729/M729)</f>
        <v>1739</v>
      </c>
      <c r="M729" s="50">
        <v>14</v>
      </c>
      <c r="N729" s="44">
        <v>7.08</v>
      </c>
      <c r="O729" s="45">
        <f>SUM(M729*N729)</f>
        <v>99.12</v>
      </c>
      <c r="P729" s="51"/>
      <c r="Q729" s="51"/>
      <c r="R729" s="74">
        <f t="shared" si="406"/>
        <v>47.9896923076923</v>
      </c>
      <c r="S729" s="74"/>
      <c r="T729" s="75">
        <f t="shared" si="407"/>
        <v>0.0961538461538462</v>
      </c>
      <c r="U729" s="74"/>
      <c r="V729" s="74"/>
      <c r="W729" s="76">
        <f t="shared" si="404"/>
        <v>48.0858461538462</v>
      </c>
      <c r="X729" s="77">
        <f t="shared" si="408"/>
        <v>0.751207692307692</v>
      </c>
      <c r="Y729" s="77"/>
      <c r="Z729" s="77"/>
      <c r="AA729" s="77">
        <f t="shared" si="405"/>
        <v>0.751207692307692</v>
      </c>
      <c r="AB729" s="86">
        <v>7.08</v>
      </c>
      <c r="AC729" s="74">
        <f t="shared" si="403"/>
        <v>5.31855046153846</v>
      </c>
      <c r="AD729" s="74">
        <f t="shared" si="401"/>
        <v>53.4043966153846</v>
      </c>
      <c r="AE729" s="74">
        <f t="shared" si="402"/>
        <v>45.7156033846154</v>
      </c>
    </row>
    <row r="730" customFormat="1" spans="1:31">
      <c r="A730" s="18"/>
      <c r="B730" s="19"/>
      <c r="C730" s="20">
        <v>240918000044</v>
      </c>
      <c r="D730" s="21">
        <v>45560</v>
      </c>
      <c r="E730" s="21" t="s">
        <v>46</v>
      </c>
      <c r="F730" s="19" t="s">
        <v>47</v>
      </c>
      <c r="G730" s="19" t="s">
        <v>296</v>
      </c>
      <c r="H730" s="19">
        <v>20</v>
      </c>
      <c r="I730" s="45"/>
      <c r="J730" s="54">
        <v>303361.52</v>
      </c>
      <c r="K730" s="43"/>
      <c r="L730" s="49">
        <f>SUM(J730/M730)</f>
        <v>1694.0000945946</v>
      </c>
      <c r="M730" s="50">
        <v>179.07999</v>
      </c>
      <c r="N730" s="44">
        <v>7.08</v>
      </c>
      <c r="O730" s="45">
        <f>SUM(M730*N730)</f>
        <v>1267.8863292</v>
      </c>
      <c r="P730" s="51"/>
      <c r="Q730" s="51"/>
      <c r="R730" s="74">
        <f t="shared" si="406"/>
        <v>1043.25418060201</v>
      </c>
      <c r="S730" s="74"/>
      <c r="T730" s="75">
        <f t="shared" si="407"/>
        <v>2.09030100334448</v>
      </c>
      <c r="U730" s="74">
        <v>30</v>
      </c>
      <c r="V730" s="74"/>
      <c r="W730" s="76">
        <f t="shared" si="404"/>
        <v>1075.34448160535</v>
      </c>
      <c r="X730" s="77">
        <f t="shared" si="408"/>
        <v>16.330602006689</v>
      </c>
      <c r="Y730" s="77"/>
      <c r="Z730" s="77"/>
      <c r="AA730" s="77">
        <f t="shared" si="405"/>
        <v>16.330602006689</v>
      </c>
      <c r="AB730" s="86">
        <v>7.08</v>
      </c>
      <c r="AC730" s="74">
        <f t="shared" si="403"/>
        <v>115.620662207358</v>
      </c>
      <c r="AD730" s="74">
        <f t="shared" si="401"/>
        <v>1190.96514381271</v>
      </c>
      <c r="AE730" s="74">
        <f t="shared" si="402"/>
        <v>76.9211853872912</v>
      </c>
    </row>
    <row r="731" customFormat="1" spans="1:31">
      <c r="A731" s="18"/>
      <c r="B731" s="19"/>
      <c r="C731" s="20">
        <v>240919000004</v>
      </c>
      <c r="D731" s="21">
        <v>45560</v>
      </c>
      <c r="E731" s="21" t="s">
        <v>62</v>
      </c>
      <c r="F731" s="19" t="s">
        <v>63</v>
      </c>
      <c r="G731" s="19" t="s">
        <v>478</v>
      </c>
      <c r="H731" s="19">
        <v>10</v>
      </c>
      <c r="I731" s="92">
        <v>646</v>
      </c>
      <c r="J731" s="53"/>
      <c r="K731" s="43"/>
      <c r="L731" s="19"/>
      <c r="M731" s="43"/>
      <c r="N731" s="44"/>
      <c r="O731" s="45">
        <f>SUBTOTAL(9,I731)</f>
        <v>646</v>
      </c>
      <c r="P731" s="51"/>
      <c r="Q731" s="51"/>
      <c r="R731" s="74">
        <f t="shared" si="406"/>
        <v>521.627090301003</v>
      </c>
      <c r="S731" s="74"/>
      <c r="T731" s="75">
        <f t="shared" si="407"/>
        <v>1.04515050167224</v>
      </c>
      <c r="U731" s="74"/>
      <c r="V731" s="74"/>
      <c r="W731" s="76">
        <f t="shared" si="404"/>
        <v>522.672240802676</v>
      </c>
      <c r="X731" s="77">
        <f t="shared" si="408"/>
        <v>8.16530100334448</v>
      </c>
      <c r="Y731" s="77"/>
      <c r="Z731" s="77"/>
      <c r="AA731" s="77">
        <f t="shared" si="405"/>
        <v>8.16530100334448</v>
      </c>
      <c r="AB731" s="86">
        <v>7.08</v>
      </c>
      <c r="AC731" s="74">
        <f t="shared" si="403"/>
        <v>57.8103311036789</v>
      </c>
      <c r="AD731" s="74">
        <f t="shared" si="401"/>
        <v>580.482571906354</v>
      </c>
      <c r="AE731" s="74">
        <f t="shared" si="402"/>
        <v>65.517428093646</v>
      </c>
    </row>
    <row r="732" customFormat="1" spans="1:31">
      <c r="A732" s="18"/>
      <c r="B732" s="19"/>
      <c r="C732" s="22">
        <v>240919000006</v>
      </c>
      <c r="D732" s="23">
        <v>45560</v>
      </c>
      <c r="E732" s="21" t="s">
        <v>62</v>
      </c>
      <c r="F732" s="24" t="s">
        <v>63</v>
      </c>
      <c r="G732" s="24" t="s">
        <v>479</v>
      </c>
      <c r="H732" s="24">
        <v>13.5</v>
      </c>
      <c r="I732" s="41">
        <v>1199.1</v>
      </c>
      <c r="J732" s="53"/>
      <c r="K732" s="43"/>
      <c r="L732" s="19"/>
      <c r="M732" s="43"/>
      <c r="N732" s="44"/>
      <c r="O732" s="45">
        <f t="shared" ref="O732:O738" si="411">SUM(I732)</f>
        <v>1199.1</v>
      </c>
      <c r="P732" s="51"/>
      <c r="Q732" s="51"/>
      <c r="R732" s="74">
        <f t="shared" si="406"/>
        <v>704.196571906355</v>
      </c>
      <c r="S732" s="74"/>
      <c r="T732" s="75">
        <f t="shared" si="407"/>
        <v>1.41095317725753</v>
      </c>
      <c r="U732" s="74"/>
      <c r="V732" s="74"/>
      <c r="W732" s="76">
        <f t="shared" si="404"/>
        <v>705.607525083612</v>
      </c>
      <c r="X732" s="77">
        <f t="shared" si="408"/>
        <v>11.0231563545151</v>
      </c>
      <c r="Y732" s="77"/>
      <c r="Z732" s="77"/>
      <c r="AA732" s="77">
        <f t="shared" si="405"/>
        <v>11.0231563545151</v>
      </c>
      <c r="AB732" s="86">
        <v>7.08</v>
      </c>
      <c r="AC732" s="74">
        <f t="shared" si="403"/>
        <v>78.0439469899666</v>
      </c>
      <c r="AD732" s="74">
        <f t="shared" si="401"/>
        <v>783.651472073579</v>
      </c>
      <c r="AE732" s="74">
        <f t="shared" si="402"/>
        <v>415.448527926421</v>
      </c>
    </row>
    <row r="733" customFormat="1" spans="1:31">
      <c r="A733" s="18"/>
      <c r="B733" s="19"/>
      <c r="C733" s="20">
        <v>240919000011</v>
      </c>
      <c r="D733" s="21">
        <v>45560</v>
      </c>
      <c r="E733" s="21" t="s">
        <v>62</v>
      </c>
      <c r="F733" s="19" t="s">
        <v>63</v>
      </c>
      <c r="G733" s="19" t="s">
        <v>480</v>
      </c>
      <c r="H733" s="19">
        <v>4.5</v>
      </c>
      <c r="I733" s="41">
        <v>382.2</v>
      </c>
      <c r="J733" s="53"/>
      <c r="K733" s="43"/>
      <c r="L733" s="19"/>
      <c r="M733" s="43"/>
      <c r="N733" s="44"/>
      <c r="O733" s="45">
        <f t="shared" si="411"/>
        <v>382.2</v>
      </c>
      <c r="P733" s="51"/>
      <c r="Q733" s="51"/>
      <c r="R733" s="74">
        <f t="shared" si="406"/>
        <v>234.732190635452</v>
      </c>
      <c r="S733" s="74"/>
      <c r="T733" s="75">
        <f t="shared" si="407"/>
        <v>0.470317725752508</v>
      </c>
      <c r="U733" s="74"/>
      <c r="V733" s="74"/>
      <c r="W733" s="76">
        <f t="shared" si="404"/>
        <v>235.202508361204</v>
      </c>
      <c r="X733" s="77">
        <f t="shared" si="408"/>
        <v>3.67438545150502</v>
      </c>
      <c r="Y733" s="77"/>
      <c r="Z733" s="77"/>
      <c r="AA733" s="77">
        <f t="shared" si="405"/>
        <v>3.67438545150502</v>
      </c>
      <c r="AB733" s="86">
        <v>7.08</v>
      </c>
      <c r="AC733" s="74">
        <f t="shared" si="403"/>
        <v>26.0146489966555</v>
      </c>
      <c r="AD733" s="74">
        <f t="shared" si="401"/>
        <v>261.217157357859</v>
      </c>
      <c r="AE733" s="74">
        <f t="shared" si="402"/>
        <v>120.98284264214</v>
      </c>
    </row>
    <row r="734" customFormat="1" spans="1:31">
      <c r="A734" s="18"/>
      <c r="B734" s="19"/>
      <c r="C734" s="20">
        <v>240919000012</v>
      </c>
      <c r="D734" s="21">
        <v>45560</v>
      </c>
      <c r="E734" s="21" t="s">
        <v>50</v>
      </c>
      <c r="F734" s="19" t="s">
        <v>51</v>
      </c>
      <c r="G734" s="19" t="s">
        <v>481</v>
      </c>
      <c r="H734" s="19">
        <v>3.5</v>
      </c>
      <c r="I734" s="41">
        <v>204</v>
      </c>
      <c r="J734" s="53"/>
      <c r="K734" s="43"/>
      <c r="L734" s="19"/>
      <c r="M734" s="43"/>
      <c r="N734" s="44"/>
      <c r="O734" s="45">
        <f t="shared" si="411"/>
        <v>204</v>
      </c>
      <c r="P734" s="51"/>
      <c r="Q734" s="51"/>
      <c r="R734" s="74">
        <f t="shared" si="406"/>
        <v>182.569481605351</v>
      </c>
      <c r="S734" s="74"/>
      <c r="T734" s="75">
        <f t="shared" si="407"/>
        <v>0.365802675585284</v>
      </c>
      <c r="U734" s="74"/>
      <c r="V734" s="74"/>
      <c r="W734" s="76">
        <f t="shared" si="404"/>
        <v>182.935284280936</v>
      </c>
      <c r="X734" s="77">
        <f t="shared" si="408"/>
        <v>2.85785535117057</v>
      </c>
      <c r="Y734" s="77"/>
      <c r="Z734" s="77"/>
      <c r="AA734" s="77">
        <f t="shared" si="405"/>
        <v>2.85785535117057</v>
      </c>
      <c r="AB734" s="86">
        <v>7.08</v>
      </c>
      <c r="AC734" s="74">
        <f t="shared" si="403"/>
        <v>20.2336158862876</v>
      </c>
      <c r="AD734" s="74">
        <f t="shared" si="401"/>
        <v>203.168900167224</v>
      </c>
      <c r="AE734" s="74">
        <f t="shared" si="402"/>
        <v>0.831099832775948</v>
      </c>
    </row>
    <row r="735" customFormat="1" spans="1:31">
      <c r="A735" s="18"/>
      <c r="B735" s="19"/>
      <c r="C735" s="20">
        <v>240919000017</v>
      </c>
      <c r="D735" s="21">
        <v>45560</v>
      </c>
      <c r="E735" s="21" t="s">
        <v>50</v>
      </c>
      <c r="F735" s="19" t="s">
        <v>51</v>
      </c>
      <c r="G735" s="19" t="s">
        <v>482</v>
      </c>
      <c r="H735" s="19">
        <v>7</v>
      </c>
      <c r="I735" s="41">
        <v>491.7</v>
      </c>
      <c r="J735" s="53"/>
      <c r="K735" s="43"/>
      <c r="L735" s="19"/>
      <c r="M735" s="43"/>
      <c r="N735" s="44"/>
      <c r="O735" s="45">
        <f t="shared" si="411"/>
        <v>491.7</v>
      </c>
      <c r="P735" s="51"/>
      <c r="Q735" s="51"/>
      <c r="R735" s="74">
        <f t="shared" si="406"/>
        <v>365.138963210702</v>
      </c>
      <c r="S735" s="74"/>
      <c r="T735" s="75">
        <f t="shared" si="407"/>
        <v>0.731605351170569</v>
      </c>
      <c r="U735" s="74"/>
      <c r="V735" s="74"/>
      <c r="W735" s="76">
        <f t="shared" si="404"/>
        <v>365.870568561873</v>
      </c>
      <c r="X735" s="77">
        <f t="shared" si="408"/>
        <v>5.71571070234114</v>
      </c>
      <c r="Y735" s="77"/>
      <c r="Z735" s="77"/>
      <c r="AA735" s="77">
        <f t="shared" si="405"/>
        <v>5.71571070234114</v>
      </c>
      <c r="AB735" s="86">
        <v>7.08</v>
      </c>
      <c r="AC735" s="74">
        <f t="shared" si="403"/>
        <v>40.4672317725752</v>
      </c>
      <c r="AD735" s="74">
        <f t="shared" si="401"/>
        <v>406.337800334448</v>
      </c>
      <c r="AE735" s="74">
        <f t="shared" si="402"/>
        <v>85.3621996655519</v>
      </c>
    </row>
    <row r="736" customFormat="1" spans="1:31">
      <c r="A736" s="18"/>
      <c r="B736" s="19"/>
      <c r="C736" s="20">
        <v>240919000019</v>
      </c>
      <c r="D736" s="21">
        <v>45560</v>
      </c>
      <c r="E736" s="21" t="s">
        <v>50</v>
      </c>
      <c r="F736" s="19" t="s">
        <v>51</v>
      </c>
      <c r="G736" s="19" t="s">
        <v>483</v>
      </c>
      <c r="H736" s="19">
        <v>7.5</v>
      </c>
      <c r="I736" s="41">
        <v>490</v>
      </c>
      <c r="J736" s="53"/>
      <c r="K736" s="43"/>
      <c r="L736" s="19"/>
      <c r="M736" s="43"/>
      <c r="N736" s="44"/>
      <c r="O736" s="45">
        <f t="shared" si="411"/>
        <v>490</v>
      </c>
      <c r="P736" s="51"/>
      <c r="Q736" s="51"/>
      <c r="R736" s="74">
        <f t="shared" si="406"/>
        <v>391.220317725752</v>
      </c>
      <c r="S736" s="74"/>
      <c r="T736" s="75">
        <f t="shared" si="407"/>
        <v>0.783862876254181</v>
      </c>
      <c r="U736" s="74"/>
      <c r="V736" s="74"/>
      <c r="W736" s="76">
        <f t="shared" si="404"/>
        <v>392.004180602007</v>
      </c>
      <c r="X736" s="77">
        <f t="shared" si="408"/>
        <v>6.12397575250836</v>
      </c>
      <c r="Y736" s="77"/>
      <c r="Z736" s="77"/>
      <c r="AA736" s="77">
        <f t="shared" si="405"/>
        <v>6.12397575250836</v>
      </c>
      <c r="AB736" s="86">
        <v>7.08</v>
      </c>
      <c r="AC736" s="74">
        <f t="shared" si="403"/>
        <v>43.3577483277592</v>
      </c>
      <c r="AD736" s="74">
        <f t="shared" si="401"/>
        <v>435.361928929766</v>
      </c>
      <c r="AE736" s="74">
        <f t="shared" si="402"/>
        <v>54.6380710702341</v>
      </c>
    </row>
    <row r="737" customFormat="1" spans="1:31">
      <c r="A737" s="18"/>
      <c r="B737" s="19"/>
      <c r="C737" s="20">
        <v>240919000022</v>
      </c>
      <c r="D737" s="21">
        <v>45560</v>
      </c>
      <c r="E737" s="21" t="s">
        <v>62</v>
      </c>
      <c r="F737" s="19" t="s">
        <v>103</v>
      </c>
      <c r="G737" s="19" t="s">
        <v>104</v>
      </c>
      <c r="H737" s="19">
        <v>44.5</v>
      </c>
      <c r="I737" s="41">
        <v>3750.6</v>
      </c>
      <c r="J737" s="53"/>
      <c r="K737" s="43"/>
      <c r="L737" s="19"/>
      <c r="M737" s="43"/>
      <c r="N737" s="44"/>
      <c r="O737" s="45">
        <f t="shared" si="411"/>
        <v>3750.6</v>
      </c>
      <c r="P737" s="51"/>
      <c r="Q737" s="51"/>
      <c r="R737" s="74">
        <f t="shared" si="406"/>
        <v>2321.24055183946</v>
      </c>
      <c r="S737" s="74"/>
      <c r="T737" s="75">
        <f t="shared" si="407"/>
        <v>4.65091973244147</v>
      </c>
      <c r="U737" s="74"/>
      <c r="V737" s="74"/>
      <c r="W737" s="76">
        <f t="shared" si="404"/>
        <v>2325.89147157191</v>
      </c>
      <c r="X737" s="77">
        <f t="shared" si="408"/>
        <v>36.3355894648829</v>
      </c>
      <c r="Y737" s="77"/>
      <c r="Z737" s="77"/>
      <c r="AA737" s="77">
        <f t="shared" si="405"/>
        <v>36.3355894648829</v>
      </c>
      <c r="AB737" s="86">
        <v>7.08</v>
      </c>
      <c r="AC737" s="74">
        <f t="shared" si="403"/>
        <v>257.255973411371</v>
      </c>
      <c r="AD737" s="74">
        <f t="shared" si="401"/>
        <v>2583.14744498328</v>
      </c>
      <c r="AE737" s="74">
        <f t="shared" si="402"/>
        <v>1167.45255501672</v>
      </c>
    </row>
    <row r="738" customFormat="1" spans="1:31">
      <c r="A738" s="18"/>
      <c r="B738" s="19"/>
      <c r="C738" s="20">
        <v>240919000023</v>
      </c>
      <c r="D738" s="21">
        <v>45560</v>
      </c>
      <c r="E738" s="21" t="s">
        <v>62</v>
      </c>
      <c r="F738" s="19" t="s">
        <v>63</v>
      </c>
      <c r="G738" s="19" t="s">
        <v>484</v>
      </c>
      <c r="H738" s="19">
        <v>0.59</v>
      </c>
      <c r="I738" s="41">
        <v>88.2</v>
      </c>
      <c r="J738" s="53"/>
      <c r="K738" s="43"/>
      <c r="L738" s="19"/>
      <c r="M738" s="43"/>
      <c r="N738" s="44"/>
      <c r="O738" s="45">
        <f t="shared" si="411"/>
        <v>88.2</v>
      </c>
      <c r="P738" s="51"/>
      <c r="Q738" s="51"/>
      <c r="R738" s="74">
        <f t="shared" si="406"/>
        <v>30.7759983277592</v>
      </c>
      <c r="S738" s="74"/>
      <c r="T738" s="75">
        <f t="shared" si="407"/>
        <v>0.0616638795986622</v>
      </c>
      <c r="U738" s="74"/>
      <c r="V738" s="74"/>
      <c r="W738" s="76">
        <f t="shared" si="404"/>
        <v>30.8376622073579</v>
      </c>
      <c r="X738" s="77">
        <f t="shared" si="408"/>
        <v>0.481752759197324</v>
      </c>
      <c r="Y738" s="77"/>
      <c r="Z738" s="77"/>
      <c r="AA738" s="77">
        <f t="shared" si="405"/>
        <v>0.481752759197324</v>
      </c>
      <c r="AB738" s="86">
        <v>7.08</v>
      </c>
      <c r="AC738" s="74">
        <f t="shared" si="403"/>
        <v>3.41080953511706</v>
      </c>
      <c r="AD738" s="74">
        <f t="shared" si="401"/>
        <v>34.2484717424749</v>
      </c>
      <c r="AE738" s="74">
        <f t="shared" si="402"/>
        <v>53.9515282575251</v>
      </c>
    </row>
    <row r="739" customFormat="1" spans="1:31">
      <c r="A739" s="18"/>
      <c r="B739" s="19"/>
      <c r="C739" s="20">
        <v>240919000032</v>
      </c>
      <c r="D739" s="21">
        <v>45560</v>
      </c>
      <c r="E739" s="21" t="s">
        <v>50</v>
      </c>
      <c r="F739" s="19" t="s">
        <v>485</v>
      </c>
      <c r="G739" s="19" t="s">
        <v>254</v>
      </c>
      <c r="H739" s="19">
        <v>29.5</v>
      </c>
      <c r="I739" s="92">
        <v>2360</v>
      </c>
      <c r="J739" s="53"/>
      <c r="K739" s="43"/>
      <c r="L739" s="19"/>
      <c r="M739" s="43"/>
      <c r="N739" s="44"/>
      <c r="O739" s="45">
        <f>SUBTOTAL(9,I739)</f>
        <v>2360</v>
      </c>
      <c r="P739" s="51"/>
      <c r="Q739" s="51"/>
      <c r="R739" s="74">
        <f t="shared" si="406"/>
        <v>1538.79991638796</v>
      </c>
      <c r="S739" s="74"/>
      <c r="T739" s="75">
        <f t="shared" si="407"/>
        <v>3.08319397993311</v>
      </c>
      <c r="U739" s="74"/>
      <c r="V739" s="74"/>
      <c r="W739" s="76">
        <f t="shared" si="404"/>
        <v>1541.88311036789</v>
      </c>
      <c r="X739" s="77">
        <f t="shared" si="408"/>
        <v>24.0876379598662</v>
      </c>
      <c r="Y739" s="77"/>
      <c r="Z739" s="77"/>
      <c r="AA739" s="77">
        <f t="shared" si="405"/>
        <v>24.0876379598662</v>
      </c>
      <c r="AB739" s="86">
        <v>7.08</v>
      </c>
      <c r="AC739" s="74">
        <f t="shared" si="403"/>
        <v>170.540476755853</v>
      </c>
      <c r="AD739" s="74">
        <f t="shared" ref="AD739:AD765" si="412">SUM(W739+AC739)</f>
        <v>1712.42358712375</v>
      </c>
      <c r="AE739" s="74">
        <f t="shared" ref="AE739:AE765" si="413">SUM(O739-AD739)</f>
        <v>647.57641287625</v>
      </c>
    </row>
    <row r="740" customFormat="1" spans="1:31">
      <c r="A740" s="18"/>
      <c r="B740" s="19"/>
      <c r="C740" s="20">
        <v>240919000033</v>
      </c>
      <c r="D740" s="21">
        <v>45560</v>
      </c>
      <c r="E740" s="21" t="s">
        <v>96</v>
      </c>
      <c r="F740" s="19" t="s">
        <v>112</v>
      </c>
      <c r="G740" s="19" t="s">
        <v>113</v>
      </c>
      <c r="H740" s="19">
        <v>7</v>
      </c>
      <c r="I740" s="45"/>
      <c r="J740" s="54">
        <v>107505</v>
      </c>
      <c r="K740" s="43"/>
      <c r="L740" s="49">
        <f>SUM(J740/M740)</f>
        <v>1739.0003235199</v>
      </c>
      <c r="M740" s="50">
        <v>61.82</v>
      </c>
      <c r="N740" s="44">
        <v>7.08</v>
      </c>
      <c r="O740" s="45">
        <f t="shared" ref="O739:O741" si="414">SUM(M740*N740)</f>
        <v>437.6856</v>
      </c>
      <c r="P740" s="51"/>
      <c r="Q740" s="51"/>
      <c r="R740" s="74">
        <f t="shared" si="406"/>
        <v>365.138963210702</v>
      </c>
      <c r="S740" s="74"/>
      <c r="T740" s="75">
        <f t="shared" si="407"/>
        <v>0.731605351170569</v>
      </c>
      <c r="U740" s="74"/>
      <c r="V740" s="74"/>
      <c r="W740" s="76">
        <f t="shared" si="404"/>
        <v>365.870568561873</v>
      </c>
      <c r="X740" s="77">
        <f t="shared" si="408"/>
        <v>5.71571070234114</v>
      </c>
      <c r="Y740" s="77"/>
      <c r="Z740" s="77"/>
      <c r="AA740" s="77">
        <f t="shared" si="405"/>
        <v>5.71571070234114</v>
      </c>
      <c r="AB740" s="86">
        <v>7.08</v>
      </c>
      <c r="AC740" s="74">
        <f t="shared" ref="AC740:AC765" si="415">SUM(AA740*AB740)</f>
        <v>40.4672317725752</v>
      </c>
      <c r="AD740" s="74">
        <f t="shared" si="412"/>
        <v>406.337800334448</v>
      </c>
      <c r="AE740" s="74">
        <f t="shared" si="413"/>
        <v>31.347799665552</v>
      </c>
    </row>
    <row r="741" customFormat="1" spans="1:31">
      <c r="A741" s="18"/>
      <c r="B741" s="19"/>
      <c r="C741" s="20">
        <v>240919000037</v>
      </c>
      <c r="D741" s="21">
        <v>45560</v>
      </c>
      <c r="E741" s="21" t="s">
        <v>50</v>
      </c>
      <c r="F741" s="19" t="s">
        <v>51</v>
      </c>
      <c r="G741" s="19" t="s">
        <v>204</v>
      </c>
      <c r="H741" s="19">
        <v>4.5</v>
      </c>
      <c r="I741" s="45"/>
      <c r="J741" s="54">
        <v>72394</v>
      </c>
      <c r="K741" s="43"/>
      <c r="L741" s="49">
        <f>SUM(J741/M741)</f>
        <v>1738.9864332683</v>
      </c>
      <c r="M741" s="50">
        <v>41.629997</v>
      </c>
      <c r="N741" s="44">
        <v>7.08</v>
      </c>
      <c r="O741" s="45">
        <f t="shared" si="414"/>
        <v>294.74037876</v>
      </c>
      <c r="P741" s="51"/>
      <c r="Q741" s="51"/>
      <c r="R741" s="74">
        <f t="shared" si="406"/>
        <v>234.732190635452</v>
      </c>
      <c r="S741" s="74"/>
      <c r="T741" s="75">
        <f t="shared" si="407"/>
        <v>0.470317725752508</v>
      </c>
      <c r="U741" s="74"/>
      <c r="V741" s="74"/>
      <c r="W741" s="76">
        <f t="shared" si="404"/>
        <v>235.202508361204</v>
      </c>
      <c r="X741" s="77">
        <f t="shared" si="408"/>
        <v>3.67438545150502</v>
      </c>
      <c r="Y741" s="77"/>
      <c r="Z741" s="77"/>
      <c r="AA741" s="77">
        <f t="shared" si="405"/>
        <v>3.67438545150502</v>
      </c>
      <c r="AB741" s="86">
        <v>7.08</v>
      </c>
      <c r="AC741" s="74">
        <f t="shared" si="415"/>
        <v>26.0146489966555</v>
      </c>
      <c r="AD741" s="74">
        <f t="shared" si="412"/>
        <v>261.217157357859</v>
      </c>
      <c r="AE741" s="74">
        <f t="shared" si="413"/>
        <v>33.523221402141</v>
      </c>
    </row>
    <row r="742" customFormat="1" spans="1:31">
      <c r="A742" s="18"/>
      <c r="B742" s="19"/>
      <c r="C742" s="20">
        <v>240919000038</v>
      </c>
      <c r="D742" s="21">
        <v>45560</v>
      </c>
      <c r="E742" s="21" t="s">
        <v>62</v>
      </c>
      <c r="F742" s="19" t="s">
        <v>63</v>
      </c>
      <c r="G742" s="19" t="s">
        <v>486</v>
      </c>
      <c r="H742" s="19">
        <v>5</v>
      </c>
      <c r="I742" s="41">
        <v>333.3</v>
      </c>
      <c r="J742" s="53"/>
      <c r="K742" s="43"/>
      <c r="L742" s="19"/>
      <c r="M742" s="43"/>
      <c r="N742" s="44"/>
      <c r="O742" s="45">
        <f t="shared" ref="O742:O751" si="416">SUM(I742)</f>
        <v>333.3</v>
      </c>
      <c r="P742" s="51"/>
      <c r="Q742" s="51"/>
      <c r="R742" s="74">
        <f t="shared" si="406"/>
        <v>260.813545150502</v>
      </c>
      <c r="S742" s="74"/>
      <c r="T742" s="75">
        <f t="shared" si="407"/>
        <v>0.52257525083612</v>
      </c>
      <c r="U742" s="74"/>
      <c r="V742" s="74"/>
      <c r="W742" s="76">
        <f t="shared" ref="W742:W765" si="417">SUM(R742:V742)</f>
        <v>261.336120401338</v>
      </c>
      <c r="X742" s="77">
        <f t="shared" si="408"/>
        <v>4.08265050167224</v>
      </c>
      <c r="Y742" s="77"/>
      <c r="Z742" s="77"/>
      <c r="AA742" s="77">
        <f t="shared" ref="AA742:AA765" si="418">SUM(X742:Z742)</f>
        <v>4.08265050167224</v>
      </c>
      <c r="AB742" s="86">
        <v>7.08</v>
      </c>
      <c r="AC742" s="74">
        <f t="shared" si="415"/>
        <v>28.9051655518395</v>
      </c>
      <c r="AD742" s="74">
        <f t="shared" si="412"/>
        <v>290.241285953177</v>
      </c>
      <c r="AE742" s="74">
        <f t="shared" si="413"/>
        <v>43.058714046823</v>
      </c>
    </row>
    <row r="743" customFormat="1" spans="1:31">
      <c r="A743" s="18"/>
      <c r="B743" s="19"/>
      <c r="C743" s="20">
        <v>240919000039</v>
      </c>
      <c r="D743" s="21">
        <v>45560</v>
      </c>
      <c r="E743" s="21" t="s">
        <v>50</v>
      </c>
      <c r="F743" s="19" t="s">
        <v>51</v>
      </c>
      <c r="G743" s="19" t="s">
        <v>487</v>
      </c>
      <c r="H743" s="19">
        <v>1.5</v>
      </c>
      <c r="I743" s="41">
        <v>127.5</v>
      </c>
      <c r="J743" s="53"/>
      <c r="K743" s="43"/>
      <c r="L743" s="19"/>
      <c r="M743" s="43"/>
      <c r="N743" s="44"/>
      <c r="O743" s="45">
        <f t="shared" si="416"/>
        <v>127.5</v>
      </c>
      <c r="P743" s="51"/>
      <c r="Q743" s="51"/>
      <c r="R743" s="74">
        <f t="shared" si="406"/>
        <v>78.2440635451505</v>
      </c>
      <c r="S743" s="74"/>
      <c r="T743" s="75">
        <f t="shared" si="407"/>
        <v>0.156772575250836</v>
      </c>
      <c r="U743" s="74"/>
      <c r="V743" s="74"/>
      <c r="W743" s="76">
        <f t="shared" si="417"/>
        <v>78.4008361204013</v>
      </c>
      <c r="X743" s="77">
        <f t="shared" si="408"/>
        <v>1.22479515050167</v>
      </c>
      <c r="Y743" s="77"/>
      <c r="Z743" s="77"/>
      <c r="AA743" s="77">
        <f t="shared" si="418"/>
        <v>1.22479515050167</v>
      </c>
      <c r="AB743" s="86">
        <v>7.08</v>
      </c>
      <c r="AC743" s="74">
        <f t="shared" si="415"/>
        <v>8.67154966555184</v>
      </c>
      <c r="AD743" s="74">
        <f t="shared" si="412"/>
        <v>87.0723857859532</v>
      </c>
      <c r="AE743" s="74">
        <f t="shared" si="413"/>
        <v>40.4276142140468</v>
      </c>
    </row>
    <row r="744" customFormat="1" spans="1:31">
      <c r="A744" s="18"/>
      <c r="B744" s="19"/>
      <c r="C744" s="20">
        <v>240920000004</v>
      </c>
      <c r="D744" s="21">
        <v>45560</v>
      </c>
      <c r="E744" s="21" t="s">
        <v>43</v>
      </c>
      <c r="F744" s="19" t="s">
        <v>44</v>
      </c>
      <c r="G744" s="19" t="s">
        <v>108</v>
      </c>
      <c r="H744" s="19">
        <v>1.5</v>
      </c>
      <c r="I744" s="41">
        <v>130</v>
      </c>
      <c r="J744" s="53"/>
      <c r="K744" s="43"/>
      <c r="L744" s="19"/>
      <c r="M744" s="43"/>
      <c r="N744" s="44"/>
      <c r="O744" s="45">
        <f t="shared" si="416"/>
        <v>130</v>
      </c>
      <c r="P744" s="51"/>
      <c r="Q744" s="51"/>
      <c r="R744" s="74">
        <f t="shared" ref="R744:R765" si="419">SUM(62386.6/1196)*H744</f>
        <v>78.2440635451505</v>
      </c>
      <c r="S744" s="74"/>
      <c r="T744" s="75">
        <f t="shared" ref="T744:T765" si="420">SUM(125/1196)*H744</f>
        <v>0.156772575250836</v>
      </c>
      <c r="U744" s="74"/>
      <c r="V744" s="74"/>
      <c r="W744" s="76">
        <f t="shared" si="417"/>
        <v>78.4008361204013</v>
      </c>
      <c r="X744" s="77">
        <f t="shared" ref="X744:X765" si="421">SUM(976.57/1196)*H744</f>
        <v>1.22479515050167</v>
      </c>
      <c r="Y744" s="77"/>
      <c r="Z744" s="77"/>
      <c r="AA744" s="77">
        <f t="shared" si="418"/>
        <v>1.22479515050167</v>
      </c>
      <c r="AB744" s="86">
        <v>7.08</v>
      </c>
      <c r="AC744" s="74">
        <f t="shared" si="415"/>
        <v>8.67154966555184</v>
      </c>
      <c r="AD744" s="74">
        <f t="shared" si="412"/>
        <v>87.0723857859532</v>
      </c>
      <c r="AE744" s="74">
        <f t="shared" si="413"/>
        <v>42.9276142140468</v>
      </c>
    </row>
    <row r="745" customFormat="1" spans="1:31">
      <c r="A745" s="18"/>
      <c r="B745" s="19"/>
      <c r="C745" s="20">
        <v>240920000005</v>
      </c>
      <c r="D745" s="21">
        <v>45560</v>
      </c>
      <c r="E745" s="21" t="s">
        <v>46</v>
      </c>
      <c r="F745" s="19" t="s">
        <v>47</v>
      </c>
      <c r="G745" s="19" t="s">
        <v>430</v>
      </c>
      <c r="H745" s="19">
        <v>3</v>
      </c>
      <c r="I745" s="41">
        <v>256</v>
      </c>
      <c r="J745" s="53"/>
      <c r="K745" s="43"/>
      <c r="L745" s="19"/>
      <c r="M745" s="43"/>
      <c r="N745" s="44"/>
      <c r="O745" s="45">
        <f t="shared" si="416"/>
        <v>256</v>
      </c>
      <c r="P745" s="51"/>
      <c r="Q745" s="51"/>
      <c r="R745" s="74">
        <f t="shared" si="419"/>
        <v>156.488127090301</v>
      </c>
      <c r="S745" s="74"/>
      <c r="T745" s="75">
        <f t="shared" si="420"/>
        <v>0.313545150501672</v>
      </c>
      <c r="U745" s="74"/>
      <c r="V745" s="74"/>
      <c r="W745" s="76">
        <f t="shared" si="417"/>
        <v>156.801672240803</v>
      </c>
      <c r="X745" s="77">
        <f t="shared" si="421"/>
        <v>2.44959030100334</v>
      </c>
      <c r="Y745" s="77"/>
      <c r="Z745" s="77"/>
      <c r="AA745" s="77">
        <f t="shared" si="418"/>
        <v>2.44959030100334</v>
      </c>
      <c r="AB745" s="86">
        <v>7.08</v>
      </c>
      <c r="AC745" s="74">
        <f t="shared" si="415"/>
        <v>17.3430993311037</v>
      </c>
      <c r="AD745" s="74">
        <f t="shared" si="412"/>
        <v>174.144771571906</v>
      </c>
      <c r="AE745" s="74">
        <f t="shared" si="413"/>
        <v>81.855228428094</v>
      </c>
    </row>
    <row r="746" customFormat="1" spans="1:31">
      <c r="A746" s="18"/>
      <c r="B746" s="19"/>
      <c r="C746" s="20">
        <v>240920000007</v>
      </c>
      <c r="D746" s="21">
        <v>45560</v>
      </c>
      <c r="E746" s="21" t="s">
        <v>50</v>
      </c>
      <c r="F746" s="19" t="s">
        <v>51</v>
      </c>
      <c r="G746" s="19" t="s">
        <v>250</v>
      </c>
      <c r="H746" s="19">
        <v>6.5</v>
      </c>
      <c r="I746" s="41">
        <v>422.5</v>
      </c>
      <c r="J746" s="53"/>
      <c r="K746" s="43"/>
      <c r="L746" s="19"/>
      <c r="M746" s="43"/>
      <c r="N746" s="44"/>
      <c r="O746" s="45">
        <f t="shared" si="416"/>
        <v>422.5</v>
      </c>
      <c r="P746" s="51"/>
      <c r="Q746" s="51"/>
      <c r="R746" s="74">
        <f t="shared" si="419"/>
        <v>339.057608695652</v>
      </c>
      <c r="S746" s="74"/>
      <c r="T746" s="75">
        <f t="shared" si="420"/>
        <v>0.679347826086957</v>
      </c>
      <c r="U746" s="74"/>
      <c r="V746" s="74"/>
      <c r="W746" s="76">
        <f t="shared" si="417"/>
        <v>339.736956521739</v>
      </c>
      <c r="X746" s="77">
        <f t="shared" si="421"/>
        <v>5.30744565217391</v>
      </c>
      <c r="Y746" s="77"/>
      <c r="Z746" s="77"/>
      <c r="AA746" s="77">
        <f t="shared" si="418"/>
        <v>5.30744565217391</v>
      </c>
      <c r="AB746" s="86">
        <v>7.08</v>
      </c>
      <c r="AC746" s="74">
        <f t="shared" si="415"/>
        <v>37.5767152173913</v>
      </c>
      <c r="AD746" s="74">
        <f t="shared" si="412"/>
        <v>377.31367173913</v>
      </c>
      <c r="AE746" s="74">
        <f t="shared" si="413"/>
        <v>45.18632826087</v>
      </c>
    </row>
    <row r="747" customFormat="1" spans="1:31">
      <c r="A747" s="18"/>
      <c r="B747" s="19"/>
      <c r="C747" s="20">
        <v>240920000010</v>
      </c>
      <c r="D747" s="21">
        <v>45560</v>
      </c>
      <c r="E747" s="21" t="s">
        <v>41</v>
      </c>
      <c r="F747" s="19" t="s">
        <v>41</v>
      </c>
      <c r="G747" s="19" t="s">
        <v>183</v>
      </c>
      <c r="H747" s="19">
        <v>297</v>
      </c>
      <c r="I747" s="41">
        <v>17978.5</v>
      </c>
      <c r="J747" s="53"/>
      <c r="K747" s="43"/>
      <c r="L747" s="19"/>
      <c r="M747" s="43"/>
      <c r="N747" s="44"/>
      <c r="O747" s="45">
        <f t="shared" si="416"/>
        <v>17978.5</v>
      </c>
      <c r="P747" s="51"/>
      <c r="Q747" s="51"/>
      <c r="R747" s="74">
        <f t="shared" si="419"/>
        <v>15492.3245819398</v>
      </c>
      <c r="S747" s="74"/>
      <c r="T747" s="75">
        <f t="shared" si="420"/>
        <v>31.0409698996656</v>
      </c>
      <c r="U747" s="74"/>
      <c r="V747" s="74"/>
      <c r="W747" s="76">
        <f t="shared" si="417"/>
        <v>15523.3655518395</v>
      </c>
      <c r="X747" s="77">
        <f t="shared" si="421"/>
        <v>242.509439799331</v>
      </c>
      <c r="Y747" s="77"/>
      <c r="Z747" s="77"/>
      <c r="AA747" s="77">
        <f t="shared" si="418"/>
        <v>242.509439799331</v>
      </c>
      <c r="AB747" s="86">
        <v>7.08</v>
      </c>
      <c r="AC747" s="74">
        <f t="shared" si="415"/>
        <v>1716.96683377926</v>
      </c>
      <c r="AD747" s="74">
        <f t="shared" si="412"/>
        <v>17240.3323856187</v>
      </c>
      <c r="AE747" s="74">
        <f t="shared" si="413"/>
        <v>738.167614381298</v>
      </c>
    </row>
    <row r="748" customFormat="1" spans="1:31">
      <c r="A748" s="18"/>
      <c r="B748" s="19"/>
      <c r="C748" s="20">
        <v>240920000013</v>
      </c>
      <c r="D748" s="21">
        <v>45560</v>
      </c>
      <c r="E748" s="21" t="s">
        <v>50</v>
      </c>
      <c r="F748" s="19" t="s">
        <v>51</v>
      </c>
      <c r="G748" s="19" t="s">
        <v>160</v>
      </c>
      <c r="H748" s="19">
        <v>0.41</v>
      </c>
      <c r="I748" s="41">
        <v>58</v>
      </c>
      <c r="J748" s="53"/>
      <c r="K748" s="43"/>
      <c r="L748" s="19"/>
      <c r="M748" s="43"/>
      <c r="N748" s="44"/>
      <c r="O748" s="45">
        <f t="shared" si="416"/>
        <v>58</v>
      </c>
      <c r="P748" s="51"/>
      <c r="Q748" s="51"/>
      <c r="R748" s="74">
        <f t="shared" si="419"/>
        <v>21.3867107023411</v>
      </c>
      <c r="S748" s="74"/>
      <c r="T748" s="75">
        <f t="shared" si="420"/>
        <v>0.0428511705685619</v>
      </c>
      <c r="U748" s="74"/>
      <c r="V748" s="74"/>
      <c r="W748" s="76">
        <f t="shared" si="417"/>
        <v>21.4295618729097</v>
      </c>
      <c r="X748" s="77">
        <f t="shared" si="421"/>
        <v>0.334777341137124</v>
      </c>
      <c r="Y748" s="77"/>
      <c r="Z748" s="77"/>
      <c r="AA748" s="77">
        <f t="shared" si="418"/>
        <v>0.334777341137124</v>
      </c>
      <c r="AB748" s="86">
        <v>7.08</v>
      </c>
      <c r="AC748" s="74">
        <f t="shared" si="415"/>
        <v>2.37022357525084</v>
      </c>
      <c r="AD748" s="74">
        <f t="shared" si="412"/>
        <v>23.7997854481605</v>
      </c>
      <c r="AE748" s="74">
        <f t="shared" si="413"/>
        <v>34.2002145518395</v>
      </c>
    </row>
    <row r="749" customFormat="1" spans="1:31">
      <c r="A749" s="18"/>
      <c r="B749" s="19"/>
      <c r="C749" s="20">
        <v>240920000014</v>
      </c>
      <c r="D749" s="21">
        <v>45560</v>
      </c>
      <c r="E749" s="21" t="s">
        <v>50</v>
      </c>
      <c r="F749" s="19" t="s">
        <v>51</v>
      </c>
      <c r="G749" s="19" t="s">
        <v>86</v>
      </c>
      <c r="H749" s="19">
        <v>20.5</v>
      </c>
      <c r="I749" s="41">
        <v>1332.5</v>
      </c>
      <c r="J749" s="53"/>
      <c r="K749" s="43"/>
      <c r="L749" s="19"/>
      <c r="M749" s="43"/>
      <c r="N749" s="44"/>
      <c r="O749" s="45">
        <f t="shared" si="416"/>
        <v>1332.5</v>
      </c>
      <c r="P749" s="51"/>
      <c r="Q749" s="51"/>
      <c r="R749" s="74">
        <f t="shared" si="419"/>
        <v>1069.33553511706</v>
      </c>
      <c r="S749" s="74"/>
      <c r="T749" s="75">
        <f t="shared" si="420"/>
        <v>2.14255852842809</v>
      </c>
      <c r="U749" s="74"/>
      <c r="V749" s="74"/>
      <c r="W749" s="76">
        <f t="shared" si="417"/>
        <v>1071.47809364548</v>
      </c>
      <c r="X749" s="77">
        <f t="shared" si="421"/>
        <v>16.7388670568562</v>
      </c>
      <c r="Y749" s="77"/>
      <c r="Z749" s="77"/>
      <c r="AA749" s="77">
        <f t="shared" si="418"/>
        <v>16.7388670568562</v>
      </c>
      <c r="AB749" s="86">
        <v>7.08</v>
      </c>
      <c r="AC749" s="74">
        <f t="shared" si="415"/>
        <v>118.511178762542</v>
      </c>
      <c r="AD749" s="74">
        <f t="shared" si="412"/>
        <v>1189.98927240803</v>
      </c>
      <c r="AE749" s="74">
        <f t="shared" si="413"/>
        <v>142.51072759197</v>
      </c>
    </row>
    <row r="750" customFormat="1" spans="1:31">
      <c r="A750" s="18"/>
      <c r="B750" s="19"/>
      <c r="C750" s="20">
        <v>240920000017</v>
      </c>
      <c r="D750" s="21">
        <v>45560</v>
      </c>
      <c r="E750" s="21" t="s">
        <v>62</v>
      </c>
      <c r="F750" s="19" t="s">
        <v>63</v>
      </c>
      <c r="G750" s="19" t="s">
        <v>184</v>
      </c>
      <c r="H750" s="19">
        <v>4.5</v>
      </c>
      <c r="I750" s="41">
        <v>392.2</v>
      </c>
      <c r="J750" s="53"/>
      <c r="K750" s="43"/>
      <c r="L750" s="19"/>
      <c r="M750" s="43"/>
      <c r="N750" s="44"/>
      <c r="O750" s="45">
        <f t="shared" si="416"/>
        <v>392.2</v>
      </c>
      <c r="P750" s="51"/>
      <c r="Q750" s="51"/>
      <c r="R750" s="74">
        <f t="shared" si="419"/>
        <v>234.732190635452</v>
      </c>
      <c r="S750" s="74"/>
      <c r="T750" s="75">
        <f t="shared" si="420"/>
        <v>0.470317725752508</v>
      </c>
      <c r="U750" s="74"/>
      <c r="V750" s="75">
        <v>10</v>
      </c>
      <c r="W750" s="76">
        <f t="shared" si="417"/>
        <v>245.202508361204</v>
      </c>
      <c r="X750" s="77">
        <f t="shared" si="421"/>
        <v>3.67438545150502</v>
      </c>
      <c r="Y750" s="77"/>
      <c r="Z750" s="77"/>
      <c r="AA750" s="77">
        <f t="shared" si="418"/>
        <v>3.67438545150502</v>
      </c>
      <c r="AB750" s="86">
        <v>7.08</v>
      </c>
      <c r="AC750" s="74">
        <f t="shared" si="415"/>
        <v>26.0146489966555</v>
      </c>
      <c r="AD750" s="74">
        <f t="shared" si="412"/>
        <v>271.217157357859</v>
      </c>
      <c r="AE750" s="74">
        <f t="shared" si="413"/>
        <v>120.982842642141</v>
      </c>
    </row>
    <row r="751" customFormat="1" spans="1:31">
      <c r="A751" s="18"/>
      <c r="B751" s="19"/>
      <c r="C751" s="20">
        <v>240920000019</v>
      </c>
      <c r="D751" s="21">
        <v>45560</v>
      </c>
      <c r="E751" s="21" t="s">
        <v>41</v>
      </c>
      <c r="F751" s="19" t="s">
        <v>41</v>
      </c>
      <c r="G751" s="19" t="s">
        <v>488</v>
      </c>
      <c r="H751" s="19">
        <v>66</v>
      </c>
      <c r="I751" s="41">
        <v>3915</v>
      </c>
      <c r="J751" s="53"/>
      <c r="K751" s="43"/>
      <c r="L751" s="19"/>
      <c r="M751" s="43"/>
      <c r="N751" s="44"/>
      <c r="O751" s="45">
        <f t="shared" si="416"/>
        <v>3915</v>
      </c>
      <c r="P751" s="51"/>
      <c r="Q751" s="51"/>
      <c r="R751" s="74">
        <f t="shared" si="419"/>
        <v>3442.73879598662</v>
      </c>
      <c r="S751" s="74"/>
      <c r="T751" s="75">
        <f t="shared" si="420"/>
        <v>6.89799331103679</v>
      </c>
      <c r="U751" s="74"/>
      <c r="V751" s="75">
        <v>70.24</v>
      </c>
      <c r="W751" s="76">
        <f t="shared" si="417"/>
        <v>3519.87678929766</v>
      </c>
      <c r="X751" s="77">
        <f t="shared" si="421"/>
        <v>53.8909866220736</v>
      </c>
      <c r="Y751" s="77"/>
      <c r="Z751" s="77"/>
      <c r="AA751" s="77">
        <f t="shared" si="418"/>
        <v>53.8909866220736</v>
      </c>
      <c r="AB751" s="86">
        <v>7.08</v>
      </c>
      <c r="AC751" s="74">
        <f t="shared" si="415"/>
        <v>381.548185284281</v>
      </c>
      <c r="AD751" s="74">
        <f t="shared" si="412"/>
        <v>3901.42497458194</v>
      </c>
      <c r="AE751" s="74">
        <f t="shared" si="413"/>
        <v>13.5750254180598</v>
      </c>
    </row>
    <row r="752" customFormat="1" spans="1:31">
      <c r="A752" s="18"/>
      <c r="B752" s="19"/>
      <c r="C752" s="20">
        <v>240920000023</v>
      </c>
      <c r="D752" s="21">
        <v>45560</v>
      </c>
      <c r="E752" s="21" t="s">
        <v>62</v>
      </c>
      <c r="F752" s="19" t="s">
        <v>63</v>
      </c>
      <c r="G752" s="19" t="s">
        <v>489</v>
      </c>
      <c r="H752" s="19">
        <v>14.5</v>
      </c>
      <c r="I752" s="47"/>
      <c r="J752" s="54">
        <v>201465</v>
      </c>
      <c r="K752" s="43"/>
      <c r="L752" s="49">
        <f t="shared" ref="L752:L757" si="422">SUM(J752/M752)</f>
        <v>1713.42915461813</v>
      </c>
      <c r="M752" s="50">
        <v>117.58</v>
      </c>
      <c r="N752" s="44">
        <v>7.08</v>
      </c>
      <c r="O752" s="45">
        <f t="shared" ref="O752:O757" si="423">SUM(M752*N752)</f>
        <v>832.4664</v>
      </c>
      <c r="P752" s="51"/>
      <c r="Q752" s="51"/>
      <c r="R752" s="74">
        <f t="shared" si="419"/>
        <v>756.359280936455</v>
      </c>
      <c r="S752" s="74"/>
      <c r="T752" s="75">
        <f t="shared" si="420"/>
        <v>1.51546822742475</v>
      </c>
      <c r="U752" s="74"/>
      <c r="V752" s="74"/>
      <c r="W752" s="76">
        <f t="shared" si="417"/>
        <v>757.87474916388</v>
      </c>
      <c r="X752" s="77">
        <f t="shared" si="421"/>
        <v>11.8396864548495</v>
      </c>
      <c r="Y752" s="77"/>
      <c r="Z752" s="77"/>
      <c r="AA752" s="77">
        <f t="shared" si="418"/>
        <v>11.8396864548495</v>
      </c>
      <c r="AB752" s="86">
        <v>7.08</v>
      </c>
      <c r="AC752" s="74">
        <f t="shared" si="415"/>
        <v>83.8249801003345</v>
      </c>
      <c r="AD752" s="74">
        <f t="shared" si="412"/>
        <v>841.699729264214</v>
      </c>
      <c r="AE752" s="74">
        <f t="shared" si="413"/>
        <v>-9.23332926421403</v>
      </c>
    </row>
    <row r="753" customFormat="1" spans="1:31">
      <c r="A753" s="18"/>
      <c r="B753" s="19"/>
      <c r="C753" s="20">
        <v>240920000024</v>
      </c>
      <c r="D753" s="21">
        <v>45560</v>
      </c>
      <c r="E753" s="21" t="s">
        <v>62</v>
      </c>
      <c r="F753" s="19" t="s">
        <v>63</v>
      </c>
      <c r="G753" s="19" t="s">
        <v>490</v>
      </c>
      <c r="H753" s="19">
        <v>12.5</v>
      </c>
      <c r="I753" s="41">
        <v>873</v>
      </c>
      <c r="J753" s="53"/>
      <c r="K753" s="43"/>
      <c r="L753" s="19"/>
      <c r="M753" s="43"/>
      <c r="N753" s="44"/>
      <c r="O753" s="45">
        <f t="shared" ref="O753:O756" si="424">SUM(I753)</f>
        <v>873</v>
      </c>
      <c r="P753" s="51"/>
      <c r="Q753" s="51"/>
      <c r="R753" s="74">
        <f t="shared" si="419"/>
        <v>652.033862876254</v>
      </c>
      <c r="S753" s="74"/>
      <c r="T753" s="75">
        <f t="shared" si="420"/>
        <v>1.3064381270903</v>
      </c>
      <c r="U753" s="74"/>
      <c r="V753" s="74"/>
      <c r="W753" s="76">
        <f t="shared" si="417"/>
        <v>653.340301003344</v>
      </c>
      <c r="X753" s="77">
        <f t="shared" si="421"/>
        <v>10.2066262541806</v>
      </c>
      <c r="Y753" s="77"/>
      <c r="Z753" s="77"/>
      <c r="AA753" s="77">
        <f t="shared" si="418"/>
        <v>10.2066262541806</v>
      </c>
      <c r="AB753" s="86">
        <v>7.08</v>
      </c>
      <c r="AC753" s="74">
        <f t="shared" si="415"/>
        <v>72.2629138795987</v>
      </c>
      <c r="AD753" s="74">
        <f t="shared" si="412"/>
        <v>725.603214882943</v>
      </c>
      <c r="AE753" s="74">
        <f t="shared" si="413"/>
        <v>147.396785117057</v>
      </c>
    </row>
    <row r="754" customFormat="1" spans="1:31">
      <c r="A754" s="18"/>
      <c r="B754" s="19"/>
      <c r="C754" s="22">
        <v>240920000025</v>
      </c>
      <c r="D754" s="23">
        <v>45560</v>
      </c>
      <c r="E754" s="21" t="s">
        <v>50</v>
      </c>
      <c r="F754" s="24" t="s">
        <v>51</v>
      </c>
      <c r="G754" s="24" t="s">
        <v>491</v>
      </c>
      <c r="H754" s="24">
        <v>1.5</v>
      </c>
      <c r="I754" s="41">
        <v>112.2</v>
      </c>
      <c r="J754" s="53"/>
      <c r="K754" s="43"/>
      <c r="L754" s="19"/>
      <c r="M754" s="43"/>
      <c r="N754" s="44"/>
      <c r="O754" s="45">
        <f t="shared" si="424"/>
        <v>112.2</v>
      </c>
      <c r="P754" s="51"/>
      <c r="Q754" s="51"/>
      <c r="R754" s="74">
        <f t="shared" si="419"/>
        <v>78.2440635451505</v>
      </c>
      <c r="S754" s="74"/>
      <c r="T754" s="75">
        <f t="shared" si="420"/>
        <v>0.156772575250836</v>
      </c>
      <c r="U754" s="74"/>
      <c r="V754" s="74"/>
      <c r="W754" s="76">
        <f t="shared" si="417"/>
        <v>78.4008361204013</v>
      </c>
      <c r="X754" s="77">
        <f t="shared" si="421"/>
        <v>1.22479515050167</v>
      </c>
      <c r="Y754" s="77"/>
      <c r="Z754" s="77"/>
      <c r="AA754" s="77">
        <f t="shared" si="418"/>
        <v>1.22479515050167</v>
      </c>
      <c r="AB754" s="86">
        <v>7.08</v>
      </c>
      <c r="AC754" s="74">
        <f t="shared" si="415"/>
        <v>8.67154966555184</v>
      </c>
      <c r="AD754" s="74">
        <f t="shared" si="412"/>
        <v>87.0723857859532</v>
      </c>
      <c r="AE754" s="74">
        <f t="shared" si="413"/>
        <v>25.1276142140468</v>
      </c>
    </row>
    <row r="755" customFormat="1" spans="1:31">
      <c r="A755" s="18"/>
      <c r="B755" s="19"/>
      <c r="C755" s="20">
        <v>240920000033</v>
      </c>
      <c r="D755" s="21">
        <v>45560</v>
      </c>
      <c r="E755" s="21" t="s">
        <v>43</v>
      </c>
      <c r="F755" s="19" t="s">
        <v>44</v>
      </c>
      <c r="G755" s="19" t="s">
        <v>451</v>
      </c>
      <c r="H755" s="19">
        <v>14.5</v>
      </c>
      <c r="I755" s="45"/>
      <c r="J755" s="54">
        <v>206767.1</v>
      </c>
      <c r="K755" s="43"/>
      <c r="L755" s="49">
        <f t="shared" si="422"/>
        <v>1739.00008775442</v>
      </c>
      <c r="M755" s="50">
        <v>118.899994</v>
      </c>
      <c r="N755" s="44">
        <v>7.08</v>
      </c>
      <c r="O755" s="45">
        <f t="shared" si="423"/>
        <v>841.81195752</v>
      </c>
      <c r="P755" s="51"/>
      <c r="Q755" s="51"/>
      <c r="R755" s="74">
        <f t="shared" si="419"/>
        <v>756.359280936455</v>
      </c>
      <c r="S755" s="74"/>
      <c r="T755" s="75">
        <f t="shared" si="420"/>
        <v>1.51546822742475</v>
      </c>
      <c r="U755" s="74"/>
      <c r="V755" s="74"/>
      <c r="W755" s="76">
        <f t="shared" si="417"/>
        <v>757.87474916388</v>
      </c>
      <c r="X755" s="77">
        <f t="shared" si="421"/>
        <v>11.8396864548495</v>
      </c>
      <c r="Y755" s="77"/>
      <c r="Z755" s="77"/>
      <c r="AA755" s="77">
        <f t="shared" si="418"/>
        <v>11.8396864548495</v>
      </c>
      <c r="AB755" s="86">
        <v>7.08</v>
      </c>
      <c r="AC755" s="74">
        <f t="shared" si="415"/>
        <v>83.8249801003345</v>
      </c>
      <c r="AD755" s="74">
        <f t="shared" si="412"/>
        <v>841.699729264214</v>
      </c>
      <c r="AE755" s="74">
        <f t="shared" si="413"/>
        <v>0.112228255785908</v>
      </c>
    </row>
    <row r="756" customFormat="1" spans="1:31">
      <c r="A756" s="18"/>
      <c r="B756" s="19"/>
      <c r="C756" s="20">
        <v>240920000042</v>
      </c>
      <c r="D756" s="21">
        <v>45560</v>
      </c>
      <c r="E756" s="21" t="s">
        <v>62</v>
      </c>
      <c r="F756" s="19" t="s">
        <v>63</v>
      </c>
      <c r="G756" s="19" t="s">
        <v>184</v>
      </c>
      <c r="H756" s="19">
        <v>4</v>
      </c>
      <c r="I756" s="41">
        <v>359.2</v>
      </c>
      <c r="J756" s="53"/>
      <c r="K756" s="43"/>
      <c r="L756" s="19"/>
      <c r="M756" s="43"/>
      <c r="N756" s="44"/>
      <c r="O756" s="45">
        <f t="shared" si="424"/>
        <v>359.2</v>
      </c>
      <c r="P756" s="51"/>
      <c r="Q756" s="51"/>
      <c r="R756" s="74">
        <f t="shared" si="419"/>
        <v>208.650836120401</v>
      </c>
      <c r="S756" s="74"/>
      <c r="T756" s="75">
        <f t="shared" si="420"/>
        <v>0.418060200668896</v>
      </c>
      <c r="U756" s="74"/>
      <c r="V756" s="75">
        <v>19</v>
      </c>
      <c r="W756" s="76">
        <f t="shared" si="417"/>
        <v>228.06889632107</v>
      </c>
      <c r="X756" s="77">
        <f t="shared" si="421"/>
        <v>3.26612040133779</v>
      </c>
      <c r="Y756" s="77"/>
      <c r="Z756" s="77"/>
      <c r="AA756" s="77">
        <f t="shared" si="418"/>
        <v>3.26612040133779</v>
      </c>
      <c r="AB756" s="86">
        <v>7.08</v>
      </c>
      <c r="AC756" s="74">
        <f t="shared" si="415"/>
        <v>23.1241324414716</v>
      </c>
      <c r="AD756" s="74">
        <f t="shared" si="412"/>
        <v>251.193028762542</v>
      </c>
      <c r="AE756" s="74">
        <f t="shared" si="413"/>
        <v>108.006971237458</v>
      </c>
    </row>
    <row r="757" customFormat="1" spans="1:31">
      <c r="A757" s="18"/>
      <c r="B757" s="19"/>
      <c r="C757" s="20">
        <v>240920000045</v>
      </c>
      <c r="D757" s="21">
        <v>45560</v>
      </c>
      <c r="E757" s="21" t="s">
        <v>50</v>
      </c>
      <c r="F757" s="19" t="s">
        <v>492</v>
      </c>
      <c r="G757" s="19" t="s">
        <v>492</v>
      </c>
      <c r="H757" s="19">
        <v>3</v>
      </c>
      <c r="I757" s="45"/>
      <c r="J757" s="54">
        <v>53561</v>
      </c>
      <c r="K757" s="43"/>
      <c r="L757" s="49">
        <f t="shared" si="422"/>
        <v>1738.99350649351</v>
      </c>
      <c r="M757" s="50">
        <v>30.8</v>
      </c>
      <c r="N757" s="44">
        <v>7.08</v>
      </c>
      <c r="O757" s="45">
        <f t="shared" si="423"/>
        <v>218.064</v>
      </c>
      <c r="P757" s="51"/>
      <c r="Q757" s="51"/>
      <c r="R757" s="74">
        <f t="shared" si="419"/>
        <v>156.488127090301</v>
      </c>
      <c r="S757" s="74"/>
      <c r="T757" s="75">
        <f t="shared" si="420"/>
        <v>0.313545150501672</v>
      </c>
      <c r="U757" s="74"/>
      <c r="V757" s="74"/>
      <c r="W757" s="76">
        <f t="shared" si="417"/>
        <v>156.801672240803</v>
      </c>
      <c r="X757" s="77">
        <f t="shared" si="421"/>
        <v>2.44959030100334</v>
      </c>
      <c r="Y757" s="77"/>
      <c r="Z757" s="77"/>
      <c r="AA757" s="77">
        <f t="shared" si="418"/>
        <v>2.44959030100334</v>
      </c>
      <c r="AB757" s="86">
        <v>7.08</v>
      </c>
      <c r="AC757" s="74">
        <f t="shared" si="415"/>
        <v>17.3430993311037</v>
      </c>
      <c r="AD757" s="74">
        <f t="shared" si="412"/>
        <v>174.144771571906</v>
      </c>
      <c r="AE757" s="74">
        <f t="shared" si="413"/>
        <v>43.919228428094</v>
      </c>
    </row>
    <row r="758" customFormat="1" spans="1:31">
      <c r="A758" s="18"/>
      <c r="B758" s="19"/>
      <c r="C758" s="20">
        <v>240920000046</v>
      </c>
      <c r="D758" s="21">
        <v>45560</v>
      </c>
      <c r="E758" s="21" t="s">
        <v>50</v>
      </c>
      <c r="F758" s="19" t="s">
        <v>51</v>
      </c>
      <c r="G758" s="19" t="s">
        <v>493</v>
      </c>
      <c r="H758" s="19">
        <v>3</v>
      </c>
      <c r="I758" s="41">
        <v>195</v>
      </c>
      <c r="J758" s="53"/>
      <c r="K758" s="43"/>
      <c r="L758" s="19"/>
      <c r="M758" s="43"/>
      <c r="N758" s="44"/>
      <c r="O758" s="45">
        <f t="shared" ref="O758:O766" si="425">SUM(I758)</f>
        <v>195</v>
      </c>
      <c r="P758" s="51"/>
      <c r="Q758" s="51"/>
      <c r="R758" s="74">
        <f t="shared" si="419"/>
        <v>156.488127090301</v>
      </c>
      <c r="S758" s="74"/>
      <c r="T758" s="75">
        <f t="shared" si="420"/>
        <v>0.313545150501672</v>
      </c>
      <c r="U758" s="74"/>
      <c r="V758" s="74"/>
      <c r="W758" s="76">
        <f t="shared" si="417"/>
        <v>156.801672240803</v>
      </c>
      <c r="X758" s="77">
        <f t="shared" si="421"/>
        <v>2.44959030100334</v>
      </c>
      <c r="Y758" s="77"/>
      <c r="Z758" s="77"/>
      <c r="AA758" s="77">
        <f t="shared" si="418"/>
        <v>2.44959030100334</v>
      </c>
      <c r="AB758" s="86">
        <v>7.08</v>
      </c>
      <c r="AC758" s="74">
        <f t="shared" si="415"/>
        <v>17.3430993311037</v>
      </c>
      <c r="AD758" s="74">
        <f t="shared" si="412"/>
        <v>174.144771571906</v>
      </c>
      <c r="AE758" s="74">
        <f t="shared" si="413"/>
        <v>20.855228428094</v>
      </c>
    </row>
    <row r="759" customFormat="1" spans="1:31">
      <c r="A759" s="18"/>
      <c r="B759" s="19"/>
      <c r="C759" s="20">
        <v>240921000001</v>
      </c>
      <c r="D759" s="21">
        <v>45560</v>
      </c>
      <c r="E759" s="21" t="s">
        <v>43</v>
      </c>
      <c r="F759" s="19" t="s">
        <v>44</v>
      </c>
      <c r="G759" s="19" t="s">
        <v>494</v>
      </c>
      <c r="H759" s="19">
        <v>4.5</v>
      </c>
      <c r="I759" s="41">
        <v>330</v>
      </c>
      <c r="J759" s="53"/>
      <c r="K759" s="43"/>
      <c r="L759" s="19"/>
      <c r="M759" s="43"/>
      <c r="N759" s="44"/>
      <c r="O759" s="45">
        <f t="shared" si="425"/>
        <v>330</v>
      </c>
      <c r="P759" s="51"/>
      <c r="Q759" s="51"/>
      <c r="R759" s="74">
        <f t="shared" si="419"/>
        <v>234.732190635452</v>
      </c>
      <c r="S759" s="74"/>
      <c r="T759" s="75">
        <f t="shared" si="420"/>
        <v>0.470317725752508</v>
      </c>
      <c r="U759" s="74">
        <v>30</v>
      </c>
      <c r="V759" s="74"/>
      <c r="W759" s="76">
        <f t="shared" si="417"/>
        <v>265.202508361204</v>
      </c>
      <c r="X759" s="77">
        <f t="shared" si="421"/>
        <v>3.67438545150502</v>
      </c>
      <c r="Y759" s="77"/>
      <c r="Z759" s="77"/>
      <c r="AA759" s="77">
        <f t="shared" si="418"/>
        <v>3.67438545150502</v>
      </c>
      <c r="AB759" s="86">
        <v>7.08</v>
      </c>
      <c r="AC759" s="74">
        <f t="shared" si="415"/>
        <v>26.0146489966555</v>
      </c>
      <c r="AD759" s="74">
        <f t="shared" si="412"/>
        <v>291.217157357859</v>
      </c>
      <c r="AE759" s="74">
        <f t="shared" si="413"/>
        <v>38.782842642141</v>
      </c>
    </row>
    <row r="760" customFormat="1" spans="1:31">
      <c r="A760" s="18"/>
      <c r="B760" s="19"/>
      <c r="C760" s="20">
        <v>240921000002</v>
      </c>
      <c r="D760" s="21">
        <v>45560</v>
      </c>
      <c r="E760" s="21" t="s">
        <v>62</v>
      </c>
      <c r="F760" s="19" t="s">
        <v>63</v>
      </c>
      <c r="G760" s="19" t="s">
        <v>186</v>
      </c>
      <c r="H760" s="19">
        <v>4.5</v>
      </c>
      <c r="I760" s="41">
        <v>300.3</v>
      </c>
      <c r="J760" s="53"/>
      <c r="K760" s="43"/>
      <c r="L760" s="19"/>
      <c r="M760" s="43"/>
      <c r="N760" s="44"/>
      <c r="O760" s="45">
        <f t="shared" si="425"/>
        <v>300.3</v>
      </c>
      <c r="P760" s="51"/>
      <c r="Q760" s="51"/>
      <c r="R760" s="74">
        <f t="shared" si="419"/>
        <v>234.732190635452</v>
      </c>
      <c r="S760" s="74"/>
      <c r="T760" s="75">
        <f t="shared" si="420"/>
        <v>0.470317725752508</v>
      </c>
      <c r="U760" s="74"/>
      <c r="V760" s="74"/>
      <c r="W760" s="76">
        <f t="shared" si="417"/>
        <v>235.202508361204</v>
      </c>
      <c r="X760" s="77">
        <f t="shared" si="421"/>
        <v>3.67438545150502</v>
      </c>
      <c r="Y760" s="77"/>
      <c r="Z760" s="77"/>
      <c r="AA760" s="77">
        <f t="shared" si="418"/>
        <v>3.67438545150502</v>
      </c>
      <c r="AB760" s="86">
        <v>7.08</v>
      </c>
      <c r="AC760" s="74">
        <f t="shared" si="415"/>
        <v>26.0146489966555</v>
      </c>
      <c r="AD760" s="74">
        <f t="shared" si="412"/>
        <v>261.217157357859</v>
      </c>
      <c r="AE760" s="74">
        <f t="shared" si="413"/>
        <v>39.082842642141</v>
      </c>
    </row>
    <row r="761" customFormat="1" spans="1:31">
      <c r="A761" s="18"/>
      <c r="B761" s="19"/>
      <c r="C761" s="20">
        <v>240921000005</v>
      </c>
      <c r="D761" s="21">
        <v>45560</v>
      </c>
      <c r="E761" s="21" t="s">
        <v>50</v>
      </c>
      <c r="F761" s="19" t="s">
        <v>51</v>
      </c>
      <c r="G761" s="19" t="s">
        <v>185</v>
      </c>
      <c r="H761" s="19">
        <v>13</v>
      </c>
      <c r="I761" s="41">
        <v>945</v>
      </c>
      <c r="J761" s="53"/>
      <c r="K761" s="43"/>
      <c r="L761" s="19"/>
      <c r="M761" s="43"/>
      <c r="N761" s="44"/>
      <c r="O761" s="45">
        <f t="shared" si="425"/>
        <v>945</v>
      </c>
      <c r="P761" s="51"/>
      <c r="Q761" s="51"/>
      <c r="R761" s="74">
        <f t="shared" si="419"/>
        <v>678.115217391304</v>
      </c>
      <c r="S761" s="74"/>
      <c r="T761" s="75">
        <f t="shared" si="420"/>
        <v>1.35869565217391</v>
      </c>
      <c r="U761" s="74"/>
      <c r="V761" s="74"/>
      <c r="W761" s="76">
        <f t="shared" si="417"/>
        <v>679.473913043478</v>
      </c>
      <c r="X761" s="77">
        <f t="shared" si="421"/>
        <v>10.6148913043478</v>
      </c>
      <c r="Y761" s="77"/>
      <c r="Z761" s="77"/>
      <c r="AA761" s="77">
        <f t="shared" si="418"/>
        <v>10.6148913043478</v>
      </c>
      <c r="AB761" s="86">
        <v>7.08</v>
      </c>
      <c r="AC761" s="74">
        <f t="shared" si="415"/>
        <v>75.1534304347826</v>
      </c>
      <c r="AD761" s="74">
        <f t="shared" si="412"/>
        <v>754.627343478261</v>
      </c>
      <c r="AE761" s="74">
        <f t="shared" si="413"/>
        <v>190.372656521739</v>
      </c>
    </row>
    <row r="762" customFormat="1" spans="1:31">
      <c r="A762" s="18"/>
      <c r="B762" s="19"/>
      <c r="C762" s="20">
        <v>240921000008</v>
      </c>
      <c r="D762" s="21">
        <v>45560</v>
      </c>
      <c r="E762" s="21" t="s">
        <v>50</v>
      </c>
      <c r="F762" s="19" t="s">
        <v>51</v>
      </c>
      <c r="G762" s="19" t="s">
        <v>343</v>
      </c>
      <c r="H762" s="19">
        <v>18</v>
      </c>
      <c r="I762" s="41">
        <v>1188</v>
      </c>
      <c r="J762" s="53"/>
      <c r="K762" s="43"/>
      <c r="L762" s="19"/>
      <c r="M762" s="43"/>
      <c r="N762" s="44"/>
      <c r="O762" s="45">
        <f t="shared" si="425"/>
        <v>1188</v>
      </c>
      <c r="P762" s="51"/>
      <c r="Q762" s="51"/>
      <c r="R762" s="74">
        <f t="shared" si="419"/>
        <v>938.928762541806</v>
      </c>
      <c r="S762" s="74"/>
      <c r="T762" s="75">
        <f t="shared" si="420"/>
        <v>1.88127090301003</v>
      </c>
      <c r="U762" s="74"/>
      <c r="V762" s="74"/>
      <c r="W762" s="76">
        <f t="shared" si="417"/>
        <v>940.810033444816</v>
      </c>
      <c r="X762" s="77">
        <f t="shared" si="421"/>
        <v>14.6975418060201</v>
      </c>
      <c r="Y762" s="77"/>
      <c r="Z762" s="77"/>
      <c r="AA762" s="77">
        <f t="shared" si="418"/>
        <v>14.6975418060201</v>
      </c>
      <c r="AB762" s="86">
        <v>7.08</v>
      </c>
      <c r="AC762" s="74">
        <f t="shared" si="415"/>
        <v>104.058595986622</v>
      </c>
      <c r="AD762" s="74">
        <f t="shared" si="412"/>
        <v>1044.86862943144</v>
      </c>
      <c r="AE762" s="74">
        <f t="shared" si="413"/>
        <v>143.13137056856</v>
      </c>
    </row>
    <row r="763" customFormat="1" spans="1:31">
      <c r="A763" s="18"/>
      <c r="B763" s="19"/>
      <c r="C763" s="20">
        <v>240921000010</v>
      </c>
      <c r="D763" s="21">
        <v>45560</v>
      </c>
      <c r="E763" s="21" t="s">
        <v>50</v>
      </c>
      <c r="F763" s="19" t="s">
        <v>51</v>
      </c>
      <c r="G763" s="19" t="s">
        <v>242</v>
      </c>
      <c r="H763" s="19">
        <v>14</v>
      </c>
      <c r="I763" s="41">
        <v>952</v>
      </c>
      <c r="J763" s="53"/>
      <c r="K763" s="43"/>
      <c r="L763" s="19"/>
      <c r="M763" s="43"/>
      <c r="N763" s="44"/>
      <c r="O763" s="45">
        <f t="shared" si="425"/>
        <v>952</v>
      </c>
      <c r="P763" s="51"/>
      <c r="Q763" s="51"/>
      <c r="R763" s="74">
        <f t="shared" si="419"/>
        <v>730.277926421405</v>
      </c>
      <c r="S763" s="74"/>
      <c r="T763" s="75">
        <f t="shared" si="420"/>
        <v>1.46321070234114</v>
      </c>
      <c r="U763" s="74"/>
      <c r="V763" s="74"/>
      <c r="W763" s="76">
        <f t="shared" si="417"/>
        <v>731.741137123746</v>
      </c>
      <c r="X763" s="77">
        <f t="shared" si="421"/>
        <v>11.4314214046823</v>
      </c>
      <c r="Y763" s="77"/>
      <c r="Z763" s="77"/>
      <c r="AA763" s="77">
        <f t="shared" si="418"/>
        <v>11.4314214046823</v>
      </c>
      <c r="AB763" s="86">
        <v>7.08</v>
      </c>
      <c r="AC763" s="74">
        <f t="shared" si="415"/>
        <v>80.9344635451505</v>
      </c>
      <c r="AD763" s="74">
        <f t="shared" ref="AD763:AD777" si="426">SUM(W763+AC763)</f>
        <v>812.675600668896</v>
      </c>
      <c r="AE763" s="74">
        <f t="shared" ref="AE763:AE776" si="427">SUM(O763-AD763)</f>
        <v>139.324399331104</v>
      </c>
    </row>
    <row r="764" customFormat="1" spans="1:31">
      <c r="A764" s="18"/>
      <c r="B764" s="19"/>
      <c r="C764" s="20">
        <v>240921000017</v>
      </c>
      <c r="D764" s="21">
        <v>45560</v>
      </c>
      <c r="E764" s="21" t="s">
        <v>50</v>
      </c>
      <c r="F764" s="19" t="s">
        <v>51</v>
      </c>
      <c r="G764" s="19" t="s">
        <v>495</v>
      </c>
      <c r="H764" s="19">
        <v>0.756</v>
      </c>
      <c r="I764" s="41">
        <v>75.9</v>
      </c>
      <c r="J764" s="53"/>
      <c r="K764" s="43"/>
      <c r="L764" s="19"/>
      <c r="M764" s="43"/>
      <c r="N764" s="44"/>
      <c r="O764" s="45">
        <f t="shared" si="425"/>
        <v>75.9</v>
      </c>
      <c r="P764" s="51"/>
      <c r="Q764" s="51"/>
      <c r="R764" s="74">
        <f t="shared" si="419"/>
        <v>39.4350080267559</v>
      </c>
      <c r="S764" s="74"/>
      <c r="T764" s="75">
        <f t="shared" si="420"/>
        <v>0.0790133779264214</v>
      </c>
      <c r="U764" s="74"/>
      <c r="V764" s="74"/>
      <c r="W764" s="76">
        <f t="shared" ref="W764:W776" si="428">SUM(R764:V764)</f>
        <v>39.5140214046823</v>
      </c>
      <c r="X764" s="77">
        <f t="shared" si="421"/>
        <v>0.617296755852843</v>
      </c>
      <c r="Y764" s="77"/>
      <c r="Z764" s="77"/>
      <c r="AA764" s="77">
        <f t="shared" si="418"/>
        <v>0.617296755852843</v>
      </c>
      <c r="AB764" s="86">
        <v>7.08</v>
      </c>
      <c r="AC764" s="74">
        <f t="shared" ref="AC764:AC777" si="429">SUM(AA764*AB764)</f>
        <v>4.37046103143813</v>
      </c>
      <c r="AD764" s="74">
        <f t="shared" si="426"/>
        <v>43.8844824361204</v>
      </c>
      <c r="AE764" s="74">
        <f t="shared" si="427"/>
        <v>32.0155175638796</v>
      </c>
    </row>
    <row r="765" customFormat="1" spans="1:31">
      <c r="A765" s="18"/>
      <c r="B765" s="19"/>
      <c r="C765" s="20">
        <v>240921000020</v>
      </c>
      <c r="D765" s="21">
        <v>45560</v>
      </c>
      <c r="E765" s="21" t="s">
        <v>41</v>
      </c>
      <c r="F765" s="19" t="s">
        <v>41</v>
      </c>
      <c r="G765" s="19" t="s">
        <v>244</v>
      </c>
      <c r="H765" s="19">
        <v>209</v>
      </c>
      <c r="I765" s="41">
        <v>19887</v>
      </c>
      <c r="J765" s="53"/>
      <c r="K765" s="43"/>
      <c r="L765" s="19"/>
      <c r="M765" s="43"/>
      <c r="N765" s="44"/>
      <c r="O765" s="45">
        <f t="shared" si="425"/>
        <v>19887</v>
      </c>
      <c r="P765" s="52"/>
      <c r="Q765" s="52"/>
      <c r="R765" s="74">
        <f t="shared" si="419"/>
        <v>10902.006187291</v>
      </c>
      <c r="S765" s="74"/>
      <c r="T765" s="75">
        <f t="shared" si="420"/>
        <v>21.8436454849498</v>
      </c>
      <c r="U765" s="74"/>
      <c r="V765" s="74"/>
      <c r="W765" s="76">
        <f t="shared" si="428"/>
        <v>10923.8498327759</v>
      </c>
      <c r="X765" s="77">
        <f t="shared" si="421"/>
        <v>170.6547909699</v>
      </c>
      <c r="Y765" s="77"/>
      <c r="Z765" s="77"/>
      <c r="AA765" s="77">
        <f t="shared" ref="AA765:AA776" si="430">SUM(X765:Z765)</f>
        <v>170.6547909699</v>
      </c>
      <c r="AB765" s="86">
        <v>7.08</v>
      </c>
      <c r="AC765" s="74">
        <f t="shared" si="429"/>
        <v>1208.23592006689</v>
      </c>
      <c r="AD765" s="74">
        <f t="shared" si="426"/>
        <v>12132.0857528428</v>
      </c>
      <c r="AE765" s="74">
        <f t="shared" si="427"/>
        <v>7754.91424715721</v>
      </c>
    </row>
    <row r="766" customFormat="1" spans="1:31">
      <c r="A766" s="18" t="s">
        <v>496</v>
      </c>
      <c r="B766" s="19" t="s">
        <v>497</v>
      </c>
      <c r="C766" s="20">
        <v>240923000020</v>
      </c>
      <c r="D766" s="21">
        <v>45561</v>
      </c>
      <c r="E766" s="21" t="s">
        <v>43</v>
      </c>
      <c r="F766" s="19" t="s">
        <v>44</v>
      </c>
      <c r="G766" s="19" t="s">
        <v>498</v>
      </c>
      <c r="H766" s="19">
        <v>1.5</v>
      </c>
      <c r="I766" s="41">
        <v>283</v>
      </c>
      <c r="J766" s="53"/>
      <c r="K766" s="43"/>
      <c r="L766" s="19"/>
      <c r="M766" s="43"/>
      <c r="N766" s="44"/>
      <c r="O766" s="45">
        <f t="shared" si="425"/>
        <v>283</v>
      </c>
      <c r="P766" s="46">
        <f>SUM(O766:O776)</f>
        <v>3362.9564</v>
      </c>
      <c r="Q766" s="46" t="s">
        <v>40</v>
      </c>
      <c r="R766" s="74">
        <f>SUM(2400/32)*H766</f>
        <v>112.5</v>
      </c>
      <c r="S766" s="74"/>
      <c r="T766" s="75">
        <f>SUM(63.98/32)*H766</f>
        <v>2.9990625</v>
      </c>
      <c r="U766" s="74"/>
      <c r="V766" s="74"/>
      <c r="W766" s="76">
        <f t="shared" si="428"/>
        <v>115.4990625</v>
      </c>
      <c r="X766" s="77">
        <f>SUM(128.12/32)*H766</f>
        <v>6.005625</v>
      </c>
      <c r="Y766" s="77">
        <v>14.97</v>
      </c>
      <c r="Z766" s="77"/>
      <c r="AA766" s="77">
        <f t="shared" si="430"/>
        <v>20.975625</v>
      </c>
      <c r="AB766" s="86">
        <v>7.08</v>
      </c>
      <c r="AC766" s="74">
        <f t="shared" si="429"/>
        <v>148.507425</v>
      </c>
      <c r="AD766" s="74">
        <f t="shared" si="426"/>
        <v>264.0064875</v>
      </c>
      <c r="AE766" s="74">
        <f t="shared" si="427"/>
        <v>18.9935125</v>
      </c>
    </row>
    <row r="767" customFormat="1" spans="1:31">
      <c r="A767" s="18"/>
      <c r="B767" s="19"/>
      <c r="C767" s="20">
        <v>240923000046</v>
      </c>
      <c r="D767" s="21">
        <v>45561</v>
      </c>
      <c r="E767" s="21" t="s">
        <v>50</v>
      </c>
      <c r="F767" s="19" t="s">
        <v>51</v>
      </c>
      <c r="G767" s="19" t="s">
        <v>499</v>
      </c>
      <c r="H767" s="19">
        <v>0.86</v>
      </c>
      <c r="I767" s="47"/>
      <c r="J767" s="54">
        <v>18225</v>
      </c>
      <c r="K767" s="43"/>
      <c r="L767" s="49">
        <f>SUM(J767/M767)</f>
        <v>1720.96317280453</v>
      </c>
      <c r="M767" s="50">
        <v>10.59</v>
      </c>
      <c r="N767" s="44">
        <v>7.08</v>
      </c>
      <c r="O767" s="45">
        <f>SUM(M767*N767)</f>
        <v>74.9772</v>
      </c>
      <c r="P767" s="51"/>
      <c r="Q767" s="51"/>
      <c r="R767" s="74">
        <f t="shared" ref="R767:R776" si="431">SUM(2400/32)*H767</f>
        <v>64.5</v>
      </c>
      <c r="S767" s="74"/>
      <c r="T767" s="75">
        <f t="shared" ref="T767:T776" si="432">SUM(63.98/32)*H767</f>
        <v>1.7194625</v>
      </c>
      <c r="U767" s="74"/>
      <c r="V767" s="74"/>
      <c r="W767" s="76">
        <f t="shared" si="428"/>
        <v>66.2194625</v>
      </c>
      <c r="X767" s="77">
        <f t="shared" ref="X767:X776" si="433">SUM(128.12/32)*H767</f>
        <v>3.443225</v>
      </c>
      <c r="Y767" s="77"/>
      <c r="Z767" s="77"/>
      <c r="AA767" s="77">
        <f t="shared" si="430"/>
        <v>3.443225</v>
      </c>
      <c r="AB767" s="86">
        <v>7.08</v>
      </c>
      <c r="AC767" s="74">
        <f t="shared" si="429"/>
        <v>24.378033</v>
      </c>
      <c r="AD767" s="74">
        <f t="shared" si="426"/>
        <v>90.5974955</v>
      </c>
      <c r="AE767" s="74">
        <f t="shared" si="427"/>
        <v>-15.6202955</v>
      </c>
    </row>
    <row r="768" customFormat="1" spans="1:31">
      <c r="A768" s="18"/>
      <c r="B768" s="19"/>
      <c r="C768" s="20">
        <v>240923000054</v>
      </c>
      <c r="D768" s="21">
        <v>45561</v>
      </c>
      <c r="E768" s="21" t="s">
        <v>62</v>
      </c>
      <c r="F768" s="19" t="s">
        <v>63</v>
      </c>
      <c r="G768" s="19" t="s">
        <v>312</v>
      </c>
      <c r="H768" s="19">
        <v>2</v>
      </c>
      <c r="I768" s="41">
        <v>230</v>
      </c>
      <c r="J768" s="53"/>
      <c r="K768" s="43"/>
      <c r="L768" s="19"/>
      <c r="M768" s="43"/>
      <c r="N768" s="44"/>
      <c r="O768" s="45">
        <f t="shared" ref="O768:O770" si="434">SUM(I768)</f>
        <v>230</v>
      </c>
      <c r="P768" s="51"/>
      <c r="Q768" s="51"/>
      <c r="R768" s="74">
        <f t="shared" si="431"/>
        <v>150</v>
      </c>
      <c r="S768" s="74"/>
      <c r="T768" s="75">
        <f t="shared" si="432"/>
        <v>3.99875</v>
      </c>
      <c r="U768" s="74"/>
      <c r="V768" s="74"/>
      <c r="W768" s="76">
        <f t="shared" si="428"/>
        <v>153.99875</v>
      </c>
      <c r="X768" s="77">
        <f t="shared" si="433"/>
        <v>8.0075</v>
      </c>
      <c r="Y768" s="77"/>
      <c r="Z768" s="77"/>
      <c r="AA768" s="77">
        <f t="shared" si="430"/>
        <v>8.0075</v>
      </c>
      <c r="AB768" s="86">
        <v>7.08</v>
      </c>
      <c r="AC768" s="74">
        <f t="shared" si="429"/>
        <v>56.6931</v>
      </c>
      <c r="AD768" s="74">
        <f t="shared" si="426"/>
        <v>210.69185</v>
      </c>
      <c r="AE768" s="74">
        <f t="shared" si="427"/>
        <v>19.30815</v>
      </c>
    </row>
    <row r="769" customFormat="1" spans="1:31">
      <c r="A769" s="18"/>
      <c r="B769" s="19"/>
      <c r="C769" s="20">
        <v>240924000009</v>
      </c>
      <c r="D769" s="21">
        <v>45561</v>
      </c>
      <c r="E769" s="21" t="s">
        <v>41</v>
      </c>
      <c r="F769" s="19" t="s">
        <v>68</v>
      </c>
      <c r="G769" s="19" t="s">
        <v>69</v>
      </c>
      <c r="H769" s="19">
        <v>3.5</v>
      </c>
      <c r="I769" s="47">
        <v>420</v>
      </c>
      <c r="J769" s="53"/>
      <c r="K769" s="43"/>
      <c r="L769" s="19"/>
      <c r="M769" s="43"/>
      <c r="N769" s="44"/>
      <c r="O769" s="45">
        <f t="shared" si="434"/>
        <v>420</v>
      </c>
      <c r="P769" s="51"/>
      <c r="Q769" s="51"/>
      <c r="R769" s="74">
        <f t="shared" si="431"/>
        <v>262.5</v>
      </c>
      <c r="S769" s="74"/>
      <c r="T769" s="75">
        <f t="shared" si="432"/>
        <v>6.9978125</v>
      </c>
      <c r="U769" s="74"/>
      <c r="V769" s="74"/>
      <c r="W769" s="76">
        <f t="shared" si="428"/>
        <v>269.4978125</v>
      </c>
      <c r="X769" s="77">
        <f t="shared" si="433"/>
        <v>14.013125</v>
      </c>
      <c r="Y769" s="77"/>
      <c r="Z769" s="77"/>
      <c r="AA769" s="77">
        <f t="shared" si="430"/>
        <v>14.013125</v>
      </c>
      <c r="AB769" s="86">
        <v>7.08</v>
      </c>
      <c r="AC769" s="74">
        <f t="shared" si="429"/>
        <v>99.212925</v>
      </c>
      <c r="AD769" s="74">
        <f t="shared" si="426"/>
        <v>368.7107375</v>
      </c>
      <c r="AE769" s="74">
        <f t="shared" si="427"/>
        <v>51.2892625</v>
      </c>
    </row>
    <row r="770" customFormat="1" spans="1:31">
      <c r="A770" s="18"/>
      <c r="B770" s="19"/>
      <c r="C770" s="20">
        <v>240924000012</v>
      </c>
      <c r="D770" s="21">
        <v>45561</v>
      </c>
      <c r="E770" s="21" t="s">
        <v>43</v>
      </c>
      <c r="F770" s="19" t="s">
        <v>44</v>
      </c>
      <c r="G770" s="19" t="s">
        <v>500</v>
      </c>
      <c r="H770" s="19">
        <v>0.98</v>
      </c>
      <c r="I770" s="41">
        <v>120</v>
      </c>
      <c r="J770" s="53"/>
      <c r="K770" s="43"/>
      <c r="L770" s="19"/>
      <c r="M770" s="43"/>
      <c r="N770" s="44"/>
      <c r="O770" s="45">
        <f t="shared" si="434"/>
        <v>120</v>
      </c>
      <c r="P770" s="51"/>
      <c r="Q770" s="51"/>
      <c r="R770" s="74">
        <f t="shared" si="431"/>
        <v>73.5</v>
      </c>
      <c r="S770" s="74"/>
      <c r="T770" s="75">
        <f t="shared" si="432"/>
        <v>1.9593875</v>
      </c>
      <c r="U770" s="74"/>
      <c r="V770" s="74"/>
      <c r="W770" s="76">
        <f t="shared" si="428"/>
        <v>75.4593875</v>
      </c>
      <c r="X770" s="77">
        <f t="shared" si="433"/>
        <v>3.923675</v>
      </c>
      <c r="Y770" s="77"/>
      <c r="Z770" s="77"/>
      <c r="AA770" s="77">
        <f t="shared" si="430"/>
        <v>3.923675</v>
      </c>
      <c r="AB770" s="86">
        <v>7.08</v>
      </c>
      <c r="AC770" s="74">
        <f t="shared" si="429"/>
        <v>27.779619</v>
      </c>
      <c r="AD770" s="74">
        <f t="shared" si="426"/>
        <v>103.2390065</v>
      </c>
      <c r="AE770" s="74">
        <f t="shared" si="427"/>
        <v>16.7609935</v>
      </c>
    </row>
    <row r="771" customFormat="1" spans="1:31">
      <c r="A771" s="18"/>
      <c r="B771" s="19"/>
      <c r="C771" s="20">
        <v>240924000021</v>
      </c>
      <c r="D771" s="21">
        <v>45561</v>
      </c>
      <c r="E771" s="21" t="s">
        <v>46</v>
      </c>
      <c r="F771" s="19" t="s">
        <v>47</v>
      </c>
      <c r="G771" s="19" t="s">
        <v>318</v>
      </c>
      <c r="H771" s="19">
        <v>1</v>
      </c>
      <c r="I771" s="47"/>
      <c r="J771" s="54">
        <v>28174</v>
      </c>
      <c r="K771" s="43"/>
      <c r="L771" s="49">
        <f>SUM(J771/M771)</f>
        <v>1734.85221674877</v>
      </c>
      <c r="M771" s="50">
        <v>16.24</v>
      </c>
      <c r="N771" s="44">
        <v>7.08</v>
      </c>
      <c r="O771" s="45">
        <f>SUM(M771*N771)</f>
        <v>114.9792</v>
      </c>
      <c r="P771" s="51"/>
      <c r="Q771" s="51"/>
      <c r="R771" s="74">
        <f t="shared" si="431"/>
        <v>75</v>
      </c>
      <c r="S771" s="74"/>
      <c r="T771" s="75">
        <f t="shared" si="432"/>
        <v>1.999375</v>
      </c>
      <c r="U771" s="74"/>
      <c r="V771" s="74"/>
      <c r="W771" s="76">
        <f t="shared" si="428"/>
        <v>76.999375</v>
      </c>
      <c r="X771" s="77">
        <f t="shared" si="433"/>
        <v>4.00375</v>
      </c>
      <c r="Y771" s="77"/>
      <c r="Z771" s="77"/>
      <c r="AA771" s="77">
        <f t="shared" si="430"/>
        <v>4.00375</v>
      </c>
      <c r="AB771" s="86">
        <v>7.08</v>
      </c>
      <c r="AC771" s="74">
        <f t="shared" si="429"/>
        <v>28.34655</v>
      </c>
      <c r="AD771" s="74">
        <f t="shared" si="426"/>
        <v>105.345925</v>
      </c>
      <c r="AE771" s="74">
        <f t="shared" si="427"/>
        <v>9.63327500000001</v>
      </c>
    </row>
    <row r="772" customFormat="1" spans="1:31">
      <c r="A772" s="18"/>
      <c r="B772" s="19"/>
      <c r="C772" s="20">
        <v>240924000029</v>
      </c>
      <c r="D772" s="21">
        <v>45561</v>
      </c>
      <c r="E772" s="21" t="s">
        <v>191</v>
      </c>
      <c r="F772" s="19" t="s">
        <v>192</v>
      </c>
      <c r="G772" s="19" t="s">
        <v>501</v>
      </c>
      <c r="H772" s="19">
        <v>0.1</v>
      </c>
      <c r="I772" s="41">
        <v>150</v>
      </c>
      <c r="J772" s="53"/>
      <c r="K772" s="43"/>
      <c r="L772" s="19"/>
      <c r="M772" s="43"/>
      <c r="N772" s="44"/>
      <c r="O772" s="45">
        <f t="shared" ref="O772:O778" si="435">SUM(I772)</f>
        <v>150</v>
      </c>
      <c r="P772" s="51"/>
      <c r="Q772" s="51"/>
      <c r="R772" s="74">
        <f t="shared" si="431"/>
        <v>7.5</v>
      </c>
      <c r="S772" s="74"/>
      <c r="T772" s="75">
        <f t="shared" si="432"/>
        <v>0.1999375</v>
      </c>
      <c r="U772" s="74"/>
      <c r="V772" s="74"/>
      <c r="W772" s="76">
        <f t="shared" si="428"/>
        <v>7.6999375</v>
      </c>
      <c r="X772" s="77">
        <f t="shared" si="433"/>
        <v>0.400375</v>
      </c>
      <c r="Y772" s="77"/>
      <c r="Z772" s="77"/>
      <c r="AA772" s="77">
        <f t="shared" si="430"/>
        <v>0.400375</v>
      </c>
      <c r="AB772" s="86">
        <v>7.08</v>
      </c>
      <c r="AC772" s="74">
        <f t="shared" si="429"/>
        <v>2.834655</v>
      </c>
      <c r="AD772" s="74">
        <f t="shared" si="426"/>
        <v>10.5345925</v>
      </c>
      <c r="AE772" s="74">
        <f t="shared" si="427"/>
        <v>139.4654075</v>
      </c>
    </row>
    <row r="773" customFormat="1" spans="1:31">
      <c r="A773" s="18"/>
      <c r="B773" s="19"/>
      <c r="C773" s="20">
        <v>240924000041</v>
      </c>
      <c r="D773" s="21">
        <v>45561</v>
      </c>
      <c r="E773" s="21" t="s">
        <v>50</v>
      </c>
      <c r="F773" s="19" t="s">
        <v>51</v>
      </c>
      <c r="G773" s="19" t="s">
        <v>164</v>
      </c>
      <c r="H773" s="19">
        <v>4</v>
      </c>
      <c r="I773" s="41">
        <v>480</v>
      </c>
      <c r="J773" s="53"/>
      <c r="K773" s="43"/>
      <c r="L773" s="19"/>
      <c r="M773" s="43"/>
      <c r="N773" s="44"/>
      <c r="O773" s="45">
        <f t="shared" si="435"/>
        <v>480</v>
      </c>
      <c r="P773" s="51"/>
      <c r="Q773" s="51"/>
      <c r="R773" s="74">
        <f t="shared" si="431"/>
        <v>300</v>
      </c>
      <c r="S773" s="74"/>
      <c r="T773" s="75">
        <f t="shared" si="432"/>
        <v>7.9975</v>
      </c>
      <c r="U773" s="74"/>
      <c r="V773" s="74"/>
      <c r="W773" s="76">
        <f t="shared" si="428"/>
        <v>307.9975</v>
      </c>
      <c r="X773" s="77">
        <f t="shared" si="433"/>
        <v>16.015</v>
      </c>
      <c r="Y773" s="77"/>
      <c r="Z773" s="77"/>
      <c r="AA773" s="77">
        <f t="shared" si="430"/>
        <v>16.015</v>
      </c>
      <c r="AB773" s="86">
        <v>7.08</v>
      </c>
      <c r="AC773" s="74">
        <f t="shared" si="429"/>
        <v>113.3862</v>
      </c>
      <c r="AD773" s="74">
        <f t="shared" si="426"/>
        <v>421.3837</v>
      </c>
      <c r="AE773" s="74">
        <f t="shared" si="427"/>
        <v>58.6163</v>
      </c>
    </row>
    <row r="774" customFormat="1" spans="1:31">
      <c r="A774" s="18"/>
      <c r="B774" s="19"/>
      <c r="C774" s="20">
        <v>240924000047</v>
      </c>
      <c r="D774" s="21">
        <v>45561</v>
      </c>
      <c r="E774" s="21" t="s">
        <v>43</v>
      </c>
      <c r="F774" s="19" t="s">
        <v>44</v>
      </c>
      <c r="G774" s="19" t="s">
        <v>77</v>
      </c>
      <c r="H774" s="19">
        <v>4.5</v>
      </c>
      <c r="I774" s="41">
        <v>540</v>
      </c>
      <c r="J774" s="53"/>
      <c r="K774" s="43"/>
      <c r="L774" s="19"/>
      <c r="M774" s="43"/>
      <c r="N774" s="44"/>
      <c r="O774" s="45">
        <f t="shared" si="435"/>
        <v>540</v>
      </c>
      <c r="P774" s="51"/>
      <c r="Q774" s="51"/>
      <c r="R774" s="74">
        <f t="shared" si="431"/>
        <v>337.5</v>
      </c>
      <c r="S774" s="74"/>
      <c r="T774" s="75">
        <f t="shared" si="432"/>
        <v>8.9971875</v>
      </c>
      <c r="U774" s="74"/>
      <c r="V774" s="74"/>
      <c r="W774" s="76">
        <f t="shared" si="428"/>
        <v>346.4971875</v>
      </c>
      <c r="X774" s="77">
        <f t="shared" si="433"/>
        <v>18.016875</v>
      </c>
      <c r="Y774" s="77"/>
      <c r="Z774" s="77"/>
      <c r="AA774" s="77">
        <f t="shared" si="430"/>
        <v>18.016875</v>
      </c>
      <c r="AB774" s="86">
        <v>7.08</v>
      </c>
      <c r="AC774" s="74">
        <f t="shared" si="429"/>
        <v>127.559475</v>
      </c>
      <c r="AD774" s="74">
        <f t="shared" si="426"/>
        <v>474.0566625</v>
      </c>
      <c r="AE774" s="74">
        <f t="shared" si="427"/>
        <v>65.9433375</v>
      </c>
    </row>
    <row r="775" customFormat="1" spans="1:31">
      <c r="A775" s="18"/>
      <c r="B775" s="19"/>
      <c r="C775" s="20">
        <v>240924000059</v>
      </c>
      <c r="D775" s="21">
        <v>45561</v>
      </c>
      <c r="E775" s="21" t="s">
        <v>50</v>
      </c>
      <c r="F775" s="19" t="s">
        <v>51</v>
      </c>
      <c r="G775" s="19" t="s">
        <v>164</v>
      </c>
      <c r="H775" s="19">
        <v>6.5</v>
      </c>
      <c r="I775" s="41">
        <v>780</v>
      </c>
      <c r="J775" s="53"/>
      <c r="K775" s="43"/>
      <c r="L775" s="19"/>
      <c r="M775" s="43"/>
      <c r="N775" s="44"/>
      <c r="O775" s="45">
        <f t="shared" si="435"/>
        <v>780</v>
      </c>
      <c r="P775" s="51"/>
      <c r="Q775" s="51"/>
      <c r="R775" s="74">
        <f t="shared" si="431"/>
        <v>487.5</v>
      </c>
      <c r="S775" s="74"/>
      <c r="T775" s="75">
        <f t="shared" si="432"/>
        <v>12.9959375</v>
      </c>
      <c r="U775" s="74"/>
      <c r="V775" s="74"/>
      <c r="W775" s="76">
        <f t="shared" si="428"/>
        <v>500.4959375</v>
      </c>
      <c r="X775" s="77">
        <f t="shared" si="433"/>
        <v>26.024375</v>
      </c>
      <c r="Y775" s="77"/>
      <c r="Z775" s="77"/>
      <c r="AA775" s="77">
        <f t="shared" si="430"/>
        <v>26.024375</v>
      </c>
      <c r="AB775" s="86">
        <v>7.08</v>
      </c>
      <c r="AC775" s="74">
        <f t="shared" ref="AC775:AC818" si="436">SUM(AA775*AB775)</f>
        <v>184.252575</v>
      </c>
      <c r="AD775" s="74">
        <f t="shared" ref="AD775:AD818" si="437">SUM(W775+AC775)</f>
        <v>684.7485125</v>
      </c>
      <c r="AE775" s="74">
        <f t="shared" ref="AE775:AE818" si="438">SUM(O775-AD775)</f>
        <v>95.2514874999999</v>
      </c>
    </row>
    <row r="776" customFormat="1" spans="1:31">
      <c r="A776" s="18"/>
      <c r="B776" s="19"/>
      <c r="C776" s="20">
        <v>240924000060</v>
      </c>
      <c r="D776" s="21">
        <v>45561</v>
      </c>
      <c r="E776" s="21" t="s">
        <v>50</v>
      </c>
      <c r="F776" s="19" t="s">
        <v>51</v>
      </c>
      <c r="G776" s="19" t="s">
        <v>65</v>
      </c>
      <c r="H776" s="19">
        <v>0.48</v>
      </c>
      <c r="I776" s="41">
        <v>170</v>
      </c>
      <c r="J776" s="53"/>
      <c r="K776" s="43"/>
      <c r="L776" s="19"/>
      <c r="M776" s="43"/>
      <c r="N776" s="44"/>
      <c r="O776" s="45">
        <f t="shared" si="435"/>
        <v>170</v>
      </c>
      <c r="P776" s="52"/>
      <c r="Q776" s="52"/>
      <c r="R776" s="74">
        <f t="shared" si="431"/>
        <v>36</v>
      </c>
      <c r="S776" s="74"/>
      <c r="T776" s="75">
        <f t="shared" si="432"/>
        <v>0.9597</v>
      </c>
      <c r="U776" s="74"/>
      <c r="V776" s="74"/>
      <c r="W776" s="76">
        <f t="shared" ref="W776:W818" si="439">SUM(R776:V776)</f>
        <v>36.9597</v>
      </c>
      <c r="X776" s="77">
        <f t="shared" si="433"/>
        <v>1.9218</v>
      </c>
      <c r="Y776" s="77"/>
      <c r="Z776" s="77"/>
      <c r="AA776" s="77">
        <f t="shared" ref="AA776:AA818" si="440">SUM(X776:Z776)</f>
        <v>1.9218</v>
      </c>
      <c r="AB776" s="86">
        <v>7.08</v>
      </c>
      <c r="AC776" s="74">
        <f t="shared" si="436"/>
        <v>13.606344</v>
      </c>
      <c r="AD776" s="74">
        <f t="shared" si="437"/>
        <v>50.566044</v>
      </c>
      <c r="AE776" s="74">
        <f t="shared" si="438"/>
        <v>119.433956</v>
      </c>
    </row>
    <row r="777" customFormat="1" spans="1:31">
      <c r="A777" s="18" t="s">
        <v>502</v>
      </c>
      <c r="B777" s="19" t="s">
        <v>503</v>
      </c>
      <c r="C777" s="20">
        <v>240918000035</v>
      </c>
      <c r="D777" s="21">
        <v>45561</v>
      </c>
      <c r="E777" s="21" t="s">
        <v>43</v>
      </c>
      <c r="F777" s="19" t="s">
        <v>44</v>
      </c>
      <c r="G777" s="19" t="s">
        <v>444</v>
      </c>
      <c r="H777" s="19">
        <v>0.1</v>
      </c>
      <c r="I777" s="41">
        <v>63</v>
      </c>
      <c r="J777" s="53"/>
      <c r="K777" s="43"/>
      <c r="L777" s="19"/>
      <c r="M777" s="43"/>
      <c r="N777" s="44"/>
      <c r="O777" s="45">
        <f t="shared" si="435"/>
        <v>63</v>
      </c>
      <c r="P777" s="46">
        <f>SUM(O777:O818)</f>
        <v>139266.894</v>
      </c>
      <c r="Q777" s="46" t="s">
        <v>85</v>
      </c>
      <c r="R777" s="74">
        <f>SUM(90530/2168)*H777</f>
        <v>4.17573800738007</v>
      </c>
      <c r="S777" s="74"/>
      <c r="T777" s="75">
        <f>SUM(191.75/2168)*H777</f>
        <v>0.00884455719557196</v>
      </c>
      <c r="U777" s="74"/>
      <c r="V777" s="74"/>
      <c r="W777" s="76">
        <f t="shared" si="439"/>
        <v>4.18458256457565</v>
      </c>
      <c r="X777" s="77">
        <f>SUM(1544.71/2168)*H777</f>
        <v>0.0712504612546126</v>
      </c>
      <c r="Y777" s="77"/>
      <c r="Z777" s="77"/>
      <c r="AA777" s="77">
        <f t="shared" si="440"/>
        <v>0.0712504612546126</v>
      </c>
      <c r="AB777" s="86">
        <v>7.08</v>
      </c>
      <c r="AC777" s="74">
        <f t="shared" si="436"/>
        <v>0.504453265682657</v>
      </c>
      <c r="AD777" s="74">
        <f t="shared" si="437"/>
        <v>4.6890358302583</v>
      </c>
      <c r="AE777" s="74">
        <f t="shared" si="438"/>
        <v>58.3109641697417</v>
      </c>
    </row>
    <row r="778" customFormat="1" spans="1:31">
      <c r="A778" s="18"/>
      <c r="B778" s="19"/>
      <c r="C778" s="20">
        <v>240919000003</v>
      </c>
      <c r="D778" s="21">
        <v>45561</v>
      </c>
      <c r="E778" s="21" t="s">
        <v>50</v>
      </c>
      <c r="F778" s="19" t="s">
        <v>51</v>
      </c>
      <c r="G778" s="19" t="s">
        <v>55</v>
      </c>
      <c r="H778" s="19">
        <v>296.5</v>
      </c>
      <c r="I778" s="41">
        <v>17197</v>
      </c>
      <c r="J778" s="53"/>
      <c r="K778" s="43"/>
      <c r="L778" s="19"/>
      <c r="M778" s="43"/>
      <c r="N778" s="44"/>
      <c r="O778" s="45">
        <f t="shared" si="435"/>
        <v>17197</v>
      </c>
      <c r="P778" s="51"/>
      <c r="Q778" s="51"/>
      <c r="R778" s="74">
        <f t="shared" ref="R778:R818" si="441">SUM(90530/2168)*H778</f>
        <v>12381.0631918819</v>
      </c>
      <c r="S778" s="74"/>
      <c r="T778" s="75">
        <f t="shared" ref="T778:T818" si="442">SUM(191.75/2168)*H778</f>
        <v>26.2241120848708</v>
      </c>
      <c r="U778" s="74"/>
      <c r="V778" s="74"/>
      <c r="W778" s="76">
        <f t="shared" si="439"/>
        <v>12407.2873039668</v>
      </c>
      <c r="X778" s="77">
        <f t="shared" ref="X778:X818" si="443">SUM(1544.71/2168)*H778</f>
        <v>211.257617619926</v>
      </c>
      <c r="Y778" s="77"/>
      <c r="Z778" s="77"/>
      <c r="AA778" s="77">
        <f t="shared" si="440"/>
        <v>211.257617619926</v>
      </c>
      <c r="AB778" s="86">
        <v>7.08</v>
      </c>
      <c r="AC778" s="74">
        <f t="shared" si="436"/>
        <v>1495.70393274908</v>
      </c>
      <c r="AD778" s="74">
        <f t="shared" si="437"/>
        <v>13902.9912367159</v>
      </c>
      <c r="AE778" s="74">
        <f t="shared" si="438"/>
        <v>3294.00876328413</v>
      </c>
    </row>
    <row r="779" customFormat="1" spans="1:31">
      <c r="A779" s="18"/>
      <c r="B779" s="19"/>
      <c r="C779" s="20">
        <v>240919000009</v>
      </c>
      <c r="D779" s="21">
        <v>45561</v>
      </c>
      <c r="E779" s="21" t="s">
        <v>62</v>
      </c>
      <c r="F779" s="19" t="s">
        <v>63</v>
      </c>
      <c r="G779" s="19" t="s">
        <v>504</v>
      </c>
      <c r="H779" s="19">
        <v>171</v>
      </c>
      <c r="I779" s="47"/>
      <c r="J779" s="54">
        <v>2703337</v>
      </c>
      <c r="K779" s="43"/>
      <c r="L779" s="49">
        <f>SUM(J779/M779)</f>
        <v>1723.99000044641</v>
      </c>
      <c r="M779" s="50">
        <v>1568.07</v>
      </c>
      <c r="N779" s="44">
        <v>7.08</v>
      </c>
      <c r="O779" s="45">
        <f>SUM(M779*N779)</f>
        <v>11101.9356</v>
      </c>
      <c r="P779" s="51"/>
      <c r="Q779" s="51"/>
      <c r="R779" s="74">
        <f t="shared" si="441"/>
        <v>7140.51199261993</v>
      </c>
      <c r="S779" s="74"/>
      <c r="T779" s="75">
        <f t="shared" si="442"/>
        <v>15.124192804428</v>
      </c>
      <c r="U779" s="74"/>
      <c r="V779" s="75">
        <v>833</v>
      </c>
      <c r="W779" s="76">
        <f t="shared" si="439"/>
        <v>7988.63618542436</v>
      </c>
      <c r="X779" s="77">
        <f t="shared" si="443"/>
        <v>121.838288745387</v>
      </c>
      <c r="Y779" s="77"/>
      <c r="Z779" s="77"/>
      <c r="AA779" s="77">
        <f t="shared" si="440"/>
        <v>121.838288745387</v>
      </c>
      <c r="AB779" s="86">
        <v>7.08</v>
      </c>
      <c r="AC779" s="74">
        <f t="shared" si="436"/>
        <v>862.615084317343</v>
      </c>
      <c r="AD779" s="74">
        <f t="shared" si="437"/>
        <v>8851.2512697417</v>
      </c>
      <c r="AE779" s="74">
        <f t="shared" si="438"/>
        <v>2250.6843302583</v>
      </c>
    </row>
    <row r="780" customFormat="1" spans="1:31">
      <c r="A780" s="18"/>
      <c r="B780" s="19"/>
      <c r="C780" s="20">
        <v>240919000036</v>
      </c>
      <c r="D780" s="21">
        <v>45561</v>
      </c>
      <c r="E780" s="21" t="s">
        <v>62</v>
      </c>
      <c r="F780" s="19" t="s">
        <v>63</v>
      </c>
      <c r="G780" s="19" t="s">
        <v>223</v>
      </c>
      <c r="H780" s="19">
        <v>79.5</v>
      </c>
      <c r="I780" s="41">
        <v>4054.5</v>
      </c>
      <c r="J780" s="53"/>
      <c r="K780" s="43"/>
      <c r="L780" s="19"/>
      <c r="M780" s="43"/>
      <c r="N780" s="44"/>
      <c r="O780" s="45">
        <f t="shared" ref="O780:O786" si="444">SUM(I780)</f>
        <v>4054.5</v>
      </c>
      <c r="P780" s="51"/>
      <c r="Q780" s="51"/>
      <c r="R780" s="74">
        <f t="shared" si="441"/>
        <v>3319.71171586716</v>
      </c>
      <c r="S780" s="74"/>
      <c r="T780" s="75">
        <f t="shared" si="442"/>
        <v>7.0314229704797</v>
      </c>
      <c r="U780" s="74"/>
      <c r="V780" s="74"/>
      <c r="W780" s="76">
        <f t="shared" si="439"/>
        <v>3326.74313883764</v>
      </c>
      <c r="X780" s="77">
        <f t="shared" si="443"/>
        <v>56.644116697417</v>
      </c>
      <c r="Y780" s="77"/>
      <c r="Z780" s="77"/>
      <c r="AA780" s="77">
        <f t="shared" si="440"/>
        <v>56.644116697417</v>
      </c>
      <c r="AB780" s="86">
        <v>7.08</v>
      </c>
      <c r="AC780" s="74">
        <f t="shared" si="436"/>
        <v>401.040346217712</v>
      </c>
      <c r="AD780" s="74">
        <f t="shared" si="437"/>
        <v>3727.78348505535</v>
      </c>
      <c r="AE780" s="74">
        <f t="shared" si="438"/>
        <v>326.71651494465</v>
      </c>
    </row>
    <row r="781" customFormat="1" spans="1:31">
      <c r="A781" s="18"/>
      <c r="B781" s="19"/>
      <c r="C781" s="20">
        <v>240920000015</v>
      </c>
      <c r="D781" s="21">
        <v>45561</v>
      </c>
      <c r="E781" s="21" t="s">
        <v>50</v>
      </c>
      <c r="F781" s="19" t="s">
        <v>51</v>
      </c>
      <c r="G781" s="19" t="s">
        <v>86</v>
      </c>
      <c r="H781" s="19">
        <v>8</v>
      </c>
      <c r="I781" s="41">
        <v>600</v>
      </c>
      <c r="J781" s="53"/>
      <c r="K781" s="43"/>
      <c r="L781" s="19"/>
      <c r="M781" s="43"/>
      <c r="N781" s="44"/>
      <c r="O781" s="45">
        <f t="shared" si="444"/>
        <v>600</v>
      </c>
      <c r="P781" s="51"/>
      <c r="Q781" s="51"/>
      <c r="R781" s="74">
        <f t="shared" si="441"/>
        <v>334.059040590406</v>
      </c>
      <c r="S781" s="74"/>
      <c r="T781" s="75">
        <f t="shared" si="442"/>
        <v>0.707564575645756</v>
      </c>
      <c r="U781" s="74"/>
      <c r="V781" s="74"/>
      <c r="W781" s="76">
        <f t="shared" si="439"/>
        <v>334.766605166052</v>
      </c>
      <c r="X781" s="77">
        <f t="shared" si="443"/>
        <v>5.700036900369</v>
      </c>
      <c r="Y781" s="77"/>
      <c r="Z781" s="77"/>
      <c r="AA781" s="77">
        <f t="shared" si="440"/>
        <v>5.700036900369</v>
      </c>
      <c r="AB781" s="86">
        <v>7.08</v>
      </c>
      <c r="AC781" s="74">
        <f t="shared" si="436"/>
        <v>40.3562612546125</v>
      </c>
      <c r="AD781" s="74">
        <f t="shared" si="437"/>
        <v>375.122866420664</v>
      </c>
      <c r="AE781" s="74">
        <f t="shared" si="438"/>
        <v>224.877133579336</v>
      </c>
    </row>
    <row r="782" customFormat="1" spans="1:31">
      <c r="A782" s="18"/>
      <c r="B782" s="19"/>
      <c r="C782" s="20">
        <v>240920000016</v>
      </c>
      <c r="D782" s="21">
        <v>45561</v>
      </c>
      <c r="E782" s="21" t="s">
        <v>62</v>
      </c>
      <c r="F782" s="19" t="s">
        <v>63</v>
      </c>
      <c r="G782" s="19" t="s">
        <v>505</v>
      </c>
      <c r="H782" s="19">
        <v>2.5</v>
      </c>
      <c r="I782" s="41">
        <v>153</v>
      </c>
      <c r="J782" s="53"/>
      <c r="K782" s="43"/>
      <c r="L782" s="19"/>
      <c r="M782" s="43"/>
      <c r="N782" s="44"/>
      <c r="O782" s="45">
        <f t="shared" si="444"/>
        <v>153</v>
      </c>
      <c r="P782" s="51"/>
      <c r="Q782" s="51"/>
      <c r="R782" s="74">
        <f t="shared" si="441"/>
        <v>104.393450184502</v>
      </c>
      <c r="S782" s="74"/>
      <c r="T782" s="75">
        <f t="shared" si="442"/>
        <v>0.221113929889299</v>
      </c>
      <c r="U782" s="74"/>
      <c r="V782" s="74"/>
      <c r="W782" s="76">
        <f t="shared" si="439"/>
        <v>104.614564114391</v>
      </c>
      <c r="X782" s="77">
        <f t="shared" si="443"/>
        <v>1.78126153136531</v>
      </c>
      <c r="Y782" s="77"/>
      <c r="Z782" s="77"/>
      <c r="AA782" s="77">
        <f t="shared" si="440"/>
        <v>1.78126153136531</v>
      </c>
      <c r="AB782" s="86">
        <v>7.08</v>
      </c>
      <c r="AC782" s="74">
        <f t="shared" si="436"/>
        <v>12.6113316420664</v>
      </c>
      <c r="AD782" s="74">
        <f t="shared" si="437"/>
        <v>117.225895756458</v>
      </c>
      <c r="AE782" s="74">
        <f t="shared" si="438"/>
        <v>35.7741042435424</v>
      </c>
    </row>
    <row r="783" customFormat="1" spans="1:31">
      <c r="A783" s="18"/>
      <c r="B783" s="19"/>
      <c r="C783" s="20">
        <v>240920000026</v>
      </c>
      <c r="D783" s="21">
        <v>45561</v>
      </c>
      <c r="E783" s="21" t="s">
        <v>41</v>
      </c>
      <c r="F783" s="19" t="s">
        <v>41</v>
      </c>
      <c r="G783" s="19" t="s">
        <v>432</v>
      </c>
      <c r="H783" s="19">
        <v>1.5</v>
      </c>
      <c r="I783" s="41">
        <v>123</v>
      </c>
      <c r="J783" s="53"/>
      <c r="K783" s="43"/>
      <c r="L783" s="19"/>
      <c r="M783" s="43"/>
      <c r="N783" s="44"/>
      <c r="O783" s="45">
        <f t="shared" si="444"/>
        <v>123</v>
      </c>
      <c r="P783" s="51"/>
      <c r="Q783" s="51"/>
      <c r="R783" s="74">
        <f t="shared" si="441"/>
        <v>62.6360701107011</v>
      </c>
      <c r="S783" s="74"/>
      <c r="T783" s="75">
        <f t="shared" si="442"/>
        <v>0.132668357933579</v>
      </c>
      <c r="U783" s="74"/>
      <c r="V783" s="74"/>
      <c r="W783" s="76">
        <f t="shared" si="439"/>
        <v>62.7687384686347</v>
      </c>
      <c r="X783" s="77">
        <f t="shared" si="443"/>
        <v>1.06875691881919</v>
      </c>
      <c r="Y783" s="77"/>
      <c r="Z783" s="77"/>
      <c r="AA783" s="77">
        <f t="shared" si="440"/>
        <v>1.06875691881919</v>
      </c>
      <c r="AB783" s="86">
        <v>7.08</v>
      </c>
      <c r="AC783" s="74">
        <f t="shared" si="436"/>
        <v>7.56679898523985</v>
      </c>
      <c r="AD783" s="74">
        <f t="shared" si="437"/>
        <v>70.3355374538746</v>
      </c>
      <c r="AE783" s="74">
        <f t="shared" si="438"/>
        <v>52.6644625461254</v>
      </c>
    </row>
    <row r="784" customFormat="1" spans="1:31">
      <c r="A784" s="18"/>
      <c r="B784" s="19"/>
      <c r="C784" s="20">
        <v>240920000036</v>
      </c>
      <c r="D784" s="21">
        <v>45561</v>
      </c>
      <c r="E784" s="21" t="s">
        <v>62</v>
      </c>
      <c r="F784" s="19" t="s">
        <v>63</v>
      </c>
      <c r="G784" s="19" t="s">
        <v>506</v>
      </c>
      <c r="H784" s="19">
        <v>104.5</v>
      </c>
      <c r="I784" s="41">
        <v>5329.5</v>
      </c>
      <c r="J784" s="53"/>
      <c r="K784" s="43"/>
      <c r="L784" s="19"/>
      <c r="M784" s="43"/>
      <c r="N784" s="44"/>
      <c r="O784" s="45">
        <f t="shared" si="444"/>
        <v>5329.5</v>
      </c>
      <c r="P784" s="51"/>
      <c r="Q784" s="51"/>
      <c r="R784" s="74">
        <f t="shared" si="441"/>
        <v>4363.64621771218</v>
      </c>
      <c r="S784" s="74"/>
      <c r="T784" s="75">
        <f t="shared" si="442"/>
        <v>9.24256226937269</v>
      </c>
      <c r="U784" s="74"/>
      <c r="V784" s="74"/>
      <c r="W784" s="76">
        <f t="shared" si="439"/>
        <v>4372.88877998155</v>
      </c>
      <c r="X784" s="77">
        <f t="shared" si="443"/>
        <v>74.4567320110701</v>
      </c>
      <c r="Y784" s="77"/>
      <c r="Z784" s="77"/>
      <c r="AA784" s="77">
        <f t="shared" si="440"/>
        <v>74.4567320110701</v>
      </c>
      <c r="AB784" s="86">
        <v>7.08</v>
      </c>
      <c r="AC784" s="74">
        <f t="shared" si="436"/>
        <v>527.153662638376</v>
      </c>
      <c r="AD784" s="74">
        <f t="shared" si="437"/>
        <v>4900.04244261993</v>
      </c>
      <c r="AE784" s="74">
        <f t="shared" si="438"/>
        <v>429.457557380073</v>
      </c>
    </row>
    <row r="785" customFormat="1" spans="1:31">
      <c r="A785" s="18"/>
      <c r="B785" s="19"/>
      <c r="C785" s="20">
        <v>240920000039</v>
      </c>
      <c r="D785" s="21">
        <v>45561</v>
      </c>
      <c r="E785" s="21" t="s">
        <v>41</v>
      </c>
      <c r="F785" s="19" t="s">
        <v>41</v>
      </c>
      <c r="G785" s="19" t="s">
        <v>439</v>
      </c>
      <c r="H785" s="19">
        <v>17.5</v>
      </c>
      <c r="I785" s="41">
        <v>1108.5</v>
      </c>
      <c r="J785" s="53"/>
      <c r="K785" s="43"/>
      <c r="L785" s="19"/>
      <c r="M785" s="43"/>
      <c r="N785" s="44"/>
      <c r="O785" s="45">
        <f t="shared" si="444"/>
        <v>1108.5</v>
      </c>
      <c r="P785" s="51"/>
      <c r="Q785" s="51"/>
      <c r="R785" s="74">
        <f t="shared" si="441"/>
        <v>730.754151291513</v>
      </c>
      <c r="S785" s="74"/>
      <c r="T785" s="75">
        <f t="shared" si="442"/>
        <v>1.54779750922509</v>
      </c>
      <c r="U785" s="74"/>
      <c r="V785" s="74"/>
      <c r="W785" s="76">
        <f t="shared" si="439"/>
        <v>732.301948800738</v>
      </c>
      <c r="X785" s="77">
        <f t="shared" si="443"/>
        <v>12.4688307195572</v>
      </c>
      <c r="Y785" s="77"/>
      <c r="Z785" s="77"/>
      <c r="AA785" s="77">
        <f t="shared" si="440"/>
        <v>12.4688307195572</v>
      </c>
      <c r="AB785" s="86">
        <v>7.08</v>
      </c>
      <c r="AC785" s="74">
        <f t="shared" si="436"/>
        <v>88.279321494465</v>
      </c>
      <c r="AD785" s="74">
        <f t="shared" si="437"/>
        <v>820.581270295203</v>
      </c>
      <c r="AE785" s="74">
        <f t="shared" si="438"/>
        <v>287.918729704797</v>
      </c>
    </row>
    <row r="786" customFormat="1" spans="1:31">
      <c r="A786" s="18"/>
      <c r="B786" s="19"/>
      <c r="C786" s="20">
        <v>240920000040</v>
      </c>
      <c r="D786" s="21">
        <v>45561</v>
      </c>
      <c r="E786" s="21" t="s">
        <v>62</v>
      </c>
      <c r="F786" s="19" t="s">
        <v>63</v>
      </c>
      <c r="G786" s="19" t="s">
        <v>472</v>
      </c>
      <c r="H786" s="19">
        <v>6</v>
      </c>
      <c r="I786" s="41">
        <v>384</v>
      </c>
      <c r="J786" s="53"/>
      <c r="K786" s="43"/>
      <c r="L786" s="19"/>
      <c r="M786" s="43"/>
      <c r="N786" s="44"/>
      <c r="O786" s="45">
        <f t="shared" si="444"/>
        <v>384</v>
      </c>
      <c r="P786" s="51"/>
      <c r="Q786" s="51"/>
      <c r="R786" s="74">
        <f t="shared" si="441"/>
        <v>250.544280442804</v>
      </c>
      <c r="S786" s="74"/>
      <c r="T786" s="75">
        <f t="shared" si="442"/>
        <v>0.530673431734317</v>
      </c>
      <c r="U786" s="74"/>
      <c r="V786" s="74"/>
      <c r="W786" s="76">
        <f t="shared" si="439"/>
        <v>251.074953874539</v>
      </c>
      <c r="X786" s="77">
        <f t="shared" si="443"/>
        <v>4.27502767527675</v>
      </c>
      <c r="Y786" s="77"/>
      <c r="Z786" s="77"/>
      <c r="AA786" s="77">
        <f t="shared" si="440"/>
        <v>4.27502767527675</v>
      </c>
      <c r="AB786" s="86">
        <v>7.08</v>
      </c>
      <c r="AC786" s="74">
        <f t="shared" si="436"/>
        <v>30.2671959409594</v>
      </c>
      <c r="AD786" s="74">
        <f t="shared" si="437"/>
        <v>281.342149815498</v>
      </c>
      <c r="AE786" s="74">
        <f t="shared" si="438"/>
        <v>102.657850184502</v>
      </c>
    </row>
    <row r="787" customFormat="1" spans="1:31">
      <c r="A787" s="18"/>
      <c r="B787" s="19"/>
      <c r="C787" s="20">
        <v>240920000043</v>
      </c>
      <c r="D787" s="21">
        <v>45561</v>
      </c>
      <c r="E787" s="21" t="s">
        <v>46</v>
      </c>
      <c r="F787" s="19" t="s">
        <v>47</v>
      </c>
      <c r="G787" s="19" t="s">
        <v>111</v>
      </c>
      <c r="H787" s="19">
        <v>31</v>
      </c>
      <c r="I787" s="45"/>
      <c r="J787" s="54">
        <v>411795</v>
      </c>
      <c r="K787" s="43"/>
      <c r="L787" s="49">
        <f>SUM(J787/M787)</f>
        <v>1738.99915540541</v>
      </c>
      <c r="M787" s="50">
        <v>236.8</v>
      </c>
      <c r="N787" s="44">
        <v>7.08</v>
      </c>
      <c r="O787" s="45">
        <f t="shared" ref="O787:O793" si="445">SUM(M787*N787)</f>
        <v>1676.544</v>
      </c>
      <c r="P787" s="51"/>
      <c r="Q787" s="51"/>
      <c r="R787" s="74">
        <f t="shared" si="441"/>
        <v>1294.47878228782</v>
      </c>
      <c r="S787" s="74"/>
      <c r="T787" s="75">
        <f t="shared" si="442"/>
        <v>2.74181273062731</v>
      </c>
      <c r="U787" s="74"/>
      <c r="V787" s="74"/>
      <c r="W787" s="76">
        <f t="shared" si="439"/>
        <v>1297.22059501845</v>
      </c>
      <c r="X787" s="77">
        <f t="shared" si="443"/>
        <v>22.0876429889299</v>
      </c>
      <c r="Y787" s="77"/>
      <c r="Z787" s="77"/>
      <c r="AA787" s="77">
        <f t="shared" si="440"/>
        <v>22.0876429889299</v>
      </c>
      <c r="AB787" s="86">
        <v>7.08</v>
      </c>
      <c r="AC787" s="74">
        <f t="shared" si="436"/>
        <v>156.380512361624</v>
      </c>
      <c r="AD787" s="74">
        <f t="shared" si="437"/>
        <v>1453.60110738007</v>
      </c>
      <c r="AE787" s="74">
        <f t="shared" si="438"/>
        <v>222.942892619926</v>
      </c>
    </row>
    <row r="788" customFormat="1" spans="1:31">
      <c r="A788" s="18"/>
      <c r="B788" s="19"/>
      <c r="C788" s="20">
        <v>240920000048</v>
      </c>
      <c r="D788" s="21">
        <v>45561</v>
      </c>
      <c r="E788" s="21" t="s">
        <v>41</v>
      </c>
      <c r="F788" s="19" t="s">
        <v>41</v>
      </c>
      <c r="G788" s="19" t="s">
        <v>300</v>
      </c>
      <c r="H788" s="19">
        <v>12.5</v>
      </c>
      <c r="I788" s="41">
        <v>775</v>
      </c>
      <c r="J788" s="53"/>
      <c r="K788" s="43"/>
      <c r="L788" s="19"/>
      <c r="M788" s="43"/>
      <c r="N788" s="44"/>
      <c r="O788" s="45">
        <f>SUM(I788)</f>
        <v>775</v>
      </c>
      <c r="P788" s="51"/>
      <c r="Q788" s="51"/>
      <c r="R788" s="74">
        <f t="shared" si="441"/>
        <v>521.967250922509</v>
      </c>
      <c r="S788" s="74"/>
      <c r="T788" s="75">
        <f t="shared" si="442"/>
        <v>1.10556964944649</v>
      </c>
      <c r="U788" s="74"/>
      <c r="V788" s="74"/>
      <c r="W788" s="76">
        <f t="shared" si="439"/>
        <v>523.072820571956</v>
      </c>
      <c r="X788" s="77">
        <f t="shared" si="443"/>
        <v>8.90630765682657</v>
      </c>
      <c r="Y788" s="77"/>
      <c r="Z788" s="77"/>
      <c r="AA788" s="77">
        <f t="shared" si="440"/>
        <v>8.90630765682657</v>
      </c>
      <c r="AB788" s="86">
        <v>7.08</v>
      </c>
      <c r="AC788" s="74">
        <f t="shared" si="436"/>
        <v>63.0566582103321</v>
      </c>
      <c r="AD788" s="74">
        <f t="shared" si="437"/>
        <v>586.129478782288</v>
      </c>
      <c r="AE788" s="74">
        <f t="shared" si="438"/>
        <v>188.870521217712</v>
      </c>
    </row>
    <row r="789" customFormat="1" spans="1:31">
      <c r="A789" s="18"/>
      <c r="B789" s="19"/>
      <c r="C789" s="20">
        <v>240921000006</v>
      </c>
      <c r="D789" s="21">
        <v>45561</v>
      </c>
      <c r="E789" s="21" t="s">
        <v>62</v>
      </c>
      <c r="F789" s="19" t="s">
        <v>63</v>
      </c>
      <c r="G789" s="19" t="s">
        <v>507</v>
      </c>
      <c r="H789" s="19">
        <v>0.66</v>
      </c>
      <c r="I789" s="41">
        <v>63</v>
      </c>
      <c r="J789" s="53"/>
      <c r="K789" s="43"/>
      <c r="L789" s="19"/>
      <c r="M789" s="43"/>
      <c r="N789" s="44"/>
      <c r="O789" s="45">
        <f>SUM(I789)</f>
        <v>63</v>
      </c>
      <c r="P789" s="51"/>
      <c r="Q789" s="51"/>
      <c r="R789" s="74">
        <f t="shared" si="441"/>
        <v>27.5598708487085</v>
      </c>
      <c r="S789" s="74"/>
      <c r="T789" s="75">
        <f t="shared" si="442"/>
        <v>0.0583740774907749</v>
      </c>
      <c r="U789" s="74"/>
      <c r="V789" s="74"/>
      <c r="W789" s="76">
        <f t="shared" si="439"/>
        <v>27.6182449261993</v>
      </c>
      <c r="X789" s="77">
        <f t="shared" si="443"/>
        <v>0.470253044280443</v>
      </c>
      <c r="Y789" s="77"/>
      <c r="Z789" s="77"/>
      <c r="AA789" s="77">
        <f t="shared" si="440"/>
        <v>0.470253044280443</v>
      </c>
      <c r="AB789" s="86">
        <v>7.08</v>
      </c>
      <c r="AC789" s="74">
        <f t="shared" si="436"/>
        <v>3.32939155350554</v>
      </c>
      <c r="AD789" s="74">
        <f t="shared" si="437"/>
        <v>30.9476364797048</v>
      </c>
      <c r="AE789" s="74">
        <f t="shared" si="438"/>
        <v>32.0523635202952</v>
      </c>
    </row>
    <row r="790" customFormat="1" spans="1:31">
      <c r="A790" s="18"/>
      <c r="B790" s="19"/>
      <c r="C790" s="20">
        <v>240921000007</v>
      </c>
      <c r="D790" s="21">
        <v>45561</v>
      </c>
      <c r="E790" s="21" t="s">
        <v>62</v>
      </c>
      <c r="F790" s="19" t="s">
        <v>63</v>
      </c>
      <c r="G790" s="19" t="s">
        <v>441</v>
      </c>
      <c r="H790" s="19">
        <v>26</v>
      </c>
      <c r="I790" s="92">
        <v>1596</v>
      </c>
      <c r="J790" s="53"/>
      <c r="K790" s="43"/>
      <c r="L790" s="19"/>
      <c r="M790" s="43"/>
      <c r="N790" s="44"/>
      <c r="O790" s="45">
        <f>SUBTOTAL(9,I790)</f>
        <v>1596</v>
      </c>
      <c r="P790" s="51"/>
      <c r="Q790" s="51"/>
      <c r="R790" s="74">
        <f t="shared" si="441"/>
        <v>1085.69188191882</v>
      </c>
      <c r="S790" s="74"/>
      <c r="T790" s="75">
        <f t="shared" si="442"/>
        <v>2.29958487084871</v>
      </c>
      <c r="U790" s="74"/>
      <c r="V790" s="74"/>
      <c r="W790" s="76">
        <f t="shared" si="439"/>
        <v>1087.99146678967</v>
      </c>
      <c r="X790" s="77">
        <f t="shared" si="443"/>
        <v>18.5251199261993</v>
      </c>
      <c r="Y790" s="77"/>
      <c r="Z790" s="77"/>
      <c r="AA790" s="77">
        <f t="shared" si="440"/>
        <v>18.5251199261993</v>
      </c>
      <c r="AB790" s="86">
        <v>7.08</v>
      </c>
      <c r="AC790" s="74">
        <f t="shared" si="436"/>
        <v>131.157849077491</v>
      </c>
      <c r="AD790" s="74">
        <f t="shared" si="437"/>
        <v>1219.14931586716</v>
      </c>
      <c r="AE790" s="74">
        <f t="shared" si="438"/>
        <v>376.85068413284</v>
      </c>
    </row>
    <row r="791" customFormat="1" spans="1:31">
      <c r="A791" s="18"/>
      <c r="B791" s="19"/>
      <c r="C791" s="20">
        <v>240921000011</v>
      </c>
      <c r="D791" s="21">
        <v>45561</v>
      </c>
      <c r="E791" s="21" t="s">
        <v>50</v>
      </c>
      <c r="F791" s="19" t="s">
        <v>51</v>
      </c>
      <c r="G791" s="19" t="s">
        <v>115</v>
      </c>
      <c r="H791" s="19">
        <v>103</v>
      </c>
      <c r="I791" s="47"/>
      <c r="J791" s="54">
        <v>1401624</v>
      </c>
      <c r="K791" s="43"/>
      <c r="L791" s="49">
        <f t="shared" ref="L791:L793" si="446">SUM(J791/M791)</f>
        <v>1720.45956694653</v>
      </c>
      <c r="M791" s="50">
        <v>814.68</v>
      </c>
      <c r="N791" s="44">
        <v>7.08</v>
      </c>
      <c r="O791" s="45">
        <f t="shared" si="445"/>
        <v>5767.9344</v>
      </c>
      <c r="P791" s="51"/>
      <c r="Q791" s="51"/>
      <c r="R791" s="74">
        <f t="shared" si="441"/>
        <v>4301.01014760148</v>
      </c>
      <c r="S791" s="74"/>
      <c r="T791" s="75">
        <f t="shared" si="442"/>
        <v>9.10989391143911</v>
      </c>
      <c r="U791" s="74"/>
      <c r="V791" s="74"/>
      <c r="W791" s="76">
        <f t="shared" si="439"/>
        <v>4310.12004151292</v>
      </c>
      <c r="X791" s="77">
        <f t="shared" si="443"/>
        <v>73.3879750922509</v>
      </c>
      <c r="Y791" s="77"/>
      <c r="Z791" s="77"/>
      <c r="AA791" s="77">
        <f t="shared" si="440"/>
        <v>73.3879750922509</v>
      </c>
      <c r="AB791" s="86">
        <v>7.08</v>
      </c>
      <c r="AC791" s="74">
        <f t="shared" si="436"/>
        <v>519.586863653137</v>
      </c>
      <c r="AD791" s="74">
        <f t="shared" si="437"/>
        <v>4829.70690516605</v>
      </c>
      <c r="AE791" s="74">
        <f t="shared" si="438"/>
        <v>938.227494833948</v>
      </c>
    </row>
    <row r="792" customFormat="1" spans="1:31">
      <c r="A792" s="18"/>
      <c r="B792" s="19"/>
      <c r="C792" s="20">
        <v>240921000012</v>
      </c>
      <c r="D792" s="21">
        <v>45561</v>
      </c>
      <c r="E792" s="21" t="s">
        <v>50</v>
      </c>
      <c r="F792" s="19" t="s">
        <v>51</v>
      </c>
      <c r="G792" s="19" t="s">
        <v>115</v>
      </c>
      <c r="H792" s="19">
        <v>21.5</v>
      </c>
      <c r="I792" s="47"/>
      <c r="J792" s="54">
        <v>292572</v>
      </c>
      <c r="K792" s="43"/>
      <c r="L792" s="49">
        <f t="shared" si="446"/>
        <v>1720.50573360776</v>
      </c>
      <c r="M792" s="50">
        <v>170.05</v>
      </c>
      <c r="N792" s="44">
        <v>7.08</v>
      </c>
      <c r="O792" s="45">
        <f t="shared" si="445"/>
        <v>1203.954</v>
      </c>
      <c r="P792" s="51"/>
      <c r="Q792" s="51"/>
      <c r="R792" s="74">
        <f t="shared" si="441"/>
        <v>897.783671586716</v>
      </c>
      <c r="S792" s="74"/>
      <c r="T792" s="75">
        <f t="shared" si="442"/>
        <v>1.90157979704797</v>
      </c>
      <c r="U792" s="74"/>
      <c r="V792" s="74"/>
      <c r="W792" s="76">
        <f t="shared" si="439"/>
        <v>899.685251383764</v>
      </c>
      <c r="X792" s="77">
        <f t="shared" si="443"/>
        <v>15.3188491697417</v>
      </c>
      <c r="Y792" s="77"/>
      <c r="Z792" s="77"/>
      <c r="AA792" s="77">
        <f t="shared" si="440"/>
        <v>15.3188491697417</v>
      </c>
      <c r="AB792" s="86">
        <v>7.08</v>
      </c>
      <c r="AC792" s="74">
        <f t="shared" si="436"/>
        <v>108.457452121771</v>
      </c>
      <c r="AD792" s="74">
        <f t="shared" si="437"/>
        <v>1008.14270350553</v>
      </c>
      <c r="AE792" s="74">
        <f t="shared" si="438"/>
        <v>195.811296494465</v>
      </c>
    </row>
    <row r="793" customFormat="1" spans="1:31">
      <c r="A793" s="18"/>
      <c r="B793" s="19"/>
      <c r="C793" s="20">
        <v>240921000014</v>
      </c>
      <c r="D793" s="21">
        <v>45561</v>
      </c>
      <c r="E793" s="21" t="s">
        <v>50</v>
      </c>
      <c r="F793" s="19" t="s">
        <v>51</v>
      </c>
      <c r="G793" s="19" t="s">
        <v>167</v>
      </c>
      <c r="H793" s="19">
        <v>11</v>
      </c>
      <c r="I793" s="47"/>
      <c r="J793" s="54">
        <v>160380</v>
      </c>
      <c r="K793" s="43"/>
      <c r="L793" s="49">
        <f t="shared" si="446"/>
        <v>1720.4462561682</v>
      </c>
      <c r="M793" s="50">
        <v>93.22</v>
      </c>
      <c r="N793" s="44">
        <v>7.08</v>
      </c>
      <c r="O793" s="45">
        <f t="shared" si="445"/>
        <v>659.9976</v>
      </c>
      <c r="P793" s="51"/>
      <c r="Q793" s="51"/>
      <c r="R793" s="74">
        <f t="shared" si="441"/>
        <v>459.331180811808</v>
      </c>
      <c r="S793" s="74"/>
      <c r="T793" s="75">
        <f t="shared" si="442"/>
        <v>0.972901291512915</v>
      </c>
      <c r="U793" s="74"/>
      <c r="V793" s="74"/>
      <c r="W793" s="76">
        <f t="shared" si="439"/>
        <v>460.304082103321</v>
      </c>
      <c r="X793" s="77">
        <f t="shared" si="443"/>
        <v>7.83755073800738</v>
      </c>
      <c r="Y793" s="77"/>
      <c r="Z793" s="77"/>
      <c r="AA793" s="77">
        <f t="shared" si="440"/>
        <v>7.83755073800738</v>
      </c>
      <c r="AB793" s="86">
        <v>7.08</v>
      </c>
      <c r="AC793" s="74">
        <f t="shared" si="436"/>
        <v>55.4898592250923</v>
      </c>
      <c r="AD793" s="74">
        <f t="shared" si="437"/>
        <v>515.793941328413</v>
      </c>
      <c r="AE793" s="74">
        <f t="shared" si="438"/>
        <v>144.203658671587</v>
      </c>
    </row>
    <row r="794" customFormat="1" spans="1:31">
      <c r="A794" s="18"/>
      <c r="B794" s="19"/>
      <c r="C794" s="20">
        <v>240921000015</v>
      </c>
      <c r="D794" s="21">
        <v>45561</v>
      </c>
      <c r="E794" s="21" t="s">
        <v>50</v>
      </c>
      <c r="F794" s="19" t="s">
        <v>51</v>
      </c>
      <c r="G794" s="19" t="s">
        <v>420</v>
      </c>
      <c r="H794" s="19">
        <v>54</v>
      </c>
      <c r="I794" s="41">
        <v>3024</v>
      </c>
      <c r="J794" s="53"/>
      <c r="K794" s="43"/>
      <c r="L794" s="19"/>
      <c r="M794" s="43"/>
      <c r="N794" s="44"/>
      <c r="O794" s="45">
        <f t="shared" ref="O794:O796" si="447">SUM(I794)</f>
        <v>3024</v>
      </c>
      <c r="P794" s="51"/>
      <c r="Q794" s="51"/>
      <c r="R794" s="74">
        <f t="shared" si="441"/>
        <v>2254.89852398524</v>
      </c>
      <c r="S794" s="74"/>
      <c r="T794" s="75">
        <f t="shared" si="442"/>
        <v>4.77606088560886</v>
      </c>
      <c r="U794" s="74"/>
      <c r="V794" s="74"/>
      <c r="W794" s="76">
        <f t="shared" si="439"/>
        <v>2259.67458487085</v>
      </c>
      <c r="X794" s="77">
        <f t="shared" si="443"/>
        <v>38.4752490774908</v>
      </c>
      <c r="Y794" s="77"/>
      <c r="Z794" s="77"/>
      <c r="AA794" s="77">
        <f t="shared" si="440"/>
        <v>38.4752490774908</v>
      </c>
      <c r="AB794" s="86">
        <v>7.08</v>
      </c>
      <c r="AC794" s="74">
        <f t="shared" si="436"/>
        <v>272.404763468635</v>
      </c>
      <c r="AD794" s="74">
        <f t="shared" si="437"/>
        <v>2532.07934833948</v>
      </c>
      <c r="AE794" s="74">
        <f t="shared" si="438"/>
        <v>491.920651660516</v>
      </c>
    </row>
    <row r="795" customFormat="1" spans="1:31">
      <c r="A795" s="18"/>
      <c r="B795" s="19"/>
      <c r="C795" s="20">
        <v>240921000016</v>
      </c>
      <c r="D795" s="21">
        <v>45561</v>
      </c>
      <c r="E795" s="21" t="s">
        <v>50</v>
      </c>
      <c r="F795" s="19" t="s">
        <v>51</v>
      </c>
      <c r="G795" s="19" t="s">
        <v>429</v>
      </c>
      <c r="H795" s="19">
        <v>16.5</v>
      </c>
      <c r="I795" s="41">
        <v>1088</v>
      </c>
      <c r="J795" s="53"/>
      <c r="K795" s="43"/>
      <c r="L795" s="19"/>
      <c r="M795" s="43"/>
      <c r="N795" s="44"/>
      <c r="O795" s="45">
        <f t="shared" si="447"/>
        <v>1088</v>
      </c>
      <c r="P795" s="51"/>
      <c r="Q795" s="51"/>
      <c r="R795" s="74">
        <f t="shared" si="441"/>
        <v>688.996771217712</v>
      </c>
      <c r="S795" s="74"/>
      <c r="T795" s="75">
        <f t="shared" si="442"/>
        <v>1.45935193726937</v>
      </c>
      <c r="U795" s="74"/>
      <c r="V795" s="74"/>
      <c r="W795" s="76">
        <f t="shared" si="439"/>
        <v>690.456123154982</v>
      </c>
      <c r="X795" s="77">
        <f t="shared" si="443"/>
        <v>11.7563261070111</v>
      </c>
      <c r="Y795" s="77"/>
      <c r="Z795" s="77"/>
      <c r="AA795" s="77">
        <f t="shared" si="440"/>
        <v>11.7563261070111</v>
      </c>
      <c r="AB795" s="86">
        <v>7.08</v>
      </c>
      <c r="AC795" s="74">
        <f t="shared" si="436"/>
        <v>83.2347888376384</v>
      </c>
      <c r="AD795" s="74">
        <f t="shared" si="437"/>
        <v>773.69091199262</v>
      </c>
      <c r="AE795" s="74">
        <f t="shared" si="438"/>
        <v>314.30908800738</v>
      </c>
    </row>
    <row r="796" customFormat="1" spans="1:31">
      <c r="A796" s="18"/>
      <c r="B796" s="19"/>
      <c r="C796" s="20">
        <v>240922000005</v>
      </c>
      <c r="D796" s="21">
        <v>45561</v>
      </c>
      <c r="E796" s="21" t="s">
        <v>46</v>
      </c>
      <c r="F796" s="19" t="s">
        <v>47</v>
      </c>
      <c r="G796" s="19" t="s">
        <v>508</v>
      </c>
      <c r="H796" s="19">
        <v>105.5</v>
      </c>
      <c r="I796" s="41">
        <v>6541</v>
      </c>
      <c r="J796" s="53"/>
      <c r="K796" s="43"/>
      <c r="L796" s="19"/>
      <c r="M796" s="43"/>
      <c r="N796" s="44"/>
      <c r="O796" s="45">
        <f t="shared" si="447"/>
        <v>6541</v>
      </c>
      <c r="P796" s="51"/>
      <c r="Q796" s="51"/>
      <c r="R796" s="74">
        <f t="shared" si="441"/>
        <v>4405.40359778598</v>
      </c>
      <c r="S796" s="74"/>
      <c r="T796" s="75">
        <f t="shared" si="442"/>
        <v>9.33100784132841</v>
      </c>
      <c r="U796" s="74"/>
      <c r="V796" s="74"/>
      <c r="W796" s="76">
        <f t="shared" si="439"/>
        <v>4414.73460562731</v>
      </c>
      <c r="X796" s="77">
        <f t="shared" si="443"/>
        <v>75.1692366236162</v>
      </c>
      <c r="Y796" s="77"/>
      <c r="Z796" s="77"/>
      <c r="AA796" s="77">
        <f t="shared" si="440"/>
        <v>75.1692366236162</v>
      </c>
      <c r="AB796" s="86">
        <v>7.08</v>
      </c>
      <c r="AC796" s="74">
        <f t="shared" si="436"/>
        <v>532.198195295203</v>
      </c>
      <c r="AD796" s="74">
        <f t="shared" si="437"/>
        <v>4946.93280092251</v>
      </c>
      <c r="AE796" s="74">
        <f t="shared" si="438"/>
        <v>1594.06719907749</v>
      </c>
    </row>
    <row r="797" customFormat="1" spans="1:31">
      <c r="A797" s="18"/>
      <c r="B797" s="19"/>
      <c r="C797" s="20">
        <v>240922000012</v>
      </c>
      <c r="D797" s="21">
        <v>45561</v>
      </c>
      <c r="E797" s="21" t="s">
        <v>50</v>
      </c>
      <c r="F797" s="19" t="s">
        <v>51</v>
      </c>
      <c r="G797" s="19" t="s">
        <v>355</v>
      </c>
      <c r="H797" s="19">
        <v>35.5</v>
      </c>
      <c r="I797" s="47"/>
      <c r="J797" s="54">
        <v>412610</v>
      </c>
      <c r="K797" s="43"/>
      <c r="L797" s="49">
        <f t="shared" ref="L797:L802" si="448">SUM(J797/M797)</f>
        <v>1713.42552219592</v>
      </c>
      <c r="M797" s="50">
        <v>240.81</v>
      </c>
      <c r="N797" s="44">
        <v>7.08</v>
      </c>
      <c r="O797" s="45">
        <f t="shared" ref="O797:O802" si="449">SUM(M797*N797)</f>
        <v>1704.9348</v>
      </c>
      <c r="P797" s="51"/>
      <c r="Q797" s="51"/>
      <c r="R797" s="74">
        <f t="shared" si="441"/>
        <v>1482.38699261993</v>
      </c>
      <c r="S797" s="74"/>
      <c r="T797" s="75">
        <f t="shared" si="442"/>
        <v>3.13981780442804</v>
      </c>
      <c r="U797" s="74"/>
      <c r="V797" s="74"/>
      <c r="W797" s="76">
        <f t="shared" si="439"/>
        <v>1485.52681042435</v>
      </c>
      <c r="X797" s="77">
        <f t="shared" si="443"/>
        <v>25.2939137453875</v>
      </c>
      <c r="Y797" s="77"/>
      <c r="Z797" s="77"/>
      <c r="AA797" s="77">
        <f t="shared" si="440"/>
        <v>25.2939137453875</v>
      </c>
      <c r="AB797" s="86">
        <v>7.08</v>
      </c>
      <c r="AC797" s="74">
        <f t="shared" si="436"/>
        <v>179.080909317343</v>
      </c>
      <c r="AD797" s="74">
        <f t="shared" si="437"/>
        <v>1664.6077197417</v>
      </c>
      <c r="AE797" s="74">
        <f t="shared" si="438"/>
        <v>40.3270802583024</v>
      </c>
    </row>
    <row r="798" customFormat="1" spans="1:31">
      <c r="A798" s="18"/>
      <c r="B798" s="19"/>
      <c r="C798" s="22">
        <v>240922000013</v>
      </c>
      <c r="D798" s="23">
        <v>45561</v>
      </c>
      <c r="E798" s="21" t="s">
        <v>50</v>
      </c>
      <c r="F798" s="24" t="s">
        <v>51</v>
      </c>
      <c r="G798" s="24" t="s">
        <v>499</v>
      </c>
      <c r="H798" s="24">
        <v>52</v>
      </c>
      <c r="I798" s="47"/>
      <c r="J798" s="54">
        <v>767637</v>
      </c>
      <c r="K798" s="43"/>
      <c r="L798" s="49">
        <f t="shared" si="448"/>
        <v>1720.46483482003</v>
      </c>
      <c r="M798" s="50">
        <v>446.18</v>
      </c>
      <c r="N798" s="44">
        <v>7.08</v>
      </c>
      <c r="O798" s="45">
        <f t="shared" si="449"/>
        <v>3158.9544</v>
      </c>
      <c r="P798" s="51"/>
      <c r="Q798" s="51"/>
      <c r="R798" s="74">
        <f t="shared" si="441"/>
        <v>2171.38376383764</v>
      </c>
      <c r="S798" s="74"/>
      <c r="T798" s="75">
        <f t="shared" si="442"/>
        <v>4.59916974169742</v>
      </c>
      <c r="U798" s="74"/>
      <c r="V798" s="74"/>
      <c r="W798" s="76">
        <f t="shared" si="439"/>
        <v>2175.98293357934</v>
      </c>
      <c r="X798" s="77">
        <f t="shared" si="443"/>
        <v>37.0502398523985</v>
      </c>
      <c r="Y798" s="77">
        <v>42.37</v>
      </c>
      <c r="Z798" s="77"/>
      <c r="AA798" s="77">
        <f t="shared" si="440"/>
        <v>79.4202398523985</v>
      </c>
      <c r="AB798" s="86">
        <v>7.08</v>
      </c>
      <c r="AC798" s="74">
        <f t="shared" si="436"/>
        <v>562.295298154982</v>
      </c>
      <c r="AD798" s="74">
        <f t="shared" si="437"/>
        <v>2738.27823173432</v>
      </c>
      <c r="AE798" s="74">
        <f t="shared" si="438"/>
        <v>420.676168265682</v>
      </c>
    </row>
    <row r="799" customFormat="1" spans="1:31">
      <c r="A799" s="18"/>
      <c r="B799" s="19"/>
      <c r="C799" s="20">
        <v>240922000015</v>
      </c>
      <c r="D799" s="21">
        <v>45561</v>
      </c>
      <c r="E799" s="21" t="s">
        <v>50</v>
      </c>
      <c r="F799" s="19" t="s">
        <v>51</v>
      </c>
      <c r="G799" s="19" t="s">
        <v>86</v>
      </c>
      <c r="H799" s="19">
        <v>21</v>
      </c>
      <c r="I799" s="41">
        <v>1300</v>
      </c>
      <c r="J799" s="53"/>
      <c r="K799" s="43"/>
      <c r="L799" s="19"/>
      <c r="M799" s="43"/>
      <c r="N799" s="44"/>
      <c r="O799" s="45">
        <f t="shared" ref="O799:O801" si="450">SUM(I799)</f>
        <v>1300</v>
      </c>
      <c r="P799" s="51"/>
      <c r="Q799" s="51"/>
      <c r="R799" s="74">
        <f t="shared" si="441"/>
        <v>876.904981549815</v>
      </c>
      <c r="S799" s="74"/>
      <c r="T799" s="75">
        <f t="shared" si="442"/>
        <v>1.85735701107011</v>
      </c>
      <c r="U799" s="74"/>
      <c r="V799" s="74"/>
      <c r="W799" s="76">
        <f t="shared" si="439"/>
        <v>878.762338560886</v>
      </c>
      <c r="X799" s="77">
        <f t="shared" si="443"/>
        <v>14.9625968634686</v>
      </c>
      <c r="Y799" s="77"/>
      <c r="Z799" s="77"/>
      <c r="AA799" s="77">
        <f t="shared" si="440"/>
        <v>14.9625968634686</v>
      </c>
      <c r="AB799" s="86">
        <v>7.08</v>
      </c>
      <c r="AC799" s="74">
        <f t="shared" si="436"/>
        <v>105.935185793358</v>
      </c>
      <c r="AD799" s="74">
        <f t="shared" si="437"/>
        <v>984.697524354244</v>
      </c>
      <c r="AE799" s="74">
        <f t="shared" si="438"/>
        <v>315.302475645756</v>
      </c>
    </row>
    <row r="800" customFormat="1" ht="12" customHeight="1" spans="1:31">
      <c r="A800" s="18"/>
      <c r="B800" s="19"/>
      <c r="C800" s="20">
        <v>240923000006</v>
      </c>
      <c r="D800" s="21">
        <v>45561</v>
      </c>
      <c r="E800" s="21" t="s">
        <v>50</v>
      </c>
      <c r="F800" s="19" t="s">
        <v>51</v>
      </c>
      <c r="G800" s="19" t="s">
        <v>250</v>
      </c>
      <c r="H800" s="19">
        <v>3</v>
      </c>
      <c r="I800" s="41">
        <v>150</v>
      </c>
      <c r="J800" s="53"/>
      <c r="K800" s="43"/>
      <c r="L800" s="19"/>
      <c r="M800" s="43"/>
      <c r="N800" s="44"/>
      <c r="O800" s="45">
        <f t="shared" si="450"/>
        <v>150</v>
      </c>
      <c r="P800" s="51"/>
      <c r="Q800" s="51"/>
      <c r="R800" s="74">
        <f t="shared" si="441"/>
        <v>125.272140221402</v>
      </c>
      <c r="S800" s="74"/>
      <c r="T800" s="75">
        <f t="shared" si="442"/>
        <v>0.265336715867159</v>
      </c>
      <c r="U800" s="74"/>
      <c r="V800" s="74"/>
      <c r="W800" s="76">
        <f t="shared" si="439"/>
        <v>125.537476937269</v>
      </c>
      <c r="X800" s="77">
        <f t="shared" si="443"/>
        <v>2.13751383763838</v>
      </c>
      <c r="Y800" s="77"/>
      <c r="Z800" s="77"/>
      <c r="AA800" s="77">
        <f t="shared" si="440"/>
        <v>2.13751383763838</v>
      </c>
      <c r="AB800" s="86">
        <v>7.08</v>
      </c>
      <c r="AC800" s="74">
        <f t="shared" si="436"/>
        <v>15.1335979704797</v>
      </c>
      <c r="AD800" s="74">
        <f t="shared" si="437"/>
        <v>140.671074907749</v>
      </c>
      <c r="AE800" s="74">
        <f t="shared" si="438"/>
        <v>9.3289250922509</v>
      </c>
    </row>
    <row r="801" customFormat="1" spans="1:31">
      <c r="A801" s="18"/>
      <c r="B801" s="19"/>
      <c r="C801" s="20">
        <v>240923000011</v>
      </c>
      <c r="D801" s="21">
        <v>45561</v>
      </c>
      <c r="E801" s="21" t="s">
        <v>43</v>
      </c>
      <c r="F801" s="19" t="s">
        <v>44</v>
      </c>
      <c r="G801" s="19" t="s">
        <v>431</v>
      </c>
      <c r="H801" s="19">
        <v>1</v>
      </c>
      <c r="I801" s="41">
        <v>60</v>
      </c>
      <c r="J801" s="53"/>
      <c r="K801" s="43"/>
      <c r="L801" s="19"/>
      <c r="M801" s="43"/>
      <c r="N801" s="44"/>
      <c r="O801" s="45">
        <f t="shared" si="450"/>
        <v>60</v>
      </c>
      <c r="P801" s="51"/>
      <c r="Q801" s="51"/>
      <c r="R801" s="74">
        <f t="shared" si="441"/>
        <v>41.7573800738007</v>
      </c>
      <c r="S801" s="74"/>
      <c r="T801" s="75">
        <f t="shared" si="442"/>
        <v>0.0884455719557196</v>
      </c>
      <c r="U801" s="74"/>
      <c r="V801" s="74"/>
      <c r="W801" s="76">
        <f t="shared" si="439"/>
        <v>41.8458256457565</v>
      </c>
      <c r="X801" s="77">
        <f t="shared" si="443"/>
        <v>0.712504612546126</v>
      </c>
      <c r="Y801" s="77"/>
      <c r="Z801" s="77"/>
      <c r="AA801" s="77">
        <f t="shared" si="440"/>
        <v>0.712504612546126</v>
      </c>
      <c r="AB801" s="86">
        <v>7.08</v>
      </c>
      <c r="AC801" s="74">
        <f t="shared" si="436"/>
        <v>5.04453265682657</v>
      </c>
      <c r="AD801" s="74">
        <f t="shared" si="437"/>
        <v>46.890358302583</v>
      </c>
      <c r="AE801" s="74">
        <f t="shared" si="438"/>
        <v>13.109641697417</v>
      </c>
    </row>
    <row r="802" customFormat="1" spans="1:31">
      <c r="A802" s="18"/>
      <c r="B802" s="19"/>
      <c r="C802" s="20">
        <v>240923000012</v>
      </c>
      <c r="D802" s="21">
        <v>45561</v>
      </c>
      <c r="E802" s="21" t="s">
        <v>43</v>
      </c>
      <c r="F802" s="19" t="s">
        <v>44</v>
      </c>
      <c r="G802" s="19" t="s">
        <v>182</v>
      </c>
      <c r="H802" s="19">
        <v>0.36</v>
      </c>
      <c r="I802" s="45"/>
      <c r="J802" s="54">
        <v>15303</v>
      </c>
      <c r="K802" s="43"/>
      <c r="L802" s="49">
        <f t="shared" si="448"/>
        <v>1738.97727272727</v>
      </c>
      <c r="M802" s="50">
        <v>8.8</v>
      </c>
      <c r="N802" s="44">
        <v>7.08</v>
      </c>
      <c r="O802" s="45">
        <f t="shared" si="449"/>
        <v>62.304</v>
      </c>
      <c r="P802" s="51"/>
      <c r="Q802" s="51"/>
      <c r="R802" s="74">
        <f t="shared" si="441"/>
        <v>15.0326568265683</v>
      </c>
      <c r="S802" s="74"/>
      <c r="T802" s="75">
        <f t="shared" si="442"/>
        <v>0.031840405904059</v>
      </c>
      <c r="U802" s="74"/>
      <c r="V802" s="74"/>
      <c r="W802" s="76">
        <f t="shared" si="439"/>
        <v>15.0644972324723</v>
      </c>
      <c r="X802" s="77">
        <f t="shared" si="443"/>
        <v>0.256501660516605</v>
      </c>
      <c r="Y802" s="77"/>
      <c r="Z802" s="77"/>
      <c r="AA802" s="77">
        <f t="shared" si="440"/>
        <v>0.256501660516605</v>
      </c>
      <c r="AB802" s="86">
        <v>7.08</v>
      </c>
      <c r="AC802" s="74">
        <f t="shared" si="436"/>
        <v>1.81603175645756</v>
      </c>
      <c r="AD802" s="74">
        <f t="shared" si="437"/>
        <v>16.8805289889299</v>
      </c>
      <c r="AE802" s="74">
        <f t="shared" si="438"/>
        <v>45.4234710110701</v>
      </c>
    </row>
    <row r="803" customFormat="1" spans="1:31">
      <c r="A803" s="18"/>
      <c r="B803" s="19"/>
      <c r="C803" s="20">
        <v>240923000013</v>
      </c>
      <c r="D803" s="21">
        <v>45561</v>
      </c>
      <c r="E803" s="21" t="s">
        <v>62</v>
      </c>
      <c r="F803" s="19" t="s">
        <v>63</v>
      </c>
      <c r="G803" s="19" t="s">
        <v>509</v>
      </c>
      <c r="H803" s="19">
        <v>10.5</v>
      </c>
      <c r="I803" s="41">
        <v>649.5</v>
      </c>
      <c r="J803" s="53"/>
      <c r="K803" s="43"/>
      <c r="L803" s="19"/>
      <c r="M803" s="43"/>
      <c r="N803" s="44"/>
      <c r="O803" s="45">
        <f t="shared" ref="O803:O809" si="451">SUM(I803)</f>
        <v>649.5</v>
      </c>
      <c r="P803" s="51"/>
      <c r="Q803" s="51"/>
      <c r="R803" s="74">
        <f t="shared" si="441"/>
        <v>438.452490774908</v>
      </c>
      <c r="S803" s="74"/>
      <c r="T803" s="75">
        <f t="shared" si="442"/>
        <v>0.928678505535055</v>
      </c>
      <c r="U803" s="74"/>
      <c r="V803" s="74"/>
      <c r="W803" s="76">
        <f t="shared" si="439"/>
        <v>439.381169280443</v>
      </c>
      <c r="X803" s="77">
        <f t="shared" si="443"/>
        <v>7.48129843173432</v>
      </c>
      <c r="Y803" s="77">
        <v>6.35</v>
      </c>
      <c r="Z803" s="77"/>
      <c r="AA803" s="77">
        <f t="shared" si="440"/>
        <v>13.8312984317343</v>
      </c>
      <c r="AB803" s="86">
        <v>7.08</v>
      </c>
      <c r="AC803" s="74">
        <f t="shared" si="436"/>
        <v>97.925592896679</v>
      </c>
      <c r="AD803" s="74">
        <f t="shared" si="437"/>
        <v>537.306762177122</v>
      </c>
      <c r="AE803" s="74">
        <f t="shared" si="438"/>
        <v>112.193237822878</v>
      </c>
    </row>
    <row r="804" customFormat="1" spans="1:31">
      <c r="A804" s="18"/>
      <c r="B804" s="19"/>
      <c r="C804" s="20">
        <v>240923000015</v>
      </c>
      <c r="D804" s="21">
        <v>45561</v>
      </c>
      <c r="E804" s="21" t="s">
        <v>43</v>
      </c>
      <c r="F804" s="19" t="s">
        <v>44</v>
      </c>
      <c r="G804" s="19" t="s">
        <v>109</v>
      </c>
      <c r="H804" s="19">
        <v>592.5</v>
      </c>
      <c r="I804" s="45"/>
      <c r="J804" s="54">
        <v>10303575</v>
      </c>
      <c r="K804" s="43"/>
      <c r="L804" s="49">
        <f>SUM(J804/M804)</f>
        <v>1739</v>
      </c>
      <c r="M804" s="50">
        <v>5925</v>
      </c>
      <c r="N804" s="44">
        <v>7.08</v>
      </c>
      <c r="O804" s="45">
        <f>SUM(M804*N804)</f>
        <v>41949</v>
      </c>
      <c r="P804" s="51"/>
      <c r="Q804" s="51"/>
      <c r="R804" s="74">
        <f t="shared" si="441"/>
        <v>24741.2476937269</v>
      </c>
      <c r="S804" s="74"/>
      <c r="T804" s="75">
        <f t="shared" si="442"/>
        <v>52.4040013837638</v>
      </c>
      <c r="U804" s="74"/>
      <c r="V804" s="75">
        <v>90</v>
      </c>
      <c r="W804" s="76">
        <f t="shared" si="439"/>
        <v>24883.6516951107</v>
      </c>
      <c r="X804" s="77">
        <f t="shared" si="443"/>
        <v>422.158982933579</v>
      </c>
      <c r="Y804" s="77"/>
      <c r="Z804" s="77"/>
      <c r="AA804" s="77">
        <f t="shared" si="440"/>
        <v>422.158982933579</v>
      </c>
      <c r="AB804" s="86">
        <v>7.08</v>
      </c>
      <c r="AC804" s="74">
        <f t="shared" si="436"/>
        <v>2988.88559916974</v>
      </c>
      <c r="AD804" s="74">
        <f t="shared" si="437"/>
        <v>27872.5372942804</v>
      </c>
      <c r="AE804" s="74">
        <f t="shared" si="438"/>
        <v>14076.4627057196</v>
      </c>
    </row>
    <row r="805" customFormat="1" spans="1:31">
      <c r="A805" s="18"/>
      <c r="B805" s="19"/>
      <c r="C805" s="20">
        <v>240923000016</v>
      </c>
      <c r="D805" s="21">
        <v>45561</v>
      </c>
      <c r="E805" s="21" t="s">
        <v>43</v>
      </c>
      <c r="F805" s="19" t="s">
        <v>44</v>
      </c>
      <c r="G805" s="19" t="s">
        <v>110</v>
      </c>
      <c r="H805" s="19">
        <v>12</v>
      </c>
      <c r="I805" s="41">
        <v>816</v>
      </c>
      <c r="J805" s="53"/>
      <c r="K805" s="43"/>
      <c r="L805" s="19"/>
      <c r="M805" s="43"/>
      <c r="N805" s="44"/>
      <c r="O805" s="45">
        <f t="shared" si="451"/>
        <v>816</v>
      </c>
      <c r="P805" s="51"/>
      <c r="Q805" s="51"/>
      <c r="R805" s="74">
        <f t="shared" si="441"/>
        <v>501.088560885609</v>
      </c>
      <c r="S805" s="74"/>
      <c r="T805" s="75">
        <f t="shared" si="442"/>
        <v>1.06134686346863</v>
      </c>
      <c r="U805" s="74"/>
      <c r="V805" s="74"/>
      <c r="W805" s="76">
        <f t="shared" si="439"/>
        <v>502.149907749078</v>
      </c>
      <c r="X805" s="77">
        <f t="shared" si="443"/>
        <v>8.55005535055351</v>
      </c>
      <c r="Y805" s="77"/>
      <c r="Z805" s="77"/>
      <c r="AA805" s="77">
        <f t="shared" si="440"/>
        <v>8.55005535055351</v>
      </c>
      <c r="AB805" s="86">
        <v>7.08</v>
      </c>
      <c r="AC805" s="74">
        <f t="shared" si="436"/>
        <v>60.5343918819188</v>
      </c>
      <c r="AD805" s="74">
        <f t="shared" si="437"/>
        <v>562.684299630996</v>
      </c>
      <c r="AE805" s="74">
        <f t="shared" si="438"/>
        <v>253.315700369004</v>
      </c>
    </row>
    <row r="806" customFormat="1" spans="1:31">
      <c r="A806" s="18"/>
      <c r="B806" s="19"/>
      <c r="C806" s="20">
        <v>240923000019</v>
      </c>
      <c r="D806" s="21">
        <v>45561</v>
      </c>
      <c r="E806" s="21" t="s">
        <v>62</v>
      </c>
      <c r="F806" s="19" t="s">
        <v>63</v>
      </c>
      <c r="G806" s="19" t="s">
        <v>510</v>
      </c>
      <c r="H806" s="19">
        <v>9.5</v>
      </c>
      <c r="I806" s="41">
        <v>547.5</v>
      </c>
      <c r="J806" s="53"/>
      <c r="K806" s="43"/>
      <c r="L806" s="19"/>
      <c r="M806" s="43"/>
      <c r="N806" s="44"/>
      <c r="O806" s="45">
        <f t="shared" si="451"/>
        <v>547.5</v>
      </c>
      <c r="P806" s="51"/>
      <c r="Q806" s="51"/>
      <c r="R806" s="74">
        <f t="shared" si="441"/>
        <v>396.695110701107</v>
      </c>
      <c r="S806" s="74"/>
      <c r="T806" s="75">
        <f t="shared" si="442"/>
        <v>0.840232933579336</v>
      </c>
      <c r="U806" s="74"/>
      <c r="V806" s="74"/>
      <c r="W806" s="76">
        <f t="shared" si="439"/>
        <v>397.535343634686</v>
      </c>
      <c r="X806" s="77">
        <f t="shared" si="443"/>
        <v>6.76879381918819</v>
      </c>
      <c r="Y806" s="77"/>
      <c r="Z806" s="77"/>
      <c r="AA806" s="77">
        <f t="shared" si="440"/>
        <v>6.76879381918819</v>
      </c>
      <c r="AB806" s="86">
        <v>7.08</v>
      </c>
      <c r="AC806" s="74">
        <f t="shared" si="436"/>
        <v>47.9230602398524</v>
      </c>
      <c r="AD806" s="74">
        <f t="shared" si="437"/>
        <v>445.458403874539</v>
      </c>
      <c r="AE806" s="74">
        <f t="shared" si="438"/>
        <v>102.041596125461</v>
      </c>
    </row>
    <row r="807" customFormat="1" spans="1:31">
      <c r="A807" s="18"/>
      <c r="B807" s="19"/>
      <c r="C807" s="20">
        <v>240923000024</v>
      </c>
      <c r="D807" s="21">
        <v>45561</v>
      </c>
      <c r="E807" s="21" t="s">
        <v>43</v>
      </c>
      <c r="F807" s="19" t="s">
        <v>44</v>
      </c>
      <c r="G807" s="19" t="s">
        <v>224</v>
      </c>
      <c r="H807" s="19">
        <v>2</v>
      </c>
      <c r="I807" s="41">
        <v>135</v>
      </c>
      <c r="J807" s="53"/>
      <c r="K807" s="43"/>
      <c r="L807" s="19"/>
      <c r="M807" s="43"/>
      <c r="N807" s="44"/>
      <c r="O807" s="45">
        <f t="shared" si="451"/>
        <v>135</v>
      </c>
      <c r="P807" s="51"/>
      <c r="Q807" s="51"/>
      <c r="R807" s="74">
        <f t="shared" si="441"/>
        <v>83.5147601476015</v>
      </c>
      <c r="S807" s="74"/>
      <c r="T807" s="75">
        <f t="shared" si="442"/>
        <v>0.176891143911439</v>
      </c>
      <c r="U807" s="74"/>
      <c r="V807" s="74"/>
      <c r="W807" s="76">
        <f t="shared" si="439"/>
        <v>83.6916512915129</v>
      </c>
      <c r="X807" s="77">
        <f t="shared" si="443"/>
        <v>1.42500922509225</v>
      </c>
      <c r="Y807" s="77"/>
      <c r="Z807" s="77"/>
      <c r="AA807" s="77">
        <f t="shared" si="440"/>
        <v>1.42500922509225</v>
      </c>
      <c r="AB807" s="86">
        <v>7.08</v>
      </c>
      <c r="AC807" s="74">
        <f t="shared" si="436"/>
        <v>10.0890653136531</v>
      </c>
      <c r="AD807" s="74">
        <f t="shared" si="437"/>
        <v>93.780716605166</v>
      </c>
      <c r="AE807" s="74">
        <f t="shared" si="438"/>
        <v>41.219283394834</v>
      </c>
    </row>
    <row r="808" customFormat="1" spans="1:31">
      <c r="A808" s="18"/>
      <c r="B808" s="19"/>
      <c r="C808" s="20">
        <v>240923000026</v>
      </c>
      <c r="D808" s="21">
        <v>45561</v>
      </c>
      <c r="E808" s="21" t="s">
        <v>62</v>
      </c>
      <c r="F808" s="19" t="s">
        <v>63</v>
      </c>
      <c r="G808" s="19" t="s">
        <v>511</v>
      </c>
      <c r="H808" s="19">
        <v>2.5</v>
      </c>
      <c r="I808" s="41">
        <v>220.5</v>
      </c>
      <c r="J808" s="53"/>
      <c r="K808" s="43"/>
      <c r="L808" s="19"/>
      <c r="M808" s="43"/>
      <c r="N808" s="44"/>
      <c r="O808" s="45">
        <f t="shared" si="451"/>
        <v>220.5</v>
      </c>
      <c r="P808" s="51"/>
      <c r="Q808" s="51"/>
      <c r="R808" s="74">
        <f t="shared" si="441"/>
        <v>104.393450184502</v>
      </c>
      <c r="S808" s="74"/>
      <c r="T808" s="75">
        <f t="shared" si="442"/>
        <v>0.221113929889299</v>
      </c>
      <c r="U808" s="74"/>
      <c r="V808" s="74"/>
      <c r="W808" s="76">
        <f t="shared" si="439"/>
        <v>104.614564114391</v>
      </c>
      <c r="X808" s="77">
        <f t="shared" si="443"/>
        <v>1.78126153136531</v>
      </c>
      <c r="Y808" s="77"/>
      <c r="Z808" s="77"/>
      <c r="AA808" s="77">
        <f t="shared" si="440"/>
        <v>1.78126153136531</v>
      </c>
      <c r="AB808" s="86">
        <v>7.08</v>
      </c>
      <c r="AC808" s="74">
        <f t="shared" si="436"/>
        <v>12.6113316420664</v>
      </c>
      <c r="AD808" s="74">
        <f t="shared" si="437"/>
        <v>117.225895756458</v>
      </c>
      <c r="AE808" s="74">
        <f t="shared" si="438"/>
        <v>103.274104243542</v>
      </c>
    </row>
    <row r="809" customFormat="1" spans="1:31">
      <c r="A809" s="18"/>
      <c r="B809" s="19"/>
      <c r="C809" s="20">
        <v>240923000029</v>
      </c>
      <c r="D809" s="21">
        <v>45561</v>
      </c>
      <c r="E809" s="21" t="s">
        <v>62</v>
      </c>
      <c r="F809" s="19" t="s">
        <v>63</v>
      </c>
      <c r="G809" s="19" t="s">
        <v>512</v>
      </c>
      <c r="H809" s="19">
        <v>2.5</v>
      </c>
      <c r="I809" s="41">
        <v>153</v>
      </c>
      <c r="J809" s="53"/>
      <c r="K809" s="43"/>
      <c r="L809" s="19"/>
      <c r="M809" s="43"/>
      <c r="N809" s="44"/>
      <c r="O809" s="45">
        <f t="shared" si="451"/>
        <v>153</v>
      </c>
      <c r="P809" s="51"/>
      <c r="Q809" s="51"/>
      <c r="R809" s="74">
        <f t="shared" si="441"/>
        <v>104.393450184502</v>
      </c>
      <c r="S809" s="74"/>
      <c r="T809" s="75">
        <f t="shared" si="442"/>
        <v>0.221113929889299</v>
      </c>
      <c r="U809" s="74"/>
      <c r="V809" s="74"/>
      <c r="W809" s="76">
        <f t="shared" si="439"/>
        <v>104.614564114391</v>
      </c>
      <c r="X809" s="77">
        <f t="shared" si="443"/>
        <v>1.78126153136531</v>
      </c>
      <c r="Y809" s="77"/>
      <c r="Z809" s="77"/>
      <c r="AA809" s="77">
        <f t="shared" si="440"/>
        <v>1.78126153136531</v>
      </c>
      <c r="AB809" s="86">
        <v>7.08</v>
      </c>
      <c r="AC809" s="74">
        <f t="shared" si="436"/>
        <v>12.6113316420664</v>
      </c>
      <c r="AD809" s="74">
        <f t="shared" si="437"/>
        <v>117.225895756458</v>
      </c>
      <c r="AE809" s="74">
        <f t="shared" si="438"/>
        <v>35.7741042435424</v>
      </c>
    </row>
    <row r="810" customFormat="1" spans="1:31">
      <c r="A810" s="18"/>
      <c r="B810" s="19"/>
      <c r="C810" s="20">
        <v>240923000031</v>
      </c>
      <c r="D810" s="21">
        <v>45561</v>
      </c>
      <c r="E810" s="21" t="s">
        <v>50</v>
      </c>
      <c r="F810" s="19" t="s">
        <v>51</v>
      </c>
      <c r="G810" s="19" t="s">
        <v>87</v>
      </c>
      <c r="H810" s="19">
        <v>0.68</v>
      </c>
      <c r="I810" s="55"/>
      <c r="J810" s="54">
        <v>13475</v>
      </c>
      <c r="K810" s="43"/>
      <c r="L810" s="49">
        <f t="shared" ref="L810:L812" si="452">SUM(J810/M810)</f>
        <v>1736.46907216495</v>
      </c>
      <c r="M810" s="50">
        <v>7.76</v>
      </c>
      <c r="N810" s="44">
        <v>7.08</v>
      </c>
      <c r="O810" s="45">
        <f t="shared" ref="O810:O813" si="453">SUM(M810*N810)</f>
        <v>54.9408</v>
      </c>
      <c r="P810" s="51"/>
      <c r="Q810" s="51"/>
      <c r="R810" s="74">
        <f t="shared" si="441"/>
        <v>28.3950184501845</v>
      </c>
      <c r="S810" s="74"/>
      <c r="T810" s="75">
        <f t="shared" si="442"/>
        <v>0.0601429889298893</v>
      </c>
      <c r="U810" s="74"/>
      <c r="V810" s="74"/>
      <c r="W810" s="76">
        <f t="shared" si="439"/>
        <v>28.4551614391144</v>
      </c>
      <c r="X810" s="77">
        <f t="shared" si="443"/>
        <v>0.484503136531365</v>
      </c>
      <c r="Y810" s="77"/>
      <c r="Z810" s="77"/>
      <c r="AA810" s="77">
        <f t="shared" si="440"/>
        <v>0.484503136531365</v>
      </c>
      <c r="AB810" s="86">
        <v>7.08</v>
      </c>
      <c r="AC810" s="74">
        <f t="shared" si="436"/>
        <v>3.43028220664207</v>
      </c>
      <c r="AD810" s="74">
        <f t="shared" si="437"/>
        <v>31.8854436457565</v>
      </c>
      <c r="AE810" s="74">
        <f t="shared" si="438"/>
        <v>23.0553563542435</v>
      </c>
    </row>
    <row r="811" customFormat="1" spans="1:31">
      <c r="A811" s="18"/>
      <c r="B811" s="19"/>
      <c r="C811" s="20">
        <v>240923000033</v>
      </c>
      <c r="D811" s="21">
        <v>45561</v>
      </c>
      <c r="E811" s="21" t="s">
        <v>46</v>
      </c>
      <c r="F811" s="19" t="s">
        <v>47</v>
      </c>
      <c r="G811" s="19" t="s">
        <v>323</v>
      </c>
      <c r="H811" s="19">
        <v>14</v>
      </c>
      <c r="I811" s="45"/>
      <c r="J811" s="54">
        <v>193898.5</v>
      </c>
      <c r="K811" s="43"/>
      <c r="L811" s="49">
        <f t="shared" si="452"/>
        <v>1739</v>
      </c>
      <c r="M811" s="50">
        <v>111.5</v>
      </c>
      <c r="N811" s="44">
        <v>7.08</v>
      </c>
      <c r="O811" s="45">
        <f t="shared" si="453"/>
        <v>789.42</v>
      </c>
      <c r="P811" s="51"/>
      <c r="Q811" s="51"/>
      <c r="R811" s="74">
        <f t="shared" si="441"/>
        <v>584.60332103321</v>
      </c>
      <c r="S811" s="74"/>
      <c r="T811" s="75">
        <f t="shared" si="442"/>
        <v>1.23823800738007</v>
      </c>
      <c r="U811" s="74"/>
      <c r="V811" s="74"/>
      <c r="W811" s="76">
        <f t="shared" si="439"/>
        <v>585.84155904059</v>
      </c>
      <c r="X811" s="77">
        <f t="shared" si="443"/>
        <v>9.97506457564576</v>
      </c>
      <c r="Y811" s="77"/>
      <c r="Z811" s="77"/>
      <c r="AA811" s="77">
        <f t="shared" si="440"/>
        <v>9.97506457564576</v>
      </c>
      <c r="AB811" s="86">
        <v>7.08</v>
      </c>
      <c r="AC811" s="74">
        <f t="shared" si="436"/>
        <v>70.623457195572</v>
      </c>
      <c r="AD811" s="74">
        <f t="shared" si="437"/>
        <v>656.465016236162</v>
      </c>
      <c r="AE811" s="74">
        <f t="shared" si="438"/>
        <v>132.954983763838</v>
      </c>
    </row>
    <row r="812" customFormat="1" spans="1:31">
      <c r="A812" s="18"/>
      <c r="B812" s="19"/>
      <c r="C812" s="20">
        <v>240923000034</v>
      </c>
      <c r="D812" s="21">
        <v>45561</v>
      </c>
      <c r="E812" s="21" t="s">
        <v>46</v>
      </c>
      <c r="F812" s="19" t="s">
        <v>47</v>
      </c>
      <c r="G812" s="19" t="s">
        <v>272</v>
      </c>
      <c r="H812" s="19">
        <v>8</v>
      </c>
      <c r="I812" s="45"/>
      <c r="J812" s="54">
        <v>111470</v>
      </c>
      <c r="K812" s="43"/>
      <c r="L812" s="49">
        <f t="shared" si="452"/>
        <v>1739.0015600624</v>
      </c>
      <c r="M812" s="50">
        <v>64.1</v>
      </c>
      <c r="N812" s="44">
        <v>7.08</v>
      </c>
      <c r="O812" s="45">
        <f t="shared" si="453"/>
        <v>453.828</v>
      </c>
      <c r="P812" s="51"/>
      <c r="Q812" s="51"/>
      <c r="R812" s="74">
        <f t="shared" si="441"/>
        <v>334.059040590406</v>
      </c>
      <c r="S812" s="74"/>
      <c r="T812" s="75">
        <f t="shared" si="442"/>
        <v>0.707564575645756</v>
      </c>
      <c r="U812" s="74"/>
      <c r="V812" s="74"/>
      <c r="W812" s="76">
        <f t="shared" si="439"/>
        <v>334.766605166052</v>
      </c>
      <c r="X812" s="77">
        <f t="shared" si="443"/>
        <v>5.700036900369</v>
      </c>
      <c r="Y812" s="77"/>
      <c r="Z812" s="77"/>
      <c r="AA812" s="77">
        <f t="shared" si="440"/>
        <v>5.700036900369</v>
      </c>
      <c r="AB812" s="86">
        <v>7.08</v>
      </c>
      <c r="AC812" s="74">
        <f t="shared" si="436"/>
        <v>40.3562612546125</v>
      </c>
      <c r="AD812" s="74">
        <f t="shared" si="437"/>
        <v>375.122866420664</v>
      </c>
      <c r="AE812" s="74">
        <f t="shared" si="438"/>
        <v>78.7051335793359</v>
      </c>
    </row>
    <row r="813" customFormat="1" spans="1:31">
      <c r="A813" s="18"/>
      <c r="B813" s="19"/>
      <c r="C813" s="20">
        <v>240923000038</v>
      </c>
      <c r="D813" s="21">
        <v>45561</v>
      </c>
      <c r="E813" s="21" t="s">
        <v>46</v>
      </c>
      <c r="F813" s="19" t="s">
        <v>47</v>
      </c>
      <c r="G813" s="19" t="s">
        <v>513</v>
      </c>
      <c r="H813" s="19">
        <v>24.5</v>
      </c>
      <c r="I813" s="45"/>
      <c r="J813" s="53"/>
      <c r="K813" s="50">
        <v>190</v>
      </c>
      <c r="L813" s="19"/>
      <c r="M813" s="50">
        <v>190</v>
      </c>
      <c r="N813" s="44">
        <v>7.08</v>
      </c>
      <c r="O813" s="45">
        <f t="shared" si="453"/>
        <v>1345.2</v>
      </c>
      <c r="P813" s="51"/>
      <c r="Q813" s="51"/>
      <c r="R813" s="74">
        <f t="shared" si="441"/>
        <v>1023.05581180812</v>
      </c>
      <c r="S813" s="74"/>
      <c r="T813" s="75">
        <f t="shared" si="442"/>
        <v>2.16691651291513</v>
      </c>
      <c r="U813" s="74"/>
      <c r="V813" s="74"/>
      <c r="W813" s="76">
        <f t="shared" si="439"/>
        <v>1025.22272832103</v>
      </c>
      <c r="X813" s="77">
        <f t="shared" si="443"/>
        <v>17.4563630073801</v>
      </c>
      <c r="Y813" s="77"/>
      <c r="Z813" s="77"/>
      <c r="AA813" s="77">
        <f t="shared" si="440"/>
        <v>17.4563630073801</v>
      </c>
      <c r="AB813" s="86">
        <v>7.08</v>
      </c>
      <c r="AC813" s="74">
        <f t="shared" si="436"/>
        <v>123.591050092251</v>
      </c>
      <c r="AD813" s="74">
        <f t="shared" si="437"/>
        <v>1148.81377841328</v>
      </c>
      <c r="AE813" s="74">
        <f t="shared" si="438"/>
        <v>196.38622158672</v>
      </c>
    </row>
    <row r="814" customFormat="1" spans="1:31">
      <c r="A814" s="18"/>
      <c r="B814" s="19"/>
      <c r="C814" s="20">
        <v>240923000042</v>
      </c>
      <c r="D814" s="21">
        <v>45561</v>
      </c>
      <c r="E814" s="21" t="s">
        <v>62</v>
      </c>
      <c r="F814" s="19" t="s">
        <v>63</v>
      </c>
      <c r="G814" s="19" t="s">
        <v>358</v>
      </c>
      <c r="H814" s="19">
        <v>267.5</v>
      </c>
      <c r="I814" s="41">
        <v>14561.5</v>
      </c>
      <c r="J814" s="53"/>
      <c r="K814" s="43"/>
      <c r="L814" s="19"/>
      <c r="M814" s="43"/>
      <c r="N814" s="44"/>
      <c r="O814" s="45">
        <f t="shared" ref="O814:O820" si="454">SUM(I814)</f>
        <v>14561.5</v>
      </c>
      <c r="P814" s="51"/>
      <c r="Q814" s="51"/>
      <c r="R814" s="74">
        <f t="shared" si="441"/>
        <v>11170.0991697417</v>
      </c>
      <c r="S814" s="74"/>
      <c r="T814" s="75">
        <f t="shared" si="442"/>
        <v>23.659190498155</v>
      </c>
      <c r="U814" s="74">
        <v>120</v>
      </c>
      <c r="V814" s="75">
        <v>799</v>
      </c>
      <c r="W814" s="76">
        <f t="shared" si="439"/>
        <v>12112.7583602399</v>
      </c>
      <c r="X814" s="77">
        <f t="shared" si="443"/>
        <v>190.594983856089</v>
      </c>
      <c r="Y814" s="77"/>
      <c r="Z814" s="77"/>
      <c r="AA814" s="77">
        <f t="shared" si="440"/>
        <v>190.594983856089</v>
      </c>
      <c r="AB814" s="86">
        <v>7.08</v>
      </c>
      <c r="AC814" s="74">
        <f t="shared" si="436"/>
        <v>1349.41248570111</v>
      </c>
      <c r="AD814" s="74">
        <f t="shared" si="437"/>
        <v>13462.170845941</v>
      </c>
      <c r="AE814" s="74">
        <f t="shared" si="438"/>
        <v>1099.32915405904</v>
      </c>
    </row>
    <row r="815" customFormat="1" spans="1:31">
      <c r="A815" s="18"/>
      <c r="B815" s="19"/>
      <c r="C815" s="20">
        <v>240923000043</v>
      </c>
      <c r="D815" s="21">
        <v>45561</v>
      </c>
      <c r="E815" s="21" t="s">
        <v>50</v>
      </c>
      <c r="F815" s="19" t="s">
        <v>51</v>
      </c>
      <c r="G815" s="19" t="s">
        <v>250</v>
      </c>
      <c r="H815" s="19">
        <v>30</v>
      </c>
      <c r="I815" s="47"/>
      <c r="J815" s="54">
        <v>469614</v>
      </c>
      <c r="K815" s="43"/>
      <c r="L815" s="49">
        <f t="shared" ref="L815:L817" si="455">SUM(J815/M815)</f>
        <v>1741.69788228313</v>
      </c>
      <c r="M815" s="50">
        <v>269.63</v>
      </c>
      <c r="N815" s="44">
        <v>7.08</v>
      </c>
      <c r="O815" s="45">
        <f t="shared" ref="O815:O817" si="456">SUM(M815*N815)</f>
        <v>1908.9804</v>
      </c>
      <c r="P815" s="51"/>
      <c r="Q815" s="51"/>
      <c r="R815" s="74">
        <f t="shared" si="441"/>
        <v>1252.72140221402</v>
      </c>
      <c r="S815" s="74"/>
      <c r="T815" s="75">
        <f t="shared" si="442"/>
        <v>2.65336715867159</v>
      </c>
      <c r="U815" s="74"/>
      <c r="V815" s="75">
        <v>194</v>
      </c>
      <c r="W815" s="76">
        <f t="shared" si="439"/>
        <v>1449.37476937269</v>
      </c>
      <c r="X815" s="77">
        <f t="shared" si="443"/>
        <v>21.3751383763838</v>
      </c>
      <c r="Y815" s="77"/>
      <c r="Z815" s="77"/>
      <c r="AA815" s="77">
        <f t="shared" si="440"/>
        <v>21.3751383763838</v>
      </c>
      <c r="AB815" s="86">
        <v>7.08</v>
      </c>
      <c r="AC815" s="74">
        <f t="shared" si="436"/>
        <v>151.335979704797</v>
      </c>
      <c r="AD815" s="74">
        <f t="shared" si="437"/>
        <v>1600.71074907749</v>
      </c>
      <c r="AE815" s="74">
        <f t="shared" si="438"/>
        <v>308.269650922509</v>
      </c>
    </row>
    <row r="816" customFormat="1" spans="1:31">
      <c r="A816" s="18"/>
      <c r="B816" s="19"/>
      <c r="C816" s="20">
        <v>240923000052</v>
      </c>
      <c r="D816" s="21">
        <v>45561</v>
      </c>
      <c r="E816" s="21" t="s">
        <v>41</v>
      </c>
      <c r="F816" s="19" t="s">
        <v>41</v>
      </c>
      <c r="G816" s="19" t="s">
        <v>514</v>
      </c>
      <c r="H816" s="19">
        <v>26.5</v>
      </c>
      <c r="I816" s="55"/>
      <c r="J816" s="54">
        <v>388527.5</v>
      </c>
      <c r="K816" s="43"/>
      <c r="L816" s="49">
        <f t="shared" si="455"/>
        <v>1649.658203125</v>
      </c>
      <c r="M816" s="50">
        <v>235.52</v>
      </c>
      <c r="N816" s="44">
        <v>7.08</v>
      </c>
      <c r="O816" s="100">
        <f t="shared" si="456"/>
        <v>1667.4816</v>
      </c>
      <c r="P816" s="51"/>
      <c r="Q816" s="51"/>
      <c r="R816" s="74">
        <f t="shared" si="441"/>
        <v>1106.57057195572</v>
      </c>
      <c r="S816" s="74"/>
      <c r="T816" s="75">
        <f t="shared" si="442"/>
        <v>2.34380765682657</v>
      </c>
      <c r="U816" s="74"/>
      <c r="V816" s="74"/>
      <c r="W816" s="76">
        <f t="shared" si="439"/>
        <v>1108.91437961255</v>
      </c>
      <c r="X816" s="77">
        <f t="shared" si="443"/>
        <v>18.8813722324723</v>
      </c>
      <c r="Y816" s="77"/>
      <c r="Z816" s="77"/>
      <c r="AA816" s="77">
        <f t="shared" si="440"/>
        <v>18.8813722324723</v>
      </c>
      <c r="AB816" s="86">
        <v>7.08</v>
      </c>
      <c r="AC816" s="74">
        <f t="shared" si="436"/>
        <v>133.680115405904</v>
      </c>
      <c r="AD816" s="74">
        <f t="shared" ref="AD816:AD827" si="457">SUM(W816+AC816)</f>
        <v>1242.59449501845</v>
      </c>
      <c r="AE816" s="74">
        <f t="shared" si="438"/>
        <v>424.88710498155</v>
      </c>
    </row>
    <row r="817" customFormat="1" spans="1:31">
      <c r="A817" s="18"/>
      <c r="B817" s="19"/>
      <c r="C817" s="20">
        <v>240923000056</v>
      </c>
      <c r="D817" s="21">
        <v>45561</v>
      </c>
      <c r="E817" s="21" t="s">
        <v>50</v>
      </c>
      <c r="F817" s="19" t="s">
        <v>51</v>
      </c>
      <c r="G817" s="19" t="s">
        <v>291</v>
      </c>
      <c r="H817" s="19">
        <v>39</v>
      </c>
      <c r="I817" s="47"/>
      <c r="J817" s="54">
        <v>481338</v>
      </c>
      <c r="K817" s="43"/>
      <c r="L817" s="49">
        <f t="shared" si="455"/>
        <v>1713.37343822304</v>
      </c>
      <c r="M817" s="50">
        <v>280.93</v>
      </c>
      <c r="N817" s="44">
        <v>7.08</v>
      </c>
      <c r="O817" s="45">
        <f t="shared" si="456"/>
        <v>1988.9844</v>
      </c>
      <c r="P817" s="51"/>
      <c r="Q817" s="51"/>
      <c r="R817" s="74">
        <f t="shared" si="441"/>
        <v>1628.53782287823</v>
      </c>
      <c r="S817" s="74"/>
      <c r="T817" s="75">
        <f t="shared" si="442"/>
        <v>3.44937730627306</v>
      </c>
      <c r="U817" s="74"/>
      <c r="V817" s="74"/>
      <c r="W817" s="76">
        <f t="shared" si="439"/>
        <v>1631.9872001845</v>
      </c>
      <c r="X817" s="77">
        <f t="shared" si="443"/>
        <v>27.7876798892989</v>
      </c>
      <c r="Y817" s="77"/>
      <c r="Z817" s="77"/>
      <c r="AA817" s="77">
        <f t="shared" si="440"/>
        <v>27.7876798892989</v>
      </c>
      <c r="AB817" s="86">
        <v>7.08</v>
      </c>
      <c r="AC817" s="74">
        <f t="shared" ref="AC817:AC827" si="458">SUM(AA817*AB817)</f>
        <v>196.736773616236</v>
      </c>
      <c r="AD817" s="74">
        <f t="shared" si="457"/>
        <v>1828.72397380074</v>
      </c>
      <c r="AE817" s="74">
        <f t="shared" ref="AE817:AE827" si="459">SUM(O817-AD817)</f>
        <v>160.260426199262</v>
      </c>
    </row>
    <row r="818" customFormat="1" spans="1:31">
      <c r="A818" s="18"/>
      <c r="B818" s="19"/>
      <c r="C818" s="20">
        <v>240923000058</v>
      </c>
      <c r="D818" s="21">
        <v>45561</v>
      </c>
      <c r="E818" s="21" t="s">
        <v>50</v>
      </c>
      <c r="F818" s="19" t="s">
        <v>51</v>
      </c>
      <c r="G818" s="19" t="s">
        <v>515</v>
      </c>
      <c r="H818" s="19">
        <v>42</v>
      </c>
      <c r="I818" s="41">
        <v>3080</v>
      </c>
      <c r="J818" s="53"/>
      <c r="K818" s="43"/>
      <c r="L818" s="19"/>
      <c r="M818" s="43"/>
      <c r="N818" s="44"/>
      <c r="O818" s="45">
        <f t="shared" si="454"/>
        <v>3080</v>
      </c>
      <c r="P818" s="52"/>
      <c r="Q818" s="52"/>
      <c r="R818" s="74">
        <f t="shared" si="441"/>
        <v>1753.80996309963</v>
      </c>
      <c r="S818" s="74"/>
      <c r="T818" s="75">
        <f t="shared" si="442"/>
        <v>3.71471402214022</v>
      </c>
      <c r="U818" s="74"/>
      <c r="V818" s="74"/>
      <c r="W818" s="76">
        <f t="shared" ref="W818:W827" si="460">SUM(R818:V818)</f>
        <v>1757.52467712177</v>
      </c>
      <c r="X818" s="77">
        <f t="shared" si="443"/>
        <v>29.9251937269373</v>
      </c>
      <c r="Y818" s="77"/>
      <c r="Z818" s="77"/>
      <c r="AA818" s="77">
        <f t="shared" ref="AA818:AA827" si="461">SUM(X818:Z818)</f>
        <v>29.9251937269373</v>
      </c>
      <c r="AB818" s="86">
        <v>7.08</v>
      </c>
      <c r="AC818" s="74">
        <f t="shared" si="458"/>
        <v>211.870371586716</v>
      </c>
      <c r="AD818" s="74">
        <f t="shared" si="457"/>
        <v>1969.39504870849</v>
      </c>
      <c r="AE818" s="74">
        <f t="shared" si="459"/>
        <v>1110.60495129151</v>
      </c>
    </row>
    <row r="819" customFormat="1" spans="1:31">
      <c r="A819" s="18" t="s">
        <v>516</v>
      </c>
      <c r="B819" s="19" t="s">
        <v>517</v>
      </c>
      <c r="C819" s="20">
        <v>240925000006</v>
      </c>
      <c r="D819" s="21">
        <v>45563</v>
      </c>
      <c r="E819" s="21" t="s">
        <v>50</v>
      </c>
      <c r="F819" s="19" t="s">
        <v>51</v>
      </c>
      <c r="G819" s="19" t="s">
        <v>254</v>
      </c>
      <c r="H819" s="19">
        <v>3.5</v>
      </c>
      <c r="I819" s="41">
        <v>420</v>
      </c>
      <c r="J819" s="53"/>
      <c r="K819" s="43"/>
      <c r="L819" s="19"/>
      <c r="M819" s="43"/>
      <c r="N819" s="44"/>
      <c r="O819" s="45">
        <f t="shared" si="454"/>
        <v>420</v>
      </c>
      <c r="P819" s="46">
        <f>SUM(O819:O827)</f>
        <v>6213.3</v>
      </c>
      <c r="Q819" s="46" t="s">
        <v>40</v>
      </c>
      <c r="R819" s="74">
        <f>SUM(2400/32)*H819</f>
        <v>262.5</v>
      </c>
      <c r="S819" s="74"/>
      <c r="T819" s="75">
        <f>SUM(83.67/32)*H819</f>
        <v>9.15140625</v>
      </c>
      <c r="U819" s="74"/>
      <c r="V819" s="74"/>
      <c r="W819" s="76">
        <f t="shared" si="460"/>
        <v>271.65140625</v>
      </c>
      <c r="X819" s="77">
        <f>SUM(142.61/32)*H819</f>
        <v>15.59796875</v>
      </c>
      <c r="Y819" s="77"/>
      <c r="Z819" s="77"/>
      <c r="AA819" s="77">
        <f t="shared" si="461"/>
        <v>15.59796875</v>
      </c>
      <c r="AB819" s="86">
        <v>7.08</v>
      </c>
      <c r="AC819" s="74">
        <f t="shared" si="458"/>
        <v>110.43361875</v>
      </c>
      <c r="AD819" s="74">
        <f t="shared" si="457"/>
        <v>382.085025</v>
      </c>
      <c r="AE819" s="74">
        <f t="shared" si="459"/>
        <v>37.914975</v>
      </c>
    </row>
    <row r="820" customFormat="1" spans="1:31">
      <c r="A820" s="18"/>
      <c r="B820" s="19"/>
      <c r="C820" s="20">
        <v>240925000019</v>
      </c>
      <c r="D820" s="21">
        <v>45563</v>
      </c>
      <c r="E820" s="21" t="s">
        <v>191</v>
      </c>
      <c r="F820" s="19" t="s">
        <v>192</v>
      </c>
      <c r="G820" s="19" t="s">
        <v>518</v>
      </c>
      <c r="H820" s="19">
        <v>0.9</v>
      </c>
      <c r="I820" s="41">
        <v>115</v>
      </c>
      <c r="J820" s="53"/>
      <c r="K820" s="43"/>
      <c r="L820" s="19"/>
      <c r="M820" s="43"/>
      <c r="N820" s="44"/>
      <c r="O820" s="45">
        <f t="shared" si="454"/>
        <v>115</v>
      </c>
      <c r="P820" s="51"/>
      <c r="Q820" s="51"/>
      <c r="R820" s="74">
        <f t="shared" ref="R820:R827" si="462">SUM(2400/32)*H820</f>
        <v>67.5</v>
      </c>
      <c r="S820" s="74"/>
      <c r="T820" s="75">
        <f t="shared" ref="T820:T827" si="463">SUM(83.67/32)*H820</f>
        <v>2.35321875</v>
      </c>
      <c r="U820" s="74"/>
      <c r="V820" s="74"/>
      <c r="W820" s="76">
        <f t="shared" si="460"/>
        <v>69.85321875</v>
      </c>
      <c r="X820" s="77">
        <f t="shared" ref="X820:X827" si="464">SUM(142.61/32)*H820</f>
        <v>4.01090625</v>
      </c>
      <c r="Y820" s="77"/>
      <c r="Z820" s="77"/>
      <c r="AA820" s="77">
        <f t="shared" si="461"/>
        <v>4.01090625</v>
      </c>
      <c r="AB820" s="86">
        <v>7.08</v>
      </c>
      <c r="AC820" s="74">
        <f t="shared" si="458"/>
        <v>28.39721625</v>
      </c>
      <c r="AD820" s="74">
        <f t="shared" si="457"/>
        <v>98.250435</v>
      </c>
      <c r="AE820" s="74">
        <f t="shared" si="459"/>
        <v>16.749565</v>
      </c>
    </row>
    <row r="821" customFormat="1" spans="1:31">
      <c r="A821" s="18"/>
      <c r="B821" s="19"/>
      <c r="C821" s="20">
        <v>240925000031</v>
      </c>
      <c r="D821" s="21">
        <v>45563</v>
      </c>
      <c r="E821" s="21" t="s">
        <v>50</v>
      </c>
      <c r="F821" s="19" t="s">
        <v>492</v>
      </c>
      <c r="G821" s="19" t="s">
        <v>492</v>
      </c>
      <c r="H821" s="19">
        <v>0.6</v>
      </c>
      <c r="I821" s="45"/>
      <c r="J821" s="54">
        <v>29807</v>
      </c>
      <c r="K821" s="43"/>
      <c r="L821" s="49">
        <f>SUM(J821/M821)</f>
        <v>1739.03150525088</v>
      </c>
      <c r="M821" s="50">
        <v>17.14</v>
      </c>
      <c r="N821" s="44">
        <v>7.08</v>
      </c>
      <c r="O821" s="45">
        <f>SUM(M821*N821)</f>
        <v>121.3512</v>
      </c>
      <c r="P821" s="51"/>
      <c r="Q821" s="51"/>
      <c r="R821" s="74">
        <f t="shared" si="462"/>
        <v>45</v>
      </c>
      <c r="S821" s="74"/>
      <c r="T821" s="75">
        <f t="shared" si="463"/>
        <v>1.5688125</v>
      </c>
      <c r="U821" s="74"/>
      <c r="V821" s="74"/>
      <c r="W821" s="76">
        <f t="shared" si="460"/>
        <v>46.5688125</v>
      </c>
      <c r="X821" s="77">
        <f t="shared" si="464"/>
        <v>2.6739375</v>
      </c>
      <c r="Y821" s="77"/>
      <c r="Z821" s="77"/>
      <c r="AA821" s="77">
        <f t="shared" si="461"/>
        <v>2.6739375</v>
      </c>
      <c r="AB821" s="86">
        <v>7.08</v>
      </c>
      <c r="AC821" s="74">
        <f t="shared" si="458"/>
        <v>18.9314775</v>
      </c>
      <c r="AD821" s="74">
        <f t="shared" si="457"/>
        <v>65.50029</v>
      </c>
      <c r="AE821" s="74">
        <f t="shared" si="459"/>
        <v>55.85091</v>
      </c>
    </row>
    <row r="822" customFormat="1" spans="1:31">
      <c r="A822" s="18"/>
      <c r="B822" s="19"/>
      <c r="C822" s="20">
        <v>240925000036</v>
      </c>
      <c r="D822" s="21">
        <v>45563</v>
      </c>
      <c r="E822" s="21" t="s">
        <v>41</v>
      </c>
      <c r="F822" s="19" t="s">
        <v>41</v>
      </c>
      <c r="G822" s="19" t="s">
        <v>519</v>
      </c>
      <c r="H822" s="19">
        <v>9.5</v>
      </c>
      <c r="I822" s="41">
        <v>2038</v>
      </c>
      <c r="J822" s="53"/>
      <c r="K822" s="43"/>
      <c r="L822" s="19"/>
      <c r="M822" s="43"/>
      <c r="N822" s="44"/>
      <c r="O822" s="45">
        <f t="shared" ref="O822:O826" si="465">SUM(I822)</f>
        <v>2038</v>
      </c>
      <c r="P822" s="51"/>
      <c r="Q822" s="51"/>
      <c r="R822" s="74">
        <f t="shared" si="462"/>
        <v>712.5</v>
      </c>
      <c r="S822" s="74"/>
      <c r="T822" s="75">
        <f t="shared" si="463"/>
        <v>24.83953125</v>
      </c>
      <c r="U822" s="74"/>
      <c r="V822" s="74"/>
      <c r="W822" s="76">
        <f t="shared" si="460"/>
        <v>737.33953125</v>
      </c>
      <c r="X822" s="77">
        <f t="shared" si="464"/>
        <v>42.33734375</v>
      </c>
      <c r="Y822" s="77"/>
      <c r="Z822" s="77"/>
      <c r="AA822" s="77">
        <f t="shared" si="461"/>
        <v>42.33734375</v>
      </c>
      <c r="AB822" s="86">
        <v>7.08</v>
      </c>
      <c r="AC822" s="74">
        <f t="shared" si="458"/>
        <v>299.74839375</v>
      </c>
      <c r="AD822" s="74">
        <f t="shared" si="457"/>
        <v>1037.087925</v>
      </c>
      <c r="AE822" s="74">
        <f t="shared" si="459"/>
        <v>1000.912075</v>
      </c>
    </row>
    <row r="823" customFormat="1" spans="1:31">
      <c r="A823" s="18"/>
      <c r="B823" s="19"/>
      <c r="C823" s="20">
        <v>240926000012</v>
      </c>
      <c r="D823" s="21">
        <v>45563</v>
      </c>
      <c r="E823" s="21" t="s">
        <v>50</v>
      </c>
      <c r="F823" s="19" t="s">
        <v>51</v>
      </c>
      <c r="G823" s="19" t="s">
        <v>399</v>
      </c>
      <c r="H823" s="19">
        <v>0.78</v>
      </c>
      <c r="I823" s="41">
        <v>325</v>
      </c>
      <c r="J823" s="53"/>
      <c r="K823" s="43"/>
      <c r="L823" s="19"/>
      <c r="M823" s="43"/>
      <c r="N823" s="44"/>
      <c r="O823" s="45">
        <f t="shared" si="465"/>
        <v>325</v>
      </c>
      <c r="P823" s="51"/>
      <c r="Q823" s="51"/>
      <c r="R823" s="74">
        <f t="shared" si="462"/>
        <v>58.5</v>
      </c>
      <c r="S823" s="74"/>
      <c r="T823" s="75">
        <f t="shared" si="463"/>
        <v>2.03945625</v>
      </c>
      <c r="U823" s="74"/>
      <c r="V823" s="74"/>
      <c r="W823" s="76">
        <f t="shared" si="460"/>
        <v>60.53945625</v>
      </c>
      <c r="X823" s="77">
        <f t="shared" si="464"/>
        <v>3.47611875</v>
      </c>
      <c r="Y823" s="77"/>
      <c r="Z823" s="77"/>
      <c r="AA823" s="77">
        <f t="shared" si="461"/>
        <v>3.47611875</v>
      </c>
      <c r="AB823" s="86">
        <v>7.08</v>
      </c>
      <c r="AC823" s="74">
        <f t="shared" si="458"/>
        <v>24.61092075</v>
      </c>
      <c r="AD823" s="74">
        <f t="shared" si="457"/>
        <v>85.150377</v>
      </c>
      <c r="AE823" s="74">
        <f t="shared" si="459"/>
        <v>239.849623</v>
      </c>
    </row>
    <row r="824" customFormat="1" spans="1:31">
      <c r="A824" s="18"/>
      <c r="B824" s="19"/>
      <c r="C824" s="20">
        <v>240926000016</v>
      </c>
      <c r="D824" s="21">
        <v>45563</v>
      </c>
      <c r="E824" s="21" t="s">
        <v>50</v>
      </c>
      <c r="F824" s="19" t="s">
        <v>51</v>
      </c>
      <c r="G824" s="19" t="s">
        <v>65</v>
      </c>
      <c r="H824" s="19">
        <v>2</v>
      </c>
      <c r="I824" s="41">
        <v>510</v>
      </c>
      <c r="J824" s="53"/>
      <c r="K824" s="43"/>
      <c r="L824" s="19"/>
      <c r="M824" s="43"/>
      <c r="N824" s="44"/>
      <c r="O824" s="45">
        <f t="shared" si="465"/>
        <v>510</v>
      </c>
      <c r="P824" s="51"/>
      <c r="Q824" s="51"/>
      <c r="R824" s="74">
        <f t="shared" si="462"/>
        <v>150</v>
      </c>
      <c r="S824" s="74"/>
      <c r="T824" s="75">
        <f t="shared" si="463"/>
        <v>5.229375</v>
      </c>
      <c r="U824" s="74"/>
      <c r="V824" s="74"/>
      <c r="W824" s="76">
        <f t="shared" si="460"/>
        <v>155.229375</v>
      </c>
      <c r="X824" s="77">
        <f t="shared" si="464"/>
        <v>8.913125</v>
      </c>
      <c r="Y824" s="77"/>
      <c r="Z824" s="77"/>
      <c r="AA824" s="77">
        <f t="shared" si="461"/>
        <v>8.913125</v>
      </c>
      <c r="AB824" s="86">
        <v>7.08</v>
      </c>
      <c r="AC824" s="74">
        <f t="shared" si="458"/>
        <v>63.104925</v>
      </c>
      <c r="AD824" s="74">
        <f t="shared" si="457"/>
        <v>218.3343</v>
      </c>
      <c r="AE824" s="74">
        <f t="shared" si="459"/>
        <v>291.6657</v>
      </c>
    </row>
    <row r="825" customFormat="1" spans="1:31">
      <c r="A825" s="18"/>
      <c r="B825" s="19"/>
      <c r="C825" s="20">
        <v>240926000018</v>
      </c>
      <c r="D825" s="21">
        <v>45563</v>
      </c>
      <c r="E825" s="21" t="s">
        <v>41</v>
      </c>
      <c r="F825" s="19" t="s">
        <v>41</v>
      </c>
      <c r="G825" s="19" t="s">
        <v>520</v>
      </c>
      <c r="H825" s="19">
        <v>2</v>
      </c>
      <c r="I825" s="41">
        <v>230</v>
      </c>
      <c r="J825" s="53"/>
      <c r="K825" s="43"/>
      <c r="L825" s="19"/>
      <c r="M825" s="43"/>
      <c r="N825" s="44"/>
      <c r="O825" s="45">
        <f t="shared" si="465"/>
        <v>230</v>
      </c>
      <c r="P825" s="51"/>
      <c r="Q825" s="51"/>
      <c r="R825" s="74">
        <f t="shared" si="462"/>
        <v>150</v>
      </c>
      <c r="S825" s="74"/>
      <c r="T825" s="75">
        <f t="shared" si="463"/>
        <v>5.229375</v>
      </c>
      <c r="U825" s="74"/>
      <c r="V825" s="74"/>
      <c r="W825" s="76">
        <f t="shared" si="460"/>
        <v>155.229375</v>
      </c>
      <c r="X825" s="77">
        <f t="shared" si="464"/>
        <v>8.913125</v>
      </c>
      <c r="Y825" s="77"/>
      <c r="Z825" s="77"/>
      <c r="AA825" s="77">
        <f t="shared" si="461"/>
        <v>8.913125</v>
      </c>
      <c r="AB825" s="86">
        <v>7.08</v>
      </c>
      <c r="AC825" s="74">
        <f t="shared" si="458"/>
        <v>63.104925</v>
      </c>
      <c r="AD825" s="74">
        <f t="shared" si="457"/>
        <v>218.3343</v>
      </c>
      <c r="AE825" s="74">
        <f t="shared" si="459"/>
        <v>11.6657</v>
      </c>
    </row>
    <row r="826" customFormat="1" spans="1:31">
      <c r="A826" s="18"/>
      <c r="B826" s="19"/>
      <c r="C826" s="20">
        <v>240926000023</v>
      </c>
      <c r="D826" s="21">
        <v>45563</v>
      </c>
      <c r="E826" s="21" t="s">
        <v>62</v>
      </c>
      <c r="F826" s="19" t="s">
        <v>63</v>
      </c>
      <c r="G826" s="19" t="s">
        <v>521</v>
      </c>
      <c r="H826" s="19">
        <v>2</v>
      </c>
      <c r="I826" s="41">
        <v>1000</v>
      </c>
      <c r="J826" s="53"/>
      <c r="K826" s="43"/>
      <c r="L826" s="19"/>
      <c r="M826" s="43"/>
      <c r="N826" s="44"/>
      <c r="O826" s="45">
        <f t="shared" si="465"/>
        <v>1000</v>
      </c>
      <c r="P826" s="51"/>
      <c r="Q826" s="51"/>
      <c r="R826" s="74">
        <f t="shared" si="462"/>
        <v>150</v>
      </c>
      <c r="S826" s="74"/>
      <c r="T826" s="75">
        <f t="shared" si="463"/>
        <v>5.229375</v>
      </c>
      <c r="U826" s="74"/>
      <c r="V826" s="74"/>
      <c r="W826" s="76">
        <f t="shared" si="460"/>
        <v>155.229375</v>
      </c>
      <c r="X826" s="77">
        <f t="shared" si="464"/>
        <v>8.913125</v>
      </c>
      <c r="Y826" s="77"/>
      <c r="Z826" s="77"/>
      <c r="AA826" s="77">
        <f t="shared" si="461"/>
        <v>8.913125</v>
      </c>
      <c r="AB826" s="86">
        <v>7.08</v>
      </c>
      <c r="AC826" s="74">
        <f t="shared" si="458"/>
        <v>63.104925</v>
      </c>
      <c r="AD826" s="74">
        <f t="shared" si="457"/>
        <v>218.3343</v>
      </c>
      <c r="AE826" s="74">
        <f t="shared" si="459"/>
        <v>781.6657</v>
      </c>
    </row>
    <row r="827" customFormat="1" spans="1:31">
      <c r="A827" s="18"/>
      <c r="B827" s="19"/>
      <c r="C827" s="20">
        <v>240926000044</v>
      </c>
      <c r="D827" s="21">
        <v>45563</v>
      </c>
      <c r="E827" s="21" t="s">
        <v>62</v>
      </c>
      <c r="F827" s="19" t="s">
        <v>522</v>
      </c>
      <c r="G827" s="19" t="s">
        <v>523</v>
      </c>
      <c r="H827" s="19">
        <v>12.5</v>
      </c>
      <c r="I827" s="45"/>
      <c r="J827" s="54">
        <v>357121.04</v>
      </c>
      <c r="K827" s="43"/>
      <c r="L827" s="49">
        <f>SUM(J827/M827)</f>
        <v>1739</v>
      </c>
      <c r="M827" s="50">
        <v>205.36</v>
      </c>
      <c r="N827" s="44">
        <v>7.08</v>
      </c>
      <c r="O827" s="45">
        <f>SUM(M827*N827)</f>
        <v>1453.9488</v>
      </c>
      <c r="P827" s="52"/>
      <c r="Q827" s="52"/>
      <c r="R827" s="74">
        <f t="shared" si="462"/>
        <v>937.5</v>
      </c>
      <c r="S827" s="74"/>
      <c r="T827" s="75">
        <f t="shared" si="463"/>
        <v>32.68359375</v>
      </c>
      <c r="U827" s="74"/>
      <c r="V827" s="74"/>
      <c r="W827" s="76">
        <f t="shared" ref="W827:W858" si="466">SUM(R827:V827)</f>
        <v>970.18359375</v>
      </c>
      <c r="X827" s="77">
        <f t="shared" si="464"/>
        <v>55.70703125</v>
      </c>
      <c r="Y827" s="77"/>
      <c r="Z827" s="77"/>
      <c r="AA827" s="77">
        <f t="shared" si="461"/>
        <v>55.70703125</v>
      </c>
      <c r="AB827" s="86">
        <v>7.08</v>
      </c>
      <c r="AC827" s="74">
        <f t="shared" ref="AC827:AC858" si="467">SUM(AA827*AB827)</f>
        <v>394.40578125</v>
      </c>
      <c r="AD827" s="74">
        <f t="shared" ref="AD827:AD858" si="468">SUM(W827+AC827)</f>
        <v>1364.589375</v>
      </c>
      <c r="AE827" s="74">
        <f t="shared" ref="AE827:AE858" si="469">SUM(O827-AD827)</f>
        <v>89.3594249999999</v>
      </c>
    </row>
    <row r="828" customFormat="1" spans="1:31">
      <c r="A828" s="18" t="s">
        <v>524</v>
      </c>
      <c r="B828" s="19" t="s">
        <v>525</v>
      </c>
      <c r="C828" s="20">
        <v>240918000020</v>
      </c>
      <c r="D828" s="21">
        <v>45568</v>
      </c>
      <c r="E828" s="21" t="s">
        <v>62</v>
      </c>
      <c r="F828" s="19" t="s">
        <v>63</v>
      </c>
      <c r="G828" s="19" t="s">
        <v>526</v>
      </c>
      <c r="H828" s="19">
        <v>2</v>
      </c>
      <c r="I828" s="41">
        <v>148.5</v>
      </c>
      <c r="J828" s="53"/>
      <c r="K828" s="43"/>
      <c r="L828" s="19"/>
      <c r="M828" s="43"/>
      <c r="N828" s="44"/>
      <c r="O828" s="45">
        <f t="shared" ref="O828:O832" si="470">SUM(I828)</f>
        <v>148.5</v>
      </c>
      <c r="P828" s="46">
        <f>SUM(O828:O909)</f>
        <v>244053.09598228</v>
      </c>
      <c r="Q828" s="46" t="s">
        <v>85</v>
      </c>
      <c r="R828" s="74">
        <f>SUM(187081.5/3721)*H828</f>
        <v>100.554420854609</v>
      </c>
      <c r="S828" s="74"/>
      <c r="T828" s="75">
        <f>SUM(276.5/3721)*H828</f>
        <v>0.148615963450685</v>
      </c>
      <c r="U828" s="74"/>
      <c r="V828" s="74"/>
      <c r="W828" s="76">
        <f t="shared" si="466"/>
        <v>100.70303681806</v>
      </c>
      <c r="X828" s="77">
        <f>SUM(2625.5/3721)*H828</f>
        <v>1.41117979037893</v>
      </c>
      <c r="Y828" s="77"/>
      <c r="Z828" s="77"/>
      <c r="AA828" s="77">
        <f t="shared" ref="AA828:AA859" si="471">SUM(X828:Z828)</f>
        <v>1.41117979037893</v>
      </c>
      <c r="AB828" s="86">
        <v>7.08</v>
      </c>
      <c r="AC828" s="74">
        <f t="shared" si="467"/>
        <v>9.99115291588283</v>
      </c>
      <c r="AD828" s="74">
        <f t="shared" si="468"/>
        <v>110.694189733942</v>
      </c>
      <c r="AE828" s="74">
        <f t="shared" si="469"/>
        <v>37.8058102660575</v>
      </c>
    </row>
    <row r="829" customFormat="1" spans="1:31">
      <c r="A829" s="18"/>
      <c r="B829" s="19"/>
      <c r="C829" s="20">
        <v>240918000050</v>
      </c>
      <c r="D829" s="21">
        <v>45568</v>
      </c>
      <c r="E829" s="21" t="s">
        <v>96</v>
      </c>
      <c r="F829" s="19" t="s">
        <v>129</v>
      </c>
      <c r="G829" s="19" t="s">
        <v>347</v>
      </c>
      <c r="H829" s="19">
        <v>42</v>
      </c>
      <c r="I829" s="45"/>
      <c r="J829" s="53"/>
      <c r="K829" s="50">
        <v>350.54</v>
      </c>
      <c r="L829" s="49">
        <f>SUM(J829/M829)</f>
        <v>0</v>
      </c>
      <c r="M829" s="50">
        <v>350.53998</v>
      </c>
      <c r="N829" s="44">
        <v>7.08</v>
      </c>
      <c r="O829" s="45">
        <f>SUM(M829*N829)</f>
        <v>2481.8230584</v>
      </c>
      <c r="P829" s="51"/>
      <c r="Q829" s="51"/>
      <c r="R829" s="74">
        <f t="shared" ref="R829:R860" si="472">SUM(187081.5/3721)*H829</f>
        <v>2111.64283794679</v>
      </c>
      <c r="S829" s="74"/>
      <c r="T829" s="75">
        <f t="shared" ref="T829:T860" si="473">SUM(276.5/3721)*H829</f>
        <v>3.12093523246439</v>
      </c>
      <c r="U829" s="74"/>
      <c r="V829" s="74"/>
      <c r="W829" s="76">
        <f t="shared" si="466"/>
        <v>2114.76377317925</v>
      </c>
      <c r="X829" s="77">
        <f t="shared" ref="X829:X860" si="474">SUM(2625.5/3721)*H829</f>
        <v>29.6347755979575</v>
      </c>
      <c r="Y829" s="77"/>
      <c r="Z829" s="77"/>
      <c r="AA829" s="77">
        <f t="shared" si="471"/>
        <v>29.6347755979575</v>
      </c>
      <c r="AB829" s="86">
        <v>7.08</v>
      </c>
      <c r="AC829" s="74">
        <f t="shared" si="467"/>
        <v>209.814211233539</v>
      </c>
      <c r="AD829" s="74">
        <f t="shared" si="468"/>
        <v>2324.57798441279</v>
      </c>
      <c r="AE829" s="74">
        <f t="shared" si="469"/>
        <v>157.245073987207</v>
      </c>
    </row>
    <row r="830" customFormat="1" spans="1:31">
      <c r="A830" s="18"/>
      <c r="B830" s="19"/>
      <c r="C830" s="20">
        <v>240919000016</v>
      </c>
      <c r="D830" s="21">
        <v>45568</v>
      </c>
      <c r="E830" s="21" t="s">
        <v>43</v>
      </c>
      <c r="F830" s="19" t="s">
        <v>44</v>
      </c>
      <c r="G830" s="19" t="s">
        <v>527</v>
      </c>
      <c r="H830" s="19">
        <v>11</v>
      </c>
      <c r="I830" s="41">
        <v>768</v>
      </c>
      <c r="J830" s="53"/>
      <c r="K830" s="43"/>
      <c r="L830" s="19"/>
      <c r="M830" s="43"/>
      <c r="N830" s="44"/>
      <c r="O830" s="45">
        <f t="shared" si="470"/>
        <v>768</v>
      </c>
      <c r="P830" s="51"/>
      <c r="Q830" s="51"/>
      <c r="R830" s="74">
        <f t="shared" si="472"/>
        <v>553.049314700349</v>
      </c>
      <c r="S830" s="74"/>
      <c r="T830" s="75">
        <f t="shared" si="473"/>
        <v>0.817387798978769</v>
      </c>
      <c r="U830" s="74"/>
      <c r="V830" s="74"/>
      <c r="W830" s="76">
        <f t="shared" si="466"/>
        <v>553.866702499328</v>
      </c>
      <c r="X830" s="77">
        <f t="shared" si="474"/>
        <v>7.76148884708412</v>
      </c>
      <c r="Y830" s="77"/>
      <c r="Z830" s="77"/>
      <c r="AA830" s="77">
        <f t="shared" si="471"/>
        <v>7.76148884708412</v>
      </c>
      <c r="AB830" s="86">
        <v>7.08</v>
      </c>
      <c r="AC830" s="74">
        <f t="shared" si="467"/>
        <v>54.9513410373556</v>
      </c>
      <c r="AD830" s="74">
        <f t="shared" si="468"/>
        <v>608.818043536684</v>
      </c>
      <c r="AE830" s="74">
        <f t="shared" si="469"/>
        <v>159.181956463316</v>
      </c>
    </row>
    <row r="831" customFormat="1" spans="1:31">
      <c r="A831" s="18"/>
      <c r="B831" s="19"/>
      <c r="C831" s="20">
        <v>240920000018</v>
      </c>
      <c r="D831" s="21">
        <v>45568</v>
      </c>
      <c r="E831" s="21" t="s">
        <v>50</v>
      </c>
      <c r="F831" s="19" t="s">
        <v>51</v>
      </c>
      <c r="G831" s="19" t="s">
        <v>528</v>
      </c>
      <c r="H831" s="19">
        <v>16</v>
      </c>
      <c r="I831" s="41">
        <v>1134</v>
      </c>
      <c r="J831" s="53"/>
      <c r="K831" s="43"/>
      <c r="L831" s="19"/>
      <c r="M831" s="43"/>
      <c r="N831" s="44"/>
      <c r="O831" s="45">
        <f t="shared" si="470"/>
        <v>1134</v>
      </c>
      <c r="P831" s="51"/>
      <c r="Q831" s="51"/>
      <c r="R831" s="74">
        <f t="shared" si="472"/>
        <v>804.435366836872</v>
      </c>
      <c r="S831" s="74"/>
      <c r="T831" s="75">
        <f t="shared" si="473"/>
        <v>1.18892770760548</v>
      </c>
      <c r="U831" s="74"/>
      <c r="V831" s="74"/>
      <c r="W831" s="76">
        <f t="shared" si="466"/>
        <v>805.624294544477</v>
      </c>
      <c r="X831" s="77">
        <f t="shared" si="474"/>
        <v>11.2894383230314</v>
      </c>
      <c r="Y831" s="77"/>
      <c r="Z831" s="77"/>
      <c r="AA831" s="77">
        <f t="shared" si="471"/>
        <v>11.2894383230314</v>
      </c>
      <c r="AB831" s="86">
        <v>7.08</v>
      </c>
      <c r="AC831" s="74">
        <f t="shared" si="467"/>
        <v>79.9292233270626</v>
      </c>
      <c r="AD831" s="74">
        <f t="shared" si="468"/>
        <v>885.55351787154</v>
      </c>
      <c r="AE831" s="74">
        <f t="shared" si="469"/>
        <v>248.44648212846</v>
      </c>
    </row>
    <row r="832" customFormat="1" spans="1:31">
      <c r="A832" s="18"/>
      <c r="B832" s="19"/>
      <c r="C832" s="20">
        <v>240920000021</v>
      </c>
      <c r="D832" s="21">
        <v>45568</v>
      </c>
      <c r="E832" s="21" t="s">
        <v>50</v>
      </c>
      <c r="F832" s="19" t="s">
        <v>51</v>
      </c>
      <c r="G832" s="19" t="s">
        <v>429</v>
      </c>
      <c r="H832" s="19">
        <v>0.76</v>
      </c>
      <c r="I832" s="41">
        <v>75.9</v>
      </c>
      <c r="J832" s="53"/>
      <c r="K832" s="43"/>
      <c r="L832" s="19"/>
      <c r="M832" s="43"/>
      <c r="N832" s="44"/>
      <c r="O832" s="45">
        <f t="shared" si="470"/>
        <v>75.9</v>
      </c>
      <c r="P832" s="51"/>
      <c r="Q832" s="51"/>
      <c r="R832" s="74">
        <f t="shared" si="472"/>
        <v>38.2106799247514</v>
      </c>
      <c r="S832" s="74"/>
      <c r="T832" s="75">
        <f t="shared" si="473"/>
        <v>0.0564740661112604</v>
      </c>
      <c r="U832" s="74"/>
      <c r="V832" s="74"/>
      <c r="W832" s="76">
        <f t="shared" si="466"/>
        <v>38.2671539908627</v>
      </c>
      <c r="X832" s="77">
        <f t="shared" si="474"/>
        <v>0.536248320343994</v>
      </c>
      <c r="Y832" s="77"/>
      <c r="Z832" s="77"/>
      <c r="AA832" s="77">
        <f t="shared" si="471"/>
        <v>0.536248320343994</v>
      </c>
      <c r="AB832" s="86">
        <v>7.08</v>
      </c>
      <c r="AC832" s="74">
        <f t="shared" si="467"/>
        <v>3.79663810803547</v>
      </c>
      <c r="AD832" s="74">
        <f t="shared" si="468"/>
        <v>42.0637920988981</v>
      </c>
      <c r="AE832" s="74">
        <f t="shared" si="469"/>
        <v>33.8362079011019</v>
      </c>
    </row>
    <row r="833" customFormat="1" spans="1:31">
      <c r="A833" s="18"/>
      <c r="B833" s="19"/>
      <c r="C833" s="20">
        <v>240921000022</v>
      </c>
      <c r="D833" s="21">
        <v>45568</v>
      </c>
      <c r="E833" s="21" t="s">
        <v>41</v>
      </c>
      <c r="F833" s="19" t="s">
        <v>41</v>
      </c>
      <c r="G833" s="19" t="s">
        <v>529</v>
      </c>
      <c r="H833" s="19">
        <v>23.5</v>
      </c>
      <c r="I833" s="45"/>
      <c r="J833" s="54">
        <v>318000</v>
      </c>
      <c r="K833" s="43"/>
      <c r="L833" s="49">
        <f>SUM(J833/M833)</f>
        <v>1713.1774593255</v>
      </c>
      <c r="M833" s="50">
        <v>185.62</v>
      </c>
      <c r="N833" s="44">
        <v>7.08</v>
      </c>
      <c r="O833" s="45">
        <f>SUM(M833*N833)</f>
        <v>1314.1896</v>
      </c>
      <c r="P833" s="51"/>
      <c r="Q833" s="51"/>
      <c r="R833" s="74">
        <f t="shared" si="472"/>
        <v>1181.51444504166</v>
      </c>
      <c r="S833" s="74"/>
      <c r="T833" s="75">
        <f t="shared" si="473"/>
        <v>1.74623757054555</v>
      </c>
      <c r="U833" s="74"/>
      <c r="V833" s="74"/>
      <c r="W833" s="76">
        <f t="shared" si="466"/>
        <v>1183.2606826122</v>
      </c>
      <c r="X833" s="77">
        <f t="shared" si="474"/>
        <v>16.5813625369524</v>
      </c>
      <c r="Y833" s="77"/>
      <c r="Z833" s="77"/>
      <c r="AA833" s="77">
        <f t="shared" si="471"/>
        <v>16.5813625369524</v>
      </c>
      <c r="AB833" s="86">
        <v>7.08</v>
      </c>
      <c r="AC833" s="74">
        <f t="shared" si="467"/>
        <v>117.396046761623</v>
      </c>
      <c r="AD833" s="74">
        <f t="shared" si="468"/>
        <v>1300.65672937382</v>
      </c>
      <c r="AE833" s="74">
        <f t="shared" si="469"/>
        <v>13.5328706261755</v>
      </c>
    </row>
    <row r="834" customFormat="1" spans="1:31">
      <c r="A834" s="18"/>
      <c r="B834" s="19"/>
      <c r="C834" s="20">
        <v>240922000003</v>
      </c>
      <c r="D834" s="21">
        <v>45568</v>
      </c>
      <c r="E834" s="21" t="s">
        <v>46</v>
      </c>
      <c r="F834" s="19" t="s">
        <v>47</v>
      </c>
      <c r="G834" s="19" t="s">
        <v>530</v>
      </c>
      <c r="H834" s="19">
        <v>4</v>
      </c>
      <c r="I834" s="41">
        <v>373</v>
      </c>
      <c r="J834" s="53"/>
      <c r="K834" s="43"/>
      <c r="L834" s="19"/>
      <c r="M834" s="43"/>
      <c r="N834" s="44"/>
      <c r="O834" s="45">
        <f t="shared" ref="O834:O850" si="475">SUM(I834)</f>
        <v>373</v>
      </c>
      <c r="P834" s="51"/>
      <c r="Q834" s="51"/>
      <c r="R834" s="74">
        <f t="shared" si="472"/>
        <v>201.108841709218</v>
      </c>
      <c r="S834" s="74"/>
      <c r="T834" s="75">
        <f t="shared" si="473"/>
        <v>0.297231926901371</v>
      </c>
      <c r="U834" s="74"/>
      <c r="V834" s="74"/>
      <c r="W834" s="76">
        <f t="shared" si="466"/>
        <v>201.406073636119</v>
      </c>
      <c r="X834" s="77">
        <f t="shared" si="474"/>
        <v>2.82235958075786</v>
      </c>
      <c r="Y834" s="77"/>
      <c r="Z834" s="77"/>
      <c r="AA834" s="77">
        <f t="shared" si="471"/>
        <v>2.82235958075786</v>
      </c>
      <c r="AB834" s="86">
        <v>7.08</v>
      </c>
      <c r="AC834" s="74">
        <f t="shared" si="467"/>
        <v>19.9823058317657</v>
      </c>
      <c r="AD834" s="74">
        <f t="shared" si="468"/>
        <v>221.388379467885</v>
      </c>
      <c r="AE834" s="74">
        <f t="shared" si="469"/>
        <v>151.611620532115</v>
      </c>
    </row>
    <row r="835" customFormat="1" spans="1:31">
      <c r="A835" s="18"/>
      <c r="B835" s="19"/>
      <c r="C835" s="20">
        <v>240922000006</v>
      </c>
      <c r="D835" s="21">
        <v>45568</v>
      </c>
      <c r="E835" s="21" t="s">
        <v>46</v>
      </c>
      <c r="F835" s="19" t="s">
        <v>47</v>
      </c>
      <c r="G835" s="19" t="s">
        <v>296</v>
      </c>
      <c r="H835" s="19">
        <v>2</v>
      </c>
      <c r="I835" s="45"/>
      <c r="J835" s="54">
        <v>32630</v>
      </c>
      <c r="K835" s="43"/>
      <c r="L835" s="49">
        <f>SUM(J835/M835)</f>
        <v>1734.71548459779</v>
      </c>
      <c r="M835" s="50">
        <v>18.810001</v>
      </c>
      <c r="N835" s="44">
        <v>7.08</v>
      </c>
      <c r="O835" s="45">
        <f>SUM(M835*N835)</f>
        <v>133.17480708</v>
      </c>
      <c r="P835" s="51"/>
      <c r="Q835" s="51"/>
      <c r="R835" s="74">
        <f t="shared" si="472"/>
        <v>100.554420854609</v>
      </c>
      <c r="S835" s="74"/>
      <c r="T835" s="75">
        <f t="shared" si="473"/>
        <v>0.148615963450685</v>
      </c>
      <c r="U835" s="74"/>
      <c r="V835" s="74"/>
      <c r="W835" s="76">
        <f t="shared" si="466"/>
        <v>100.70303681806</v>
      </c>
      <c r="X835" s="77">
        <f t="shared" si="474"/>
        <v>1.41117979037893</v>
      </c>
      <c r="Y835" s="77"/>
      <c r="Z835" s="77"/>
      <c r="AA835" s="77">
        <f t="shared" si="471"/>
        <v>1.41117979037893</v>
      </c>
      <c r="AB835" s="86">
        <v>7.08</v>
      </c>
      <c r="AC835" s="74">
        <f t="shared" si="467"/>
        <v>9.99115291588283</v>
      </c>
      <c r="AD835" s="74">
        <f t="shared" si="468"/>
        <v>110.694189733942</v>
      </c>
      <c r="AE835" s="74">
        <f t="shared" si="469"/>
        <v>22.4806173460575</v>
      </c>
    </row>
    <row r="836" customFormat="1" spans="1:31">
      <c r="A836" s="18"/>
      <c r="B836" s="19"/>
      <c r="C836" s="20">
        <v>240922000008</v>
      </c>
      <c r="D836" s="21">
        <v>45568</v>
      </c>
      <c r="E836" s="21" t="s">
        <v>46</v>
      </c>
      <c r="F836" s="19" t="s">
        <v>47</v>
      </c>
      <c r="G836" s="19" t="s">
        <v>424</v>
      </c>
      <c r="H836" s="19">
        <v>0.93</v>
      </c>
      <c r="I836" s="41">
        <v>100</v>
      </c>
      <c r="J836" s="53"/>
      <c r="K836" s="43"/>
      <c r="L836" s="19"/>
      <c r="M836" s="43"/>
      <c r="N836" s="44"/>
      <c r="O836" s="45">
        <f t="shared" si="475"/>
        <v>100</v>
      </c>
      <c r="P836" s="51"/>
      <c r="Q836" s="51"/>
      <c r="R836" s="74">
        <f t="shared" si="472"/>
        <v>46.7578056973932</v>
      </c>
      <c r="S836" s="74"/>
      <c r="T836" s="75">
        <f t="shared" si="473"/>
        <v>0.0691064230045687</v>
      </c>
      <c r="U836" s="74"/>
      <c r="V836" s="74"/>
      <c r="W836" s="76">
        <f t="shared" si="466"/>
        <v>46.8269121203977</v>
      </c>
      <c r="X836" s="77">
        <f t="shared" si="474"/>
        <v>0.656198602526203</v>
      </c>
      <c r="Y836" s="77"/>
      <c r="Z836" s="77"/>
      <c r="AA836" s="77">
        <f t="shared" si="471"/>
        <v>0.656198602526203</v>
      </c>
      <c r="AB836" s="86">
        <v>7.08</v>
      </c>
      <c r="AC836" s="74">
        <f t="shared" si="467"/>
        <v>4.64588610588551</v>
      </c>
      <c r="AD836" s="74">
        <f t="shared" si="468"/>
        <v>51.4727982262833</v>
      </c>
      <c r="AE836" s="74">
        <f t="shared" si="469"/>
        <v>48.5272017737167</v>
      </c>
    </row>
    <row r="837" customFormat="1" spans="1:31">
      <c r="A837" s="18"/>
      <c r="B837" s="19"/>
      <c r="C837" s="20">
        <v>240922000010</v>
      </c>
      <c r="D837" s="21">
        <v>45568</v>
      </c>
      <c r="E837" s="21" t="s">
        <v>43</v>
      </c>
      <c r="F837" s="19" t="s">
        <v>44</v>
      </c>
      <c r="G837" s="19" t="s">
        <v>531</v>
      </c>
      <c r="H837" s="19">
        <v>4.5</v>
      </c>
      <c r="I837" s="41">
        <v>310.5</v>
      </c>
      <c r="J837" s="53"/>
      <c r="K837" s="43"/>
      <c r="L837" s="19"/>
      <c r="M837" s="43"/>
      <c r="N837" s="44"/>
      <c r="O837" s="45">
        <f t="shared" si="475"/>
        <v>310.5</v>
      </c>
      <c r="P837" s="51"/>
      <c r="Q837" s="51"/>
      <c r="R837" s="74">
        <f t="shared" si="472"/>
        <v>226.24744692287</v>
      </c>
      <c r="S837" s="74"/>
      <c r="T837" s="75">
        <f t="shared" si="473"/>
        <v>0.334385917764042</v>
      </c>
      <c r="U837" s="74"/>
      <c r="V837" s="74"/>
      <c r="W837" s="76">
        <f t="shared" si="466"/>
        <v>226.581832840634</v>
      </c>
      <c r="X837" s="77">
        <f t="shared" si="474"/>
        <v>3.17515452835259</v>
      </c>
      <c r="Y837" s="77"/>
      <c r="Z837" s="77"/>
      <c r="AA837" s="77">
        <f t="shared" si="471"/>
        <v>3.17515452835259</v>
      </c>
      <c r="AB837" s="86">
        <v>7.08</v>
      </c>
      <c r="AC837" s="74">
        <f t="shared" si="467"/>
        <v>22.4800940607364</v>
      </c>
      <c r="AD837" s="74">
        <f t="shared" si="468"/>
        <v>249.061926901371</v>
      </c>
      <c r="AE837" s="74">
        <f t="shared" si="469"/>
        <v>61.4380730986294</v>
      </c>
    </row>
    <row r="838" customFormat="1" spans="1:31">
      <c r="A838" s="18"/>
      <c r="B838" s="19"/>
      <c r="C838" s="20">
        <v>240922000011</v>
      </c>
      <c r="D838" s="21">
        <v>45568</v>
      </c>
      <c r="E838" s="21" t="s">
        <v>50</v>
      </c>
      <c r="F838" s="19" t="s">
        <v>51</v>
      </c>
      <c r="G838" s="19" t="s">
        <v>429</v>
      </c>
      <c r="H838" s="19">
        <v>2</v>
      </c>
      <c r="I838" s="41">
        <v>148.5</v>
      </c>
      <c r="J838" s="53"/>
      <c r="K838" s="43"/>
      <c r="L838" s="19"/>
      <c r="M838" s="43"/>
      <c r="N838" s="44"/>
      <c r="O838" s="45">
        <f t="shared" si="475"/>
        <v>148.5</v>
      </c>
      <c r="P838" s="51"/>
      <c r="Q838" s="51"/>
      <c r="R838" s="74">
        <f t="shared" si="472"/>
        <v>100.554420854609</v>
      </c>
      <c r="S838" s="74"/>
      <c r="T838" s="75">
        <f t="shared" si="473"/>
        <v>0.148615963450685</v>
      </c>
      <c r="U838" s="74"/>
      <c r="V838" s="74"/>
      <c r="W838" s="76">
        <f t="shared" si="466"/>
        <v>100.70303681806</v>
      </c>
      <c r="X838" s="77">
        <f t="shared" si="474"/>
        <v>1.41117979037893</v>
      </c>
      <c r="Y838" s="77"/>
      <c r="Z838" s="77"/>
      <c r="AA838" s="77">
        <f t="shared" si="471"/>
        <v>1.41117979037893</v>
      </c>
      <c r="AB838" s="86">
        <v>7.08</v>
      </c>
      <c r="AC838" s="74">
        <f t="shared" si="467"/>
        <v>9.99115291588283</v>
      </c>
      <c r="AD838" s="74">
        <f t="shared" si="468"/>
        <v>110.694189733942</v>
      </c>
      <c r="AE838" s="74">
        <f t="shared" si="469"/>
        <v>37.8058102660575</v>
      </c>
    </row>
    <row r="839" customFormat="1" spans="1:31">
      <c r="A839" s="18"/>
      <c r="B839" s="19"/>
      <c r="C839" s="20">
        <v>240923000001</v>
      </c>
      <c r="D839" s="21">
        <v>45568</v>
      </c>
      <c r="E839" s="21" t="s">
        <v>50</v>
      </c>
      <c r="F839" s="19" t="s">
        <v>51</v>
      </c>
      <c r="G839" s="19" t="s">
        <v>86</v>
      </c>
      <c r="H839" s="19">
        <v>4.5</v>
      </c>
      <c r="I839" s="41">
        <v>330</v>
      </c>
      <c r="J839" s="53"/>
      <c r="K839" s="43"/>
      <c r="L839" s="19"/>
      <c r="M839" s="43"/>
      <c r="N839" s="44"/>
      <c r="O839" s="45">
        <f t="shared" si="475"/>
        <v>330</v>
      </c>
      <c r="P839" s="51"/>
      <c r="Q839" s="51"/>
      <c r="R839" s="74">
        <f t="shared" si="472"/>
        <v>226.24744692287</v>
      </c>
      <c r="S839" s="74"/>
      <c r="T839" s="75">
        <f t="shared" si="473"/>
        <v>0.334385917764042</v>
      </c>
      <c r="U839" s="74"/>
      <c r="V839" s="74"/>
      <c r="W839" s="76">
        <f t="shared" si="466"/>
        <v>226.581832840634</v>
      </c>
      <c r="X839" s="77">
        <f t="shared" si="474"/>
        <v>3.17515452835259</v>
      </c>
      <c r="Y839" s="77"/>
      <c r="Z839" s="77"/>
      <c r="AA839" s="77">
        <f t="shared" si="471"/>
        <v>3.17515452835259</v>
      </c>
      <c r="AB839" s="86">
        <v>7.08</v>
      </c>
      <c r="AC839" s="74">
        <f t="shared" si="467"/>
        <v>22.4800940607364</v>
      </c>
      <c r="AD839" s="74">
        <f t="shared" si="468"/>
        <v>249.061926901371</v>
      </c>
      <c r="AE839" s="74">
        <f t="shared" si="469"/>
        <v>80.9380730986294</v>
      </c>
    </row>
    <row r="840" customFormat="1" spans="1:31">
      <c r="A840" s="18"/>
      <c r="B840" s="19"/>
      <c r="C840" s="20">
        <v>240923000004</v>
      </c>
      <c r="D840" s="21">
        <v>45568</v>
      </c>
      <c r="E840" s="21" t="s">
        <v>50</v>
      </c>
      <c r="F840" s="19" t="s">
        <v>51</v>
      </c>
      <c r="G840" s="19" t="s">
        <v>54</v>
      </c>
      <c r="H840" s="19">
        <v>8</v>
      </c>
      <c r="I840" s="41">
        <v>561</v>
      </c>
      <c r="J840" s="53"/>
      <c r="K840" s="43"/>
      <c r="L840" s="19"/>
      <c r="M840" s="43"/>
      <c r="N840" s="44"/>
      <c r="O840" s="45">
        <f t="shared" si="475"/>
        <v>561</v>
      </c>
      <c r="P840" s="51"/>
      <c r="Q840" s="51"/>
      <c r="R840" s="74">
        <f t="shared" si="472"/>
        <v>402.217683418436</v>
      </c>
      <c r="S840" s="74"/>
      <c r="T840" s="75">
        <f t="shared" si="473"/>
        <v>0.594463853802741</v>
      </c>
      <c r="U840" s="74"/>
      <c r="V840" s="74"/>
      <c r="W840" s="76">
        <f t="shared" si="466"/>
        <v>402.812147272239</v>
      </c>
      <c r="X840" s="77">
        <f t="shared" si="474"/>
        <v>5.64471916151572</v>
      </c>
      <c r="Y840" s="77"/>
      <c r="Z840" s="77"/>
      <c r="AA840" s="77">
        <f t="shared" si="471"/>
        <v>5.64471916151572</v>
      </c>
      <c r="AB840" s="86">
        <v>7.08</v>
      </c>
      <c r="AC840" s="74">
        <f t="shared" si="467"/>
        <v>39.9646116635313</v>
      </c>
      <c r="AD840" s="74">
        <f t="shared" si="468"/>
        <v>442.77675893577</v>
      </c>
      <c r="AE840" s="74">
        <f t="shared" si="469"/>
        <v>118.22324106423</v>
      </c>
    </row>
    <row r="841" customFormat="1" spans="1:31">
      <c r="A841" s="18"/>
      <c r="B841" s="19"/>
      <c r="C841" s="20">
        <v>240923000008</v>
      </c>
      <c r="D841" s="21">
        <v>45568</v>
      </c>
      <c r="E841" s="21" t="s">
        <v>50</v>
      </c>
      <c r="F841" s="19" t="s">
        <v>51</v>
      </c>
      <c r="G841" s="19" t="s">
        <v>532</v>
      </c>
      <c r="H841" s="19">
        <v>0.7</v>
      </c>
      <c r="I841" s="41">
        <v>75.9</v>
      </c>
      <c r="J841" s="53"/>
      <c r="K841" s="43"/>
      <c r="L841" s="19"/>
      <c r="M841" s="43"/>
      <c r="N841" s="44"/>
      <c r="O841" s="45">
        <f t="shared" si="475"/>
        <v>75.9</v>
      </c>
      <c r="P841" s="51"/>
      <c r="Q841" s="51"/>
      <c r="R841" s="74">
        <f t="shared" si="472"/>
        <v>35.1940472991131</v>
      </c>
      <c r="S841" s="74"/>
      <c r="T841" s="75">
        <f t="shared" si="473"/>
        <v>0.0520155872077399</v>
      </c>
      <c r="U841" s="74"/>
      <c r="V841" s="74"/>
      <c r="W841" s="76">
        <f t="shared" si="466"/>
        <v>35.2460628863209</v>
      </c>
      <c r="X841" s="77">
        <f t="shared" si="474"/>
        <v>0.493912926632626</v>
      </c>
      <c r="Y841" s="77"/>
      <c r="Z841" s="77"/>
      <c r="AA841" s="77">
        <f t="shared" si="471"/>
        <v>0.493912926632626</v>
      </c>
      <c r="AB841" s="86">
        <v>7.08</v>
      </c>
      <c r="AC841" s="74">
        <f t="shared" si="467"/>
        <v>3.49690352055899</v>
      </c>
      <c r="AD841" s="74">
        <f t="shared" si="468"/>
        <v>38.7429664068799</v>
      </c>
      <c r="AE841" s="74">
        <f t="shared" si="469"/>
        <v>37.1570335931201</v>
      </c>
    </row>
    <row r="842" customFormat="1" spans="1:31">
      <c r="A842" s="18"/>
      <c r="B842" s="19"/>
      <c r="C842" s="20">
        <v>240923000010</v>
      </c>
      <c r="D842" s="21">
        <v>45568</v>
      </c>
      <c r="E842" s="21" t="s">
        <v>43</v>
      </c>
      <c r="F842" s="19" t="s">
        <v>44</v>
      </c>
      <c r="G842" s="19" t="s">
        <v>108</v>
      </c>
      <c r="H842" s="19">
        <v>7.5</v>
      </c>
      <c r="I842" s="41">
        <v>517</v>
      </c>
      <c r="J842" s="53"/>
      <c r="K842" s="43"/>
      <c r="L842" s="19"/>
      <c r="M842" s="43"/>
      <c r="N842" s="44"/>
      <c r="O842" s="45">
        <f t="shared" si="475"/>
        <v>517</v>
      </c>
      <c r="P842" s="51"/>
      <c r="Q842" s="51"/>
      <c r="R842" s="74">
        <f t="shared" si="472"/>
        <v>377.079078204784</v>
      </c>
      <c r="S842" s="74"/>
      <c r="T842" s="75">
        <f t="shared" si="473"/>
        <v>0.55730986294007</v>
      </c>
      <c r="U842" s="74">
        <v>30</v>
      </c>
      <c r="V842" s="74"/>
      <c r="W842" s="76">
        <f t="shared" si="466"/>
        <v>407.636388067724</v>
      </c>
      <c r="X842" s="77">
        <f t="shared" si="474"/>
        <v>5.29192421392099</v>
      </c>
      <c r="Y842" s="77"/>
      <c r="Z842" s="77"/>
      <c r="AA842" s="77">
        <f t="shared" si="471"/>
        <v>5.29192421392099</v>
      </c>
      <c r="AB842" s="86">
        <v>7.08</v>
      </c>
      <c r="AC842" s="74">
        <f t="shared" si="467"/>
        <v>37.4668234345606</v>
      </c>
      <c r="AD842" s="74">
        <f t="shared" si="468"/>
        <v>445.103211502284</v>
      </c>
      <c r="AE842" s="74">
        <f t="shared" si="469"/>
        <v>71.8967884977156</v>
      </c>
    </row>
    <row r="843" customFormat="1" spans="1:31">
      <c r="A843" s="18"/>
      <c r="B843" s="19"/>
      <c r="C843" s="20">
        <v>240923000014</v>
      </c>
      <c r="D843" s="21">
        <v>45568</v>
      </c>
      <c r="E843" s="21" t="s">
        <v>43</v>
      </c>
      <c r="F843" s="19" t="s">
        <v>44</v>
      </c>
      <c r="G843" s="19" t="s">
        <v>533</v>
      </c>
      <c r="H843" s="19">
        <v>4</v>
      </c>
      <c r="I843" s="41">
        <v>267</v>
      </c>
      <c r="J843" s="53"/>
      <c r="K843" s="43"/>
      <c r="L843" s="19"/>
      <c r="M843" s="43"/>
      <c r="N843" s="44"/>
      <c r="O843" s="45">
        <f t="shared" si="475"/>
        <v>267</v>
      </c>
      <c r="P843" s="51"/>
      <c r="Q843" s="51"/>
      <c r="R843" s="74">
        <f t="shared" si="472"/>
        <v>201.108841709218</v>
      </c>
      <c r="S843" s="74"/>
      <c r="T843" s="75">
        <f t="shared" si="473"/>
        <v>0.297231926901371</v>
      </c>
      <c r="U843" s="74"/>
      <c r="V843" s="74"/>
      <c r="W843" s="76">
        <f t="shared" si="466"/>
        <v>201.406073636119</v>
      </c>
      <c r="X843" s="77">
        <f t="shared" si="474"/>
        <v>2.82235958075786</v>
      </c>
      <c r="Y843" s="77"/>
      <c r="Z843" s="77"/>
      <c r="AA843" s="77">
        <f t="shared" si="471"/>
        <v>2.82235958075786</v>
      </c>
      <c r="AB843" s="86">
        <v>7.08</v>
      </c>
      <c r="AC843" s="74">
        <f t="shared" si="467"/>
        <v>19.9823058317657</v>
      </c>
      <c r="AD843" s="74">
        <f t="shared" si="468"/>
        <v>221.388379467885</v>
      </c>
      <c r="AE843" s="74">
        <f t="shared" si="469"/>
        <v>45.611620532115</v>
      </c>
    </row>
    <row r="844" customFormat="1" spans="1:31">
      <c r="A844" s="18"/>
      <c r="B844" s="19"/>
      <c r="C844" s="20">
        <v>240923000018</v>
      </c>
      <c r="D844" s="21">
        <v>45568</v>
      </c>
      <c r="E844" s="21" t="s">
        <v>43</v>
      </c>
      <c r="F844" s="19" t="s">
        <v>44</v>
      </c>
      <c r="G844" s="19" t="s">
        <v>534</v>
      </c>
      <c r="H844" s="19">
        <v>7</v>
      </c>
      <c r="I844" s="41">
        <v>491</v>
      </c>
      <c r="J844" s="53"/>
      <c r="K844" s="43"/>
      <c r="L844" s="19"/>
      <c r="M844" s="43"/>
      <c r="N844" s="44"/>
      <c r="O844" s="45">
        <f t="shared" si="475"/>
        <v>491</v>
      </c>
      <c r="P844" s="51"/>
      <c r="Q844" s="51"/>
      <c r="R844" s="74">
        <f t="shared" si="472"/>
        <v>351.940472991131</v>
      </c>
      <c r="S844" s="74"/>
      <c r="T844" s="75">
        <f t="shared" si="473"/>
        <v>0.520155872077399</v>
      </c>
      <c r="U844" s="74"/>
      <c r="V844" s="74"/>
      <c r="W844" s="76">
        <f t="shared" si="466"/>
        <v>352.460628863209</v>
      </c>
      <c r="X844" s="77">
        <f t="shared" si="474"/>
        <v>4.93912926632626</v>
      </c>
      <c r="Y844" s="77"/>
      <c r="Z844" s="77"/>
      <c r="AA844" s="77">
        <f t="shared" si="471"/>
        <v>4.93912926632626</v>
      </c>
      <c r="AB844" s="86">
        <v>7.08</v>
      </c>
      <c r="AC844" s="74">
        <f t="shared" si="467"/>
        <v>34.9690352055899</v>
      </c>
      <c r="AD844" s="74">
        <f t="shared" si="468"/>
        <v>387.429664068799</v>
      </c>
      <c r="AE844" s="74">
        <f t="shared" si="469"/>
        <v>103.570335931201</v>
      </c>
    </row>
    <row r="845" customFormat="1" spans="1:31">
      <c r="A845" s="18"/>
      <c r="B845" s="19"/>
      <c r="C845" s="20">
        <v>240923000021</v>
      </c>
      <c r="D845" s="21">
        <v>45568</v>
      </c>
      <c r="E845" s="21" t="s">
        <v>62</v>
      </c>
      <c r="F845" s="19" t="s">
        <v>63</v>
      </c>
      <c r="G845" s="19" t="s">
        <v>510</v>
      </c>
      <c r="H845" s="19">
        <v>9.5</v>
      </c>
      <c r="I845" s="41">
        <v>602.25</v>
      </c>
      <c r="J845" s="53"/>
      <c r="K845" s="43"/>
      <c r="L845" s="19"/>
      <c r="M845" s="43"/>
      <c r="N845" s="44"/>
      <c r="O845" s="45">
        <f t="shared" si="475"/>
        <v>602.25</v>
      </c>
      <c r="P845" s="51"/>
      <c r="Q845" s="51"/>
      <c r="R845" s="74">
        <f t="shared" si="472"/>
        <v>477.633499059393</v>
      </c>
      <c r="S845" s="74"/>
      <c r="T845" s="75">
        <f t="shared" si="473"/>
        <v>0.705925826390755</v>
      </c>
      <c r="U845" s="74"/>
      <c r="V845" s="74"/>
      <c r="W845" s="76">
        <f t="shared" si="466"/>
        <v>478.339424885783</v>
      </c>
      <c r="X845" s="77">
        <f t="shared" si="474"/>
        <v>6.70310400429992</v>
      </c>
      <c r="Y845" s="77"/>
      <c r="Z845" s="77"/>
      <c r="AA845" s="77">
        <f t="shared" si="471"/>
        <v>6.70310400429992</v>
      </c>
      <c r="AB845" s="86">
        <v>7.08</v>
      </c>
      <c r="AC845" s="74">
        <f t="shared" si="467"/>
        <v>47.4579763504434</v>
      </c>
      <c r="AD845" s="74">
        <f t="shared" si="468"/>
        <v>525.797401236227</v>
      </c>
      <c r="AE845" s="74">
        <f t="shared" si="469"/>
        <v>76.4525987637732</v>
      </c>
    </row>
    <row r="846" customFormat="1" spans="1:31">
      <c r="A846" s="18"/>
      <c r="B846" s="19"/>
      <c r="C846" s="20">
        <v>240923000022</v>
      </c>
      <c r="D846" s="21">
        <v>45568</v>
      </c>
      <c r="E846" s="21" t="s">
        <v>43</v>
      </c>
      <c r="F846" s="19" t="s">
        <v>44</v>
      </c>
      <c r="G846" s="19" t="s">
        <v>126</v>
      </c>
      <c r="H846" s="19">
        <v>4</v>
      </c>
      <c r="I846" s="41">
        <v>373</v>
      </c>
      <c r="J846" s="53"/>
      <c r="K846" s="43"/>
      <c r="L846" s="19"/>
      <c r="M846" s="43"/>
      <c r="N846" s="44"/>
      <c r="O846" s="45">
        <f t="shared" si="475"/>
        <v>373</v>
      </c>
      <c r="P846" s="51"/>
      <c r="Q846" s="51"/>
      <c r="R846" s="74">
        <f t="shared" si="472"/>
        <v>201.108841709218</v>
      </c>
      <c r="S846" s="74"/>
      <c r="T846" s="75">
        <f t="shared" si="473"/>
        <v>0.297231926901371</v>
      </c>
      <c r="U846" s="74"/>
      <c r="V846" s="74"/>
      <c r="W846" s="76">
        <f t="shared" si="466"/>
        <v>201.406073636119</v>
      </c>
      <c r="X846" s="77">
        <f t="shared" si="474"/>
        <v>2.82235958075786</v>
      </c>
      <c r="Y846" s="77"/>
      <c r="Z846" s="77"/>
      <c r="AA846" s="77">
        <f t="shared" si="471"/>
        <v>2.82235958075786</v>
      </c>
      <c r="AB846" s="86">
        <v>7.08</v>
      </c>
      <c r="AC846" s="74">
        <f t="shared" si="467"/>
        <v>19.9823058317657</v>
      </c>
      <c r="AD846" s="74">
        <f t="shared" si="468"/>
        <v>221.388379467885</v>
      </c>
      <c r="AE846" s="74">
        <f t="shared" si="469"/>
        <v>151.611620532115</v>
      </c>
    </row>
    <row r="847" customFormat="1" spans="1:31">
      <c r="A847" s="18"/>
      <c r="B847" s="19"/>
      <c r="C847" s="20">
        <v>240923000025</v>
      </c>
      <c r="D847" s="21">
        <v>45568</v>
      </c>
      <c r="E847" s="21" t="s">
        <v>62</v>
      </c>
      <c r="F847" s="19" t="s">
        <v>63</v>
      </c>
      <c r="G847" s="19" t="s">
        <v>511</v>
      </c>
      <c r="H847" s="19">
        <v>1.5</v>
      </c>
      <c r="I847" s="41">
        <v>133.5</v>
      </c>
      <c r="J847" s="53"/>
      <c r="K847" s="43"/>
      <c r="L847" s="19"/>
      <c r="M847" s="43"/>
      <c r="N847" s="44"/>
      <c r="O847" s="45">
        <f t="shared" si="475"/>
        <v>133.5</v>
      </c>
      <c r="P847" s="51"/>
      <c r="Q847" s="51"/>
      <c r="R847" s="74">
        <f t="shared" si="472"/>
        <v>75.4158156409567</v>
      </c>
      <c r="S847" s="74"/>
      <c r="T847" s="75">
        <f t="shared" si="473"/>
        <v>0.111461972588014</v>
      </c>
      <c r="U847" s="74"/>
      <c r="V847" s="74"/>
      <c r="W847" s="76">
        <f t="shared" si="466"/>
        <v>75.5272776135448</v>
      </c>
      <c r="X847" s="77">
        <f t="shared" si="474"/>
        <v>1.0583848427842</v>
      </c>
      <c r="Y847" s="77"/>
      <c r="Z847" s="77"/>
      <c r="AA847" s="77">
        <f t="shared" si="471"/>
        <v>1.0583848427842</v>
      </c>
      <c r="AB847" s="86">
        <v>7.08</v>
      </c>
      <c r="AC847" s="74">
        <f t="shared" si="467"/>
        <v>7.49336468691212</v>
      </c>
      <c r="AD847" s="74">
        <f t="shared" si="468"/>
        <v>83.0206423004569</v>
      </c>
      <c r="AE847" s="74">
        <f t="shared" si="469"/>
        <v>50.4793576995431</v>
      </c>
    </row>
    <row r="848" customFormat="1" spans="1:31">
      <c r="A848" s="18"/>
      <c r="B848" s="19"/>
      <c r="C848" s="20">
        <v>240923000027</v>
      </c>
      <c r="D848" s="21">
        <v>45568</v>
      </c>
      <c r="E848" s="21" t="s">
        <v>62</v>
      </c>
      <c r="F848" s="19" t="s">
        <v>63</v>
      </c>
      <c r="G848" s="19" t="s">
        <v>404</v>
      </c>
      <c r="H848" s="19">
        <v>4.5</v>
      </c>
      <c r="I848" s="41">
        <v>315.3</v>
      </c>
      <c r="J848" s="53"/>
      <c r="K848" s="43"/>
      <c r="L848" s="19"/>
      <c r="M848" s="43"/>
      <c r="N848" s="44"/>
      <c r="O848" s="45">
        <f t="shared" si="475"/>
        <v>315.3</v>
      </c>
      <c r="P848" s="51"/>
      <c r="Q848" s="51"/>
      <c r="R848" s="74">
        <f t="shared" si="472"/>
        <v>226.24744692287</v>
      </c>
      <c r="S848" s="74"/>
      <c r="T848" s="75">
        <f t="shared" si="473"/>
        <v>0.334385917764042</v>
      </c>
      <c r="U848" s="74"/>
      <c r="V848" s="74"/>
      <c r="W848" s="76">
        <f t="shared" si="466"/>
        <v>226.581832840634</v>
      </c>
      <c r="X848" s="77">
        <f t="shared" si="474"/>
        <v>3.17515452835259</v>
      </c>
      <c r="Y848" s="77"/>
      <c r="Z848" s="77"/>
      <c r="AA848" s="77">
        <f t="shared" si="471"/>
        <v>3.17515452835259</v>
      </c>
      <c r="AB848" s="86">
        <v>7.08</v>
      </c>
      <c r="AC848" s="74">
        <f t="shared" si="467"/>
        <v>22.4800940607364</v>
      </c>
      <c r="AD848" s="74">
        <f t="shared" si="468"/>
        <v>249.061926901371</v>
      </c>
      <c r="AE848" s="74">
        <f t="shared" si="469"/>
        <v>66.2380730986294</v>
      </c>
    </row>
    <row r="849" customFormat="1" spans="1:31">
      <c r="A849" s="18"/>
      <c r="B849" s="19"/>
      <c r="C849" s="22">
        <v>240923000039</v>
      </c>
      <c r="D849" s="23">
        <v>45568</v>
      </c>
      <c r="E849" s="21" t="s">
        <v>46</v>
      </c>
      <c r="F849" s="24" t="s">
        <v>47</v>
      </c>
      <c r="G849" s="24" t="s">
        <v>61</v>
      </c>
      <c r="H849" s="24">
        <v>4</v>
      </c>
      <c r="I849" s="41">
        <v>486</v>
      </c>
      <c r="J849" s="53"/>
      <c r="K849" s="43"/>
      <c r="L849" s="19"/>
      <c r="M849" s="43"/>
      <c r="N849" s="44"/>
      <c r="O849" s="45">
        <f t="shared" si="475"/>
        <v>486</v>
      </c>
      <c r="P849" s="51"/>
      <c r="Q849" s="51"/>
      <c r="R849" s="74">
        <f t="shared" si="472"/>
        <v>201.108841709218</v>
      </c>
      <c r="S849" s="74"/>
      <c r="T849" s="75">
        <f t="shared" si="473"/>
        <v>0.297231926901371</v>
      </c>
      <c r="U849" s="74"/>
      <c r="V849" s="74"/>
      <c r="W849" s="76">
        <f t="shared" si="466"/>
        <v>201.406073636119</v>
      </c>
      <c r="X849" s="77">
        <f t="shared" si="474"/>
        <v>2.82235958075786</v>
      </c>
      <c r="Y849" s="77"/>
      <c r="Z849" s="77"/>
      <c r="AA849" s="77">
        <f t="shared" si="471"/>
        <v>2.82235958075786</v>
      </c>
      <c r="AB849" s="86">
        <v>7.08</v>
      </c>
      <c r="AC849" s="74">
        <f t="shared" si="467"/>
        <v>19.9823058317657</v>
      </c>
      <c r="AD849" s="74">
        <f t="shared" si="468"/>
        <v>221.388379467885</v>
      </c>
      <c r="AE849" s="74">
        <f t="shared" si="469"/>
        <v>264.611620532115</v>
      </c>
    </row>
    <row r="850" customFormat="1" spans="1:31">
      <c r="A850" s="18"/>
      <c r="B850" s="19"/>
      <c r="C850" s="20">
        <v>240923000041</v>
      </c>
      <c r="D850" s="21">
        <v>45568</v>
      </c>
      <c r="E850" s="21" t="s">
        <v>62</v>
      </c>
      <c r="F850" s="19" t="s">
        <v>63</v>
      </c>
      <c r="G850" s="19" t="s">
        <v>184</v>
      </c>
      <c r="H850" s="19">
        <v>6</v>
      </c>
      <c r="I850" s="41">
        <v>382.8</v>
      </c>
      <c r="J850" s="53"/>
      <c r="K850" s="43"/>
      <c r="L850" s="19"/>
      <c r="M850" s="43"/>
      <c r="N850" s="44"/>
      <c r="O850" s="45">
        <f t="shared" si="475"/>
        <v>382.8</v>
      </c>
      <c r="P850" s="51"/>
      <c r="Q850" s="51"/>
      <c r="R850" s="74">
        <f t="shared" si="472"/>
        <v>301.663262563827</v>
      </c>
      <c r="S850" s="74"/>
      <c r="T850" s="75">
        <f t="shared" si="473"/>
        <v>0.445847890352056</v>
      </c>
      <c r="U850" s="74"/>
      <c r="V850" s="74"/>
      <c r="W850" s="76">
        <f t="shared" si="466"/>
        <v>302.109110454179</v>
      </c>
      <c r="X850" s="77">
        <f t="shared" si="474"/>
        <v>4.23353937113679</v>
      </c>
      <c r="Y850" s="77"/>
      <c r="Z850" s="77"/>
      <c r="AA850" s="77">
        <f t="shared" si="471"/>
        <v>4.23353937113679</v>
      </c>
      <c r="AB850" s="86">
        <v>7.08</v>
      </c>
      <c r="AC850" s="74">
        <f t="shared" si="467"/>
        <v>29.9734587476485</v>
      </c>
      <c r="AD850" s="74">
        <f t="shared" si="468"/>
        <v>332.082569201827</v>
      </c>
      <c r="AE850" s="74">
        <f t="shared" si="469"/>
        <v>50.7174307981725</v>
      </c>
    </row>
    <row r="851" customFormat="1" spans="1:31">
      <c r="A851" s="18"/>
      <c r="B851" s="19"/>
      <c r="C851" s="20">
        <v>240923000045</v>
      </c>
      <c r="D851" s="21">
        <v>45568</v>
      </c>
      <c r="E851" s="21" t="s">
        <v>43</v>
      </c>
      <c r="F851" s="19" t="s">
        <v>44</v>
      </c>
      <c r="G851" s="19" t="s">
        <v>535</v>
      </c>
      <c r="H851" s="19">
        <v>12.5</v>
      </c>
      <c r="I851" s="47"/>
      <c r="J851" s="54">
        <v>271475</v>
      </c>
      <c r="K851" s="43"/>
      <c r="L851" s="49">
        <f t="shared" ref="L851:L855" si="476">SUM(J851/M851)</f>
        <v>1730.24219247929</v>
      </c>
      <c r="M851" s="50">
        <v>156.9</v>
      </c>
      <c r="N851" s="44">
        <v>7.08</v>
      </c>
      <c r="O851" s="45">
        <f t="shared" ref="O851:O855" si="477">SUM(M851*N851)</f>
        <v>1110.852</v>
      </c>
      <c r="P851" s="51"/>
      <c r="Q851" s="51"/>
      <c r="R851" s="74">
        <f t="shared" si="472"/>
        <v>628.465130341306</v>
      </c>
      <c r="S851" s="74"/>
      <c r="T851" s="75">
        <f t="shared" si="473"/>
        <v>0.928849771566783</v>
      </c>
      <c r="U851" s="74"/>
      <c r="V851" s="74"/>
      <c r="W851" s="76">
        <f t="shared" si="466"/>
        <v>629.393980112873</v>
      </c>
      <c r="X851" s="77">
        <f t="shared" si="474"/>
        <v>8.81987368986831</v>
      </c>
      <c r="Y851" s="77"/>
      <c r="Z851" s="77"/>
      <c r="AA851" s="77">
        <f t="shared" si="471"/>
        <v>8.81987368986831</v>
      </c>
      <c r="AB851" s="86">
        <v>7.08</v>
      </c>
      <c r="AC851" s="74">
        <f t="shared" si="467"/>
        <v>62.4447057242677</v>
      </c>
      <c r="AD851" s="74">
        <f t="shared" si="468"/>
        <v>691.838685837141</v>
      </c>
      <c r="AE851" s="74">
        <f t="shared" si="469"/>
        <v>419.01331416286</v>
      </c>
    </row>
    <row r="852" customFormat="1" spans="1:31">
      <c r="A852" s="18"/>
      <c r="B852" s="19"/>
      <c r="C852" s="20">
        <v>240923000048</v>
      </c>
      <c r="D852" s="21">
        <v>45568</v>
      </c>
      <c r="E852" s="21" t="s">
        <v>43</v>
      </c>
      <c r="F852" s="19" t="s">
        <v>44</v>
      </c>
      <c r="G852" s="19" t="s">
        <v>108</v>
      </c>
      <c r="H852" s="19">
        <v>0.24</v>
      </c>
      <c r="I852" s="41">
        <v>69</v>
      </c>
      <c r="J852" s="53"/>
      <c r="K852" s="43"/>
      <c r="L852" s="19"/>
      <c r="M852" s="43"/>
      <c r="N852" s="44"/>
      <c r="O852" s="45">
        <f t="shared" ref="O852:O868" si="478">SUM(I852)</f>
        <v>69</v>
      </c>
      <c r="P852" s="51"/>
      <c r="Q852" s="51"/>
      <c r="R852" s="74">
        <f t="shared" si="472"/>
        <v>12.0665305025531</v>
      </c>
      <c r="S852" s="74"/>
      <c r="T852" s="75">
        <f t="shared" si="473"/>
        <v>0.0178339156140822</v>
      </c>
      <c r="U852" s="74"/>
      <c r="V852" s="74"/>
      <c r="W852" s="76">
        <f t="shared" si="466"/>
        <v>12.0843644181672</v>
      </c>
      <c r="X852" s="77">
        <f t="shared" si="474"/>
        <v>0.169341574845472</v>
      </c>
      <c r="Y852" s="77"/>
      <c r="Z852" s="77"/>
      <c r="AA852" s="77">
        <f t="shared" si="471"/>
        <v>0.169341574845472</v>
      </c>
      <c r="AB852" s="86">
        <v>7.08</v>
      </c>
      <c r="AC852" s="74">
        <f t="shared" si="467"/>
        <v>1.19893834990594</v>
      </c>
      <c r="AD852" s="74">
        <f t="shared" si="468"/>
        <v>13.2833027680731</v>
      </c>
      <c r="AE852" s="74">
        <f t="shared" si="469"/>
        <v>55.7166972319269</v>
      </c>
    </row>
    <row r="853" customFormat="1" spans="1:31">
      <c r="A853" s="18"/>
      <c r="B853" s="19"/>
      <c r="C853" s="20">
        <v>240923000049</v>
      </c>
      <c r="D853" s="21">
        <v>45568</v>
      </c>
      <c r="E853" s="21" t="s">
        <v>62</v>
      </c>
      <c r="F853" s="19" t="s">
        <v>63</v>
      </c>
      <c r="G853" s="19" t="s">
        <v>536</v>
      </c>
      <c r="H853" s="19">
        <v>33.5</v>
      </c>
      <c r="I853" s="45"/>
      <c r="J853" s="54">
        <v>612743.32</v>
      </c>
      <c r="K853" s="43"/>
      <c r="L853" s="49">
        <f t="shared" si="476"/>
        <v>1711</v>
      </c>
      <c r="M853" s="50">
        <v>358.12</v>
      </c>
      <c r="N853" s="44">
        <v>7.08</v>
      </c>
      <c r="O853" s="45">
        <f t="shared" si="477"/>
        <v>2535.4896</v>
      </c>
      <c r="P853" s="51"/>
      <c r="Q853" s="51"/>
      <c r="R853" s="74">
        <f t="shared" si="472"/>
        <v>1684.2865493147</v>
      </c>
      <c r="S853" s="74"/>
      <c r="T853" s="75">
        <f t="shared" si="473"/>
        <v>2.48931738779898</v>
      </c>
      <c r="U853" s="74"/>
      <c r="V853" s="74"/>
      <c r="W853" s="76">
        <f t="shared" si="466"/>
        <v>1686.7758667025</v>
      </c>
      <c r="X853" s="77">
        <f t="shared" si="474"/>
        <v>23.6372614888471</v>
      </c>
      <c r="Y853" s="77"/>
      <c r="Z853" s="77"/>
      <c r="AA853" s="77">
        <f t="shared" si="471"/>
        <v>23.6372614888471</v>
      </c>
      <c r="AB853" s="86">
        <v>7.08</v>
      </c>
      <c r="AC853" s="74">
        <f t="shared" si="467"/>
        <v>167.351811341037</v>
      </c>
      <c r="AD853" s="74">
        <f t="shared" si="468"/>
        <v>1854.12767804354</v>
      </c>
      <c r="AE853" s="74">
        <f t="shared" si="469"/>
        <v>681.361921956463</v>
      </c>
    </row>
    <row r="854" customFormat="1" spans="1:31">
      <c r="A854" s="18"/>
      <c r="B854" s="19"/>
      <c r="C854" s="20">
        <v>240923000050</v>
      </c>
      <c r="D854" s="21">
        <v>45568</v>
      </c>
      <c r="E854" s="21" t="s">
        <v>62</v>
      </c>
      <c r="F854" s="19" t="s">
        <v>63</v>
      </c>
      <c r="G854" s="19" t="s">
        <v>504</v>
      </c>
      <c r="H854" s="19">
        <v>91</v>
      </c>
      <c r="I854" s="47"/>
      <c r="J854" s="54">
        <v>1351668.5</v>
      </c>
      <c r="K854" s="43"/>
      <c r="L854" s="49">
        <f t="shared" si="476"/>
        <v>1724.00099485989</v>
      </c>
      <c r="M854" s="50">
        <v>784.03</v>
      </c>
      <c r="N854" s="44">
        <v>7.08</v>
      </c>
      <c r="O854" s="45">
        <f t="shared" si="477"/>
        <v>5550.9324</v>
      </c>
      <c r="P854" s="51"/>
      <c r="Q854" s="51"/>
      <c r="R854" s="74">
        <f t="shared" si="472"/>
        <v>4575.22614888471</v>
      </c>
      <c r="S854" s="74"/>
      <c r="T854" s="75">
        <f t="shared" si="473"/>
        <v>6.76202633700618</v>
      </c>
      <c r="U854" s="74"/>
      <c r="V854" s="74"/>
      <c r="W854" s="76">
        <f t="shared" si="466"/>
        <v>4581.98817522172</v>
      </c>
      <c r="X854" s="77">
        <f t="shared" si="474"/>
        <v>64.2086804622413</v>
      </c>
      <c r="Y854" s="77"/>
      <c r="Z854" s="77"/>
      <c r="AA854" s="77">
        <f t="shared" si="471"/>
        <v>64.2086804622413</v>
      </c>
      <c r="AB854" s="86">
        <v>7.08</v>
      </c>
      <c r="AC854" s="74">
        <f t="shared" si="467"/>
        <v>454.597457672669</v>
      </c>
      <c r="AD854" s="74">
        <f t="shared" si="468"/>
        <v>5036.58563289438</v>
      </c>
      <c r="AE854" s="74">
        <f t="shared" si="469"/>
        <v>514.346767105616</v>
      </c>
    </row>
    <row r="855" customFormat="1" spans="1:31">
      <c r="A855" s="18"/>
      <c r="B855" s="19"/>
      <c r="C855" s="20">
        <v>240923000057</v>
      </c>
      <c r="D855" s="21">
        <v>45568</v>
      </c>
      <c r="E855" s="21" t="s">
        <v>50</v>
      </c>
      <c r="F855" s="19" t="s">
        <v>492</v>
      </c>
      <c r="G855" s="19" t="s">
        <v>492</v>
      </c>
      <c r="H855" s="19">
        <v>0.74</v>
      </c>
      <c r="I855" s="45"/>
      <c r="J855" s="54">
        <v>18364</v>
      </c>
      <c r="K855" s="43"/>
      <c r="L855" s="49">
        <f t="shared" si="476"/>
        <v>1739.01515151515</v>
      </c>
      <c r="M855" s="50">
        <v>10.56</v>
      </c>
      <c r="N855" s="44">
        <v>7.08</v>
      </c>
      <c r="O855" s="45">
        <f t="shared" si="477"/>
        <v>74.7648</v>
      </c>
      <c r="P855" s="51"/>
      <c r="Q855" s="51"/>
      <c r="R855" s="74">
        <f t="shared" si="472"/>
        <v>37.2051357162053</v>
      </c>
      <c r="S855" s="74"/>
      <c r="T855" s="75">
        <f t="shared" si="473"/>
        <v>0.0549879064767536</v>
      </c>
      <c r="U855" s="74"/>
      <c r="V855" s="74"/>
      <c r="W855" s="76">
        <f t="shared" si="466"/>
        <v>37.2601236226821</v>
      </c>
      <c r="X855" s="77">
        <f t="shared" si="474"/>
        <v>0.522136522440204</v>
      </c>
      <c r="Y855" s="77"/>
      <c r="Z855" s="77"/>
      <c r="AA855" s="77">
        <f t="shared" si="471"/>
        <v>0.522136522440204</v>
      </c>
      <c r="AB855" s="86">
        <v>7.08</v>
      </c>
      <c r="AC855" s="74">
        <f t="shared" si="467"/>
        <v>3.69672657887665</v>
      </c>
      <c r="AD855" s="74">
        <f t="shared" si="468"/>
        <v>40.9568502015587</v>
      </c>
      <c r="AE855" s="74">
        <f t="shared" si="469"/>
        <v>33.8079497984413</v>
      </c>
    </row>
    <row r="856" customFormat="1" spans="1:31">
      <c r="A856" s="18"/>
      <c r="B856" s="19"/>
      <c r="C856" s="20">
        <v>240923000059</v>
      </c>
      <c r="D856" s="21">
        <v>45568</v>
      </c>
      <c r="E856" s="21" t="s">
        <v>96</v>
      </c>
      <c r="F856" s="19" t="s">
        <v>537</v>
      </c>
      <c r="G856" s="19" t="s">
        <v>538</v>
      </c>
      <c r="H856" s="19">
        <v>3</v>
      </c>
      <c r="I856" s="41">
        <v>221.1</v>
      </c>
      <c r="J856" s="53"/>
      <c r="K856" s="43"/>
      <c r="L856" s="19"/>
      <c r="M856" s="43"/>
      <c r="N856" s="44"/>
      <c r="O856" s="45">
        <f t="shared" si="478"/>
        <v>221.1</v>
      </c>
      <c r="P856" s="51"/>
      <c r="Q856" s="51"/>
      <c r="R856" s="74">
        <f t="shared" si="472"/>
        <v>150.831631281913</v>
      </c>
      <c r="S856" s="74"/>
      <c r="T856" s="75">
        <f t="shared" si="473"/>
        <v>0.222923945176028</v>
      </c>
      <c r="U856" s="74"/>
      <c r="V856" s="74"/>
      <c r="W856" s="76">
        <f t="shared" si="466"/>
        <v>151.05455522709</v>
      </c>
      <c r="X856" s="77">
        <f t="shared" si="474"/>
        <v>2.1167696855684</v>
      </c>
      <c r="Y856" s="77"/>
      <c r="Z856" s="77"/>
      <c r="AA856" s="77">
        <f t="shared" si="471"/>
        <v>2.1167696855684</v>
      </c>
      <c r="AB856" s="86">
        <v>7.08</v>
      </c>
      <c r="AC856" s="74">
        <f t="shared" si="467"/>
        <v>14.9867293738242</v>
      </c>
      <c r="AD856" s="74">
        <f t="shared" si="468"/>
        <v>166.041284600914</v>
      </c>
      <c r="AE856" s="74">
        <f t="shared" si="469"/>
        <v>55.0587153990863</v>
      </c>
    </row>
    <row r="857" customFormat="1" spans="1:31">
      <c r="A857" s="18"/>
      <c r="B857" s="19"/>
      <c r="C857" s="20">
        <v>240924000010</v>
      </c>
      <c r="D857" s="21">
        <v>45568</v>
      </c>
      <c r="E857" s="21" t="s">
        <v>41</v>
      </c>
      <c r="F857" s="19" t="s">
        <v>68</v>
      </c>
      <c r="G857" s="19" t="s">
        <v>69</v>
      </c>
      <c r="H857" s="19">
        <v>4.5</v>
      </c>
      <c r="I857" s="41">
        <v>330</v>
      </c>
      <c r="J857" s="53"/>
      <c r="K857" s="43"/>
      <c r="L857" s="19"/>
      <c r="M857" s="43"/>
      <c r="N857" s="44"/>
      <c r="O857" s="45">
        <f t="shared" si="478"/>
        <v>330</v>
      </c>
      <c r="P857" s="51"/>
      <c r="Q857" s="51"/>
      <c r="R857" s="74">
        <f t="shared" si="472"/>
        <v>226.24744692287</v>
      </c>
      <c r="S857" s="74"/>
      <c r="T857" s="75">
        <f t="shared" si="473"/>
        <v>0.334385917764042</v>
      </c>
      <c r="U857" s="74"/>
      <c r="V857" s="74"/>
      <c r="W857" s="76">
        <f t="shared" si="466"/>
        <v>226.581832840634</v>
      </c>
      <c r="X857" s="77">
        <f t="shared" si="474"/>
        <v>3.17515452835259</v>
      </c>
      <c r="Y857" s="77"/>
      <c r="Z857" s="77"/>
      <c r="AA857" s="77">
        <f t="shared" si="471"/>
        <v>3.17515452835259</v>
      </c>
      <c r="AB857" s="86">
        <v>7.08</v>
      </c>
      <c r="AC857" s="74">
        <f t="shared" si="467"/>
        <v>22.4800940607364</v>
      </c>
      <c r="AD857" s="74">
        <f t="shared" si="468"/>
        <v>249.061926901371</v>
      </c>
      <c r="AE857" s="74">
        <f t="shared" si="469"/>
        <v>80.9380730986294</v>
      </c>
    </row>
    <row r="858" customFormat="1" spans="1:31">
      <c r="A858" s="18"/>
      <c r="B858" s="19"/>
      <c r="C858" s="20">
        <v>240924000011</v>
      </c>
      <c r="D858" s="21">
        <v>45568</v>
      </c>
      <c r="E858" s="21" t="s">
        <v>41</v>
      </c>
      <c r="F858" s="19" t="s">
        <v>68</v>
      </c>
      <c r="G858" s="19" t="s">
        <v>69</v>
      </c>
      <c r="H858" s="19">
        <v>2</v>
      </c>
      <c r="I858" s="41">
        <v>148.5</v>
      </c>
      <c r="J858" s="53"/>
      <c r="K858" s="43"/>
      <c r="L858" s="19"/>
      <c r="M858" s="43"/>
      <c r="N858" s="44"/>
      <c r="O858" s="45">
        <f t="shared" si="478"/>
        <v>148.5</v>
      </c>
      <c r="P858" s="51"/>
      <c r="Q858" s="51"/>
      <c r="R858" s="74">
        <f t="shared" si="472"/>
        <v>100.554420854609</v>
      </c>
      <c r="S858" s="74"/>
      <c r="T858" s="75">
        <f t="shared" si="473"/>
        <v>0.148615963450685</v>
      </c>
      <c r="U858" s="74"/>
      <c r="V858" s="74"/>
      <c r="W858" s="76">
        <f t="shared" si="466"/>
        <v>100.70303681806</v>
      </c>
      <c r="X858" s="77">
        <f t="shared" si="474"/>
        <v>1.41117979037893</v>
      </c>
      <c r="Y858" s="77"/>
      <c r="Z858" s="77"/>
      <c r="AA858" s="77">
        <f t="shared" si="471"/>
        <v>1.41117979037893</v>
      </c>
      <c r="AB858" s="86">
        <v>7.08</v>
      </c>
      <c r="AC858" s="74">
        <f t="shared" si="467"/>
        <v>9.99115291588283</v>
      </c>
      <c r="AD858" s="74">
        <f t="shared" si="468"/>
        <v>110.694189733942</v>
      </c>
      <c r="AE858" s="74">
        <f t="shared" si="469"/>
        <v>37.8058102660575</v>
      </c>
    </row>
    <row r="859" customFormat="1" spans="1:31">
      <c r="A859" s="18"/>
      <c r="B859" s="19"/>
      <c r="C859" s="20">
        <v>240924000013</v>
      </c>
      <c r="D859" s="21">
        <v>45568</v>
      </c>
      <c r="E859" s="21" t="s">
        <v>41</v>
      </c>
      <c r="F859" s="19" t="s">
        <v>41</v>
      </c>
      <c r="G859" s="19" t="s">
        <v>183</v>
      </c>
      <c r="H859" s="19">
        <v>194.5</v>
      </c>
      <c r="I859" s="41">
        <v>11354.75</v>
      </c>
      <c r="J859" s="53"/>
      <c r="K859" s="43"/>
      <c r="L859" s="19"/>
      <c r="M859" s="43"/>
      <c r="N859" s="44"/>
      <c r="O859" s="45">
        <f t="shared" si="478"/>
        <v>11354.75</v>
      </c>
      <c r="P859" s="51"/>
      <c r="Q859" s="51"/>
      <c r="R859" s="74">
        <f t="shared" si="472"/>
        <v>9778.91742811072</v>
      </c>
      <c r="S859" s="74"/>
      <c r="T859" s="75">
        <f t="shared" si="473"/>
        <v>14.4529024455791</v>
      </c>
      <c r="U859" s="74"/>
      <c r="V859" s="74"/>
      <c r="W859" s="76">
        <f t="shared" ref="W859:W890" si="479">SUM(R859:V859)</f>
        <v>9793.3703305563</v>
      </c>
      <c r="X859" s="77">
        <f t="shared" si="474"/>
        <v>137.237234614351</v>
      </c>
      <c r="Y859" s="77"/>
      <c r="Z859" s="77"/>
      <c r="AA859" s="77">
        <f t="shared" si="471"/>
        <v>137.237234614351</v>
      </c>
      <c r="AB859" s="86">
        <v>7.08</v>
      </c>
      <c r="AC859" s="74">
        <f t="shared" ref="AC859:AC890" si="480">SUM(AA859*AB859)</f>
        <v>971.639621069605</v>
      </c>
      <c r="AD859" s="74">
        <f t="shared" ref="AD859:AD890" si="481">SUM(W859+AC859)</f>
        <v>10765.0099516259</v>
      </c>
      <c r="AE859" s="74">
        <f t="shared" ref="AE859:AE890" si="482">SUM(O859-AD859)</f>
        <v>589.740048374093</v>
      </c>
    </row>
    <row r="860" customFormat="1" spans="1:31">
      <c r="A860" s="18"/>
      <c r="B860" s="19"/>
      <c r="C860" s="20">
        <v>240924000015</v>
      </c>
      <c r="D860" s="21">
        <v>45568</v>
      </c>
      <c r="E860" s="21" t="s">
        <v>43</v>
      </c>
      <c r="F860" s="19" t="s">
        <v>44</v>
      </c>
      <c r="G860" s="19" t="s">
        <v>539</v>
      </c>
      <c r="H860" s="19">
        <v>2</v>
      </c>
      <c r="I860" s="41">
        <v>148.5</v>
      </c>
      <c r="J860" s="53"/>
      <c r="K860" s="43"/>
      <c r="L860" s="19"/>
      <c r="M860" s="43"/>
      <c r="N860" s="44"/>
      <c r="O860" s="45">
        <f t="shared" si="478"/>
        <v>148.5</v>
      </c>
      <c r="P860" s="51"/>
      <c r="Q860" s="51"/>
      <c r="R860" s="74">
        <f t="shared" si="472"/>
        <v>100.554420854609</v>
      </c>
      <c r="S860" s="74"/>
      <c r="T860" s="75">
        <f t="shared" si="473"/>
        <v>0.148615963450685</v>
      </c>
      <c r="U860" s="74"/>
      <c r="V860" s="74"/>
      <c r="W860" s="76">
        <f t="shared" si="479"/>
        <v>100.70303681806</v>
      </c>
      <c r="X860" s="77">
        <f t="shared" si="474"/>
        <v>1.41117979037893</v>
      </c>
      <c r="Y860" s="77"/>
      <c r="Z860" s="77"/>
      <c r="AA860" s="77">
        <f t="shared" ref="AA860:AA891" si="483">SUM(X860:Z860)</f>
        <v>1.41117979037893</v>
      </c>
      <c r="AB860" s="86">
        <v>7.08</v>
      </c>
      <c r="AC860" s="74">
        <f t="shared" si="480"/>
        <v>9.99115291588283</v>
      </c>
      <c r="AD860" s="74">
        <f t="shared" si="481"/>
        <v>110.694189733942</v>
      </c>
      <c r="AE860" s="74">
        <f t="shared" si="482"/>
        <v>37.8058102660575</v>
      </c>
    </row>
    <row r="861" customFormat="1" spans="1:31">
      <c r="A861" s="18"/>
      <c r="B861" s="19"/>
      <c r="C861" s="20">
        <v>240924000017</v>
      </c>
      <c r="D861" s="21">
        <v>45568</v>
      </c>
      <c r="E861" s="21" t="s">
        <v>46</v>
      </c>
      <c r="F861" s="19" t="s">
        <v>47</v>
      </c>
      <c r="G861" s="19" t="s">
        <v>175</v>
      </c>
      <c r="H861" s="19">
        <v>4.5</v>
      </c>
      <c r="I861" s="41">
        <v>300.3</v>
      </c>
      <c r="J861" s="53"/>
      <c r="K861" s="43"/>
      <c r="L861" s="19"/>
      <c r="M861" s="43"/>
      <c r="N861" s="44"/>
      <c r="O861" s="45">
        <f t="shared" si="478"/>
        <v>300.3</v>
      </c>
      <c r="P861" s="51"/>
      <c r="Q861" s="51"/>
      <c r="R861" s="74">
        <f t="shared" ref="R861:R892" si="484">SUM(187081.5/3721)*H861</f>
        <v>226.24744692287</v>
      </c>
      <c r="S861" s="74"/>
      <c r="T861" s="75">
        <f t="shared" ref="T861:T892" si="485">SUM(276.5/3721)*H861</f>
        <v>0.334385917764042</v>
      </c>
      <c r="U861" s="74"/>
      <c r="V861" s="74"/>
      <c r="W861" s="76">
        <f t="shared" si="479"/>
        <v>226.581832840634</v>
      </c>
      <c r="X861" s="77">
        <f t="shared" ref="X861:X892" si="486">SUM(2625.5/3721)*H861</f>
        <v>3.17515452835259</v>
      </c>
      <c r="Y861" s="77"/>
      <c r="Z861" s="77"/>
      <c r="AA861" s="77">
        <f t="shared" si="483"/>
        <v>3.17515452835259</v>
      </c>
      <c r="AB861" s="86">
        <v>7.08</v>
      </c>
      <c r="AC861" s="74">
        <f t="shared" si="480"/>
        <v>22.4800940607364</v>
      </c>
      <c r="AD861" s="74">
        <f t="shared" si="481"/>
        <v>249.061926901371</v>
      </c>
      <c r="AE861" s="74">
        <f t="shared" si="482"/>
        <v>51.2380730986294</v>
      </c>
    </row>
    <row r="862" customFormat="1" spans="1:31">
      <c r="A862" s="18"/>
      <c r="B862" s="19"/>
      <c r="C862" s="20">
        <v>240924000020</v>
      </c>
      <c r="D862" s="21">
        <v>45568</v>
      </c>
      <c r="E862" s="21" t="s">
        <v>46</v>
      </c>
      <c r="F862" s="19" t="s">
        <v>47</v>
      </c>
      <c r="G862" s="19" t="s">
        <v>128</v>
      </c>
      <c r="H862" s="19">
        <v>20</v>
      </c>
      <c r="I862" s="41">
        <v>1449</v>
      </c>
      <c r="J862" s="53"/>
      <c r="K862" s="43"/>
      <c r="L862" s="19"/>
      <c r="M862" s="43"/>
      <c r="N862" s="44"/>
      <c r="O862" s="45">
        <f t="shared" si="478"/>
        <v>1449</v>
      </c>
      <c r="P862" s="51"/>
      <c r="Q862" s="51"/>
      <c r="R862" s="74">
        <f t="shared" si="484"/>
        <v>1005.54420854609</v>
      </c>
      <c r="S862" s="74"/>
      <c r="T862" s="75">
        <f t="shared" si="485"/>
        <v>1.48615963450685</v>
      </c>
      <c r="U862" s="74"/>
      <c r="V862" s="75">
        <v>189</v>
      </c>
      <c r="W862" s="76">
        <f t="shared" si="479"/>
        <v>1196.0303681806</v>
      </c>
      <c r="X862" s="77">
        <f t="shared" si="486"/>
        <v>14.1117979037893</v>
      </c>
      <c r="Y862" s="77"/>
      <c r="Z862" s="77"/>
      <c r="AA862" s="77">
        <f t="shared" si="483"/>
        <v>14.1117979037893</v>
      </c>
      <c r="AB862" s="86">
        <v>7.08</v>
      </c>
      <c r="AC862" s="74">
        <f t="shared" si="480"/>
        <v>99.9115291588283</v>
      </c>
      <c r="AD862" s="74">
        <f t="shared" si="481"/>
        <v>1295.94189733942</v>
      </c>
      <c r="AE862" s="74">
        <f t="shared" si="482"/>
        <v>153.058102660575</v>
      </c>
    </row>
    <row r="863" customFormat="1" spans="1:31">
      <c r="A863" s="18"/>
      <c r="B863" s="19"/>
      <c r="C863" s="20">
        <v>240924000022</v>
      </c>
      <c r="D863" s="21">
        <v>45568</v>
      </c>
      <c r="E863" s="21" t="s">
        <v>46</v>
      </c>
      <c r="F863" s="19" t="s">
        <v>47</v>
      </c>
      <c r="G863" s="19" t="s">
        <v>540</v>
      </c>
      <c r="H863" s="19">
        <v>0.97533333</v>
      </c>
      <c r="I863" s="41">
        <v>96</v>
      </c>
      <c r="J863" s="53"/>
      <c r="K863" s="43"/>
      <c r="L863" s="19"/>
      <c r="M863" s="43"/>
      <c r="N863" s="44"/>
      <c r="O863" s="45">
        <f t="shared" si="478"/>
        <v>96</v>
      </c>
      <c r="P863" s="51"/>
      <c r="Q863" s="51"/>
      <c r="R863" s="74">
        <f t="shared" si="484"/>
        <v>49.0370390691736</v>
      </c>
      <c r="S863" s="74"/>
      <c r="T863" s="75">
        <f t="shared" si="485"/>
        <v>0.0724750512617576</v>
      </c>
      <c r="U863" s="74"/>
      <c r="V863" s="74"/>
      <c r="W863" s="76">
        <f t="shared" si="479"/>
        <v>49.1095141204354</v>
      </c>
      <c r="X863" s="77">
        <f t="shared" si="486"/>
        <v>0.688185342089492</v>
      </c>
      <c r="Y863" s="77"/>
      <c r="Z863" s="77"/>
      <c r="AA863" s="77">
        <f t="shared" si="483"/>
        <v>0.688185342089492</v>
      </c>
      <c r="AB863" s="86">
        <v>7.08</v>
      </c>
      <c r="AC863" s="74">
        <f t="shared" si="480"/>
        <v>4.8723522219936</v>
      </c>
      <c r="AD863" s="74">
        <f t="shared" si="481"/>
        <v>53.981866342429</v>
      </c>
      <c r="AE863" s="74">
        <f t="shared" si="482"/>
        <v>42.018133657571</v>
      </c>
    </row>
    <row r="864" customFormat="1" spans="1:31">
      <c r="A864" s="18"/>
      <c r="B864" s="19"/>
      <c r="C864" s="20">
        <v>240924000023</v>
      </c>
      <c r="D864" s="21">
        <v>45568</v>
      </c>
      <c r="E864" s="21" t="s">
        <v>46</v>
      </c>
      <c r="F864" s="19" t="s">
        <v>47</v>
      </c>
      <c r="G864" s="19" t="s">
        <v>540</v>
      </c>
      <c r="H864" s="19">
        <v>3.5</v>
      </c>
      <c r="I864" s="41">
        <v>257</v>
      </c>
      <c r="J864" s="53"/>
      <c r="K864" s="43"/>
      <c r="L864" s="19"/>
      <c r="M864" s="43"/>
      <c r="N864" s="44"/>
      <c r="O864" s="45">
        <f t="shared" si="478"/>
        <v>257</v>
      </c>
      <c r="P864" s="51"/>
      <c r="Q864" s="51"/>
      <c r="R864" s="74">
        <f t="shared" si="484"/>
        <v>175.970236495566</v>
      </c>
      <c r="S864" s="74"/>
      <c r="T864" s="75">
        <f t="shared" si="485"/>
        <v>0.260077936038699</v>
      </c>
      <c r="U864" s="74"/>
      <c r="V864" s="74"/>
      <c r="W864" s="76">
        <f t="shared" si="479"/>
        <v>176.230314431604</v>
      </c>
      <c r="X864" s="77">
        <f t="shared" si="486"/>
        <v>2.46956463316313</v>
      </c>
      <c r="Y864" s="77"/>
      <c r="Z864" s="77"/>
      <c r="AA864" s="77">
        <f t="shared" si="483"/>
        <v>2.46956463316313</v>
      </c>
      <c r="AB864" s="86">
        <v>7.08</v>
      </c>
      <c r="AC864" s="74">
        <f t="shared" si="480"/>
        <v>17.4845176027949</v>
      </c>
      <c r="AD864" s="74">
        <f t="shared" si="481"/>
        <v>193.714832034399</v>
      </c>
      <c r="AE864" s="74">
        <f t="shared" si="482"/>
        <v>63.2851679656007</v>
      </c>
    </row>
    <row r="865" customFormat="1" spans="1:31">
      <c r="A865" s="18"/>
      <c r="B865" s="19"/>
      <c r="C865" s="20">
        <v>240924000024</v>
      </c>
      <c r="D865" s="21">
        <v>45568</v>
      </c>
      <c r="E865" s="21" t="s">
        <v>62</v>
      </c>
      <c r="F865" s="19" t="s">
        <v>63</v>
      </c>
      <c r="G865" s="19" t="s">
        <v>541</v>
      </c>
      <c r="H865" s="19">
        <v>9.5</v>
      </c>
      <c r="I865" s="41">
        <v>602.25</v>
      </c>
      <c r="J865" s="53"/>
      <c r="K865" s="43"/>
      <c r="L865" s="19"/>
      <c r="M865" s="43"/>
      <c r="N865" s="44"/>
      <c r="O865" s="45">
        <f t="shared" si="478"/>
        <v>602.25</v>
      </c>
      <c r="P865" s="51"/>
      <c r="Q865" s="51"/>
      <c r="R865" s="74">
        <f t="shared" si="484"/>
        <v>477.633499059393</v>
      </c>
      <c r="S865" s="74"/>
      <c r="T865" s="75">
        <f t="shared" si="485"/>
        <v>0.705925826390755</v>
      </c>
      <c r="U865" s="74"/>
      <c r="V865" s="74"/>
      <c r="W865" s="76">
        <f t="shared" si="479"/>
        <v>478.339424885783</v>
      </c>
      <c r="X865" s="77">
        <f t="shared" si="486"/>
        <v>6.70310400429992</v>
      </c>
      <c r="Y865" s="77"/>
      <c r="Z865" s="77"/>
      <c r="AA865" s="77">
        <f t="shared" si="483"/>
        <v>6.70310400429992</v>
      </c>
      <c r="AB865" s="86">
        <v>7.08</v>
      </c>
      <c r="AC865" s="74">
        <f t="shared" si="480"/>
        <v>47.4579763504434</v>
      </c>
      <c r="AD865" s="74">
        <f t="shared" si="481"/>
        <v>525.797401236227</v>
      </c>
      <c r="AE865" s="74">
        <f t="shared" si="482"/>
        <v>76.4525987637732</v>
      </c>
    </row>
    <row r="866" customFormat="1" spans="1:31">
      <c r="A866" s="18"/>
      <c r="B866" s="19"/>
      <c r="C866" s="20">
        <v>240924000025</v>
      </c>
      <c r="D866" s="21">
        <v>45568</v>
      </c>
      <c r="E866" s="21" t="s">
        <v>43</v>
      </c>
      <c r="F866" s="19" t="s">
        <v>44</v>
      </c>
      <c r="G866" s="19" t="s">
        <v>377</v>
      </c>
      <c r="H866" s="19">
        <v>6</v>
      </c>
      <c r="I866" s="41">
        <v>492</v>
      </c>
      <c r="J866" s="53"/>
      <c r="K866" s="43"/>
      <c r="L866" s="19"/>
      <c r="M866" s="43"/>
      <c r="N866" s="44"/>
      <c r="O866" s="45">
        <f t="shared" si="478"/>
        <v>492</v>
      </c>
      <c r="P866" s="51"/>
      <c r="Q866" s="51"/>
      <c r="R866" s="74">
        <f t="shared" si="484"/>
        <v>301.663262563827</v>
      </c>
      <c r="S866" s="74"/>
      <c r="T866" s="75">
        <f t="shared" si="485"/>
        <v>0.445847890352056</v>
      </c>
      <c r="U866" s="74"/>
      <c r="V866" s="74"/>
      <c r="W866" s="76">
        <f t="shared" si="479"/>
        <v>302.109110454179</v>
      </c>
      <c r="X866" s="77">
        <f t="shared" si="486"/>
        <v>4.23353937113679</v>
      </c>
      <c r="Y866" s="77">
        <v>15.5</v>
      </c>
      <c r="Z866" s="77"/>
      <c r="AA866" s="77">
        <f t="shared" si="483"/>
        <v>19.7335393711368</v>
      </c>
      <c r="AB866" s="86">
        <v>7.08</v>
      </c>
      <c r="AC866" s="74">
        <f t="shared" si="480"/>
        <v>139.713458747649</v>
      </c>
      <c r="AD866" s="74">
        <f t="shared" si="481"/>
        <v>441.822569201827</v>
      </c>
      <c r="AE866" s="74">
        <f t="shared" si="482"/>
        <v>50.1774307981725</v>
      </c>
    </row>
    <row r="867" customFormat="1" spans="1:31">
      <c r="A867" s="18"/>
      <c r="B867" s="19"/>
      <c r="C867" s="20">
        <v>240924000027</v>
      </c>
      <c r="D867" s="21">
        <v>45568</v>
      </c>
      <c r="E867" s="21" t="s">
        <v>41</v>
      </c>
      <c r="F867" s="19" t="s">
        <v>41</v>
      </c>
      <c r="G867" s="19" t="s">
        <v>300</v>
      </c>
      <c r="H867" s="19">
        <v>5.5</v>
      </c>
      <c r="I867" s="41">
        <v>366.3</v>
      </c>
      <c r="J867" s="53"/>
      <c r="K867" s="43"/>
      <c r="L867" s="19"/>
      <c r="M867" s="43"/>
      <c r="N867" s="44"/>
      <c r="O867" s="45">
        <f t="shared" si="478"/>
        <v>366.3</v>
      </c>
      <c r="P867" s="51"/>
      <c r="Q867" s="51"/>
      <c r="R867" s="74">
        <f t="shared" si="484"/>
        <v>276.524657350175</v>
      </c>
      <c r="S867" s="74"/>
      <c r="T867" s="75">
        <f t="shared" si="485"/>
        <v>0.408693899489385</v>
      </c>
      <c r="U867" s="74"/>
      <c r="V867" s="74"/>
      <c r="W867" s="76">
        <f t="shared" si="479"/>
        <v>276.933351249664</v>
      </c>
      <c r="X867" s="77">
        <f t="shared" si="486"/>
        <v>3.88074442354206</v>
      </c>
      <c r="Y867" s="77"/>
      <c r="Z867" s="77"/>
      <c r="AA867" s="77">
        <f t="shared" si="483"/>
        <v>3.88074442354206</v>
      </c>
      <c r="AB867" s="86">
        <v>7.08</v>
      </c>
      <c r="AC867" s="74">
        <f t="shared" si="480"/>
        <v>27.4756705186778</v>
      </c>
      <c r="AD867" s="74">
        <f t="shared" si="481"/>
        <v>304.409021768342</v>
      </c>
      <c r="AE867" s="74">
        <f t="shared" si="482"/>
        <v>61.8909782316582</v>
      </c>
    </row>
    <row r="868" customFormat="1" spans="1:31">
      <c r="A868" s="18"/>
      <c r="B868" s="19"/>
      <c r="C868" s="20">
        <v>240924000031</v>
      </c>
      <c r="D868" s="21">
        <v>45568</v>
      </c>
      <c r="E868" s="21" t="s">
        <v>62</v>
      </c>
      <c r="F868" s="19" t="s">
        <v>63</v>
      </c>
      <c r="G868" s="19" t="s">
        <v>542</v>
      </c>
      <c r="H868" s="19">
        <v>61</v>
      </c>
      <c r="I868" s="41">
        <v>4846.5</v>
      </c>
      <c r="J868" s="53"/>
      <c r="K868" s="43"/>
      <c r="L868" s="19"/>
      <c r="M868" s="43"/>
      <c r="N868" s="44"/>
      <c r="O868" s="45">
        <f t="shared" si="478"/>
        <v>4846.5</v>
      </c>
      <c r="P868" s="51"/>
      <c r="Q868" s="51"/>
      <c r="R868" s="74">
        <f t="shared" si="484"/>
        <v>3066.90983606557</v>
      </c>
      <c r="S868" s="74"/>
      <c r="T868" s="75">
        <f t="shared" si="485"/>
        <v>4.5327868852459</v>
      </c>
      <c r="U868" s="74">
        <v>180</v>
      </c>
      <c r="V868" s="74"/>
      <c r="W868" s="76">
        <f t="shared" si="479"/>
        <v>3251.44262295082</v>
      </c>
      <c r="X868" s="77">
        <f t="shared" si="486"/>
        <v>43.0409836065574</v>
      </c>
      <c r="Y868" s="77"/>
      <c r="Z868" s="77"/>
      <c r="AA868" s="77">
        <f t="shared" si="483"/>
        <v>43.0409836065574</v>
      </c>
      <c r="AB868" s="86">
        <v>7.08</v>
      </c>
      <c r="AC868" s="74">
        <f t="shared" si="480"/>
        <v>304.730163934426</v>
      </c>
      <c r="AD868" s="74">
        <f t="shared" si="481"/>
        <v>3556.17278688525</v>
      </c>
      <c r="AE868" s="74">
        <f t="shared" si="482"/>
        <v>1290.32721311475</v>
      </c>
    </row>
    <row r="869" customFormat="1" spans="1:31">
      <c r="A869" s="18"/>
      <c r="B869" s="19"/>
      <c r="C869" s="20">
        <v>240924000032</v>
      </c>
      <c r="D869" s="21">
        <v>45568</v>
      </c>
      <c r="E869" s="21" t="s">
        <v>50</v>
      </c>
      <c r="F869" s="19" t="s">
        <v>51</v>
      </c>
      <c r="G869" s="19" t="s">
        <v>543</v>
      </c>
      <c r="H869" s="19">
        <v>7</v>
      </c>
      <c r="I869" s="47"/>
      <c r="J869" s="54">
        <v>170352</v>
      </c>
      <c r="K869" s="43"/>
      <c r="L869" s="49">
        <f t="shared" ref="L869:L873" si="487">SUM(J869/M869)</f>
        <v>1724.03602874203</v>
      </c>
      <c r="M869" s="50">
        <v>98.81</v>
      </c>
      <c r="N869" s="44">
        <v>7.08</v>
      </c>
      <c r="O869" s="45">
        <f t="shared" ref="O869:O873" si="488">SUM(M869*N869)</f>
        <v>699.5748</v>
      </c>
      <c r="P869" s="51"/>
      <c r="Q869" s="51"/>
      <c r="R869" s="74">
        <f t="shared" si="484"/>
        <v>351.940472991131</v>
      </c>
      <c r="S869" s="74"/>
      <c r="T869" s="75">
        <f t="shared" si="485"/>
        <v>0.520155872077399</v>
      </c>
      <c r="U869" s="74"/>
      <c r="V869" s="74"/>
      <c r="W869" s="76">
        <f t="shared" si="479"/>
        <v>352.460628863209</v>
      </c>
      <c r="X869" s="77">
        <f t="shared" si="486"/>
        <v>4.93912926632626</v>
      </c>
      <c r="Y869" s="77"/>
      <c r="Z869" s="77"/>
      <c r="AA869" s="77">
        <f t="shared" si="483"/>
        <v>4.93912926632626</v>
      </c>
      <c r="AB869" s="86">
        <v>7.08</v>
      </c>
      <c r="AC869" s="74">
        <f t="shared" si="480"/>
        <v>34.9690352055899</v>
      </c>
      <c r="AD869" s="74">
        <f t="shared" si="481"/>
        <v>387.429664068799</v>
      </c>
      <c r="AE869" s="74">
        <f t="shared" si="482"/>
        <v>312.145135931201</v>
      </c>
    </row>
    <row r="870" customFormat="1" spans="1:31">
      <c r="A870" s="18"/>
      <c r="B870" s="19"/>
      <c r="C870" s="20">
        <v>240924000033</v>
      </c>
      <c r="D870" s="21">
        <v>45568</v>
      </c>
      <c r="E870" s="21" t="s">
        <v>50</v>
      </c>
      <c r="F870" s="19" t="s">
        <v>51</v>
      </c>
      <c r="G870" s="19" t="s">
        <v>544</v>
      </c>
      <c r="H870" s="19">
        <v>0.54</v>
      </c>
      <c r="I870" s="41"/>
      <c r="J870" s="54">
        <v>21500</v>
      </c>
      <c r="K870" s="43"/>
      <c r="L870" s="49">
        <f t="shared" si="487"/>
        <v>1791.66666666667</v>
      </c>
      <c r="M870" s="50">
        <v>12</v>
      </c>
      <c r="N870" s="44">
        <v>7.08</v>
      </c>
      <c r="O870" s="45">
        <f t="shared" si="488"/>
        <v>84.96</v>
      </c>
      <c r="P870" s="51"/>
      <c r="Q870" s="51"/>
      <c r="R870" s="74">
        <f t="shared" si="484"/>
        <v>27.1496936307444</v>
      </c>
      <c r="S870" s="74"/>
      <c r="T870" s="75">
        <f t="shared" si="485"/>
        <v>0.040126310131685</v>
      </c>
      <c r="U870" s="74"/>
      <c r="V870" s="74"/>
      <c r="W870" s="76">
        <f t="shared" si="479"/>
        <v>27.1898199408761</v>
      </c>
      <c r="X870" s="77">
        <f t="shared" si="486"/>
        <v>0.381018543402311</v>
      </c>
      <c r="Y870" s="77"/>
      <c r="Z870" s="77"/>
      <c r="AA870" s="77">
        <f t="shared" si="483"/>
        <v>0.381018543402311</v>
      </c>
      <c r="AB870" s="86">
        <v>7.08</v>
      </c>
      <c r="AC870" s="74">
        <f t="shared" si="480"/>
        <v>2.69761128728836</v>
      </c>
      <c r="AD870" s="74">
        <f t="shared" si="481"/>
        <v>29.8874312281645</v>
      </c>
      <c r="AE870" s="74">
        <f t="shared" si="482"/>
        <v>55.0725687718355</v>
      </c>
    </row>
    <row r="871" customFormat="1" spans="1:31">
      <c r="A871" s="18"/>
      <c r="B871" s="19"/>
      <c r="C871" s="22">
        <v>240924000039</v>
      </c>
      <c r="D871" s="23">
        <v>45568</v>
      </c>
      <c r="E871" s="21" t="s">
        <v>50</v>
      </c>
      <c r="F871" s="24" t="s">
        <v>51</v>
      </c>
      <c r="G871" s="24" t="s">
        <v>545</v>
      </c>
      <c r="H871" s="24">
        <v>25.5</v>
      </c>
      <c r="I871" s="41">
        <v>1685</v>
      </c>
      <c r="J871" s="53"/>
      <c r="K871" s="43"/>
      <c r="L871" s="19"/>
      <c r="M871" s="43"/>
      <c r="N871" s="44"/>
      <c r="O871" s="45">
        <f t="shared" ref="O871:O875" si="489">SUM(I871)</f>
        <v>1685</v>
      </c>
      <c r="P871" s="51"/>
      <c r="Q871" s="51"/>
      <c r="R871" s="74">
        <f t="shared" si="484"/>
        <v>1282.06886589626</v>
      </c>
      <c r="S871" s="74"/>
      <c r="T871" s="75">
        <f t="shared" si="485"/>
        <v>1.89485353399624</v>
      </c>
      <c r="U871" s="74"/>
      <c r="V871" s="74"/>
      <c r="W871" s="76">
        <f t="shared" si="479"/>
        <v>1283.96371943026</v>
      </c>
      <c r="X871" s="77">
        <f t="shared" si="486"/>
        <v>17.9925423273314</v>
      </c>
      <c r="Y871" s="77"/>
      <c r="Z871" s="77"/>
      <c r="AA871" s="77">
        <f t="shared" si="483"/>
        <v>17.9925423273314</v>
      </c>
      <c r="AB871" s="86">
        <v>7.08</v>
      </c>
      <c r="AC871" s="74">
        <f t="shared" si="480"/>
        <v>127.387199677506</v>
      </c>
      <c r="AD871" s="74">
        <f t="shared" si="481"/>
        <v>1411.35091910777</v>
      </c>
      <c r="AE871" s="74">
        <f t="shared" si="482"/>
        <v>273.649080892233</v>
      </c>
    </row>
    <row r="872" customFormat="1" spans="1:31">
      <c r="A872" s="18"/>
      <c r="B872" s="19"/>
      <c r="C872" s="20">
        <v>240924000043</v>
      </c>
      <c r="D872" s="21">
        <v>45568</v>
      </c>
      <c r="E872" s="21" t="s">
        <v>50</v>
      </c>
      <c r="F872" s="19" t="s">
        <v>51</v>
      </c>
      <c r="G872" s="19" t="s">
        <v>546</v>
      </c>
      <c r="H872" s="19">
        <v>22.5</v>
      </c>
      <c r="I872" s="41">
        <v>1575</v>
      </c>
      <c r="J872" s="53"/>
      <c r="K872" s="43"/>
      <c r="L872" s="19"/>
      <c r="M872" s="43"/>
      <c r="N872" s="44"/>
      <c r="O872" s="45">
        <f t="shared" si="489"/>
        <v>1575</v>
      </c>
      <c r="P872" s="51"/>
      <c r="Q872" s="51"/>
      <c r="R872" s="74">
        <f t="shared" si="484"/>
        <v>1131.23723461435</v>
      </c>
      <c r="S872" s="74"/>
      <c r="T872" s="75">
        <f t="shared" si="485"/>
        <v>1.67192958882021</v>
      </c>
      <c r="U872" s="74"/>
      <c r="V872" s="74"/>
      <c r="W872" s="76">
        <f t="shared" si="479"/>
        <v>1132.90916420317</v>
      </c>
      <c r="X872" s="77">
        <f t="shared" si="486"/>
        <v>15.875772641763</v>
      </c>
      <c r="Y872" s="77"/>
      <c r="Z872" s="77"/>
      <c r="AA872" s="77">
        <f t="shared" si="483"/>
        <v>15.875772641763</v>
      </c>
      <c r="AB872" s="86">
        <v>7.08</v>
      </c>
      <c r="AC872" s="74">
        <f t="shared" si="480"/>
        <v>112.400470303682</v>
      </c>
      <c r="AD872" s="74">
        <f t="shared" si="481"/>
        <v>1245.30963450685</v>
      </c>
      <c r="AE872" s="74">
        <f t="shared" si="482"/>
        <v>329.690365493147</v>
      </c>
    </row>
    <row r="873" customFormat="1" spans="1:31">
      <c r="A873" s="18"/>
      <c r="B873" s="19"/>
      <c r="C873" s="20">
        <v>240924000048</v>
      </c>
      <c r="D873" s="21">
        <v>45568</v>
      </c>
      <c r="E873" s="21" t="s">
        <v>43</v>
      </c>
      <c r="F873" s="19" t="s">
        <v>44</v>
      </c>
      <c r="G873" s="19" t="s">
        <v>121</v>
      </c>
      <c r="H873" s="19">
        <v>78.5</v>
      </c>
      <c r="I873" s="45"/>
      <c r="J873" s="54">
        <v>1188000</v>
      </c>
      <c r="K873" s="43"/>
      <c r="L873" s="49">
        <f t="shared" si="487"/>
        <v>1740.45543323598</v>
      </c>
      <c r="M873" s="50">
        <v>682.57996</v>
      </c>
      <c r="N873" s="44">
        <v>7.08</v>
      </c>
      <c r="O873" s="45">
        <f t="shared" si="488"/>
        <v>4832.6661168</v>
      </c>
      <c r="P873" s="51"/>
      <c r="Q873" s="51"/>
      <c r="R873" s="74">
        <f t="shared" si="484"/>
        <v>3946.7610185434</v>
      </c>
      <c r="S873" s="74"/>
      <c r="T873" s="75">
        <f t="shared" si="485"/>
        <v>5.8331765654394</v>
      </c>
      <c r="U873" s="74">
        <v>175</v>
      </c>
      <c r="V873" s="74"/>
      <c r="W873" s="76">
        <f t="shared" si="479"/>
        <v>4127.59419510884</v>
      </c>
      <c r="X873" s="77">
        <f t="shared" si="486"/>
        <v>55.388806772373</v>
      </c>
      <c r="Y873" s="77"/>
      <c r="Z873" s="77"/>
      <c r="AA873" s="77">
        <f t="shared" si="483"/>
        <v>55.388806772373</v>
      </c>
      <c r="AB873" s="86">
        <v>7.08</v>
      </c>
      <c r="AC873" s="74">
        <f t="shared" si="480"/>
        <v>392.152751948401</v>
      </c>
      <c r="AD873" s="74">
        <f t="shared" si="481"/>
        <v>4519.74694705724</v>
      </c>
      <c r="AE873" s="74">
        <f t="shared" si="482"/>
        <v>312.919169742758</v>
      </c>
    </row>
    <row r="874" customFormat="1" spans="1:31">
      <c r="A874" s="18"/>
      <c r="B874" s="19"/>
      <c r="C874" s="20">
        <v>240924000050</v>
      </c>
      <c r="D874" s="21">
        <v>45568</v>
      </c>
      <c r="E874" s="21" t="s">
        <v>41</v>
      </c>
      <c r="F874" s="19" t="s">
        <v>41</v>
      </c>
      <c r="G874" s="19" t="s">
        <v>95</v>
      </c>
      <c r="H874" s="19">
        <v>5.5</v>
      </c>
      <c r="I874" s="41">
        <v>402.6</v>
      </c>
      <c r="J874" s="53"/>
      <c r="K874" s="43"/>
      <c r="L874" s="19"/>
      <c r="M874" s="43"/>
      <c r="N874" s="44"/>
      <c r="O874" s="45">
        <f t="shared" si="489"/>
        <v>402.6</v>
      </c>
      <c r="P874" s="51"/>
      <c r="Q874" s="51"/>
      <c r="R874" s="74">
        <f t="shared" si="484"/>
        <v>276.524657350175</v>
      </c>
      <c r="S874" s="74"/>
      <c r="T874" s="75">
        <f t="shared" si="485"/>
        <v>0.408693899489385</v>
      </c>
      <c r="U874" s="74"/>
      <c r="V874" s="74"/>
      <c r="W874" s="76">
        <f t="shared" si="479"/>
        <v>276.933351249664</v>
      </c>
      <c r="X874" s="77">
        <f t="shared" si="486"/>
        <v>3.88074442354206</v>
      </c>
      <c r="Y874" s="77"/>
      <c r="Z874" s="77"/>
      <c r="AA874" s="77">
        <f t="shared" si="483"/>
        <v>3.88074442354206</v>
      </c>
      <c r="AB874" s="86">
        <v>7.08</v>
      </c>
      <c r="AC874" s="74">
        <f t="shared" si="480"/>
        <v>27.4756705186778</v>
      </c>
      <c r="AD874" s="74">
        <f t="shared" si="481"/>
        <v>304.409021768342</v>
      </c>
      <c r="AE874" s="74">
        <f t="shared" si="482"/>
        <v>98.1909782316582</v>
      </c>
    </row>
    <row r="875" customFormat="1" spans="1:31">
      <c r="A875" s="18"/>
      <c r="B875" s="19"/>
      <c r="C875" s="20">
        <v>240924000051</v>
      </c>
      <c r="D875" s="21">
        <v>45568</v>
      </c>
      <c r="E875" s="21" t="s">
        <v>43</v>
      </c>
      <c r="F875" s="19" t="s">
        <v>44</v>
      </c>
      <c r="G875" s="19" t="s">
        <v>494</v>
      </c>
      <c r="H875" s="19">
        <v>5</v>
      </c>
      <c r="I875" s="41">
        <v>333</v>
      </c>
      <c r="J875" s="53"/>
      <c r="K875" s="43"/>
      <c r="L875" s="19"/>
      <c r="M875" s="43"/>
      <c r="N875" s="44"/>
      <c r="O875" s="45">
        <f t="shared" si="489"/>
        <v>333</v>
      </c>
      <c r="P875" s="51"/>
      <c r="Q875" s="51"/>
      <c r="R875" s="74">
        <f t="shared" si="484"/>
        <v>251.386052136522</v>
      </c>
      <c r="S875" s="74"/>
      <c r="T875" s="75">
        <f t="shared" si="485"/>
        <v>0.371539908626713</v>
      </c>
      <c r="U875" s="74"/>
      <c r="V875" s="74"/>
      <c r="W875" s="76">
        <f t="shared" si="479"/>
        <v>251.757592045149</v>
      </c>
      <c r="X875" s="77">
        <f t="shared" si="486"/>
        <v>3.52794947594733</v>
      </c>
      <c r="Y875" s="77"/>
      <c r="Z875" s="77"/>
      <c r="AA875" s="77">
        <f t="shared" si="483"/>
        <v>3.52794947594733</v>
      </c>
      <c r="AB875" s="86">
        <v>7.08</v>
      </c>
      <c r="AC875" s="74">
        <f t="shared" si="480"/>
        <v>24.9778822897071</v>
      </c>
      <c r="AD875" s="74">
        <f t="shared" si="481"/>
        <v>276.735474334856</v>
      </c>
      <c r="AE875" s="74">
        <f t="shared" si="482"/>
        <v>56.2645256651438</v>
      </c>
    </row>
    <row r="876" customFormat="1" spans="1:31">
      <c r="A876" s="18"/>
      <c r="B876" s="19"/>
      <c r="C876" s="20">
        <v>240924000054</v>
      </c>
      <c r="D876" s="21">
        <v>45568</v>
      </c>
      <c r="E876" s="21" t="s">
        <v>46</v>
      </c>
      <c r="F876" s="19" t="s">
        <v>47</v>
      </c>
      <c r="G876" s="19" t="s">
        <v>296</v>
      </c>
      <c r="H876" s="19">
        <v>0.34</v>
      </c>
      <c r="I876" s="45"/>
      <c r="J876" s="54">
        <v>20807.08</v>
      </c>
      <c r="K876" s="43"/>
      <c r="L876" s="49">
        <f>SUM(J876/M876)</f>
        <v>1688.88636363636</v>
      </c>
      <c r="M876" s="50">
        <v>12.32</v>
      </c>
      <c r="N876" s="44">
        <v>7.08</v>
      </c>
      <c r="O876" s="45">
        <f>SUM(M876*N876)</f>
        <v>87.2256</v>
      </c>
      <c r="P876" s="51"/>
      <c r="Q876" s="51"/>
      <c r="R876" s="74">
        <f t="shared" si="484"/>
        <v>17.0942515452835</v>
      </c>
      <c r="S876" s="74"/>
      <c r="T876" s="75">
        <f t="shared" si="485"/>
        <v>0.0252647137866165</v>
      </c>
      <c r="U876" s="74"/>
      <c r="V876" s="74"/>
      <c r="W876" s="76">
        <f t="shared" si="479"/>
        <v>17.1195162590701</v>
      </c>
      <c r="X876" s="77">
        <f t="shared" si="486"/>
        <v>0.239900564364418</v>
      </c>
      <c r="Y876" s="77"/>
      <c r="Z876" s="77"/>
      <c r="AA876" s="77">
        <f t="shared" si="483"/>
        <v>0.239900564364418</v>
      </c>
      <c r="AB876" s="86">
        <v>7.08</v>
      </c>
      <c r="AC876" s="74">
        <f t="shared" si="480"/>
        <v>1.69849599570008</v>
      </c>
      <c r="AD876" s="74">
        <f t="shared" si="481"/>
        <v>18.8180122547702</v>
      </c>
      <c r="AE876" s="74">
        <f t="shared" si="482"/>
        <v>68.4075877452298</v>
      </c>
    </row>
    <row r="877" customFormat="1" spans="1:31">
      <c r="A877" s="18"/>
      <c r="B877" s="19"/>
      <c r="C877" s="20">
        <v>240924000055</v>
      </c>
      <c r="D877" s="21">
        <v>45568</v>
      </c>
      <c r="E877" s="21" t="s">
        <v>43</v>
      </c>
      <c r="F877" s="19" t="s">
        <v>44</v>
      </c>
      <c r="G877" s="19" t="s">
        <v>494</v>
      </c>
      <c r="H877" s="19">
        <v>2</v>
      </c>
      <c r="I877" s="41">
        <v>196</v>
      </c>
      <c r="J877" s="53"/>
      <c r="K877" s="43"/>
      <c r="L877" s="19"/>
      <c r="M877" s="43"/>
      <c r="N877" s="44"/>
      <c r="O877" s="45">
        <f t="shared" ref="O877:O883" si="490">SUM(I877)</f>
        <v>196</v>
      </c>
      <c r="P877" s="51"/>
      <c r="Q877" s="51"/>
      <c r="R877" s="74">
        <f t="shared" si="484"/>
        <v>100.554420854609</v>
      </c>
      <c r="S877" s="74"/>
      <c r="T877" s="75">
        <f t="shared" si="485"/>
        <v>0.148615963450685</v>
      </c>
      <c r="U877" s="74"/>
      <c r="V877" s="74"/>
      <c r="W877" s="76">
        <f t="shared" si="479"/>
        <v>100.70303681806</v>
      </c>
      <c r="X877" s="77">
        <f t="shared" si="486"/>
        <v>1.41117979037893</v>
      </c>
      <c r="Y877" s="77"/>
      <c r="Z877" s="77"/>
      <c r="AA877" s="77">
        <f t="shared" si="483"/>
        <v>1.41117979037893</v>
      </c>
      <c r="AB877" s="86">
        <v>7.08</v>
      </c>
      <c r="AC877" s="74">
        <f t="shared" si="480"/>
        <v>9.99115291588283</v>
      </c>
      <c r="AD877" s="74">
        <f t="shared" si="481"/>
        <v>110.694189733942</v>
      </c>
      <c r="AE877" s="74">
        <f t="shared" si="482"/>
        <v>85.3058102660575</v>
      </c>
    </row>
    <row r="878" customFormat="1" spans="1:31">
      <c r="A878" s="18"/>
      <c r="B878" s="19"/>
      <c r="C878" s="20">
        <v>240924000056</v>
      </c>
      <c r="D878" s="21">
        <v>45568</v>
      </c>
      <c r="E878" s="21" t="s">
        <v>62</v>
      </c>
      <c r="F878" s="19" t="s">
        <v>63</v>
      </c>
      <c r="G878" s="19" t="s">
        <v>547</v>
      </c>
      <c r="H878" s="19">
        <v>247</v>
      </c>
      <c r="I878" s="41">
        <v>8107</v>
      </c>
      <c r="J878" s="54">
        <v>1957000</v>
      </c>
      <c r="K878" s="43"/>
      <c r="L878" s="49">
        <f>SUM(J878/M878)</f>
        <v>1731.09243697479</v>
      </c>
      <c r="M878" s="50">
        <v>1130.5</v>
      </c>
      <c r="N878" s="44">
        <v>7.08</v>
      </c>
      <c r="O878" s="45">
        <f>SUM(M878*N878+I878)</f>
        <v>16110.94</v>
      </c>
      <c r="P878" s="51"/>
      <c r="Q878" s="51"/>
      <c r="R878" s="74">
        <f t="shared" si="484"/>
        <v>12418.4709755442</v>
      </c>
      <c r="S878" s="74"/>
      <c r="T878" s="75">
        <f t="shared" si="485"/>
        <v>18.3540714861596</v>
      </c>
      <c r="U878" s="75">
        <v>550</v>
      </c>
      <c r="V878" s="74"/>
      <c r="W878" s="76">
        <f t="shared" si="479"/>
        <v>12986.8250470304</v>
      </c>
      <c r="X878" s="77">
        <f t="shared" si="486"/>
        <v>174.280704111798</v>
      </c>
      <c r="Y878" s="77">
        <v>16.24</v>
      </c>
      <c r="Z878" s="77"/>
      <c r="AA878" s="77">
        <f t="shared" si="483"/>
        <v>190.520704111798</v>
      </c>
      <c r="AB878" s="86">
        <v>7.08</v>
      </c>
      <c r="AC878" s="74">
        <f t="shared" si="480"/>
        <v>1348.88658511153</v>
      </c>
      <c r="AD878" s="74">
        <f t="shared" si="481"/>
        <v>14335.7116321419</v>
      </c>
      <c r="AE878" s="74">
        <f t="shared" si="482"/>
        <v>1775.2283678581</v>
      </c>
    </row>
    <row r="879" customFormat="1" spans="1:31">
      <c r="A879" s="18"/>
      <c r="B879" s="19"/>
      <c r="C879" s="20">
        <v>240925000001</v>
      </c>
      <c r="D879" s="21">
        <v>45568</v>
      </c>
      <c r="E879" s="21" t="s">
        <v>62</v>
      </c>
      <c r="F879" s="19" t="s">
        <v>363</v>
      </c>
      <c r="G879" s="19" t="s">
        <v>364</v>
      </c>
      <c r="H879" s="19">
        <v>10</v>
      </c>
      <c r="I879" s="41">
        <v>633.6</v>
      </c>
      <c r="J879" s="53"/>
      <c r="K879" s="43"/>
      <c r="L879" s="19"/>
      <c r="M879" s="43"/>
      <c r="N879" s="44"/>
      <c r="O879" s="45">
        <f t="shared" si="490"/>
        <v>633.6</v>
      </c>
      <c r="P879" s="51"/>
      <c r="Q879" s="51"/>
      <c r="R879" s="74">
        <f t="shared" si="484"/>
        <v>502.772104273045</v>
      </c>
      <c r="S879" s="74"/>
      <c r="T879" s="75">
        <f t="shared" si="485"/>
        <v>0.743079817253427</v>
      </c>
      <c r="U879" s="74"/>
      <c r="V879" s="74"/>
      <c r="W879" s="76">
        <f t="shared" si="479"/>
        <v>503.515184090298</v>
      </c>
      <c r="X879" s="77">
        <f t="shared" si="486"/>
        <v>7.05589895189465</v>
      </c>
      <c r="Y879" s="77"/>
      <c r="Z879" s="77"/>
      <c r="AA879" s="77">
        <f t="shared" si="483"/>
        <v>7.05589895189465</v>
      </c>
      <c r="AB879" s="86">
        <v>7.08</v>
      </c>
      <c r="AC879" s="74">
        <f t="shared" si="480"/>
        <v>49.9557645794141</v>
      </c>
      <c r="AD879" s="74">
        <f t="shared" si="481"/>
        <v>553.470948669712</v>
      </c>
      <c r="AE879" s="74">
        <f t="shared" si="482"/>
        <v>80.1290513302876</v>
      </c>
    </row>
    <row r="880" customFormat="1" spans="1:31">
      <c r="A880" s="18"/>
      <c r="B880" s="19"/>
      <c r="C880" s="20">
        <v>240925000005</v>
      </c>
      <c r="D880" s="21">
        <v>45568</v>
      </c>
      <c r="E880" s="21" t="s">
        <v>50</v>
      </c>
      <c r="F880" s="19" t="s">
        <v>51</v>
      </c>
      <c r="G880" s="19" t="s">
        <v>86</v>
      </c>
      <c r="H880" s="19">
        <v>1</v>
      </c>
      <c r="I880" s="41">
        <v>75.9</v>
      </c>
      <c r="J880" s="53"/>
      <c r="K880" s="43"/>
      <c r="L880" s="19"/>
      <c r="M880" s="43"/>
      <c r="N880" s="44"/>
      <c r="O880" s="45">
        <f t="shared" si="490"/>
        <v>75.9</v>
      </c>
      <c r="P880" s="51"/>
      <c r="Q880" s="51"/>
      <c r="R880" s="74">
        <f t="shared" si="484"/>
        <v>50.2772104273045</v>
      </c>
      <c r="S880" s="74"/>
      <c r="T880" s="75">
        <f t="shared" si="485"/>
        <v>0.0743079817253427</v>
      </c>
      <c r="U880" s="74"/>
      <c r="V880" s="74"/>
      <c r="W880" s="76">
        <f t="shared" si="479"/>
        <v>50.3515184090298</v>
      </c>
      <c r="X880" s="77">
        <f t="shared" si="486"/>
        <v>0.705589895189465</v>
      </c>
      <c r="Y880" s="77"/>
      <c r="Z880" s="77"/>
      <c r="AA880" s="77">
        <f t="shared" si="483"/>
        <v>0.705589895189465</v>
      </c>
      <c r="AB880" s="86">
        <v>7.08</v>
      </c>
      <c r="AC880" s="74">
        <f t="shared" si="480"/>
        <v>4.99557645794141</v>
      </c>
      <c r="AD880" s="74">
        <f t="shared" si="481"/>
        <v>55.3470948669712</v>
      </c>
      <c r="AE880" s="74">
        <f t="shared" si="482"/>
        <v>20.5529051330288</v>
      </c>
    </row>
    <row r="881" customFormat="1" spans="1:31">
      <c r="A881" s="18"/>
      <c r="B881" s="19"/>
      <c r="C881" s="20">
        <v>240925000009</v>
      </c>
      <c r="D881" s="21">
        <v>45568</v>
      </c>
      <c r="E881" s="21" t="s">
        <v>43</v>
      </c>
      <c r="F881" s="19" t="s">
        <v>44</v>
      </c>
      <c r="G881" s="19" t="s">
        <v>108</v>
      </c>
      <c r="H881" s="19">
        <v>6.5</v>
      </c>
      <c r="I881" s="41">
        <v>414</v>
      </c>
      <c r="J881" s="53"/>
      <c r="K881" s="43"/>
      <c r="L881" s="19"/>
      <c r="M881" s="43"/>
      <c r="N881" s="44"/>
      <c r="O881" s="45">
        <f t="shared" si="490"/>
        <v>414</v>
      </c>
      <c r="P881" s="51"/>
      <c r="Q881" s="51"/>
      <c r="R881" s="74">
        <f t="shared" si="484"/>
        <v>326.801867777479</v>
      </c>
      <c r="S881" s="74"/>
      <c r="T881" s="75">
        <f t="shared" si="485"/>
        <v>0.483001881214727</v>
      </c>
      <c r="U881" s="74"/>
      <c r="V881" s="74"/>
      <c r="W881" s="76">
        <f t="shared" si="479"/>
        <v>327.284869658694</v>
      </c>
      <c r="X881" s="77">
        <f t="shared" si="486"/>
        <v>4.58633431873152</v>
      </c>
      <c r="Y881" s="77"/>
      <c r="Z881" s="77"/>
      <c r="AA881" s="77">
        <f t="shared" si="483"/>
        <v>4.58633431873152</v>
      </c>
      <c r="AB881" s="86">
        <v>7.08</v>
      </c>
      <c r="AC881" s="74">
        <f t="shared" si="480"/>
        <v>32.4712469766192</v>
      </c>
      <c r="AD881" s="74">
        <f t="shared" si="481"/>
        <v>359.756116635313</v>
      </c>
      <c r="AE881" s="74">
        <f t="shared" si="482"/>
        <v>54.243883364687</v>
      </c>
    </row>
    <row r="882" customFormat="1" spans="1:31">
      <c r="A882" s="18"/>
      <c r="B882" s="19"/>
      <c r="C882" s="20">
        <v>240925000011</v>
      </c>
      <c r="D882" s="21">
        <v>45568</v>
      </c>
      <c r="E882" s="21" t="s">
        <v>46</v>
      </c>
      <c r="F882" s="19" t="s">
        <v>47</v>
      </c>
      <c r="G882" s="19" t="s">
        <v>91</v>
      </c>
      <c r="H882" s="19">
        <v>10.5</v>
      </c>
      <c r="I882" s="41">
        <v>664.95</v>
      </c>
      <c r="J882" s="53"/>
      <c r="K882" s="43"/>
      <c r="L882" s="19"/>
      <c r="M882" s="43"/>
      <c r="N882" s="44"/>
      <c r="O882" s="45">
        <f t="shared" si="490"/>
        <v>664.95</v>
      </c>
      <c r="P882" s="51"/>
      <c r="Q882" s="51"/>
      <c r="R882" s="74">
        <f t="shared" si="484"/>
        <v>527.910709486697</v>
      </c>
      <c r="S882" s="74"/>
      <c r="T882" s="75">
        <f t="shared" si="485"/>
        <v>0.780233808116098</v>
      </c>
      <c r="U882" s="74"/>
      <c r="V882" s="74"/>
      <c r="W882" s="76">
        <f t="shared" si="479"/>
        <v>528.690943294813</v>
      </c>
      <c r="X882" s="77">
        <f t="shared" si="486"/>
        <v>7.40869389948938</v>
      </c>
      <c r="Y882" s="77"/>
      <c r="Z882" s="77"/>
      <c r="AA882" s="77">
        <f t="shared" si="483"/>
        <v>7.40869389948938</v>
      </c>
      <c r="AB882" s="86">
        <v>7.08</v>
      </c>
      <c r="AC882" s="74">
        <f t="shared" si="480"/>
        <v>52.4535528083848</v>
      </c>
      <c r="AD882" s="74">
        <f t="shared" si="481"/>
        <v>581.144496103198</v>
      </c>
      <c r="AE882" s="74">
        <f t="shared" si="482"/>
        <v>83.805503896802</v>
      </c>
    </row>
    <row r="883" customFormat="1" spans="1:31">
      <c r="A883" s="18"/>
      <c r="B883" s="19"/>
      <c r="C883" s="20">
        <v>240925000013</v>
      </c>
      <c r="D883" s="21">
        <v>45568</v>
      </c>
      <c r="E883" s="21" t="s">
        <v>62</v>
      </c>
      <c r="F883" s="19" t="s">
        <v>63</v>
      </c>
      <c r="G883" s="19" t="s">
        <v>548</v>
      </c>
      <c r="H883" s="19">
        <v>5.5</v>
      </c>
      <c r="I883" s="41">
        <v>512.4</v>
      </c>
      <c r="J883" s="53"/>
      <c r="K883" s="43"/>
      <c r="L883" s="19"/>
      <c r="M883" s="43"/>
      <c r="N883" s="44"/>
      <c r="O883" s="45">
        <f t="shared" si="490"/>
        <v>512.4</v>
      </c>
      <c r="P883" s="51"/>
      <c r="Q883" s="51"/>
      <c r="R883" s="74">
        <f t="shared" si="484"/>
        <v>276.524657350175</v>
      </c>
      <c r="S883" s="74"/>
      <c r="T883" s="75">
        <f t="shared" si="485"/>
        <v>0.408693899489385</v>
      </c>
      <c r="U883" s="74"/>
      <c r="V883" s="74"/>
      <c r="W883" s="76">
        <f t="shared" si="479"/>
        <v>276.933351249664</v>
      </c>
      <c r="X883" s="77">
        <f t="shared" si="486"/>
        <v>3.88074442354206</v>
      </c>
      <c r="Y883" s="77"/>
      <c r="Z883" s="77"/>
      <c r="AA883" s="77">
        <f t="shared" si="483"/>
        <v>3.88074442354206</v>
      </c>
      <c r="AB883" s="86">
        <v>7.08</v>
      </c>
      <c r="AC883" s="74">
        <f t="shared" si="480"/>
        <v>27.4756705186778</v>
      </c>
      <c r="AD883" s="74">
        <f t="shared" si="481"/>
        <v>304.409021768342</v>
      </c>
      <c r="AE883" s="74">
        <f t="shared" si="482"/>
        <v>207.990978231658</v>
      </c>
    </row>
    <row r="884" customFormat="1" spans="1:31">
      <c r="A884" s="18"/>
      <c r="B884" s="19"/>
      <c r="C884" s="20">
        <v>240925000015</v>
      </c>
      <c r="D884" s="21">
        <v>45568</v>
      </c>
      <c r="E884" s="21" t="s">
        <v>50</v>
      </c>
      <c r="F884" s="19" t="s">
        <v>51</v>
      </c>
      <c r="G884" s="19" t="s">
        <v>549</v>
      </c>
      <c r="H884" s="19">
        <v>6</v>
      </c>
      <c r="I884" s="47"/>
      <c r="J884" s="54">
        <v>82181.25</v>
      </c>
      <c r="K884" s="43"/>
      <c r="L884" s="49">
        <f>SUM(J884/M884)</f>
        <v>1724.32333193454</v>
      </c>
      <c r="M884" s="50">
        <v>47.66</v>
      </c>
      <c r="N884" s="44">
        <v>7.08</v>
      </c>
      <c r="O884" s="45">
        <f>SUM(M884*N884)</f>
        <v>337.4328</v>
      </c>
      <c r="P884" s="51"/>
      <c r="Q884" s="51"/>
      <c r="R884" s="74">
        <f t="shared" si="484"/>
        <v>301.663262563827</v>
      </c>
      <c r="S884" s="74"/>
      <c r="T884" s="75">
        <f t="shared" si="485"/>
        <v>0.445847890352056</v>
      </c>
      <c r="U884" s="74"/>
      <c r="V884" s="74"/>
      <c r="W884" s="76">
        <f t="shared" si="479"/>
        <v>302.109110454179</v>
      </c>
      <c r="X884" s="77">
        <f t="shared" si="486"/>
        <v>4.23353937113679</v>
      </c>
      <c r="Y884" s="77"/>
      <c r="Z884" s="77"/>
      <c r="AA884" s="77">
        <f t="shared" si="483"/>
        <v>4.23353937113679</v>
      </c>
      <c r="AB884" s="86">
        <v>7.08</v>
      </c>
      <c r="AC884" s="74">
        <f t="shared" si="480"/>
        <v>29.9734587476485</v>
      </c>
      <c r="AD884" s="74">
        <f t="shared" si="481"/>
        <v>332.082569201827</v>
      </c>
      <c r="AE884" s="74">
        <f t="shared" si="482"/>
        <v>5.3502307981725</v>
      </c>
    </row>
    <row r="885" customFormat="1" spans="1:31">
      <c r="A885" s="18"/>
      <c r="B885" s="19"/>
      <c r="C885" s="20">
        <v>240925000022</v>
      </c>
      <c r="D885" s="21">
        <v>45568</v>
      </c>
      <c r="E885" s="21" t="s">
        <v>62</v>
      </c>
      <c r="F885" s="19" t="s">
        <v>63</v>
      </c>
      <c r="G885" s="19" t="s">
        <v>550</v>
      </c>
      <c r="H885" s="19">
        <v>14</v>
      </c>
      <c r="I885" s="41">
        <v>914.4</v>
      </c>
      <c r="J885" s="53"/>
      <c r="K885" s="43"/>
      <c r="L885" s="19"/>
      <c r="M885" s="43"/>
      <c r="N885" s="44"/>
      <c r="O885" s="45">
        <f t="shared" ref="O885:O889" si="491">SUM(I885)</f>
        <v>914.4</v>
      </c>
      <c r="P885" s="51"/>
      <c r="Q885" s="51"/>
      <c r="R885" s="74">
        <f t="shared" si="484"/>
        <v>703.880945982263</v>
      </c>
      <c r="S885" s="74"/>
      <c r="T885" s="75">
        <f t="shared" si="485"/>
        <v>1.0403117441548</v>
      </c>
      <c r="U885" s="74">
        <v>30</v>
      </c>
      <c r="V885" s="74"/>
      <c r="W885" s="76">
        <f t="shared" si="479"/>
        <v>734.921257726418</v>
      </c>
      <c r="X885" s="77">
        <f t="shared" si="486"/>
        <v>9.87825853265251</v>
      </c>
      <c r="Y885" s="77"/>
      <c r="Z885" s="77"/>
      <c r="AA885" s="77">
        <f t="shared" si="483"/>
        <v>9.87825853265251</v>
      </c>
      <c r="AB885" s="86">
        <v>7.08</v>
      </c>
      <c r="AC885" s="74">
        <f t="shared" si="480"/>
        <v>69.9380704111798</v>
      </c>
      <c r="AD885" s="74">
        <f t="shared" si="481"/>
        <v>804.859328137597</v>
      </c>
      <c r="AE885" s="74">
        <f t="shared" si="482"/>
        <v>109.540671862403</v>
      </c>
    </row>
    <row r="886" customFormat="1" spans="1:31">
      <c r="A886" s="18"/>
      <c r="B886" s="19"/>
      <c r="C886" s="20">
        <v>240925000029</v>
      </c>
      <c r="D886" s="21">
        <v>45568</v>
      </c>
      <c r="E886" s="21" t="s">
        <v>43</v>
      </c>
      <c r="F886" s="19" t="s">
        <v>44</v>
      </c>
      <c r="G886" s="19" t="s">
        <v>110</v>
      </c>
      <c r="H886" s="19">
        <v>54.5</v>
      </c>
      <c r="I886" s="41">
        <v>4994.38</v>
      </c>
      <c r="J886" s="53"/>
      <c r="K886" s="43"/>
      <c r="L886" s="19"/>
      <c r="M886" s="43"/>
      <c r="N886" s="44"/>
      <c r="O886" s="45">
        <f t="shared" si="491"/>
        <v>4994.38</v>
      </c>
      <c r="P886" s="51"/>
      <c r="Q886" s="51"/>
      <c r="R886" s="74">
        <f t="shared" si="484"/>
        <v>2740.10796828809</v>
      </c>
      <c r="S886" s="74"/>
      <c r="T886" s="75">
        <f t="shared" si="485"/>
        <v>4.04978500403117</v>
      </c>
      <c r="U886" s="74"/>
      <c r="V886" s="74"/>
      <c r="W886" s="76">
        <f t="shared" si="479"/>
        <v>2744.15775329213</v>
      </c>
      <c r="X886" s="77">
        <f t="shared" si="486"/>
        <v>38.4546492878259</v>
      </c>
      <c r="Y886" s="77"/>
      <c r="Z886" s="77"/>
      <c r="AA886" s="77">
        <f t="shared" si="483"/>
        <v>38.4546492878259</v>
      </c>
      <c r="AB886" s="86">
        <v>7.08</v>
      </c>
      <c r="AC886" s="74">
        <f t="shared" si="480"/>
        <v>272.258916957807</v>
      </c>
      <c r="AD886" s="74">
        <f t="shared" si="481"/>
        <v>3016.41667024993</v>
      </c>
      <c r="AE886" s="74">
        <f t="shared" si="482"/>
        <v>1977.96332975007</v>
      </c>
    </row>
    <row r="887" customFormat="1" spans="1:31">
      <c r="A887" s="18"/>
      <c r="B887" s="19"/>
      <c r="C887" s="20">
        <v>240925000030</v>
      </c>
      <c r="D887" s="21">
        <v>45568</v>
      </c>
      <c r="E887" s="21" t="s">
        <v>96</v>
      </c>
      <c r="F887" s="19"/>
      <c r="G887" s="19" t="s">
        <v>97</v>
      </c>
      <c r="H887" s="19">
        <v>0.68</v>
      </c>
      <c r="I887" s="47"/>
      <c r="J887" s="54">
        <v>15705</v>
      </c>
      <c r="K887" s="43"/>
      <c r="L887" s="49">
        <f>SUM(J887/M887)</f>
        <v>1745</v>
      </c>
      <c r="M887" s="50">
        <v>9</v>
      </c>
      <c r="N887" s="44">
        <v>7.08</v>
      </c>
      <c r="O887" s="45">
        <f>SUM(M887*N887)</f>
        <v>63.72</v>
      </c>
      <c r="P887" s="51"/>
      <c r="Q887" s="51"/>
      <c r="R887" s="74">
        <f t="shared" si="484"/>
        <v>34.1885030905671</v>
      </c>
      <c r="S887" s="74"/>
      <c r="T887" s="75">
        <f t="shared" si="485"/>
        <v>0.050529427573233</v>
      </c>
      <c r="U887" s="74"/>
      <c r="V887" s="74"/>
      <c r="W887" s="76">
        <f t="shared" si="479"/>
        <v>34.2390325181403</v>
      </c>
      <c r="X887" s="77">
        <f t="shared" si="486"/>
        <v>0.479801128728836</v>
      </c>
      <c r="Y887" s="77"/>
      <c r="Z887" s="77"/>
      <c r="AA887" s="77">
        <f t="shared" si="483"/>
        <v>0.479801128728836</v>
      </c>
      <c r="AB887" s="86">
        <v>7.08</v>
      </c>
      <c r="AC887" s="74">
        <f t="shared" si="480"/>
        <v>3.39699199140016</v>
      </c>
      <c r="AD887" s="74">
        <f t="shared" si="481"/>
        <v>37.6360245095404</v>
      </c>
      <c r="AE887" s="74">
        <f t="shared" si="482"/>
        <v>26.0839754904596</v>
      </c>
    </row>
    <row r="888" customFormat="1" spans="1:31">
      <c r="A888" s="18"/>
      <c r="B888" s="19"/>
      <c r="C888" s="20">
        <v>240925000032</v>
      </c>
      <c r="D888" s="21">
        <v>45568</v>
      </c>
      <c r="E888" s="21" t="s">
        <v>41</v>
      </c>
      <c r="F888" s="19" t="s">
        <v>41</v>
      </c>
      <c r="G888" s="19" t="s">
        <v>551</v>
      </c>
      <c r="H888" s="19">
        <v>7.5</v>
      </c>
      <c r="I888" s="41">
        <v>476.85</v>
      </c>
      <c r="J888" s="53"/>
      <c r="K888" s="43"/>
      <c r="L888" s="19"/>
      <c r="M888" s="43"/>
      <c r="N888" s="44"/>
      <c r="O888" s="45">
        <f t="shared" si="491"/>
        <v>476.85</v>
      </c>
      <c r="P888" s="51"/>
      <c r="Q888" s="51"/>
      <c r="R888" s="74">
        <f t="shared" si="484"/>
        <v>377.079078204784</v>
      </c>
      <c r="S888" s="74"/>
      <c r="T888" s="75">
        <f t="shared" si="485"/>
        <v>0.55730986294007</v>
      </c>
      <c r="U888" s="74"/>
      <c r="V888" s="74"/>
      <c r="W888" s="76">
        <f t="shared" si="479"/>
        <v>377.636388067724</v>
      </c>
      <c r="X888" s="77">
        <f t="shared" si="486"/>
        <v>5.29192421392099</v>
      </c>
      <c r="Y888" s="77"/>
      <c r="Z888" s="77"/>
      <c r="AA888" s="77">
        <f t="shared" si="483"/>
        <v>5.29192421392099</v>
      </c>
      <c r="AB888" s="86">
        <v>7.08</v>
      </c>
      <c r="AC888" s="74">
        <f t="shared" si="480"/>
        <v>37.4668234345606</v>
      </c>
      <c r="AD888" s="74">
        <f t="shared" si="481"/>
        <v>415.103211502284</v>
      </c>
      <c r="AE888" s="74">
        <f t="shared" si="482"/>
        <v>61.7467884977157</v>
      </c>
    </row>
    <row r="889" customFormat="1" spans="1:31">
      <c r="A889" s="18"/>
      <c r="B889" s="19"/>
      <c r="C889" s="20">
        <v>240925000033</v>
      </c>
      <c r="D889" s="21">
        <v>45568</v>
      </c>
      <c r="E889" s="21" t="s">
        <v>41</v>
      </c>
      <c r="F889" s="19" t="s">
        <v>41</v>
      </c>
      <c r="G889" s="19" t="s">
        <v>244</v>
      </c>
      <c r="H889" s="19">
        <v>167.5</v>
      </c>
      <c r="I889" s="41">
        <v>16027.5</v>
      </c>
      <c r="J889" s="53"/>
      <c r="K889" s="43"/>
      <c r="L889" s="19"/>
      <c r="M889" s="43"/>
      <c r="N889" s="44"/>
      <c r="O889" s="45">
        <f t="shared" si="491"/>
        <v>16027.5</v>
      </c>
      <c r="P889" s="51"/>
      <c r="Q889" s="51"/>
      <c r="R889" s="74">
        <f t="shared" si="484"/>
        <v>8421.4327465735</v>
      </c>
      <c r="S889" s="74"/>
      <c r="T889" s="75">
        <f t="shared" si="485"/>
        <v>12.4465869389949</v>
      </c>
      <c r="U889" s="74"/>
      <c r="V889" s="74"/>
      <c r="W889" s="76">
        <f t="shared" si="479"/>
        <v>8433.8793335125</v>
      </c>
      <c r="X889" s="77">
        <f t="shared" si="486"/>
        <v>118.186307444235</v>
      </c>
      <c r="Y889" s="77"/>
      <c r="Z889" s="77"/>
      <c r="AA889" s="77">
        <f t="shared" si="483"/>
        <v>118.186307444235</v>
      </c>
      <c r="AB889" s="86">
        <v>7.08</v>
      </c>
      <c r="AC889" s="74">
        <f t="shared" si="480"/>
        <v>836.759056705187</v>
      </c>
      <c r="AD889" s="74">
        <f t="shared" si="481"/>
        <v>9270.63839021768</v>
      </c>
      <c r="AE889" s="74">
        <f t="shared" si="482"/>
        <v>6756.86160978232</v>
      </c>
    </row>
    <row r="890" customFormat="1" spans="1:31">
      <c r="A890" s="18"/>
      <c r="B890" s="19"/>
      <c r="C890" s="20">
        <v>240925000035</v>
      </c>
      <c r="D890" s="21">
        <v>45568</v>
      </c>
      <c r="E890" s="21" t="s">
        <v>96</v>
      </c>
      <c r="F890" s="19" t="s">
        <v>129</v>
      </c>
      <c r="G890" s="19" t="s">
        <v>552</v>
      </c>
      <c r="H890" s="19">
        <v>97.5</v>
      </c>
      <c r="I890" s="92">
        <v>5979.09</v>
      </c>
      <c r="J890" s="53"/>
      <c r="K890" s="43"/>
      <c r="L890" s="19"/>
      <c r="M890" s="43"/>
      <c r="N890" s="44"/>
      <c r="O890" s="45">
        <f>SUBTOTAL(9,I890)</f>
        <v>5979.09</v>
      </c>
      <c r="P890" s="51"/>
      <c r="Q890" s="51"/>
      <c r="R890" s="74">
        <f t="shared" si="484"/>
        <v>4902.02801666219</v>
      </c>
      <c r="S890" s="74"/>
      <c r="T890" s="75">
        <f t="shared" si="485"/>
        <v>7.24502821822091</v>
      </c>
      <c r="U890" s="74"/>
      <c r="V890" s="74"/>
      <c r="W890" s="76">
        <f t="shared" si="479"/>
        <v>4909.27304488041</v>
      </c>
      <c r="X890" s="77">
        <f t="shared" si="486"/>
        <v>68.7950147809729</v>
      </c>
      <c r="Y890" s="77"/>
      <c r="Z890" s="77"/>
      <c r="AA890" s="77">
        <f t="shared" si="483"/>
        <v>68.7950147809729</v>
      </c>
      <c r="AB890" s="86">
        <v>7.08</v>
      </c>
      <c r="AC890" s="74">
        <f t="shared" si="480"/>
        <v>487.068704649288</v>
      </c>
      <c r="AD890" s="74">
        <f t="shared" si="481"/>
        <v>5396.3417495297</v>
      </c>
      <c r="AE890" s="74">
        <f t="shared" si="482"/>
        <v>582.748250470304</v>
      </c>
    </row>
    <row r="891" customFormat="1" spans="1:31">
      <c r="A891" s="18"/>
      <c r="B891" s="19"/>
      <c r="C891" s="20">
        <v>240926000003</v>
      </c>
      <c r="D891" s="21">
        <v>45568</v>
      </c>
      <c r="E891" s="21" t="s">
        <v>50</v>
      </c>
      <c r="F891" s="19" t="s">
        <v>51</v>
      </c>
      <c r="G891" s="19" t="s">
        <v>332</v>
      </c>
      <c r="H891" s="19">
        <v>2</v>
      </c>
      <c r="I891" s="41">
        <v>148.5</v>
      </c>
      <c r="J891" s="53"/>
      <c r="K891" s="43"/>
      <c r="L891" s="19"/>
      <c r="M891" s="43"/>
      <c r="N891" s="44"/>
      <c r="O891" s="45">
        <f t="shared" ref="O891:O910" si="492">SUM(I891)</f>
        <v>148.5</v>
      </c>
      <c r="P891" s="51"/>
      <c r="Q891" s="51"/>
      <c r="R891" s="74">
        <f t="shared" si="484"/>
        <v>100.554420854609</v>
      </c>
      <c r="S891" s="74"/>
      <c r="T891" s="75">
        <f t="shared" si="485"/>
        <v>0.148615963450685</v>
      </c>
      <c r="U891" s="74"/>
      <c r="V891" s="74"/>
      <c r="W891" s="76">
        <f t="shared" ref="W891:W909" si="493">SUM(R891:V891)</f>
        <v>100.70303681806</v>
      </c>
      <c r="X891" s="77">
        <f t="shared" si="486"/>
        <v>1.41117979037893</v>
      </c>
      <c r="Y891" s="77"/>
      <c r="Z891" s="77"/>
      <c r="AA891" s="77">
        <f t="shared" si="483"/>
        <v>1.41117979037893</v>
      </c>
      <c r="AB891" s="86">
        <v>7.08</v>
      </c>
      <c r="AC891" s="74">
        <f t="shared" ref="AC891:AC909" si="494">SUM(AA891*AB891)</f>
        <v>9.99115291588283</v>
      </c>
      <c r="AD891" s="74">
        <f t="shared" ref="AD891:AD909" si="495">SUM(W891+AC891)</f>
        <v>110.694189733942</v>
      </c>
      <c r="AE891" s="74">
        <f t="shared" ref="AE891:AE909" si="496">SUM(O891-AD891)</f>
        <v>37.8058102660575</v>
      </c>
    </row>
    <row r="892" customFormat="1" spans="1:31">
      <c r="A892" s="18"/>
      <c r="B892" s="19"/>
      <c r="C892" s="20">
        <v>240926000007</v>
      </c>
      <c r="D892" s="21">
        <v>45568</v>
      </c>
      <c r="E892" s="21" t="s">
        <v>50</v>
      </c>
      <c r="F892" s="19" t="s">
        <v>51</v>
      </c>
      <c r="G892" s="19" t="s">
        <v>114</v>
      </c>
      <c r="H892" s="19">
        <v>5.5</v>
      </c>
      <c r="I892" s="41">
        <v>330</v>
      </c>
      <c r="J892" s="53"/>
      <c r="K892" s="43"/>
      <c r="L892" s="19"/>
      <c r="M892" s="43"/>
      <c r="N892" s="44"/>
      <c r="O892" s="45">
        <f t="shared" si="492"/>
        <v>330</v>
      </c>
      <c r="P892" s="51"/>
      <c r="Q892" s="51"/>
      <c r="R892" s="74">
        <f t="shared" si="484"/>
        <v>276.524657350175</v>
      </c>
      <c r="S892" s="74"/>
      <c r="T892" s="75">
        <f t="shared" si="485"/>
        <v>0.408693899489385</v>
      </c>
      <c r="U892" s="74"/>
      <c r="V892" s="74"/>
      <c r="W892" s="76">
        <f t="shared" si="493"/>
        <v>276.933351249664</v>
      </c>
      <c r="X892" s="77">
        <f t="shared" si="486"/>
        <v>3.88074442354206</v>
      </c>
      <c r="Y892" s="77"/>
      <c r="Z892" s="77"/>
      <c r="AA892" s="77">
        <f t="shared" ref="AA892:AA909" si="497">SUM(X892:Z892)</f>
        <v>3.88074442354206</v>
      </c>
      <c r="AB892" s="86">
        <v>7.08</v>
      </c>
      <c r="AC892" s="74">
        <f t="shared" si="494"/>
        <v>27.4756705186778</v>
      </c>
      <c r="AD892" s="74">
        <f t="shared" si="495"/>
        <v>304.409021768342</v>
      </c>
      <c r="AE892" s="74">
        <f t="shared" si="496"/>
        <v>25.5909782316582</v>
      </c>
    </row>
    <row r="893" customFormat="1" spans="1:31">
      <c r="A893" s="18"/>
      <c r="B893" s="19"/>
      <c r="C893" s="22">
        <v>240926000014</v>
      </c>
      <c r="D893" s="23">
        <v>45568</v>
      </c>
      <c r="E893" s="21" t="s">
        <v>62</v>
      </c>
      <c r="F893" s="24" t="s">
        <v>63</v>
      </c>
      <c r="G893" s="24" t="s">
        <v>553</v>
      </c>
      <c r="H893" s="24">
        <v>11</v>
      </c>
      <c r="I893" s="41">
        <v>697</v>
      </c>
      <c r="J893" s="53"/>
      <c r="K893" s="43"/>
      <c r="L893" s="19"/>
      <c r="M893" s="43"/>
      <c r="N893" s="44"/>
      <c r="O893" s="45">
        <f t="shared" si="492"/>
        <v>697</v>
      </c>
      <c r="P893" s="51"/>
      <c r="Q893" s="51"/>
      <c r="R893" s="74">
        <f t="shared" ref="R893:R909" si="498">SUM(187081.5/3721)*H893</f>
        <v>553.049314700349</v>
      </c>
      <c r="S893" s="74"/>
      <c r="T893" s="75">
        <f t="shared" ref="T893:T909" si="499">SUM(276.5/3721)*H893</f>
        <v>0.817387798978769</v>
      </c>
      <c r="U893" s="74"/>
      <c r="V893" s="74"/>
      <c r="W893" s="76">
        <f t="shared" si="493"/>
        <v>553.866702499328</v>
      </c>
      <c r="X893" s="77">
        <f t="shared" ref="X893:X909" si="500">SUM(2625.5/3721)*H893</f>
        <v>7.76148884708412</v>
      </c>
      <c r="Y893" s="77"/>
      <c r="Z893" s="77"/>
      <c r="AA893" s="77">
        <f t="shared" si="497"/>
        <v>7.76148884708412</v>
      </c>
      <c r="AB893" s="86">
        <v>7.08</v>
      </c>
      <c r="AC893" s="74">
        <f t="shared" si="494"/>
        <v>54.9513410373556</v>
      </c>
      <c r="AD893" s="74">
        <f t="shared" si="495"/>
        <v>608.818043536684</v>
      </c>
      <c r="AE893" s="74">
        <f t="shared" si="496"/>
        <v>88.1819564633164</v>
      </c>
    </row>
    <row r="894" customFormat="1" spans="1:31">
      <c r="A894" s="18"/>
      <c r="B894" s="19"/>
      <c r="C894" s="20">
        <v>240926000015</v>
      </c>
      <c r="D894" s="21">
        <v>45568</v>
      </c>
      <c r="E894" s="21" t="s">
        <v>50</v>
      </c>
      <c r="F894" s="19" t="s">
        <v>51</v>
      </c>
      <c r="G894" s="19" t="s">
        <v>158</v>
      </c>
      <c r="H894" s="19">
        <v>1.5</v>
      </c>
      <c r="I894" s="41">
        <v>102.3</v>
      </c>
      <c r="J894" s="53"/>
      <c r="K894" s="43"/>
      <c r="L894" s="19"/>
      <c r="M894" s="43"/>
      <c r="N894" s="44"/>
      <c r="O894" s="45">
        <f t="shared" si="492"/>
        <v>102.3</v>
      </c>
      <c r="P894" s="51"/>
      <c r="Q894" s="51"/>
      <c r="R894" s="74">
        <f t="shared" si="498"/>
        <v>75.4158156409567</v>
      </c>
      <c r="S894" s="74"/>
      <c r="T894" s="75">
        <f t="shared" si="499"/>
        <v>0.111461972588014</v>
      </c>
      <c r="U894" s="74"/>
      <c r="V894" s="74"/>
      <c r="W894" s="76">
        <f t="shared" si="493"/>
        <v>75.5272776135448</v>
      </c>
      <c r="X894" s="77">
        <f t="shared" si="500"/>
        <v>1.0583848427842</v>
      </c>
      <c r="Y894" s="77"/>
      <c r="Z894" s="77"/>
      <c r="AA894" s="77">
        <f t="shared" si="497"/>
        <v>1.0583848427842</v>
      </c>
      <c r="AB894" s="86">
        <v>7.08</v>
      </c>
      <c r="AC894" s="74">
        <f t="shared" si="494"/>
        <v>7.49336468691212</v>
      </c>
      <c r="AD894" s="74">
        <f t="shared" si="495"/>
        <v>83.0206423004569</v>
      </c>
      <c r="AE894" s="74">
        <f t="shared" si="496"/>
        <v>19.2793576995431</v>
      </c>
    </row>
    <row r="895" customFormat="1" spans="1:31">
      <c r="A895" s="18"/>
      <c r="B895" s="19"/>
      <c r="C895" s="20">
        <v>240926000019</v>
      </c>
      <c r="D895" s="21">
        <v>45568</v>
      </c>
      <c r="E895" s="21" t="s">
        <v>43</v>
      </c>
      <c r="F895" s="19" t="s">
        <v>44</v>
      </c>
      <c r="G895" s="19" t="s">
        <v>171</v>
      </c>
      <c r="H895" s="19">
        <v>36.5</v>
      </c>
      <c r="I895" s="41">
        <v>2419</v>
      </c>
      <c r="J895" s="53"/>
      <c r="K895" s="43"/>
      <c r="L895" s="19"/>
      <c r="M895" s="43"/>
      <c r="N895" s="44"/>
      <c r="O895" s="45">
        <f t="shared" si="492"/>
        <v>2419</v>
      </c>
      <c r="P895" s="51"/>
      <c r="Q895" s="51"/>
      <c r="R895" s="74">
        <f t="shared" si="498"/>
        <v>1835.11818059661</v>
      </c>
      <c r="S895" s="74"/>
      <c r="T895" s="75">
        <f t="shared" si="499"/>
        <v>2.71224133297501</v>
      </c>
      <c r="U895" s="74"/>
      <c r="V895" s="74"/>
      <c r="W895" s="76">
        <f t="shared" si="493"/>
        <v>1837.83042192959</v>
      </c>
      <c r="X895" s="77">
        <f t="shared" si="500"/>
        <v>25.7540311744155</v>
      </c>
      <c r="Y895" s="77"/>
      <c r="Z895" s="77"/>
      <c r="AA895" s="77">
        <f t="shared" si="497"/>
        <v>25.7540311744155</v>
      </c>
      <c r="AB895" s="86">
        <v>7.08</v>
      </c>
      <c r="AC895" s="74">
        <f t="shared" si="494"/>
        <v>182.338540714862</v>
      </c>
      <c r="AD895" s="74">
        <f t="shared" si="495"/>
        <v>2020.16896264445</v>
      </c>
      <c r="AE895" s="74">
        <f t="shared" si="496"/>
        <v>398.831037355549</v>
      </c>
    </row>
    <row r="896" customFormat="1" spans="1:31">
      <c r="A896" s="18"/>
      <c r="B896" s="19"/>
      <c r="C896" s="20">
        <v>240926000021</v>
      </c>
      <c r="D896" s="21">
        <v>45568</v>
      </c>
      <c r="E896" s="21" t="s">
        <v>43</v>
      </c>
      <c r="F896" s="19" t="s">
        <v>44</v>
      </c>
      <c r="G896" s="19" t="s">
        <v>108</v>
      </c>
      <c r="H896" s="19">
        <v>3</v>
      </c>
      <c r="I896" s="41">
        <v>201</v>
      </c>
      <c r="J896" s="53"/>
      <c r="K896" s="43"/>
      <c r="L896" s="19"/>
      <c r="M896" s="43"/>
      <c r="N896" s="44"/>
      <c r="O896" s="45">
        <f t="shared" si="492"/>
        <v>201</v>
      </c>
      <c r="P896" s="51"/>
      <c r="Q896" s="51"/>
      <c r="R896" s="74">
        <f t="shared" si="498"/>
        <v>150.831631281913</v>
      </c>
      <c r="S896" s="74"/>
      <c r="T896" s="75">
        <f t="shared" si="499"/>
        <v>0.222923945176028</v>
      </c>
      <c r="U896" s="74"/>
      <c r="V896" s="74"/>
      <c r="W896" s="76">
        <f t="shared" si="493"/>
        <v>151.05455522709</v>
      </c>
      <c r="X896" s="77">
        <f t="shared" si="500"/>
        <v>2.1167696855684</v>
      </c>
      <c r="Y896" s="77"/>
      <c r="Z896" s="77"/>
      <c r="AA896" s="77">
        <f t="shared" si="497"/>
        <v>2.1167696855684</v>
      </c>
      <c r="AB896" s="86">
        <v>7.08</v>
      </c>
      <c r="AC896" s="74">
        <f t="shared" si="494"/>
        <v>14.9867293738242</v>
      </c>
      <c r="AD896" s="74">
        <f t="shared" si="495"/>
        <v>166.041284600914</v>
      </c>
      <c r="AE896" s="74">
        <f t="shared" si="496"/>
        <v>34.9587153990863</v>
      </c>
    </row>
    <row r="897" customFormat="1" spans="1:31">
      <c r="A897" s="18"/>
      <c r="B897" s="19"/>
      <c r="C897" s="20">
        <v>240926000029</v>
      </c>
      <c r="D897" s="21">
        <v>45568</v>
      </c>
      <c r="E897" s="21" t="s">
        <v>62</v>
      </c>
      <c r="F897" s="19" t="s">
        <v>63</v>
      </c>
      <c r="G897" s="19" t="s">
        <v>554</v>
      </c>
      <c r="H897" s="19">
        <v>32</v>
      </c>
      <c r="I897" s="47"/>
      <c r="J897" s="54">
        <v>512227</v>
      </c>
      <c r="K897" s="43"/>
      <c r="L897" s="49">
        <f>SUM(J897/M897)</f>
        <v>1731.08144643461</v>
      </c>
      <c r="M897" s="50">
        <v>295.9</v>
      </c>
      <c r="N897" s="44">
        <v>7.08</v>
      </c>
      <c r="O897" s="45">
        <f>SUM(M897*N897)</f>
        <v>2094.972</v>
      </c>
      <c r="P897" s="51"/>
      <c r="Q897" s="51"/>
      <c r="R897" s="74">
        <f t="shared" si="498"/>
        <v>1608.87073367374</v>
      </c>
      <c r="S897" s="74"/>
      <c r="T897" s="75">
        <f t="shared" si="499"/>
        <v>2.37785541521096</v>
      </c>
      <c r="U897" s="74"/>
      <c r="V897" s="74"/>
      <c r="W897" s="76">
        <f t="shared" si="493"/>
        <v>1611.24858908895</v>
      </c>
      <c r="X897" s="77">
        <f t="shared" si="500"/>
        <v>22.5788766460629</v>
      </c>
      <c r="Y897" s="77">
        <v>24.71</v>
      </c>
      <c r="Z897" s="77"/>
      <c r="AA897" s="77">
        <f t="shared" si="497"/>
        <v>47.2888766460629</v>
      </c>
      <c r="AB897" s="86">
        <v>7.08</v>
      </c>
      <c r="AC897" s="74">
        <f t="shared" si="494"/>
        <v>334.805246654125</v>
      </c>
      <c r="AD897" s="74">
        <f t="shared" si="495"/>
        <v>1946.05383574308</v>
      </c>
      <c r="AE897" s="74">
        <f t="shared" si="496"/>
        <v>148.91816425692</v>
      </c>
    </row>
    <row r="898" customFormat="1" spans="1:31">
      <c r="A898" s="18"/>
      <c r="B898" s="19"/>
      <c r="C898" s="20">
        <v>240926000034</v>
      </c>
      <c r="D898" s="21">
        <v>45568</v>
      </c>
      <c r="E898" s="21" t="s">
        <v>50</v>
      </c>
      <c r="F898" s="19" t="s">
        <v>51</v>
      </c>
      <c r="G898" s="19" t="s">
        <v>555</v>
      </c>
      <c r="H898" s="19">
        <v>1</v>
      </c>
      <c r="I898" s="41">
        <v>60</v>
      </c>
      <c r="J898" s="53"/>
      <c r="K898" s="43"/>
      <c r="L898" s="19"/>
      <c r="M898" s="43"/>
      <c r="N898" s="44"/>
      <c r="O898" s="45">
        <f t="shared" si="492"/>
        <v>60</v>
      </c>
      <c r="P898" s="51"/>
      <c r="Q898" s="51"/>
      <c r="R898" s="74">
        <f t="shared" si="498"/>
        <v>50.2772104273045</v>
      </c>
      <c r="S898" s="74"/>
      <c r="T898" s="75">
        <f t="shared" si="499"/>
        <v>0.0743079817253427</v>
      </c>
      <c r="U898" s="74"/>
      <c r="V898" s="74"/>
      <c r="W898" s="76">
        <f t="shared" si="493"/>
        <v>50.3515184090298</v>
      </c>
      <c r="X898" s="77">
        <f t="shared" si="500"/>
        <v>0.705589895189465</v>
      </c>
      <c r="Y898" s="77"/>
      <c r="Z898" s="77"/>
      <c r="AA898" s="77">
        <f t="shared" si="497"/>
        <v>0.705589895189465</v>
      </c>
      <c r="AB898" s="86">
        <v>7.08</v>
      </c>
      <c r="AC898" s="74">
        <f t="shared" si="494"/>
        <v>4.99557645794141</v>
      </c>
      <c r="AD898" s="74">
        <f t="shared" si="495"/>
        <v>55.3470948669712</v>
      </c>
      <c r="AE898" s="74">
        <f t="shared" si="496"/>
        <v>4.65290513302875</v>
      </c>
    </row>
    <row r="899" customFormat="1" spans="1:31">
      <c r="A899" s="18"/>
      <c r="B899" s="19"/>
      <c r="C899" s="20">
        <v>240926000043</v>
      </c>
      <c r="D899" s="21">
        <v>45568</v>
      </c>
      <c r="E899" s="21" t="s">
        <v>43</v>
      </c>
      <c r="F899" s="19" t="s">
        <v>44</v>
      </c>
      <c r="G899" s="19" t="s">
        <v>335</v>
      </c>
      <c r="H899" s="19">
        <v>3</v>
      </c>
      <c r="I899" s="41">
        <v>180</v>
      </c>
      <c r="J899" s="53"/>
      <c r="K899" s="43"/>
      <c r="L899" s="19"/>
      <c r="M899" s="43"/>
      <c r="N899" s="44"/>
      <c r="O899" s="45">
        <f t="shared" si="492"/>
        <v>180</v>
      </c>
      <c r="P899" s="51"/>
      <c r="Q899" s="51"/>
      <c r="R899" s="74">
        <f t="shared" si="498"/>
        <v>150.831631281913</v>
      </c>
      <c r="S899" s="74"/>
      <c r="T899" s="75">
        <f t="shared" si="499"/>
        <v>0.222923945176028</v>
      </c>
      <c r="U899" s="74"/>
      <c r="V899" s="74"/>
      <c r="W899" s="76">
        <f t="shared" si="493"/>
        <v>151.05455522709</v>
      </c>
      <c r="X899" s="77">
        <f t="shared" si="500"/>
        <v>2.1167696855684</v>
      </c>
      <c r="Y899" s="77"/>
      <c r="Z899" s="77"/>
      <c r="AA899" s="77">
        <f t="shared" si="497"/>
        <v>2.1167696855684</v>
      </c>
      <c r="AB899" s="86">
        <v>7.08</v>
      </c>
      <c r="AC899" s="74">
        <f t="shared" si="494"/>
        <v>14.9867293738242</v>
      </c>
      <c r="AD899" s="74">
        <f t="shared" si="495"/>
        <v>166.041284600914</v>
      </c>
      <c r="AE899" s="74">
        <f t="shared" si="496"/>
        <v>13.9587153990863</v>
      </c>
    </row>
    <row r="900" customFormat="1" spans="1:31">
      <c r="A900" s="18"/>
      <c r="B900" s="19"/>
      <c r="C900" s="20">
        <v>240927000001</v>
      </c>
      <c r="D900" s="21">
        <v>45568</v>
      </c>
      <c r="E900" s="21" t="s">
        <v>41</v>
      </c>
      <c r="F900" s="19" t="s">
        <v>68</v>
      </c>
      <c r="G900" s="19" t="s">
        <v>69</v>
      </c>
      <c r="H900" s="19">
        <v>10.5</v>
      </c>
      <c r="I900" s="41">
        <v>734.25</v>
      </c>
      <c r="J900" s="53"/>
      <c r="K900" s="43"/>
      <c r="L900" s="19"/>
      <c r="M900" s="43"/>
      <c r="N900" s="44"/>
      <c r="O900" s="45">
        <f t="shared" si="492"/>
        <v>734.25</v>
      </c>
      <c r="P900" s="51"/>
      <c r="Q900" s="51"/>
      <c r="R900" s="74">
        <f t="shared" si="498"/>
        <v>527.910709486697</v>
      </c>
      <c r="S900" s="74"/>
      <c r="T900" s="75">
        <f t="shared" si="499"/>
        <v>0.780233808116098</v>
      </c>
      <c r="U900" s="74"/>
      <c r="V900" s="74"/>
      <c r="W900" s="76">
        <f t="shared" si="493"/>
        <v>528.690943294813</v>
      </c>
      <c r="X900" s="77">
        <f t="shared" si="500"/>
        <v>7.40869389948938</v>
      </c>
      <c r="Y900" s="77"/>
      <c r="Z900" s="77"/>
      <c r="AA900" s="77">
        <f t="shared" si="497"/>
        <v>7.40869389948938</v>
      </c>
      <c r="AB900" s="86">
        <v>7.08</v>
      </c>
      <c r="AC900" s="74">
        <f t="shared" si="494"/>
        <v>52.4535528083848</v>
      </c>
      <c r="AD900" s="74">
        <f t="shared" si="495"/>
        <v>581.144496103198</v>
      </c>
      <c r="AE900" s="74">
        <f t="shared" si="496"/>
        <v>153.105503896802</v>
      </c>
    </row>
    <row r="901" customFormat="1" spans="1:31">
      <c r="A901" s="18"/>
      <c r="B901" s="19"/>
      <c r="C901" s="20">
        <v>240927000015</v>
      </c>
      <c r="D901" s="21">
        <v>45568</v>
      </c>
      <c r="E901" s="21" t="s">
        <v>41</v>
      </c>
      <c r="F901" s="19" t="s">
        <v>41</v>
      </c>
      <c r="G901" s="19" t="s">
        <v>183</v>
      </c>
      <c r="H901" s="19">
        <v>985</v>
      </c>
      <c r="I901" s="41">
        <v>66048</v>
      </c>
      <c r="J901" s="53"/>
      <c r="K901" s="43"/>
      <c r="L901" s="19"/>
      <c r="M901" s="43"/>
      <c r="N901" s="44"/>
      <c r="O901" s="45">
        <f t="shared" si="492"/>
        <v>66048</v>
      </c>
      <c r="P901" s="51"/>
      <c r="Q901" s="51"/>
      <c r="R901" s="74">
        <f t="shared" si="498"/>
        <v>49523.0522708949</v>
      </c>
      <c r="S901" s="74"/>
      <c r="T901" s="75">
        <f t="shared" si="499"/>
        <v>73.1933619994625</v>
      </c>
      <c r="U901" s="74"/>
      <c r="V901" s="74"/>
      <c r="W901" s="76">
        <f t="shared" si="493"/>
        <v>49596.2456328944</v>
      </c>
      <c r="X901" s="77">
        <f t="shared" si="500"/>
        <v>695.006046761623</v>
      </c>
      <c r="Y901" s="77"/>
      <c r="Z901" s="77"/>
      <c r="AA901" s="77">
        <f t="shared" si="497"/>
        <v>695.006046761623</v>
      </c>
      <c r="AB901" s="86">
        <v>7.08</v>
      </c>
      <c r="AC901" s="74">
        <f t="shared" si="494"/>
        <v>4920.64281107229</v>
      </c>
      <c r="AD901" s="74">
        <f t="shared" si="495"/>
        <v>54516.8884439667</v>
      </c>
      <c r="AE901" s="74">
        <f t="shared" si="496"/>
        <v>11531.1115560333</v>
      </c>
    </row>
    <row r="902" customFormat="1" spans="1:31">
      <c r="A902" s="18"/>
      <c r="B902" s="19"/>
      <c r="C902" s="20">
        <v>240927000019</v>
      </c>
      <c r="D902" s="21">
        <v>45568</v>
      </c>
      <c r="E902" s="21" t="s">
        <v>46</v>
      </c>
      <c r="F902" s="19" t="s">
        <v>47</v>
      </c>
      <c r="G902" s="19" t="s">
        <v>91</v>
      </c>
      <c r="H902" s="19">
        <v>8</v>
      </c>
      <c r="I902" s="41">
        <v>508.2</v>
      </c>
      <c r="J902" s="53"/>
      <c r="K902" s="43"/>
      <c r="L902" s="19"/>
      <c r="M902" s="43"/>
      <c r="N902" s="44"/>
      <c r="O902" s="45">
        <f t="shared" si="492"/>
        <v>508.2</v>
      </c>
      <c r="P902" s="51"/>
      <c r="Q902" s="51"/>
      <c r="R902" s="74">
        <f t="shared" si="498"/>
        <v>402.217683418436</v>
      </c>
      <c r="S902" s="74"/>
      <c r="T902" s="75">
        <f t="shared" si="499"/>
        <v>0.594463853802741</v>
      </c>
      <c r="U902" s="74"/>
      <c r="V902" s="74"/>
      <c r="W902" s="76">
        <f t="shared" si="493"/>
        <v>402.812147272239</v>
      </c>
      <c r="X902" s="77">
        <f t="shared" si="500"/>
        <v>5.64471916151572</v>
      </c>
      <c r="Y902" s="77"/>
      <c r="Z902" s="77"/>
      <c r="AA902" s="77">
        <f t="shared" si="497"/>
        <v>5.64471916151572</v>
      </c>
      <c r="AB902" s="86">
        <v>7.08</v>
      </c>
      <c r="AC902" s="74">
        <f t="shared" si="494"/>
        <v>39.9646116635313</v>
      </c>
      <c r="AD902" s="74">
        <f t="shared" si="495"/>
        <v>442.77675893577</v>
      </c>
      <c r="AE902" s="74">
        <f t="shared" si="496"/>
        <v>65.42324106423</v>
      </c>
    </row>
    <row r="903" customFormat="1" spans="1:31">
      <c r="A903" s="18"/>
      <c r="B903" s="19"/>
      <c r="C903" s="20">
        <v>240927000027</v>
      </c>
      <c r="D903" s="21">
        <v>45568</v>
      </c>
      <c r="E903" s="21" t="s">
        <v>50</v>
      </c>
      <c r="F903" s="19" t="s">
        <v>51</v>
      </c>
      <c r="G903" s="19" t="s">
        <v>114</v>
      </c>
      <c r="H903" s="19">
        <v>18</v>
      </c>
      <c r="I903" s="41">
        <v>1044</v>
      </c>
      <c r="J903" s="53"/>
      <c r="K903" s="43"/>
      <c r="L903" s="19"/>
      <c r="M903" s="43"/>
      <c r="N903" s="44"/>
      <c r="O903" s="45">
        <f t="shared" si="492"/>
        <v>1044</v>
      </c>
      <c r="P903" s="51"/>
      <c r="Q903" s="51"/>
      <c r="R903" s="74">
        <f t="shared" si="498"/>
        <v>904.989787691481</v>
      </c>
      <c r="S903" s="74"/>
      <c r="T903" s="75">
        <f t="shared" si="499"/>
        <v>1.33754367105617</v>
      </c>
      <c r="U903" s="74"/>
      <c r="V903" s="74"/>
      <c r="W903" s="76">
        <f t="shared" si="493"/>
        <v>906.327331362537</v>
      </c>
      <c r="X903" s="77">
        <f t="shared" si="500"/>
        <v>12.7006181134104</v>
      </c>
      <c r="Y903" s="77"/>
      <c r="Z903" s="77"/>
      <c r="AA903" s="77">
        <f t="shared" si="497"/>
        <v>12.7006181134104</v>
      </c>
      <c r="AB903" s="86">
        <v>7.08</v>
      </c>
      <c r="AC903" s="74">
        <f t="shared" si="494"/>
        <v>89.9203762429455</v>
      </c>
      <c r="AD903" s="74">
        <f t="shared" si="495"/>
        <v>996.247707605482</v>
      </c>
      <c r="AE903" s="74">
        <f t="shared" si="496"/>
        <v>47.7522923945176</v>
      </c>
    </row>
    <row r="904" customFormat="1" spans="1:31">
      <c r="A904" s="18"/>
      <c r="B904" s="19"/>
      <c r="C904" s="20">
        <v>240927000033</v>
      </c>
      <c r="D904" s="21">
        <v>45568</v>
      </c>
      <c r="E904" s="21" t="s">
        <v>50</v>
      </c>
      <c r="F904" s="19" t="s">
        <v>51</v>
      </c>
      <c r="G904" s="19" t="s">
        <v>116</v>
      </c>
      <c r="H904" s="19">
        <v>5</v>
      </c>
      <c r="I904" s="47"/>
      <c r="J904" s="54">
        <v>88645</v>
      </c>
      <c r="K904" s="43"/>
      <c r="L904" s="49">
        <f>SUM(J904/M904)</f>
        <v>1713.60912429925</v>
      </c>
      <c r="M904" s="50">
        <v>51.73</v>
      </c>
      <c r="N904" s="44">
        <v>7.08</v>
      </c>
      <c r="O904" s="45">
        <f>SUM(M904*N904)</f>
        <v>366.2484</v>
      </c>
      <c r="P904" s="51"/>
      <c r="Q904" s="51"/>
      <c r="R904" s="74">
        <f t="shared" si="498"/>
        <v>251.386052136522</v>
      </c>
      <c r="S904" s="74"/>
      <c r="T904" s="75">
        <f t="shared" si="499"/>
        <v>0.371539908626713</v>
      </c>
      <c r="U904" s="74"/>
      <c r="V904" s="74"/>
      <c r="W904" s="76">
        <f t="shared" si="493"/>
        <v>251.757592045149</v>
      </c>
      <c r="X904" s="77">
        <f t="shared" si="500"/>
        <v>3.52794947594733</v>
      </c>
      <c r="Y904" s="77"/>
      <c r="Z904" s="77"/>
      <c r="AA904" s="77">
        <f t="shared" si="497"/>
        <v>3.52794947594733</v>
      </c>
      <c r="AB904" s="86">
        <v>7.08</v>
      </c>
      <c r="AC904" s="74">
        <f t="shared" si="494"/>
        <v>24.9778822897071</v>
      </c>
      <c r="AD904" s="74">
        <f t="shared" si="495"/>
        <v>276.735474334856</v>
      </c>
      <c r="AE904" s="74">
        <f t="shared" si="496"/>
        <v>89.5129256651438</v>
      </c>
    </row>
    <row r="905" customFormat="1" spans="1:31">
      <c r="A905" s="18"/>
      <c r="B905" s="19"/>
      <c r="C905" s="20">
        <v>240927000037</v>
      </c>
      <c r="D905" s="21">
        <v>45568</v>
      </c>
      <c r="E905" s="21" t="s">
        <v>50</v>
      </c>
      <c r="F905" s="19" t="s">
        <v>51</v>
      </c>
      <c r="G905" s="19" t="s">
        <v>141</v>
      </c>
      <c r="H905" s="19">
        <v>7.5</v>
      </c>
      <c r="I905" s="41">
        <v>455</v>
      </c>
      <c r="J905" s="53"/>
      <c r="K905" s="43"/>
      <c r="L905" s="19"/>
      <c r="M905" s="43"/>
      <c r="N905" s="44"/>
      <c r="O905" s="45">
        <f t="shared" si="492"/>
        <v>455</v>
      </c>
      <c r="P905" s="51"/>
      <c r="Q905" s="51"/>
      <c r="R905" s="74">
        <f t="shared" si="498"/>
        <v>377.079078204784</v>
      </c>
      <c r="S905" s="74"/>
      <c r="T905" s="75">
        <f t="shared" si="499"/>
        <v>0.55730986294007</v>
      </c>
      <c r="U905" s="74"/>
      <c r="V905" s="74"/>
      <c r="W905" s="76">
        <f t="shared" si="493"/>
        <v>377.636388067724</v>
      </c>
      <c r="X905" s="77">
        <f t="shared" si="500"/>
        <v>5.29192421392099</v>
      </c>
      <c r="Y905" s="77"/>
      <c r="Z905" s="77"/>
      <c r="AA905" s="77">
        <f t="shared" si="497"/>
        <v>5.29192421392099</v>
      </c>
      <c r="AB905" s="86">
        <v>7.08</v>
      </c>
      <c r="AC905" s="74">
        <f t="shared" si="494"/>
        <v>37.4668234345606</v>
      </c>
      <c r="AD905" s="74">
        <f t="shared" si="495"/>
        <v>415.103211502284</v>
      </c>
      <c r="AE905" s="74">
        <f t="shared" si="496"/>
        <v>39.8967884977156</v>
      </c>
    </row>
    <row r="906" customFormat="1" spans="1:31">
      <c r="A906" s="18"/>
      <c r="B906" s="19"/>
      <c r="C906" s="20">
        <v>240927000040</v>
      </c>
      <c r="D906" s="21">
        <v>45568</v>
      </c>
      <c r="E906" s="21" t="s">
        <v>43</v>
      </c>
      <c r="F906" s="19" t="s">
        <v>44</v>
      </c>
      <c r="G906" s="19" t="s">
        <v>110</v>
      </c>
      <c r="H906" s="19">
        <v>1.5</v>
      </c>
      <c r="I906" s="41">
        <v>137.46</v>
      </c>
      <c r="J906" s="53"/>
      <c r="K906" s="43"/>
      <c r="L906" s="19"/>
      <c r="M906" s="43"/>
      <c r="N906" s="44"/>
      <c r="O906" s="45">
        <f t="shared" si="492"/>
        <v>137.46</v>
      </c>
      <c r="P906" s="51"/>
      <c r="Q906" s="51"/>
      <c r="R906" s="74">
        <f t="shared" si="498"/>
        <v>75.4158156409567</v>
      </c>
      <c r="S906" s="74"/>
      <c r="T906" s="75">
        <f t="shared" si="499"/>
        <v>0.111461972588014</v>
      </c>
      <c r="U906" s="74"/>
      <c r="V906" s="74"/>
      <c r="W906" s="76">
        <f t="shared" si="493"/>
        <v>75.5272776135448</v>
      </c>
      <c r="X906" s="77">
        <f t="shared" si="500"/>
        <v>1.0583848427842</v>
      </c>
      <c r="Y906" s="77"/>
      <c r="Z906" s="77"/>
      <c r="AA906" s="77">
        <f t="shared" si="497"/>
        <v>1.0583848427842</v>
      </c>
      <c r="AB906" s="86">
        <v>7.08</v>
      </c>
      <c r="AC906" s="74">
        <f t="shared" si="494"/>
        <v>7.49336468691212</v>
      </c>
      <c r="AD906" s="74">
        <f t="shared" si="495"/>
        <v>83.0206423004569</v>
      </c>
      <c r="AE906" s="74">
        <f t="shared" si="496"/>
        <v>54.4393576995431</v>
      </c>
    </row>
    <row r="907" customFormat="1" spans="1:31">
      <c r="A907" s="18"/>
      <c r="B907" s="19"/>
      <c r="C907" s="20">
        <v>240927000057</v>
      </c>
      <c r="D907" s="21">
        <v>45568</v>
      </c>
      <c r="E907" s="21" t="s">
        <v>46</v>
      </c>
      <c r="F907" s="19" t="s">
        <v>47</v>
      </c>
      <c r="G907" s="19" t="s">
        <v>205</v>
      </c>
      <c r="H907" s="19">
        <v>0.12</v>
      </c>
      <c r="I907" s="41">
        <v>75.9</v>
      </c>
      <c r="J907" s="53"/>
      <c r="K907" s="43"/>
      <c r="L907" s="19"/>
      <c r="M907" s="43"/>
      <c r="N907" s="44"/>
      <c r="O907" s="45">
        <f t="shared" si="492"/>
        <v>75.9</v>
      </c>
      <c r="P907" s="51"/>
      <c r="Q907" s="51"/>
      <c r="R907" s="74">
        <f t="shared" si="498"/>
        <v>6.03326525127654</v>
      </c>
      <c r="S907" s="74"/>
      <c r="T907" s="75">
        <f t="shared" si="499"/>
        <v>0.00891695780704112</v>
      </c>
      <c r="U907" s="74"/>
      <c r="V907" s="74"/>
      <c r="W907" s="76">
        <f t="shared" si="493"/>
        <v>6.04218220908358</v>
      </c>
      <c r="X907" s="77">
        <f t="shared" si="500"/>
        <v>0.0846707874227358</v>
      </c>
      <c r="Y907" s="77"/>
      <c r="Z907" s="77"/>
      <c r="AA907" s="77">
        <f t="shared" si="497"/>
        <v>0.0846707874227358</v>
      </c>
      <c r="AB907" s="86">
        <v>7.08</v>
      </c>
      <c r="AC907" s="74">
        <f t="shared" si="494"/>
        <v>0.59946917495297</v>
      </c>
      <c r="AD907" s="74">
        <f t="shared" si="495"/>
        <v>6.64165138403655</v>
      </c>
      <c r="AE907" s="74">
        <f t="shared" si="496"/>
        <v>69.2583486159635</v>
      </c>
    </row>
    <row r="908" customFormat="1" spans="1:31">
      <c r="A908" s="18"/>
      <c r="B908" s="19"/>
      <c r="C908" s="20">
        <v>240927000068</v>
      </c>
      <c r="D908" s="21">
        <v>45568</v>
      </c>
      <c r="E908" s="21" t="s">
        <v>41</v>
      </c>
      <c r="F908" s="19" t="s">
        <v>41</v>
      </c>
      <c r="G908" s="19" t="s">
        <v>187</v>
      </c>
      <c r="H908" s="19">
        <v>317</v>
      </c>
      <c r="I908" s="41">
        <v>17593.5</v>
      </c>
      <c r="J908" s="53"/>
      <c r="K908" s="43"/>
      <c r="L908" s="19"/>
      <c r="M908" s="43"/>
      <c r="N908" s="44"/>
      <c r="O908" s="45">
        <f t="shared" si="492"/>
        <v>17593.5</v>
      </c>
      <c r="P908" s="51"/>
      <c r="Q908" s="51"/>
      <c r="R908" s="74">
        <f t="shared" si="498"/>
        <v>15937.8757054555</v>
      </c>
      <c r="S908" s="74"/>
      <c r="T908" s="75">
        <f t="shared" si="499"/>
        <v>23.5556302069336</v>
      </c>
      <c r="U908" s="74"/>
      <c r="V908" s="74"/>
      <c r="W908" s="76">
        <f t="shared" si="493"/>
        <v>15961.4313356625</v>
      </c>
      <c r="X908" s="77">
        <f t="shared" si="500"/>
        <v>223.67199677506</v>
      </c>
      <c r="Y908" s="77"/>
      <c r="Z908" s="77"/>
      <c r="AA908" s="77">
        <f t="shared" si="497"/>
        <v>223.67199677506</v>
      </c>
      <c r="AB908" s="86">
        <v>7.08</v>
      </c>
      <c r="AC908" s="74">
        <f t="shared" ref="AC908:AC939" si="501">SUM(AA908*AB908)</f>
        <v>1583.59773716743</v>
      </c>
      <c r="AD908" s="74">
        <f t="shared" si="495"/>
        <v>17545.0290728299</v>
      </c>
      <c r="AE908" s="74">
        <f t="shared" si="496"/>
        <v>48.470927170114</v>
      </c>
    </row>
    <row r="909" customFormat="1" spans="1:31">
      <c r="A909" s="18"/>
      <c r="B909" s="19"/>
      <c r="C909" s="20">
        <v>240927000069</v>
      </c>
      <c r="D909" s="21">
        <v>45568</v>
      </c>
      <c r="E909" s="21" t="s">
        <v>41</v>
      </c>
      <c r="F909" s="19" t="s">
        <v>41</v>
      </c>
      <c r="G909" s="19" t="s">
        <v>187</v>
      </c>
      <c r="H909" s="19">
        <v>942</v>
      </c>
      <c r="I909" s="41">
        <v>52281</v>
      </c>
      <c r="J909" s="53"/>
      <c r="K909" s="43"/>
      <c r="L909" s="19"/>
      <c r="M909" s="43"/>
      <c r="N909" s="44"/>
      <c r="O909" s="45">
        <f t="shared" si="492"/>
        <v>52281</v>
      </c>
      <c r="P909" s="52"/>
      <c r="Q909" s="52"/>
      <c r="R909" s="74">
        <f t="shared" si="498"/>
        <v>47361.1322225208</v>
      </c>
      <c r="S909" s="74"/>
      <c r="T909" s="75">
        <f t="shared" si="499"/>
        <v>69.9981187852728</v>
      </c>
      <c r="U909" s="74"/>
      <c r="V909" s="74"/>
      <c r="W909" s="76">
        <f t="shared" ref="W909:W940" si="502">SUM(R909:V909)</f>
        <v>47431.1303413061</v>
      </c>
      <c r="X909" s="77">
        <f t="shared" si="500"/>
        <v>664.665681268476</v>
      </c>
      <c r="Y909" s="77"/>
      <c r="Z909" s="77"/>
      <c r="AA909" s="77">
        <f t="shared" ref="AA909:AA940" si="503">SUM(X909:Z909)</f>
        <v>664.665681268476</v>
      </c>
      <c r="AB909" s="86">
        <v>7.08</v>
      </c>
      <c r="AC909" s="74">
        <f t="shared" si="501"/>
        <v>4705.83302338081</v>
      </c>
      <c r="AD909" s="74">
        <f t="shared" ref="AD909:AD940" si="504">SUM(W909+AC909)</f>
        <v>52136.9633646869</v>
      </c>
      <c r="AE909" s="74">
        <f t="shared" ref="AE909:AE940" si="505">SUM(O909-AD909)</f>
        <v>144.036635313081</v>
      </c>
    </row>
    <row r="910" customFormat="1" spans="1:31">
      <c r="A910" s="18" t="s">
        <v>556</v>
      </c>
      <c r="B910" s="19" t="s">
        <v>557</v>
      </c>
      <c r="C910" s="20">
        <v>240920000022</v>
      </c>
      <c r="D910" s="21">
        <v>45567</v>
      </c>
      <c r="E910" s="21" t="s">
        <v>46</v>
      </c>
      <c r="F910" s="19" t="s">
        <v>47</v>
      </c>
      <c r="G910" s="19" t="s">
        <v>508</v>
      </c>
      <c r="H910" s="19">
        <v>17</v>
      </c>
      <c r="I910" s="41">
        <v>1054</v>
      </c>
      <c r="J910" s="53"/>
      <c r="K910" s="101"/>
      <c r="L910" s="19"/>
      <c r="M910" s="43"/>
      <c r="N910" s="44"/>
      <c r="O910" s="45">
        <f t="shared" si="492"/>
        <v>1054</v>
      </c>
      <c r="P910" s="46">
        <f>SUM(O910:O974)</f>
        <v>89467.2719646</v>
      </c>
      <c r="Q910" s="46" t="s">
        <v>85</v>
      </c>
      <c r="R910" s="74">
        <f>SUM(64206/1504)*H910</f>
        <v>725.732712765957</v>
      </c>
      <c r="S910" s="74"/>
      <c r="T910" s="75">
        <f>SUM(221.75/1504)*H910</f>
        <v>2.50648271276596</v>
      </c>
      <c r="U910" s="74"/>
      <c r="V910" s="74"/>
      <c r="W910" s="76">
        <f t="shared" si="502"/>
        <v>728.239195478723</v>
      </c>
      <c r="X910" s="77">
        <f>SUM(1080.95/1504)*H910</f>
        <v>12.2181848404255</v>
      </c>
      <c r="Y910" s="77"/>
      <c r="Z910" s="77"/>
      <c r="AA910" s="77">
        <f t="shared" si="503"/>
        <v>12.2181848404255</v>
      </c>
      <c r="AB910" s="86">
        <v>7.08</v>
      </c>
      <c r="AC910" s="74">
        <f t="shared" si="501"/>
        <v>86.5047486702128</v>
      </c>
      <c r="AD910" s="74">
        <f t="shared" si="504"/>
        <v>814.743944148936</v>
      </c>
      <c r="AE910" s="74">
        <f t="shared" si="505"/>
        <v>239.256055851064</v>
      </c>
    </row>
    <row r="911" customFormat="1" spans="1:31">
      <c r="A911" s="18"/>
      <c r="B911" s="19"/>
      <c r="C911" s="20">
        <v>240920000041</v>
      </c>
      <c r="D911" s="21">
        <v>45567</v>
      </c>
      <c r="E911" s="21" t="s">
        <v>46</v>
      </c>
      <c r="F911" s="19" t="s">
        <v>47</v>
      </c>
      <c r="G911" s="19" t="s">
        <v>272</v>
      </c>
      <c r="H911" s="19">
        <v>3</v>
      </c>
      <c r="I911" s="45"/>
      <c r="J911" s="54">
        <v>44170.6</v>
      </c>
      <c r="K911" s="101"/>
      <c r="L911" s="49">
        <f>SUM(J911/M911)</f>
        <v>1739</v>
      </c>
      <c r="M911" s="50">
        <v>25.4</v>
      </c>
      <c r="N911" s="44">
        <v>7.08</v>
      </c>
      <c r="O911" s="45">
        <f>SUM(M911*N911)</f>
        <v>179.832</v>
      </c>
      <c r="P911" s="51"/>
      <c r="Q911" s="51"/>
      <c r="R911" s="74">
        <f t="shared" ref="R911:R942" si="506">SUM(64206/1504)*H911</f>
        <v>128.070478723404</v>
      </c>
      <c r="S911" s="74"/>
      <c r="T911" s="75">
        <f t="shared" ref="T911:T942" si="507">SUM(221.75/1504)*H911</f>
        <v>0.442320478723404</v>
      </c>
      <c r="U911" s="74"/>
      <c r="V911" s="74"/>
      <c r="W911" s="76">
        <f t="shared" si="502"/>
        <v>128.512799202128</v>
      </c>
      <c r="X911" s="77">
        <f t="shared" ref="X911:X942" si="508">SUM(1080.95/1504)*H911</f>
        <v>2.15615026595745</v>
      </c>
      <c r="Y911" s="77"/>
      <c r="Z911" s="77"/>
      <c r="AA911" s="77">
        <f t="shared" si="503"/>
        <v>2.15615026595745</v>
      </c>
      <c r="AB911" s="86">
        <v>7.08</v>
      </c>
      <c r="AC911" s="74">
        <f t="shared" si="501"/>
        <v>15.2655438829787</v>
      </c>
      <c r="AD911" s="74">
        <f t="shared" si="504"/>
        <v>143.778343085106</v>
      </c>
      <c r="AE911" s="74">
        <f t="shared" si="505"/>
        <v>36.0536569148936</v>
      </c>
    </row>
    <row r="912" customFormat="1" spans="1:31">
      <c r="A912" s="18"/>
      <c r="B912" s="19"/>
      <c r="C912" s="20">
        <v>240922000004</v>
      </c>
      <c r="D912" s="21">
        <v>45567</v>
      </c>
      <c r="E912" s="21" t="s">
        <v>46</v>
      </c>
      <c r="F912" s="19" t="s">
        <v>47</v>
      </c>
      <c r="G912" s="19" t="s">
        <v>128</v>
      </c>
      <c r="H912" s="19">
        <v>39</v>
      </c>
      <c r="I912" s="41">
        <v>2273</v>
      </c>
      <c r="J912" s="53"/>
      <c r="K912" s="101"/>
      <c r="L912" s="19"/>
      <c r="M912" s="43"/>
      <c r="N912" s="44"/>
      <c r="O912" s="45">
        <f t="shared" ref="O912:O916" si="509">SUM(I912)</f>
        <v>2273</v>
      </c>
      <c r="P912" s="51"/>
      <c r="Q912" s="51"/>
      <c r="R912" s="74">
        <f t="shared" si="506"/>
        <v>1664.91622340426</v>
      </c>
      <c r="S912" s="74"/>
      <c r="T912" s="75">
        <f t="shared" si="507"/>
        <v>5.75016622340426</v>
      </c>
      <c r="U912" s="74">
        <v>120</v>
      </c>
      <c r="V912" s="74"/>
      <c r="W912" s="76">
        <f t="shared" si="502"/>
        <v>1790.66638962766</v>
      </c>
      <c r="X912" s="77">
        <f t="shared" si="508"/>
        <v>28.0299534574468</v>
      </c>
      <c r="Y912" s="77"/>
      <c r="Z912" s="77"/>
      <c r="AA912" s="77">
        <f t="shared" si="503"/>
        <v>28.0299534574468</v>
      </c>
      <c r="AB912" s="86">
        <v>7.08</v>
      </c>
      <c r="AC912" s="74">
        <f t="shared" si="501"/>
        <v>198.452070478723</v>
      </c>
      <c r="AD912" s="74">
        <f t="shared" si="504"/>
        <v>1989.11846010638</v>
      </c>
      <c r="AE912" s="74">
        <f t="shared" si="505"/>
        <v>283.881539893617</v>
      </c>
    </row>
    <row r="913" customFormat="1" spans="1:31">
      <c r="A913" s="18"/>
      <c r="B913" s="19"/>
      <c r="C913" s="20">
        <v>240922000014</v>
      </c>
      <c r="D913" s="21">
        <v>45567</v>
      </c>
      <c r="E913" s="21" t="s">
        <v>50</v>
      </c>
      <c r="F913" s="19" t="s">
        <v>51</v>
      </c>
      <c r="G913" s="19" t="s">
        <v>558</v>
      </c>
      <c r="H913" s="19">
        <v>11</v>
      </c>
      <c r="I913" s="41">
        <v>558</v>
      </c>
      <c r="J913" s="53"/>
      <c r="K913" s="101"/>
      <c r="L913" s="19"/>
      <c r="M913" s="43"/>
      <c r="N913" s="44"/>
      <c r="O913" s="45">
        <f t="shared" si="509"/>
        <v>558</v>
      </c>
      <c r="P913" s="51"/>
      <c r="Q913" s="51"/>
      <c r="R913" s="74">
        <f t="shared" si="506"/>
        <v>469.591755319149</v>
      </c>
      <c r="S913" s="74"/>
      <c r="T913" s="75">
        <f t="shared" si="507"/>
        <v>1.62184175531915</v>
      </c>
      <c r="U913" s="74"/>
      <c r="V913" s="74"/>
      <c r="W913" s="76">
        <f t="shared" si="502"/>
        <v>471.213597074468</v>
      </c>
      <c r="X913" s="77">
        <f t="shared" si="508"/>
        <v>7.90588430851064</v>
      </c>
      <c r="Y913" s="77"/>
      <c r="Z913" s="77"/>
      <c r="AA913" s="77">
        <f t="shared" si="503"/>
        <v>7.90588430851064</v>
      </c>
      <c r="AB913" s="86">
        <v>7.08</v>
      </c>
      <c r="AC913" s="74">
        <f t="shared" si="501"/>
        <v>55.9736609042553</v>
      </c>
      <c r="AD913" s="74">
        <f t="shared" si="504"/>
        <v>527.187257978723</v>
      </c>
      <c r="AE913" s="74">
        <f t="shared" si="505"/>
        <v>30.8127420212767</v>
      </c>
    </row>
    <row r="914" customFormat="1" spans="1:31">
      <c r="A914" s="18"/>
      <c r="B914" s="19"/>
      <c r="C914" s="20">
        <v>240923000005</v>
      </c>
      <c r="D914" s="21">
        <v>45567</v>
      </c>
      <c r="E914" s="21" t="s">
        <v>50</v>
      </c>
      <c r="F914" s="19" t="s">
        <v>51</v>
      </c>
      <c r="G914" s="19" t="s">
        <v>181</v>
      </c>
      <c r="H914" s="19">
        <v>0.67</v>
      </c>
      <c r="I914" s="41">
        <v>69</v>
      </c>
      <c r="J914" s="53"/>
      <c r="K914" s="101"/>
      <c r="L914" s="19"/>
      <c r="M914" s="43"/>
      <c r="N914" s="44"/>
      <c r="O914" s="45">
        <f t="shared" si="509"/>
        <v>69</v>
      </c>
      <c r="P914" s="51"/>
      <c r="Q914" s="51"/>
      <c r="R914" s="74">
        <f t="shared" si="506"/>
        <v>28.6024069148936</v>
      </c>
      <c r="S914" s="74"/>
      <c r="T914" s="75">
        <f t="shared" si="507"/>
        <v>0.0987849069148936</v>
      </c>
      <c r="U914" s="74"/>
      <c r="V914" s="74"/>
      <c r="W914" s="76">
        <f t="shared" si="502"/>
        <v>28.7011918218085</v>
      </c>
      <c r="X914" s="77">
        <f t="shared" si="508"/>
        <v>0.48154022606383</v>
      </c>
      <c r="Y914" s="77"/>
      <c r="Z914" s="77"/>
      <c r="AA914" s="77">
        <f t="shared" si="503"/>
        <v>0.48154022606383</v>
      </c>
      <c r="AB914" s="86">
        <v>7.08</v>
      </c>
      <c r="AC914" s="74">
        <f t="shared" si="501"/>
        <v>3.40930480053191</v>
      </c>
      <c r="AD914" s="74">
        <f t="shared" si="504"/>
        <v>32.1104966223404</v>
      </c>
      <c r="AE914" s="74">
        <f t="shared" si="505"/>
        <v>36.8895033776596</v>
      </c>
    </row>
    <row r="915" customFormat="1" spans="1:31">
      <c r="A915" s="18"/>
      <c r="B915" s="19"/>
      <c r="C915" s="20">
        <v>240923000007</v>
      </c>
      <c r="D915" s="21">
        <v>45567</v>
      </c>
      <c r="E915" s="21" t="s">
        <v>50</v>
      </c>
      <c r="F915" s="19" t="s">
        <v>51</v>
      </c>
      <c r="G915" s="19" t="s">
        <v>532</v>
      </c>
      <c r="H915" s="19">
        <v>2.5</v>
      </c>
      <c r="I915" s="41">
        <v>168</v>
      </c>
      <c r="J915" s="53"/>
      <c r="K915" s="101"/>
      <c r="L915" s="19"/>
      <c r="M915" s="43"/>
      <c r="N915" s="44"/>
      <c r="O915" s="45">
        <f t="shared" si="509"/>
        <v>168</v>
      </c>
      <c r="P915" s="51"/>
      <c r="Q915" s="51"/>
      <c r="R915" s="74">
        <f t="shared" si="506"/>
        <v>106.72539893617</v>
      </c>
      <c r="S915" s="74"/>
      <c r="T915" s="75">
        <f t="shared" si="507"/>
        <v>0.36860039893617</v>
      </c>
      <c r="U915" s="74"/>
      <c r="V915" s="74"/>
      <c r="W915" s="76">
        <f t="shared" si="502"/>
        <v>107.093999335106</v>
      </c>
      <c r="X915" s="77">
        <f t="shared" si="508"/>
        <v>1.79679188829787</v>
      </c>
      <c r="Y915" s="77"/>
      <c r="Z915" s="77"/>
      <c r="AA915" s="77">
        <f t="shared" si="503"/>
        <v>1.79679188829787</v>
      </c>
      <c r="AB915" s="86">
        <v>7.08</v>
      </c>
      <c r="AC915" s="74">
        <f t="shared" si="501"/>
        <v>12.7212865691489</v>
      </c>
      <c r="AD915" s="74">
        <f t="shared" si="504"/>
        <v>119.815285904255</v>
      </c>
      <c r="AE915" s="74">
        <f t="shared" si="505"/>
        <v>48.1847140957447</v>
      </c>
    </row>
    <row r="916" customFormat="1" spans="1:31">
      <c r="A916" s="18"/>
      <c r="B916" s="19"/>
      <c r="C916" s="20">
        <v>240923000017</v>
      </c>
      <c r="D916" s="21">
        <v>45567</v>
      </c>
      <c r="E916" s="21" t="s">
        <v>62</v>
      </c>
      <c r="F916" s="19" t="s">
        <v>63</v>
      </c>
      <c r="G916" s="19" t="s">
        <v>436</v>
      </c>
      <c r="H916" s="19">
        <v>3.5</v>
      </c>
      <c r="I916" s="41">
        <v>213</v>
      </c>
      <c r="J916" s="53"/>
      <c r="K916" s="101"/>
      <c r="L916" s="19"/>
      <c r="M916" s="43"/>
      <c r="N916" s="44"/>
      <c r="O916" s="45">
        <f t="shared" si="509"/>
        <v>213</v>
      </c>
      <c r="P916" s="51"/>
      <c r="Q916" s="51"/>
      <c r="R916" s="74">
        <f t="shared" si="506"/>
        <v>149.415558510638</v>
      </c>
      <c r="S916" s="74"/>
      <c r="T916" s="75">
        <f t="shared" si="507"/>
        <v>0.516040558510638</v>
      </c>
      <c r="U916" s="74"/>
      <c r="V916" s="74"/>
      <c r="W916" s="76">
        <f t="shared" si="502"/>
        <v>149.931599069149</v>
      </c>
      <c r="X916" s="77">
        <f t="shared" si="508"/>
        <v>2.51550864361702</v>
      </c>
      <c r="Y916" s="77"/>
      <c r="Z916" s="77"/>
      <c r="AA916" s="77">
        <f t="shared" si="503"/>
        <v>2.51550864361702</v>
      </c>
      <c r="AB916" s="86">
        <v>7.08</v>
      </c>
      <c r="AC916" s="74">
        <f t="shared" si="501"/>
        <v>17.8098011968085</v>
      </c>
      <c r="AD916" s="74">
        <f t="shared" si="504"/>
        <v>167.741400265957</v>
      </c>
      <c r="AE916" s="74">
        <f t="shared" si="505"/>
        <v>45.2585997340426</v>
      </c>
    </row>
    <row r="917" customFormat="1" spans="1:31">
      <c r="A917" s="18"/>
      <c r="B917" s="19"/>
      <c r="C917" s="20">
        <v>240923000023</v>
      </c>
      <c r="D917" s="21">
        <v>45567</v>
      </c>
      <c r="E917" s="21" t="s">
        <v>62</v>
      </c>
      <c r="F917" s="19" t="s">
        <v>63</v>
      </c>
      <c r="G917" s="19" t="s">
        <v>199</v>
      </c>
      <c r="H917" s="19">
        <v>3</v>
      </c>
      <c r="I917" s="47"/>
      <c r="J917" s="54">
        <v>44286</v>
      </c>
      <c r="K917" s="101"/>
      <c r="L917" s="49">
        <f>SUM(J917/M917)</f>
        <v>1713.85448916409</v>
      </c>
      <c r="M917" s="50">
        <v>25.84</v>
      </c>
      <c r="N917" s="44">
        <v>7.08</v>
      </c>
      <c r="O917" s="45">
        <f>SUM(M917*N917)</f>
        <v>182.9472</v>
      </c>
      <c r="P917" s="51"/>
      <c r="Q917" s="51"/>
      <c r="R917" s="74">
        <f t="shared" si="506"/>
        <v>128.070478723404</v>
      </c>
      <c r="S917" s="74"/>
      <c r="T917" s="75">
        <f t="shared" si="507"/>
        <v>0.442320478723404</v>
      </c>
      <c r="U917" s="74"/>
      <c r="V917" s="74"/>
      <c r="W917" s="76">
        <f t="shared" si="502"/>
        <v>128.512799202128</v>
      </c>
      <c r="X917" s="77">
        <f t="shared" si="508"/>
        <v>2.15615026595745</v>
      </c>
      <c r="Y917" s="77"/>
      <c r="Z917" s="77"/>
      <c r="AA917" s="77">
        <f t="shared" si="503"/>
        <v>2.15615026595745</v>
      </c>
      <c r="AB917" s="86">
        <v>7.08</v>
      </c>
      <c r="AC917" s="74">
        <f t="shared" si="501"/>
        <v>15.2655438829787</v>
      </c>
      <c r="AD917" s="74">
        <f t="shared" si="504"/>
        <v>143.778343085106</v>
      </c>
      <c r="AE917" s="74">
        <f t="shared" si="505"/>
        <v>39.1688569148936</v>
      </c>
    </row>
    <row r="918" customFormat="1" spans="1:31">
      <c r="A918" s="18"/>
      <c r="B918" s="19"/>
      <c r="C918" s="20">
        <v>240923000030</v>
      </c>
      <c r="D918" s="21">
        <v>45567</v>
      </c>
      <c r="E918" s="21" t="s">
        <v>43</v>
      </c>
      <c r="F918" s="19" t="s">
        <v>44</v>
      </c>
      <c r="G918" s="19" t="s">
        <v>467</v>
      </c>
      <c r="H918" s="19">
        <v>10.5</v>
      </c>
      <c r="I918" s="41">
        <v>667</v>
      </c>
      <c r="J918" s="53"/>
      <c r="K918" s="101"/>
      <c r="L918" s="19"/>
      <c r="M918" s="43"/>
      <c r="N918" s="44"/>
      <c r="O918" s="45">
        <f t="shared" ref="O918:O926" si="510">SUM(I918)</f>
        <v>667</v>
      </c>
      <c r="P918" s="51"/>
      <c r="Q918" s="51"/>
      <c r="R918" s="74">
        <f t="shared" si="506"/>
        <v>448.246675531915</v>
      </c>
      <c r="S918" s="74"/>
      <c r="T918" s="75">
        <f t="shared" si="507"/>
        <v>1.54812167553191</v>
      </c>
      <c r="U918" s="74"/>
      <c r="V918" s="74"/>
      <c r="W918" s="76">
        <f t="shared" si="502"/>
        <v>449.794797207447</v>
      </c>
      <c r="X918" s="77">
        <f t="shared" si="508"/>
        <v>7.54652593085106</v>
      </c>
      <c r="Y918" s="77"/>
      <c r="Z918" s="77"/>
      <c r="AA918" s="77">
        <f t="shared" si="503"/>
        <v>7.54652593085106</v>
      </c>
      <c r="AB918" s="86">
        <v>7.08</v>
      </c>
      <c r="AC918" s="74">
        <f t="shared" si="501"/>
        <v>53.4294035904255</v>
      </c>
      <c r="AD918" s="74">
        <f t="shared" si="504"/>
        <v>503.224200797872</v>
      </c>
      <c r="AE918" s="74">
        <f t="shared" si="505"/>
        <v>163.775799202128</v>
      </c>
    </row>
    <row r="919" customFormat="1" spans="1:31">
      <c r="A919" s="18"/>
      <c r="B919" s="19"/>
      <c r="C919" s="20">
        <v>240923000032</v>
      </c>
      <c r="D919" s="21">
        <v>45567</v>
      </c>
      <c r="E919" s="21" t="s">
        <v>46</v>
      </c>
      <c r="F919" s="19" t="s">
        <v>47</v>
      </c>
      <c r="G919" s="19" t="s">
        <v>559</v>
      </c>
      <c r="H919" s="19">
        <v>3.5</v>
      </c>
      <c r="I919" s="41">
        <v>234</v>
      </c>
      <c r="J919" s="53"/>
      <c r="K919" s="101"/>
      <c r="L919" s="19"/>
      <c r="M919" s="43"/>
      <c r="N919" s="44"/>
      <c r="O919" s="45">
        <f t="shared" si="510"/>
        <v>234</v>
      </c>
      <c r="P919" s="51"/>
      <c r="Q919" s="51"/>
      <c r="R919" s="74">
        <f t="shared" si="506"/>
        <v>149.415558510638</v>
      </c>
      <c r="S919" s="74"/>
      <c r="T919" s="75">
        <f t="shared" si="507"/>
        <v>0.516040558510638</v>
      </c>
      <c r="U919" s="74"/>
      <c r="V919" s="74"/>
      <c r="W919" s="76">
        <f t="shared" si="502"/>
        <v>149.931599069149</v>
      </c>
      <c r="X919" s="77">
        <f t="shared" si="508"/>
        <v>2.51550864361702</v>
      </c>
      <c r="Y919" s="77"/>
      <c r="Z919" s="77"/>
      <c r="AA919" s="77">
        <f t="shared" si="503"/>
        <v>2.51550864361702</v>
      </c>
      <c r="AB919" s="86">
        <v>7.08</v>
      </c>
      <c r="AC919" s="74">
        <f t="shared" si="501"/>
        <v>17.8098011968085</v>
      </c>
      <c r="AD919" s="74">
        <f t="shared" si="504"/>
        <v>167.741400265957</v>
      </c>
      <c r="AE919" s="74">
        <f t="shared" si="505"/>
        <v>66.2585997340426</v>
      </c>
    </row>
    <row r="920" customFormat="1" spans="1:31">
      <c r="A920" s="18"/>
      <c r="B920" s="19"/>
      <c r="C920" s="20">
        <v>240923000044</v>
      </c>
      <c r="D920" s="21">
        <v>45567</v>
      </c>
      <c r="E920" s="21" t="s">
        <v>50</v>
      </c>
      <c r="F920" s="19" t="s">
        <v>51</v>
      </c>
      <c r="G920" s="19" t="s">
        <v>87</v>
      </c>
      <c r="H920" s="19">
        <v>2.5</v>
      </c>
      <c r="I920" s="55"/>
      <c r="J920" s="54">
        <v>33687.5</v>
      </c>
      <c r="K920" s="101"/>
      <c r="L920" s="49">
        <f>SUM(J920/M920)</f>
        <v>1734.6807415036</v>
      </c>
      <c r="M920" s="50">
        <v>19.42</v>
      </c>
      <c r="N920" s="44">
        <v>7.08</v>
      </c>
      <c r="O920" s="45">
        <f>SUM(M920*N920)</f>
        <v>137.4936</v>
      </c>
      <c r="P920" s="51"/>
      <c r="Q920" s="51"/>
      <c r="R920" s="74">
        <f t="shared" si="506"/>
        <v>106.72539893617</v>
      </c>
      <c r="S920" s="74"/>
      <c r="T920" s="75">
        <f t="shared" si="507"/>
        <v>0.36860039893617</v>
      </c>
      <c r="U920" s="74"/>
      <c r="V920" s="74"/>
      <c r="W920" s="76">
        <f t="shared" si="502"/>
        <v>107.093999335106</v>
      </c>
      <c r="X920" s="77">
        <f t="shared" si="508"/>
        <v>1.79679188829787</v>
      </c>
      <c r="Y920" s="77"/>
      <c r="Z920" s="77"/>
      <c r="AA920" s="77">
        <f t="shared" si="503"/>
        <v>1.79679188829787</v>
      </c>
      <c r="AB920" s="86">
        <v>7.08</v>
      </c>
      <c r="AC920" s="74">
        <f t="shared" si="501"/>
        <v>12.7212865691489</v>
      </c>
      <c r="AD920" s="74">
        <f t="shared" si="504"/>
        <v>119.815285904255</v>
      </c>
      <c r="AE920" s="74">
        <f t="shared" si="505"/>
        <v>17.6783140957447</v>
      </c>
    </row>
    <row r="921" customFormat="1" spans="1:31">
      <c r="A921" s="18"/>
      <c r="B921" s="19"/>
      <c r="C921" s="20">
        <v>240923000051</v>
      </c>
      <c r="D921" s="21">
        <v>45567</v>
      </c>
      <c r="E921" s="21" t="s">
        <v>62</v>
      </c>
      <c r="F921" s="19" t="s">
        <v>63</v>
      </c>
      <c r="G921" s="19" t="s">
        <v>560</v>
      </c>
      <c r="H921" s="19">
        <v>8.5</v>
      </c>
      <c r="I921" s="41">
        <v>636.5</v>
      </c>
      <c r="J921" s="53"/>
      <c r="K921" s="101"/>
      <c r="L921" s="19"/>
      <c r="M921" s="43"/>
      <c r="N921" s="44"/>
      <c r="O921" s="45">
        <f t="shared" si="510"/>
        <v>636.5</v>
      </c>
      <c r="P921" s="51"/>
      <c r="Q921" s="51"/>
      <c r="R921" s="74">
        <f t="shared" si="506"/>
        <v>362.866356382979</v>
      </c>
      <c r="S921" s="74"/>
      <c r="T921" s="75">
        <f t="shared" si="507"/>
        <v>1.25324135638298</v>
      </c>
      <c r="U921" s="74"/>
      <c r="V921" s="74"/>
      <c r="W921" s="76">
        <f t="shared" si="502"/>
        <v>364.119597739362</v>
      </c>
      <c r="X921" s="77">
        <f t="shared" si="508"/>
        <v>6.10909242021277</v>
      </c>
      <c r="Y921" s="77"/>
      <c r="Z921" s="77"/>
      <c r="AA921" s="77">
        <f t="shared" si="503"/>
        <v>6.10909242021277</v>
      </c>
      <c r="AB921" s="86">
        <v>7.08</v>
      </c>
      <c r="AC921" s="74">
        <f t="shared" si="501"/>
        <v>43.2523743351064</v>
      </c>
      <c r="AD921" s="74">
        <f t="shared" si="504"/>
        <v>407.371972074468</v>
      </c>
      <c r="AE921" s="74">
        <f t="shared" si="505"/>
        <v>229.128027925532</v>
      </c>
    </row>
    <row r="922" customFormat="1" spans="1:31">
      <c r="A922" s="18"/>
      <c r="B922" s="19"/>
      <c r="C922" s="20">
        <v>240923000055</v>
      </c>
      <c r="D922" s="21">
        <v>45567</v>
      </c>
      <c r="E922" s="21" t="s">
        <v>50</v>
      </c>
      <c r="F922" s="19" t="s">
        <v>51</v>
      </c>
      <c r="G922" s="19" t="s">
        <v>561</v>
      </c>
      <c r="H922" s="19">
        <v>2.5</v>
      </c>
      <c r="I922" s="41">
        <v>165</v>
      </c>
      <c r="J922" s="53"/>
      <c r="K922" s="101"/>
      <c r="L922" s="19"/>
      <c r="M922" s="43"/>
      <c r="N922" s="44"/>
      <c r="O922" s="45">
        <f t="shared" si="510"/>
        <v>165</v>
      </c>
      <c r="P922" s="51"/>
      <c r="Q922" s="51"/>
      <c r="R922" s="74">
        <f t="shared" si="506"/>
        <v>106.72539893617</v>
      </c>
      <c r="S922" s="74"/>
      <c r="T922" s="75">
        <f t="shared" si="507"/>
        <v>0.36860039893617</v>
      </c>
      <c r="U922" s="74"/>
      <c r="V922" s="74"/>
      <c r="W922" s="76">
        <f t="shared" si="502"/>
        <v>107.093999335106</v>
      </c>
      <c r="X922" s="77">
        <f t="shared" si="508"/>
        <v>1.79679188829787</v>
      </c>
      <c r="Y922" s="77"/>
      <c r="Z922" s="77"/>
      <c r="AA922" s="77">
        <f t="shared" si="503"/>
        <v>1.79679188829787</v>
      </c>
      <c r="AB922" s="86">
        <v>7.08</v>
      </c>
      <c r="AC922" s="74">
        <f t="shared" si="501"/>
        <v>12.7212865691489</v>
      </c>
      <c r="AD922" s="74">
        <f t="shared" si="504"/>
        <v>119.815285904255</v>
      </c>
      <c r="AE922" s="74">
        <f t="shared" si="505"/>
        <v>45.1847140957447</v>
      </c>
    </row>
    <row r="923" customFormat="1" spans="1:31">
      <c r="A923" s="18"/>
      <c r="B923" s="19"/>
      <c r="C923" s="20">
        <v>240924000014</v>
      </c>
      <c r="D923" s="21">
        <v>45567</v>
      </c>
      <c r="E923" s="21" t="s">
        <v>43</v>
      </c>
      <c r="F923" s="19" t="s">
        <v>44</v>
      </c>
      <c r="G923" s="19" t="s">
        <v>562</v>
      </c>
      <c r="H923" s="19">
        <v>3</v>
      </c>
      <c r="I923" s="41">
        <v>183</v>
      </c>
      <c r="J923" s="53"/>
      <c r="K923" s="101"/>
      <c r="L923" s="19"/>
      <c r="M923" s="43"/>
      <c r="N923" s="44"/>
      <c r="O923" s="45">
        <f t="shared" si="510"/>
        <v>183</v>
      </c>
      <c r="P923" s="51"/>
      <c r="Q923" s="51"/>
      <c r="R923" s="74">
        <f t="shared" si="506"/>
        <v>128.070478723404</v>
      </c>
      <c r="S923" s="74"/>
      <c r="T923" s="75">
        <f t="shared" si="507"/>
        <v>0.442320478723404</v>
      </c>
      <c r="U923" s="74"/>
      <c r="V923" s="74"/>
      <c r="W923" s="76">
        <f t="shared" si="502"/>
        <v>128.512799202128</v>
      </c>
      <c r="X923" s="77">
        <f t="shared" si="508"/>
        <v>2.15615026595745</v>
      </c>
      <c r="Y923" s="77"/>
      <c r="Z923" s="77"/>
      <c r="AA923" s="77">
        <f t="shared" si="503"/>
        <v>2.15615026595745</v>
      </c>
      <c r="AB923" s="86">
        <v>7.08</v>
      </c>
      <c r="AC923" s="74">
        <f t="shared" si="501"/>
        <v>15.2655438829787</v>
      </c>
      <c r="AD923" s="74">
        <f t="shared" si="504"/>
        <v>143.778343085106</v>
      </c>
      <c r="AE923" s="74">
        <f t="shared" si="505"/>
        <v>39.2216569148936</v>
      </c>
    </row>
    <row r="924" customFormat="1" spans="1:31">
      <c r="A924" s="18"/>
      <c r="B924" s="19"/>
      <c r="C924" s="20">
        <v>240924000016</v>
      </c>
      <c r="D924" s="21">
        <v>45567</v>
      </c>
      <c r="E924" s="21" t="s">
        <v>46</v>
      </c>
      <c r="F924" s="19" t="s">
        <v>47</v>
      </c>
      <c r="G924" s="19" t="s">
        <v>175</v>
      </c>
      <c r="H924" s="19">
        <v>18.5</v>
      </c>
      <c r="I924" s="41">
        <v>1060.5</v>
      </c>
      <c r="J924" s="53"/>
      <c r="K924" s="101"/>
      <c r="L924" s="19"/>
      <c r="M924" s="43"/>
      <c r="N924" s="44"/>
      <c r="O924" s="45">
        <f t="shared" si="510"/>
        <v>1060.5</v>
      </c>
      <c r="P924" s="51"/>
      <c r="Q924" s="51"/>
      <c r="R924" s="74">
        <f t="shared" si="506"/>
        <v>789.76795212766</v>
      </c>
      <c r="S924" s="74"/>
      <c r="T924" s="75">
        <f t="shared" si="507"/>
        <v>2.72764295212766</v>
      </c>
      <c r="U924" s="74"/>
      <c r="V924" s="74"/>
      <c r="W924" s="76">
        <f t="shared" si="502"/>
        <v>792.495595079787</v>
      </c>
      <c r="X924" s="77">
        <f t="shared" si="508"/>
        <v>13.2962599734043</v>
      </c>
      <c r="Y924" s="77"/>
      <c r="Z924" s="77"/>
      <c r="AA924" s="77">
        <f t="shared" si="503"/>
        <v>13.2962599734043</v>
      </c>
      <c r="AB924" s="86">
        <v>7.08</v>
      </c>
      <c r="AC924" s="74">
        <f t="shared" si="501"/>
        <v>94.1375206117021</v>
      </c>
      <c r="AD924" s="74">
        <f t="shared" si="504"/>
        <v>886.633115691489</v>
      </c>
      <c r="AE924" s="74">
        <f t="shared" si="505"/>
        <v>173.866884308511</v>
      </c>
    </row>
    <row r="925" customFormat="1" spans="1:31">
      <c r="A925" s="18"/>
      <c r="B925" s="19"/>
      <c r="C925" s="20">
        <v>240924000019</v>
      </c>
      <c r="D925" s="21">
        <v>45567</v>
      </c>
      <c r="E925" s="21" t="s">
        <v>46</v>
      </c>
      <c r="F925" s="19" t="s">
        <v>47</v>
      </c>
      <c r="G925" s="19" t="s">
        <v>225</v>
      </c>
      <c r="H925" s="19">
        <v>2</v>
      </c>
      <c r="I925" s="41">
        <v>136</v>
      </c>
      <c r="J925" s="53"/>
      <c r="K925" s="101"/>
      <c r="L925" s="19"/>
      <c r="M925" s="43"/>
      <c r="N925" s="44"/>
      <c r="O925" s="45">
        <f t="shared" si="510"/>
        <v>136</v>
      </c>
      <c r="P925" s="51"/>
      <c r="Q925" s="51"/>
      <c r="R925" s="74">
        <f t="shared" si="506"/>
        <v>85.3803191489362</v>
      </c>
      <c r="S925" s="74"/>
      <c r="T925" s="75">
        <f t="shared" si="507"/>
        <v>0.294880319148936</v>
      </c>
      <c r="U925" s="74"/>
      <c r="V925" s="74"/>
      <c r="W925" s="76">
        <f t="shared" si="502"/>
        <v>85.6751994680851</v>
      </c>
      <c r="X925" s="77">
        <f t="shared" si="508"/>
        <v>1.4374335106383</v>
      </c>
      <c r="Y925" s="77"/>
      <c r="Z925" s="77"/>
      <c r="AA925" s="77">
        <f t="shared" si="503"/>
        <v>1.4374335106383</v>
      </c>
      <c r="AB925" s="86">
        <v>7.08</v>
      </c>
      <c r="AC925" s="74">
        <f t="shared" si="501"/>
        <v>10.1770292553191</v>
      </c>
      <c r="AD925" s="74">
        <f t="shared" si="504"/>
        <v>95.8522287234042</v>
      </c>
      <c r="AE925" s="74">
        <f t="shared" si="505"/>
        <v>40.1477712765958</v>
      </c>
    </row>
    <row r="926" customFormat="1" spans="1:31">
      <c r="A926" s="18"/>
      <c r="B926" s="19"/>
      <c r="C926" s="20">
        <v>240924000026</v>
      </c>
      <c r="D926" s="21">
        <v>45567</v>
      </c>
      <c r="E926" s="21" t="s">
        <v>41</v>
      </c>
      <c r="F926" s="19" t="s">
        <v>41</v>
      </c>
      <c r="G926" s="19" t="s">
        <v>563</v>
      </c>
      <c r="H926" s="19">
        <v>11.5</v>
      </c>
      <c r="I926" s="41">
        <v>747</v>
      </c>
      <c r="J926" s="53"/>
      <c r="K926" s="101"/>
      <c r="L926" s="19"/>
      <c r="M926" s="43"/>
      <c r="N926" s="44"/>
      <c r="O926" s="45">
        <f t="shared" si="510"/>
        <v>747</v>
      </c>
      <c r="P926" s="51"/>
      <c r="Q926" s="51"/>
      <c r="R926" s="74">
        <f t="shared" si="506"/>
        <v>490.936835106383</v>
      </c>
      <c r="S926" s="74"/>
      <c r="T926" s="75">
        <f t="shared" si="507"/>
        <v>1.69556183510638</v>
      </c>
      <c r="U926" s="74"/>
      <c r="V926" s="74"/>
      <c r="W926" s="76">
        <f t="shared" si="502"/>
        <v>492.632396941489</v>
      </c>
      <c r="X926" s="77">
        <f t="shared" si="508"/>
        <v>8.26524268617021</v>
      </c>
      <c r="Y926" s="77"/>
      <c r="Z926" s="77"/>
      <c r="AA926" s="77">
        <f t="shared" si="503"/>
        <v>8.26524268617021</v>
      </c>
      <c r="AB926" s="86">
        <v>7.08</v>
      </c>
      <c r="AC926" s="74">
        <f t="shared" si="501"/>
        <v>58.5179182180851</v>
      </c>
      <c r="AD926" s="74">
        <f t="shared" si="504"/>
        <v>551.150315159574</v>
      </c>
      <c r="AE926" s="74">
        <f t="shared" si="505"/>
        <v>195.849684840426</v>
      </c>
    </row>
    <row r="927" customFormat="1" spans="1:31">
      <c r="A927" s="18"/>
      <c r="B927" s="19"/>
      <c r="C927" s="20">
        <v>240924000034</v>
      </c>
      <c r="D927" s="21">
        <v>45567</v>
      </c>
      <c r="E927" s="21" t="s">
        <v>50</v>
      </c>
      <c r="F927" s="19" t="s">
        <v>51</v>
      </c>
      <c r="G927" s="19" t="s">
        <v>204</v>
      </c>
      <c r="H927" s="19">
        <v>0.88</v>
      </c>
      <c r="I927" s="45"/>
      <c r="J927" s="54">
        <v>15303.2</v>
      </c>
      <c r="K927" s="101"/>
      <c r="L927" s="49">
        <f>SUM(J927/M927)</f>
        <v>1739</v>
      </c>
      <c r="M927" s="50">
        <v>8.8</v>
      </c>
      <c r="N927" s="44">
        <v>7.08</v>
      </c>
      <c r="O927" s="45">
        <f t="shared" ref="O927:O934" si="511">SUM(M927*N927)</f>
        <v>62.304</v>
      </c>
      <c r="P927" s="51"/>
      <c r="Q927" s="51"/>
      <c r="R927" s="74">
        <f t="shared" si="506"/>
        <v>37.5673404255319</v>
      </c>
      <c r="S927" s="74"/>
      <c r="T927" s="75">
        <f t="shared" si="507"/>
        <v>0.129747340425532</v>
      </c>
      <c r="U927" s="74"/>
      <c r="V927" s="74"/>
      <c r="W927" s="76">
        <f t="shared" si="502"/>
        <v>37.6970877659574</v>
      </c>
      <c r="X927" s="77">
        <f t="shared" si="508"/>
        <v>0.632470744680851</v>
      </c>
      <c r="Y927" s="77"/>
      <c r="Z927" s="77"/>
      <c r="AA927" s="77">
        <f t="shared" si="503"/>
        <v>0.632470744680851</v>
      </c>
      <c r="AB927" s="86">
        <v>7.08</v>
      </c>
      <c r="AC927" s="74">
        <f t="shared" si="501"/>
        <v>4.47789287234043</v>
      </c>
      <c r="AD927" s="74">
        <f t="shared" si="504"/>
        <v>42.1749806382979</v>
      </c>
      <c r="AE927" s="74">
        <f t="shared" si="505"/>
        <v>20.1290193617021</v>
      </c>
    </row>
    <row r="928" customFormat="1" spans="1:31">
      <c r="A928" s="18"/>
      <c r="B928" s="19"/>
      <c r="C928" s="20">
        <v>240924000035</v>
      </c>
      <c r="D928" s="21">
        <v>45567</v>
      </c>
      <c r="E928" s="21" t="s">
        <v>62</v>
      </c>
      <c r="F928" s="19" t="s">
        <v>63</v>
      </c>
      <c r="G928" s="19" t="s">
        <v>564</v>
      </c>
      <c r="H928" s="19">
        <v>2</v>
      </c>
      <c r="I928" s="41">
        <v>123</v>
      </c>
      <c r="J928" s="53"/>
      <c r="K928" s="101"/>
      <c r="L928" s="19"/>
      <c r="M928" s="43"/>
      <c r="N928" s="44"/>
      <c r="O928" s="45">
        <f>SUM(I928)</f>
        <v>123</v>
      </c>
      <c r="P928" s="51"/>
      <c r="Q928" s="51"/>
      <c r="R928" s="74">
        <f t="shared" si="506"/>
        <v>85.3803191489362</v>
      </c>
      <c r="S928" s="74"/>
      <c r="T928" s="75">
        <f t="shared" si="507"/>
        <v>0.294880319148936</v>
      </c>
      <c r="U928" s="74"/>
      <c r="V928" s="74"/>
      <c r="W928" s="76">
        <f t="shared" si="502"/>
        <v>85.6751994680851</v>
      </c>
      <c r="X928" s="77">
        <f t="shared" si="508"/>
        <v>1.4374335106383</v>
      </c>
      <c r="Y928" s="77"/>
      <c r="Z928" s="77"/>
      <c r="AA928" s="77">
        <f t="shared" si="503"/>
        <v>1.4374335106383</v>
      </c>
      <c r="AB928" s="86">
        <v>7.08</v>
      </c>
      <c r="AC928" s="74">
        <f t="shared" si="501"/>
        <v>10.1770292553191</v>
      </c>
      <c r="AD928" s="74">
        <f t="shared" si="504"/>
        <v>95.8522287234042</v>
      </c>
      <c r="AE928" s="74">
        <f t="shared" si="505"/>
        <v>27.1477712765958</v>
      </c>
    </row>
    <row r="929" customFormat="1" spans="1:31">
      <c r="A929" s="18"/>
      <c r="B929" s="19"/>
      <c r="C929" s="20">
        <v>240924000036</v>
      </c>
      <c r="D929" s="21">
        <v>45567</v>
      </c>
      <c r="E929" s="21" t="s">
        <v>50</v>
      </c>
      <c r="F929" s="19" t="s">
        <v>51</v>
      </c>
      <c r="G929" s="19" t="s">
        <v>203</v>
      </c>
      <c r="H929" s="19">
        <v>18.5</v>
      </c>
      <c r="I929" s="41">
        <v>1060.5</v>
      </c>
      <c r="J929" s="53"/>
      <c r="K929" s="101"/>
      <c r="L929" s="19"/>
      <c r="M929" s="43"/>
      <c r="N929" s="44"/>
      <c r="O929" s="45">
        <f>SUM(I929)</f>
        <v>1060.5</v>
      </c>
      <c r="P929" s="51"/>
      <c r="Q929" s="51"/>
      <c r="R929" s="74">
        <f t="shared" si="506"/>
        <v>789.76795212766</v>
      </c>
      <c r="S929" s="74"/>
      <c r="T929" s="75">
        <f t="shared" si="507"/>
        <v>2.72764295212766</v>
      </c>
      <c r="U929" s="74"/>
      <c r="V929" s="74"/>
      <c r="W929" s="76">
        <f t="shared" si="502"/>
        <v>792.495595079787</v>
      </c>
      <c r="X929" s="77">
        <f t="shared" si="508"/>
        <v>13.2962599734043</v>
      </c>
      <c r="Y929" s="77"/>
      <c r="Z929" s="77"/>
      <c r="AA929" s="77">
        <f t="shared" si="503"/>
        <v>13.2962599734043</v>
      </c>
      <c r="AB929" s="86">
        <v>7.08</v>
      </c>
      <c r="AC929" s="74">
        <f t="shared" si="501"/>
        <v>94.1375206117021</v>
      </c>
      <c r="AD929" s="74">
        <f t="shared" si="504"/>
        <v>886.633115691489</v>
      </c>
      <c r="AE929" s="74">
        <f t="shared" si="505"/>
        <v>173.866884308511</v>
      </c>
    </row>
    <row r="930" customFormat="1" spans="1:31">
      <c r="A930" s="18"/>
      <c r="B930" s="19"/>
      <c r="C930" s="20">
        <v>240924000037</v>
      </c>
      <c r="D930" s="21">
        <v>45567</v>
      </c>
      <c r="E930" s="21" t="s">
        <v>43</v>
      </c>
      <c r="F930" s="19" t="s">
        <v>44</v>
      </c>
      <c r="G930" s="19" t="s">
        <v>182</v>
      </c>
      <c r="H930" s="19">
        <v>1.5</v>
      </c>
      <c r="I930" s="45"/>
      <c r="J930" s="54">
        <v>22746.12</v>
      </c>
      <c r="K930" s="101"/>
      <c r="L930" s="49">
        <f>SUM(J930/M930)</f>
        <v>1739</v>
      </c>
      <c r="M930" s="50">
        <v>13.08</v>
      </c>
      <c r="N930" s="44">
        <v>7.08</v>
      </c>
      <c r="O930" s="45">
        <f t="shared" si="511"/>
        <v>92.6064</v>
      </c>
      <c r="P930" s="51"/>
      <c r="Q930" s="51"/>
      <c r="R930" s="74">
        <f t="shared" si="506"/>
        <v>64.0352393617021</v>
      </c>
      <c r="S930" s="74"/>
      <c r="T930" s="75">
        <f t="shared" si="507"/>
        <v>0.221160239361702</v>
      </c>
      <c r="U930" s="74"/>
      <c r="V930" s="74"/>
      <c r="W930" s="76">
        <f t="shared" si="502"/>
        <v>64.2563996010638</v>
      </c>
      <c r="X930" s="77">
        <f t="shared" si="508"/>
        <v>1.07807513297872</v>
      </c>
      <c r="Y930" s="77"/>
      <c r="Z930" s="77"/>
      <c r="AA930" s="77">
        <f t="shared" si="503"/>
        <v>1.07807513297872</v>
      </c>
      <c r="AB930" s="86">
        <v>7.08</v>
      </c>
      <c r="AC930" s="74">
        <f t="shared" si="501"/>
        <v>7.63277194148936</v>
      </c>
      <c r="AD930" s="74">
        <f t="shared" si="504"/>
        <v>71.8891715425532</v>
      </c>
      <c r="AE930" s="74">
        <f t="shared" si="505"/>
        <v>20.7172284574468</v>
      </c>
    </row>
    <row r="931" customFormat="1" spans="1:31">
      <c r="A931" s="18"/>
      <c r="B931" s="19"/>
      <c r="C931" s="22">
        <v>240924000038</v>
      </c>
      <c r="D931" s="23">
        <v>45567</v>
      </c>
      <c r="E931" s="21" t="s">
        <v>43</v>
      </c>
      <c r="F931" s="24" t="s">
        <v>44</v>
      </c>
      <c r="G931" s="24" t="s">
        <v>182</v>
      </c>
      <c r="H931" s="24">
        <v>0.36</v>
      </c>
      <c r="I931" s="47"/>
      <c r="J931" s="49">
        <v>15303.2</v>
      </c>
      <c r="K931" s="102"/>
      <c r="L931" s="49">
        <f>SUM(J931/M931)</f>
        <v>1739</v>
      </c>
      <c r="M931" s="91">
        <v>8.8</v>
      </c>
      <c r="N931" s="44">
        <v>7.08</v>
      </c>
      <c r="O931" s="45">
        <f t="shared" si="511"/>
        <v>62.304</v>
      </c>
      <c r="P931" s="51"/>
      <c r="Q931" s="51"/>
      <c r="R931" s="74">
        <f t="shared" si="506"/>
        <v>15.3684574468085</v>
      </c>
      <c r="S931" s="74"/>
      <c r="T931" s="75">
        <f t="shared" si="507"/>
        <v>0.0530784574468085</v>
      </c>
      <c r="U931" s="74"/>
      <c r="V931" s="74"/>
      <c r="W931" s="76">
        <f t="shared" si="502"/>
        <v>15.4215359042553</v>
      </c>
      <c r="X931" s="77">
        <f t="shared" si="508"/>
        <v>0.258738031914894</v>
      </c>
      <c r="Y931" s="77"/>
      <c r="Z931" s="77"/>
      <c r="AA931" s="77">
        <f t="shared" si="503"/>
        <v>0.258738031914894</v>
      </c>
      <c r="AB931" s="86">
        <v>7.08</v>
      </c>
      <c r="AC931" s="74">
        <f t="shared" si="501"/>
        <v>1.83186526595745</v>
      </c>
      <c r="AD931" s="74">
        <f t="shared" si="504"/>
        <v>17.2534011702128</v>
      </c>
      <c r="AE931" s="74">
        <f t="shared" si="505"/>
        <v>45.0505988297872</v>
      </c>
    </row>
    <row r="932" customFormat="1" spans="1:31">
      <c r="A932" s="18"/>
      <c r="B932" s="19"/>
      <c r="C932" s="20">
        <v>240924000042</v>
      </c>
      <c r="D932" s="21">
        <v>45567</v>
      </c>
      <c r="E932" s="21" t="s">
        <v>50</v>
      </c>
      <c r="F932" s="19" t="s">
        <v>51</v>
      </c>
      <c r="G932" s="19" t="s">
        <v>355</v>
      </c>
      <c r="H932" s="19">
        <v>66.5</v>
      </c>
      <c r="I932" s="47"/>
      <c r="J932" s="54">
        <v>852890</v>
      </c>
      <c r="K932" s="101"/>
      <c r="L932" s="49">
        <f t="shared" ref="L932:L934" si="512">SUM(J932/M932)</f>
        <v>1713.28418472911</v>
      </c>
      <c r="M932" s="50">
        <v>497.81</v>
      </c>
      <c r="N932" s="44">
        <v>7.08</v>
      </c>
      <c r="O932" s="45">
        <f t="shared" si="511"/>
        <v>3524.4948</v>
      </c>
      <c r="P932" s="51"/>
      <c r="Q932" s="51"/>
      <c r="R932" s="74">
        <f t="shared" si="506"/>
        <v>2838.89561170213</v>
      </c>
      <c r="S932" s="74"/>
      <c r="T932" s="75">
        <f t="shared" si="507"/>
        <v>9.80477061170213</v>
      </c>
      <c r="U932" s="74"/>
      <c r="V932" s="74"/>
      <c r="W932" s="76">
        <f t="shared" si="502"/>
        <v>2848.70038231383</v>
      </c>
      <c r="X932" s="77">
        <f t="shared" si="508"/>
        <v>47.7946642287234</v>
      </c>
      <c r="Y932" s="77"/>
      <c r="Z932" s="77"/>
      <c r="AA932" s="77">
        <f t="shared" si="503"/>
        <v>47.7946642287234</v>
      </c>
      <c r="AB932" s="86">
        <v>7.08</v>
      </c>
      <c r="AC932" s="74">
        <f t="shared" si="501"/>
        <v>338.386222739362</v>
      </c>
      <c r="AD932" s="74">
        <f t="shared" si="504"/>
        <v>3187.08660505319</v>
      </c>
      <c r="AE932" s="74">
        <f t="shared" si="505"/>
        <v>337.408194946809</v>
      </c>
    </row>
    <row r="933" customFormat="1" spans="1:31">
      <c r="A933" s="18"/>
      <c r="B933" s="19"/>
      <c r="C933" s="20">
        <v>240924000044</v>
      </c>
      <c r="D933" s="21">
        <v>45567</v>
      </c>
      <c r="E933" s="21" t="s">
        <v>50</v>
      </c>
      <c r="F933" s="19" t="s">
        <v>51</v>
      </c>
      <c r="G933" s="19" t="s">
        <v>565</v>
      </c>
      <c r="H933" s="19">
        <v>7.5</v>
      </c>
      <c r="I933" s="47"/>
      <c r="J933" s="54">
        <v>104907</v>
      </c>
      <c r="K933" s="101"/>
      <c r="L933" s="49">
        <f t="shared" si="512"/>
        <v>1713.60666448873</v>
      </c>
      <c r="M933" s="50">
        <v>61.22</v>
      </c>
      <c r="N933" s="44">
        <v>7.08</v>
      </c>
      <c r="O933" s="45">
        <f t="shared" si="511"/>
        <v>433.4376</v>
      </c>
      <c r="P933" s="51"/>
      <c r="Q933" s="51"/>
      <c r="R933" s="74">
        <f t="shared" si="506"/>
        <v>320.176196808511</v>
      </c>
      <c r="S933" s="74"/>
      <c r="T933" s="75">
        <f t="shared" si="507"/>
        <v>1.10580119680851</v>
      </c>
      <c r="U933" s="74"/>
      <c r="V933" s="74"/>
      <c r="W933" s="76">
        <f t="shared" si="502"/>
        <v>321.281998005319</v>
      </c>
      <c r="X933" s="77">
        <f t="shared" si="508"/>
        <v>5.39037566489362</v>
      </c>
      <c r="Y933" s="77"/>
      <c r="Z933" s="77"/>
      <c r="AA933" s="77">
        <f t="shared" si="503"/>
        <v>5.39037566489362</v>
      </c>
      <c r="AB933" s="86">
        <v>7.08</v>
      </c>
      <c r="AC933" s="74">
        <f t="shared" si="501"/>
        <v>38.1638597074468</v>
      </c>
      <c r="AD933" s="74">
        <f t="shared" si="504"/>
        <v>359.445857712766</v>
      </c>
      <c r="AE933" s="74">
        <f t="shared" si="505"/>
        <v>73.991742287234</v>
      </c>
    </row>
    <row r="934" customFormat="1" spans="1:31">
      <c r="A934" s="18"/>
      <c r="B934" s="19"/>
      <c r="C934" s="20">
        <v>240924000046</v>
      </c>
      <c r="D934" s="21">
        <v>45567</v>
      </c>
      <c r="E934" s="21" t="s">
        <v>46</v>
      </c>
      <c r="F934" s="19" t="s">
        <v>47</v>
      </c>
      <c r="G934" s="19" t="s">
        <v>296</v>
      </c>
      <c r="H934" s="19">
        <v>0.4</v>
      </c>
      <c r="I934" s="45"/>
      <c r="J934" s="54">
        <v>14907.2</v>
      </c>
      <c r="K934" s="101"/>
      <c r="L934" s="49">
        <f t="shared" si="512"/>
        <v>1694</v>
      </c>
      <c r="M934" s="50">
        <v>8.8</v>
      </c>
      <c r="N934" s="44">
        <v>7.08</v>
      </c>
      <c r="O934" s="45">
        <f t="shared" si="511"/>
        <v>62.304</v>
      </c>
      <c r="P934" s="51"/>
      <c r="Q934" s="51"/>
      <c r="R934" s="74">
        <f t="shared" si="506"/>
        <v>17.0760638297872</v>
      </c>
      <c r="S934" s="74"/>
      <c r="T934" s="75">
        <f t="shared" si="507"/>
        <v>0.0589760638297872</v>
      </c>
      <c r="U934" s="74"/>
      <c r="V934" s="74"/>
      <c r="W934" s="76">
        <f t="shared" si="502"/>
        <v>17.135039893617</v>
      </c>
      <c r="X934" s="77">
        <f t="shared" si="508"/>
        <v>0.28748670212766</v>
      </c>
      <c r="Y934" s="77"/>
      <c r="Z934" s="77"/>
      <c r="AA934" s="77">
        <f t="shared" si="503"/>
        <v>0.28748670212766</v>
      </c>
      <c r="AB934" s="86">
        <v>7.08</v>
      </c>
      <c r="AC934" s="74">
        <f t="shared" si="501"/>
        <v>2.03540585106383</v>
      </c>
      <c r="AD934" s="74">
        <f t="shared" si="504"/>
        <v>19.1704457446809</v>
      </c>
      <c r="AE934" s="74">
        <f t="shared" si="505"/>
        <v>43.1335542553191</v>
      </c>
    </row>
    <row r="935" customFormat="1" spans="1:31">
      <c r="A935" s="18"/>
      <c r="B935" s="19"/>
      <c r="C935" s="20">
        <v>240924000049</v>
      </c>
      <c r="D935" s="21">
        <v>45567</v>
      </c>
      <c r="E935" s="21" t="s">
        <v>43</v>
      </c>
      <c r="F935" s="19" t="s">
        <v>44</v>
      </c>
      <c r="G935" s="19" t="s">
        <v>76</v>
      </c>
      <c r="H935" s="19">
        <v>92.5</v>
      </c>
      <c r="I935" s="41">
        <v>5873</v>
      </c>
      <c r="J935" s="53"/>
      <c r="K935" s="101"/>
      <c r="L935" s="19"/>
      <c r="M935" s="43"/>
      <c r="N935" s="44"/>
      <c r="O935" s="45">
        <f t="shared" ref="O935:O942" si="513">SUM(I935)</f>
        <v>5873</v>
      </c>
      <c r="P935" s="51"/>
      <c r="Q935" s="51"/>
      <c r="R935" s="74">
        <f t="shared" si="506"/>
        <v>3948.8397606383</v>
      </c>
      <c r="S935" s="74"/>
      <c r="T935" s="75">
        <f t="shared" si="507"/>
        <v>13.6382147606383</v>
      </c>
      <c r="U935" s="75">
        <v>420</v>
      </c>
      <c r="V935" s="74"/>
      <c r="W935" s="76">
        <f t="shared" si="502"/>
        <v>4382.47797539894</v>
      </c>
      <c r="X935" s="77">
        <f t="shared" si="508"/>
        <v>66.4812998670213</v>
      </c>
      <c r="Y935" s="77"/>
      <c r="Z935" s="77"/>
      <c r="AA935" s="77">
        <f t="shared" si="503"/>
        <v>66.4812998670213</v>
      </c>
      <c r="AB935" s="86">
        <v>7.08</v>
      </c>
      <c r="AC935" s="74">
        <f t="shared" si="501"/>
        <v>470.687603058511</v>
      </c>
      <c r="AD935" s="74">
        <f t="shared" si="504"/>
        <v>4853.16557845745</v>
      </c>
      <c r="AE935" s="74">
        <f t="shared" si="505"/>
        <v>1019.83442154255</v>
      </c>
    </row>
    <row r="936" customFormat="1" spans="1:31">
      <c r="A936" s="18"/>
      <c r="B936" s="19"/>
      <c r="C936" s="20">
        <v>240924000058</v>
      </c>
      <c r="D936" s="21">
        <v>45567</v>
      </c>
      <c r="E936" s="21" t="s">
        <v>96</v>
      </c>
      <c r="F936" s="19" t="s">
        <v>129</v>
      </c>
      <c r="G936" s="19" t="s">
        <v>347</v>
      </c>
      <c r="H936" s="19"/>
      <c r="I936" s="45"/>
      <c r="J936" s="53"/>
      <c r="K936" s="103">
        <v>61.97</v>
      </c>
      <c r="L936" s="49">
        <f>SUM(J936/M936)</f>
        <v>0</v>
      </c>
      <c r="M936" s="50">
        <v>61.97</v>
      </c>
      <c r="N936" s="44">
        <v>7.08</v>
      </c>
      <c r="O936" s="45">
        <f>SUM(M936*N936)</f>
        <v>438.7476</v>
      </c>
      <c r="P936" s="51"/>
      <c r="Q936" s="51"/>
      <c r="R936" s="74">
        <f t="shared" si="506"/>
        <v>0</v>
      </c>
      <c r="S936" s="74"/>
      <c r="T936" s="75">
        <f t="shared" si="507"/>
        <v>0</v>
      </c>
      <c r="U936" s="74"/>
      <c r="V936" s="74"/>
      <c r="W936" s="76">
        <f t="shared" si="502"/>
        <v>0</v>
      </c>
      <c r="X936" s="77">
        <f t="shared" si="508"/>
        <v>0</v>
      </c>
      <c r="Y936" s="77"/>
      <c r="Z936" s="77"/>
      <c r="AA936" s="77">
        <f t="shared" si="503"/>
        <v>0</v>
      </c>
      <c r="AB936" s="86">
        <v>7.08</v>
      </c>
      <c r="AC936" s="74">
        <f t="shared" si="501"/>
        <v>0</v>
      </c>
      <c r="AD936" s="74">
        <f t="shared" si="504"/>
        <v>0</v>
      </c>
      <c r="AE936" s="74">
        <f t="shared" si="505"/>
        <v>438.7476</v>
      </c>
    </row>
    <row r="937" customFormat="1" spans="1:31">
      <c r="A937" s="18"/>
      <c r="B937" s="19"/>
      <c r="C937" s="20">
        <v>240925000003</v>
      </c>
      <c r="D937" s="21">
        <v>45567</v>
      </c>
      <c r="E937" s="21" t="s">
        <v>50</v>
      </c>
      <c r="F937" s="19" t="s">
        <v>51</v>
      </c>
      <c r="G937" s="19" t="s">
        <v>114</v>
      </c>
      <c r="H937" s="19">
        <v>1</v>
      </c>
      <c r="I937" s="41">
        <v>55</v>
      </c>
      <c r="J937" s="53"/>
      <c r="K937" s="101"/>
      <c r="L937" s="19"/>
      <c r="M937" s="43"/>
      <c r="N937" s="44"/>
      <c r="O937" s="45">
        <f t="shared" si="513"/>
        <v>55</v>
      </c>
      <c r="P937" s="51"/>
      <c r="Q937" s="51"/>
      <c r="R937" s="74">
        <f t="shared" si="506"/>
        <v>42.6901595744681</v>
      </c>
      <c r="S937" s="74"/>
      <c r="T937" s="75">
        <f t="shared" si="507"/>
        <v>0.147440159574468</v>
      </c>
      <c r="U937" s="74"/>
      <c r="V937" s="74"/>
      <c r="W937" s="76">
        <f t="shared" si="502"/>
        <v>42.8375997340425</v>
      </c>
      <c r="X937" s="77">
        <f t="shared" si="508"/>
        <v>0.718716755319149</v>
      </c>
      <c r="Y937" s="77"/>
      <c r="Z937" s="77"/>
      <c r="AA937" s="77">
        <f t="shared" si="503"/>
        <v>0.718716755319149</v>
      </c>
      <c r="AB937" s="86">
        <v>7.08</v>
      </c>
      <c r="AC937" s="74">
        <f t="shared" si="501"/>
        <v>5.08851462765957</v>
      </c>
      <c r="AD937" s="74">
        <f t="shared" si="504"/>
        <v>47.9261143617021</v>
      </c>
      <c r="AE937" s="74">
        <f t="shared" si="505"/>
        <v>7.07388563829788</v>
      </c>
    </row>
    <row r="938" customFormat="1" spans="1:31">
      <c r="A938" s="18"/>
      <c r="B938" s="19"/>
      <c r="C938" s="20">
        <v>240925000008</v>
      </c>
      <c r="D938" s="21">
        <v>45567</v>
      </c>
      <c r="E938" s="21" t="s">
        <v>50</v>
      </c>
      <c r="F938" s="19" t="s">
        <v>51</v>
      </c>
      <c r="G938" s="19" t="s">
        <v>566</v>
      </c>
      <c r="H938" s="19">
        <v>3.5</v>
      </c>
      <c r="I938" s="41">
        <v>234</v>
      </c>
      <c r="J938" s="53"/>
      <c r="K938" s="101"/>
      <c r="L938" s="19"/>
      <c r="M938" s="43"/>
      <c r="N938" s="44"/>
      <c r="O938" s="45">
        <f t="shared" si="513"/>
        <v>234</v>
      </c>
      <c r="P938" s="51"/>
      <c r="Q938" s="51"/>
      <c r="R938" s="74">
        <f t="shared" si="506"/>
        <v>149.415558510638</v>
      </c>
      <c r="S938" s="74"/>
      <c r="T938" s="75">
        <f t="shared" si="507"/>
        <v>0.516040558510638</v>
      </c>
      <c r="U938" s="74"/>
      <c r="V938" s="74"/>
      <c r="W938" s="76">
        <f t="shared" si="502"/>
        <v>149.931599069149</v>
      </c>
      <c r="X938" s="77">
        <f t="shared" si="508"/>
        <v>2.51550864361702</v>
      </c>
      <c r="Y938" s="77"/>
      <c r="Z938" s="77"/>
      <c r="AA938" s="77">
        <f t="shared" si="503"/>
        <v>2.51550864361702</v>
      </c>
      <c r="AB938" s="86">
        <v>7.08</v>
      </c>
      <c r="AC938" s="74">
        <f t="shared" si="501"/>
        <v>17.8098011968085</v>
      </c>
      <c r="AD938" s="74">
        <f t="shared" si="504"/>
        <v>167.741400265957</v>
      </c>
      <c r="AE938" s="74">
        <f t="shared" si="505"/>
        <v>66.2585997340426</v>
      </c>
    </row>
    <row r="939" customFormat="1" spans="1:31">
      <c r="A939" s="18"/>
      <c r="B939" s="19"/>
      <c r="C939" s="20">
        <v>240925000012</v>
      </c>
      <c r="D939" s="21">
        <v>45567</v>
      </c>
      <c r="E939" s="21" t="s">
        <v>46</v>
      </c>
      <c r="F939" s="19" t="s">
        <v>47</v>
      </c>
      <c r="G939" s="19" t="s">
        <v>91</v>
      </c>
      <c r="H939" s="19">
        <v>12.5</v>
      </c>
      <c r="I939" s="41">
        <v>718.5</v>
      </c>
      <c r="J939" s="53"/>
      <c r="K939" s="101"/>
      <c r="L939" s="19"/>
      <c r="M939" s="43"/>
      <c r="N939" s="44"/>
      <c r="O939" s="45">
        <f t="shared" si="513"/>
        <v>718.5</v>
      </c>
      <c r="P939" s="51"/>
      <c r="Q939" s="51"/>
      <c r="R939" s="74">
        <f t="shared" si="506"/>
        <v>533.626994680851</v>
      </c>
      <c r="S939" s="74"/>
      <c r="T939" s="75">
        <f t="shared" si="507"/>
        <v>1.84300199468085</v>
      </c>
      <c r="U939" s="74"/>
      <c r="V939" s="74"/>
      <c r="W939" s="76">
        <f t="shared" si="502"/>
        <v>535.469996675532</v>
      </c>
      <c r="X939" s="77">
        <f t="shared" si="508"/>
        <v>8.98395944148936</v>
      </c>
      <c r="Y939" s="77"/>
      <c r="Z939" s="77"/>
      <c r="AA939" s="77">
        <f t="shared" si="503"/>
        <v>8.98395944148936</v>
      </c>
      <c r="AB939" s="86">
        <v>7.08</v>
      </c>
      <c r="AC939" s="74">
        <f t="shared" si="501"/>
        <v>63.6064328457447</v>
      </c>
      <c r="AD939" s="74">
        <f t="shared" si="504"/>
        <v>599.076429521277</v>
      </c>
      <c r="AE939" s="74">
        <f t="shared" si="505"/>
        <v>119.423570478723</v>
      </c>
    </row>
    <row r="940" customFormat="1" spans="1:31">
      <c r="A940" s="18"/>
      <c r="B940" s="19"/>
      <c r="C940" s="20">
        <v>240925000016</v>
      </c>
      <c r="D940" s="21">
        <v>45567</v>
      </c>
      <c r="E940" s="21" t="s">
        <v>50</v>
      </c>
      <c r="F940" s="19" t="s">
        <v>51</v>
      </c>
      <c r="G940" s="19" t="s">
        <v>181</v>
      </c>
      <c r="H940" s="19">
        <v>0.54</v>
      </c>
      <c r="I940" s="41">
        <v>69</v>
      </c>
      <c r="J940" s="53"/>
      <c r="K940" s="101"/>
      <c r="L940" s="19"/>
      <c r="M940" s="43"/>
      <c r="N940" s="44"/>
      <c r="O940" s="45">
        <f t="shared" si="513"/>
        <v>69</v>
      </c>
      <c r="P940" s="51"/>
      <c r="Q940" s="51"/>
      <c r="R940" s="74">
        <f t="shared" si="506"/>
        <v>23.0526861702128</v>
      </c>
      <c r="S940" s="74"/>
      <c r="T940" s="75">
        <f t="shared" si="507"/>
        <v>0.0796176861702128</v>
      </c>
      <c r="U940" s="74"/>
      <c r="V940" s="74"/>
      <c r="W940" s="76">
        <f t="shared" si="502"/>
        <v>23.132303856383</v>
      </c>
      <c r="X940" s="77">
        <f t="shared" si="508"/>
        <v>0.38810704787234</v>
      </c>
      <c r="Y940" s="77"/>
      <c r="Z940" s="77"/>
      <c r="AA940" s="77">
        <f t="shared" si="503"/>
        <v>0.38810704787234</v>
      </c>
      <c r="AB940" s="86">
        <v>7.08</v>
      </c>
      <c r="AC940" s="74">
        <f t="shared" ref="AC940:AC973" si="514">SUM(AA940*AB940)</f>
        <v>2.74779789893617</v>
      </c>
      <c r="AD940" s="74">
        <f t="shared" si="504"/>
        <v>25.8801017553191</v>
      </c>
      <c r="AE940" s="74">
        <f t="shared" si="505"/>
        <v>43.1198982446809</v>
      </c>
    </row>
    <row r="941" customFormat="1" spans="1:31">
      <c r="A941" s="18"/>
      <c r="B941" s="19"/>
      <c r="C941" s="20">
        <v>240925000018</v>
      </c>
      <c r="D941" s="21">
        <v>45567</v>
      </c>
      <c r="E941" s="21" t="s">
        <v>41</v>
      </c>
      <c r="F941" s="19" t="s">
        <v>41</v>
      </c>
      <c r="G941" s="19" t="s">
        <v>567</v>
      </c>
      <c r="H941" s="19">
        <v>152.5</v>
      </c>
      <c r="I941" s="41">
        <v>9150</v>
      </c>
      <c r="J941" s="53"/>
      <c r="K941" s="101"/>
      <c r="L941" s="19"/>
      <c r="M941" s="43"/>
      <c r="N941" s="44"/>
      <c r="O941" s="45">
        <f t="shared" si="513"/>
        <v>9150</v>
      </c>
      <c r="P941" s="51"/>
      <c r="Q941" s="51"/>
      <c r="R941" s="74">
        <f t="shared" si="506"/>
        <v>6510.24933510638</v>
      </c>
      <c r="S941" s="74"/>
      <c r="T941" s="75">
        <f t="shared" si="507"/>
        <v>22.4846243351064</v>
      </c>
      <c r="U941" s="74"/>
      <c r="V941" s="74"/>
      <c r="W941" s="76">
        <f t="shared" ref="W941:W973" si="515">SUM(R941:V941)</f>
        <v>6532.73395944149</v>
      </c>
      <c r="X941" s="77">
        <f t="shared" si="508"/>
        <v>109.60430518617</v>
      </c>
      <c r="Y941" s="77"/>
      <c r="Z941" s="77"/>
      <c r="AA941" s="77">
        <f t="shared" ref="AA941:AA973" si="516">SUM(X941:Z941)</f>
        <v>109.60430518617</v>
      </c>
      <c r="AB941" s="86">
        <v>7.08</v>
      </c>
      <c r="AC941" s="74">
        <f t="shared" si="514"/>
        <v>775.998480718085</v>
      </c>
      <c r="AD941" s="74">
        <f t="shared" ref="AD941:AD972" si="517">SUM(W941+AC941)</f>
        <v>7308.73244015958</v>
      </c>
      <c r="AE941" s="74">
        <f t="shared" ref="AE941:AE972" si="518">SUM(O941-AD941)</f>
        <v>1841.26755984042</v>
      </c>
    </row>
    <row r="942" customFormat="1" spans="1:31">
      <c r="A942" s="18"/>
      <c r="B942" s="19"/>
      <c r="C942" s="20">
        <v>240925000021</v>
      </c>
      <c r="D942" s="21">
        <v>45567</v>
      </c>
      <c r="E942" s="21" t="s">
        <v>62</v>
      </c>
      <c r="F942" s="19" t="s">
        <v>63</v>
      </c>
      <c r="G942" s="19" t="s">
        <v>568</v>
      </c>
      <c r="H942" s="19">
        <v>26.5</v>
      </c>
      <c r="I942" s="41">
        <v>1592.5</v>
      </c>
      <c r="J942" s="53"/>
      <c r="K942" s="101"/>
      <c r="L942" s="19"/>
      <c r="M942" s="43"/>
      <c r="N942" s="44"/>
      <c r="O942" s="45">
        <f t="shared" si="513"/>
        <v>1592.5</v>
      </c>
      <c r="P942" s="51"/>
      <c r="Q942" s="51"/>
      <c r="R942" s="74">
        <f t="shared" si="506"/>
        <v>1131.2892287234</v>
      </c>
      <c r="S942" s="74"/>
      <c r="T942" s="75">
        <f t="shared" si="507"/>
        <v>3.9071642287234</v>
      </c>
      <c r="U942" s="74"/>
      <c r="V942" s="74"/>
      <c r="W942" s="76">
        <f t="shared" si="515"/>
        <v>1135.19639295213</v>
      </c>
      <c r="X942" s="77">
        <f t="shared" si="508"/>
        <v>19.0459940159574</v>
      </c>
      <c r="Y942" s="77">
        <v>19.06</v>
      </c>
      <c r="Z942" s="77"/>
      <c r="AA942" s="77">
        <f t="shared" si="516"/>
        <v>38.1059940159574</v>
      </c>
      <c r="AB942" s="86">
        <v>7.08</v>
      </c>
      <c r="AC942" s="74">
        <f t="shared" si="514"/>
        <v>269.790437632979</v>
      </c>
      <c r="AD942" s="74">
        <f t="shared" si="517"/>
        <v>1404.98683058511</v>
      </c>
      <c r="AE942" s="74">
        <f t="shared" si="518"/>
        <v>187.513169414894</v>
      </c>
    </row>
    <row r="943" customFormat="1" spans="1:31">
      <c r="A943" s="18"/>
      <c r="B943" s="19"/>
      <c r="C943" s="20">
        <v>240925000023</v>
      </c>
      <c r="D943" s="21">
        <v>45567</v>
      </c>
      <c r="E943" s="21" t="s">
        <v>569</v>
      </c>
      <c r="F943" s="19" t="s">
        <v>569</v>
      </c>
      <c r="G943" s="19" t="s">
        <v>570</v>
      </c>
      <c r="H943" s="19">
        <v>108.5</v>
      </c>
      <c r="I943" s="45"/>
      <c r="J943" s="54">
        <v>1572821.16</v>
      </c>
      <c r="K943" s="101"/>
      <c r="L943" s="49">
        <f>SUM(J943/M943)</f>
        <v>1739</v>
      </c>
      <c r="M943" s="50">
        <v>904.44</v>
      </c>
      <c r="N943" s="44">
        <v>7.08</v>
      </c>
      <c r="O943" s="45">
        <f>SUM(M943*N943)</f>
        <v>6403.4352</v>
      </c>
      <c r="P943" s="51"/>
      <c r="Q943" s="51"/>
      <c r="R943" s="74">
        <f t="shared" ref="R943:R974" si="519">SUM(64206/1504)*H943</f>
        <v>4631.88231382979</v>
      </c>
      <c r="S943" s="74"/>
      <c r="T943" s="75">
        <f t="shared" ref="T943:T974" si="520">SUM(221.75/1504)*H943</f>
        <v>15.9972573138298</v>
      </c>
      <c r="U943" s="74"/>
      <c r="V943" s="74"/>
      <c r="W943" s="76">
        <f t="shared" si="515"/>
        <v>4647.87957114362</v>
      </c>
      <c r="X943" s="77">
        <f t="shared" ref="X943:X974" si="521">SUM(1080.95/1504)*H943</f>
        <v>77.9807679521277</v>
      </c>
      <c r="Y943" s="77"/>
      <c r="Z943" s="77"/>
      <c r="AA943" s="77">
        <f t="shared" si="516"/>
        <v>77.9807679521277</v>
      </c>
      <c r="AB943" s="86">
        <v>7.08</v>
      </c>
      <c r="AC943" s="74">
        <f t="shared" si="514"/>
        <v>552.103837101064</v>
      </c>
      <c r="AD943" s="74">
        <f t="shared" si="517"/>
        <v>5199.98340824468</v>
      </c>
      <c r="AE943" s="74">
        <f t="shared" si="518"/>
        <v>1203.45179175532</v>
      </c>
    </row>
    <row r="944" customFormat="1" spans="1:31">
      <c r="A944" s="18"/>
      <c r="B944" s="19"/>
      <c r="C944" s="20">
        <v>240925000024</v>
      </c>
      <c r="D944" s="21">
        <v>45567</v>
      </c>
      <c r="E944" s="21" t="s">
        <v>46</v>
      </c>
      <c r="F944" s="19" t="s">
        <v>47</v>
      </c>
      <c r="G944" s="19" t="s">
        <v>540</v>
      </c>
      <c r="H944" s="19">
        <v>3</v>
      </c>
      <c r="I944" s="41">
        <v>201</v>
      </c>
      <c r="J944" s="53"/>
      <c r="K944" s="101"/>
      <c r="L944" s="19"/>
      <c r="M944" s="43"/>
      <c r="N944" s="44"/>
      <c r="O944" s="45">
        <f t="shared" ref="O944:O949" si="522">SUM(I944)</f>
        <v>201</v>
      </c>
      <c r="P944" s="51"/>
      <c r="Q944" s="51"/>
      <c r="R944" s="74">
        <f t="shared" si="519"/>
        <v>128.070478723404</v>
      </c>
      <c r="S944" s="74"/>
      <c r="T944" s="75">
        <f t="shared" si="520"/>
        <v>0.442320478723404</v>
      </c>
      <c r="U944" s="74"/>
      <c r="V944" s="74"/>
      <c r="W944" s="76">
        <f t="shared" si="515"/>
        <v>128.512799202128</v>
      </c>
      <c r="X944" s="77">
        <f t="shared" si="521"/>
        <v>2.15615026595745</v>
      </c>
      <c r="Y944" s="77"/>
      <c r="Z944" s="77"/>
      <c r="AA944" s="77">
        <f t="shared" si="516"/>
        <v>2.15615026595745</v>
      </c>
      <c r="AB944" s="86">
        <v>7.08</v>
      </c>
      <c r="AC944" s="74">
        <f t="shared" si="514"/>
        <v>15.2655438829787</v>
      </c>
      <c r="AD944" s="74">
        <f t="shared" si="517"/>
        <v>143.778343085106</v>
      </c>
      <c r="AE944" s="74">
        <f t="shared" si="518"/>
        <v>57.2216569148936</v>
      </c>
    </row>
    <row r="945" customFormat="1" spans="1:31">
      <c r="A945" s="18"/>
      <c r="B945" s="19"/>
      <c r="C945" s="20">
        <v>240925000026</v>
      </c>
      <c r="D945" s="21">
        <v>45567</v>
      </c>
      <c r="E945" s="21" t="s">
        <v>62</v>
      </c>
      <c r="F945" s="19" t="s">
        <v>63</v>
      </c>
      <c r="G945" s="19" t="s">
        <v>547</v>
      </c>
      <c r="H945" s="19">
        <v>10</v>
      </c>
      <c r="I945" s="41">
        <v>576</v>
      </c>
      <c r="J945" s="53"/>
      <c r="K945" s="101"/>
      <c r="L945" s="19"/>
      <c r="M945" s="43"/>
      <c r="N945" s="44"/>
      <c r="O945" s="45">
        <f t="shared" si="522"/>
        <v>576</v>
      </c>
      <c r="P945" s="51"/>
      <c r="Q945" s="51"/>
      <c r="R945" s="74">
        <f t="shared" si="519"/>
        <v>426.901595744681</v>
      </c>
      <c r="S945" s="74"/>
      <c r="T945" s="75">
        <f t="shared" si="520"/>
        <v>1.47440159574468</v>
      </c>
      <c r="U945" s="74"/>
      <c r="V945" s="74"/>
      <c r="W945" s="76">
        <f t="shared" si="515"/>
        <v>428.375997340425</v>
      </c>
      <c r="X945" s="77">
        <f t="shared" si="521"/>
        <v>7.18716755319149</v>
      </c>
      <c r="Y945" s="77"/>
      <c r="Z945" s="77"/>
      <c r="AA945" s="77">
        <f t="shared" si="516"/>
        <v>7.18716755319149</v>
      </c>
      <c r="AB945" s="86">
        <v>7.08</v>
      </c>
      <c r="AC945" s="74">
        <f t="shared" si="514"/>
        <v>50.8851462765957</v>
      </c>
      <c r="AD945" s="74">
        <f t="shared" si="517"/>
        <v>479.261143617021</v>
      </c>
      <c r="AE945" s="74">
        <f t="shared" si="518"/>
        <v>96.7388563829787</v>
      </c>
    </row>
    <row r="946" customFormat="1" spans="1:31">
      <c r="A946" s="18"/>
      <c r="B946" s="19"/>
      <c r="C946" s="20">
        <v>240925000027</v>
      </c>
      <c r="D946" s="21">
        <v>45567</v>
      </c>
      <c r="E946" s="21" t="s">
        <v>41</v>
      </c>
      <c r="F946" s="19" t="s">
        <v>41</v>
      </c>
      <c r="G946" s="19" t="s">
        <v>514</v>
      </c>
      <c r="H946" s="19">
        <v>9.5</v>
      </c>
      <c r="I946" s="55"/>
      <c r="J946" s="54">
        <v>151100.5</v>
      </c>
      <c r="K946" s="101"/>
      <c r="L946" s="49">
        <f>SUM(J946/M946)</f>
        <v>1649.74888088219</v>
      </c>
      <c r="M946" s="50">
        <v>91.59</v>
      </c>
      <c r="N946" s="44">
        <v>7.08</v>
      </c>
      <c r="O946" s="100">
        <f>SUM(M946*N946)</f>
        <v>648.4572</v>
      </c>
      <c r="P946" s="51"/>
      <c r="Q946" s="51"/>
      <c r="R946" s="74">
        <f t="shared" si="519"/>
        <v>405.556515957447</v>
      </c>
      <c r="S946" s="74"/>
      <c r="T946" s="75">
        <f t="shared" si="520"/>
        <v>1.40068151595745</v>
      </c>
      <c r="U946" s="74"/>
      <c r="V946" s="74"/>
      <c r="W946" s="76">
        <f t="shared" si="515"/>
        <v>406.957197473404</v>
      </c>
      <c r="X946" s="77">
        <f t="shared" si="521"/>
        <v>6.82780917553191</v>
      </c>
      <c r="Y946" s="77"/>
      <c r="Z946" s="77"/>
      <c r="AA946" s="77">
        <f t="shared" si="516"/>
        <v>6.82780917553191</v>
      </c>
      <c r="AB946" s="86">
        <v>7.08</v>
      </c>
      <c r="AC946" s="74">
        <f t="shared" si="514"/>
        <v>48.340888962766</v>
      </c>
      <c r="AD946" s="74">
        <f t="shared" si="517"/>
        <v>455.29808643617</v>
      </c>
      <c r="AE946" s="74">
        <f t="shared" si="518"/>
        <v>193.15911356383</v>
      </c>
    </row>
    <row r="947" customFormat="1" spans="1:31">
      <c r="A947" s="18"/>
      <c r="B947" s="19"/>
      <c r="C947" s="20">
        <v>240926000002</v>
      </c>
      <c r="D947" s="21">
        <v>45567</v>
      </c>
      <c r="E947" s="21" t="s">
        <v>50</v>
      </c>
      <c r="F947" s="19" t="s">
        <v>51</v>
      </c>
      <c r="G947" s="19" t="s">
        <v>55</v>
      </c>
      <c r="H947" s="19">
        <v>2.5</v>
      </c>
      <c r="I947" s="41">
        <v>145</v>
      </c>
      <c r="J947" s="53"/>
      <c r="K947" s="101"/>
      <c r="L947" s="19"/>
      <c r="M947" s="43"/>
      <c r="N947" s="44"/>
      <c r="O947" s="45">
        <f t="shared" si="522"/>
        <v>145</v>
      </c>
      <c r="P947" s="51"/>
      <c r="Q947" s="51"/>
      <c r="R947" s="74">
        <f t="shared" si="519"/>
        <v>106.72539893617</v>
      </c>
      <c r="S947" s="74"/>
      <c r="T947" s="75">
        <f t="shared" si="520"/>
        <v>0.36860039893617</v>
      </c>
      <c r="U947" s="74"/>
      <c r="V947" s="74"/>
      <c r="W947" s="76">
        <f t="shared" si="515"/>
        <v>107.093999335106</v>
      </c>
      <c r="X947" s="77">
        <f t="shared" si="521"/>
        <v>1.79679188829787</v>
      </c>
      <c r="Y947" s="77"/>
      <c r="Z947" s="77"/>
      <c r="AA947" s="77">
        <f t="shared" si="516"/>
        <v>1.79679188829787</v>
      </c>
      <c r="AB947" s="86">
        <v>7.08</v>
      </c>
      <c r="AC947" s="74">
        <f t="shared" si="514"/>
        <v>12.7212865691489</v>
      </c>
      <c r="AD947" s="74">
        <f t="shared" si="517"/>
        <v>119.815285904255</v>
      </c>
      <c r="AE947" s="74">
        <f t="shared" si="518"/>
        <v>25.1847140957447</v>
      </c>
    </row>
    <row r="948" customFormat="1" spans="1:31">
      <c r="A948" s="18"/>
      <c r="B948" s="19"/>
      <c r="C948" s="20">
        <v>240926000006</v>
      </c>
      <c r="D948" s="21">
        <v>45567</v>
      </c>
      <c r="E948" s="21" t="s">
        <v>50</v>
      </c>
      <c r="F948" s="19" t="s">
        <v>51</v>
      </c>
      <c r="G948" s="19" t="s">
        <v>114</v>
      </c>
      <c r="H948" s="19">
        <v>0.22</v>
      </c>
      <c r="I948" s="41">
        <v>55</v>
      </c>
      <c r="J948" s="53"/>
      <c r="K948" s="101"/>
      <c r="L948" s="19"/>
      <c r="M948" s="43"/>
      <c r="N948" s="44"/>
      <c r="O948" s="45">
        <f t="shared" si="522"/>
        <v>55</v>
      </c>
      <c r="P948" s="51"/>
      <c r="Q948" s="51"/>
      <c r="R948" s="74">
        <f t="shared" si="519"/>
        <v>9.39183510638298</v>
      </c>
      <c r="S948" s="74"/>
      <c r="T948" s="75">
        <f t="shared" si="520"/>
        <v>0.032436835106383</v>
      </c>
      <c r="U948" s="74"/>
      <c r="V948" s="74"/>
      <c r="W948" s="76">
        <f t="shared" si="515"/>
        <v>9.42427194148936</v>
      </c>
      <c r="X948" s="77">
        <f t="shared" si="521"/>
        <v>0.158117686170213</v>
      </c>
      <c r="Y948" s="77"/>
      <c r="Z948" s="77"/>
      <c r="AA948" s="77">
        <f t="shared" si="516"/>
        <v>0.158117686170213</v>
      </c>
      <c r="AB948" s="86">
        <v>7.08</v>
      </c>
      <c r="AC948" s="74">
        <f t="shared" si="514"/>
        <v>1.11947321808511</v>
      </c>
      <c r="AD948" s="74">
        <f t="shared" si="517"/>
        <v>10.5437451595745</v>
      </c>
      <c r="AE948" s="74">
        <f t="shared" si="518"/>
        <v>44.4562548404255</v>
      </c>
    </row>
    <row r="949" customFormat="1" spans="1:31">
      <c r="A949" s="18"/>
      <c r="B949" s="19"/>
      <c r="C949" s="20">
        <v>240926000009</v>
      </c>
      <c r="D949" s="21">
        <v>45567</v>
      </c>
      <c r="E949" s="21" t="s">
        <v>50</v>
      </c>
      <c r="F949" s="19" t="s">
        <v>51</v>
      </c>
      <c r="G949" s="19" t="s">
        <v>571</v>
      </c>
      <c r="H949" s="19">
        <v>6.5</v>
      </c>
      <c r="I949" s="41">
        <v>415.5</v>
      </c>
      <c r="J949" s="53"/>
      <c r="K949" s="101"/>
      <c r="L949" s="19"/>
      <c r="M949" s="43"/>
      <c r="N949" s="44"/>
      <c r="O949" s="45">
        <f t="shared" si="522"/>
        <v>415.5</v>
      </c>
      <c r="P949" s="51"/>
      <c r="Q949" s="51"/>
      <c r="R949" s="74">
        <f t="shared" si="519"/>
        <v>277.486037234043</v>
      </c>
      <c r="S949" s="74"/>
      <c r="T949" s="75">
        <f t="shared" si="520"/>
        <v>0.958361037234042</v>
      </c>
      <c r="U949" s="74"/>
      <c r="V949" s="74"/>
      <c r="W949" s="76">
        <f t="shared" si="515"/>
        <v>278.444398271277</v>
      </c>
      <c r="X949" s="77">
        <f t="shared" si="521"/>
        <v>4.67165890957447</v>
      </c>
      <c r="Y949" s="77"/>
      <c r="Z949" s="77"/>
      <c r="AA949" s="77">
        <f t="shared" si="516"/>
        <v>4.67165890957447</v>
      </c>
      <c r="AB949" s="86">
        <v>7.08</v>
      </c>
      <c r="AC949" s="74">
        <f t="shared" si="514"/>
        <v>33.0753450797872</v>
      </c>
      <c r="AD949" s="74">
        <f t="shared" si="517"/>
        <v>311.519743351064</v>
      </c>
      <c r="AE949" s="74">
        <f t="shared" si="518"/>
        <v>103.980256648936</v>
      </c>
    </row>
    <row r="950" customFormat="1" spans="1:31">
      <c r="A950" s="18"/>
      <c r="B950" s="19"/>
      <c r="C950" s="20">
        <v>240926000010</v>
      </c>
      <c r="D950" s="21">
        <v>45567</v>
      </c>
      <c r="E950" s="21" t="s">
        <v>62</v>
      </c>
      <c r="F950" s="19" t="s">
        <v>63</v>
      </c>
      <c r="G950" s="19" t="s">
        <v>102</v>
      </c>
      <c r="H950" s="19">
        <v>33.5</v>
      </c>
      <c r="I950" s="47"/>
      <c r="J950" s="54">
        <v>447821</v>
      </c>
      <c r="K950" s="101"/>
      <c r="L950" s="49">
        <f>SUM(J950/M950)</f>
        <v>1713.3603703562</v>
      </c>
      <c r="M950" s="50">
        <v>261.37</v>
      </c>
      <c r="N950" s="44">
        <v>7.08</v>
      </c>
      <c r="O950" s="45">
        <f>SUM(M950*N950)</f>
        <v>1850.4996</v>
      </c>
      <c r="P950" s="51"/>
      <c r="Q950" s="51"/>
      <c r="R950" s="74">
        <f t="shared" si="519"/>
        <v>1430.12034574468</v>
      </c>
      <c r="S950" s="74"/>
      <c r="T950" s="75">
        <f t="shared" si="520"/>
        <v>4.93924534574468</v>
      </c>
      <c r="U950" s="74"/>
      <c r="V950" s="74"/>
      <c r="W950" s="76">
        <f t="shared" si="515"/>
        <v>1435.05959109043</v>
      </c>
      <c r="X950" s="77">
        <f t="shared" si="521"/>
        <v>24.0770113031915</v>
      </c>
      <c r="Y950" s="77"/>
      <c r="Z950" s="77"/>
      <c r="AA950" s="77">
        <f t="shared" si="516"/>
        <v>24.0770113031915</v>
      </c>
      <c r="AB950" s="86">
        <v>7.08</v>
      </c>
      <c r="AC950" s="74">
        <f t="shared" si="514"/>
        <v>170.465240026596</v>
      </c>
      <c r="AD950" s="74">
        <f t="shared" si="517"/>
        <v>1605.52483111702</v>
      </c>
      <c r="AE950" s="74">
        <f t="shared" si="518"/>
        <v>244.974768882979</v>
      </c>
    </row>
    <row r="951" customFormat="1" spans="1:31">
      <c r="A951" s="18"/>
      <c r="B951" s="19"/>
      <c r="C951" s="20">
        <v>240926000013</v>
      </c>
      <c r="D951" s="21">
        <v>45567</v>
      </c>
      <c r="E951" s="21" t="s">
        <v>62</v>
      </c>
      <c r="F951" s="19" t="s">
        <v>63</v>
      </c>
      <c r="G951" s="19" t="s">
        <v>572</v>
      </c>
      <c r="H951" s="19">
        <v>6.5</v>
      </c>
      <c r="I951" s="41">
        <v>726.5</v>
      </c>
      <c r="J951" s="53"/>
      <c r="K951" s="101"/>
      <c r="L951" s="19"/>
      <c r="M951" s="43"/>
      <c r="N951" s="44"/>
      <c r="O951" s="45">
        <f t="shared" ref="O951:O957" si="523">SUM(I951)</f>
        <v>726.5</v>
      </c>
      <c r="P951" s="51"/>
      <c r="Q951" s="51"/>
      <c r="R951" s="74">
        <f t="shared" si="519"/>
        <v>277.486037234043</v>
      </c>
      <c r="S951" s="74"/>
      <c r="T951" s="75">
        <f t="shared" si="520"/>
        <v>0.958361037234042</v>
      </c>
      <c r="U951" s="74"/>
      <c r="V951" s="74"/>
      <c r="W951" s="76">
        <f t="shared" si="515"/>
        <v>278.444398271277</v>
      </c>
      <c r="X951" s="77">
        <f t="shared" si="521"/>
        <v>4.67165890957447</v>
      </c>
      <c r="Y951" s="77"/>
      <c r="Z951" s="77"/>
      <c r="AA951" s="77">
        <f t="shared" si="516"/>
        <v>4.67165890957447</v>
      </c>
      <c r="AB951" s="86">
        <v>7.08</v>
      </c>
      <c r="AC951" s="74">
        <f t="shared" si="514"/>
        <v>33.0753450797872</v>
      </c>
      <c r="AD951" s="74">
        <f t="shared" si="517"/>
        <v>311.519743351064</v>
      </c>
      <c r="AE951" s="74">
        <f t="shared" si="518"/>
        <v>414.980256648936</v>
      </c>
    </row>
    <row r="952" customFormat="1" spans="1:31">
      <c r="A952" s="18"/>
      <c r="B952" s="19"/>
      <c r="C952" s="20">
        <v>240926000022</v>
      </c>
      <c r="D952" s="21">
        <v>45567</v>
      </c>
      <c r="E952" s="21" t="s">
        <v>46</v>
      </c>
      <c r="F952" s="19" t="s">
        <v>47</v>
      </c>
      <c r="G952" s="19" t="s">
        <v>272</v>
      </c>
      <c r="H952" s="19">
        <v>18</v>
      </c>
      <c r="I952" s="45"/>
      <c r="J952" s="54">
        <v>256572.06</v>
      </c>
      <c r="K952" s="101"/>
      <c r="L952" s="49">
        <f>SUM(J952/M952)</f>
        <v>1739</v>
      </c>
      <c r="M952" s="50">
        <v>147.54</v>
      </c>
      <c r="N952" s="44">
        <v>7.08</v>
      </c>
      <c r="O952" s="45">
        <f>SUM(M952*N952)</f>
        <v>1044.5832</v>
      </c>
      <c r="P952" s="51"/>
      <c r="Q952" s="51"/>
      <c r="R952" s="74">
        <f t="shared" si="519"/>
        <v>768.422872340426</v>
      </c>
      <c r="S952" s="74"/>
      <c r="T952" s="75">
        <f t="shared" si="520"/>
        <v>2.65392287234043</v>
      </c>
      <c r="U952" s="74"/>
      <c r="V952" s="74"/>
      <c r="W952" s="76">
        <f t="shared" si="515"/>
        <v>771.076795212766</v>
      </c>
      <c r="X952" s="77">
        <f t="shared" si="521"/>
        <v>12.9369015957447</v>
      </c>
      <c r="Y952" s="77"/>
      <c r="Z952" s="77"/>
      <c r="AA952" s="77">
        <f t="shared" si="516"/>
        <v>12.9369015957447</v>
      </c>
      <c r="AB952" s="86">
        <v>7.08</v>
      </c>
      <c r="AC952" s="74">
        <f t="shared" si="514"/>
        <v>91.5932632978723</v>
      </c>
      <c r="AD952" s="74">
        <f t="shared" si="517"/>
        <v>862.670058510638</v>
      </c>
      <c r="AE952" s="74">
        <f t="shared" si="518"/>
        <v>181.913141489362</v>
      </c>
    </row>
    <row r="953" customFormat="1" spans="1:31">
      <c r="A953" s="18"/>
      <c r="B953" s="19"/>
      <c r="C953" s="22">
        <v>240926000025</v>
      </c>
      <c r="D953" s="23">
        <v>45567</v>
      </c>
      <c r="E953" s="21" t="s">
        <v>62</v>
      </c>
      <c r="F953" s="24" t="s">
        <v>63</v>
      </c>
      <c r="G953" s="24" t="s">
        <v>88</v>
      </c>
      <c r="H953" s="24">
        <v>8.5</v>
      </c>
      <c r="I953" s="41">
        <v>817.5</v>
      </c>
      <c r="J953" s="53"/>
      <c r="K953" s="101"/>
      <c r="L953" s="19"/>
      <c r="M953" s="43"/>
      <c r="N953" s="44"/>
      <c r="O953" s="45">
        <f t="shared" si="523"/>
        <v>817.5</v>
      </c>
      <c r="P953" s="51"/>
      <c r="Q953" s="51"/>
      <c r="R953" s="74">
        <f t="shared" si="519"/>
        <v>362.866356382979</v>
      </c>
      <c r="S953" s="74"/>
      <c r="T953" s="75">
        <f t="shared" si="520"/>
        <v>1.25324135638298</v>
      </c>
      <c r="U953" s="74"/>
      <c r="V953" s="74"/>
      <c r="W953" s="76">
        <f t="shared" si="515"/>
        <v>364.119597739362</v>
      </c>
      <c r="X953" s="77">
        <f t="shared" si="521"/>
        <v>6.10909242021277</v>
      </c>
      <c r="Y953" s="77"/>
      <c r="Z953" s="77"/>
      <c r="AA953" s="77">
        <f t="shared" si="516"/>
        <v>6.10909242021277</v>
      </c>
      <c r="AB953" s="86">
        <v>7.08</v>
      </c>
      <c r="AC953" s="74">
        <f t="shared" si="514"/>
        <v>43.2523743351064</v>
      </c>
      <c r="AD953" s="74">
        <f t="shared" si="517"/>
        <v>407.371972074468</v>
      </c>
      <c r="AE953" s="74">
        <f t="shared" si="518"/>
        <v>410.128027925532</v>
      </c>
    </row>
    <row r="954" customFormat="1" spans="1:31">
      <c r="A954" s="18"/>
      <c r="B954" s="19"/>
      <c r="C954" s="20">
        <v>240926000030</v>
      </c>
      <c r="D954" s="21">
        <v>45567</v>
      </c>
      <c r="E954" s="21" t="s">
        <v>46</v>
      </c>
      <c r="F954" s="19" t="s">
        <v>47</v>
      </c>
      <c r="G954" s="19" t="s">
        <v>175</v>
      </c>
      <c r="H954" s="19">
        <v>6</v>
      </c>
      <c r="I954" s="41">
        <v>348</v>
      </c>
      <c r="J954" s="53"/>
      <c r="K954" s="101"/>
      <c r="L954" s="19"/>
      <c r="M954" s="43"/>
      <c r="N954" s="44"/>
      <c r="O954" s="45">
        <f t="shared" si="523"/>
        <v>348</v>
      </c>
      <c r="P954" s="51"/>
      <c r="Q954" s="51"/>
      <c r="R954" s="74">
        <f t="shared" si="519"/>
        <v>256.140957446808</v>
      </c>
      <c r="S954" s="74"/>
      <c r="T954" s="75">
        <f t="shared" si="520"/>
        <v>0.884640957446808</v>
      </c>
      <c r="U954" s="74"/>
      <c r="V954" s="74"/>
      <c r="W954" s="76">
        <f t="shared" si="515"/>
        <v>257.025598404255</v>
      </c>
      <c r="X954" s="77">
        <f t="shared" si="521"/>
        <v>4.31230053191489</v>
      </c>
      <c r="Y954" s="77"/>
      <c r="Z954" s="77"/>
      <c r="AA954" s="77">
        <f t="shared" si="516"/>
        <v>4.31230053191489</v>
      </c>
      <c r="AB954" s="86">
        <v>7.08</v>
      </c>
      <c r="AC954" s="74">
        <f t="shared" si="514"/>
        <v>30.5310877659574</v>
      </c>
      <c r="AD954" s="74">
        <f t="shared" si="517"/>
        <v>287.556686170213</v>
      </c>
      <c r="AE954" s="74">
        <f t="shared" si="518"/>
        <v>60.4433138297872</v>
      </c>
    </row>
    <row r="955" customFormat="1" spans="1:31">
      <c r="A955" s="18"/>
      <c r="B955" s="19"/>
      <c r="C955" s="20">
        <v>240926000031</v>
      </c>
      <c r="D955" s="21">
        <v>45567</v>
      </c>
      <c r="E955" s="21" t="s">
        <v>37</v>
      </c>
      <c r="F955" s="19" t="s">
        <v>38</v>
      </c>
      <c r="G955" s="19" t="s">
        <v>293</v>
      </c>
      <c r="H955" s="19">
        <v>1.5</v>
      </c>
      <c r="I955" s="41">
        <v>93</v>
      </c>
      <c r="J955" s="53"/>
      <c r="K955" s="101"/>
      <c r="L955" s="19"/>
      <c r="M955" s="43"/>
      <c r="N955" s="44"/>
      <c r="O955" s="45">
        <f t="shared" si="523"/>
        <v>93</v>
      </c>
      <c r="P955" s="51"/>
      <c r="Q955" s="51"/>
      <c r="R955" s="74">
        <f t="shared" si="519"/>
        <v>64.0352393617021</v>
      </c>
      <c r="S955" s="74"/>
      <c r="T955" s="75">
        <f t="shared" si="520"/>
        <v>0.221160239361702</v>
      </c>
      <c r="U955" s="74"/>
      <c r="V955" s="74"/>
      <c r="W955" s="76">
        <f t="shared" si="515"/>
        <v>64.2563996010638</v>
      </c>
      <c r="X955" s="77">
        <f t="shared" si="521"/>
        <v>1.07807513297872</v>
      </c>
      <c r="Y955" s="77"/>
      <c r="Z955" s="77"/>
      <c r="AA955" s="77">
        <f t="shared" si="516"/>
        <v>1.07807513297872</v>
      </c>
      <c r="AB955" s="86">
        <v>7.08</v>
      </c>
      <c r="AC955" s="74">
        <f t="shared" si="514"/>
        <v>7.63277194148936</v>
      </c>
      <c r="AD955" s="74">
        <f t="shared" si="517"/>
        <v>71.8891715425532</v>
      </c>
      <c r="AE955" s="74">
        <f t="shared" si="518"/>
        <v>21.1108284574468</v>
      </c>
    </row>
    <row r="956" customFormat="1" spans="1:31">
      <c r="A956" s="18"/>
      <c r="B956" s="19"/>
      <c r="C956" s="20">
        <v>240926000035</v>
      </c>
      <c r="D956" s="21">
        <v>45567</v>
      </c>
      <c r="E956" s="21" t="s">
        <v>41</v>
      </c>
      <c r="F956" s="19" t="s">
        <v>41</v>
      </c>
      <c r="G956" s="19" t="s">
        <v>458</v>
      </c>
      <c r="H956" s="19">
        <v>73</v>
      </c>
      <c r="I956" s="41">
        <v>4380</v>
      </c>
      <c r="J956" s="53"/>
      <c r="K956" s="101"/>
      <c r="L956" s="19"/>
      <c r="M956" s="43"/>
      <c r="N956" s="44"/>
      <c r="O956" s="45">
        <f t="shared" si="523"/>
        <v>4380</v>
      </c>
      <c r="P956" s="51"/>
      <c r="Q956" s="51"/>
      <c r="R956" s="74">
        <f t="shared" si="519"/>
        <v>3116.38164893617</v>
      </c>
      <c r="S956" s="74"/>
      <c r="T956" s="75">
        <f t="shared" si="520"/>
        <v>10.7631316489362</v>
      </c>
      <c r="U956" s="74"/>
      <c r="V956" s="74"/>
      <c r="W956" s="76">
        <f t="shared" si="515"/>
        <v>3127.14478058511</v>
      </c>
      <c r="X956" s="77">
        <f t="shared" si="521"/>
        <v>52.4663231382979</v>
      </c>
      <c r="Y956" s="77"/>
      <c r="Z956" s="77"/>
      <c r="AA956" s="77">
        <f t="shared" si="516"/>
        <v>52.4663231382979</v>
      </c>
      <c r="AB956" s="86">
        <v>7.08</v>
      </c>
      <c r="AC956" s="74">
        <f t="shared" si="514"/>
        <v>371.461567819149</v>
      </c>
      <c r="AD956" s="74">
        <f t="shared" si="517"/>
        <v>3498.60634840426</v>
      </c>
      <c r="AE956" s="74">
        <f t="shared" si="518"/>
        <v>881.393651595745</v>
      </c>
    </row>
    <row r="957" customFormat="1" spans="1:31">
      <c r="A957" s="18"/>
      <c r="B957" s="19"/>
      <c r="C957" s="20">
        <v>240926000041</v>
      </c>
      <c r="D957" s="21">
        <v>45567</v>
      </c>
      <c r="E957" s="21" t="s">
        <v>46</v>
      </c>
      <c r="F957" s="19" t="s">
        <v>47</v>
      </c>
      <c r="G957" s="19" t="s">
        <v>508</v>
      </c>
      <c r="H957" s="19">
        <v>48</v>
      </c>
      <c r="I957" s="41">
        <v>2976</v>
      </c>
      <c r="J957" s="53"/>
      <c r="K957" s="101"/>
      <c r="L957" s="19"/>
      <c r="M957" s="43"/>
      <c r="N957" s="44"/>
      <c r="O957" s="45">
        <f t="shared" si="523"/>
        <v>2976</v>
      </c>
      <c r="P957" s="51"/>
      <c r="Q957" s="51"/>
      <c r="R957" s="74">
        <f t="shared" si="519"/>
        <v>2049.12765957447</v>
      </c>
      <c r="S957" s="74"/>
      <c r="T957" s="75">
        <f t="shared" si="520"/>
        <v>7.07712765957447</v>
      </c>
      <c r="U957" s="74"/>
      <c r="V957" s="74"/>
      <c r="W957" s="76">
        <f t="shared" si="515"/>
        <v>2056.20478723404</v>
      </c>
      <c r="X957" s="77">
        <f t="shared" si="521"/>
        <v>34.4984042553191</v>
      </c>
      <c r="Y957" s="77"/>
      <c r="Z957" s="77"/>
      <c r="AA957" s="77">
        <f t="shared" si="516"/>
        <v>34.4984042553191</v>
      </c>
      <c r="AB957" s="86">
        <v>7.08</v>
      </c>
      <c r="AC957" s="74">
        <f t="shared" si="514"/>
        <v>244.24870212766</v>
      </c>
      <c r="AD957" s="74">
        <f t="shared" si="517"/>
        <v>2300.4534893617</v>
      </c>
      <c r="AE957" s="74">
        <f t="shared" si="518"/>
        <v>675.546510638298</v>
      </c>
    </row>
    <row r="958" customFormat="1" spans="1:31">
      <c r="A958" s="18"/>
      <c r="B958" s="19"/>
      <c r="C958" s="20">
        <v>240927000004</v>
      </c>
      <c r="D958" s="21">
        <v>45567</v>
      </c>
      <c r="E958" s="21" t="s">
        <v>46</v>
      </c>
      <c r="F958" s="19" t="s">
        <v>47</v>
      </c>
      <c r="G958" s="19" t="s">
        <v>225</v>
      </c>
      <c r="H958" s="19">
        <v>9</v>
      </c>
      <c r="I958" s="47"/>
      <c r="J958" s="54">
        <v>125712</v>
      </c>
      <c r="K958" s="101"/>
      <c r="L958" s="49">
        <f>SUM(J958/M958)</f>
        <v>1660.66050198151</v>
      </c>
      <c r="M958" s="50">
        <v>75.7</v>
      </c>
      <c r="N958" s="44">
        <v>7.08</v>
      </c>
      <c r="O958" s="45">
        <f>SUM(M958*N958)</f>
        <v>535.956</v>
      </c>
      <c r="P958" s="51"/>
      <c r="Q958" s="51"/>
      <c r="R958" s="74">
        <f t="shared" si="519"/>
        <v>384.211436170213</v>
      </c>
      <c r="S958" s="74"/>
      <c r="T958" s="75">
        <f t="shared" si="520"/>
        <v>1.32696143617021</v>
      </c>
      <c r="U958" s="74"/>
      <c r="V958" s="74"/>
      <c r="W958" s="76">
        <f t="shared" si="515"/>
        <v>385.538397606383</v>
      </c>
      <c r="X958" s="77">
        <f t="shared" si="521"/>
        <v>6.46845079787234</v>
      </c>
      <c r="Y958" s="77"/>
      <c r="Z958" s="77"/>
      <c r="AA958" s="77">
        <f t="shared" si="516"/>
        <v>6.46845079787234</v>
      </c>
      <c r="AB958" s="86">
        <v>7.08</v>
      </c>
      <c r="AC958" s="74">
        <f t="shared" si="514"/>
        <v>45.7966316489362</v>
      </c>
      <c r="AD958" s="74">
        <f t="shared" si="517"/>
        <v>431.335029255319</v>
      </c>
      <c r="AE958" s="74">
        <f t="shared" si="518"/>
        <v>104.620970744681</v>
      </c>
    </row>
    <row r="959" customFormat="1" spans="1:31">
      <c r="A959" s="18"/>
      <c r="B959" s="19"/>
      <c r="C959" s="20">
        <v>240927000005</v>
      </c>
      <c r="D959" s="21">
        <v>45567</v>
      </c>
      <c r="E959" s="21" t="s">
        <v>46</v>
      </c>
      <c r="F959" s="19" t="s">
        <v>47</v>
      </c>
      <c r="G959" s="19" t="s">
        <v>573</v>
      </c>
      <c r="H959" s="19">
        <v>10.5</v>
      </c>
      <c r="I959" s="45"/>
      <c r="J959" s="54">
        <v>150284</v>
      </c>
      <c r="K959" s="101"/>
      <c r="L959" s="49">
        <f>SUM(J959/M959)</f>
        <v>1672.23776968053</v>
      </c>
      <c r="M959" s="50">
        <v>89.869995</v>
      </c>
      <c r="N959" s="44">
        <v>7.08</v>
      </c>
      <c r="O959" s="45">
        <f>SUM(M959*N959)</f>
        <v>636.2795646</v>
      </c>
      <c r="P959" s="51"/>
      <c r="Q959" s="51"/>
      <c r="R959" s="74">
        <f t="shared" si="519"/>
        <v>448.246675531915</v>
      </c>
      <c r="S959" s="74"/>
      <c r="T959" s="75">
        <f t="shared" si="520"/>
        <v>1.54812167553191</v>
      </c>
      <c r="U959" s="74"/>
      <c r="V959" s="74"/>
      <c r="W959" s="76">
        <f t="shared" si="515"/>
        <v>449.794797207447</v>
      </c>
      <c r="X959" s="77">
        <f t="shared" si="521"/>
        <v>7.54652593085106</v>
      </c>
      <c r="Y959" s="77"/>
      <c r="Z959" s="77"/>
      <c r="AA959" s="77">
        <f t="shared" si="516"/>
        <v>7.54652593085106</v>
      </c>
      <c r="AB959" s="86">
        <v>7.08</v>
      </c>
      <c r="AC959" s="74">
        <f t="shared" si="514"/>
        <v>53.4294035904255</v>
      </c>
      <c r="AD959" s="74">
        <f t="shared" si="517"/>
        <v>503.224200797872</v>
      </c>
      <c r="AE959" s="74">
        <f t="shared" si="518"/>
        <v>133.055363802128</v>
      </c>
    </row>
    <row r="960" customFormat="1" spans="1:31">
      <c r="A960" s="18"/>
      <c r="B960" s="19"/>
      <c r="C960" s="20">
        <v>240927000006</v>
      </c>
      <c r="D960" s="21">
        <v>45567</v>
      </c>
      <c r="E960" s="21" t="s">
        <v>46</v>
      </c>
      <c r="F960" s="19" t="s">
        <v>47</v>
      </c>
      <c r="G960" s="19" t="s">
        <v>574</v>
      </c>
      <c r="H960" s="19">
        <v>8.5</v>
      </c>
      <c r="I960" s="41">
        <v>513</v>
      </c>
      <c r="J960" s="53"/>
      <c r="K960" s="101"/>
      <c r="L960" s="19"/>
      <c r="M960" s="43"/>
      <c r="N960" s="44"/>
      <c r="O960" s="45">
        <f t="shared" ref="O960:O963" si="524">SUM(I960)</f>
        <v>513</v>
      </c>
      <c r="P960" s="51"/>
      <c r="Q960" s="51"/>
      <c r="R960" s="74">
        <f t="shared" si="519"/>
        <v>362.866356382979</v>
      </c>
      <c r="S960" s="74"/>
      <c r="T960" s="75">
        <f t="shared" si="520"/>
        <v>1.25324135638298</v>
      </c>
      <c r="U960" s="74"/>
      <c r="V960" s="74"/>
      <c r="W960" s="76">
        <f t="shared" si="515"/>
        <v>364.119597739362</v>
      </c>
      <c r="X960" s="77">
        <f t="shared" si="521"/>
        <v>6.10909242021277</v>
      </c>
      <c r="Y960" s="77"/>
      <c r="Z960" s="77"/>
      <c r="AA960" s="77">
        <f t="shared" si="516"/>
        <v>6.10909242021277</v>
      </c>
      <c r="AB960" s="86">
        <v>7.08</v>
      </c>
      <c r="AC960" s="74">
        <f t="shared" si="514"/>
        <v>43.2523743351064</v>
      </c>
      <c r="AD960" s="74">
        <f t="shared" si="517"/>
        <v>407.371972074468</v>
      </c>
      <c r="AE960" s="74">
        <f t="shared" si="518"/>
        <v>105.628027925532</v>
      </c>
    </row>
    <row r="961" customFormat="1" spans="1:31">
      <c r="A961" s="18"/>
      <c r="B961" s="19"/>
      <c r="C961" s="20">
        <v>240927000008</v>
      </c>
      <c r="D961" s="21">
        <v>45567</v>
      </c>
      <c r="E961" s="21" t="s">
        <v>43</v>
      </c>
      <c r="F961" s="19" t="s">
        <v>44</v>
      </c>
      <c r="G961" s="19" t="s">
        <v>313</v>
      </c>
      <c r="H961" s="19">
        <v>20</v>
      </c>
      <c r="I961" s="41">
        <v>1146</v>
      </c>
      <c r="J961" s="53"/>
      <c r="K961" s="101"/>
      <c r="L961" s="19"/>
      <c r="M961" s="43"/>
      <c r="N961" s="44"/>
      <c r="O961" s="45">
        <f t="shared" si="524"/>
        <v>1146</v>
      </c>
      <c r="P961" s="51"/>
      <c r="Q961" s="51"/>
      <c r="R961" s="74">
        <f t="shared" si="519"/>
        <v>853.803191489362</v>
      </c>
      <c r="S961" s="74"/>
      <c r="T961" s="75">
        <f t="shared" si="520"/>
        <v>2.94880319148936</v>
      </c>
      <c r="U961" s="74"/>
      <c r="V961" s="74"/>
      <c r="W961" s="76">
        <f t="shared" si="515"/>
        <v>856.751994680851</v>
      </c>
      <c r="X961" s="77">
        <f t="shared" si="521"/>
        <v>14.374335106383</v>
      </c>
      <c r="Y961" s="77"/>
      <c r="Z961" s="77"/>
      <c r="AA961" s="77">
        <f t="shared" si="516"/>
        <v>14.374335106383</v>
      </c>
      <c r="AB961" s="86">
        <v>7.08</v>
      </c>
      <c r="AC961" s="74">
        <f t="shared" si="514"/>
        <v>101.770292553191</v>
      </c>
      <c r="AD961" s="74">
        <f t="shared" si="517"/>
        <v>958.522287234043</v>
      </c>
      <c r="AE961" s="74">
        <f t="shared" si="518"/>
        <v>187.477712765957</v>
      </c>
    </row>
    <row r="962" customFormat="1" spans="1:31">
      <c r="A962" s="18"/>
      <c r="B962" s="19"/>
      <c r="C962" s="20">
        <v>240927000014</v>
      </c>
      <c r="D962" s="21">
        <v>45567</v>
      </c>
      <c r="E962" s="21" t="s">
        <v>41</v>
      </c>
      <c r="F962" s="19" t="s">
        <v>41</v>
      </c>
      <c r="G962" s="19" t="s">
        <v>575</v>
      </c>
      <c r="H962" s="19">
        <v>3.5</v>
      </c>
      <c r="I962" s="41">
        <v>213</v>
      </c>
      <c r="J962" s="53"/>
      <c r="K962" s="101"/>
      <c r="L962" s="19"/>
      <c r="M962" s="43"/>
      <c r="N962" s="44"/>
      <c r="O962" s="45">
        <f t="shared" si="524"/>
        <v>213</v>
      </c>
      <c r="P962" s="51"/>
      <c r="Q962" s="51"/>
      <c r="R962" s="74">
        <f t="shared" si="519"/>
        <v>149.415558510638</v>
      </c>
      <c r="S962" s="74"/>
      <c r="T962" s="75">
        <f t="shared" si="520"/>
        <v>0.516040558510638</v>
      </c>
      <c r="U962" s="74"/>
      <c r="V962" s="74"/>
      <c r="W962" s="76">
        <f t="shared" si="515"/>
        <v>149.931599069149</v>
      </c>
      <c r="X962" s="77">
        <f t="shared" si="521"/>
        <v>2.51550864361702</v>
      </c>
      <c r="Y962" s="77"/>
      <c r="Z962" s="77"/>
      <c r="AA962" s="77">
        <f t="shared" si="516"/>
        <v>2.51550864361702</v>
      </c>
      <c r="AB962" s="86">
        <v>7.08</v>
      </c>
      <c r="AC962" s="74">
        <f t="shared" si="514"/>
        <v>17.8098011968085</v>
      </c>
      <c r="AD962" s="74">
        <f t="shared" si="517"/>
        <v>167.741400265957</v>
      </c>
      <c r="AE962" s="74">
        <f t="shared" si="518"/>
        <v>45.2585997340426</v>
      </c>
    </row>
    <row r="963" customFormat="1" spans="1:31">
      <c r="A963" s="18"/>
      <c r="B963" s="19"/>
      <c r="C963" s="20">
        <v>240927000016</v>
      </c>
      <c r="D963" s="21">
        <v>45567</v>
      </c>
      <c r="E963" s="21" t="s">
        <v>191</v>
      </c>
      <c r="F963" s="19" t="s">
        <v>192</v>
      </c>
      <c r="G963" s="19" t="s">
        <v>576</v>
      </c>
      <c r="H963" s="19">
        <v>8</v>
      </c>
      <c r="I963" s="41">
        <v>510</v>
      </c>
      <c r="J963" s="53"/>
      <c r="K963" s="101"/>
      <c r="L963" s="19"/>
      <c r="M963" s="43"/>
      <c r="N963" s="44"/>
      <c r="O963" s="45">
        <f t="shared" si="524"/>
        <v>510</v>
      </c>
      <c r="P963" s="51"/>
      <c r="Q963" s="51"/>
      <c r="R963" s="74">
        <f t="shared" si="519"/>
        <v>341.521276595745</v>
      </c>
      <c r="S963" s="74"/>
      <c r="T963" s="75">
        <f t="shared" si="520"/>
        <v>1.17952127659574</v>
      </c>
      <c r="U963" s="74"/>
      <c r="V963" s="74"/>
      <c r="W963" s="76">
        <f t="shared" si="515"/>
        <v>342.70079787234</v>
      </c>
      <c r="X963" s="77">
        <f t="shared" si="521"/>
        <v>5.74973404255319</v>
      </c>
      <c r="Y963" s="77"/>
      <c r="Z963" s="77"/>
      <c r="AA963" s="77">
        <f t="shared" si="516"/>
        <v>5.74973404255319</v>
      </c>
      <c r="AB963" s="86">
        <v>7.08</v>
      </c>
      <c r="AC963" s="74">
        <f t="shared" si="514"/>
        <v>40.7081170212766</v>
      </c>
      <c r="AD963" s="74">
        <f t="shared" si="517"/>
        <v>383.408914893617</v>
      </c>
      <c r="AE963" s="74">
        <f t="shared" si="518"/>
        <v>126.591085106383</v>
      </c>
    </row>
    <row r="964" customFormat="1" spans="1:31">
      <c r="A964" s="18"/>
      <c r="B964" s="19"/>
      <c r="C964" s="20">
        <v>240927000020</v>
      </c>
      <c r="D964" s="21">
        <v>45567</v>
      </c>
      <c r="E964" s="21" t="s">
        <v>50</v>
      </c>
      <c r="F964" s="19" t="s">
        <v>51</v>
      </c>
      <c r="G964" s="19" t="s">
        <v>87</v>
      </c>
      <c r="H964" s="19">
        <v>38</v>
      </c>
      <c r="I964" s="47"/>
      <c r="J964" s="54">
        <v>514140</v>
      </c>
      <c r="K964" s="101"/>
      <c r="L964" s="49">
        <f t="shared" ref="L964:L966" si="525">SUM(J964/M964)</f>
        <v>1741.72566821369</v>
      </c>
      <c r="M964" s="50">
        <v>295.19</v>
      </c>
      <c r="N964" s="44">
        <v>7.08</v>
      </c>
      <c r="O964" s="45">
        <f t="shared" ref="O964:O966" si="526">SUM(M964*N964)</f>
        <v>2089.9452</v>
      </c>
      <c r="P964" s="51"/>
      <c r="Q964" s="51"/>
      <c r="R964" s="74">
        <f t="shared" si="519"/>
        <v>1622.22606382979</v>
      </c>
      <c r="S964" s="74"/>
      <c r="T964" s="75">
        <f t="shared" si="520"/>
        <v>5.60272606382979</v>
      </c>
      <c r="U964" s="74"/>
      <c r="V964" s="74"/>
      <c r="W964" s="76">
        <f t="shared" si="515"/>
        <v>1627.82878989362</v>
      </c>
      <c r="X964" s="77">
        <f t="shared" si="521"/>
        <v>27.3112367021277</v>
      </c>
      <c r="Y964" s="77"/>
      <c r="Z964" s="77"/>
      <c r="AA964" s="77">
        <f t="shared" si="516"/>
        <v>27.3112367021277</v>
      </c>
      <c r="AB964" s="86">
        <v>7.08</v>
      </c>
      <c r="AC964" s="74">
        <f t="shared" si="514"/>
        <v>193.363555851064</v>
      </c>
      <c r="AD964" s="74">
        <f t="shared" si="517"/>
        <v>1821.19234574468</v>
      </c>
      <c r="AE964" s="74">
        <f t="shared" si="518"/>
        <v>268.752854255319</v>
      </c>
    </row>
    <row r="965" customFormat="1" spans="1:31">
      <c r="A965" s="18"/>
      <c r="B965" s="19"/>
      <c r="C965" s="20">
        <v>240927000021</v>
      </c>
      <c r="D965" s="21">
        <v>45567</v>
      </c>
      <c r="E965" s="21" t="s">
        <v>50</v>
      </c>
      <c r="F965" s="19" t="s">
        <v>51</v>
      </c>
      <c r="G965" s="19" t="s">
        <v>87</v>
      </c>
      <c r="H965" s="19">
        <v>25</v>
      </c>
      <c r="I965" s="47"/>
      <c r="J965" s="54">
        <v>351780</v>
      </c>
      <c r="K965" s="101"/>
      <c r="L965" s="49">
        <f t="shared" si="525"/>
        <v>1741.7438233401</v>
      </c>
      <c r="M965" s="50">
        <v>201.97</v>
      </c>
      <c r="N965" s="44">
        <v>7.08</v>
      </c>
      <c r="O965" s="45">
        <f t="shared" si="526"/>
        <v>1429.9476</v>
      </c>
      <c r="P965" s="51"/>
      <c r="Q965" s="51"/>
      <c r="R965" s="74">
        <f t="shared" si="519"/>
        <v>1067.2539893617</v>
      </c>
      <c r="S965" s="74"/>
      <c r="T965" s="75">
        <f t="shared" si="520"/>
        <v>3.6860039893617</v>
      </c>
      <c r="U965" s="74"/>
      <c r="V965" s="74">
        <v>47.74</v>
      </c>
      <c r="W965" s="76">
        <f t="shared" si="515"/>
        <v>1118.67999335106</v>
      </c>
      <c r="X965" s="77">
        <f t="shared" si="521"/>
        <v>17.9679188829787</v>
      </c>
      <c r="Y965" s="77"/>
      <c r="Z965" s="77"/>
      <c r="AA965" s="77">
        <f t="shared" si="516"/>
        <v>17.9679188829787</v>
      </c>
      <c r="AB965" s="86">
        <v>7.08</v>
      </c>
      <c r="AC965" s="74">
        <f t="shared" si="514"/>
        <v>127.212865691489</v>
      </c>
      <c r="AD965" s="74">
        <f t="shared" si="517"/>
        <v>1245.89285904255</v>
      </c>
      <c r="AE965" s="74">
        <f t="shared" si="518"/>
        <v>184.054740957447</v>
      </c>
    </row>
    <row r="966" customFormat="1" spans="1:31">
      <c r="A966" s="18"/>
      <c r="B966" s="19"/>
      <c r="C966" s="20">
        <v>240927000024</v>
      </c>
      <c r="D966" s="21">
        <v>45567</v>
      </c>
      <c r="E966" s="21" t="s">
        <v>43</v>
      </c>
      <c r="F966" s="19" t="s">
        <v>44</v>
      </c>
      <c r="G966" s="19" t="s">
        <v>577</v>
      </c>
      <c r="H966" s="19">
        <v>4</v>
      </c>
      <c r="I966" s="47"/>
      <c r="J966" s="54">
        <v>58806</v>
      </c>
      <c r="K966" s="101"/>
      <c r="L966" s="49">
        <f t="shared" si="525"/>
        <v>1713.46153846154</v>
      </c>
      <c r="M966" s="50">
        <v>34.32</v>
      </c>
      <c r="N966" s="44">
        <v>7.08</v>
      </c>
      <c r="O966" s="45">
        <f t="shared" si="526"/>
        <v>242.9856</v>
      </c>
      <c r="P966" s="51"/>
      <c r="Q966" s="51"/>
      <c r="R966" s="74">
        <f t="shared" si="519"/>
        <v>170.760638297872</v>
      </c>
      <c r="S966" s="74"/>
      <c r="T966" s="75">
        <f t="shared" si="520"/>
        <v>0.589760638297872</v>
      </c>
      <c r="U966" s="74"/>
      <c r="V966" s="74"/>
      <c r="W966" s="76">
        <f t="shared" si="515"/>
        <v>171.35039893617</v>
      </c>
      <c r="X966" s="77">
        <f t="shared" si="521"/>
        <v>2.8748670212766</v>
      </c>
      <c r="Y966" s="77"/>
      <c r="Z966" s="77"/>
      <c r="AA966" s="77">
        <f t="shared" si="516"/>
        <v>2.8748670212766</v>
      </c>
      <c r="AB966" s="86">
        <v>7.08</v>
      </c>
      <c r="AC966" s="74">
        <f t="shared" si="514"/>
        <v>20.3540585106383</v>
      </c>
      <c r="AD966" s="74">
        <f t="shared" si="517"/>
        <v>191.704457446808</v>
      </c>
      <c r="AE966" s="74">
        <f t="shared" si="518"/>
        <v>51.2811425531915</v>
      </c>
    </row>
    <row r="967" customFormat="1" spans="1:31">
      <c r="A967" s="18"/>
      <c r="B967" s="19"/>
      <c r="C967" s="20">
        <v>240927000025</v>
      </c>
      <c r="D967" s="21">
        <v>45567</v>
      </c>
      <c r="E967" s="21" t="s">
        <v>50</v>
      </c>
      <c r="F967" s="19" t="s">
        <v>51</v>
      </c>
      <c r="G967" s="19" t="s">
        <v>578</v>
      </c>
      <c r="H967" s="19">
        <v>41.5</v>
      </c>
      <c r="I967" s="41">
        <v>2206.5</v>
      </c>
      <c r="J967" s="53"/>
      <c r="K967" s="101"/>
      <c r="L967" s="19"/>
      <c r="M967" s="43"/>
      <c r="N967" s="44"/>
      <c r="O967" s="45">
        <f t="shared" ref="O967:O973" si="527">SUM(I967)</f>
        <v>2206.5</v>
      </c>
      <c r="P967" s="51"/>
      <c r="Q967" s="51"/>
      <c r="R967" s="74">
        <f t="shared" si="519"/>
        <v>1771.64162234043</v>
      </c>
      <c r="S967" s="74"/>
      <c r="T967" s="75">
        <f t="shared" si="520"/>
        <v>6.11876662234043</v>
      </c>
      <c r="U967" s="75">
        <v>90</v>
      </c>
      <c r="V967" s="74"/>
      <c r="W967" s="76">
        <f t="shared" si="515"/>
        <v>1867.76038896277</v>
      </c>
      <c r="X967" s="77">
        <f t="shared" si="521"/>
        <v>29.8267453457447</v>
      </c>
      <c r="Y967" s="77"/>
      <c r="Z967" s="77"/>
      <c r="AA967" s="77">
        <f t="shared" si="516"/>
        <v>29.8267453457447</v>
      </c>
      <c r="AB967" s="86">
        <v>7.08</v>
      </c>
      <c r="AC967" s="74">
        <f t="shared" si="514"/>
        <v>211.173357047872</v>
      </c>
      <c r="AD967" s="74">
        <f t="shared" si="517"/>
        <v>2078.93374601064</v>
      </c>
      <c r="AE967" s="74">
        <f t="shared" si="518"/>
        <v>127.566253989361</v>
      </c>
    </row>
    <row r="968" customFormat="1" spans="1:31">
      <c r="A968" s="18"/>
      <c r="B968" s="19"/>
      <c r="C968" s="20">
        <v>240927000026</v>
      </c>
      <c r="D968" s="21">
        <v>45567</v>
      </c>
      <c r="E968" s="21" t="s">
        <v>50</v>
      </c>
      <c r="F968" s="19" t="s">
        <v>51</v>
      </c>
      <c r="G968" s="19" t="s">
        <v>114</v>
      </c>
      <c r="H968" s="19">
        <v>15.5</v>
      </c>
      <c r="I968" s="41">
        <v>821.5</v>
      </c>
      <c r="J968" s="53"/>
      <c r="K968" s="101"/>
      <c r="L968" s="19"/>
      <c r="M968" s="43"/>
      <c r="N968" s="44"/>
      <c r="O968" s="45">
        <f t="shared" si="527"/>
        <v>821.5</v>
      </c>
      <c r="P968" s="51"/>
      <c r="Q968" s="51"/>
      <c r="R968" s="74">
        <f t="shared" si="519"/>
        <v>661.697473404255</v>
      </c>
      <c r="S968" s="74"/>
      <c r="T968" s="75">
        <f t="shared" si="520"/>
        <v>2.28532247340426</v>
      </c>
      <c r="U968" s="74"/>
      <c r="V968" s="74"/>
      <c r="W968" s="76">
        <f t="shared" si="515"/>
        <v>663.98279587766</v>
      </c>
      <c r="X968" s="77">
        <f t="shared" si="521"/>
        <v>11.1401097074468</v>
      </c>
      <c r="Y968" s="77"/>
      <c r="Z968" s="77"/>
      <c r="AA968" s="77">
        <f t="shared" si="516"/>
        <v>11.1401097074468</v>
      </c>
      <c r="AB968" s="86">
        <v>7.08</v>
      </c>
      <c r="AC968" s="74">
        <f t="shared" si="514"/>
        <v>78.8719767287234</v>
      </c>
      <c r="AD968" s="74">
        <f t="shared" si="517"/>
        <v>742.854772606383</v>
      </c>
      <c r="AE968" s="74">
        <f t="shared" si="518"/>
        <v>78.645227393617</v>
      </c>
    </row>
    <row r="969" customFormat="1" spans="1:31">
      <c r="A969" s="18"/>
      <c r="B969" s="19"/>
      <c r="C969" s="20">
        <v>240927000030</v>
      </c>
      <c r="D969" s="21">
        <v>45567</v>
      </c>
      <c r="E969" s="21" t="s">
        <v>50</v>
      </c>
      <c r="F969" s="19" t="s">
        <v>51</v>
      </c>
      <c r="G969" s="19" t="s">
        <v>579</v>
      </c>
      <c r="H969" s="19">
        <v>261.5</v>
      </c>
      <c r="I969" s="47"/>
      <c r="J969" s="54">
        <v>3642562</v>
      </c>
      <c r="K969" s="101"/>
      <c r="L969" s="49">
        <f t="shared" ref="L969:L971" si="528">SUM(J969/M969)</f>
        <v>1734.602893416</v>
      </c>
      <c r="M969" s="50">
        <v>2099.94</v>
      </c>
      <c r="N969" s="44">
        <v>7.08</v>
      </c>
      <c r="O969" s="45">
        <f t="shared" ref="O969:O974" si="529">SUM(M969*N969)</f>
        <v>14867.5752</v>
      </c>
      <c r="P969" s="51"/>
      <c r="Q969" s="51"/>
      <c r="R969" s="74">
        <f t="shared" si="519"/>
        <v>11163.4767287234</v>
      </c>
      <c r="S969" s="74"/>
      <c r="T969" s="75">
        <f t="shared" si="520"/>
        <v>38.5556017287234</v>
      </c>
      <c r="U969" s="74"/>
      <c r="V969" s="75">
        <v>223.6</v>
      </c>
      <c r="W969" s="76">
        <f t="shared" si="515"/>
        <v>11425.6323304521</v>
      </c>
      <c r="X969" s="77">
        <f t="shared" si="521"/>
        <v>187.944431515957</v>
      </c>
      <c r="Y969" s="77"/>
      <c r="Z969" s="77"/>
      <c r="AA969" s="77">
        <f t="shared" si="516"/>
        <v>187.944431515957</v>
      </c>
      <c r="AB969" s="86">
        <v>7.08</v>
      </c>
      <c r="AC969" s="74">
        <f t="shared" si="514"/>
        <v>1330.64657513298</v>
      </c>
      <c r="AD969" s="74">
        <f t="shared" si="517"/>
        <v>12756.2789055851</v>
      </c>
      <c r="AE969" s="74">
        <f t="shared" si="518"/>
        <v>2111.29629441489</v>
      </c>
    </row>
    <row r="970" customFormat="1" spans="1:31">
      <c r="A970" s="18"/>
      <c r="B970" s="19"/>
      <c r="C970" s="20">
        <v>240927000031</v>
      </c>
      <c r="D970" s="21">
        <v>45567</v>
      </c>
      <c r="E970" s="21" t="s">
        <v>46</v>
      </c>
      <c r="F970" s="19" t="s">
        <v>47</v>
      </c>
      <c r="G970" s="19" t="s">
        <v>580</v>
      </c>
      <c r="H970" s="19">
        <v>33.5</v>
      </c>
      <c r="I970" s="41">
        <v>1562</v>
      </c>
      <c r="J970" s="54">
        <v>84095</v>
      </c>
      <c r="K970" s="101"/>
      <c r="L970" s="49">
        <f t="shared" si="528"/>
        <v>1713.42705786471</v>
      </c>
      <c r="M970" s="50">
        <v>49.08</v>
      </c>
      <c r="N970" s="44">
        <v>7.08</v>
      </c>
      <c r="O970" s="45">
        <f>SUM(M970*N970+I970)</f>
        <v>1909.4864</v>
      </c>
      <c r="P970" s="51"/>
      <c r="Q970" s="51"/>
      <c r="R970" s="74">
        <f t="shared" si="519"/>
        <v>1430.12034574468</v>
      </c>
      <c r="S970" s="74"/>
      <c r="T970" s="75">
        <f t="shared" si="520"/>
        <v>4.93924534574468</v>
      </c>
      <c r="U970" s="74"/>
      <c r="V970" s="74"/>
      <c r="W970" s="76">
        <f t="shared" si="515"/>
        <v>1435.05959109043</v>
      </c>
      <c r="X970" s="77">
        <f t="shared" si="521"/>
        <v>24.0770113031915</v>
      </c>
      <c r="Y970" s="77"/>
      <c r="Z970" s="77"/>
      <c r="AA970" s="77">
        <f t="shared" si="516"/>
        <v>24.0770113031915</v>
      </c>
      <c r="AB970" s="86">
        <v>7.08</v>
      </c>
      <c r="AC970" s="74">
        <f t="shared" si="514"/>
        <v>170.465240026596</v>
      </c>
      <c r="AD970" s="74">
        <f t="shared" si="517"/>
        <v>1605.52483111702</v>
      </c>
      <c r="AE970" s="74">
        <f t="shared" si="518"/>
        <v>303.961568882979</v>
      </c>
    </row>
    <row r="971" customFormat="1" spans="1:31">
      <c r="A971" s="18"/>
      <c r="B971" s="19"/>
      <c r="C971" s="20">
        <v>240927000034</v>
      </c>
      <c r="D971" s="21">
        <v>45567</v>
      </c>
      <c r="E971" s="21" t="s">
        <v>50</v>
      </c>
      <c r="F971" s="19" t="s">
        <v>51</v>
      </c>
      <c r="G971" s="19" t="s">
        <v>116</v>
      </c>
      <c r="H971" s="19">
        <v>7</v>
      </c>
      <c r="I971" s="47"/>
      <c r="J971" s="54">
        <v>98252</v>
      </c>
      <c r="K971" s="101"/>
      <c r="L971" s="49">
        <f t="shared" si="528"/>
        <v>1713.49843041507</v>
      </c>
      <c r="M971" s="50">
        <v>57.34</v>
      </c>
      <c r="N971" s="44">
        <v>7.08</v>
      </c>
      <c r="O971" s="45">
        <f t="shared" si="529"/>
        <v>405.9672</v>
      </c>
      <c r="P971" s="51"/>
      <c r="Q971" s="51"/>
      <c r="R971" s="74">
        <f t="shared" si="519"/>
        <v>298.831117021277</v>
      </c>
      <c r="S971" s="74"/>
      <c r="T971" s="75">
        <f t="shared" si="520"/>
        <v>1.03208111702128</v>
      </c>
      <c r="U971" s="74"/>
      <c r="V971" s="74"/>
      <c r="W971" s="76">
        <f t="shared" si="515"/>
        <v>299.863198138298</v>
      </c>
      <c r="X971" s="77">
        <f t="shared" si="521"/>
        <v>5.03101728723404</v>
      </c>
      <c r="Y971" s="77"/>
      <c r="Z971" s="77"/>
      <c r="AA971" s="77">
        <f t="shared" si="516"/>
        <v>5.03101728723404</v>
      </c>
      <c r="AB971" s="86">
        <v>7.08</v>
      </c>
      <c r="AC971" s="74">
        <f t="shared" si="514"/>
        <v>35.619602393617</v>
      </c>
      <c r="AD971" s="74">
        <f t="shared" si="517"/>
        <v>335.482800531915</v>
      </c>
      <c r="AE971" s="74">
        <f t="shared" si="518"/>
        <v>70.4843994680851</v>
      </c>
    </row>
    <row r="972" customFormat="1" spans="1:31">
      <c r="A972" s="18"/>
      <c r="B972" s="19"/>
      <c r="C972" s="20">
        <v>240927000035</v>
      </c>
      <c r="D972" s="21">
        <v>45567</v>
      </c>
      <c r="E972" s="21" t="s">
        <v>50</v>
      </c>
      <c r="F972" s="19" t="s">
        <v>51</v>
      </c>
      <c r="G972" s="19" t="s">
        <v>55</v>
      </c>
      <c r="H972" s="19">
        <v>1</v>
      </c>
      <c r="I972" s="41">
        <v>58</v>
      </c>
      <c r="J972" s="53"/>
      <c r="K972" s="101"/>
      <c r="L972" s="19"/>
      <c r="M972" s="43"/>
      <c r="N972" s="44"/>
      <c r="O972" s="45">
        <f t="shared" si="527"/>
        <v>58</v>
      </c>
      <c r="P972" s="51"/>
      <c r="Q972" s="51"/>
      <c r="R972" s="74">
        <f t="shared" si="519"/>
        <v>42.6901595744681</v>
      </c>
      <c r="S972" s="74"/>
      <c r="T972" s="75">
        <f t="shared" si="520"/>
        <v>0.147440159574468</v>
      </c>
      <c r="U972" s="74"/>
      <c r="V972" s="74"/>
      <c r="W972" s="76">
        <f t="shared" si="515"/>
        <v>42.8375997340425</v>
      </c>
      <c r="X972" s="77">
        <f t="shared" si="521"/>
        <v>0.718716755319149</v>
      </c>
      <c r="Y972" s="77"/>
      <c r="Z972" s="77"/>
      <c r="AA972" s="77">
        <f t="shared" si="516"/>
        <v>0.718716755319149</v>
      </c>
      <c r="AB972" s="86">
        <v>7.08</v>
      </c>
      <c r="AC972" s="74">
        <f t="shared" si="514"/>
        <v>5.08851462765957</v>
      </c>
      <c r="AD972" s="74">
        <f t="shared" si="517"/>
        <v>47.9261143617021</v>
      </c>
      <c r="AE972" s="74">
        <f t="shared" si="518"/>
        <v>10.0738856382979</v>
      </c>
    </row>
    <row r="973" customFormat="1" spans="1:31">
      <c r="A973" s="18"/>
      <c r="B973" s="19"/>
      <c r="C973" s="20">
        <v>240927000053</v>
      </c>
      <c r="D973" s="21">
        <v>45567</v>
      </c>
      <c r="E973" s="21" t="s">
        <v>43</v>
      </c>
      <c r="F973" s="19" t="s">
        <v>44</v>
      </c>
      <c r="G973" s="19" t="s">
        <v>110</v>
      </c>
      <c r="H973" s="19">
        <v>3.5</v>
      </c>
      <c r="I973" s="41">
        <v>239.75</v>
      </c>
      <c r="J973" s="53"/>
      <c r="K973" s="101"/>
      <c r="L973" s="19"/>
      <c r="M973" s="43"/>
      <c r="N973" s="44"/>
      <c r="O973" s="45">
        <f t="shared" si="527"/>
        <v>239.75</v>
      </c>
      <c r="P973" s="51"/>
      <c r="Q973" s="51"/>
      <c r="R973" s="74">
        <f t="shared" si="519"/>
        <v>149.415558510638</v>
      </c>
      <c r="S973" s="74"/>
      <c r="T973" s="75">
        <f t="shared" si="520"/>
        <v>0.516040558510638</v>
      </c>
      <c r="U973" s="74"/>
      <c r="V973" s="74"/>
      <c r="W973" s="76">
        <f t="shared" si="515"/>
        <v>149.931599069149</v>
      </c>
      <c r="X973" s="77">
        <f t="shared" si="521"/>
        <v>2.51550864361702</v>
      </c>
      <c r="Y973" s="77"/>
      <c r="Z973" s="77"/>
      <c r="AA973" s="77">
        <f t="shared" si="516"/>
        <v>2.51550864361702</v>
      </c>
      <c r="AB973" s="86">
        <v>7.08</v>
      </c>
      <c r="AC973" s="74">
        <f t="shared" si="514"/>
        <v>17.8098011968085</v>
      </c>
      <c r="AD973" s="74">
        <f t="shared" ref="AD973:AD1004" si="530">SUM(W973+AC973)</f>
        <v>167.741400265957</v>
      </c>
      <c r="AE973" s="74">
        <f t="shared" ref="AE973:AE1004" si="531">SUM(O973-AD973)</f>
        <v>72.008599734043</v>
      </c>
    </row>
    <row r="974" customFormat="1" spans="1:31">
      <c r="A974" s="18"/>
      <c r="B974" s="19"/>
      <c r="C974" s="20">
        <v>240927000060</v>
      </c>
      <c r="D974" s="21">
        <v>45567</v>
      </c>
      <c r="E974" s="21" t="s">
        <v>50</v>
      </c>
      <c r="F974" s="19" t="s">
        <v>51</v>
      </c>
      <c r="G974" s="19" t="s">
        <v>293</v>
      </c>
      <c r="H974" s="19">
        <v>159</v>
      </c>
      <c r="I974" s="47"/>
      <c r="J974" s="54">
        <v>2133780</v>
      </c>
      <c r="K974" s="101"/>
      <c r="L974" s="49">
        <f>SUM(J974/M974)</f>
        <v>1727.53327504129</v>
      </c>
      <c r="M974" s="50">
        <v>1235.16</v>
      </c>
      <c r="N974" s="44">
        <v>7.08</v>
      </c>
      <c r="O974" s="45">
        <f t="shared" si="529"/>
        <v>8744.9328</v>
      </c>
      <c r="P974" s="52"/>
      <c r="Q974" s="52"/>
      <c r="R974" s="74">
        <f t="shared" si="519"/>
        <v>6787.73537234042</v>
      </c>
      <c r="S974" s="74"/>
      <c r="T974" s="75">
        <f t="shared" si="520"/>
        <v>23.4429853723404</v>
      </c>
      <c r="U974" s="74"/>
      <c r="V974" s="74"/>
      <c r="W974" s="76">
        <f t="shared" ref="W974:W1005" si="532">SUM(R974:V974)</f>
        <v>6811.17835771277</v>
      </c>
      <c r="X974" s="77">
        <f t="shared" si="521"/>
        <v>114.275964095745</v>
      </c>
      <c r="Y974" s="77"/>
      <c r="Z974" s="77"/>
      <c r="AA974" s="77">
        <f t="shared" ref="AA974:AA1005" si="533">SUM(X974:Z974)</f>
        <v>114.275964095745</v>
      </c>
      <c r="AB974" s="86">
        <v>7.08</v>
      </c>
      <c r="AC974" s="74">
        <f t="shared" ref="AC974:AC1005" si="534">SUM(AA974*AB974)</f>
        <v>809.073825797872</v>
      </c>
      <c r="AD974" s="74">
        <f t="shared" si="530"/>
        <v>7620.25218351064</v>
      </c>
      <c r="AE974" s="74">
        <f t="shared" si="531"/>
        <v>1124.68061648936</v>
      </c>
    </row>
    <row r="975" customFormat="1" spans="1:31">
      <c r="A975" s="18" t="s">
        <v>581</v>
      </c>
      <c r="B975" s="19" t="s">
        <v>582</v>
      </c>
      <c r="C975" s="20">
        <v>240919000013</v>
      </c>
      <c r="D975" s="21">
        <v>45570</v>
      </c>
      <c r="E975" s="21" t="s">
        <v>50</v>
      </c>
      <c r="F975" s="19" t="s">
        <v>51</v>
      </c>
      <c r="G975" s="19" t="s">
        <v>55</v>
      </c>
      <c r="H975" s="19">
        <v>3.5</v>
      </c>
      <c r="I975" s="41">
        <v>210</v>
      </c>
      <c r="J975" s="53"/>
      <c r="K975" s="43"/>
      <c r="L975" s="19"/>
      <c r="M975" s="43"/>
      <c r="N975" s="44"/>
      <c r="O975" s="45">
        <f t="shared" ref="O975:O977" si="535">SUM(I975)</f>
        <v>210</v>
      </c>
      <c r="P975" s="46">
        <f>SUM(O975:O1039)</f>
        <v>132782.3828</v>
      </c>
      <c r="Q975" s="104" t="s">
        <v>583</v>
      </c>
      <c r="R975" s="74">
        <f>SUM(96963.8/2286)*H975</f>
        <v>148.457261592301</v>
      </c>
      <c r="S975" s="74"/>
      <c r="T975" s="75">
        <f>SUM(261.21/2286)*H975</f>
        <v>0.39992782152231</v>
      </c>
      <c r="U975" s="74"/>
      <c r="V975" s="74"/>
      <c r="W975" s="76">
        <f t="shared" si="532"/>
        <v>148.857189413823</v>
      </c>
      <c r="X975" s="77">
        <f>SUM(1795.41/2286)*H975</f>
        <v>2.74887795275591</v>
      </c>
      <c r="Y975" s="77"/>
      <c r="Z975" s="77"/>
      <c r="AA975" s="77">
        <f t="shared" si="533"/>
        <v>2.74887795275591</v>
      </c>
      <c r="AB975" s="86">
        <v>7.08</v>
      </c>
      <c r="AC975" s="74">
        <f t="shared" si="534"/>
        <v>19.4620559055118</v>
      </c>
      <c r="AD975" s="74">
        <f t="shared" si="530"/>
        <v>168.319245319335</v>
      </c>
      <c r="AE975" s="74">
        <f t="shared" si="531"/>
        <v>41.680754680665</v>
      </c>
    </row>
    <row r="976" customFormat="1" spans="1:31">
      <c r="A976" s="18"/>
      <c r="B976" s="19"/>
      <c r="C976" s="20">
        <v>240923000002</v>
      </c>
      <c r="D976" s="21">
        <v>45570</v>
      </c>
      <c r="E976" s="21" t="s">
        <v>50</v>
      </c>
      <c r="F976" s="19" t="s">
        <v>51</v>
      </c>
      <c r="G976" s="19" t="s">
        <v>86</v>
      </c>
      <c r="H976" s="19">
        <v>0.96</v>
      </c>
      <c r="I976" s="41">
        <v>69</v>
      </c>
      <c r="J976" s="53"/>
      <c r="K976" s="43"/>
      <c r="L976" s="19"/>
      <c r="M976" s="43"/>
      <c r="N976" s="44"/>
      <c r="O976" s="45">
        <f t="shared" si="535"/>
        <v>69</v>
      </c>
      <c r="P976" s="51"/>
      <c r="Q976" s="51"/>
      <c r="R976" s="74">
        <f t="shared" ref="R976:R1007" si="536">SUM(96963.8/2286)*H976</f>
        <v>40.7197060367454</v>
      </c>
      <c r="S976" s="74"/>
      <c r="T976" s="75">
        <f t="shared" ref="T976:T1007" si="537">SUM(261.21/2286)*H976</f>
        <v>0.109694488188976</v>
      </c>
      <c r="U976" s="74"/>
      <c r="V976" s="74"/>
      <c r="W976" s="76">
        <f t="shared" si="532"/>
        <v>40.8294005249344</v>
      </c>
      <c r="X976" s="77">
        <f t="shared" ref="X976:X1007" si="538">SUM(1795.41/2286)*H976</f>
        <v>0.753977952755906</v>
      </c>
      <c r="Y976" s="77"/>
      <c r="Z976" s="77"/>
      <c r="AA976" s="77">
        <f t="shared" si="533"/>
        <v>0.753977952755906</v>
      </c>
      <c r="AB976" s="86">
        <v>7.08</v>
      </c>
      <c r="AC976" s="74">
        <f t="shared" si="534"/>
        <v>5.33816390551181</v>
      </c>
      <c r="AD976" s="74">
        <f t="shared" si="530"/>
        <v>46.1675644304462</v>
      </c>
      <c r="AE976" s="74">
        <f t="shared" si="531"/>
        <v>22.8324355695538</v>
      </c>
    </row>
    <row r="977" customFormat="1" spans="1:31">
      <c r="A977" s="18"/>
      <c r="B977" s="19"/>
      <c r="C977" s="20">
        <v>240923000003</v>
      </c>
      <c r="D977" s="21">
        <v>45570</v>
      </c>
      <c r="E977" s="21" t="s">
        <v>50</v>
      </c>
      <c r="F977" s="19" t="s">
        <v>51</v>
      </c>
      <c r="G977" s="19" t="s">
        <v>528</v>
      </c>
      <c r="H977" s="19">
        <v>8.5</v>
      </c>
      <c r="I977" s="41">
        <v>666</v>
      </c>
      <c r="J977" s="53"/>
      <c r="K977" s="43"/>
      <c r="L977" s="19"/>
      <c r="M977" s="43"/>
      <c r="N977" s="44"/>
      <c r="O977" s="45">
        <f t="shared" si="535"/>
        <v>666</v>
      </c>
      <c r="P977" s="51"/>
      <c r="Q977" s="51"/>
      <c r="R977" s="74">
        <f t="shared" si="536"/>
        <v>360.539063867017</v>
      </c>
      <c r="S977" s="74"/>
      <c r="T977" s="75">
        <f t="shared" si="537"/>
        <v>0.971253280839895</v>
      </c>
      <c r="U977" s="74">
        <v>30</v>
      </c>
      <c r="V977" s="74"/>
      <c r="W977" s="76">
        <f t="shared" si="532"/>
        <v>391.510317147857</v>
      </c>
      <c r="X977" s="77">
        <f t="shared" si="538"/>
        <v>6.67584645669291</v>
      </c>
      <c r="Y977" s="77"/>
      <c r="Z977" s="77"/>
      <c r="AA977" s="77">
        <f t="shared" si="533"/>
        <v>6.67584645669291</v>
      </c>
      <c r="AB977" s="86">
        <v>7.08</v>
      </c>
      <c r="AC977" s="74">
        <f t="shared" si="534"/>
        <v>47.2649929133858</v>
      </c>
      <c r="AD977" s="74">
        <f t="shared" si="530"/>
        <v>438.775310061242</v>
      </c>
      <c r="AE977" s="74">
        <f t="shared" si="531"/>
        <v>227.224689938758</v>
      </c>
    </row>
    <row r="978" customFormat="1" spans="1:31">
      <c r="A978" s="18"/>
      <c r="B978" s="19"/>
      <c r="C978" s="20">
        <v>240924000045</v>
      </c>
      <c r="D978" s="21">
        <v>45570</v>
      </c>
      <c r="E978" s="21" t="s">
        <v>41</v>
      </c>
      <c r="F978" s="19" t="s">
        <v>41</v>
      </c>
      <c r="G978" s="19" t="s">
        <v>514</v>
      </c>
      <c r="H978" s="19">
        <v>166.5</v>
      </c>
      <c r="I978" s="55">
        <v>594</v>
      </c>
      <c r="J978" s="54">
        <v>2282584.5</v>
      </c>
      <c r="K978" s="43"/>
      <c r="L978" s="49">
        <f>SUM(J978/M978)</f>
        <v>1649.64767865402</v>
      </c>
      <c r="M978" s="50">
        <v>1383.68</v>
      </c>
      <c r="N978" s="44">
        <v>7.08</v>
      </c>
      <c r="O978" s="100">
        <f>SUM(M978*N978)+I978</f>
        <v>10390.4544</v>
      </c>
      <c r="P978" s="51"/>
      <c r="Q978" s="51"/>
      <c r="R978" s="74">
        <f t="shared" si="536"/>
        <v>7062.32401574803</v>
      </c>
      <c r="S978" s="74"/>
      <c r="T978" s="75">
        <f t="shared" si="537"/>
        <v>19.0251377952756</v>
      </c>
      <c r="U978" s="74"/>
      <c r="V978" s="74"/>
      <c r="W978" s="76">
        <f t="shared" si="532"/>
        <v>7081.34915354331</v>
      </c>
      <c r="X978" s="77">
        <f t="shared" si="538"/>
        <v>130.768051181102</v>
      </c>
      <c r="Y978" s="77"/>
      <c r="Z978" s="77"/>
      <c r="AA978" s="77">
        <f t="shared" si="533"/>
        <v>130.768051181102</v>
      </c>
      <c r="AB978" s="86">
        <v>7.08</v>
      </c>
      <c r="AC978" s="74">
        <f t="shared" si="534"/>
        <v>925.837802362205</v>
      </c>
      <c r="AD978" s="74">
        <f t="shared" si="530"/>
        <v>8007.18695590551</v>
      </c>
      <c r="AE978" s="74">
        <f t="shared" si="531"/>
        <v>2383.26744409449</v>
      </c>
    </row>
    <row r="979" customFormat="1" spans="1:31">
      <c r="A979" s="18"/>
      <c r="B979" s="19"/>
      <c r="C979" s="20">
        <v>240925000002</v>
      </c>
      <c r="D979" s="21">
        <v>45570</v>
      </c>
      <c r="E979" s="21" t="s">
        <v>50</v>
      </c>
      <c r="F979" s="19" t="s">
        <v>51</v>
      </c>
      <c r="G979" s="19" t="s">
        <v>584</v>
      </c>
      <c r="H979" s="19">
        <v>3.5</v>
      </c>
      <c r="I979" s="41">
        <v>234</v>
      </c>
      <c r="J979" s="53"/>
      <c r="K979" s="43"/>
      <c r="L979" s="19"/>
      <c r="M979" s="43"/>
      <c r="N979" s="44"/>
      <c r="O979" s="45">
        <f t="shared" ref="O979:O981" si="539">SUM(I979)</f>
        <v>234</v>
      </c>
      <c r="P979" s="51"/>
      <c r="Q979" s="51"/>
      <c r="R979" s="74">
        <f t="shared" si="536"/>
        <v>148.457261592301</v>
      </c>
      <c r="S979" s="74"/>
      <c r="T979" s="75">
        <f t="shared" si="537"/>
        <v>0.39992782152231</v>
      </c>
      <c r="U979" s="74"/>
      <c r="V979" s="74"/>
      <c r="W979" s="76">
        <f t="shared" si="532"/>
        <v>148.857189413823</v>
      </c>
      <c r="X979" s="77">
        <f t="shared" si="538"/>
        <v>2.74887795275591</v>
      </c>
      <c r="Y979" s="77"/>
      <c r="Z979" s="77"/>
      <c r="AA979" s="77">
        <f t="shared" si="533"/>
        <v>2.74887795275591</v>
      </c>
      <c r="AB979" s="86">
        <v>7.08</v>
      </c>
      <c r="AC979" s="74">
        <f t="shared" si="534"/>
        <v>19.4620559055118</v>
      </c>
      <c r="AD979" s="74">
        <f t="shared" si="530"/>
        <v>168.319245319335</v>
      </c>
      <c r="AE979" s="74">
        <f t="shared" si="531"/>
        <v>65.680754680665</v>
      </c>
    </row>
    <row r="980" customFormat="1" spans="1:31">
      <c r="A980" s="18"/>
      <c r="B980" s="19"/>
      <c r="C980" s="20">
        <v>240925000020</v>
      </c>
      <c r="D980" s="21">
        <v>45570</v>
      </c>
      <c r="E980" s="21" t="s">
        <v>43</v>
      </c>
      <c r="F980" s="19" t="s">
        <v>44</v>
      </c>
      <c r="G980" s="19" t="s">
        <v>110</v>
      </c>
      <c r="H980" s="19">
        <v>1.5</v>
      </c>
      <c r="I980" s="41">
        <v>102</v>
      </c>
      <c r="J980" s="53"/>
      <c r="K980" s="43"/>
      <c r="L980" s="19"/>
      <c r="M980" s="43"/>
      <c r="N980" s="44"/>
      <c r="O980" s="45">
        <f t="shared" si="539"/>
        <v>102</v>
      </c>
      <c r="P980" s="51"/>
      <c r="Q980" s="51"/>
      <c r="R980" s="74">
        <f t="shared" si="536"/>
        <v>63.6245406824147</v>
      </c>
      <c r="S980" s="74"/>
      <c r="T980" s="75">
        <f t="shared" si="537"/>
        <v>0.171397637795276</v>
      </c>
      <c r="U980" s="74"/>
      <c r="V980" s="74"/>
      <c r="W980" s="76">
        <f t="shared" si="532"/>
        <v>63.79593832021</v>
      </c>
      <c r="X980" s="77">
        <f t="shared" si="538"/>
        <v>1.1780905511811</v>
      </c>
      <c r="Y980" s="77"/>
      <c r="Z980" s="77"/>
      <c r="AA980" s="77">
        <f t="shared" si="533"/>
        <v>1.1780905511811</v>
      </c>
      <c r="AB980" s="86">
        <v>7.08</v>
      </c>
      <c r="AC980" s="74">
        <f t="shared" si="534"/>
        <v>8.34088110236221</v>
      </c>
      <c r="AD980" s="74">
        <f t="shared" si="530"/>
        <v>72.1368194225722</v>
      </c>
      <c r="AE980" s="74">
        <f t="shared" si="531"/>
        <v>29.8631805774278</v>
      </c>
    </row>
    <row r="981" customFormat="1" spans="1:31">
      <c r="A981" s="18"/>
      <c r="B981" s="19"/>
      <c r="C981" s="20">
        <v>240926000017</v>
      </c>
      <c r="D981" s="21">
        <v>45570</v>
      </c>
      <c r="E981" s="21" t="s">
        <v>43</v>
      </c>
      <c r="F981" s="19" t="s">
        <v>44</v>
      </c>
      <c r="G981" s="19" t="s">
        <v>585</v>
      </c>
      <c r="H981" s="19">
        <v>16.5</v>
      </c>
      <c r="I981" s="41">
        <v>954</v>
      </c>
      <c r="J981" s="53"/>
      <c r="K981" s="43"/>
      <c r="L981" s="19"/>
      <c r="M981" s="43"/>
      <c r="N981" s="44"/>
      <c r="O981" s="45">
        <f t="shared" si="539"/>
        <v>954</v>
      </c>
      <c r="P981" s="51"/>
      <c r="Q981" s="51"/>
      <c r="R981" s="74">
        <f t="shared" si="536"/>
        <v>699.869947506562</v>
      </c>
      <c r="S981" s="74"/>
      <c r="T981" s="75">
        <f t="shared" si="537"/>
        <v>1.88537401574803</v>
      </c>
      <c r="U981" s="74"/>
      <c r="V981" s="74"/>
      <c r="W981" s="76">
        <f t="shared" si="532"/>
        <v>701.75532152231</v>
      </c>
      <c r="X981" s="77">
        <f t="shared" si="538"/>
        <v>12.9589960629921</v>
      </c>
      <c r="Y981" s="77"/>
      <c r="Z981" s="77"/>
      <c r="AA981" s="77">
        <f t="shared" si="533"/>
        <v>12.9589960629921</v>
      </c>
      <c r="AB981" s="86">
        <v>7.08</v>
      </c>
      <c r="AC981" s="74">
        <f t="shared" si="534"/>
        <v>91.7496921259843</v>
      </c>
      <c r="AD981" s="74">
        <f t="shared" si="530"/>
        <v>793.505013648294</v>
      </c>
      <c r="AE981" s="74">
        <f t="shared" si="531"/>
        <v>160.494986351706</v>
      </c>
    </row>
    <row r="982" customFormat="1" spans="1:31">
      <c r="A982" s="18"/>
      <c r="B982" s="19"/>
      <c r="C982" s="20">
        <v>240926000024</v>
      </c>
      <c r="D982" s="21">
        <v>45570</v>
      </c>
      <c r="E982" s="21" t="s">
        <v>50</v>
      </c>
      <c r="F982" s="19" t="s">
        <v>51</v>
      </c>
      <c r="G982" s="19" t="s">
        <v>115</v>
      </c>
      <c r="H982" s="19">
        <v>74</v>
      </c>
      <c r="I982" s="47"/>
      <c r="J982" s="54">
        <v>1006992</v>
      </c>
      <c r="K982" s="43"/>
      <c r="L982" s="49">
        <f t="shared" ref="L982:L986" si="540">SUM(J982/M982)</f>
        <v>1720.44215885599</v>
      </c>
      <c r="M982" s="50">
        <v>585.31</v>
      </c>
      <c r="N982" s="44">
        <v>7.08</v>
      </c>
      <c r="O982" s="45">
        <f t="shared" ref="O982:O986" si="541">SUM(M982*N982)</f>
        <v>4143.9948</v>
      </c>
      <c r="P982" s="51"/>
      <c r="Q982" s="51"/>
      <c r="R982" s="74">
        <f t="shared" si="536"/>
        <v>3138.81067366579</v>
      </c>
      <c r="S982" s="74"/>
      <c r="T982" s="75">
        <f t="shared" si="537"/>
        <v>8.45561679790026</v>
      </c>
      <c r="U982" s="74"/>
      <c r="V982" s="74"/>
      <c r="W982" s="76">
        <f t="shared" si="532"/>
        <v>3147.26629046369</v>
      </c>
      <c r="X982" s="77">
        <f t="shared" si="538"/>
        <v>58.1191338582677</v>
      </c>
      <c r="Y982" s="77"/>
      <c r="Z982" s="77"/>
      <c r="AA982" s="77">
        <f t="shared" si="533"/>
        <v>58.1191338582677</v>
      </c>
      <c r="AB982" s="86">
        <v>7.08</v>
      </c>
      <c r="AC982" s="74">
        <f t="shared" si="534"/>
        <v>411.483467716535</v>
      </c>
      <c r="AD982" s="74">
        <f t="shared" si="530"/>
        <v>3558.74975818023</v>
      </c>
      <c r="AE982" s="74">
        <f t="shared" si="531"/>
        <v>585.24504181977</v>
      </c>
    </row>
    <row r="983" customFormat="1" spans="1:31">
      <c r="A983" s="18"/>
      <c r="B983" s="19"/>
      <c r="C983" s="20">
        <v>240926000026</v>
      </c>
      <c r="D983" s="21">
        <v>45570</v>
      </c>
      <c r="E983" s="21" t="s">
        <v>41</v>
      </c>
      <c r="F983" s="19" t="s">
        <v>41</v>
      </c>
      <c r="G983" s="19" t="s">
        <v>300</v>
      </c>
      <c r="H983" s="19">
        <v>125.5</v>
      </c>
      <c r="I983" s="41">
        <v>6853.5</v>
      </c>
      <c r="J983" s="53"/>
      <c r="K983" s="43"/>
      <c r="L983" s="19"/>
      <c r="M983" s="43"/>
      <c r="N983" s="44"/>
      <c r="O983" s="45">
        <f t="shared" ref="O983:O988" si="542">SUM(I983)</f>
        <v>6853.5</v>
      </c>
      <c r="P983" s="51"/>
      <c r="Q983" s="51"/>
      <c r="R983" s="74">
        <f t="shared" si="536"/>
        <v>5323.25323709536</v>
      </c>
      <c r="S983" s="74"/>
      <c r="T983" s="75">
        <f t="shared" si="537"/>
        <v>14.3402690288714</v>
      </c>
      <c r="U983" s="74"/>
      <c r="V983" s="74"/>
      <c r="W983" s="76">
        <f t="shared" si="532"/>
        <v>5337.59350612423</v>
      </c>
      <c r="X983" s="77">
        <f t="shared" si="538"/>
        <v>98.5669094488189</v>
      </c>
      <c r="Y983" s="77"/>
      <c r="Z983" s="77"/>
      <c r="AA983" s="77">
        <f t="shared" si="533"/>
        <v>98.5669094488189</v>
      </c>
      <c r="AB983" s="86">
        <v>7.08</v>
      </c>
      <c r="AC983" s="74">
        <f t="shared" si="534"/>
        <v>697.853718897638</v>
      </c>
      <c r="AD983" s="74">
        <f t="shared" si="530"/>
        <v>6035.44722502187</v>
      </c>
      <c r="AE983" s="74">
        <f t="shared" si="531"/>
        <v>818.05277497813</v>
      </c>
    </row>
    <row r="984" customFormat="1" spans="1:31">
      <c r="A984" s="18"/>
      <c r="B984" s="19"/>
      <c r="C984" s="20">
        <v>240926000038</v>
      </c>
      <c r="D984" s="21">
        <v>45570</v>
      </c>
      <c r="E984" s="21" t="s">
        <v>41</v>
      </c>
      <c r="F984" s="19" t="s">
        <v>41</v>
      </c>
      <c r="G984" s="19" t="s">
        <v>465</v>
      </c>
      <c r="H984" s="19">
        <v>2</v>
      </c>
      <c r="I984" s="47"/>
      <c r="J984" s="54">
        <v>33075</v>
      </c>
      <c r="K984" s="43"/>
      <c r="L984" s="49">
        <f t="shared" si="540"/>
        <v>1735.30954879328</v>
      </c>
      <c r="M984" s="50">
        <v>19.06</v>
      </c>
      <c r="N984" s="44">
        <v>7.08</v>
      </c>
      <c r="O984" s="45">
        <f t="shared" si="541"/>
        <v>134.9448</v>
      </c>
      <c r="P984" s="51"/>
      <c r="Q984" s="51"/>
      <c r="R984" s="74">
        <f t="shared" si="536"/>
        <v>84.8327209098863</v>
      </c>
      <c r="S984" s="74"/>
      <c r="T984" s="75">
        <f t="shared" si="537"/>
        <v>0.228530183727034</v>
      </c>
      <c r="U984" s="74"/>
      <c r="V984" s="74"/>
      <c r="W984" s="76">
        <f t="shared" si="532"/>
        <v>85.0612510936133</v>
      </c>
      <c r="X984" s="77">
        <f t="shared" si="538"/>
        <v>1.5707874015748</v>
      </c>
      <c r="Y984" s="77"/>
      <c r="Z984" s="77"/>
      <c r="AA984" s="77">
        <f t="shared" si="533"/>
        <v>1.5707874015748</v>
      </c>
      <c r="AB984" s="86">
        <v>7.08</v>
      </c>
      <c r="AC984" s="74">
        <f t="shared" si="534"/>
        <v>11.1211748031496</v>
      </c>
      <c r="AD984" s="74">
        <f t="shared" si="530"/>
        <v>96.1824258967629</v>
      </c>
      <c r="AE984" s="74">
        <f t="shared" si="531"/>
        <v>38.7623741032371</v>
      </c>
    </row>
    <row r="985" customFormat="1" spans="1:31">
      <c r="A985" s="18"/>
      <c r="B985" s="19"/>
      <c r="C985" s="20">
        <v>240926000040</v>
      </c>
      <c r="D985" s="21">
        <v>45570</v>
      </c>
      <c r="E985" s="21" t="s">
        <v>46</v>
      </c>
      <c r="F985" s="19" t="s">
        <v>47</v>
      </c>
      <c r="G985" s="19" t="s">
        <v>91</v>
      </c>
      <c r="H985" s="19">
        <v>2.5</v>
      </c>
      <c r="I985" s="41">
        <v>153</v>
      </c>
      <c r="J985" s="53"/>
      <c r="K985" s="43"/>
      <c r="L985" s="19"/>
      <c r="M985" s="43"/>
      <c r="N985" s="44"/>
      <c r="O985" s="45">
        <f t="shared" si="542"/>
        <v>153</v>
      </c>
      <c r="P985" s="51"/>
      <c r="Q985" s="51"/>
      <c r="R985" s="74">
        <f t="shared" si="536"/>
        <v>106.040901137358</v>
      </c>
      <c r="S985" s="74"/>
      <c r="T985" s="75">
        <f t="shared" si="537"/>
        <v>0.285662729658793</v>
      </c>
      <c r="U985" s="74"/>
      <c r="V985" s="74"/>
      <c r="W985" s="76">
        <f t="shared" si="532"/>
        <v>106.326563867017</v>
      </c>
      <c r="X985" s="77">
        <f t="shared" si="538"/>
        <v>1.9634842519685</v>
      </c>
      <c r="Y985" s="77"/>
      <c r="Z985" s="77"/>
      <c r="AA985" s="77">
        <f t="shared" si="533"/>
        <v>1.9634842519685</v>
      </c>
      <c r="AB985" s="86">
        <v>7.08</v>
      </c>
      <c r="AC985" s="74">
        <f t="shared" si="534"/>
        <v>13.901468503937</v>
      </c>
      <c r="AD985" s="74">
        <f t="shared" si="530"/>
        <v>120.228032370954</v>
      </c>
      <c r="AE985" s="74">
        <f t="shared" si="531"/>
        <v>32.771967629046</v>
      </c>
    </row>
    <row r="986" customFormat="1" spans="1:31">
      <c r="A986" s="18"/>
      <c r="B986" s="19"/>
      <c r="C986" s="20">
        <v>240927000002</v>
      </c>
      <c r="D986" s="21">
        <v>45570</v>
      </c>
      <c r="E986" s="21" t="s">
        <v>46</v>
      </c>
      <c r="F986" s="19" t="s">
        <v>47</v>
      </c>
      <c r="G986" s="19" t="s">
        <v>586</v>
      </c>
      <c r="H986" s="19">
        <v>7.5</v>
      </c>
      <c r="I986" s="45"/>
      <c r="J986" s="54">
        <v>116964</v>
      </c>
      <c r="K986" s="43"/>
      <c r="L986" s="49">
        <f t="shared" si="540"/>
        <v>1711.00058513751</v>
      </c>
      <c r="M986" s="50">
        <v>68.36</v>
      </c>
      <c r="N986" s="44">
        <v>7.08</v>
      </c>
      <c r="O986" s="45">
        <f t="shared" si="541"/>
        <v>483.9888</v>
      </c>
      <c r="P986" s="51"/>
      <c r="Q986" s="51"/>
      <c r="R986" s="74">
        <f t="shared" si="536"/>
        <v>318.122703412073</v>
      </c>
      <c r="S986" s="74"/>
      <c r="T986" s="75">
        <f t="shared" si="537"/>
        <v>0.856988188976378</v>
      </c>
      <c r="U986" s="74"/>
      <c r="V986" s="74"/>
      <c r="W986" s="76">
        <f t="shared" si="532"/>
        <v>318.97969160105</v>
      </c>
      <c r="X986" s="77">
        <f t="shared" si="538"/>
        <v>5.89045275590551</v>
      </c>
      <c r="Y986" s="77"/>
      <c r="Z986" s="77"/>
      <c r="AA986" s="77">
        <f t="shared" si="533"/>
        <v>5.89045275590551</v>
      </c>
      <c r="AB986" s="86">
        <v>7.08</v>
      </c>
      <c r="AC986" s="74">
        <f t="shared" si="534"/>
        <v>41.704405511811</v>
      </c>
      <c r="AD986" s="74">
        <f t="shared" si="530"/>
        <v>360.684097112861</v>
      </c>
      <c r="AE986" s="74">
        <f t="shared" si="531"/>
        <v>123.304702887139</v>
      </c>
    </row>
    <row r="987" customFormat="1" spans="1:31">
      <c r="A987" s="18"/>
      <c r="B987" s="19"/>
      <c r="C987" s="20">
        <v>240927000003</v>
      </c>
      <c r="D987" s="21">
        <v>45570</v>
      </c>
      <c r="E987" s="21" t="s">
        <v>46</v>
      </c>
      <c r="F987" s="19" t="s">
        <v>47</v>
      </c>
      <c r="G987" s="19" t="s">
        <v>91</v>
      </c>
      <c r="H987" s="19">
        <v>28</v>
      </c>
      <c r="I987" s="41">
        <v>1548</v>
      </c>
      <c r="J987" s="53"/>
      <c r="K987" s="43"/>
      <c r="L987" s="19"/>
      <c r="M987" s="43"/>
      <c r="N987" s="44"/>
      <c r="O987" s="45">
        <f t="shared" si="542"/>
        <v>1548</v>
      </c>
      <c r="P987" s="51"/>
      <c r="Q987" s="51"/>
      <c r="R987" s="74">
        <f t="shared" si="536"/>
        <v>1187.65809273841</v>
      </c>
      <c r="S987" s="74"/>
      <c r="T987" s="75">
        <f t="shared" si="537"/>
        <v>3.19942257217848</v>
      </c>
      <c r="U987" s="74"/>
      <c r="V987" s="74"/>
      <c r="W987" s="76">
        <f t="shared" si="532"/>
        <v>1190.85751531059</v>
      </c>
      <c r="X987" s="77">
        <f t="shared" si="538"/>
        <v>21.9910236220472</v>
      </c>
      <c r="Y987" s="77"/>
      <c r="Z987" s="77"/>
      <c r="AA987" s="77">
        <f t="shared" si="533"/>
        <v>21.9910236220472</v>
      </c>
      <c r="AB987" s="86">
        <v>7.08</v>
      </c>
      <c r="AC987" s="74">
        <f t="shared" si="534"/>
        <v>155.696447244094</v>
      </c>
      <c r="AD987" s="74">
        <f t="shared" si="530"/>
        <v>1346.55396255468</v>
      </c>
      <c r="AE987" s="74">
        <f t="shared" si="531"/>
        <v>201.44603744532</v>
      </c>
    </row>
    <row r="988" customFormat="1" spans="1:31">
      <c r="A988" s="18"/>
      <c r="B988" s="19"/>
      <c r="C988" s="20">
        <v>240927000010</v>
      </c>
      <c r="D988" s="21">
        <v>45570</v>
      </c>
      <c r="E988" s="21" t="s">
        <v>43</v>
      </c>
      <c r="F988" s="19" t="s">
        <v>44</v>
      </c>
      <c r="G988" s="19" t="s">
        <v>89</v>
      </c>
      <c r="H988" s="19">
        <v>0.42</v>
      </c>
      <c r="I988" s="41">
        <v>63</v>
      </c>
      <c r="J988" s="53"/>
      <c r="K988" s="43"/>
      <c r="L988" s="19"/>
      <c r="M988" s="43"/>
      <c r="N988" s="44"/>
      <c r="O988" s="45">
        <f t="shared" si="542"/>
        <v>63</v>
      </c>
      <c r="P988" s="51"/>
      <c r="Q988" s="51"/>
      <c r="R988" s="74">
        <f t="shared" si="536"/>
        <v>17.8148713910761</v>
      </c>
      <c r="S988" s="74"/>
      <c r="T988" s="75">
        <f t="shared" si="537"/>
        <v>0.0479913385826772</v>
      </c>
      <c r="U988" s="74"/>
      <c r="V988" s="74"/>
      <c r="W988" s="76">
        <f t="shared" si="532"/>
        <v>17.8628627296588</v>
      </c>
      <c r="X988" s="77">
        <f t="shared" si="538"/>
        <v>0.329865354330709</v>
      </c>
      <c r="Y988" s="77"/>
      <c r="Z988" s="77"/>
      <c r="AA988" s="77">
        <f t="shared" si="533"/>
        <v>0.329865354330709</v>
      </c>
      <c r="AB988" s="86">
        <v>7.08</v>
      </c>
      <c r="AC988" s="74">
        <f t="shared" si="534"/>
        <v>2.33544670866142</v>
      </c>
      <c r="AD988" s="74">
        <f t="shared" si="530"/>
        <v>20.1983094383202</v>
      </c>
      <c r="AE988" s="74">
        <f t="shared" si="531"/>
        <v>42.8016905616798</v>
      </c>
    </row>
    <row r="989" customFormat="1" spans="1:31">
      <c r="A989" s="18"/>
      <c r="B989" s="19"/>
      <c r="C989" s="20">
        <v>240927000012</v>
      </c>
      <c r="D989" s="21">
        <v>45570</v>
      </c>
      <c r="E989" s="21" t="s">
        <v>62</v>
      </c>
      <c r="F989" s="19" t="s">
        <v>63</v>
      </c>
      <c r="G989" s="19" t="s">
        <v>433</v>
      </c>
      <c r="H989" s="19">
        <v>17.5</v>
      </c>
      <c r="I989" s="47"/>
      <c r="J989" s="54">
        <v>269366</v>
      </c>
      <c r="K989" s="43"/>
      <c r="L989" s="49">
        <f>SUM(J989/M989)</f>
        <v>1720.52887072049</v>
      </c>
      <c r="M989" s="50">
        <v>156.56</v>
      </c>
      <c r="N989" s="44">
        <v>7.08</v>
      </c>
      <c r="O989" s="45">
        <f>SUM(M989*N989)</f>
        <v>1108.4448</v>
      </c>
      <c r="P989" s="51"/>
      <c r="Q989" s="51"/>
      <c r="R989" s="74">
        <f t="shared" si="536"/>
        <v>742.286307961505</v>
      </c>
      <c r="S989" s="74"/>
      <c r="T989" s="75">
        <f t="shared" si="537"/>
        <v>1.99963910761155</v>
      </c>
      <c r="U989" s="74"/>
      <c r="V989" s="74"/>
      <c r="W989" s="76">
        <f t="shared" si="532"/>
        <v>744.285947069116</v>
      </c>
      <c r="X989" s="77">
        <f t="shared" si="538"/>
        <v>13.7443897637795</v>
      </c>
      <c r="Y989" s="77"/>
      <c r="Z989" s="77"/>
      <c r="AA989" s="77">
        <f t="shared" si="533"/>
        <v>13.7443897637795</v>
      </c>
      <c r="AB989" s="86">
        <v>7.08</v>
      </c>
      <c r="AC989" s="74">
        <f t="shared" si="534"/>
        <v>97.310279527559</v>
      </c>
      <c r="AD989" s="74">
        <f t="shared" si="530"/>
        <v>841.596226596675</v>
      </c>
      <c r="AE989" s="74">
        <f t="shared" si="531"/>
        <v>266.848573403325</v>
      </c>
    </row>
    <row r="990" customFormat="1" spans="1:31">
      <c r="A990" s="18"/>
      <c r="B990" s="19"/>
      <c r="C990" s="20">
        <v>240927000013</v>
      </c>
      <c r="D990" s="21">
        <v>45570</v>
      </c>
      <c r="E990" s="21" t="s">
        <v>62</v>
      </c>
      <c r="F990" s="19" t="s">
        <v>63</v>
      </c>
      <c r="G990" s="19" t="s">
        <v>197</v>
      </c>
      <c r="H990" s="19">
        <v>14</v>
      </c>
      <c r="I990" s="41">
        <v>1154</v>
      </c>
      <c r="J990" s="53"/>
      <c r="K990" s="43"/>
      <c r="L990" s="19"/>
      <c r="M990" s="43"/>
      <c r="N990" s="44"/>
      <c r="O990" s="45">
        <f t="shared" ref="O990:O992" si="543">SUM(I990)</f>
        <v>1154</v>
      </c>
      <c r="P990" s="51"/>
      <c r="Q990" s="51"/>
      <c r="R990" s="74">
        <f t="shared" si="536"/>
        <v>593.829046369204</v>
      </c>
      <c r="S990" s="74"/>
      <c r="T990" s="75">
        <f t="shared" si="537"/>
        <v>1.59971128608924</v>
      </c>
      <c r="U990" s="74"/>
      <c r="V990" s="74"/>
      <c r="W990" s="76">
        <f t="shared" si="532"/>
        <v>595.428757655293</v>
      </c>
      <c r="X990" s="77">
        <f t="shared" si="538"/>
        <v>10.9955118110236</v>
      </c>
      <c r="Y990" s="77"/>
      <c r="Z990" s="77"/>
      <c r="AA990" s="77">
        <f t="shared" si="533"/>
        <v>10.9955118110236</v>
      </c>
      <c r="AB990" s="86">
        <v>7.08</v>
      </c>
      <c r="AC990" s="74">
        <f t="shared" si="534"/>
        <v>77.8482236220472</v>
      </c>
      <c r="AD990" s="74">
        <f t="shared" si="530"/>
        <v>673.27698127734</v>
      </c>
      <c r="AE990" s="74">
        <f t="shared" si="531"/>
        <v>480.72301872266</v>
      </c>
    </row>
    <row r="991" customFormat="1" spans="1:31">
      <c r="A991" s="18"/>
      <c r="B991" s="19"/>
      <c r="C991" s="20">
        <v>240927000018</v>
      </c>
      <c r="D991" s="21">
        <v>45570</v>
      </c>
      <c r="E991" s="21" t="s">
        <v>46</v>
      </c>
      <c r="F991" s="19" t="s">
        <v>47</v>
      </c>
      <c r="G991" s="19" t="s">
        <v>175</v>
      </c>
      <c r="H991" s="19">
        <v>6.5</v>
      </c>
      <c r="I991" s="41">
        <v>376.5</v>
      </c>
      <c r="J991" s="53"/>
      <c r="K991" s="43"/>
      <c r="L991" s="19"/>
      <c r="M991" s="43"/>
      <c r="N991" s="44"/>
      <c r="O991" s="45">
        <f t="shared" si="543"/>
        <v>376.5</v>
      </c>
      <c r="P991" s="51"/>
      <c r="Q991" s="51"/>
      <c r="R991" s="74">
        <f t="shared" si="536"/>
        <v>275.70634295713</v>
      </c>
      <c r="S991" s="74"/>
      <c r="T991" s="75">
        <f t="shared" si="537"/>
        <v>0.742723097112861</v>
      </c>
      <c r="U991" s="74"/>
      <c r="V991" s="74"/>
      <c r="W991" s="76">
        <f t="shared" si="532"/>
        <v>276.449066054243</v>
      </c>
      <c r="X991" s="77">
        <f t="shared" si="538"/>
        <v>5.10505905511811</v>
      </c>
      <c r="Y991" s="77"/>
      <c r="Z991" s="77"/>
      <c r="AA991" s="77">
        <f t="shared" si="533"/>
        <v>5.10505905511811</v>
      </c>
      <c r="AB991" s="86">
        <v>7.08</v>
      </c>
      <c r="AC991" s="74">
        <f t="shared" si="534"/>
        <v>36.1438181102362</v>
      </c>
      <c r="AD991" s="74">
        <f t="shared" si="530"/>
        <v>312.592884164479</v>
      </c>
      <c r="AE991" s="74">
        <f t="shared" si="531"/>
        <v>63.907115835521</v>
      </c>
    </row>
    <row r="992" customFormat="1" spans="1:31">
      <c r="A992" s="18"/>
      <c r="B992" s="19"/>
      <c r="C992" s="20">
        <v>240927000022</v>
      </c>
      <c r="D992" s="21">
        <v>45570</v>
      </c>
      <c r="E992" s="21" t="s">
        <v>46</v>
      </c>
      <c r="F992" s="19" t="s">
        <v>47</v>
      </c>
      <c r="G992" s="19" t="s">
        <v>91</v>
      </c>
      <c r="H992" s="19">
        <v>0.8</v>
      </c>
      <c r="I992" s="41">
        <v>63</v>
      </c>
      <c r="J992" s="53"/>
      <c r="K992" s="43"/>
      <c r="L992" s="19"/>
      <c r="M992" s="43"/>
      <c r="N992" s="44"/>
      <c r="O992" s="45">
        <f t="shared" si="543"/>
        <v>63</v>
      </c>
      <c r="P992" s="51"/>
      <c r="Q992" s="51"/>
      <c r="R992" s="74">
        <f t="shared" si="536"/>
        <v>33.9330883639545</v>
      </c>
      <c r="S992" s="74"/>
      <c r="T992" s="75">
        <f t="shared" si="537"/>
        <v>0.0914120734908136</v>
      </c>
      <c r="U992" s="74"/>
      <c r="V992" s="74"/>
      <c r="W992" s="76">
        <f t="shared" si="532"/>
        <v>34.0245004374453</v>
      </c>
      <c r="X992" s="77">
        <f t="shared" si="538"/>
        <v>0.628314960629921</v>
      </c>
      <c r="Y992" s="77"/>
      <c r="Z992" s="77"/>
      <c r="AA992" s="77">
        <f t="shared" si="533"/>
        <v>0.628314960629921</v>
      </c>
      <c r="AB992" s="86">
        <v>7.08</v>
      </c>
      <c r="AC992" s="74">
        <f t="shared" si="534"/>
        <v>4.44846992125984</v>
      </c>
      <c r="AD992" s="74">
        <f t="shared" si="530"/>
        <v>38.4729703587052</v>
      </c>
      <c r="AE992" s="74">
        <f t="shared" si="531"/>
        <v>24.5270296412948</v>
      </c>
    </row>
    <row r="993" customFormat="1" spans="1:31">
      <c r="A993" s="18"/>
      <c r="B993" s="19"/>
      <c r="C993" s="20">
        <v>240927000038</v>
      </c>
      <c r="D993" s="21">
        <v>45570</v>
      </c>
      <c r="E993" s="21" t="s">
        <v>50</v>
      </c>
      <c r="F993" s="19" t="s">
        <v>51</v>
      </c>
      <c r="G993" s="19" t="s">
        <v>281</v>
      </c>
      <c r="H993" s="19">
        <v>18</v>
      </c>
      <c r="I993" s="47"/>
      <c r="J993" s="54">
        <v>242550</v>
      </c>
      <c r="K993" s="43"/>
      <c r="L993" s="49">
        <f>SUM(J993/M993)</f>
        <v>1734.6063076593</v>
      </c>
      <c r="M993" s="50">
        <v>139.83</v>
      </c>
      <c r="N993" s="44">
        <v>7.08</v>
      </c>
      <c r="O993" s="45">
        <f>SUM(M993*N993)</f>
        <v>989.9964</v>
      </c>
      <c r="P993" s="51"/>
      <c r="Q993" s="51"/>
      <c r="R993" s="74">
        <f t="shared" si="536"/>
        <v>763.494488188976</v>
      </c>
      <c r="S993" s="74"/>
      <c r="T993" s="75">
        <f t="shared" si="537"/>
        <v>2.05677165354331</v>
      </c>
      <c r="U993" s="74"/>
      <c r="V993" s="74"/>
      <c r="W993" s="76">
        <f t="shared" si="532"/>
        <v>765.55125984252</v>
      </c>
      <c r="X993" s="77">
        <f t="shared" si="538"/>
        <v>14.1370866141732</v>
      </c>
      <c r="Y993" s="77"/>
      <c r="Z993" s="77"/>
      <c r="AA993" s="77">
        <f t="shared" si="533"/>
        <v>14.1370866141732</v>
      </c>
      <c r="AB993" s="86">
        <v>7.08</v>
      </c>
      <c r="AC993" s="74">
        <f t="shared" si="534"/>
        <v>100.090573228346</v>
      </c>
      <c r="AD993" s="74">
        <f t="shared" si="530"/>
        <v>865.641833070866</v>
      </c>
      <c r="AE993" s="74">
        <f t="shared" si="531"/>
        <v>124.354566929134</v>
      </c>
    </row>
    <row r="994" customFormat="1" spans="1:31">
      <c r="A994" s="18"/>
      <c r="B994" s="19"/>
      <c r="C994" s="20">
        <v>240927000042</v>
      </c>
      <c r="D994" s="21">
        <v>45570</v>
      </c>
      <c r="E994" s="21" t="s">
        <v>46</v>
      </c>
      <c r="F994" s="19" t="s">
        <v>47</v>
      </c>
      <c r="G994" s="19" t="s">
        <v>175</v>
      </c>
      <c r="H994" s="19">
        <v>14.5</v>
      </c>
      <c r="I994" s="41">
        <v>832.5</v>
      </c>
      <c r="J994" s="53"/>
      <c r="K994" s="43"/>
      <c r="L994" s="19"/>
      <c r="M994" s="43"/>
      <c r="N994" s="44"/>
      <c r="O994" s="45">
        <f t="shared" ref="O994:O1000" si="544">SUM(I994)</f>
        <v>832.5</v>
      </c>
      <c r="P994" s="51"/>
      <c r="Q994" s="51"/>
      <c r="R994" s="74">
        <f t="shared" si="536"/>
        <v>615.037226596675</v>
      </c>
      <c r="S994" s="74"/>
      <c r="T994" s="75">
        <f t="shared" si="537"/>
        <v>1.656843832021</v>
      </c>
      <c r="U994" s="74"/>
      <c r="V994" s="74"/>
      <c r="W994" s="76">
        <f t="shared" si="532"/>
        <v>616.694070428696</v>
      </c>
      <c r="X994" s="77">
        <f t="shared" si="538"/>
        <v>11.3882086614173</v>
      </c>
      <c r="Y994" s="77"/>
      <c r="Z994" s="77"/>
      <c r="AA994" s="77">
        <f t="shared" si="533"/>
        <v>11.3882086614173</v>
      </c>
      <c r="AB994" s="86">
        <v>7.08</v>
      </c>
      <c r="AC994" s="74">
        <f t="shared" si="534"/>
        <v>80.6285173228347</v>
      </c>
      <c r="AD994" s="74">
        <f t="shared" si="530"/>
        <v>697.322587751531</v>
      </c>
      <c r="AE994" s="74">
        <f t="shared" si="531"/>
        <v>135.177412248469</v>
      </c>
    </row>
    <row r="995" customFormat="1" spans="1:31">
      <c r="A995" s="18"/>
      <c r="B995" s="19"/>
      <c r="C995" s="20">
        <v>240927000045</v>
      </c>
      <c r="D995" s="21">
        <v>45570</v>
      </c>
      <c r="E995" s="21" t="s">
        <v>50</v>
      </c>
      <c r="F995" s="19" t="s">
        <v>51</v>
      </c>
      <c r="G995" s="19" t="s">
        <v>281</v>
      </c>
      <c r="H995" s="19">
        <v>91.5</v>
      </c>
      <c r="I995" s="47"/>
      <c r="J995" s="54">
        <v>1232962.5</v>
      </c>
      <c r="K995" s="43"/>
      <c r="L995" s="49">
        <f>SUM(J995/M995)</f>
        <v>1734.61240855374</v>
      </c>
      <c r="M995" s="50">
        <v>710.8</v>
      </c>
      <c r="N995" s="44">
        <v>7.08</v>
      </c>
      <c r="O995" s="45">
        <f>SUM(M995*N995)</f>
        <v>5032.464</v>
      </c>
      <c r="P995" s="51"/>
      <c r="Q995" s="51"/>
      <c r="R995" s="74">
        <f t="shared" si="536"/>
        <v>3881.0969816273</v>
      </c>
      <c r="S995" s="74"/>
      <c r="T995" s="75">
        <f t="shared" si="537"/>
        <v>10.4552559055118</v>
      </c>
      <c r="U995" s="74"/>
      <c r="V995" s="74"/>
      <c r="W995" s="76">
        <f t="shared" si="532"/>
        <v>3891.55223753281</v>
      </c>
      <c r="X995" s="77">
        <f t="shared" si="538"/>
        <v>71.8635236220472</v>
      </c>
      <c r="Y995" s="77"/>
      <c r="Z995" s="77"/>
      <c r="AA995" s="77">
        <f t="shared" si="533"/>
        <v>71.8635236220472</v>
      </c>
      <c r="AB995" s="86">
        <v>7.08</v>
      </c>
      <c r="AC995" s="74">
        <f t="shared" si="534"/>
        <v>508.793747244094</v>
      </c>
      <c r="AD995" s="74">
        <f t="shared" si="530"/>
        <v>4400.3459847769</v>
      </c>
      <c r="AE995" s="74">
        <f t="shared" si="531"/>
        <v>632.1180152231</v>
      </c>
    </row>
    <row r="996" customFormat="1" spans="1:31">
      <c r="A996" s="18"/>
      <c r="B996" s="19"/>
      <c r="C996" s="22">
        <v>240927000049</v>
      </c>
      <c r="D996" s="23">
        <v>45570</v>
      </c>
      <c r="E996" s="21" t="s">
        <v>50</v>
      </c>
      <c r="F996" s="24" t="s">
        <v>51</v>
      </c>
      <c r="G996" s="24" t="s">
        <v>311</v>
      </c>
      <c r="H996" s="24">
        <v>2.5</v>
      </c>
      <c r="I996" s="41">
        <v>140</v>
      </c>
      <c r="J996" s="53"/>
      <c r="K996" s="43"/>
      <c r="L996" s="19"/>
      <c r="M996" s="43"/>
      <c r="N996" s="44"/>
      <c r="O996" s="45">
        <f t="shared" si="544"/>
        <v>140</v>
      </c>
      <c r="P996" s="51"/>
      <c r="Q996" s="51"/>
      <c r="R996" s="74">
        <f t="shared" si="536"/>
        <v>106.040901137358</v>
      </c>
      <c r="S996" s="74"/>
      <c r="T996" s="75">
        <f t="shared" si="537"/>
        <v>0.285662729658793</v>
      </c>
      <c r="U996" s="74"/>
      <c r="V996" s="74"/>
      <c r="W996" s="76">
        <f t="shared" si="532"/>
        <v>106.326563867017</v>
      </c>
      <c r="X996" s="77">
        <f t="shared" si="538"/>
        <v>1.9634842519685</v>
      </c>
      <c r="Y996" s="77"/>
      <c r="Z996" s="77"/>
      <c r="AA996" s="77">
        <f t="shared" si="533"/>
        <v>1.9634842519685</v>
      </c>
      <c r="AB996" s="86">
        <v>7.08</v>
      </c>
      <c r="AC996" s="74">
        <f t="shared" si="534"/>
        <v>13.901468503937</v>
      </c>
      <c r="AD996" s="74">
        <f t="shared" si="530"/>
        <v>120.228032370954</v>
      </c>
      <c r="AE996" s="74">
        <f t="shared" si="531"/>
        <v>19.771967629046</v>
      </c>
    </row>
    <row r="997" customFormat="1" spans="1:31">
      <c r="A997" s="18"/>
      <c r="B997" s="19"/>
      <c r="C997" s="20">
        <v>240927000051</v>
      </c>
      <c r="D997" s="21">
        <v>45570</v>
      </c>
      <c r="E997" s="21" t="s">
        <v>50</v>
      </c>
      <c r="F997" s="19" t="s">
        <v>51</v>
      </c>
      <c r="G997" s="19" t="s">
        <v>587</v>
      </c>
      <c r="H997" s="19">
        <v>0.93</v>
      </c>
      <c r="I997" s="41">
        <v>63</v>
      </c>
      <c r="J997" s="53"/>
      <c r="K997" s="43"/>
      <c r="L997" s="19"/>
      <c r="M997" s="43"/>
      <c r="N997" s="44"/>
      <c r="O997" s="45">
        <f t="shared" si="544"/>
        <v>63</v>
      </c>
      <c r="P997" s="51"/>
      <c r="Q997" s="51"/>
      <c r="R997" s="74">
        <f t="shared" si="536"/>
        <v>39.4472152230971</v>
      </c>
      <c r="S997" s="74"/>
      <c r="T997" s="75">
        <f t="shared" si="537"/>
        <v>0.106266535433071</v>
      </c>
      <c r="U997" s="74"/>
      <c r="V997" s="74"/>
      <c r="W997" s="76">
        <f t="shared" si="532"/>
        <v>39.5534817585302</v>
      </c>
      <c r="X997" s="77">
        <f t="shared" si="538"/>
        <v>0.730416141732284</v>
      </c>
      <c r="Y997" s="77"/>
      <c r="Z997" s="77"/>
      <c r="AA997" s="77">
        <f t="shared" si="533"/>
        <v>0.730416141732284</v>
      </c>
      <c r="AB997" s="86">
        <v>7.08</v>
      </c>
      <c r="AC997" s="74">
        <f t="shared" si="534"/>
        <v>5.17134628346457</v>
      </c>
      <c r="AD997" s="74">
        <f t="shared" si="530"/>
        <v>44.7248280419948</v>
      </c>
      <c r="AE997" s="74">
        <f t="shared" si="531"/>
        <v>18.2751719580052</v>
      </c>
    </row>
    <row r="998" customFormat="1" spans="1:31">
      <c r="A998" s="18"/>
      <c r="B998" s="19"/>
      <c r="C998" s="20">
        <v>240927000052</v>
      </c>
      <c r="D998" s="21">
        <v>45570</v>
      </c>
      <c r="E998" s="21" t="s">
        <v>50</v>
      </c>
      <c r="F998" s="19" t="s">
        <v>51</v>
      </c>
      <c r="G998" s="19" t="s">
        <v>86</v>
      </c>
      <c r="H998" s="19">
        <v>2</v>
      </c>
      <c r="I998" s="41">
        <v>135</v>
      </c>
      <c r="J998" s="53"/>
      <c r="K998" s="43"/>
      <c r="L998" s="19"/>
      <c r="M998" s="43"/>
      <c r="N998" s="44"/>
      <c r="O998" s="45">
        <f t="shared" si="544"/>
        <v>135</v>
      </c>
      <c r="P998" s="51"/>
      <c r="Q998" s="51"/>
      <c r="R998" s="74">
        <f t="shared" si="536"/>
        <v>84.8327209098863</v>
      </c>
      <c r="S998" s="74"/>
      <c r="T998" s="75">
        <f t="shared" si="537"/>
        <v>0.228530183727034</v>
      </c>
      <c r="U998" s="74"/>
      <c r="V998" s="74"/>
      <c r="W998" s="76">
        <f t="shared" si="532"/>
        <v>85.0612510936133</v>
      </c>
      <c r="X998" s="77">
        <f t="shared" si="538"/>
        <v>1.5707874015748</v>
      </c>
      <c r="Y998" s="77"/>
      <c r="Z998" s="77"/>
      <c r="AA998" s="77">
        <f t="shared" si="533"/>
        <v>1.5707874015748</v>
      </c>
      <c r="AB998" s="86">
        <v>7.08</v>
      </c>
      <c r="AC998" s="74">
        <f t="shared" si="534"/>
        <v>11.1211748031496</v>
      </c>
      <c r="AD998" s="74">
        <f t="shared" si="530"/>
        <v>96.1824258967629</v>
      </c>
      <c r="AE998" s="74">
        <f t="shared" si="531"/>
        <v>38.8175741032371</v>
      </c>
    </row>
    <row r="999" customFormat="1" spans="1:31">
      <c r="A999" s="18"/>
      <c r="B999" s="19"/>
      <c r="C999" s="20">
        <v>240927000055</v>
      </c>
      <c r="D999" s="21">
        <v>45570</v>
      </c>
      <c r="E999" s="21" t="s">
        <v>50</v>
      </c>
      <c r="F999" s="19" t="s">
        <v>51</v>
      </c>
      <c r="G999" s="19" t="s">
        <v>343</v>
      </c>
      <c r="H999" s="19">
        <v>3.5</v>
      </c>
      <c r="I999" s="41">
        <v>234</v>
      </c>
      <c r="J999" s="53"/>
      <c r="K999" s="43"/>
      <c r="L999" s="19"/>
      <c r="M999" s="43"/>
      <c r="N999" s="44"/>
      <c r="O999" s="45">
        <f t="shared" si="544"/>
        <v>234</v>
      </c>
      <c r="P999" s="51"/>
      <c r="Q999" s="51"/>
      <c r="R999" s="74">
        <f t="shared" si="536"/>
        <v>148.457261592301</v>
      </c>
      <c r="S999" s="74"/>
      <c r="T999" s="75">
        <f t="shared" si="537"/>
        <v>0.39992782152231</v>
      </c>
      <c r="U999" s="74"/>
      <c r="V999" s="74"/>
      <c r="W999" s="76">
        <f t="shared" si="532"/>
        <v>148.857189413823</v>
      </c>
      <c r="X999" s="77">
        <f t="shared" si="538"/>
        <v>2.74887795275591</v>
      </c>
      <c r="Y999" s="77"/>
      <c r="Z999" s="77"/>
      <c r="AA999" s="77">
        <f t="shared" si="533"/>
        <v>2.74887795275591</v>
      </c>
      <c r="AB999" s="86">
        <v>7.08</v>
      </c>
      <c r="AC999" s="74">
        <f t="shared" si="534"/>
        <v>19.4620559055118</v>
      </c>
      <c r="AD999" s="74">
        <f t="shared" si="530"/>
        <v>168.319245319335</v>
      </c>
      <c r="AE999" s="74">
        <f t="shared" si="531"/>
        <v>65.680754680665</v>
      </c>
    </row>
    <row r="1000" customFormat="1" spans="1:31">
      <c r="A1000" s="18"/>
      <c r="B1000" s="19"/>
      <c r="C1000" s="20">
        <v>240927000059</v>
      </c>
      <c r="D1000" s="21">
        <v>45570</v>
      </c>
      <c r="E1000" s="21" t="s">
        <v>43</v>
      </c>
      <c r="F1000" s="19" t="s">
        <v>44</v>
      </c>
      <c r="G1000" s="19" t="s">
        <v>108</v>
      </c>
      <c r="H1000" s="19">
        <v>6</v>
      </c>
      <c r="I1000" s="41">
        <v>348</v>
      </c>
      <c r="J1000" s="53"/>
      <c r="K1000" s="43"/>
      <c r="L1000" s="19"/>
      <c r="M1000" s="43"/>
      <c r="N1000" s="44"/>
      <c r="O1000" s="45">
        <f t="shared" si="544"/>
        <v>348</v>
      </c>
      <c r="P1000" s="51"/>
      <c r="Q1000" s="51"/>
      <c r="R1000" s="74">
        <f t="shared" si="536"/>
        <v>254.498162729659</v>
      </c>
      <c r="S1000" s="74"/>
      <c r="T1000" s="75">
        <f t="shared" si="537"/>
        <v>0.685590551181102</v>
      </c>
      <c r="U1000" s="74"/>
      <c r="V1000" s="74"/>
      <c r="W1000" s="76">
        <f t="shared" si="532"/>
        <v>255.18375328084</v>
      </c>
      <c r="X1000" s="77">
        <f t="shared" si="538"/>
        <v>4.71236220472441</v>
      </c>
      <c r="Y1000" s="77"/>
      <c r="Z1000" s="77"/>
      <c r="AA1000" s="77">
        <f t="shared" si="533"/>
        <v>4.71236220472441</v>
      </c>
      <c r="AB1000" s="86">
        <v>7.08</v>
      </c>
      <c r="AC1000" s="74">
        <f t="shared" si="534"/>
        <v>33.3635244094488</v>
      </c>
      <c r="AD1000" s="74">
        <f t="shared" si="530"/>
        <v>288.547277690289</v>
      </c>
      <c r="AE1000" s="74">
        <f t="shared" si="531"/>
        <v>59.452722309711</v>
      </c>
    </row>
    <row r="1001" customFormat="1" spans="1:31">
      <c r="A1001" s="18"/>
      <c r="B1001" s="19"/>
      <c r="C1001" s="20">
        <v>240927000062</v>
      </c>
      <c r="D1001" s="21">
        <v>45570</v>
      </c>
      <c r="E1001" s="21" t="s">
        <v>96</v>
      </c>
      <c r="F1001" s="19" t="s">
        <v>129</v>
      </c>
      <c r="G1001" s="19" t="s">
        <v>151</v>
      </c>
      <c r="H1001" s="19">
        <v>1.5</v>
      </c>
      <c r="I1001" s="45"/>
      <c r="J1001" s="54">
        <v>16416</v>
      </c>
      <c r="K1001" s="43"/>
      <c r="L1001" s="49">
        <f>SUM(J1001/M1001)</f>
        <v>1664.90872210953</v>
      </c>
      <c r="M1001" s="50">
        <v>9.86</v>
      </c>
      <c r="N1001" s="44">
        <v>7.08</v>
      </c>
      <c r="O1001" s="45">
        <f>SUM(M1001*N1001)</f>
        <v>69.8088</v>
      </c>
      <c r="P1001" s="51"/>
      <c r="Q1001" s="51"/>
      <c r="R1001" s="74">
        <f t="shared" si="536"/>
        <v>63.6245406824147</v>
      </c>
      <c r="S1001" s="74"/>
      <c r="T1001" s="75">
        <f t="shared" si="537"/>
        <v>0.171397637795276</v>
      </c>
      <c r="U1001" s="74"/>
      <c r="V1001" s="74"/>
      <c r="W1001" s="76">
        <f t="shared" si="532"/>
        <v>63.79593832021</v>
      </c>
      <c r="X1001" s="77">
        <f t="shared" si="538"/>
        <v>1.1780905511811</v>
      </c>
      <c r="Y1001" s="77"/>
      <c r="Z1001" s="77"/>
      <c r="AA1001" s="77">
        <f t="shared" si="533"/>
        <v>1.1780905511811</v>
      </c>
      <c r="AB1001" s="86">
        <v>7.08</v>
      </c>
      <c r="AC1001" s="74">
        <f t="shared" si="534"/>
        <v>8.34088110236221</v>
      </c>
      <c r="AD1001" s="74">
        <f t="shared" si="530"/>
        <v>72.1368194225722</v>
      </c>
      <c r="AE1001" s="74">
        <f t="shared" si="531"/>
        <v>-2.32801942257221</v>
      </c>
    </row>
    <row r="1002" customFormat="1" spans="1:31">
      <c r="A1002" s="18"/>
      <c r="B1002" s="19"/>
      <c r="C1002" s="20">
        <v>240927000063</v>
      </c>
      <c r="D1002" s="21">
        <v>45570</v>
      </c>
      <c r="E1002" s="21" t="s">
        <v>43</v>
      </c>
      <c r="F1002" s="19" t="s">
        <v>44</v>
      </c>
      <c r="G1002" s="19" t="s">
        <v>294</v>
      </c>
      <c r="H1002" s="19">
        <v>1.5</v>
      </c>
      <c r="I1002" s="45"/>
      <c r="J1002" s="54">
        <v>22380</v>
      </c>
      <c r="K1002" s="43"/>
      <c r="L1002" s="49">
        <f>SUM(J1002/M1002)</f>
        <v>1711.00917431193</v>
      </c>
      <c r="M1002" s="50">
        <v>13.08</v>
      </c>
      <c r="N1002" s="44">
        <v>7.08</v>
      </c>
      <c r="O1002" s="45">
        <f t="shared" ref="O1001:O1004" si="545">SUM(M1002*N1002)</f>
        <v>92.6064</v>
      </c>
      <c r="P1002" s="51"/>
      <c r="Q1002" s="51"/>
      <c r="R1002" s="74">
        <f t="shared" si="536"/>
        <v>63.6245406824147</v>
      </c>
      <c r="S1002" s="74"/>
      <c r="T1002" s="75">
        <f t="shared" si="537"/>
        <v>0.171397637795276</v>
      </c>
      <c r="U1002" s="74"/>
      <c r="V1002" s="74"/>
      <c r="W1002" s="76">
        <f t="shared" si="532"/>
        <v>63.79593832021</v>
      </c>
      <c r="X1002" s="77">
        <f t="shared" si="538"/>
        <v>1.1780905511811</v>
      </c>
      <c r="Y1002" s="77"/>
      <c r="Z1002" s="77"/>
      <c r="AA1002" s="77">
        <f t="shared" si="533"/>
        <v>1.1780905511811</v>
      </c>
      <c r="AB1002" s="86">
        <v>7.08</v>
      </c>
      <c r="AC1002" s="74">
        <f t="shared" si="534"/>
        <v>8.34088110236221</v>
      </c>
      <c r="AD1002" s="74">
        <f t="shared" si="530"/>
        <v>72.1368194225722</v>
      </c>
      <c r="AE1002" s="74">
        <f t="shared" si="531"/>
        <v>20.4695805774278</v>
      </c>
    </row>
    <row r="1003" customFormat="1" spans="1:31">
      <c r="A1003" s="18"/>
      <c r="B1003" s="19"/>
      <c r="C1003" s="20">
        <v>240927000064</v>
      </c>
      <c r="D1003" s="21">
        <v>45570</v>
      </c>
      <c r="E1003" s="21" t="s">
        <v>96</v>
      </c>
      <c r="F1003" s="19" t="s">
        <v>129</v>
      </c>
      <c r="G1003" s="19" t="s">
        <v>347</v>
      </c>
      <c r="H1003" s="19">
        <v>7</v>
      </c>
      <c r="I1003" s="45"/>
      <c r="J1003" s="53"/>
      <c r="K1003" s="50">
        <v>57.9</v>
      </c>
      <c r="L1003" s="49">
        <f t="shared" ref="L1003:L1007" si="546">SUM(J1003/M1003)</f>
        <v>0</v>
      </c>
      <c r="M1003" s="50">
        <v>57.9</v>
      </c>
      <c r="N1003" s="44">
        <v>7.08</v>
      </c>
      <c r="O1003" s="45">
        <f t="shared" si="545"/>
        <v>409.932</v>
      </c>
      <c r="P1003" s="51"/>
      <c r="Q1003" s="51"/>
      <c r="R1003" s="74">
        <f t="shared" si="536"/>
        <v>296.914523184602</v>
      </c>
      <c r="S1003" s="74"/>
      <c r="T1003" s="75">
        <f t="shared" si="537"/>
        <v>0.799855643044619</v>
      </c>
      <c r="U1003" s="74"/>
      <c r="V1003" s="74"/>
      <c r="W1003" s="76">
        <f t="shared" si="532"/>
        <v>297.714378827647</v>
      </c>
      <c r="X1003" s="77">
        <f t="shared" si="538"/>
        <v>5.49775590551181</v>
      </c>
      <c r="Y1003" s="77"/>
      <c r="Z1003" s="77"/>
      <c r="AA1003" s="77">
        <f t="shared" si="533"/>
        <v>5.49775590551181</v>
      </c>
      <c r="AB1003" s="86">
        <v>7.08</v>
      </c>
      <c r="AC1003" s="74">
        <f t="shared" si="534"/>
        <v>38.9241118110236</v>
      </c>
      <c r="AD1003" s="74">
        <f t="shared" si="530"/>
        <v>336.63849063867</v>
      </c>
      <c r="AE1003" s="74">
        <f t="shared" si="531"/>
        <v>73.29350936133</v>
      </c>
    </row>
    <row r="1004" customFormat="1" spans="1:31">
      <c r="A1004" s="18"/>
      <c r="B1004" s="19"/>
      <c r="C1004" s="20">
        <v>240927000067</v>
      </c>
      <c r="D1004" s="21">
        <v>45570</v>
      </c>
      <c r="E1004" s="21" t="s">
        <v>96</v>
      </c>
      <c r="F1004" s="19" t="s">
        <v>209</v>
      </c>
      <c r="G1004" s="19" t="s">
        <v>588</v>
      </c>
      <c r="H1004" s="19">
        <v>3.5</v>
      </c>
      <c r="I1004" s="45"/>
      <c r="J1004" s="54">
        <v>52185</v>
      </c>
      <c r="K1004" s="43"/>
      <c r="L1004" s="49">
        <f t="shared" si="546"/>
        <v>1710.98360655738</v>
      </c>
      <c r="M1004" s="50">
        <v>30.5</v>
      </c>
      <c r="N1004" s="44">
        <v>7.08</v>
      </c>
      <c r="O1004" s="45">
        <f t="shared" si="545"/>
        <v>215.94</v>
      </c>
      <c r="P1004" s="51"/>
      <c r="Q1004" s="51"/>
      <c r="R1004" s="74">
        <f t="shared" si="536"/>
        <v>148.457261592301</v>
      </c>
      <c r="S1004" s="74"/>
      <c r="T1004" s="75">
        <f t="shared" si="537"/>
        <v>0.39992782152231</v>
      </c>
      <c r="U1004" s="74"/>
      <c r="V1004" s="74"/>
      <c r="W1004" s="76">
        <f t="shared" si="532"/>
        <v>148.857189413823</v>
      </c>
      <c r="X1004" s="77">
        <f t="shared" si="538"/>
        <v>2.74887795275591</v>
      </c>
      <c r="Y1004" s="77"/>
      <c r="Z1004" s="77"/>
      <c r="AA1004" s="77">
        <f t="shared" si="533"/>
        <v>2.74887795275591</v>
      </c>
      <c r="AB1004" s="86">
        <v>7.08</v>
      </c>
      <c r="AC1004" s="74">
        <f t="shared" si="534"/>
        <v>19.4620559055118</v>
      </c>
      <c r="AD1004" s="74">
        <f t="shared" si="530"/>
        <v>168.319245319335</v>
      </c>
      <c r="AE1004" s="74">
        <f t="shared" si="531"/>
        <v>47.620754680665</v>
      </c>
    </row>
    <row r="1005" customFormat="1" spans="1:31">
      <c r="A1005" s="18"/>
      <c r="B1005" s="19"/>
      <c r="C1005" s="20">
        <v>240928000009</v>
      </c>
      <c r="D1005" s="21">
        <v>45570</v>
      </c>
      <c r="E1005" s="21" t="s">
        <v>37</v>
      </c>
      <c r="F1005" s="19" t="s">
        <v>38</v>
      </c>
      <c r="G1005" s="19" t="s">
        <v>155</v>
      </c>
      <c r="H1005" s="19">
        <v>2.5</v>
      </c>
      <c r="I1005" s="41">
        <v>153</v>
      </c>
      <c r="J1005" s="53"/>
      <c r="K1005" s="43"/>
      <c r="L1005" s="19"/>
      <c r="M1005" s="43"/>
      <c r="N1005" s="44"/>
      <c r="O1005" s="45">
        <f t="shared" ref="O1005:O1009" si="547">SUM(I1005)</f>
        <v>153</v>
      </c>
      <c r="P1005" s="51"/>
      <c r="Q1005" s="51"/>
      <c r="R1005" s="74">
        <f t="shared" si="536"/>
        <v>106.040901137358</v>
      </c>
      <c r="S1005" s="74"/>
      <c r="T1005" s="75">
        <f t="shared" si="537"/>
        <v>0.285662729658793</v>
      </c>
      <c r="U1005" s="74"/>
      <c r="V1005" s="74"/>
      <c r="W1005" s="76">
        <f t="shared" si="532"/>
        <v>106.326563867017</v>
      </c>
      <c r="X1005" s="77">
        <f t="shared" si="538"/>
        <v>1.9634842519685</v>
      </c>
      <c r="Y1005" s="77"/>
      <c r="Z1005" s="77"/>
      <c r="AA1005" s="77">
        <f t="shared" si="533"/>
        <v>1.9634842519685</v>
      </c>
      <c r="AB1005" s="86">
        <v>7.08</v>
      </c>
      <c r="AC1005" s="74">
        <f t="shared" si="534"/>
        <v>13.901468503937</v>
      </c>
      <c r="AD1005" s="74">
        <f t="shared" ref="AD1005:AD1037" si="548">SUM(W1005+AC1005)</f>
        <v>120.228032370954</v>
      </c>
      <c r="AE1005" s="74">
        <f t="shared" ref="AE1005:AE1037" si="549">SUM(O1005-AD1005)</f>
        <v>32.7719676290464</v>
      </c>
    </row>
    <row r="1006" customFormat="1" spans="1:31">
      <c r="A1006" s="18"/>
      <c r="B1006" s="19"/>
      <c r="C1006" s="20">
        <v>240928000010</v>
      </c>
      <c r="D1006" s="21">
        <v>45570</v>
      </c>
      <c r="E1006" s="21" t="s">
        <v>62</v>
      </c>
      <c r="F1006" s="19" t="s">
        <v>63</v>
      </c>
      <c r="G1006" s="19" t="s">
        <v>305</v>
      </c>
      <c r="H1006" s="19">
        <v>28</v>
      </c>
      <c r="I1006" s="47"/>
      <c r="J1006" s="54">
        <v>378486</v>
      </c>
      <c r="K1006" s="43"/>
      <c r="L1006" s="49">
        <f t="shared" si="546"/>
        <v>1731.09220636663</v>
      </c>
      <c r="M1006" s="50">
        <v>218.64</v>
      </c>
      <c r="N1006" s="44">
        <v>7.08</v>
      </c>
      <c r="O1006" s="45">
        <f t="shared" ref="O1006:O1010" si="550">SUM(M1006*N1006)</f>
        <v>1547.9712</v>
      </c>
      <c r="P1006" s="51"/>
      <c r="Q1006" s="51"/>
      <c r="R1006" s="74">
        <f t="shared" si="536"/>
        <v>1187.65809273841</v>
      </c>
      <c r="S1006" s="74"/>
      <c r="T1006" s="75">
        <f t="shared" si="537"/>
        <v>3.19942257217848</v>
      </c>
      <c r="U1006" s="74"/>
      <c r="V1006" s="74"/>
      <c r="W1006" s="76">
        <f t="shared" ref="W1006:W1038" si="551">SUM(R1006:V1006)</f>
        <v>1190.85751531059</v>
      </c>
      <c r="X1006" s="77">
        <f t="shared" si="538"/>
        <v>21.9910236220472</v>
      </c>
      <c r="Y1006" s="77"/>
      <c r="Z1006" s="77"/>
      <c r="AA1006" s="77">
        <f t="shared" ref="AA1006:AA1038" si="552">SUM(X1006:Z1006)</f>
        <v>21.9910236220472</v>
      </c>
      <c r="AB1006" s="86">
        <v>7.08</v>
      </c>
      <c r="AC1006" s="74">
        <f t="shared" ref="AC1006:AC1038" si="553">SUM(AA1006*AB1006)</f>
        <v>155.696447244094</v>
      </c>
      <c r="AD1006" s="74">
        <f t="shared" si="548"/>
        <v>1346.55396255468</v>
      </c>
      <c r="AE1006" s="74">
        <f t="shared" si="549"/>
        <v>201.417237445319</v>
      </c>
    </row>
    <row r="1007" customFormat="1" spans="1:31">
      <c r="A1007" s="18"/>
      <c r="B1007" s="19"/>
      <c r="C1007" s="20">
        <v>240928000016</v>
      </c>
      <c r="D1007" s="21">
        <v>45570</v>
      </c>
      <c r="E1007" s="21" t="s">
        <v>46</v>
      </c>
      <c r="F1007" s="19" t="s">
        <v>47</v>
      </c>
      <c r="G1007" s="19" t="s">
        <v>323</v>
      </c>
      <c r="H1007" s="19">
        <v>5.5</v>
      </c>
      <c r="I1007" s="45"/>
      <c r="J1007" s="54">
        <v>81614.7</v>
      </c>
      <c r="K1007" s="43"/>
      <c r="L1007" s="49">
        <f t="shared" si="546"/>
        <v>1711</v>
      </c>
      <c r="M1007" s="50">
        <v>47.7</v>
      </c>
      <c r="N1007" s="44">
        <v>7.08</v>
      </c>
      <c r="O1007" s="45">
        <f t="shared" si="550"/>
        <v>337.716</v>
      </c>
      <c r="P1007" s="51"/>
      <c r="Q1007" s="51"/>
      <c r="R1007" s="74">
        <f t="shared" si="536"/>
        <v>233.289982502187</v>
      </c>
      <c r="S1007" s="74"/>
      <c r="T1007" s="75">
        <f t="shared" si="537"/>
        <v>0.628458005249344</v>
      </c>
      <c r="U1007" s="74"/>
      <c r="V1007" s="74"/>
      <c r="W1007" s="76">
        <f t="shared" si="551"/>
        <v>233.918440507437</v>
      </c>
      <c r="X1007" s="77">
        <f t="shared" si="538"/>
        <v>4.31966535433071</v>
      </c>
      <c r="Y1007" s="77"/>
      <c r="Z1007" s="77"/>
      <c r="AA1007" s="77">
        <f t="shared" si="552"/>
        <v>4.31966535433071</v>
      </c>
      <c r="AB1007" s="86">
        <v>7.08</v>
      </c>
      <c r="AC1007" s="74">
        <f t="shared" si="553"/>
        <v>30.5832307086614</v>
      </c>
      <c r="AD1007" s="74">
        <f t="shared" si="548"/>
        <v>264.501671216098</v>
      </c>
      <c r="AE1007" s="74">
        <f t="shared" si="549"/>
        <v>73.214328783902</v>
      </c>
    </row>
    <row r="1008" customFormat="1" spans="1:31">
      <c r="A1008" s="18"/>
      <c r="B1008" s="19"/>
      <c r="C1008" s="20">
        <v>240928000017</v>
      </c>
      <c r="D1008" s="21">
        <v>45570</v>
      </c>
      <c r="E1008" s="21" t="s">
        <v>46</v>
      </c>
      <c r="F1008" s="19" t="s">
        <v>47</v>
      </c>
      <c r="G1008" s="19" t="s">
        <v>175</v>
      </c>
      <c r="H1008" s="19">
        <v>2.5</v>
      </c>
      <c r="I1008" s="41">
        <v>196</v>
      </c>
      <c r="J1008" s="53"/>
      <c r="K1008" s="43"/>
      <c r="L1008" s="19"/>
      <c r="M1008" s="43"/>
      <c r="N1008" s="44"/>
      <c r="O1008" s="45">
        <f t="shared" si="547"/>
        <v>196</v>
      </c>
      <c r="P1008" s="51"/>
      <c r="Q1008" s="51"/>
      <c r="R1008" s="74">
        <f t="shared" ref="R1008:R1039" si="554">SUM(96963.8/2286)*H1008</f>
        <v>106.040901137358</v>
      </c>
      <c r="S1008" s="74"/>
      <c r="T1008" s="75">
        <f t="shared" ref="T1008:T1039" si="555">SUM(261.21/2286)*H1008</f>
        <v>0.285662729658793</v>
      </c>
      <c r="U1008" s="74"/>
      <c r="V1008" s="75">
        <v>43</v>
      </c>
      <c r="W1008" s="76">
        <f t="shared" si="551"/>
        <v>149.326563867017</v>
      </c>
      <c r="X1008" s="77">
        <f t="shared" ref="X1008:X1039" si="556">SUM(1795.41/2286)*H1008</f>
        <v>1.9634842519685</v>
      </c>
      <c r="Y1008" s="77"/>
      <c r="Z1008" s="77"/>
      <c r="AA1008" s="77">
        <f t="shared" si="552"/>
        <v>1.9634842519685</v>
      </c>
      <c r="AB1008" s="86">
        <v>7.08</v>
      </c>
      <c r="AC1008" s="74">
        <f t="shared" si="553"/>
        <v>13.901468503937</v>
      </c>
      <c r="AD1008" s="74">
        <f t="shared" si="548"/>
        <v>163.228032370954</v>
      </c>
      <c r="AE1008" s="74">
        <f t="shared" si="549"/>
        <v>32.7719676290464</v>
      </c>
    </row>
    <row r="1009" customFormat="1" spans="1:31">
      <c r="A1009" s="18"/>
      <c r="B1009" s="19"/>
      <c r="C1009" s="20">
        <v>240928000019</v>
      </c>
      <c r="D1009" s="21">
        <v>45570</v>
      </c>
      <c r="E1009" s="21" t="s">
        <v>46</v>
      </c>
      <c r="F1009" s="19" t="s">
        <v>47</v>
      </c>
      <c r="G1009" s="19" t="s">
        <v>175</v>
      </c>
      <c r="H1009" s="19">
        <v>2</v>
      </c>
      <c r="I1009" s="41">
        <v>123</v>
      </c>
      <c r="J1009" s="53"/>
      <c r="K1009" s="43"/>
      <c r="L1009" s="19"/>
      <c r="M1009" s="43"/>
      <c r="N1009" s="44"/>
      <c r="O1009" s="45">
        <f t="shared" si="547"/>
        <v>123</v>
      </c>
      <c r="P1009" s="51"/>
      <c r="Q1009" s="51"/>
      <c r="R1009" s="74">
        <f t="shared" si="554"/>
        <v>84.8327209098863</v>
      </c>
      <c r="S1009" s="74"/>
      <c r="T1009" s="75">
        <f t="shared" si="555"/>
        <v>0.228530183727034</v>
      </c>
      <c r="U1009" s="74"/>
      <c r="V1009" s="74"/>
      <c r="W1009" s="76">
        <f t="shared" si="551"/>
        <v>85.0612510936133</v>
      </c>
      <c r="X1009" s="77">
        <f t="shared" si="556"/>
        <v>1.5707874015748</v>
      </c>
      <c r="Y1009" s="77"/>
      <c r="Z1009" s="77"/>
      <c r="AA1009" s="77">
        <f t="shared" si="552"/>
        <v>1.5707874015748</v>
      </c>
      <c r="AB1009" s="86">
        <v>7.08</v>
      </c>
      <c r="AC1009" s="74">
        <f t="shared" si="553"/>
        <v>11.1211748031496</v>
      </c>
      <c r="AD1009" s="74">
        <f t="shared" si="548"/>
        <v>96.1824258967629</v>
      </c>
      <c r="AE1009" s="74">
        <f t="shared" si="549"/>
        <v>26.8175741032371</v>
      </c>
    </row>
    <row r="1010" customFormat="1" spans="1:31">
      <c r="A1010" s="18"/>
      <c r="B1010" s="19"/>
      <c r="C1010" s="20">
        <v>240929000002</v>
      </c>
      <c r="D1010" s="21">
        <v>45570</v>
      </c>
      <c r="E1010" s="21" t="s">
        <v>41</v>
      </c>
      <c r="F1010" s="19" t="s">
        <v>41</v>
      </c>
      <c r="G1010" s="19" t="s">
        <v>259</v>
      </c>
      <c r="H1010" s="19">
        <v>30</v>
      </c>
      <c r="I1010" s="45"/>
      <c r="J1010" s="53"/>
      <c r="K1010" s="43"/>
      <c r="L1010" s="19"/>
      <c r="M1010" s="43">
        <v>228</v>
      </c>
      <c r="N1010" s="44">
        <v>7.08</v>
      </c>
      <c r="O1010" s="45">
        <f t="shared" si="550"/>
        <v>1614.24</v>
      </c>
      <c r="P1010" s="51"/>
      <c r="Q1010" s="51"/>
      <c r="R1010" s="74">
        <f t="shared" si="554"/>
        <v>1272.49081364829</v>
      </c>
      <c r="S1010" s="74"/>
      <c r="T1010" s="75">
        <f t="shared" si="555"/>
        <v>3.42795275590551</v>
      </c>
      <c r="U1010" s="74"/>
      <c r="V1010" s="74"/>
      <c r="W1010" s="76">
        <f t="shared" si="551"/>
        <v>1275.9187664042</v>
      </c>
      <c r="X1010" s="77">
        <f t="shared" si="556"/>
        <v>23.561811023622</v>
      </c>
      <c r="Y1010" s="77"/>
      <c r="Z1010" s="77"/>
      <c r="AA1010" s="77">
        <f t="shared" si="552"/>
        <v>23.561811023622</v>
      </c>
      <c r="AB1010" s="86">
        <v>7.08</v>
      </c>
      <c r="AC1010" s="74">
        <f t="shared" si="553"/>
        <v>166.817622047244</v>
      </c>
      <c r="AD1010" s="74">
        <f t="shared" si="548"/>
        <v>1442.73638845144</v>
      </c>
      <c r="AE1010" s="74">
        <f t="shared" si="549"/>
        <v>171.503611548557</v>
      </c>
    </row>
    <row r="1011" customFormat="1" spans="1:31">
      <c r="A1011" s="18"/>
      <c r="B1011" s="19"/>
      <c r="C1011" s="20">
        <v>240929000006</v>
      </c>
      <c r="D1011" s="21">
        <v>45570</v>
      </c>
      <c r="E1011" s="21" t="s">
        <v>43</v>
      </c>
      <c r="F1011" s="19" t="s">
        <v>44</v>
      </c>
      <c r="G1011" s="19" t="s">
        <v>293</v>
      </c>
      <c r="H1011" s="19">
        <v>2</v>
      </c>
      <c r="I1011" s="41">
        <v>120</v>
      </c>
      <c r="J1011" s="53"/>
      <c r="K1011" s="43"/>
      <c r="L1011" s="19"/>
      <c r="M1011" s="43"/>
      <c r="N1011" s="44"/>
      <c r="O1011" s="45">
        <f t="shared" ref="O1011:O1016" si="557">SUM(I1011)</f>
        <v>120</v>
      </c>
      <c r="P1011" s="51"/>
      <c r="Q1011" s="51"/>
      <c r="R1011" s="74">
        <f t="shared" si="554"/>
        <v>84.8327209098863</v>
      </c>
      <c r="S1011" s="74"/>
      <c r="T1011" s="75">
        <f t="shared" si="555"/>
        <v>0.228530183727034</v>
      </c>
      <c r="U1011" s="74"/>
      <c r="V1011" s="74"/>
      <c r="W1011" s="76">
        <f t="shared" si="551"/>
        <v>85.0612510936133</v>
      </c>
      <c r="X1011" s="77">
        <f t="shared" si="556"/>
        <v>1.5707874015748</v>
      </c>
      <c r="Y1011" s="77"/>
      <c r="Z1011" s="77"/>
      <c r="AA1011" s="77">
        <f t="shared" si="552"/>
        <v>1.5707874015748</v>
      </c>
      <c r="AB1011" s="86">
        <v>7.08</v>
      </c>
      <c r="AC1011" s="74">
        <f t="shared" si="553"/>
        <v>11.1211748031496</v>
      </c>
      <c r="AD1011" s="74">
        <f t="shared" si="548"/>
        <v>96.1824258967629</v>
      </c>
      <c r="AE1011" s="74">
        <f t="shared" si="549"/>
        <v>23.8175741032371</v>
      </c>
    </row>
    <row r="1012" customFormat="1" spans="1:31">
      <c r="A1012" s="18"/>
      <c r="B1012" s="19"/>
      <c r="C1012" s="20">
        <v>240929000015</v>
      </c>
      <c r="D1012" s="21">
        <v>45570</v>
      </c>
      <c r="E1012" s="21" t="s">
        <v>43</v>
      </c>
      <c r="F1012" s="19" t="s">
        <v>44</v>
      </c>
      <c r="G1012" s="19" t="s">
        <v>109</v>
      </c>
      <c r="H1012" s="19">
        <v>3</v>
      </c>
      <c r="I1012" s="45"/>
      <c r="J1012" s="54">
        <v>51750</v>
      </c>
      <c r="K1012" s="43"/>
      <c r="L1012" s="49">
        <f>SUM(J1012/M1012)</f>
        <v>1725</v>
      </c>
      <c r="M1012" s="50">
        <v>30</v>
      </c>
      <c r="N1012" s="44">
        <v>7.08</v>
      </c>
      <c r="O1012" s="45">
        <f>SUM(M1012*N1012)</f>
        <v>212.4</v>
      </c>
      <c r="P1012" s="51"/>
      <c r="Q1012" s="51"/>
      <c r="R1012" s="74">
        <f t="shared" si="554"/>
        <v>127.249081364829</v>
      </c>
      <c r="S1012" s="74"/>
      <c r="T1012" s="75">
        <f t="shared" si="555"/>
        <v>0.342795275590551</v>
      </c>
      <c r="U1012" s="74"/>
      <c r="V1012" s="74"/>
      <c r="W1012" s="76">
        <f t="shared" si="551"/>
        <v>127.59187664042</v>
      </c>
      <c r="X1012" s="77">
        <f t="shared" si="556"/>
        <v>2.3561811023622</v>
      </c>
      <c r="Y1012" s="77"/>
      <c r="Z1012" s="77"/>
      <c r="AA1012" s="77">
        <f t="shared" si="552"/>
        <v>2.3561811023622</v>
      </c>
      <c r="AB1012" s="86">
        <v>7.08</v>
      </c>
      <c r="AC1012" s="74">
        <f t="shared" si="553"/>
        <v>16.6817622047244</v>
      </c>
      <c r="AD1012" s="74">
        <f t="shared" si="548"/>
        <v>144.273638845144</v>
      </c>
      <c r="AE1012" s="74">
        <f t="shared" si="549"/>
        <v>68.1263611548557</v>
      </c>
    </row>
    <row r="1013" customFormat="1" spans="1:31">
      <c r="A1013" s="18"/>
      <c r="B1013" s="19"/>
      <c r="C1013" s="20">
        <v>240929000017</v>
      </c>
      <c r="D1013" s="21">
        <v>45570</v>
      </c>
      <c r="E1013" s="21" t="s">
        <v>96</v>
      </c>
      <c r="F1013" s="19" t="s">
        <v>589</v>
      </c>
      <c r="G1013" s="19" t="s">
        <v>590</v>
      </c>
      <c r="H1013" s="19">
        <v>4.5</v>
      </c>
      <c r="I1013" s="41">
        <v>273</v>
      </c>
      <c r="J1013" s="53"/>
      <c r="K1013" s="43"/>
      <c r="L1013" s="19"/>
      <c r="M1013" s="43"/>
      <c r="N1013" s="44"/>
      <c r="O1013" s="45">
        <f t="shared" si="557"/>
        <v>273</v>
      </c>
      <c r="P1013" s="51"/>
      <c r="Q1013" s="51"/>
      <c r="R1013" s="74">
        <f t="shared" si="554"/>
        <v>190.873622047244</v>
      </c>
      <c r="S1013" s="74"/>
      <c r="T1013" s="75">
        <f t="shared" si="555"/>
        <v>0.514192913385827</v>
      </c>
      <c r="U1013" s="74"/>
      <c r="V1013" s="74"/>
      <c r="W1013" s="76">
        <f t="shared" si="551"/>
        <v>191.38781496063</v>
      </c>
      <c r="X1013" s="77">
        <f t="shared" si="556"/>
        <v>3.53427165354331</v>
      </c>
      <c r="Y1013" s="77"/>
      <c r="Z1013" s="77"/>
      <c r="AA1013" s="77">
        <f t="shared" si="552"/>
        <v>3.53427165354331</v>
      </c>
      <c r="AB1013" s="86">
        <v>7.08</v>
      </c>
      <c r="AC1013" s="74">
        <f t="shared" si="553"/>
        <v>25.0226433070866</v>
      </c>
      <c r="AD1013" s="74">
        <f t="shared" si="548"/>
        <v>216.410458267717</v>
      </c>
      <c r="AE1013" s="74">
        <f t="shared" si="549"/>
        <v>56.5895417322835</v>
      </c>
    </row>
    <row r="1014" customFormat="1" spans="1:31">
      <c r="A1014" s="18"/>
      <c r="B1014" s="19"/>
      <c r="C1014" s="20">
        <v>240929000018</v>
      </c>
      <c r="D1014" s="21">
        <v>45570</v>
      </c>
      <c r="E1014" s="21" t="s">
        <v>62</v>
      </c>
      <c r="F1014" s="19" t="s">
        <v>63</v>
      </c>
      <c r="G1014" s="19" t="s">
        <v>380</v>
      </c>
      <c r="H1014" s="19">
        <v>0.74</v>
      </c>
      <c r="I1014" s="41">
        <v>63</v>
      </c>
      <c r="J1014" s="53"/>
      <c r="K1014" s="43"/>
      <c r="L1014" s="19"/>
      <c r="M1014" s="43"/>
      <c r="N1014" s="44"/>
      <c r="O1014" s="45">
        <f t="shared" si="557"/>
        <v>63</v>
      </c>
      <c r="P1014" s="51"/>
      <c r="Q1014" s="51"/>
      <c r="R1014" s="74">
        <f t="shared" si="554"/>
        <v>31.3881067366579</v>
      </c>
      <c r="S1014" s="74"/>
      <c r="T1014" s="75">
        <f t="shared" si="555"/>
        <v>0.0845561679790026</v>
      </c>
      <c r="U1014" s="74"/>
      <c r="V1014" s="74"/>
      <c r="W1014" s="76">
        <f t="shared" si="551"/>
        <v>31.4726629046369</v>
      </c>
      <c r="X1014" s="77">
        <f t="shared" si="556"/>
        <v>0.581191338582677</v>
      </c>
      <c r="Y1014" s="77"/>
      <c r="Z1014" s="77"/>
      <c r="AA1014" s="77">
        <f t="shared" si="552"/>
        <v>0.581191338582677</v>
      </c>
      <c r="AB1014" s="86">
        <v>7.08</v>
      </c>
      <c r="AC1014" s="74">
        <f t="shared" si="553"/>
        <v>4.11483467716535</v>
      </c>
      <c r="AD1014" s="74">
        <f t="shared" si="548"/>
        <v>35.5874975818023</v>
      </c>
      <c r="AE1014" s="74">
        <f t="shared" si="549"/>
        <v>27.4125024181977</v>
      </c>
    </row>
    <row r="1015" customFormat="1" spans="1:31">
      <c r="A1015" s="18"/>
      <c r="B1015" s="19"/>
      <c r="C1015" s="20">
        <v>240929000019</v>
      </c>
      <c r="D1015" s="21">
        <v>45570</v>
      </c>
      <c r="E1015" s="21" t="s">
        <v>43</v>
      </c>
      <c r="F1015" s="19" t="s">
        <v>44</v>
      </c>
      <c r="G1015" s="19" t="s">
        <v>108</v>
      </c>
      <c r="H1015" s="19">
        <v>2</v>
      </c>
      <c r="I1015" s="41">
        <v>123</v>
      </c>
      <c r="J1015" s="53"/>
      <c r="K1015" s="43"/>
      <c r="L1015" s="19"/>
      <c r="M1015" s="43"/>
      <c r="N1015" s="44"/>
      <c r="O1015" s="45">
        <f t="shared" si="557"/>
        <v>123</v>
      </c>
      <c r="P1015" s="51"/>
      <c r="Q1015" s="51"/>
      <c r="R1015" s="74">
        <f t="shared" si="554"/>
        <v>84.8327209098863</v>
      </c>
      <c r="S1015" s="74"/>
      <c r="T1015" s="75">
        <f t="shared" si="555"/>
        <v>0.228530183727034</v>
      </c>
      <c r="U1015" s="74"/>
      <c r="V1015" s="74"/>
      <c r="W1015" s="76">
        <f t="shared" si="551"/>
        <v>85.0612510936133</v>
      </c>
      <c r="X1015" s="77">
        <f t="shared" si="556"/>
        <v>1.5707874015748</v>
      </c>
      <c r="Y1015" s="77"/>
      <c r="Z1015" s="77"/>
      <c r="AA1015" s="77">
        <f t="shared" si="552"/>
        <v>1.5707874015748</v>
      </c>
      <c r="AB1015" s="86">
        <v>7.08</v>
      </c>
      <c r="AC1015" s="74">
        <f t="shared" si="553"/>
        <v>11.1211748031496</v>
      </c>
      <c r="AD1015" s="74">
        <f t="shared" si="548"/>
        <v>96.1824258967629</v>
      </c>
      <c r="AE1015" s="74">
        <f t="shared" si="549"/>
        <v>26.8175741032371</v>
      </c>
    </row>
    <row r="1016" customFormat="1" spans="1:31">
      <c r="A1016" s="18"/>
      <c r="B1016" s="19"/>
      <c r="C1016" s="20">
        <v>240929000024</v>
      </c>
      <c r="D1016" s="21">
        <v>45570</v>
      </c>
      <c r="E1016" s="21" t="s">
        <v>50</v>
      </c>
      <c r="F1016" s="19" t="s">
        <v>51</v>
      </c>
      <c r="G1016" s="19" t="s">
        <v>181</v>
      </c>
      <c r="H1016" s="19">
        <v>0.52</v>
      </c>
      <c r="I1016" s="41">
        <v>69</v>
      </c>
      <c r="J1016" s="53"/>
      <c r="K1016" s="43"/>
      <c r="L1016" s="19"/>
      <c r="M1016" s="43"/>
      <c r="N1016" s="44"/>
      <c r="O1016" s="45">
        <f t="shared" si="557"/>
        <v>69</v>
      </c>
      <c r="P1016" s="51"/>
      <c r="Q1016" s="51"/>
      <c r="R1016" s="74">
        <f t="shared" si="554"/>
        <v>22.0565074365704</v>
      </c>
      <c r="S1016" s="74"/>
      <c r="T1016" s="75">
        <f t="shared" si="555"/>
        <v>0.0594178477690289</v>
      </c>
      <c r="U1016" s="74"/>
      <c r="V1016" s="74"/>
      <c r="W1016" s="76">
        <f t="shared" si="551"/>
        <v>22.1159252843395</v>
      </c>
      <c r="X1016" s="77">
        <f t="shared" si="556"/>
        <v>0.408404724409449</v>
      </c>
      <c r="Y1016" s="77"/>
      <c r="Z1016" s="77"/>
      <c r="AA1016" s="77">
        <f t="shared" si="552"/>
        <v>0.408404724409449</v>
      </c>
      <c r="AB1016" s="86">
        <v>7.08</v>
      </c>
      <c r="AC1016" s="74">
        <f t="shared" si="553"/>
        <v>2.8915054488189</v>
      </c>
      <c r="AD1016" s="74">
        <f t="shared" si="548"/>
        <v>25.0074307331584</v>
      </c>
      <c r="AE1016" s="74">
        <f t="shared" si="549"/>
        <v>43.9925692668416</v>
      </c>
    </row>
    <row r="1017" customFormat="1" spans="1:31">
      <c r="A1017" s="18"/>
      <c r="B1017" s="19"/>
      <c r="C1017" s="20">
        <v>240929000025</v>
      </c>
      <c r="D1017" s="21">
        <v>45570</v>
      </c>
      <c r="E1017" s="21" t="s">
        <v>43</v>
      </c>
      <c r="F1017" s="19" t="s">
        <v>44</v>
      </c>
      <c r="G1017" s="19" t="s">
        <v>441</v>
      </c>
      <c r="H1017" s="19">
        <v>56.5</v>
      </c>
      <c r="I1017" s="47"/>
      <c r="J1017" s="54">
        <v>828855</v>
      </c>
      <c r="K1017" s="43"/>
      <c r="L1017" s="49">
        <f>SUM(J1017/M1017)</f>
        <v>1731.07286815229</v>
      </c>
      <c r="M1017" s="50">
        <v>478.81</v>
      </c>
      <c r="N1017" s="44">
        <v>7.08</v>
      </c>
      <c r="O1017" s="45">
        <f>SUM(M1017*N1017)</f>
        <v>3389.9748</v>
      </c>
      <c r="P1017" s="51"/>
      <c r="Q1017" s="51"/>
      <c r="R1017" s="74">
        <f t="shared" si="554"/>
        <v>2396.52436570429</v>
      </c>
      <c r="S1017" s="74"/>
      <c r="T1017" s="75">
        <f t="shared" si="555"/>
        <v>6.45597769028871</v>
      </c>
      <c r="U1017" s="74"/>
      <c r="V1017" s="74"/>
      <c r="W1017" s="76">
        <f t="shared" si="551"/>
        <v>2402.98034339458</v>
      </c>
      <c r="X1017" s="77">
        <f t="shared" si="556"/>
        <v>44.3747440944882</v>
      </c>
      <c r="Y1017" s="77"/>
      <c r="Z1017" s="77"/>
      <c r="AA1017" s="77">
        <f t="shared" si="552"/>
        <v>44.3747440944882</v>
      </c>
      <c r="AB1017" s="86">
        <v>7.08</v>
      </c>
      <c r="AC1017" s="74">
        <f t="shared" si="553"/>
        <v>314.173188188976</v>
      </c>
      <c r="AD1017" s="74">
        <f t="shared" si="548"/>
        <v>2717.15353158355</v>
      </c>
      <c r="AE1017" s="74">
        <f t="shared" si="549"/>
        <v>672.821268416448</v>
      </c>
    </row>
    <row r="1018" customFormat="1" spans="1:31">
      <c r="A1018" s="18"/>
      <c r="B1018" s="19"/>
      <c r="C1018" s="22">
        <v>240929000027</v>
      </c>
      <c r="D1018" s="23">
        <v>45570</v>
      </c>
      <c r="E1018" s="21" t="s">
        <v>50</v>
      </c>
      <c r="F1018" s="24" t="s">
        <v>51</v>
      </c>
      <c r="G1018" s="24" t="s">
        <v>55</v>
      </c>
      <c r="H1018" s="24">
        <v>1.5</v>
      </c>
      <c r="I1018" s="41">
        <v>82.5</v>
      </c>
      <c r="J1018" s="53"/>
      <c r="K1018" s="43"/>
      <c r="L1018" s="19"/>
      <c r="M1018" s="43"/>
      <c r="N1018" s="44"/>
      <c r="O1018" s="45">
        <f t="shared" ref="O1018:O1022" si="558">SUM(I1018)</f>
        <v>82.5</v>
      </c>
      <c r="P1018" s="51"/>
      <c r="Q1018" s="51"/>
      <c r="R1018" s="74">
        <f t="shared" si="554"/>
        <v>63.6245406824147</v>
      </c>
      <c r="S1018" s="74"/>
      <c r="T1018" s="75">
        <f t="shared" si="555"/>
        <v>0.171397637795276</v>
      </c>
      <c r="U1018" s="74"/>
      <c r="V1018" s="74"/>
      <c r="W1018" s="76">
        <f t="shared" si="551"/>
        <v>63.79593832021</v>
      </c>
      <c r="X1018" s="77">
        <f t="shared" si="556"/>
        <v>1.1780905511811</v>
      </c>
      <c r="Y1018" s="77"/>
      <c r="Z1018" s="77"/>
      <c r="AA1018" s="77">
        <f t="shared" si="552"/>
        <v>1.1780905511811</v>
      </c>
      <c r="AB1018" s="86">
        <v>7.08</v>
      </c>
      <c r="AC1018" s="74">
        <f t="shared" si="553"/>
        <v>8.34088110236221</v>
      </c>
      <c r="AD1018" s="74">
        <f t="shared" si="548"/>
        <v>72.1368194225722</v>
      </c>
      <c r="AE1018" s="74">
        <f t="shared" si="549"/>
        <v>10.3631805774278</v>
      </c>
    </row>
    <row r="1019" customFormat="1" spans="1:31">
      <c r="A1019" s="18"/>
      <c r="B1019" s="19"/>
      <c r="C1019" s="20">
        <v>240929000028</v>
      </c>
      <c r="D1019" s="21">
        <v>45570</v>
      </c>
      <c r="E1019" s="21" t="s">
        <v>50</v>
      </c>
      <c r="F1019" s="19" t="s">
        <v>51</v>
      </c>
      <c r="G1019" s="19" t="s">
        <v>55</v>
      </c>
      <c r="H1019" s="19">
        <v>4.5</v>
      </c>
      <c r="I1019" s="41">
        <v>270</v>
      </c>
      <c r="J1019" s="53"/>
      <c r="K1019" s="43"/>
      <c r="L1019" s="19"/>
      <c r="M1019" s="43"/>
      <c r="N1019" s="44"/>
      <c r="O1019" s="45">
        <f t="shared" si="558"/>
        <v>270</v>
      </c>
      <c r="P1019" s="51"/>
      <c r="Q1019" s="51"/>
      <c r="R1019" s="74">
        <f t="shared" si="554"/>
        <v>190.873622047244</v>
      </c>
      <c r="S1019" s="74"/>
      <c r="T1019" s="75">
        <f t="shared" si="555"/>
        <v>0.514192913385827</v>
      </c>
      <c r="U1019" s="74"/>
      <c r="V1019" s="74"/>
      <c r="W1019" s="76">
        <f t="shared" si="551"/>
        <v>191.38781496063</v>
      </c>
      <c r="X1019" s="77">
        <f t="shared" si="556"/>
        <v>3.53427165354331</v>
      </c>
      <c r="Y1019" s="77"/>
      <c r="Z1019" s="77"/>
      <c r="AA1019" s="77">
        <f t="shared" si="552"/>
        <v>3.53427165354331</v>
      </c>
      <c r="AB1019" s="86">
        <v>7.08</v>
      </c>
      <c r="AC1019" s="74">
        <f t="shared" si="553"/>
        <v>25.0226433070866</v>
      </c>
      <c r="AD1019" s="74">
        <f t="shared" si="548"/>
        <v>216.410458267717</v>
      </c>
      <c r="AE1019" s="74">
        <f t="shared" si="549"/>
        <v>53.5895417322835</v>
      </c>
    </row>
    <row r="1020" customFormat="1" spans="1:31">
      <c r="A1020" s="18"/>
      <c r="B1020" s="19"/>
      <c r="C1020" s="20">
        <v>240929000030</v>
      </c>
      <c r="D1020" s="21">
        <v>45570</v>
      </c>
      <c r="E1020" s="21" t="s">
        <v>43</v>
      </c>
      <c r="F1020" s="19" t="s">
        <v>44</v>
      </c>
      <c r="G1020" s="19" t="s">
        <v>591</v>
      </c>
      <c r="H1020" s="19">
        <v>7.5</v>
      </c>
      <c r="I1020" s="47"/>
      <c r="J1020" s="54">
        <v>105341</v>
      </c>
      <c r="K1020" s="43"/>
      <c r="L1020" s="49">
        <f>SUM(J1020/M1020)</f>
        <v>1720.69585102908</v>
      </c>
      <c r="M1020" s="50">
        <v>61.22</v>
      </c>
      <c r="N1020" s="44">
        <v>7.08</v>
      </c>
      <c r="O1020" s="45">
        <f>SUM(M1020*N1020)</f>
        <v>433.4376</v>
      </c>
      <c r="P1020" s="51"/>
      <c r="Q1020" s="51"/>
      <c r="R1020" s="74">
        <f t="shared" si="554"/>
        <v>318.122703412073</v>
      </c>
      <c r="S1020" s="74"/>
      <c r="T1020" s="75">
        <f t="shared" si="555"/>
        <v>0.856988188976378</v>
      </c>
      <c r="U1020" s="74"/>
      <c r="V1020" s="74"/>
      <c r="W1020" s="76">
        <f t="shared" si="551"/>
        <v>318.97969160105</v>
      </c>
      <c r="X1020" s="77">
        <f t="shared" si="556"/>
        <v>5.89045275590551</v>
      </c>
      <c r="Y1020" s="77"/>
      <c r="Z1020" s="77"/>
      <c r="AA1020" s="77">
        <f t="shared" si="552"/>
        <v>5.89045275590551</v>
      </c>
      <c r="AB1020" s="86">
        <v>7.08</v>
      </c>
      <c r="AC1020" s="74">
        <f t="shared" si="553"/>
        <v>41.704405511811</v>
      </c>
      <c r="AD1020" s="74">
        <f t="shared" si="548"/>
        <v>360.684097112861</v>
      </c>
      <c r="AE1020" s="74">
        <f t="shared" si="549"/>
        <v>72.7535028871391</v>
      </c>
    </row>
    <row r="1021" customFormat="1" spans="1:31">
      <c r="A1021" s="18"/>
      <c r="B1021" s="19"/>
      <c r="C1021" s="20">
        <v>240929000035</v>
      </c>
      <c r="D1021" s="21">
        <v>45570</v>
      </c>
      <c r="E1021" s="21" t="s">
        <v>46</v>
      </c>
      <c r="F1021" s="19" t="s">
        <v>47</v>
      </c>
      <c r="G1021" s="19" t="s">
        <v>128</v>
      </c>
      <c r="H1021" s="19">
        <v>2.5</v>
      </c>
      <c r="I1021" s="41">
        <v>153</v>
      </c>
      <c r="J1021" s="53"/>
      <c r="K1021" s="43"/>
      <c r="L1021" s="19"/>
      <c r="M1021" s="43"/>
      <c r="N1021" s="44"/>
      <c r="O1021" s="45">
        <f t="shared" si="558"/>
        <v>153</v>
      </c>
      <c r="P1021" s="51"/>
      <c r="Q1021" s="51"/>
      <c r="R1021" s="74">
        <f t="shared" si="554"/>
        <v>106.040901137358</v>
      </c>
      <c r="S1021" s="74"/>
      <c r="T1021" s="75">
        <f t="shared" si="555"/>
        <v>0.285662729658793</v>
      </c>
      <c r="U1021" s="74"/>
      <c r="V1021" s="74"/>
      <c r="W1021" s="76">
        <f t="shared" si="551"/>
        <v>106.326563867017</v>
      </c>
      <c r="X1021" s="77">
        <f t="shared" si="556"/>
        <v>1.9634842519685</v>
      </c>
      <c r="Y1021" s="77"/>
      <c r="Z1021" s="77"/>
      <c r="AA1021" s="77">
        <f t="shared" si="552"/>
        <v>1.9634842519685</v>
      </c>
      <c r="AB1021" s="86">
        <v>7.08</v>
      </c>
      <c r="AC1021" s="74">
        <f t="shared" si="553"/>
        <v>13.901468503937</v>
      </c>
      <c r="AD1021" s="74">
        <f t="shared" si="548"/>
        <v>120.228032370954</v>
      </c>
      <c r="AE1021" s="74">
        <f t="shared" si="549"/>
        <v>32.7719676290464</v>
      </c>
    </row>
    <row r="1022" customFormat="1" spans="1:31">
      <c r="A1022" s="18"/>
      <c r="B1022" s="19"/>
      <c r="C1022" s="20">
        <v>240929000036</v>
      </c>
      <c r="D1022" s="21">
        <v>45570</v>
      </c>
      <c r="E1022" s="21" t="s">
        <v>46</v>
      </c>
      <c r="F1022" s="19" t="s">
        <v>47</v>
      </c>
      <c r="G1022" s="19" t="s">
        <v>91</v>
      </c>
      <c r="H1022" s="19">
        <v>6</v>
      </c>
      <c r="I1022" s="41">
        <v>348</v>
      </c>
      <c r="J1022" s="53"/>
      <c r="K1022" s="43"/>
      <c r="L1022" s="19"/>
      <c r="M1022" s="43"/>
      <c r="N1022" s="44"/>
      <c r="O1022" s="45">
        <f t="shared" si="558"/>
        <v>348</v>
      </c>
      <c r="P1022" s="51"/>
      <c r="Q1022" s="51"/>
      <c r="R1022" s="74">
        <f t="shared" si="554"/>
        <v>254.498162729659</v>
      </c>
      <c r="S1022" s="74"/>
      <c r="T1022" s="75">
        <f t="shared" si="555"/>
        <v>0.685590551181102</v>
      </c>
      <c r="U1022" s="74"/>
      <c r="V1022" s="74"/>
      <c r="W1022" s="76">
        <f t="shared" si="551"/>
        <v>255.18375328084</v>
      </c>
      <c r="X1022" s="77">
        <f t="shared" si="556"/>
        <v>4.71236220472441</v>
      </c>
      <c r="Y1022" s="77"/>
      <c r="Z1022" s="77"/>
      <c r="AA1022" s="77">
        <f t="shared" si="552"/>
        <v>4.71236220472441</v>
      </c>
      <c r="AB1022" s="86">
        <v>7.08</v>
      </c>
      <c r="AC1022" s="74">
        <f t="shared" si="553"/>
        <v>33.3635244094488</v>
      </c>
      <c r="AD1022" s="74">
        <f t="shared" si="548"/>
        <v>288.547277690289</v>
      </c>
      <c r="AE1022" s="74">
        <f t="shared" si="549"/>
        <v>59.4527223097113</v>
      </c>
    </row>
    <row r="1023" customFormat="1" spans="1:31">
      <c r="A1023" s="18"/>
      <c r="B1023" s="19"/>
      <c r="C1023" s="20">
        <v>240929000037</v>
      </c>
      <c r="D1023" s="21">
        <v>45570</v>
      </c>
      <c r="E1023" s="21" t="s">
        <v>50</v>
      </c>
      <c r="F1023" s="19" t="s">
        <v>51</v>
      </c>
      <c r="G1023" s="19" t="s">
        <v>515</v>
      </c>
      <c r="H1023" s="19">
        <v>232</v>
      </c>
      <c r="I1023" s="47"/>
      <c r="J1023" s="54">
        <v>3126200</v>
      </c>
      <c r="K1023" s="43"/>
      <c r="L1023" s="49">
        <f>SUM(J1023/M1023)</f>
        <v>1734.60951588292</v>
      </c>
      <c r="M1023" s="50">
        <v>1802.25</v>
      </c>
      <c r="N1023" s="44">
        <v>7.08</v>
      </c>
      <c r="O1023" s="45">
        <f>SUM(M1023*N1023)</f>
        <v>12759.93</v>
      </c>
      <c r="P1023" s="51"/>
      <c r="Q1023" s="51"/>
      <c r="R1023" s="74">
        <f t="shared" si="554"/>
        <v>9840.59562554681</v>
      </c>
      <c r="S1023" s="74"/>
      <c r="T1023" s="75">
        <f t="shared" si="555"/>
        <v>26.509501312336</v>
      </c>
      <c r="U1023" s="74"/>
      <c r="V1023" s="74"/>
      <c r="W1023" s="76">
        <f t="shared" si="551"/>
        <v>9867.10512685914</v>
      </c>
      <c r="X1023" s="77">
        <f t="shared" si="556"/>
        <v>182.211338582677</v>
      </c>
      <c r="Y1023" s="77"/>
      <c r="Z1023" s="77"/>
      <c r="AA1023" s="77">
        <f t="shared" si="552"/>
        <v>182.211338582677</v>
      </c>
      <c r="AB1023" s="86">
        <v>7.08</v>
      </c>
      <c r="AC1023" s="74">
        <f t="shared" si="553"/>
        <v>1290.05627716535</v>
      </c>
      <c r="AD1023" s="74">
        <f t="shared" si="548"/>
        <v>11157.1614040245</v>
      </c>
      <c r="AE1023" s="74">
        <f t="shared" si="549"/>
        <v>1602.7685959755</v>
      </c>
    </row>
    <row r="1024" customFormat="1" spans="1:31">
      <c r="A1024" s="18"/>
      <c r="B1024" s="19"/>
      <c r="C1024" s="20">
        <v>240929000046</v>
      </c>
      <c r="D1024" s="21">
        <v>45570</v>
      </c>
      <c r="E1024" s="21" t="s">
        <v>50</v>
      </c>
      <c r="F1024" s="19" t="s">
        <v>51</v>
      </c>
      <c r="G1024" s="19" t="s">
        <v>592</v>
      </c>
      <c r="H1024" s="19">
        <v>4</v>
      </c>
      <c r="I1024" s="41">
        <v>220</v>
      </c>
      <c r="J1024" s="53"/>
      <c r="K1024" s="43"/>
      <c r="L1024" s="19"/>
      <c r="M1024" s="43"/>
      <c r="N1024" s="44"/>
      <c r="O1024" s="45">
        <f t="shared" ref="O1024:O1026" si="559">SUM(I1024)</f>
        <v>220</v>
      </c>
      <c r="P1024" s="51"/>
      <c r="Q1024" s="51"/>
      <c r="R1024" s="74">
        <f t="shared" si="554"/>
        <v>169.665441819773</v>
      </c>
      <c r="S1024" s="74"/>
      <c r="T1024" s="75">
        <f t="shared" si="555"/>
        <v>0.457060367454068</v>
      </c>
      <c r="U1024" s="74"/>
      <c r="V1024" s="74"/>
      <c r="W1024" s="76">
        <f t="shared" si="551"/>
        <v>170.122502187227</v>
      </c>
      <c r="X1024" s="77">
        <f t="shared" si="556"/>
        <v>3.14157480314961</v>
      </c>
      <c r="Y1024" s="77"/>
      <c r="Z1024" s="77"/>
      <c r="AA1024" s="77">
        <f t="shared" si="552"/>
        <v>3.14157480314961</v>
      </c>
      <c r="AB1024" s="86">
        <v>7.08</v>
      </c>
      <c r="AC1024" s="74">
        <f t="shared" si="553"/>
        <v>22.2423496062992</v>
      </c>
      <c r="AD1024" s="74">
        <f t="shared" si="548"/>
        <v>192.364851793526</v>
      </c>
      <c r="AE1024" s="74">
        <f t="shared" si="549"/>
        <v>27.6351482064742</v>
      </c>
    </row>
    <row r="1025" customFormat="1" spans="1:31">
      <c r="A1025" s="18"/>
      <c r="B1025" s="19"/>
      <c r="C1025" s="20">
        <v>240929000051</v>
      </c>
      <c r="D1025" s="21">
        <v>45570</v>
      </c>
      <c r="E1025" s="21" t="s">
        <v>50</v>
      </c>
      <c r="F1025" s="19" t="s">
        <v>51</v>
      </c>
      <c r="G1025" s="19" t="s">
        <v>86</v>
      </c>
      <c r="H1025" s="19">
        <v>0.53</v>
      </c>
      <c r="I1025" s="41">
        <v>69</v>
      </c>
      <c r="J1025" s="53"/>
      <c r="K1025" s="43"/>
      <c r="L1025" s="19"/>
      <c r="M1025" s="43"/>
      <c r="N1025" s="44"/>
      <c r="O1025" s="45">
        <f t="shared" si="559"/>
        <v>69</v>
      </c>
      <c r="P1025" s="51"/>
      <c r="Q1025" s="51"/>
      <c r="R1025" s="74">
        <f t="shared" si="554"/>
        <v>22.4806710411199</v>
      </c>
      <c r="S1025" s="74"/>
      <c r="T1025" s="75">
        <f t="shared" si="555"/>
        <v>0.060560498687664</v>
      </c>
      <c r="U1025" s="74"/>
      <c r="V1025" s="74"/>
      <c r="W1025" s="76">
        <f t="shared" si="551"/>
        <v>22.5412315398075</v>
      </c>
      <c r="X1025" s="77">
        <f t="shared" si="556"/>
        <v>0.416258661417323</v>
      </c>
      <c r="Y1025" s="77"/>
      <c r="Z1025" s="77"/>
      <c r="AA1025" s="77">
        <f t="shared" si="552"/>
        <v>0.416258661417323</v>
      </c>
      <c r="AB1025" s="86">
        <v>7.08</v>
      </c>
      <c r="AC1025" s="74">
        <f t="shared" si="553"/>
        <v>2.94711132283465</v>
      </c>
      <c r="AD1025" s="74">
        <f t="shared" si="548"/>
        <v>25.4883428626422</v>
      </c>
      <c r="AE1025" s="74">
        <f t="shared" si="549"/>
        <v>43.5116571373578</v>
      </c>
    </row>
    <row r="1026" customFormat="1" spans="1:31">
      <c r="A1026" s="18"/>
      <c r="B1026" s="19"/>
      <c r="C1026" s="20">
        <v>240929000058</v>
      </c>
      <c r="D1026" s="21">
        <v>45570</v>
      </c>
      <c r="E1026" s="21" t="s">
        <v>50</v>
      </c>
      <c r="F1026" s="19" t="s">
        <v>51</v>
      </c>
      <c r="G1026" s="19" t="s">
        <v>593</v>
      </c>
      <c r="H1026" s="19">
        <v>0.59</v>
      </c>
      <c r="I1026" s="41">
        <v>69</v>
      </c>
      <c r="J1026" s="53"/>
      <c r="K1026" s="43"/>
      <c r="L1026" s="19"/>
      <c r="M1026" s="43"/>
      <c r="N1026" s="44"/>
      <c r="O1026" s="45">
        <f t="shared" si="559"/>
        <v>69</v>
      </c>
      <c r="P1026" s="51"/>
      <c r="Q1026" s="51"/>
      <c r="R1026" s="74">
        <f t="shared" si="554"/>
        <v>25.0256526684164</v>
      </c>
      <c r="S1026" s="74"/>
      <c r="T1026" s="75">
        <f t="shared" si="555"/>
        <v>0.0674164041994751</v>
      </c>
      <c r="U1026" s="74"/>
      <c r="V1026" s="74"/>
      <c r="W1026" s="76">
        <f t="shared" si="551"/>
        <v>25.0930690726159</v>
      </c>
      <c r="X1026" s="77">
        <f t="shared" si="556"/>
        <v>0.463382283464567</v>
      </c>
      <c r="Y1026" s="77"/>
      <c r="Z1026" s="77"/>
      <c r="AA1026" s="77">
        <f t="shared" si="552"/>
        <v>0.463382283464567</v>
      </c>
      <c r="AB1026" s="86">
        <v>7.08</v>
      </c>
      <c r="AC1026" s="74">
        <f t="shared" si="553"/>
        <v>3.28074656692913</v>
      </c>
      <c r="AD1026" s="74">
        <f t="shared" si="548"/>
        <v>28.3738156395451</v>
      </c>
      <c r="AE1026" s="74">
        <f t="shared" si="549"/>
        <v>40.6261843604549</v>
      </c>
    </row>
    <row r="1027" customFormat="1" spans="1:31">
      <c r="A1027" s="18"/>
      <c r="B1027" s="19"/>
      <c r="C1027" s="20">
        <v>240929000060</v>
      </c>
      <c r="D1027" s="21">
        <v>45570</v>
      </c>
      <c r="E1027" s="21" t="s">
        <v>50</v>
      </c>
      <c r="F1027" s="19" t="s">
        <v>51</v>
      </c>
      <c r="G1027" s="19" t="s">
        <v>594</v>
      </c>
      <c r="H1027" s="19">
        <v>533</v>
      </c>
      <c r="I1027" s="47"/>
      <c r="J1027" s="54">
        <v>7051590</v>
      </c>
      <c r="K1027" s="43"/>
      <c r="L1027" s="49">
        <f>SUM(J1027/M1027)</f>
        <v>1734.60180800689</v>
      </c>
      <c r="M1027" s="50">
        <v>4065.25</v>
      </c>
      <c r="N1027" s="44">
        <v>7.08</v>
      </c>
      <c r="O1027" s="45">
        <f>SUM(M1027*N1027)</f>
        <v>28781.97</v>
      </c>
      <c r="P1027" s="51"/>
      <c r="Q1027" s="51"/>
      <c r="R1027" s="74">
        <f t="shared" si="554"/>
        <v>22607.9201224847</v>
      </c>
      <c r="S1027" s="74"/>
      <c r="T1027" s="75">
        <f t="shared" si="555"/>
        <v>60.9032939632546</v>
      </c>
      <c r="U1027" s="74"/>
      <c r="V1027" s="74"/>
      <c r="W1027" s="76">
        <f t="shared" si="551"/>
        <v>22668.8234164479</v>
      </c>
      <c r="X1027" s="77">
        <f t="shared" si="556"/>
        <v>418.614842519685</v>
      </c>
      <c r="Y1027" s="77"/>
      <c r="Z1027" s="77"/>
      <c r="AA1027" s="77">
        <f t="shared" si="552"/>
        <v>418.614842519685</v>
      </c>
      <c r="AB1027" s="86">
        <v>7.08</v>
      </c>
      <c r="AC1027" s="74">
        <f t="shared" si="553"/>
        <v>2963.79308503937</v>
      </c>
      <c r="AD1027" s="74">
        <f t="shared" si="548"/>
        <v>25632.6165014873</v>
      </c>
      <c r="AE1027" s="74">
        <f t="shared" si="549"/>
        <v>3149.35349851269</v>
      </c>
    </row>
    <row r="1028" customFormat="1" spans="1:31">
      <c r="A1028" s="18"/>
      <c r="B1028" s="19"/>
      <c r="C1028" s="20">
        <v>240929000061</v>
      </c>
      <c r="D1028" s="21">
        <v>45570</v>
      </c>
      <c r="E1028" s="21" t="s">
        <v>50</v>
      </c>
      <c r="F1028" s="19" t="s">
        <v>51</v>
      </c>
      <c r="G1028" s="19" t="s">
        <v>116</v>
      </c>
      <c r="H1028" s="19">
        <v>233</v>
      </c>
      <c r="I1028" s="41">
        <v>13514</v>
      </c>
      <c r="J1028" s="53"/>
      <c r="K1028" s="43"/>
      <c r="L1028" s="19"/>
      <c r="M1028" s="43"/>
      <c r="N1028" s="44"/>
      <c r="O1028" s="45">
        <f t="shared" ref="O1028:O1031" si="560">SUM(I1028)</f>
        <v>13514</v>
      </c>
      <c r="P1028" s="51"/>
      <c r="Q1028" s="51"/>
      <c r="R1028" s="74">
        <f t="shared" si="554"/>
        <v>9883.01198600175</v>
      </c>
      <c r="S1028" s="74"/>
      <c r="T1028" s="75">
        <f t="shared" si="555"/>
        <v>26.6237664041995</v>
      </c>
      <c r="U1028" s="74"/>
      <c r="V1028" s="74"/>
      <c r="W1028" s="76">
        <f t="shared" si="551"/>
        <v>9909.63575240595</v>
      </c>
      <c r="X1028" s="77">
        <f t="shared" si="556"/>
        <v>182.996732283465</v>
      </c>
      <c r="Y1028" s="77"/>
      <c r="Z1028" s="77"/>
      <c r="AA1028" s="77">
        <f t="shared" si="552"/>
        <v>182.996732283465</v>
      </c>
      <c r="AB1028" s="86">
        <v>7.08</v>
      </c>
      <c r="AC1028" s="74">
        <f t="shared" si="553"/>
        <v>1295.61686456693</v>
      </c>
      <c r="AD1028" s="74">
        <f t="shared" si="548"/>
        <v>11205.2526169729</v>
      </c>
      <c r="AE1028" s="74">
        <f t="shared" si="549"/>
        <v>2308.74738302712</v>
      </c>
    </row>
    <row r="1029" customFormat="1" spans="1:31">
      <c r="A1029" s="18"/>
      <c r="B1029" s="19"/>
      <c r="C1029" s="20">
        <v>240929000063</v>
      </c>
      <c r="D1029" s="21">
        <v>45570</v>
      </c>
      <c r="E1029" s="21" t="s">
        <v>50</v>
      </c>
      <c r="F1029" s="19" t="s">
        <v>51</v>
      </c>
      <c r="G1029" s="19" t="s">
        <v>383</v>
      </c>
      <c r="H1029" s="19">
        <v>22</v>
      </c>
      <c r="I1029" s="41">
        <v>1347.5</v>
      </c>
      <c r="J1029" s="53"/>
      <c r="K1029" s="43"/>
      <c r="L1029" s="19"/>
      <c r="M1029" s="43"/>
      <c r="N1029" s="44"/>
      <c r="O1029" s="45">
        <f t="shared" si="560"/>
        <v>1347.5</v>
      </c>
      <c r="P1029" s="51"/>
      <c r="Q1029" s="51"/>
      <c r="R1029" s="74">
        <f t="shared" si="554"/>
        <v>933.159930008749</v>
      </c>
      <c r="S1029" s="74"/>
      <c r="T1029" s="75">
        <f t="shared" si="555"/>
        <v>2.51383202099738</v>
      </c>
      <c r="U1029" s="74"/>
      <c r="V1029" s="74"/>
      <c r="W1029" s="76">
        <f t="shared" si="551"/>
        <v>935.673762029746</v>
      </c>
      <c r="X1029" s="77">
        <f t="shared" si="556"/>
        <v>17.2786614173228</v>
      </c>
      <c r="Y1029" s="77"/>
      <c r="Z1029" s="77"/>
      <c r="AA1029" s="77">
        <f t="shared" si="552"/>
        <v>17.2786614173228</v>
      </c>
      <c r="AB1029" s="86">
        <v>7.08</v>
      </c>
      <c r="AC1029" s="74">
        <f t="shared" si="553"/>
        <v>122.332922834646</v>
      </c>
      <c r="AD1029" s="74">
        <f t="shared" si="548"/>
        <v>1058.00668486439</v>
      </c>
      <c r="AE1029" s="74">
        <f t="shared" si="549"/>
        <v>289.493315135608</v>
      </c>
    </row>
    <row r="1030" customFormat="1" spans="1:31">
      <c r="A1030" s="18"/>
      <c r="B1030" s="19"/>
      <c r="C1030" s="20">
        <v>240929000066</v>
      </c>
      <c r="D1030" s="21">
        <v>45570</v>
      </c>
      <c r="E1030" s="21" t="s">
        <v>50</v>
      </c>
      <c r="F1030" s="19" t="s">
        <v>51</v>
      </c>
      <c r="G1030" s="19" t="s">
        <v>114</v>
      </c>
      <c r="H1030" s="19">
        <v>22</v>
      </c>
      <c r="I1030" s="41">
        <v>1217</v>
      </c>
      <c r="J1030" s="53"/>
      <c r="K1030" s="43"/>
      <c r="L1030" s="19"/>
      <c r="M1030" s="43"/>
      <c r="N1030" s="44"/>
      <c r="O1030" s="45">
        <f t="shared" si="560"/>
        <v>1217</v>
      </c>
      <c r="P1030" s="51"/>
      <c r="Q1030" s="51"/>
      <c r="R1030" s="74">
        <f t="shared" si="554"/>
        <v>933.159930008749</v>
      </c>
      <c r="S1030" s="74"/>
      <c r="T1030" s="75">
        <f t="shared" si="555"/>
        <v>2.51383202099738</v>
      </c>
      <c r="U1030" s="74">
        <v>40</v>
      </c>
      <c r="V1030" s="74"/>
      <c r="W1030" s="76">
        <f t="shared" si="551"/>
        <v>975.673762029746</v>
      </c>
      <c r="X1030" s="77">
        <f t="shared" si="556"/>
        <v>17.2786614173228</v>
      </c>
      <c r="Y1030" s="77"/>
      <c r="Z1030" s="77"/>
      <c r="AA1030" s="77">
        <f t="shared" si="552"/>
        <v>17.2786614173228</v>
      </c>
      <c r="AB1030" s="86">
        <v>7.08</v>
      </c>
      <c r="AC1030" s="74">
        <f t="shared" si="553"/>
        <v>122.332922834646</v>
      </c>
      <c r="AD1030" s="74">
        <f t="shared" si="548"/>
        <v>1098.00668486439</v>
      </c>
      <c r="AE1030" s="74">
        <f t="shared" si="549"/>
        <v>118.993315135608</v>
      </c>
    </row>
    <row r="1031" customFormat="1" spans="1:31">
      <c r="A1031" s="18"/>
      <c r="B1031" s="19"/>
      <c r="C1031" s="20">
        <v>240930000012</v>
      </c>
      <c r="D1031" s="21">
        <v>45570</v>
      </c>
      <c r="E1031" s="21" t="s">
        <v>43</v>
      </c>
      <c r="F1031" s="19" t="s">
        <v>44</v>
      </c>
      <c r="G1031" s="19" t="s">
        <v>110</v>
      </c>
      <c r="H1031" s="19">
        <v>2</v>
      </c>
      <c r="I1031" s="41">
        <v>136</v>
      </c>
      <c r="J1031" s="53"/>
      <c r="K1031" s="43"/>
      <c r="L1031" s="19"/>
      <c r="M1031" s="43"/>
      <c r="N1031" s="44"/>
      <c r="O1031" s="45">
        <f t="shared" si="560"/>
        <v>136</v>
      </c>
      <c r="P1031" s="51"/>
      <c r="Q1031" s="51"/>
      <c r="R1031" s="74">
        <f t="shared" si="554"/>
        <v>84.8327209098863</v>
      </c>
      <c r="S1031" s="74"/>
      <c r="T1031" s="75">
        <f t="shared" si="555"/>
        <v>0.228530183727034</v>
      </c>
      <c r="U1031" s="74"/>
      <c r="V1031" s="74"/>
      <c r="W1031" s="76">
        <f t="shared" si="551"/>
        <v>85.0612510936133</v>
      </c>
      <c r="X1031" s="77">
        <f t="shared" si="556"/>
        <v>1.5707874015748</v>
      </c>
      <c r="Y1031" s="77"/>
      <c r="Z1031" s="77"/>
      <c r="AA1031" s="77">
        <f t="shared" si="552"/>
        <v>1.5707874015748</v>
      </c>
      <c r="AB1031" s="86">
        <v>7.08</v>
      </c>
      <c r="AC1031" s="74">
        <f t="shared" si="553"/>
        <v>11.1211748031496</v>
      </c>
      <c r="AD1031" s="74">
        <f t="shared" si="548"/>
        <v>96.1824258967629</v>
      </c>
      <c r="AE1031" s="74">
        <f t="shared" si="549"/>
        <v>39.8175741032371</v>
      </c>
    </row>
    <row r="1032" customFormat="1" spans="1:31">
      <c r="A1032" s="18"/>
      <c r="B1032" s="19"/>
      <c r="C1032" s="20">
        <v>240930000020</v>
      </c>
      <c r="D1032" s="21">
        <v>45570</v>
      </c>
      <c r="E1032" s="21" t="s">
        <v>50</v>
      </c>
      <c r="F1032" s="19" t="s">
        <v>51</v>
      </c>
      <c r="G1032" s="19" t="s">
        <v>291</v>
      </c>
      <c r="H1032" s="19">
        <v>35</v>
      </c>
      <c r="I1032" s="47"/>
      <c r="J1032" s="54">
        <v>436432.5</v>
      </c>
      <c r="K1032" s="43"/>
      <c r="L1032" s="49">
        <f>SUM(J1032/M1032)</f>
        <v>1731.11935266352</v>
      </c>
      <c r="M1032" s="50">
        <v>252.11</v>
      </c>
      <c r="N1032" s="44">
        <v>7.08</v>
      </c>
      <c r="O1032" s="45">
        <f t="shared" ref="O1032:O1035" si="561">SUM(M1032*N1032)</f>
        <v>1784.9388</v>
      </c>
      <c r="P1032" s="51"/>
      <c r="Q1032" s="51"/>
      <c r="R1032" s="74">
        <f t="shared" si="554"/>
        <v>1484.57261592301</v>
      </c>
      <c r="S1032" s="74"/>
      <c r="T1032" s="75">
        <f t="shared" si="555"/>
        <v>3.9992782152231</v>
      </c>
      <c r="U1032" s="74"/>
      <c r="V1032" s="74"/>
      <c r="W1032" s="76">
        <f t="shared" si="551"/>
        <v>1488.57189413823</v>
      </c>
      <c r="X1032" s="77">
        <f t="shared" si="556"/>
        <v>27.4887795275591</v>
      </c>
      <c r="Y1032" s="77"/>
      <c r="Z1032" s="77"/>
      <c r="AA1032" s="77">
        <f t="shared" si="552"/>
        <v>27.4887795275591</v>
      </c>
      <c r="AB1032" s="86">
        <v>7.08</v>
      </c>
      <c r="AC1032" s="74">
        <f t="shared" si="553"/>
        <v>194.620559055118</v>
      </c>
      <c r="AD1032" s="74">
        <f t="shared" si="548"/>
        <v>1683.19245319335</v>
      </c>
      <c r="AE1032" s="74">
        <f t="shared" si="549"/>
        <v>101.746346806649</v>
      </c>
    </row>
    <row r="1033" customFormat="1" spans="1:31">
      <c r="A1033" s="18"/>
      <c r="B1033" s="19"/>
      <c r="C1033" s="20">
        <v>240930000021</v>
      </c>
      <c r="D1033" s="21">
        <v>45570</v>
      </c>
      <c r="E1033" s="21" t="s">
        <v>50</v>
      </c>
      <c r="F1033" s="19" t="s">
        <v>51</v>
      </c>
      <c r="G1033" s="19" t="s">
        <v>160</v>
      </c>
      <c r="H1033" s="19">
        <v>21.5</v>
      </c>
      <c r="I1033" s="41">
        <v>1139.5</v>
      </c>
      <c r="J1033" s="53"/>
      <c r="K1033" s="43"/>
      <c r="L1033" s="19"/>
      <c r="M1033" s="43"/>
      <c r="N1033" s="44"/>
      <c r="O1033" s="45">
        <f t="shared" ref="O1033:O1047" si="562">SUM(I1033)</f>
        <v>1139.5</v>
      </c>
      <c r="P1033" s="51"/>
      <c r="Q1033" s="51"/>
      <c r="R1033" s="74">
        <f t="shared" si="554"/>
        <v>911.951749781277</v>
      </c>
      <c r="S1033" s="74"/>
      <c r="T1033" s="75">
        <f t="shared" si="555"/>
        <v>2.45669947506562</v>
      </c>
      <c r="U1033" s="74"/>
      <c r="V1033" s="74"/>
      <c r="W1033" s="76">
        <f t="shared" si="551"/>
        <v>914.408449256343</v>
      </c>
      <c r="X1033" s="77">
        <f t="shared" si="556"/>
        <v>16.8859645669291</v>
      </c>
      <c r="Y1033" s="77"/>
      <c r="Z1033" s="77"/>
      <c r="AA1033" s="77">
        <f t="shared" si="552"/>
        <v>16.8859645669291</v>
      </c>
      <c r="AB1033" s="86">
        <v>7.08</v>
      </c>
      <c r="AC1033" s="74">
        <f t="shared" si="553"/>
        <v>119.552629133858</v>
      </c>
      <c r="AD1033" s="74">
        <f t="shared" si="548"/>
        <v>1033.9610783902</v>
      </c>
      <c r="AE1033" s="74">
        <f t="shared" si="549"/>
        <v>105.538921609799</v>
      </c>
    </row>
    <row r="1034" customFormat="1" spans="1:31">
      <c r="A1034" s="18"/>
      <c r="B1034" s="19"/>
      <c r="C1034" s="20">
        <v>240930000025</v>
      </c>
      <c r="D1034" s="21">
        <v>45570</v>
      </c>
      <c r="E1034" s="21" t="s">
        <v>50</v>
      </c>
      <c r="F1034" s="19" t="s">
        <v>51</v>
      </c>
      <c r="G1034" s="19" t="s">
        <v>253</v>
      </c>
      <c r="H1034" s="19">
        <v>118</v>
      </c>
      <c r="I1034" s="47"/>
      <c r="J1034" s="54">
        <v>1767552.5</v>
      </c>
      <c r="K1034" s="43"/>
      <c r="L1034" s="49">
        <f>SUM(J1034/M1034)</f>
        <v>1734.61221405509</v>
      </c>
      <c r="M1034" s="50">
        <v>1018.99</v>
      </c>
      <c r="N1034" s="44">
        <v>7.08</v>
      </c>
      <c r="O1034" s="45">
        <f t="shared" si="561"/>
        <v>7214.4492</v>
      </c>
      <c r="P1034" s="51"/>
      <c r="Q1034" s="51"/>
      <c r="R1034" s="74">
        <f t="shared" si="554"/>
        <v>5005.13053368329</v>
      </c>
      <c r="S1034" s="74"/>
      <c r="T1034" s="75">
        <f t="shared" si="555"/>
        <v>13.483280839895</v>
      </c>
      <c r="U1034" s="74"/>
      <c r="V1034" s="74"/>
      <c r="W1034" s="76">
        <f t="shared" si="551"/>
        <v>5018.61381452318</v>
      </c>
      <c r="X1034" s="77">
        <f t="shared" si="556"/>
        <v>92.6764566929134</v>
      </c>
      <c r="Y1034" s="77"/>
      <c r="Z1034" s="77"/>
      <c r="AA1034" s="77">
        <f t="shared" si="552"/>
        <v>92.6764566929134</v>
      </c>
      <c r="AB1034" s="86">
        <v>7.08</v>
      </c>
      <c r="AC1034" s="74">
        <f t="shared" si="553"/>
        <v>656.149313385827</v>
      </c>
      <c r="AD1034" s="74">
        <f t="shared" si="548"/>
        <v>5674.76312790901</v>
      </c>
      <c r="AE1034" s="74">
        <f t="shared" si="549"/>
        <v>1539.68607209099</v>
      </c>
    </row>
    <row r="1035" customFormat="1" spans="1:31">
      <c r="A1035" s="18"/>
      <c r="B1035" s="19"/>
      <c r="C1035" s="20">
        <v>240930000034</v>
      </c>
      <c r="D1035" s="21">
        <v>45570</v>
      </c>
      <c r="E1035" s="21" t="s">
        <v>96</v>
      </c>
      <c r="F1035" s="19" t="s">
        <v>112</v>
      </c>
      <c r="G1035" s="19" t="s">
        <v>113</v>
      </c>
      <c r="H1035" s="19">
        <v>71.5</v>
      </c>
      <c r="I1035" s="45"/>
      <c r="J1035" s="53"/>
      <c r="K1035" s="50">
        <v>491</v>
      </c>
      <c r="L1035" s="19"/>
      <c r="M1035" s="50">
        <v>491</v>
      </c>
      <c r="N1035" s="44">
        <v>7.08</v>
      </c>
      <c r="O1035" s="45">
        <f t="shared" si="561"/>
        <v>3476.28</v>
      </c>
      <c r="P1035" s="51"/>
      <c r="Q1035" s="51"/>
      <c r="R1035" s="74">
        <f t="shared" si="554"/>
        <v>3032.76977252843</v>
      </c>
      <c r="S1035" s="74"/>
      <c r="T1035" s="75">
        <f t="shared" si="555"/>
        <v>8.16995406824147</v>
      </c>
      <c r="U1035" s="74"/>
      <c r="V1035" s="74"/>
      <c r="W1035" s="76">
        <f t="shared" si="551"/>
        <v>3040.93972659668</v>
      </c>
      <c r="X1035" s="77">
        <f t="shared" si="556"/>
        <v>56.1556496062992</v>
      </c>
      <c r="Y1035" s="77"/>
      <c r="Z1035" s="77"/>
      <c r="AA1035" s="77">
        <f t="shared" si="552"/>
        <v>56.1556496062992</v>
      </c>
      <c r="AB1035" s="86">
        <v>7.08</v>
      </c>
      <c r="AC1035" s="74">
        <f t="shared" si="553"/>
        <v>397.581999212598</v>
      </c>
      <c r="AD1035" s="74">
        <f t="shared" si="548"/>
        <v>3438.52172580927</v>
      </c>
      <c r="AE1035" s="74">
        <f t="shared" si="549"/>
        <v>37.7582741907263</v>
      </c>
    </row>
    <row r="1036" customFormat="1" spans="1:31">
      <c r="A1036" s="18"/>
      <c r="B1036" s="19"/>
      <c r="C1036" s="20">
        <v>240930000036</v>
      </c>
      <c r="D1036" s="21">
        <v>45570</v>
      </c>
      <c r="E1036" s="21" t="s">
        <v>43</v>
      </c>
      <c r="F1036" s="19" t="s">
        <v>44</v>
      </c>
      <c r="G1036" s="19" t="s">
        <v>108</v>
      </c>
      <c r="H1036" s="19">
        <v>0.64</v>
      </c>
      <c r="I1036" s="41">
        <v>63</v>
      </c>
      <c r="J1036" s="53"/>
      <c r="K1036" s="43"/>
      <c r="L1036" s="19"/>
      <c r="M1036" s="43"/>
      <c r="N1036" s="44"/>
      <c r="O1036" s="45">
        <f t="shared" si="562"/>
        <v>63</v>
      </c>
      <c r="P1036" s="51"/>
      <c r="Q1036" s="51"/>
      <c r="R1036" s="74">
        <f t="shared" si="554"/>
        <v>27.1464706911636</v>
      </c>
      <c r="S1036" s="74"/>
      <c r="T1036" s="75">
        <f t="shared" si="555"/>
        <v>0.0731296587926509</v>
      </c>
      <c r="U1036" s="74"/>
      <c r="V1036" s="74"/>
      <c r="W1036" s="76">
        <f t="shared" si="551"/>
        <v>27.2196003499563</v>
      </c>
      <c r="X1036" s="77">
        <f t="shared" si="556"/>
        <v>0.502651968503937</v>
      </c>
      <c r="Y1036" s="77"/>
      <c r="Z1036" s="77"/>
      <c r="AA1036" s="77">
        <f t="shared" si="552"/>
        <v>0.502651968503937</v>
      </c>
      <c r="AB1036" s="86">
        <v>7.08</v>
      </c>
      <c r="AC1036" s="74">
        <f t="shared" si="553"/>
        <v>3.55877593700787</v>
      </c>
      <c r="AD1036" s="74">
        <f t="shared" si="548"/>
        <v>30.7783762869641</v>
      </c>
      <c r="AE1036" s="74">
        <f t="shared" si="549"/>
        <v>32.2216237130359</v>
      </c>
    </row>
    <row r="1037" customFormat="1" spans="1:31">
      <c r="A1037" s="18"/>
      <c r="B1037" s="19"/>
      <c r="C1037" s="20">
        <v>240930000044</v>
      </c>
      <c r="D1037" s="21">
        <v>45570</v>
      </c>
      <c r="E1037" s="21" t="s">
        <v>50</v>
      </c>
      <c r="F1037" s="19" t="s">
        <v>51</v>
      </c>
      <c r="G1037" s="19" t="s">
        <v>114</v>
      </c>
      <c r="H1037" s="19">
        <v>2</v>
      </c>
      <c r="I1037" s="41">
        <v>110</v>
      </c>
      <c r="J1037" s="53"/>
      <c r="K1037" s="43"/>
      <c r="L1037" s="19"/>
      <c r="M1037" s="43"/>
      <c r="N1037" s="44"/>
      <c r="O1037" s="45">
        <f t="shared" si="562"/>
        <v>110</v>
      </c>
      <c r="P1037" s="51"/>
      <c r="Q1037" s="51"/>
      <c r="R1037" s="74">
        <f t="shared" si="554"/>
        <v>84.8327209098863</v>
      </c>
      <c r="S1037" s="74"/>
      <c r="T1037" s="75">
        <f t="shared" si="555"/>
        <v>0.228530183727034</v>
      </c>
      <c r="U1037" s="74"/>
      <c r="V1037" s="74"/>
      <c r="W1037" s="76">
        <f t="shared" si="551"/>
        <v>85.0612510936133</v>
      </c>
      <c r="X1037" s="77">
        <f t="shared" si="556"/>
        <v>1.5707874015748</v>
      </c>
      <c r="Y1037" s="77"/>
      <c r="Z1037" s="77"/>
      <c r="AA1037" s="77">
        <f t="shared" si="552"/>
        <v>1.5707874015748</v>
      </c>
      <c r="AB1037" s="86">
        <v>7.08</v>
      </c>
      <c r="AC1037" s="74">
        <f t="shared" si="553"/>
        <v>11.1211748031496</v>
      </c>
      <c r="AD1037" s="74">
        <f t="shared" si="548"/>
        <v>96.1824258967629</v>
      </c>
      <c r="AE1037" s="74">
        <f t="shared" si="549"/>
        <v>13.8175741032371</v>
      </c>
    </row>
    <row r="1038" customFormat="1" spans="1:31">
      <c r="A1038" s="18"/>
      <c r="B1038" s="19"/>
      <c r="C1038" s="20">
        <v>240930000047</v>
      </c>
      <c r="D1038" s="21">
        <v>45570</v>
      </c>
      <c r="E1038" s="21" t="s">
        <v>62</v>
      </c>
      <c r="F1038" s="19" t="s">
        <v>63</v>
      </c>
      <c r="G1038" s="19" t="s">
        <v>595</v>
      </c>
      <c r="H1038" s="19">
        <v>240</v>
      </c>
      <c r="I1038" s="41">
        <v>13931.5</v>
      </c>
      <c r="J1038" s="53"/>
      <c r="K1038" s="43"/>
      <c r="L1038" s="19"/>
      <c r="M1038" s="43"/>
      <c r="N1038" s="44"/>
      <c r="O1038" s="45">
        <f t="shared" si="562"/>
        <v>13931.5</v>
      </c>
      <c r="P1038" s="51"/>
      <c r="Q1038" s="51"/>
      <c r="R1038" s="74">
        <f t="shared" si="554"/>
        <v>10179.9265091864</v>
      </c>
      <c r="S1038" s="74"/>
      <c r="T1038" s="75">
        <f t="shared" si="555"/>
        <v>27.4236220472441</v>
      </c>
      <c r="U1038" s="74"/>
      <c r="V1038" s="74"/>
      <c r="W1038" s="76">
        <f t="shared" si="551"/>
        <v>10207.3501312336</v>
      </c>
      <c r="X1038" s="77">
        <f t="shared" si="556"/>
        <v>188.494488188976</v>
      </c>
      <c r="Y1038" s="77"/>
      <c r="Z1038" s="77"/>
      <c r="AA1038" s="77">
        <f t="shared" si="552"/>
        <v>188.494488188976</v>
      </c>
      <c r="AB1038" s="86">
        <v>7.08</v>
      </c>
      <c r="AC1038" s="74">
        <f t="shared" si="553"/>
        <v>1334.54097637795</v>
      </c>
      <c r="AD1038" s="74">
        <f t="shared" ref="AD1038:AD1065" si="563">SUM(W1038+AC1038)</f>
        <v>11541.8911076115</v>
      </c>
      <c r="AE1038" s="74">
        <f t="shared" ref="AE1038:AE1065" si="564">SUM(O1038-AD1038)</f>
        <v>2389.60889238845</v>
      </c>
    </row>
    <row r="1039" customFormat="1" spans="1:31">
      <c r="A1039" s="18"/>
      <c r="B1039" s="19"/>
      <c r="C1039" s="20">
        <v>240930000048</v>
      </c>
      <c r="D1039" s="21">
        <v>45570</v>
      </c>
      <c r="E1039" s="21" t="s">
        <v>50</v>
      </c>
      <c r="F1039" s="19" t="s">
        <v>51</v>
      </c>
      <c r="G1039" s="19" t="s">
        <v>385</v>
      </c>
      <c r="H1039" s="19">
        <v>2.5</v>
      </c>
      <c r="I1039" s="41">
        <v>168</v>
      </c>
      <c r="J1039" s="53"/>
      <c r="K1039" s="43"/>
      <c r="L1039" s="19"/>
      <c r="M1039" s="43"/>
      <c r="N1039" s="44"/>
      <c r="O1039" s="45">
        <f t="shared" si="562"/>
        <v>168</v>
      </c>
      <c r="P1039" s="52"/>
      <c r="Q1039" s="52"/>
      <c r="R1039" s="74">
        <f t="shared" si="554"/>
        <v>106.040901137358</v>
      </c>
      <c r="S1039" s="74"/>
      <c r="T1039" s="75">
        <f t="shared" si="555"/>
        <v>0.285662729658793</v>
      </c>
      <c r="U1039" s="74"/>
      <c r="V1039" s="74"/>
      <c r="W1039" s="76">
        <f t="shared" ref="W1039:W1065" si="565">SUM(R1039:V1039)</f>
        <v>106.326563867017</v>
      </c>
      <c r="X1039" s="77">
        <f t="shared" si="556"/>
        <v>1.9634842519685</v>
      </c>
      <c r="Y1039" s="77"/>
      <c r="Z1039" s="77"/>
      <c r="AA1039" s="77">
        <f t="shared" ref="AA1039:AA1065" si="566">SUM(X1039:Z1039)</f>
        <v>1.9634842519685</v>
      </c>
      <c r="AB1039" s="86">
        <v>7.08</v>
      </c>
      <c r="AC1039" s="74">
        <f t="shared" ref="AC1039:AC1065" si="567">SUM(AA1039*AB1039)</f>
        <v>13.901468503937</v>
      </c>
      <c r="AD1039" s="74">
        <f t="shared" si="563"/>
        <v>120.228032370954</v>
      </c>
      <c r="AE1039" s="74">
        <f t="shared" si="564"/>
        <v>47.7719676290464</v>
      </c>
    </row>
    <row r="1040" customFormat="1" spans="1:31">
      <c r="A1040" s="18" t="s">
        <v>596</v>
      </c>
      <c r="B1040" s="19" t="s">
        <v>597</v>
      </c>
      <c r="C1040" s="20">
        <v>240923000037</v>
      </c>
      <c r="D1040" s="21">
        <v>45567</v>
      </c>
      <c r="E1040" s="21" t="s">
        <v>43</v>
      </c>
      <c r="F1040" s="19" t="s">
        <v>44</v>
      </c>
      <c r="G1040" s="19" t="s">
        <v>500</v>
      </c>
      <c r="H1040" s="19">
        <v>5.5</v>
      </c>
      <c r="I1040" s="41">
        <v>660</v>
      </c>
      <c r="J1040" s="53"/>
      <c r="K1040" s="43"/>
      <c r="L1040" s="19"/>
      <c r="M1040" s="43"/>
      <c r="N1040" s="44"/>
      <c r="O1040" s="45">
        <f t="shared" si="562"/>
        <v>660</v>
      </c>
      <c r="P1040" s="46">
        <f>SUM(O1040:O1065)</f>
        <v>11805.7064</v>
      </c>
      <c r="Q1040" s="46" t="s">
        <v>598</v>
      </c>
      <c r="R1040" s="74">
        <f>SUM(5200/92)*H1040</f>
        <v>310.869565217391</v>
      </c>
      <c r="S1040" s="74"/>
      <c r="T1040" s="75">
        <f>SUM(71.13/92)*H1040</f>
        <v>4.25233695652174</v>
      </c>
      <c r="U1040" s="74"/>
      <c r="V1040" s="74"/>
      <c r="W1040" s="76">
        <f t="shared" si="565"/>
        <v>315.121902173913</v>
      </c>
      <c r="X1040" s="77">
        <f>SUM(142.07/92)*H1040</f>
        <v>8.4933152173913</v>
      </c>
      <c r="Y1040" s="77"/>
      <c r="Z1040" s="77"/>
      <c r="AA1040" s="77">
        <f t="shared" si="566"/>
        <v>8.4933152173913</v>
      </c>
      <c r="AB1040" s="86">
        <v>7.08</v>
      </c>
      <c r="AC1040" s="74">
        <f t="shared" si="567"/>
        <v>60.1326717391304</v>
      </c>
      <c r="AD1040" s="74">
        <f t="shared" si="563"/>
        <v>375.254573913043</v>
      </c>
      <c r="AE1040" s="74">
        <f t="shared" si="564"/>
        <v>284.745426086957</v>
      </c>
    </row>
    <row r="1041" customFormat="1" spans="1:31">
      <c r="A1041" s="18"/>
      <c r="B1041" s="19"/>
      <c r="C1041" s="20">
        <v>240924000052</v>
      </c>
      <c r="D1041" s="21">
        <v>45567</v>
      </c>
      <c r="E1041" s="21" t="s">
        <v>62</v>
      </c>
      <c r="F1041" s="19" t="s">
        <v>63</v>
      </c>
      <c r="G1041" s="19" t="s">
        <v>184</v>
      </c>
      <c r="H1041" s="19">
        <v>0.79</v>
      </c>
      <c r="I1041" s="41">
        <v>88.2</v>
      </c>
      <c r="J1041" s="53"/>
      <c r="K1041" s="43"/>
      <c r="L1041" s="19"/>
      <c r="M1041" s="43"/>
      <c r="N1041" s="44"/>
      <c r="O1041" s="45">
        <f t="shared" si="562"/>
        <v>88.2</v>
      </c>
      <c r="P1041" s="51"/>
      <c r="Q1041" s="51"/>
      <c r="R1041" s="74">
        <f t="shared" ref="R1041:R1065" si="568">SUM(5200/92)*H1041</f>
        <v>44.6521739130435</v>
      </c>
      <c r="S1041" s="74"/>
      <c r="T1041" s="75">
        <f t="shared" ref="T1041:T1065" si="569">SUM(71.13/92)*H1041</f>
        <v>0.610790217391304</v>
      </c>
      <c r="U1041" s="74"/>
      <c r="V1041" s="74"/>
      <c r="W1041" s="76">
        <f t="shared" si="565"/>
        <v>45.2629641304348</v>
      </c>
      <c r="X1041" s="77">
        <f t="shared" ref="X1041:X1065" si="570">SUM(142.07/92)*H1041</f>
        <v>1.21994891304348</v>
      </c>
      <c r="Y1041" s="77"/>
      <c r="Z1041" s="77"/>
      <c r="AA1041" s="77">
        <f t="shared" si="566"/>
        <v>1.21994891304348</v>
      </c>
      <c r="AB1041" s="86">
        <v>7.08</v>
      </c>
      <c r="AC1041" s="74">
        <f t="shared" si="567"/>
        <v>8.63723830434783</v>
      </c>
      <c r="AD1041" s="74">
        <f t="shared" si="563"/>
        <v>53.9002024347826</v>
      </c>
      <c r="AE1041" s="74">
        <f t="shared" si="564"/>
        <v>34.2997975652174</v>
      </c>
    </row>
    <row r="1042" customFormat="1" spans="1:31">
      <c r="A1042" s="18"/>
      <c r="B1042" s="19"/>
      <c r="C1042" s="20">
        <v>240926000020</v>
      </c>
      <c r="D1042" s="21">
        <v>45567</v>
      </c>
      <c r="E1042" s="21" t="s">
        <v>43</v>
      </c>
      <c r="F1042" s="19" t="s">
        <v>44</v>
      </c>
      <c r="G1042" s="19" t="s">
        <v>56</v>
      </c>
      <c r="H1042" s="19">
        <v>6.5</v>
      </c>
      <c r="I1042" s="41">
        <v>747</v>
      </c>
      <c r="J1042" s="53"/>
      <c r="K1042" s="43"/>
      <c r="L1042" s="19"/>
      <c r="M1042" s="43"/>
      <c r="N1042" s="44"/>
      <c r="O1042" s="45">
        <f t="shared" si="562"/>
        <v>747</v>
      </c>
      <c r="P1042" s="51"/>
      <c r="Q1042" s="51"/>
      <c r="R1042" s="74">
        <f t="shared" si="568"/>
        <v>367.391304347826</v>
      </c>
      <c r="S1042" s="74"/>
      <c r="T1042" s="75">
        <f t="shared" si="569"/>
        <v>5.02548913043478</v>
      </c>
      <c r="U1042" s="74"/>
      <c r="V1042" s="74"/>
      <c r="W1042" s="76">
        <f t="shared" si="565"/>
        <v>372.416793478261</v>
      </c>
      <c r="X1042" s="77">
        <f t="shared" si="570"/>
        <v>10.0375543478261</v>
      </c>
      <c r="Y1042" s="77"/>
      <c r="Z1042" s="77"/>
      <c r="AA1042" s="77">
        <f t="shared" si="566"/>
        <v>10.0375543478261</v>
      </c>
      <c r="AB1042" s="86">
        <v>7.08</v>
      </c>
      <c r="AC1042" s="74">
        <f t="shared" si="567"/>
        <v>71.0658847826087</v>
      </c>
      <c r="AD1042" s="74">
        <f t="shared" si="563"/>
        <v>443.48267826087</v>
      </c>
      <c r="AE1042" s="74">
        <f t="shared" si="564"/>
        <v>303.51732173913</v>
      </c>
    </row>
    <row r="1043" customFormat="1" spans="1:31">
      <c r="A1043" s="18"/>
      <c r="B1043" s="19"/>
      <c r="C1043" s="20">
        <v>240926000042</v>
      </c>
      <c r="D1043" s="21">
        <v>45567</v>
      </c>
      <c r="E1043" s="21" t="s">
        <v>46</v>
      </c>
      <c r="F1043" s="19" t="s">
        <v>47</v>
      </c>
      <c r="G1043" s="19" t="s">
        <v>128</v>
      </c>
      <c r="H1043" s="19">
        <v>2.5</v>
      </c>
      <c r="I1043" s="41">
        <v>287</v>
      </c>
      <c r="J1043" s="53"/>
      <c r="K1043" s="43"/>
      <c r="L1043" s="19"/>
      <c r="M1043" s="43"/>
      <c r="N1043" s="44"/>
      <c r="O1043" s="45">
        <f t="shared" si="562"/>
        <v>287</v>
      </c>
      <c r="P1043" s="51"/>
      <c r="Q1043" s="51"/>
      <c r="R1043" s="74">
        <f t="shared" si="568"/>
        <v>141.304347826087</v>
      </c>
      <c r="S1043" s="74"/>
      <c r="T1043" s="75">
        <f t="shared" si="569"/>
        <v>1.93288043478261</v>
      </c>
      <c r="U1043" s="74"/>
      <c r="V1043" s="74"/>
      <c r="W1043" s="76">
        <f t="shared" si="565"/>
        <v>143.23722826087</v>
      </c>
      <c r="X1043" s="77">
        <f t="shared" si="570"/>
        <v>3.86059782608696</v>
      </c>
      <c r="Y1043" s="77"/>
      <c r="Z1043" s="77"/>
      <c r="AA1043" s="77">
        <f t="shared" si="566"/>
        <v>3.86059782608696</v>
      </c>
      <c r="AB1043" s="86">
        <v>7.08</v>
      </c>
      <c r="AC1043" s="74">
        <f t="shared" si="567"/>
        <v>27.3330326086956</v>
      </c>
      <c r="AD1043" s="74">
        <f t="shared" si="563"/>
        <v>170.570260869565</v>
      </c>
      <c r="AE1043" s="74">
        <f t="shared" si="564"/>
        <v>116.429739130435</v>
      </c>
    </row>
    <row r="1044" customFormat="1" spans="1:31">
      <c r="A1044" s="18"/>
      <c r="B1044" s="19"/>
      <c r="C1044" s="20">
        <v>240927000009</v>
      </c>
      <c r="D1044" s="21">
        <v>45567</v>
      </c>
      <c r="E1044" s="21" t="s">
        <v>43</v>
      </c>
      <c r="F1044" s="19" t="s">
        <v>44</v>
      </c>
      <c r="G1044" s="19" t="s">
        <v>45</v>
      </c>
      <c r="H1044" s="19">
        <v>11.5</v>
      </c>
      <c r="I1044" s="41">
        <v>1380</v>
      </c>
      <c r="J1044" s="53"/>
      <c r="K1044" s="43"/>
      <c r="L1044" s="19"/>
      <c r="M1044" s="43"/>
      <c r="N1044" s="44"/>
      <c r="O1044" s="45">
        <f t="shared" si="562"/>
        <v>1380</v>
      </c>
      <c r="P1044" s="51"/>
      <c r="Q1044" s="51"/>
      <c r="R1044" s="74">
        <f t="shared" si="568"/>
        <v>650</v>
      </c>
      <c r="S1044" s="74"/>
      <c r="T1044" s="75">
        <f t="shared" si="569"/>
        <v>8.89125</v>
      </c>
      <c r="U1044" s="74"/>
      <c r="V1044" s="74"/>
      <c r="W1044" s="76">
        <f t="shared" si="565"/>
        <v>658.89125</v>
      </c>
      <c r="X1044" s="77">
        <f t="shared" si="570"/>
        <v>17.75875</v>
      </c>
      <c r="Y1044" s="77"/>
      <c r="Z1044" s="77"/>
      <c r="AA1044" s="77">
        <f t="shared" si="566"/>
        <v>17.75875</v>
      </c>
      <c r="AB1044" s="86">
        <v>7.08</v>
      </c>
      <c r="AC1044" s="74">
        <f t="shared" si="567"/>
        <v>125.73195</v>
      </c>
      <c r="AD1044" s="74">
        <f t="shared" si="563"/>
        <v>784.6232</v>
      </c>
      <c r="AE1044" s="74">
        <f t="shared" si="564"/>
        <v>595.3768</v>
      </c>
    </row>
    <row r="1045" customFormat="1" spans="1:31">
      <c r="A1045" s="18"/>
      <c r="B1045" s="19"/>
      <c r="C1045" s="20">
        <v>240927000043</v>
      </c>
      <c r="D1045" s="21">
        <v>45567</v>
      </c>
      <c r="E1045" s="21" t="s">
        <v>46</v>
      </c>
      <c r="F1045" s="19" t="s">
        <v>47</v>
      </c>
      <c r="G1045" s="19" t="s">
        <v>205</v>
      </c>
      <c r="H1045" s="19">
        <v>2.5</v>
      </c>
      <c r="I1045" s="41">
        <v>300</v>
      </c>
      <c r="J1045" s="53"/>
      <c r="K1045" s="43"/>
      <c r="L1045" s="19"/>
      <c r="M1045" s="43"/>
      <c r="N1045" s="44"/>
      <c r="O1045" s="45">
        <f t="shared" si="562"/>
        <v>300</v>
      </c>
      <c r="P1045" s="51"/>
      <c r="Q1045" s="51"/>
      <c r="R1045" s="74">
        <f t="shared" si="568"/>
        <v>141.304347826087</v>
      </c>
      <c r="S1045" s="74"/>
      <c r="T1045" s="75">
        <f t="shared" si="569"/>
        <v>1.93288043478261</v>
      </c>
      <c r="U1045" s="74"/>
      <c r="V1045" s="74"/>
      <c r="W1045" s="76">
        <f t="shared" si="565"/>
        <v>143.23722826087</v>
      </c>
      <c r="X1045" s="77">
        <f t="shared" si="570"/>
        <v>3.86059782608696</v>
      </c>
      <c r="Y1045" s="77"/>
      <c r="Z1045" s="77"/>
      <c r="AA1045" s="77">
        <f t="shared" si="566"/>
        <v>3.86059782608696</v>
      </c>
      <c r="AB1045" s="86">
        <v>7.08</v>
      </c>
      <c r="AC1045" s="74">
        <f t="shared" si="567"/>
        <v>27.3330326086956</v>
      </c>
      <c r="AD1045" s="74">
        <f t="shared" si="563"/>
        <v>170.570260869565</v>
      </c>
      <c r="AE1045" s="74">
        <f t="shared" si="564"/>
        <v>129.429739130435</v>
      </c>
    </row>
    <row r="1046" customFormat="1" spans="1:31">
      <c r="A1046" s="18"/>
      <c r="B1046" s="19"/>
      <c r="C1046" s="20">
        <v>240927000044</v>
      </c>
      <c r="D1046" s="21">
        <v>45567</v>
      </c>
      <c r="E1046" s="21" t="s">
        <v>46</v>
      </c>
      <c r="F1046" s="19" t="s">
        <v>47</v>
      </c>
      <c r="G1046" s="19" t="s">
        <v>205</v>
      </c>
      <c r="H1046" s="19">
        <v>0.7</v>
      </c>
      <c r="I1046" s="41">
        <v>120</v>
      </c>
      <c r="J1046" s="53"/>
      <c r="K1046" s="43"/>
      <c r="L1046" s="19"/>
      <c r="M1046" s="43"/>
      <c r="N1046" s="44"/>
      <c r="O1046" s="45">
        <f t="shared" si="562"/>
        <v>120</v>
      </c>
      <c r="P1046" s="51"/>
      <c r="Q1046" s="51"/>
      <c r="R1046" s="74">
        <f t="shared" si="568"/>
        <v>39.5652173913043</v>
      </c>
      <c r="S1046" s="74"/>
      <c r="T1046" s="75">
        <f t="shared" si="569"/>
        <v>0.54120652173913</v>
      </c>
      <c r="U1046" s="74"/>
      <c r="V1046" s="74"/>
      <c r="W1046" s="76">
        <f t="shared" si="565"/>
        <v>40.1064239130435</v>
      </c>
      <c r="X1046" s="77">
        <f t="shared" si="570"/>
        <v>1.08096739130435</v>
      </c>
      <c r="Y1046" s="77"/>
      <c r="Z1046" s="77"/>
      <c r="AA1046" s="77">
        <f t="shared" si="566"/>
        <v>1.08096739130435</v>
      </c>
      <c r="AB1046" s="86">
        <v>7.08</v>
      </c>
      <c r="AC1046" s="74">
        <f t="shared" si="567"/>
        <v>7.65324913043478</v>
      </c>
      <c r="AD1046" s="74">
        <f t="shared" si="563"/>
        <v>47.7596730434783</v>
      </c>
      <c r="AE1046" s="74">
        <f t="shared" si="564"/>
        <v>72.2403269565218</v>
      </c>
    </row>
    <row r="1047" customFormat="1" spans="1:31">
      <c r="A1047" s="18"/>
      <c r="B1047" s="19"/>
      <c r="C1047" s="20">
        <v>240927000050</v>
      </c>
      <c r="D1047" s="21">
        <v>45567</v>
      </c>
      <c r="E1047" s="21" t="s">
        <v>50</v>
      </c>
      <c r="F1047" s="19" t="s">
        <v>51</v>
      </c>
      <c r="G1047" s="19" t="s">
        <v>495</v>
      </c>
      <c r="H1047" s="19">
        <v>0.1</v>
      </c>
      <c r="I1047" s="41">
        <v>120</v>
      </c>
      <c r="J1047" s="53"/>
      <c r="K1047" s="43"/>
      <c r="L1047" s="19"/>
      <c r="M1047" s="43"/>
      <c r="N1047" s="44"/>
      <c r="O1047" s="45">
        <f t="shared" si="562"/>
        <v>120</v>
      </c>
      <c r="P1047" s="51"/>
      <c r="Q1047" s="51"/>
      <c r="R1047" s="74">
        <f t="shared" si="568"/>
        <v>5.65217391304348</v>
      </c>
      <c r="S1047" s="74"/>
      <c r="T1047" s="75">
        <f t="shared" si="569"/>
        <v>0.0773152173913044</v>
      </c>
      <c r="U1047" s="74"/>
      <c r="V1047" s="74"/>
      <c r="W1047" s="76">
        <f t="shared" si="565"/>
        <v>5.72948913043478</v>
      </c>
      <c r="X1047" s="77">
        <f t="shared" si="570"/>
        <v>0.154423913043478</v>
      </c>
      <c r="Y1047" s="77"/>
      <c r="Z1047" s="77"/>
      <c r="AA1047" s="77">
        <f t="shared" si="566"/>
        <v>0.154423913043478</v>
      </c>
      <c r="AB1047" s="86">
        <v>7.08</v>
      </c>
      <c r="AC1047" s="74">
        <f t="shared" si="567"/>
        <v>1.09332130434783</v>
      </c>
      <c r="AD1047" s="74">
        <f t="shared" si="563"/>
        <v>6.82281043478261</v>
      </c>
      <c r="AE1047" s="74">
        <f t="shared" si="564"/>
        <v>113.177189565217</v>
      </c>
    </row>
    <row r="1048" customFormat="1" spans="1:31">
      <c r="A1048" s="18"/>
      <c r="B1048" s="19"/>
      <c r="C1048" s="20">
        <v>240927000056</v>
      </c>
      <c r="D1048" s="21">
        <v>45567</v>
      </c>
      <c r="E1048" s="21" t="s">
        <v>41</v>
      </c>
      <c r="F1048" s="19" t="s">
        <v>41</v>
      </c>
      <c r="G1048" s="19" t="s">
        <v>514</v>
      </c>
      <c r="H1048" s="19">
        <v>5</v>
      </c>
      <c r="I1048" s="55"/>
      <c r="J1048" s="54">
        <v>143295</v>
      </c>
      <c r="K1048" s="43"/>
      <c r="L1048" s="49">
        <f>SUM(J1048/M1048)</f>
        <v>1649.72369329956</v>
      </c>
      <c r="M1048" s="50">
        <v>86.86</v>
      </c>
      <c r="N1048" s="44">
        <v>7.08</v>
      </c>
      <c r="O1048" s="100">
        <f>SUM(M1048*N1048)</f>
        <v>614.9688</v>
      </c>
      <c r="P1048" s="51"/>
      <c r="Q1048" s="51"/>
      <c r="R1048" s="74">
        <f t="shared" si="568"/>
        <v>282.608695652174</v>
      </c>
      <c r="S1048" s="74"/>
      <c r="T1048" s="75">
        <f t="shared" si="569"/>
        <v>3.86576086956522</v>
      </c>
      <c r="U1048" s="74"/>
      <c r="V1048" s="74"/>
      <c r="W1048" s="76">
        <f t="shared" si="565"/>
        <v>286.474456521739</v>
      </c>
      <c r="X1048" s="77">
        <f t="shared" si="570"/>
        <v>7.72119565217391</v>
      </c>
      <c r="Y1048" s="77"/>
      <c r="Z1048" s="77"/>
      <c r="AA1048" s="77">
        <f t="shared" si="566"/>
        <v>7.72119565217391</v>
      </c>
      <c r="AB1048" s="86">
        <v>7.08</v>
      </c>
      <c r="AC1048" s="74">
        <f t="shared" si="567"/>
        <v>54.6660652173913</v>
      </c>
      <c r="AD1048" s="74">
        <f t="shared" si="563"/>
        <v>341.14052173913</v>
      </c>
      <c r="AE1048" s="74">
        <f t="shared" si="564"/>
        <v>273.82827826087</v>
      </c>
    </row>
    <row r="1049" customFormat="1" spans="1:31">
      <c r="A1049" s="18"/>
      <c r="B1049" s="19"/>
      <c r="C1049" s="20">
        <v>240927000065</v>
      </c>
      <c r="D1049" s="21">
        <v>45567</v>
      </c>
      <c r="E1049" s="21" t="s">
        <v>50</v>
      </c>
      <c r="F1049" s="19" t="s">
        <v>51</v>
      </c>
      <c r="G1049" s="19" t="s">
        <v>599</v>
      </c>
      <c r="H1049" s="19">
        <v>0.68</v>
      </c>
      <c r="I1049" s="41">
        <v>127</v>
      </c>
      <c r="J1049" s="53"/>
      <c r="K1049" s="43"/>
      <c r="L1049" s="19"/>
      <c r="M1049" s="43"/>
      <c r="N1049" s="44"/>
      <c r="O1049" s="45">
        <f t="shared" ref="O1049:O1054" si="571">SUM(I1049)</f>
        <v>127</v>
      </c>
      <c r="P1049" s="51"/>
      <c r="Q1049" s="51"/>
      <c r="R1049" s="74">
        <f t="shared" si="568"/>
        <v>38.4347826086957</v>
      </c>
      <c r="S1049" s="74"/>
      <c r="T1049" s="75">
        <f t="shared" si="569"/>
        <v>0.52574347826087</v>
      </c>
      <c r="U1049" s="74"/>
      <c r="V1049" s="75">
        <v>12</v>
      </c>
      <c r="W1049" s="76">
        <f t="shared" si="565"/>
        <v>50.9605260869565</v>
      </c>
      <c r="X1049" s="77">
        <f t="shared" si="570"/>
        <v>1.05008260869565</v>
      </c>
      <c r="Y1049" s="77"/>
      <c r="Z1049" s="77"/>
      <c r="AA1049" s="77">
        <f t="shared" si="566"/>
        <v>1.05008260869565</v>
      </c>
      <c r="AB1049" s="86">
        <v>7.08</v>
      </c>
      <c r="AC1049" s="74">
        <f t="shared" si="567"/>
        <v>7.43458486956522</v>
      </c>
      <c r="AD1049" s="74">
        <f t="shared" si="563"/>
        <v>58.3951109565217</v>
      </c>
      <c r="AE1049" s="74">
        <f t="shared" si="564"/>
        <v>68.6048890434783</v>
      </c>
    </row>
    <row r="1050" customFormat="1" spans="1:31">
      <c r="A1050" s="18"/>
      <c r="B1050" s="19"/>
      <c r="C1050" s="20">
        <v>240927000066</v>
      </c>
      <c r="D1050" s="21">
        <v>45567</v>
      </c>
      <c r="E1050" s="21" t="s">
        <v>96</v>
      </c>
      <c r="F1050" s="19" t="s">
        <v>112</v>
      </c>
      <c r="G1050" s="19" t="s">
        <v>113</v>
      </c>
      <c r="H1050" s="19">
        <v>0.62</v>
      </c>
      <c r="I1050" s="45"/>
      <c r="J1050" s="54">
        <v>28555</v>
      </c>
      <c r="K1050" s="43"/>
      <c r="L1050" s="49">
        <f>SUM(J1050/M1050)</f>
        <v>1739.03775883069</v>
      </c>
      <c r="M1050" s="50">
        <v>16.42</v>
      </c>
      <c r="N1050" s="44">
        <v>7.08</v>
      </c>
      <c r="O1050" s="45">
        <f>SUM(M1050*N1050)</f>
        <v>116.2536</v>
      </c>
      <c r="P1050" s="51"/>
      <c r="Q1050" s="51"/>
      <c r="R1050" s="74">
        <f t="shared" si="568"/>
        <v>35.0434782608696</v>
      </c>
      <c r="S1050" s="74"/>
      <c r="T1050" s="75">
        <f t="shared" si="569"/>
        <v>0.479354347826087</v>
      </c>
      <c r="U1050" s="74"/>
      <c r="V1050" s="74"/>
      <c r="W1050" s="76">
        <f t="shared" si="565"/>
        <v>35.5228326086957</v>
      </c>
      <c r="X1050" s="77">
        <f t="shared" si="570"/>
        <v>0.957428260869565</v>
      </c>
      <c r="Y1050" s="77"/>
      <c r="Z1050" s="77"/>
      <c r="AA1050" s="77">
        <f t="shared" si="566"/>
        <v>0.957428260869565</v>
      </c>
      <c r="AB1050" s="86">
        <v>7.08</v>
      </c>
      <c r="AC1050" s="74">
        <f t="shared" si="567"/>
        <v>6.77859208695652</v>
      </c>
      <c r="AD1050" s="74">
        <f t="shared" si="563"/>
        <v>42.3014246956522</v>
      </c>
      <c r="AE1050" s="74">
        <f t="shared" si="564"/>
        <v>73.9521753043478</v>
      </c>
    </row>
    <row r="1051" customFormat="1" spans="1:31">
      <c r="A1051" s="18"/>
      <c r="B1051" s="19"/>
      <c r="C1051" s="20">
        <v>240928000002</v>
      </c>
      <c r="D1051" s="21">
        <v>45567</v>
      </c>
      <c r="E1051" s="21" t="s">
        <v>41</v>
      </c>
      <c r="F1051" s="19" t="s">
        <v>68</v>
      </c>
      <c r="G1051" s="19" t="s">
        <v>69</v>
      </c>
      <c r="H1051" s="19">
        <v>0.96</v>
      </c>
      <c r="I1051" s="41">
        <v>120</v>
      </c>
      <c r="J1051" s="53"/>
      <c r="K1051" s="43"/>
      <c r="L1051" s="19"/>
      <c r="M1051" s="43"/>
      <c r="N1051" s="44"/>
      <c r="O1051" s="45">
        <f t="shared" si="571"/>
        <v>120</v>
      </c>
      <c r="P1051" s="51"/>
      <c r="Q1051" s="51"/>
      <c r="R1051" s="74">
        <f t="shared" si="568"/>
        <v>54.2608695652174</v>
      </c>
      <c r="S1051" s="74"/>
      <c r="T1051" s="75">
        <f t="shared" si="569"/>
        <v>0.742226086956522</v>
      </c>
      <c r="U1051" s="74"/>
      <c r="V1051" s="74"/>
      <c r="W1051" s="76">
        <f t="shared" si="565"/>
        <v>55.0030956521739</v>
      </c>
      <c r="X1051" s="77">
        <f t="shared" si="570"/>
        <v>1.48246956521739</v>
      </c>
      <c r="Y1051" s="77"/>
      <c r="Z1051" s="77"/>
      <c r="AA1051" s="77">
        <f t="shared" si="566"/>
        <v>1.48246956521739</v>
      </c>
      <c r="AB1051" s="86">
        <v>7.08</v>
      </c>
      <c r="AC1051" s="74">
        <f t="shared" si="567"/>
        <v>10.4958845217391</v>
      </c>
      <c r="AD1051" s="74">
        <f t="shared" si="563"/>
        <v>65.498980173913</v>
      </c>
      <c r="AE1051" s="74">
        <f t="shared" si="564"/>
        <v>54.501019826087</v>
      </c>
    </row>
    <row r="1052" customFormat="1" spans="1:31">
      <c r="A1052" s="18"/>
      <c r="B1052" s="19"/>
      <c r="C1052" s="20">
        <v>240928000005</v>
      </c>
      <c r="D1052" s="21">
        <v>45567</v>
      </c>
      <c r="E1052" s="21" t="s">
        <v>41</v>
      </c>
      <c r="F1052" s="19" t="s">
        <v>68</v>
      </c>
      <c r="G1052" s="19" t="s">
        <v>69</v>
      </c>
      <c r="H1052" s="19">
        <v>0.42</v>
      </c>
      <c r="I1052" s="41">
        <v>120</v>
      </c>
      <c r="J1052" s="53"/>
      <c r="K1052" s="43"/>
      <c r="L1052" s="19"/>
      <c r="M1052" s="43"/>
      <c r="N1052" s="44"/>
      <c r="O1052" s="45">
        <f t="shared" si="571"/>
        <v>120</v>
      </c>
      <c r="P1052" s="51"/>
      <c r="Q1052" s="51"/>
      <c r="R1052" s="74">
        <f t="shared" si="568"/>
        <v>23.7391304347826</v>
      </c>
      <c r="S1052" s="74"/>
      <c r="T1052" s="75">
        <f t="shared" si="569"/>
        <v>0.324723913043478</v>
      </c>
      <c r="U1052" s="74"/>
      <c r="V1052" s="74"/>
      <c r="W1052" s="76">
        <f t="shared" si="565"/>
        <v>24.0638543478261</v>
      </c>
      <c r="X1052" s="77">
        <f t="shared" si="570"/>
        <v>0.648580434782609</v>
      </c>
      <c r="Y1052" s="77"/>
      <c r="Z1052" s="77"/>
      <c r="AA1052" s="77">
        <f t="shared" si="566"/>
        <v>0.648580434782609</v>
      </c>
      <c r="AB1052" s="86">
        <v>7.08</v>
      </c>
      <c r="AC1052" s="74">
        <f t="shared" si="567"/>
        <v>4.59194947826087</v>
      </c>
      <c r="AD1052" s="74">
        <f t="shared" si="563"/>
        <v>28.655803826087</v>
      </c>
      <c r="AE1052" s="74">
        <f t="shared" si="564"/>
        <v>91.344196173913</v>
      </c>
    </row>
    <row r="1053" customFormat="1" spans="1:31">
      <c r="A1053" s="18"/>
      <c r="B1053" s="19"/>
      <c r="C1053" s="20">
        <v>240929000004</v>
      </c>
      <c r="D1053" s="21">
        <v>45567</v>
      </c>
      <c r="E1053" s="21" t="s">
        <v>43</v>
      </c>
      <c r="F1053" s="19" t="s">
        <v>44</v>
      </c>
      <c r="G1053" s="19" t="s">
        <v>600</v>
      </c>
      <c r="H1053" s="19">
        <v>3</v>
      </c>
      <c r="I1053" s="41">
        <v>360</v>
      </c>
      <c r="J1053" s="53"/>
      <c r="K1053" s="43"/>
      <c r="L1053" s="19"/>
      <c r="M1053" s="43"/>
      <c r="N1053" s="44"/>
      <c r="O1053" s="45">
        <f t="shared" si="571"/>
        <v>360</v>
      </c>
      <c r="P1053" s="51"/>
      <c r="Q1053" s="51"/>
      <c r="R1053" s="74">
        <f t="shared" si="568"/>
        <v>169.565217391304</v>
      </c>
      <c r="S1053" s="74"/>
      <c r="T1053" s="75">
        <f t="shared" si="569"/>
        <v>2.31945652173913</v>
      </c>
      <c r="U1053" s="74"/>
      <c r="V1053" s="74"/>
      <c r="W1053" s="76">
        <f t="shared" si="565"/>
        <v>171.884673913043</v>
      </c>
      <c r="X1053" s="77">
        <f t="shared" si="570"/>
        <v>4.63271739130435</v>
      </c>
      <c r="Y1053" s="77"/>
      <c r="Z1053" s="77"/>
      <c r="AA1053" s="77">
        <f t="shared" si="566"/>
        <v>4.63271739130435</v>
      </c>
      <c r="AB1053" s="86">
        <v>7.08</v>
      </c>
      <c r="AC1053" s="74">
        <f t="shared" si="567"/>
        <v>32.7996391304348</v>
      </c>
      <c r="AD1053" s="74">
        <f t="shared" si="563"/>
        <v>204.684313043478</v>
      </c>
      <c r="AE1053" s="74">
        <f t="shared" si="564"/>
        <v>155.315686956522</v>
      </c>
    </row>
    <row r="1054" customFormat="1" spans="1:31">
      <c r="A1054" s="18"/>
      <c r="B1054" s="19"/>
      <c r="C1054" s="20">
        <v>240929000005</v>
      </c>
      <c r="D1054" s="21">
        <v>45567</v>
      </c>
      <c r="E1054" s="21" t="s">
        <v>43</v>
      </c>
      <c r="F1054" s="19" t="s">
        <v>44</v>
      </c>
      <c r="G1054" s="19" t="s">
        <v>313</v>
      </c>
      <c r="H1054" s="19">
        <v>7</v>
      </c>
      <c r="I1054" s="41">
        <v>805</v>
      </c>
      <c r="J1054" s="53"/>
      <c r="K1054" s="43"/>
      <c r="L1054" s="19"/>
      <c r="M1054" s="43"/>
      <c r="N1054" s="44"/>
      <c r="O1054" s="45">
        <f t="shared" si="571"/>
        <v>805</v>
      </c>
      <c r="P1054" s="51"/>
      <c r="Q1054" s="51"/>
      <c r="R1054" s="74">
        <f t="shared" si="568"/>
        <v>395.652173913043</v>
      </c>
      <c r="S1054" s="74"/>
      <c r="T1054" s="75">
        <f t="shared" si="569"/>
        <v>5.4120652173913</v>
      </c>
      <c r="U1054" s="74"/>
      <c r="V1054" s="74"/>
      <c r="W1054" s="76">
        <f t="shared" si="565"/>
        <v>401.064239130435</v>
      </c>
      <c r="X1054" s="77">
        <f t="shared" si="570"/>
        <v>10.8096739130435</v>
      </c>
      <c r="Y1054" s="77"/>
      <c r="Z1054" s="77"/>
      <c r="AA1054" s="77">
        <f t="shared" si="566"/>
        <v>10.8096739130435</v>
      </c>
      <c r="AB1054" s="86">
        <v>7.08</v>
      </c>
      <c r="AC1054" s="74">
        <f t="shared" si="567"/>
        <v>76.5324913043478</v>
      </c>
      <c r="AD1054" s="74">
        <f t="shared" si="563"/>
        <v>477.596730434783</v>
      </c>
      <c r="AE1054" s="74">
        <f t="shared" si="564"/>
        <v>327.403269565217</v>
      </c>
    </row>
    <row r="1055" customFormat="1" spans="1:31">
      <c r="A1055" s="18"/>
      <c r="B1055" s="19"/>
      <c r="C1055" s="20">
        <v>240929000007</v>
      </c>
      <c r="D1055" s="21">
        <v>45567</v>
      </c>
      <c r="E1055" s="21" t="s">
        <v>43</v>
      </c>
      <c r="F1055" s="19" t="s">
        <v>44</v>
      </c>
      <c r="G1055" s="19" t="s">
        <v>107</v>
      </c>
      <c r="H1055" s="19">
        <v>0.53</v>
      </c>
      <c r="I1055" s="47"/>
      <c r="J1055" s="54">
        <v>60500</v>
      </c>
      <c r="K1055" s="43"/>
      <c r="L1055" s="49">
        <f>SUM(J1055/M1055)</f>
        <v>1713.39563862928</v>
      </c>
      <c r="M1055" s="50">
        <v>35.31</v>
      </c>
      <c r="N1055" s="44">
        <v>7.08</v>
      </c>
      <c r="O1055" s="45">
        <f>SUM(M1055*N1055)</f>
        <v>249.9948</v>
      </c>
      <c r="P1055" s="51"/>
      <c r="Q1055" s="51"/>
      <c r="R1055" s="74">
        <f t="shared" si="568"/>
        <v>29.9565217391304</v>
      </c>
      <c r="S1055" s="74"/>
      <c r="T1055" s="75">
        <f t="shared" si="569"/>
        <v>0.409770652173913</v>
      </c>
      <c r="U1055" s="74"/>
      <c r="V1055" s="74"/>
      <c r="W1055" s="76">
        <f t="shared" si="565"/>
        <v>30.3662923913043</v>
      </c>
      <c r="X1055" s="77">
        <f t="shared" si="570"/>
        <v>0.818446739130435</v>
      </c>
      <c r="Y1055" s="77"/>
      <c r="Z1055" s="77"/>
      <c r="AA1055" s="77">
        <f t="shared" si="566"/>
        <v>0.818446739130435</v>
      </c>
      <c r="AB1055" s="86">
        <v>7.08</v>
      </c>
      <c r="AC1055" s="74">
        <f t="shared" si="567"/>
        <v>5.79460291304348</v>
      </c>
      <c r="AD1055" s="74">
        <f t="shared" si="563"/>
        <v>36.1608953043478</v>
      </c>
      <c r="AE1055" s="74">
        <f t="shared" si="564"/>
        <v>213.833904695652</v>
      </c>
    </row>
    <row r="1056" customFormat="1" spans="1:31">
      <c r="A1056" s="18"/>
      <c r="B1056" s="19"/>
      <c r="C1056" s="20">
        <v>240929000012</v>
      </c>
      <c r="D1056" s="21">
        <v>45567</v>
      </c>
      <c r="E1056" s="21" t="s">
        <v>50</v>
      </c>
      <c r="F1056" s="19" t="s">
        <v>51</v>
      </c>
      <c r="G1056" s="19" t="s">
        <v>332</v>
      </c>
      <c r="H1056" s="19">
        <v>0.32</v>
      </c>
      <c r="I1056" s="41">
        <v>69</v>
      </c>
      <c r="J1056" s="53"/>
      <c r="K1056" s="43"/>
      <c r="L1056" s="19"/>
      <c r="M1056" s="43"/>
      <c r="N1056" s="44"/>
      <c r="O1056" s="45">
        <f t="shared" ref="O1056:O1060" si="572">SUM(I1056)</f>
        <v>69</v>
      </c>
      <c r="P1056" s="51"/>
      <c r="Q1056" s="51"/>
      <c r="R1056" s="74">
        <f t="shared" si="568"/>
        <v>18.0869565217391</v>
      </c>
      <c r="S1056" s="74"/>
      <c r="T1056" s="75">
        <f t="shared" si="569"/>
        <v>0.247408695652174</v>
      </c>
      <c r="U1056" s="74"/>
      <c r="V1056" s="74"/>
      <c r="W1056" s="76">
        <f t="shared" si="565"/>
        <v>18.3343652173913</v>
      </c>
      <c r="X1056" s="77">
        <f t="shared" si="570"/>
        <v>0.49415652173913</v>
      </c>
      <c r="Y1056" s="77"/>
      <c r="Z1056" s="77"/>
      <c r="AA1056" s="77">
        <f t="shared" si="566"/>
        <v>0.49415652173913</v>
      </c>
      <c r="AB1056" s="86">
        <v>7.08</v>
      </c>
      <c r="AC1056" s="74">
        <f t="shared" si="567"/>
        <v>3.49862817391304</v>
      </c>
      <c r="AD1056" s="74">
        <f t="shared" si="563"/>
        <v>21.8329933913043</v>
      </c>
      <c r="AE1056" s="74">
        <f t="shared" si="564"/>
        <v>47.1670066086957</v>
      </c>
    </row>
    <row r="1057" customFormat="1" spans="1:31">
      <c r="A1057" s="18"/>
      <c r="B1057" s="19"/>
      <c r="C1057" s="20">
        <v>240929000022</v>
      </c>
      <c r="D1057" s="21">
        <v>45567</v>
      </c>
      <c r="E1057" s="21" t="s">
        <v>43</v>
      </c>
      <c r="F1057" s="19" t="s">
        <v>44</v>
      </c>
      <c r="G1057" s="19" t="s">
        <v>45</v>
      </c>
      <c r="H1057" s="19">
        <v>1.5</v>
      </c>
      <c r="I1057" s="41">
        <v>180</v>
      </c>
      <c r="J1057" s="53"/>
      <c r="K1057" s="43"/>
      <c r="L1057" s="19"/>
      <c r="M1057" s="43"/>
      <c r="N1057" s="44"/>
      <c r="O1057" s="45">
        <f t="shared" si="572"/>
        <v>180</v>
      </c>
      <c r="P1057" s="51"/>
      <c r="Q1057" s="51"/>
      <c r="R1057" s="74">
        <f t="shared" si="568"/>
        <v>84.7826086956522</v>
      </c>
      <c r="S1057" s="74"/>
      <c r="T1057" s="75">
        <f t="shared" si="569"/>
        <v>1.15972826086957</v>
      </c>
      <c r="U1057" s="74"/>
      <c r="V1057" s="74"/>
      <c r="W1057" s="76">
        <f t="shared" si="565"/>
        <v>85.9423369565217</v>
      </c>
      <c r="X1057" s="77">
        <f t="shared" si="570"/>
        <v>2.31635869565217</v>
      </c>
      <c r="Y1057" s="77"/>
      <c r="Z1057" s="77"/>
      <c r="AA1057" s="77">
        <f t="shared" si="566"/>
        <v>2.31635869565217</v>
      </c>
      <c r="AB1057" s="86">
        <v>7.08</v>
      </c>
      <c r="AC1057" s="74">
        <f t="shared" si="567"/>
        <v>16.3998195652174</v>
      </c>
      <c r="AD1057" s="74">
        <f t="shared" si="563"/>
        <v>102.342156521739</v>
      </c>
      <c r="AE1057" s="74">
        <f t="shared" si="564"/>
        <v>77.6578434782609</v>
      </c>
    </row>
    <row r="1058" customFormat="1" spans="1:31">
      <c r="A1058" s="18"/>
      <c r="B1058" s="19"/>
      <c r="C1058" s="20">
        <v>240929000031</v>
      </c>
      <c r="D1058" s="21">
        <v>45567</v>
      </c>
      <c r="E1058" s="21" t="s">
        <v>43</v>
      </c>
      <c r="F1058" s="19" t="s">
        <v>44</v>
      </c>
      <c r="G1058" s="19" t="s">
        <v>56</v>
      </c>
      <c r="H1058" s="19">
        <v>0.82</v>
      </c>
      <c r="I1058" s="41">
        <v>250</v>
      </c>
      <c r="J1058" s="53"/>
      <c r="K1058" s="43"/>
      <c r="L1058" s="19"/>
      <c r="M1058" s="43"/>
      <c r="N1058" s="44"/>
      <c r="O1058" s="45">
        <f t="shared" si="572"/>
        <v>250</v>
      </c>
      <c r="P1058" s="51"/>
      <c r="Q1058" s="51"/>
      <c r="R1058" s="74">
        <f t="shared" si="568"/>
        <v>46.3478260869565</v>
      </c>
      <c r="S1058" s="74"/>
      <c r="T1058" s="75">
        <f t="shared" si="569"/>
        <v>0.633984782608696</v>
      </c>
      <c r="U1058" s="74"/>
      <c r="V1058" s="74"/>
      <c r="W1058" s="76">
        <f t="shared" si="565"/>
        <v>46.9818108695652</v>
      </c>
      <c r="X1058" s="77">
        <f t="shared" si="570"/>
        <v>1.26627608695652</v>
      </c>
      <c r="Y1058" s="77"/>
      <c r="Z1058" s="77"/>
      <c r="AA1058" s="77">
        <f t="shared" si="566"/>
        <v>1.26627608695652</v>
      </c>
      <c r="AB1058" s="86">
        <v>7.08</v>
      </c>
      <c r="AC1058" s="74">
        <f t="shared" si="567"/>
        <v>8.96523469565217</v>
      </c>
      <c r="AD1058" s="74">
        <f t="shared" si="563"/>
        <v>55.9470455652174</v>
      </c>
      <c r="AE1058" s="74">
        <f t="shared" si="564"/>
        <v>194.052954434783</v>
      </c>
    </row>
    <row r="1059" customFormat="1" spans="1:31">
      <c r="A1059" s="18"/>
      <c r="B1059" s="19"/>
      <c r="C1059" s="20">
        <v>240929000034</v>
      </c>
      <c r="D1059" s="21">
        <v>45567</v>
      </c>
      <c r="E1059" s="21" t="s">
        <v>46</v>
      </c>
      <c r="F1059" s="19" t="s">
        <v>47</v>
      </c>
      <c r="G1059" s="19" t="s">
        <v>119</v>
      </c>
      <c r="H1059" s="19">
        <v>1</v>
      </c>
      <c r="I1059" s="41">
        <v>120</v>
      </c>
      <c r="J1059" s="53"/>
      <c r="K1059" s="43"/>
      <c r="L1059" s="19"/>
      <c r="M1059" s="43"/>
      <c r="N1059" s="44"/>
      <c r="O1059" s="45">
        <f t="shared" si="572"/>
        <v>120</v>
      </c>
      <c r="P1059" s="51"/>
      <c r="Q1059" s="51"/>
      <c r="R1059" s="74">
        <f t="shared" si="568"/>
        <v>56.5217391304348</v>
      </c>
      <c r="S1059" s="74"/>
      <c r="T1059" s="75">
        <f t="shared" si="569"/>
        <v>0.773152173913043</v>
      </c>
      <c r="U1059" s="74"/>
      <c r="V1059" s="74"/>
      <c r="W1059" s="76">
        <f t="shared" si="565"/>
        <v>57.2948913043478</v>
      </c>
      <c r="X1059" s="77">
        <f t="shared" si="570"/>
        <v>1.54423913043478</v>
      </c>
      <c r="Y1059" s="77"/>
      <c r="Z1059" s="77"/>
      <c r="AA1059" s="77">
        <f t="shared" si="566"/>
        <v>1.54423913043478</v>
      </c>
      <c r="AB1059" s="86">
        <v>7.08</v>
      </c>
      <c r="AC1059" s="74">
        <f t="shared" si="567"/>
        <v>10.9332130434783</v>
      </c>
      <c r="AD1059" s="74">
        <f t="shared" si="563"/>
        <v>68.2281043478261</v>
      </c>
      <c r="AE1059" s="74">
        <f t="shared" si="564"/>
        <v>51.7718956521739</v>
      </c>
    </row>
    <row r="1060" customFormat="1" spans="1:31">
      <c r="A1060" s="18"/>
      <c r="B1060" s="19"/>
      <c r="C1060" s="20">
        <v>240929000041</v>
      </c>
      <c r="D1060" s="21">
        <v>45567</v>
      </c>
      <c r="E1060" s="21" t="s">
        <v>62</v>
      </c>
      <c r="F1060" s="19" t="s">
        <v>63</v>
      </c>
      <c r="G1060" s="19" t="s">
        <v>601</v>
      </c>
      <c r="H1060" s="19">
        <v>2</v>
      </c>
      <c r="I1060" s="41">
        <v>230</v>
      </c>
      <c r="J1060" s="53"/>
      <c r="K1060" s="43"/>
      <c r="L1060" s="19"/>
      <c r="M1060" s="43"/>
      <c r="N1060" s="44"/>
      <c r="O1060" s="45">
        <f t="shared" si="572"/>
        <v>230</v>
      </c>
      <c r="P1060" s="51"/>
      <c r="Q1060" s="51"/>
      <c r="R1060" s="74">
        <f t="shared" si="568"/>
        <v>113.04347826087</v>
      </c>
      <c r="S1060" s="74"/>
      <c r="T1060" s="75">
        <f t="shared" si="569"/>
        <v>1.54630434782609</v>
      </c>
      <c r="U1060" s="74"/>
      <c r="V1060" s="74"/>
      <c r="W1060" s="76">
        <f t="shared" si="565"/>
        <v>114.589782608696</v>
      </c>
      <c r="X1060" s="77">
        <f t="shared" si="570"/>
        <v>3.08847826086956</v>
      </c>
      <c r="Y1060" s="77"/>
      <c r="Z1060" s="77"/>
      <c r="AA1060" s="77">
        <f t="shared" si="566"/>
        <v>3.08847826086956</v>
      </c>
      <c r="AB1060" s="86">
        <v>7.08</v>
      </c>
      <c r="AC1060" s="74">
        <f t="shared" si="567"/>
        <v>21.8664260869565</v>
      </c>
      <c r="AD1060" s="74">
        <f t="shared" si="563"/>
        <v>136.456208695652</v>
      </c>
      <c r="AE1060" s="74">
        <f t="shared" si="564"/>
        <v>93.5437913043478</v>
      </c>
    </row>
    <row r="1061" customFormat="1" spans="1:31">
      <c r="A1061" s="18"/>
      <c r="B1061" s="19"/>
      <c r="C1061" s="22">
        <v>240929000052</v>
      </c>
      <c r="D1061" s="23">
        <v>45567</v>
      </c>
      <c r="E1061" s="21" t="s">
        <v>50</v>
      </c>
      <c r="F1061" s="24" t="s">
        <v>51</v>
      </c>
      <c r="G1061" s="24" t="s">
        <v>281</v>
      </c>
      <c r="H1061" s="24">
        <v>20</v>
      </c>
      <c r="I1061" s="47"/>
      <c r="J1061" s="54">
        <v>563500</v>
      </c>
      <c r="K1061" s="43"/>
      <c r="L1061" s="49">
        <f>SUM(J1061/M1061)</f>
        <v>1734.6467600431</v>
      </c>
      <c r="M1061" s="50">
        <v>324.85</v>
      </c>
      <c r="N1061" s="44">
        <v>7.08</v>
      </c>
      <c r="O1061" s="45">
        <f>SUM(M1061*N1061)</f>
        <v>2299.938</v>
      </c>
      <c r="P1061" s="51"/>
      <c r="Q1061" s="51"/>
      <c r="R1061" s="74">
        <f t="shared" si="568"/>
        <v>1130.4347826087</v>
      </c>
      <c r="S1061" s="74"/>
      <c r="T1061" s="75">
        <f t="shared" si="569"/>
        <v>15.4630434782609</v>
      </c>
      <c r="U1061" s="74"/>
      <c r="V1061" s="74"/>
      <c r="W1061" s="76">
        <f t="shared" si="565"/>
        <v>1145.89782608696</v>
      </c>
      <c r="X1061" s="77">
        <f t="shared" si="570"/>
        <v>30.8847826086956</v>
      </c>
      <c r="Y1061" s="77"/>
      <c r="Z1061" s="77"/>
      <c r="AA1061" s="77">
        <f t="shared" si="566"/>
        <v>30.8847826086956</v>
      </c>
      <c r="AB1061" s="86">
        <v>7.08</v>
      </c>
      <c r="AC1061" s="74">
        <f t="shared" si="567"/>
        <v>218.664260869565</v>
      </c>
      <c r="AD1061" s="74">
        <f t="shared" si="563"/>
        <v>1364.56208695652</v>
      </c>
      <c r="AE1061" s="74">
        <f t="shared" si="564"/>
        <v>935.375913043478</v>
      </c>
    </row>
    <row r="1062" customFormat="1" spans="1:31">
      <c r="A1062" s="18"/>
      <c r="B1062" s="19"/>
      <c r="C1062" s="20">
        <v>240929000056</v>
      </c>
      <c r="D1062" s="21">
        <v>45567</v>
      </c>
      <c r="E1062" s="21" t="s">
        <v>43</v>
      </c>
      <c r="F1062" s="19" t="s">
        <v>44</v>
      </c>
      <c r="G1062" s="19" t="s">
        <v>313</v>
      </c>
      <c r="H1062" s="19">
        <v>17</v>
      </c>
      <c r="I1062" s="41">
        <v>1955</v>
      </c>
      <c r="J1062" s="53"/>
      <c r="K1062" s="43"/>
      <c r="L1062" s="19"/>
      <c r="M1062" s="43"/>
      <c r="N1062" s="44"/>
      <c r="O1062" s="45">
        <f t="shared" ref="O1062:O1064" si="573">SUM(I1062)</f>
        <v>1955</v>
      </c>
      <c r="P1062" s="51"/>
      <c r="Q1062" s="51"/>
      <c r="R1062" s="74">
        <f t="shared" si="568"/>
        <v>960.869565217391</v>
      </c>
      <c r="S1062" s="74"/>
      <c r="T1062" s="75">
        <f t="shared" si="569"/>
        <v>13.1435869565217</v>
      </c>
      <c r="U1062" s="74"/>
      <c r="V1062" s="74"/>
      <c r="W1062" s="76">
        <f t="shared" si="565"/>
        <v>974.013152173913</v>
      </c>
      <c r="X1062" s="77">
        <f t="shared" si="570"/>
        <v>26.2520652173913</v>
      </c>
      <c r="Y1062" s="77"/>
      <c r="Z1062" s="77"/>
      <c r="AA1062" s="77">
        <f t="shared" si="566"/>
        <v>26.2520652173913</v>
      </c>
      <c r="AB1062" s="86">
        <v>7.08</v>
      </c>
      <c r="AC1062" s="74">
        <f t="shared" si="567"/>
        <v>185.86462173913</v>
      </c>
      <c r="AD1062" s="74">
        <f t="shared" si="563"/>
        <v>1159.87777391304</v>
      </c>
      <c r="AE1062" s="74">
        <f t="shared" si="564"/>
        <v>795.122226086957</v>
      </c>
    </row>
    <row r="1063" customFormat="1" spans="1:31">
      <c r="A1063" s="18"/>
      <c r="B1063" s="19"/>
      <c r="C1063" s="20">
        <v>240929000059</v>
      </c>
      <c r="D1063" s="21">
        <v>45567</v>
      </c>
      <c r="E1063" s="21" t="s">
        <v>41</v>
      </c>
      <c r="F1063" s="19" t="s">
        <v>41</v>
      </c>
      <c r="G1063" s="19" t="s">
        <v>183</v>
      </c>
      <c r="H1063" s="19">
        <v>0.58</v>
      </c>
      <c r="I1063" s="41">
        <v>115</v>
      </c>
      <c r="J1063" s="53"/>
      <c r="K1063" s="43"/>
      <c r="L1063" s="19"/>
      <c r="M1063" s="43"/>
      <c r="N1063" s="44"/>
      <c r="O1063" s="45">
        <f t="shared" si="573"/>
        <v>115</v>
      </c>
      <c r="P1063" s="51"/>
      <c r="Q1063" s="51"/>
      <c r="R1063" s="74">
        <f t="shared" si="568"/>
        <v>32.7826086956522</v>
      </c>
      <c r="S1063" s="74"/>
      <c r="T1063" s="75">
        <f t="shared" si="569"/>
        <v>0.448428260869565</v>
      </c>
      <c r="U1063" s="74"/>
      <c r="V1063" s="74"/>
      <c r="W1063" s="76">
        <f t="shared" si="565"/>
        <v>33.2310369565217</v>
      </c>
      <c r="X1063" s="77">
        <f t="shared" si="570"/>
        <v>0.895658695652174</v>
      </c>
      <c r="Y1063" s="77"/>
      <c r="Z1063" s="77"/>
      <c r="AA1063" s="77">
        <f t="shared" si="566"/>
        <v>0.895658695652174</v>
      </c>
      <c r="AB1063" s="86">
        <v>7.08</v>
      </c>
      <c r="AC1063" s="74">
        <f t="shared" si="567"/>
        <v>6.34126356521739</v>
      </c>
      <c r="AD1063" s="74">
        <f t="shared" si="563"/>
        <v>39.5723005217391</v>
      </c>
      <c r="AE1063" s="74">
        <f t="shared" si="564"/>
        <v>75.4276994782609</v>
      </c>
    </row>
    <row r="1064" customFormat="1" spans="1:31">
      <c r="A1064" s="18"/>
      <c r="B1064" s="19"/>
      <c r="C1064" s="20">
        <v>240929000067</v>
      </c>
      <c r="D1064" s="21">
        <v>45567</v>
      </c>
      <c r="E1064" s="21" t="s">
        <v>50</v>
      </c>
      <c r="F1064" s="19" t="s">
        <v>51</v>
      </c>
      <c r="G1064" s="19" t="s">
        <v>114</v>
      </c>
      <c r="H1064" s="19">
        <v>2</v>
      </c>
      <c r="I1064" s="41">
        <v>250</v>
      </c>
      <c r="J1064" s="53"/>
      <c r="K1064" s="43"/>
      <c r="L1064" s="19"/>
      <c r="M1064" s="43"/>
      <c r="N1064" s="44"/>
      <c r="O1064" s="45">
        <f t="shared" si="573"/>
        <v>250</v>
      </c>
      <c r="P1064" s="51"/>
      <c r="Q1064" s="51"/>
      <c r="R1064" s="74">
        <f t="shared" si="568"/>
        <v>113.04347826087</v>
      </c>
      <c r="S1064" s="74"/>
      <c r="T1064" s="75">
        <f t="shared" si="569"/>
        <v>1.54630434782609</v>
      </c>
      <c r="U1064" s="74"/>
      <c r="V1064" s="74"/>
      <c r="W1064" s="76">
        <f t="shared" si="565"/>
        <v>114.589782608696</v>
      </c>
      <c r="X1064" s="77">
        <f t="shared" si="570"/>
        <v>3.08847826086956</v>
      </c>
      <c r="Y1064" s="77"/>
      <c r="Z1064" s="77"/>
      <c r="AA1064" s="77">
        <f t="shared" si="566"/>
        <v>3.08847826086956</v>
      </c>
      <c r="AB1064" s="86">
        <v>7.08</v>
      </c>
      <c r="AC1064" s="74">
        <f t="shared" si="567"/>
        <v>21.8664260869565</v>
      </c>
      <c r="AD1064" s="74">
        <f t="shared" si="563"/>
        <v>136.456208695652</v>
      </c>
      <c r="AE1064" s="74">
        <f t="shared" si="564"/>
        <v>113.543791304348</v>
      </c>
    </row>
    <row r="1065" customFormat="1" spans="1:31">
      <c r="A1065" s="18"/>
      <c r="B1065" s="19"/>
      <c r="C1065" s="20">
        <v>240930000001</v>
      </c>
      <c r="D1065" s="21">
        <v>45567</v>
      </c>
      <c r="E1065" s="21" t="s">
        <v>46</v>
      </c>
      <c r="F1065" s="19">
        <v>13635229849</v>
      </c>
      <c r="G1065" s="19" t="s">
        <v>140</v>
      </c>
      <c r="H1065" s="19">
        <v>0.32</v>
      </c>
      <c r="I1065" s="45"/>
      <c r="J1065" s="54">
        <v>29807</v>
      </c>
      <c r="K1065" s="43"/>
      <c r="L1065" s="49">
        <f>SUM(J1065/M1065)</f>
        <v>1739.03150525088</v>
      </c>
      <c r="M1065" s="50">
        <v>17.14</v>
      </c>
      <c r="N1065" s="44">
        <v>7.08</v>
      </c>
      <c r="O1065" s="45">
        <f>SUM(M1065*N1065)</f>
        <v>121.3512</v>
      </c>
      <c r="P1065" s="52"/>
      <c r="Q1065" s="52"/>
      <c r="R1065" s="74">
        <f t="shared" si="568"/>
        <v>18.0869565217391</v>
      </c>
      <c r="S1065" s="74"/>
      <c r="T1065" s="75">
        <f t="shared" si="569"/>
        <v>0.247408695652174</v>
      </c>
      <c r="U1065" s="74"/>
      <c r="V1065" s="74"/>
      <c r="W1065" s="76">
        <f t="shared" si="565"/>
        <v>18.3343652173913</v>
      </c>
      <c r="X1065" s="77">
        <f t="shared" si="570"/>
        <v>0.49415652173913</v>
      </c>
      <c r="Y1065" s="77"/>
      <c r="Z1065" s="77"/>
      <c r="AA1065" s="77">
        <f t="shared" si="566"/>
        <v>0.49415652173913</v>
      </c>
      <c r="AB1065" s="86">
        <v>7.08</v>
      </c>
      <c r="AC1065" s="74">
        <f t="shared" si="567"/>
        <v>3.49862817391304</v>
      </c>
      <c r="AD1065" s="74">
        <f t="shared" si="563"/>
        <v>21.8329933913043</v>
      </c>
      <c r="AE1065" s="74">
        <f t="shared" si="564"/>
        <v>99.5182066086957</v>
      </c>
    </row>
    <row r="1066" spans="1:31">
      <c r="A1066" s="105" t="s">
        <v>602</v>
      </c>
      <c r="B1066" s="106"/>
      <c r="C1066" s="106"/>
      <c r="D1066" s="106"/>
      <c r="E1066" s="106"/>
      <c r="F1066" s="106"/>
      <c r="G1066" s="106"/>
      <c r="H1066" s="106"/>
      <c r="I1066" s="107">
        <f>SUM(I4:I1065)</f>
        <v>1623940.18</v>
      </c>
      <c r="J1066" s="108"/>
      <c r="K1066" s="109"/>
      <c r="L1066" s="108"/>
      <c r="M1066" s="108">
        <f>SUM(M4:M1065)</f>
        <v>80072.41988</v>
      </c>
      <c r="N1066" s="106"/>
      <c r="O1066" s="107">
        <f>SUM(O3:O1065)</f>
        <v>2190852.9127504</v>
      </c>
      <c r="P1066" s="107">
        <f>SUM(P3:P1065)</f>
        <v>2190852.9127504</v>
      </c>
      <c r="Q1066" s="106"/>
      <c r="R1066" s="106"/>
      <c r="S1066" s="106"/>
      <c r="T1066" s="106"/>
      <c r="U1066" s="106"/>
      <c r="V1066" s="106"/>
      <c r="W1066" s="76">
        <f>SUM(W3:W3)</f>
        <v>0</v>
      </c>
      <c r="X1066" s="109"/>
      <c r="Y1066" s="109"/>
      <c r="Z1066" s="109"/>
      <c r="AA1066" s="109"/>
      <c r="AB1066" s="108"/>
      <c r="AC1066" s="108"/>
      <c r="AD1066" s="106"/>
      <c r="AE1066" s="110">
        <f>SUM(AE4:AE1065)</f>
        <v>372266.236707125</v>
      </c>
    </row>
    <row r="1069" customFormat="1" spans="4:28">
      <c r="D1069" s="2"/>
      <c r="E1069" s="2"/>
      <c r="J1069" s="3"/>
      <c r="K1069" s="4"/>
      <c r="L1069" s="3"/>
      <c r="W1069" s="6"/>
      <c r="X1069" s="4"/>
      <c r="Y1069" s="4"/>
      <c r="Z1069" s="4"/>
      <c r="AA1069" s="4"/>
      <c r="AB1069" s="3"/>
    </row>
    <row r="1070" customFormat="1" spans="4:28">
      <c r="D1070" s="2"/>
      <c r="E1070" s="2"/>
      <c r="J1070" s="3"/>
      <c r="K1070" s="4"/>
      <c r="L1070" s="3"/>
      <c r="W1070" s="6"/>
      <c r="X1070" s="4"/>
      <c r="Y1070" s="4"/>
      <c r="Z1070" s="4"/>
      <c r="AA1070" s="4"/>
      <c r="AB1070" s="3"/>
    </row>
    <row r="1071" customFormat="1" spans="4:28">
      <c r="D1071" s="2"/>
      <c r="E1071" s="2"/>
      <c r="J1071" s="3"/>
      <c r="K1071" s="4"/>
      <c r="L1071" s="3"/>
      <c r="W1071" s="6"/>
      <c r="X1071" s="4"/>
      <c r="Y1071" s="4"/>
      <c r="Z1071" s="4"/>
      <c r="AA1071" s="4"/>
      <c r="AB1071" s="3"/>
    </row>
    <row r="1072" customFormat="1" spans="4:28">
      <c r="D1072" s="2"/>
      <c r="E1072" s="2"/>
      <c r="J1072" s="3"/>
      <c r="K1072" s="4"/>
      <c r="L1072" s="3"/>
      <c r="W1072" s="6"/>
      <c r="X1072" s="4"/>
      <c r="Y1072" s="4"/>
      <c r="Z1072" s="4"/>
      <c r="AA1072" s="4"/>
      <c r="AB1072" s="3"/>
    </row>
    <row r="1073" customFormat="1" spans="4:28">
      <c r="D1073" s="2"/>
      <c r="E1073" s="2"/>
      <c r="J1073" s="3"/>
      <c r="K1073" s="4"/>
      <c r="L1073" s="3"/>
      <c r="W1073" s="6"/>
      <c r="X1073" s="4"/>
      <c r="Y1073" s="4"/>
      <c r="Z1073" s="4"/>
      <c r="AA1073" s="4"/>
      <c r="AB1073" s="3"/>
    </row>
    <row r="1074" customFormat="1" spans="4:28">
      <c r="D1074" s="2"/>
      <c r="E1074" s="2"/>
      <c r="J1074" s="3"/>
      <c r="K1074" s="4"/>
      <c r="L1074" s="3"/>
      <c r="W1074" s="6"/>
      <c r="X1074" s="4"/>
      <c r="Y1074" s="4"/>
      <c r="Z1074" s="4"/>
      <c r="AA1074" s="4"/>
      <c r="AB1074" s="3"/>
    </row>
    <row r="1075" customFormat="1" spans="4:28">
      <c r="D1075" s="2"/>
      <c r="E1075" s="2"/>
      <c r="J1075" s="3"/>
      <c r="K1075" s="4"/>
      <c r="L1075" s="3"/>
      <c r="W1075" s="6"/>
      <c r="X1075" s="4"/>
      <c r="Y1075" s="4"/>
      <c r="Z1075" s="4"/>
      <c r="AA1075" s="4"/>
      <c r="AB1075" s="3"/>
    </row>
    <row r="1076" customFormat="1" spans="4:28">
      <c r="D1076" s="2"/>
      <c r="E1076" s="2"/>
      <c r="J1076" s="3"/>
      <c r="K1076" s="4"/>
      <c r="L1076" s="3"/>
      <c r="W1076" s="6"/>
      <c r="X1076" s="4"/>
      <c r="Y1076" s="4"/>
      <c r="Z1076" s="4"/>
      <c r="AA1076" s="4"/>
      <c r="AB1076" s="3"/>
    </row>
    <row r="1077" customFormat="1" spans="4:28">
      <c r="D1077" s="2"/>
      <c r="E1077" s="2"/>
      <c r="J1077" s="3"/>
      <c r="K1077" s="4"/>
      <c r="L1077" s="3"/>
      <c r="W1077" s="6"/>
      <c r="X1077" s="4"/>
      <c r="Y1077" s="4"/>
      <c r="Z1077" s="4"/>
      <c r="AA1077" s="4"/>
      <c r="AB1077" s="3"/>
    </row>
    <row r="1078" customFormat="1" spans="4:28">
      <c r="D1078" s="2"/>
      <c r="E1078" s="2"/>
      <c r="J1078" s="3"/>
      <c r="K1078" s="4"/>
      <c r="L1078" s="3"/>
      <c r="W1078" s="6"/>
      <c r="X1078" s="4"/>
      <c r="Y1078" s="4"/>
      <c r="Z1078" s="4"/>
      <c r="AA1078" s="4"/>
      <c r="AB1078" s="3"/>
    </row>
    <row r="1079" customFormat="1" spans="4:28">
      <c r="D1079" s="2"/>
      <c r="E1079" s="2"/>
      <c r="J1079" s="3"/>
      <c r="K1079" s="4"/>
      <c r="L1079" s="3"/>
      <c r="W1079" s="6"/>
      <c r="X1079" s="4"/>
      <c r="Y1079" s="4"/>
      <c r="Z1079" s="4"/>
      <c r="AA1079" s="4"/>
      <c r="AB1079" s="3"/>
    </row>
    <row r="1080" customFormat="1" spans="4:28">
      <c r="D1080" s="2"/>
      <c r="E1080" s="2"/>
      <c r="J1080" s="3"/>
      <c r="K1080" s="4"/>
      <c r="L1080" s="3"/>
      <c r="W1080" s="6"/>
      <c r="X1080" s="4"/>
      <c r="Y1080" s="4"/>
      <c r="Z1080" s="4"/>
      <c r="AA1080" s="4"/>
      <c r="AB1080" s="3"/>
    </row>
    <row r="1081" customFormat="1" spans="4:28">
      <c r="D1081" s="2"/>
      <c r="E1081" s="2"/>
      <c r="J1081" s="3"/>
      <c r="K1081" s="4"/>
      <c r="L1081" s="3"/>
      <c r="W1081" s="6"/>
      <c r="X1081" s="4"/>
      <c r="Y1081" s="4"/>
      <c r="Z1081" s="4"/>
      <c r="AA1081" s="4"/>
      <c r="AB1081" s="3"/>
    </row>
    <row r="1082" customFormat="1" spans="4:28">
      <c r="D1082" s="2"/>
      <c r="E1082" s="2"/>
      <c r="J1082" s="3"/>
      <c r="K1082" s="4"/>
      <c r="L1082" s="3"/>
      <c r="W1082" s="6"/>
      <c r="X1082" s="4"/>
      <c r="Y1082" s="4"/>
      <c r="Z1082" s="4"/>
      <c r="AA1082" s="4"/>
      <c r="AB1082" s="3"/>
    </row>
    <row r="1083" customFormat="1" spans="4:28">
      <c r="D1083" s="2"/>
      <c r="E1083" s="2"/>
      <c r="J1083" s="3"/>
      <c r="K1083" s="4"/>
      <c r="L1083" s="3"/>
      <c r="W1083" s="6"/>
      <c r="X1083" s="4"/>
      <c r="Y1083" s="4"/>
      <c r="Z1083" s="4"/>
      <c r="AA1083" s="4"/>
      <c r="AB1083" s="3"/>
    </row>
    <row r="1084" customFormat="1" spans="4:28">
      <c r="D1084" s="2"/>
      <c r="E1084" s="2"/>
      <c r="J1084" s="3"/>
      <c r="K1084" s="4"/>
      <c r="L1084" s="3"/>
      <c r="W1084" s="6"/>
      <c r="X1084" s="4"/>
      <c r="Y1084" s="4"/>
      <c r="Z1084" s="4"/>
      <c r="AA1084" s="4"/>
      <c r="AB1084" s="3"/>
    </row>
    <row r="1085" customFormat="1" spans="4:28">
      <c r="D1085" s="2"/>
      <c r="E1085" s="2"/>
      <c r="J1085" s="3"/>
      <c r="K1085" s="4"/>
      <c r="L1085" s="3"/>
      <c r="W1085" s="6"/>
      <c r="X1085" s="4"/>
      <c r="Y1085" s="4"/>
      <c r="Z1085" s="4"/>
      <c r="AA1085" s="4"/>
      <c r="AB1085" s="3"/>
    </row>
    <row r="1086" customFormat="1" spans="4:28">
      <c r="D1086" s="2"/>
      <c r="E1086" s="2"/>
      <c r="J1086" s="3"/>
      <c r="K1086" s="4"/>
      <c r="L1086" s="3"/>
      <c r="W1086" s="6"/>
      <c r="X1086" s="4"/>
      <c r="Y1086" s="4"/>
      <c r="Z1086" s="4"/>
      <c r="AA1086" s="4"/>
      <c r="AB1086" s="3"/>
    </row>
    <row r="1087" customFormat="1" spans="4:28">
      <c r="D1087" s="2"/>
      <c r="E1087" s="2"/>
      <c r="J1087" s="3"/>
      <c r="K1087" s="4"/>
      <c r="L1087" s="3"/>
      <c r="W1087" s="6"/>
      <c r="X1087" s="4"/>
      <c r="Y1087" s="4"/>
      <c r="Z1087" s="4"/>
      <c r="AA1087" s="4"/>
      <c r="AB1087" s="3"/>
    </row>
    <row r="1088" customFormat="1" spans="4:28">
      <c r="D1088" s="2"/>
      <c r="E1088" s="2"/>
      <c r="J1088" s="3"/>
      <c r="K1088" s="4"/>
      <c r="L1088" s="3"/>
      <c r="W1088" s="6"/>
      <c r="X1088" s="4"/>
      <c r="Y1088" s="4"/>
      <c r="Z1088" s="4"/>
      <c r="AA1088" s="4"/>
      <c r="AB1088" s="3"/>
    </row>
    <row r="1089" customFormat="1" spans="4:28">
      <c r="D1089" s="2"/>
      <c r="E1089" s="2"/>
      <c r="J1089" s="3"/>
      <c r="K1089" s="4"/>
      <c r="L1089" s="3"/>
      <c r="W1089" s="6"/>
      <c r="X1089" s="4"/>
      <c r="Y1089" s="4"/>
      <c r="Z1089" s="4"/>
      <c r="AA1089" s="4"/>
      <c r="AB1089" s="3"/>
    </row>
    <row r="1090" customFormat="1" spans="4:28">
      <c r="D1090" s="2"/>
      <c r="E1090" s="2"/>
      <c r="J1090" s="3"/>
      <c r="K1090" s="4"/>
      <c r="L1090" s="3"/>
      <c r="W1090" s="6"/>
      <c r="X1090" s="4"/>
      <c r="Y1090" s="4"/>
      <c r="Z1090" s="4"/>
      <c r="AA1090" s="4"/>
      <c r="AB1090" s="3"/>
    </row>
    <row r="1091" customFormat="1" spans="4:28">
      <c r="D1091" s="2"/>
      <c r="E1091" s="2"/>
      <c r="J1091" s="3"/>
      <c r="K1091" s="4"/>
      <c r="L1091" s="3"/>
      <c r="W1091" s="6"/>
      <c r="X1091" s="4"/>
      <c r="Y1091" s="4"/>
      <c r="Z1091" s="4"/>
      <c r="AA1091" s="4"/>
      <c r="AB1091" s="3"/>
    </row>
    <row r="1092" customFormat="1" spans="4:28">
      <c r="D1092" s="2"/>
      <c r="E1092" s="2"/>
      <c r="J1092" s="3"/>
      <c r="K1092" s="4"/>
      <c r="L1092" s="3"/>
      <c r="W1092" s="6"/>
      <c r="X1092" s="4"/>
      <c r="Y1092" s="4"/>
      <c r="Z1092" s="4"/>
      <c r="AA1092" s="4"/>
      <c r="AB1092" s="3"/>
    </row>
    <row r="1093" customFormat="1" spans="4:28">
      <c r="D1093" s="2"/>
      <c r="E1093" s="2"/>
      <c r="J1093" s="3"/>
      <c r="K1093" s="4"/>
      <c r="L1093" s="3"/>
      <c r="W1093" s="6"/>
      <c r="X1093" s="4"/>
      <c r="Y1093" s="4"/>
      <c r="Z1093" s="4"/>
      <c r="AA1093" s="4"/>
      <c r="AB1093" s="3"/>
    </row>
    <row r="1094" customFormat="1" spans="4:28">
      <c r="D1094" s="2"/>
      <c r="E1094" s="2"/>
      <c r="J1094" s="3"/>
      <c r="K1094" s="4"/>
      <c r="L1094" s="3"/>
      <c r="W1094" s="6"/>
      <c r="X1094" s="4"/>
      <c r="Y1094" s="4"/>
      <c r="Z1094" s="4"/>
      <c r="AA1094" s="4"/>
      <c r="AB1094" s="3"/>
    </row>
    <row r="1095" customFormat="1" spans="4:28">
      <c r="D1095" s="2"/>
      <c r="E1095" s="2"/>
      <c r="J1095" s="3"/>
      <c r="K1095" s="4"/>
      <c r="L1095" s="3"/>
      <c r="W1095" s="6"/>
      <c r="X1095" s="4"/>
      <c r="Y1095" s="4"/>
      <c r="Z1095" s="4"/>
      <c r="AA1095" s="4"/>
      <c r="AB1095" s="3"/>
    </row>
    <row r="1096" customFormat="1" spans="4:28">
      <c r="D1096" s="2"/>
      <c r="E1096" s="2"/>
      <c r="J1096" s="3"/>
      <c r="K1096" s="4"/>
      <c r="L1096" s="3"/>
      <c r="W1096" s="6"/>
      <c r="X1096" s="4"/>
      <c r="Y1096" s="4"/>
      <c r="Z1096" s="4"/>
      <c r="AA1096" s="4"/>
      <c r="AB1096" s="3"/>
    </row>
    <row r="1097" customFormat="1" spans="4:28">
      <c r="D1097" s="2"/>
      <c r="E1097" s="2"/>
      <c r="J1097" s="3"/>
      <c r="K1097" s="4"/>
      <c r="L1097" s="3"/>
      <c r="W1097" s="6"/>
      <c r="X1097" s="4"/>
      <c r="Y1097" s="4"/>
      <c r="Z1097" s="4"/>
      <c r="AA1097" s="4"/>
      <c r="AB1097" s="3"/>
    </row>
    <row r="1098" customFormat="1" spans="4:28">
      <c r="D1098" s="2"/>
      <c r="E1098" s="2"/>
      <c r="J1098" s="3"/>
      <c r="K1098" s="4"/>
      <c r="L1098" s="3"/>
      <c r="W1098" s="6"/>
      <c r="X1098" s="4"/>
      <c r="Y1098" s="4"/>
      <c r="Z1098" s="4"/>
      <c r="AA1098" s="4"/>
      <c r="AB1098" s="3"/>
    </row>
  </sheetData>
  <autoFilter xmlns:etc="http://www.wps.cn/officeDocument/2017/etCustomData" ref="A2:AE1066" etc:filterBottomFollowUsedRange="0">
    <extLst/>
  </autoFilter>
  <mergeCells count="148">
    <mergeCell ref="A1:AE1"/>
    <mergeCell ref="I2:O2"/>
    <mergeCell ref="Q2:U2"/>
    <mergeCell ref="X2:AC2"/>
    <mergeCell ref="A2:A3"/>
    <mergeCell ref="A4:A19"/>
    <mergeCell ref="A20:A33"/>
    <mergeCell ref="A34:A42"/>
    <mergeCell ref="A43:A84"/>
    <mergeCell ref="A85:A92"/>
    <mergeCell ref="A93:A101"/>
    <mergeCell ref="A102:A108"/>
    <mergeCell ref="A109:A157"/>
    <mergeCell ref="A158:A163"/>
    <mergeCell ref="A164:A225"/>
    <mergeCell ref="A226:A230"/>
    <mergeCell ref="A231:A234"/>
    <mergeCell ref="A235:A278"/>
    <mergeCell ref="A279:A343"/>
    <mergeCell ref="A344:A353"/>
    <mergeCell ref="A354:A366"/>
    <mergeCell ref="A367:A370"/>
    <mergeCell ref="A371:A378"/>
    <mergeCell ref="A379:A420"/>
    <mergeCell ref="A421:A423"/>
    <mergeCell ref="A424:A513"/>
    <mergeCell ref="A514:A527"/>
    <mergeCell ref="A528:A598"/>
    <mergeCell ref="A599:A695"/>
    <mergeCell ref="A697:A710"/>
    <mergeCell ref="A711:A765"/>
    <mergeCell ref="A766:A776"/>
    <mergeCell ref="A777:A818"/>
    <mergeCell ref="A819:A827"/>
    <mergeCell ref="A828:A909"/>
    <mergeCell ref="A910:A974"/>
    <mergeCell ref="A975:A1039"/>
    <mergeCell ref="A1040:A1065"/>
    <mergeCell ref="B2:B3"/>
    <mergeCell ref="B4:B19"/>
    <mergeCell ref="B20:B33"/>
    <mergeCell ref="B34:B42"/>
    <mergeCell ref="B43:B84"/>
    <mergeCell ref="B85:B92"/>
    <mergeCell ref="B93:B101"/>
    <mergeCell ref="B102:B108"/>
    <mergeCell ref="B109:B157"/>
    <mergeCell ref="B158:B163"/>
    <mergeCell ref="B164:B225"/>
    <mergeCell ref="B226:B230"/>
    <mergeCell ref="B231:B234"/>
    <mergeCell ref="B235:B278"/>
    <mergeCell ref="B279:B343"/>
    <mergeCell ref="B344:B353"/>
    <mergeCell ref="B354:B366"/>
    <mergeCell ref="B367:B370"/>
    <mergeCell ref="B371:B378"/>
    <mergeCell ref="B379:B420"/>
    <mergeCell ref="B421:B423"/>
    <mergeCell ref="B424:B513"/>
    <mergeCell ref="B514:B527"/>
    <mergeCell ref="B528:B598"/>
    <mergeCell ref="B599:B695"/>
    <mergeCell ref="B697:B710"/>
    <mergeCell ref="B711:B765"/>
    <mergeCell ref="B766:B776"/>
    <mergeCell ref="B777:B818"/>
    <mergeCell ref="B819:B827"/>
    <mergeCell ref="B828:B909"/>
    <mergeCell ref="B910:B974"/>
    <mergeCell ref="B975:B1039"/>
    <mergeCell ref="B1040:B1065"/>
    <mergeCell ref="C2:C3"/>
    <mergeCell ref="D2:D3"/>
    <mergeCell ref="E2:E3"/>
    <mergeCell ref="F2:F3"/>
    <mergeCell ref="G2:G3"/>
    <mergeCell ref="H2:H3"/>
    <mergeCell ref="P2:P3"/>
    <mergeCell ref="P4:P19"/>
    <mergeCell ref="P20:P33"/>
    <mergeCell ref="P34:P42"/>
    <mergeCell ref="P43:P84"/>
    <mergeCell ref="P85:P92"/>
    <mergeCell ref="P93:P101"/>
    <mergeCell ref="P102:P108"/>
    <mergeCell ref="P109:P157"/>
    <mergeCell ref="P158:P163"/>
    <mergeCell ref="P164:P225"/>
    <mergeCell ref="P226:P230"/>
    <mergeCell ref="P231:P234"/>
    <mergeCell ref="P235:P278"/>
    <mergeCell ref="P279:P343"/>
    <mergeCell ref="P344:P353"/>
    <mergeCell ref="P354:P366"/>
    <mergeCell ref="P367:P370"/>
    <mergeCell ref="P371:P378"/>
    <mergeCell ref="P379:P420"/>
    <mergeCell ref="P421:P423"/>
    <mergeCell ref="P424:P513"/>
    <mergeCell ref="P514:P527"/>
    <mergeCell ref="P528:P598"/>
    <mergeCell ref="P599:P695"/>
    <mergeCell ref="P697:P710"/>
    <mergeCell ref="P711:P765"/>
    <mergeCell ref="P766:P776"/>
    <mergeCell ref="P777:P818"/>
    <mergeCell ref="P819:P827"/>
    <mergeCell ref="P828:P909"/>
    <mergeCell ref="P910:P974"/>
    <mergeCell ref="P975:P1039"/>
    <mergeCell ref="P1040:P1065"/>
    <mergeCell ref="Q4:Q19"/>
    <mergeCell ref="Q20:Q33"/>
    <mergeCell ref="Q34:Q42"/>
    <mergeCell ref="Q43:Q84"/>
    <mergeCell ref="Q85:Q92"/>
    <mergeCell ref="Q93:Q101"/>
    <mergeCell ref="Q102:Q108"/>
    <mergeCell ref="Q109:Q157"/>
    <mergeCell ref="Q158:Q163"/>
    <mergeCell ref="Q164:Q225"/>
    <mergeCell ref="Q226:Q230"/>
    <mergeCell ref="Q231:Q234"/>
    <mergeCell ref="Q235:Q278"/>
    <mergeCell ref="Q279:Q343"/>
    <mergeCell ref="Q344:Q353"/>
    <mergeCell ref="Q354:Q366"/>
    <mergeCell ref="Q367:Q370"/>
    <mergeCell ref="Q371:Q378"/>
    <mergeCell ref="Q379:Q420"/>
    <mergeCell ref="Q421:Q423"/>
    <mergeCell ref="Q424:Q513"/>
    <mergeCell ref="Q514:Q527"/>
    <mergeCell ref="Q528:Q598"/>
    <mergeCell ref="Q599:Q695"/>
    <mergeCell ref="Q697:Q710"/>
    <mergeCell ref="Q711:Q765"/>
    <mergeCell ref="Q766:Q776"/>
    <mergeCell ref="Q777:Q818"/>
    <mergeCell ref="Q819:Q827"/>
    <mergeCell ref="Q828:Q909"/>
    <mergeCell ref="Q910:Q974"/>
    <mergeCell ref="Q975:Q1039"/>
    <mergeCell ref="Q1040:Q1065"/>
    <mergeCell ref="V2:V3"/>
    <mergeCell ref="W2:W3"/>
    <mergeCell ref="AE2:AE3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2025-07-23T06:19:06Z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