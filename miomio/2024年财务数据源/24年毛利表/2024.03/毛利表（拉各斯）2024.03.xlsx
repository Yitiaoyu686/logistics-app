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Sheet1!$A$2:$AE$887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6" authorId="0">
      <text>
        <r>
          <rPr>
            <sz val="9"/>
            <rFont val="宋体"/>
            <charset val="134"/>
          </rPr>
          <t xml:space="preserve">预付3450转到付USD479.83
</t>
        </r>
      </text>
    </comment>
    <comment ref="M7" authorId="0">
      <text>
        <r>
          <rPr>
            <sz val="9"/>
            <rFont val="宋体"/>
            <charset val="134"/>
          </rPr>
          <t xml:space="preserve">预付17140转到付USD2383.86
</t>
        </r>
      </text>
    </comment>
    <comment ref="M20" authorId="0">
      <text>
        <r>
          <rPr>
            <sz val="9"/>
            <rFont val="宋体"/>
            <charset val="134"/>
          </rPr>
          <t xml:space="preserve">预付125转到付USD17.38
</t>
        </r>
      </text>
    </comment>
    <comment ref="J43" authorId="0">
      <text>
        <r>
          <rPr>
            <sz val="9"/>
            <rFont val="宋体"/>
            <charset val="134"/>
          </rPr>
          <t xml:space="preserve">240229000020/240229000021合计51840.
</t>
        </r>
      </text>
    </comment>
    <comment ref="J44" authorId="0">
      <text>
        <r>
          <rPr>
            <sz val="9"/>
            <rFont val="宋体"/>
            <charset val="134"/>
          </rPr>
          <t xml:space="preserve">240229000020/240229000021合计51840.
</t>
        </r>
      </text>
    </comment>
    <comment ref="M46" authorId="0">
      <text>
        <r>
          <rPr>
            <sz val="9"/>
            <rFont val="宋体"/>
            <charset val="134"/>
          </rPr>
          <t xml:space="preserve">预付14810转到付USD2059.8
</t>
        </r>
      </text>
    </comment>
    <comment ref="M55" authorId="0">
      <text>
        <r>
          <rPr>
            <sz val="9"/>
            <rFont val="宋体"/>
            <charset val="134"/>
          </rPr>
          <t xml:space="preserve">预付2317.5转到付USD322.32
</t>
        </r>
      </text>
    </comment>
    <comment ref="M65" authorId="0">
      <text>
        <r>
          <rPr>
            <sz val="9"/>
            <rFont val="宋体"/>
            <charset val="134"/>
          </rPr>
          <t>预付285.6转到付USD39.72</t>
        </r>
      </text>
    </comment>
    <comment ref="M72" authorId="0">
      <text>
        <r>
          <rPr>
            <sz val="9"/>
            <rFont val="宋体"/>
            <charset val="134"/>
          </rPr>
          <t xml:space="preserve">预付30310转到付USD4215.57
</t>
        </r>
      </text>
    </comment>
    <comment ref="M80" authorId="0">
      <text>
        <r>
          <rPr>
            <sz val="9"/>
            <rFont val="宋体"/>
            <charset val="134"/>
          </rPr>
          <t xml:space="preserve">预付2773转到付USD385.67.
</t>
        </r>
      </text>
    </comment>
    <comment ref="M86" authorId="0">
      <text>
        <r>
          <rPr>
            <sz val="9"/>
            <rFont val="宋体"/>
            <charset val="134"/>
          </rPr>
          <t>预付45转到付USD6.25</t>
        </r>
      </text>
    </comment>
    <comment ref="J94" authorId="0">
      <text>
        <r>
          <rPr>
            <sz val="9"/>
            <rFont val="宋体"/>
            <charset val="134"/>
          </rPr>
          <t xml:space="preserve">240308000034 AND 240228000011合计923666.
</t>
        </r>
      </text>
    </comment>
    <comment ref="M94" authorId="0">
      <text>
        <r>
          <rPr>
            <sz val="9"/>
            <rFont val="宋体"/>
            <charset val="134"/>
          </rPr>
          <t xml:space="preserve">预付3211转到付USD446.59.
</t>
        </r>
      </text>
    </comment>
    <comment ref="J95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M95" authorId="0">
      <text>
        <r>
          <rPr>
            <sz val="9"/>
            <rFont val="宋体"/>
            <charset val="134"/>
          </rPr>
          <t xml:space="preserve">预付42转到付USD5.84
</t>
        </r>
      </text>
    </comment>
    <comment ref="J101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M101" authorId="0">
      <text>
        <r>
          <rPr>
            <sz val="9"/>
            <rFont val="宋体"/>
            <charset val="134"/>
          </rPr>
          <t xml:space="preserve">预付63转到付USD8.76
</t>
        </r>
      </text>
    </comment>
    <comment ref="M102" authorId="0">
      <text>
        <r>
          <rPr>
            <sz val="9"/>
            <rFont val="宋体"/>
            <charset val="134"/>
          </rPr>
          <t xml:space="preserve">预付423转到付SD58.83
</t>
        </r>
      </text>
    </comment>
    <comment ref="J103" authorId="0">
      <text>
        <r>
          <rPr>
            <sz val="9"/>
            <rFont val="宋体"/>
            <charset val="134"/>
          </rPr>
          <t xml:space="preserve">合计2096022.5.
</t>
        </r>
      </text>
    </comment>
    <comment ref="M103" authorId="0">
      <text>
        <r>
          <rPr>
            <sz val="9"/>
            <rFont val="宋体"/>
            <charset val="134"/>
          </rPr>
          <t xml:space="preserve">预付420转到付USD58.41
</t>
        </r>
      </text>
    </comment>
    <comment ref="J107" authorId="0">
      <text>
        <r>
          <rPr>
            <sz val="9"/>
            <rFont val="宋体"/>
            <charset val="134"/>
          </rPr>
          <t xml:space="preserve">240221000003/240305000004/240301000022合计38400.
</t>
        </r>
      </text>
    </comment>
    <comment ref="J109" authorId="0">
      <text>
        <r>
          <rPr>
            <sz val="9"/>
            <rFont val="宋体"/>
            <charset val="134"/>
          </rPr>
          <t>240301000030/240307000005合计301942</t>
        </r>
      </text>
    </comment>
    <comment ref="M109" authorId="0">
      <text>
        <r>
          <rPr>
            <sz val="9"/>
            <rFont val="宋体"/>
            <charset val="134"/>
          </rPr>
          <t xml:space="preserve">预付842转到付USD117.1
</t>
        </r>
      </text>
    </comment>
    <comment ref="M113" authorId="0">
      <text>
        <r>
          <rPr>
            <sz val="9"/>
            <rFont val="宋体"/>
            <charset val="134"/>
          </rPr>
          <t xml:space="preserve">预付268转到付USD37.27
</t>
        </r>
      </text>
    </comment>
    <comment ref="M119" authorId="0">
      <text>
        <r>
          <rPr>
            <sz val="9"/>
            <rFont val="宋体"/>
            <charset val="134"/>
          </rPr>
          <t xml:space="preserve">预付2444转到付USD339.91
</t>
        </r>
      </text>
    </comment>
    <comment ref="I126" authorId="0">
      <text>
        <r>
          <rPr>
            <sz val="9"/>
            <rFont val="宋体"/>
            <charset val="134"/>
          </rPr>
          <t xml:space="preserve">到付USDS68.25转预付492
</t>
        </r>
      </text>
    </comment>
    <comment ref="J129" authorId="0">
      <text>
        <r>
          <rPr>
            <sz val="9"/>
            <rFont val="宋体"/>
            <charset val="134"/>
          </rPr>
          <t>240226000017/240229000005合计4694023.</t>
        </r>
      </text>
    </comment>
    <comment ref="M129" authorId="0">
      <text>
        <r>
          <rPr>
            <sz val="9"/>
            <rFont val="宋体"/>
            <charset val="134"/>
          </rPr>
          <t xml:space="preserve">预付14847转到付USD2064.95
</t>
        </r>
      </text>
    </comment>
    <comment ref="M130" authorId="0">
      <text>
        <r>
          <rPr>
            <sz val="9"/>
            <rFont val="宋体"/>
            <charset val="134"/>
          </rPr>
          <t xml:space="preserve">预付168转到付USD23.36
</t>
        </r>
      </text>
    </comment>
    <comment ref="M132" authorId="0">
      <text>
        <r>
          <rPr>
            <sz val="9"/>
            <rFont val="宋体"/>
            <charset val="134"/>
          </rPr>
          <t xml:space="preserve">预付332转到付USD46.17
</t>
        </r>
      </text>
    </comment>
    <comment ref="M133" authorId="0">
      <text>
        <r>
          <rPr>
            <sz val="9"/>
            <rFont val="宋体"/>
            <charset val="134"/>
          </rPr>
          <t xml:space="preserve">预付594转到付USD82.61
</t>
        </r>
      </text>
    </comment>
    <comment ref="M135" authorId="0">
      <text>
        <r>
          <rPr>
            <sz val="9"/>
            <rFont val="宋体"/>
            <charset val="134"/>
          </rPr>
          <t xml:space="preserve">预付688转到付USD95.68
</t>
        </r>
      </text>
    </comment>
    <comment ref="J141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M141" authorId="0">
      <text>
        <r>
          <rPr>
            <sz val="9"/>
            <rFont val="宋体"/>
            <charset val="134"/>
          </rPr>
          <t xml:space="preserve">预付336转到付USD46.73
</t>
        </r>
      </text>
    </comment>
    <comment ref="J144" authorId="0">
      <text>
        <r>
          <rPr>
            <sz val="9"/>
            <rFont val="宋体"/>
            <charset val="134"/>
          </rPr>
          <t xml:space="preserve">合计2096022.5.
</t>
        </r>
      </text>
    </comment>
    <comment ref="M144" authorId="0">
      <text>
        <r>
          <rPr>
            <sz val="9"/>
            <rFont val="宋体"/>
            <charset val="134"/>
          </rPr>
          <t xml:space="preserve">预付1680转到付USD233.65
</t>
        </r>
      </text>
    </comment>
    <comment ref="M149" authorId="0">
      <text>
        <r>
          <rPr>
            <sz val="9"/>
            <rFont val="宋体"/>
            <charset val="134"/>
          </rPr>
          <t xml:space="preserve">预付8302.5转到付USD1154.72.
</t>
        </r>
      </text>
    </comment>
    <comment ref="J154" authorId="0">
      <text>
        <r>
          <rPr>
            <sz val="9"/>
            <rFont val="宋体"/>
            <charset val="134"/>
          </rPr>
          <t xml:space="preserve">240226000017/240229000005合计4694023.
</t>
        </r>
      </text>
    </comment>
    <comment ref="M154" authorId="0">
      <text>
        <r>
          <rPr>
            <sz val="9"/>
            <rFont val="宋体"/>
            <charset val="134"/>
          </rPr>
          <t xml:space="preserve">预付5754转到付USD800.27
</t>
        </r>
      </text>
    </comment>
    <comment ref="J155" authorId="0">
      <text>
        <r>
          <rPr>
            <sz val="9"/>
            <rFont val="宋体"/>
            <charset val="134"/>
          </rPr>
          <t xml:space="preserve">合计2096022.5
</t>
        </r>
      </text>
    </comment>
    <comment ref="M155" authorId="0">
      <text>
        <r>
          <rPr>
            <sz val="9"/>
            <rFont val="宋体"/>
            <charset val="134"/>
          </rPr>
          <t xml:space="preserve">预付3864转到付USD537.41
</t>
        </r>
      </text>
    </comment>
    <comment ref="M157" authorId="0">
      <text>
        <r>
          <rPr>
            <sz val="9"/>
            <rFont val="宋体"/>
            <charset val="134"/>
          </rPr>
          <t xml:space="preserve">预付3094转到付USD430.31
</t>
        </r>
      </text>
    </comment>
    <comment ref="M161" authorId="0">
      <text>
        <r>
          <rPr>
            <sz val="9"/>
            <rFont val="宋体"/>
            <charset val="134"/>
          </rPr>
          <t xml:space="preserve">预付172.5转到付USD23.99
</t>
        </r>
      </text>
    </comment>
    <comment ref="J165" authorId="0">
      <text>
        <r>
          <rPr>
            <sz val="9"/>
            <rFont val="宋体"/>
            <charset val="134"/>
          </rPr>
          <t xml:space="preserve">240302000016/240303000003合计116608
</t>
        </r>
      </text>
    </comment>
    <comment ref="J168" authorId="0">
      <text>
        <r>
          <rPr>
            <sz val="9"/>
            <rFont val="宋体"/>
            <charset val="134"/>
          </rPr>
          <t xml:space="preserve">240302000016/240303000003合计116608.
</t>
        </r>
      </text>
    </comment>
    <comment ref="M169" authorId="0">
      <text>
        <r>
          <rPr>
            <sz val="9"/>
            <rFont val="宋体"/>
            <charset val="134"/>
          </rPr>
          <t xml:space="preserve">预付2127.5转到付USD295.89
</t>
        </r>
      </text>
    </comment>
    <comment ref="M170" authorId="0">
      <text>
        <r>
          <rPr>
            <sz val="9"/>
            <rFont val="宋体"/>
            <charset val="134"/>
          </rPr>
          <t xml:space="preserve">预付1667.5转到付USD231.91
</t>
        </r>
      </text>
    </comment>
    <comment ref="M176" authorId="0">
      <text>
        <r>
          <rPr>
            <sz val="9"/>
            <rFont val="宋体"/>
            <charset val="134"/>
          </rPr>
          <t xml:space="preserve">预付420转到付USD58.41
</t>
        </r>
      </text>
    </comment>
    <comment ref="M182" authorId="0">
      <text>
        <r>
          <rPr>
            <sz val="9"/>
            <rFont val="宋体"/>
            <charset val="134"/>
          </rPr>
          <t xml:space="preserve">预付9625转到付USD1338.26
</t>
        </r>
      </text>
    </comment>
    <comment ref="M191" authorId="0">
      <text>
        <r>
          <rPr>
            <sz val="9"/>
            <rFont val="宋体"/>
            <charset val="134"/>
          </rPr>
          <t xml:space="preserve">预付672.6转到付USD93.54
</t>
        </r>
      </text>
    </comment>
    <comment ref="J193" authorId="0">
      <text>
        <r>
          <rPr>
            <sz val="9"/>
            <rFont val="宋体"/>
            <charset val="134"/>
          </rPr>
          <t xml:space="preserve">240305000032/240307000016/240307000001/240304000005合计103520.
</t>
        </r>
      </text>
    </comment>
    <comment ref="M200" authorId="0">
      <text>
        <r>
          <rPr>
            <sz val="9"/>
            <rFont val="宋体"/>
            <charset val="134"/>
          </rPr>
          <t xml:space="preserve">预付70转到付USD9.73
</t>
        </r>
      </text>
    </comment>
    <comment ref="M203" authorId="0">
      <text>
        <r>
          <rPr>
            <sz val="9"/>
            <rFont val="宋体"/>
            <charset val="134"/>
          </rPr>
          <t xml:space="preserve">预付11960转到付USD1663.42
</t>
        </r>
      </text>
    </comment>
    <comment ref="J204" authorId="0">
      <text>
        <r>
          <rPr>
            <sz val="9"/>
            <rFont val="宋体"/>
            <charset val="134"/>
          </rPr>
          <t xml:space="preserve">240111000030/240112000027/240129000009/240129000011/240202000008/240202000007/240305000009/231211000060/231225000009合计7,446,710.00.
</t>
        </r>
      </text>
    </comment>
    <comment ref="M204" authorId="0">
      <text>
        <r>
          <rPr>
            <sz val="9"/>
            <rFont val="宋体"/>
            <charset val="134"/>
          </rPr>
          <t xml:space="preserve">预付1263.32转到付USD175.7
</t>
        </r>
      </text>
    </comment>
    <comment ref="K211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M214" authorId="0">
      <text>
        <r>
          <rPr>
            <sz val="9"/>
            <rFont val="宋体"/>
            <charset val="134"/>
          </rPr>
          <t xml:space="preserve">预付329转到付USD45.75
</t>
        </r>
      </text>
    </comment>
    <comment ref="M217" authorId="0">
      <text>
        <r>
          <rPr>
            <sz val="9"/>
            <rFont val="宋体"/>
            <charset val="134"/>
          </rPr>
          <t xml:space="preserve">预付120.5转到付USD16.75
</t>
        </r>
      </text>
    </comment>
    <comment ref="M220" authorId="0">
      <text>
        <r>
          <rPr>
            <sz val="9"/>
            <rFont val="宋体"/>
            <charset val="134"/>
          </rPr>
          <t xml:space="preserve">预付1786转到付USD248.4.
</t>
        </r>
      </text>
    </comment>
    <comment ref="M221" authorId="0">
      <text>
        <r>
          <rPr>
            <sz val="9"/>
            <rFont val="宋体"/>
            <charset val="134"/>
          </rPr>
          <t xml:space="preserve">预付1029转到付USD143.11
</t>
        </r>
      </text>
    </comment>
    <comment ref="M223" authorId="0">
      <text>
        <r>
          <rPr>
            <sz val="9"/>
            <rFont val="宋体"/>
            <charset val="134"/>
          </rPr>
          <t xml:space="preserve">预付1056转到付USD146.87
</t>
        </r>
      </text>
    </comment>
    <comment ref="M228" authorId="0">
      <text>
        <r>
          <rPr>
            <sz val="9"/>
            <rFont val="宋体"/>
            <charset val="134"/>
          </rPr>
          <t xml:space="preserve">预付775.5转到付USD107.85
</t>
        </r>
      </text>
    </comment>
    <comment ref="M229" authorId="0">
      <text>
        <r>
          <rPr>
            <sz val="9"/>
            <rFont val="宋体"/>
            <charset val="134"/>
          </rPr>
          <t xml:space="preserve">预付719转到付USD100
</t>
        </r>
      </text>
    </comment>
    <comment ref="M230" authorId="0">
      <text>
        <r>
          <rPr>
            <sz val="9"/>
            <rFont val="宋体"/>
            <charset val="134"/>
          </rPr>
          <t>预付19384转到付USD2695.96.</t>
        </r>
      </text>
    </comment>
    <comment ref="K238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240117000034=663.6；240126000025=100.4；240129000013=8.1；240221000006=33.5；240304000047=7.1；240314000004=107.44.合计2088.75.
</t>
        </r>
      </text>
    </comment>
    <comment ref="M242" authorId="0">
      <text>
        <r>
          <rPr>
            <sz val="9"/>
            <rFont val="宋体"/>
            <charset val="134"/>
          </rPr>
          <t xml:space="preserve">预付2234转到付USD310.7
</t>
        </r>
      </text>
    </comment>
    <comment ref="J245" authorId="0">
      <text>
        <r>
          <rPr>
            <sz val="9"/>
            <rFont val="宋体"/>
            <charset val="134"/>
          </rPr>
          <t xml:space="preserve">240221000003/240305000004/240301000022合计38400.
</t>
        </r>
      </text>
    </comment>
    <comment ref="M249" authorId="0">
      <text>
        <r>
          <rPr>
            <sz val="9"/>
            <rFont val="宋体"/>
            <charset val="134"/>
          </rPr>
          <t xml:space="preserve">预付1238.5转到付USD172.25
</t>
        </r>
      </text>
    </comment>
    <comment ref="M256" authorId="0">
      <text>
        <r>
          <rPr>
            <sz val="9"/>
            <rFont val="宋体"/>
            <charset val="134"/>
          </rPr>
          <t xml:space="preserve">预付1325转到付USD184.28
</t>
        </r>
      </text>
    </comment>
    <comment ref="J258" authorId="0">
      <text>
        <r>
          <rPr>
            <sz val="9"/>
            <rFont val="宋体"/>
            <charset val="134"/>
          </rPr>
          <t xml:space="preserve">240305000032/240307000016/240307000001/240304000005合计103520
</t>
        </r>
      </text>
    </comment>
    <comment ref="I259" authorId="0">
      <text>
        <r>
          <rPr>
            <sz val="9"/>
            <rFont val="宋体"/>
            <charset val="134"/>
          </rPr>
          <t xml:space="preserve">货物赔偿费用
</t>
        </r>
      </text>
    </comment>
    <comment ref="M260" authorId="0">
      <text>
        <r>
          <rPr>
            <sz val="9"/>
            <rFont val="宋体"/>
            <charset val="134"/>
          </rPr>
          <t xml:space="preserve">预付56转到付USD7.78
</t>
        </r>
      </text>
    </comment>
    <comment ref="I264" authorId="0">
      <text>
        <r>
          <rPr>
            <sz val="9"/>
            <rFont val="宋体"/>
            <charset val="134"/>
          </rPr>
          <t xml:space="preserve">到付USD130.17转预付950.
</t>
        </r>
      </text>
    </comment>
    <comment ref="M274" authorId="0">
      <text>
        <r>
          <rPr>
            <sz val="9"/>
            <rFont val="宋体"/>
            <charset val="134"/>
          </rPr>
          <t xml:space="preserve">预付1722转到付USD239.5
</t>
        </r>
      </text>
    </comment>
    <comment ref="M276" authorId="0">
      <text>
        <r>
          <rPr>
            <sz val="9"/>
            <rFont val="宋体"/>
            <charset val="134"/>
          </rPr>
          <t xml:space="preserve">预付945转到付USD131.43
</t>
        </r>
      </text>
    </comment>
    <comment ref="I280" authorId="0">
      <text>
        <r>
          <rPr>
            <sz val="9"/>
            <rFont val="宋体"/>
            <charset val="134"/>
          </rPr>
          <t>到付USD268.57转预付1918.</t>
        </r>
      </text>
    </comment>
    <comment ref="J286" authorId="0">
      <text>
        <r>
          <rPr>
            <sz val="9"/>
            <rFont val="宋体"/>
            <charset val="134"/>
          </rPr>
          <t xml:space="preserve">240305000032/240307000016/240307000001/240304000005合计103520
</t>
        </r>
      </text>
    </comment>
    <comment ref="J288" authorId="0">
      <text>
        <r>
          <rPr>
            <sz val="9"/>
            <rFont val="宋体"/>
            <charset val="134"/>
          </rPr>
          <t xml:space="preserve">240307000004/240308000005合计1217744.
</t>
        </r>
      </text>
    </comment>
    <comment ref="J289" authorId="0">
      <text>
        <r>
          <rPr>
            <sz val="9"/>
            <rFont val="宋体"/>
            <charset val="134"/>
          </rPr>
          <t xml:space="preserve">240301000030/240307000005合计301942
</t>
        </r>
      </text>
    </comment>
    <comment ref="M289" authorId="0">
      <text>
        <r>
          <rPr>
            <sz val="9"/>
            <rFont val="宋体"/>
            <charset val="134"/>
          </rPr>
          <t xml:space="preserve">预付512转到付USD71.21
</t>
        </r>
      </text>
    </comment>
    <comment ref="M291" authorId="0">
      <text>
        <r>
          <rPr>
            <sz val="9"/>
            <rFont val="宋体"/>
            <charset val="134"/>
          </rPr>
          <t xml:space="preserve">预付376转到付USD52.29.
</t>
        </r>
      </text>
    </comment>
    <comment ref="J292" authorId="0">
      <text>
        <r>
          <rPr>
            <sz val="9"/>
            <rFont val="宋体"/>
            <charset val="134"/>
          </rPr>
          <t xml:space="preserve">240315000015=RMB106321.48=N19669473.80
240323000002=RMB1125=N208,125.00
PP to CC
240307000010=RMB65=N12,025.00合计19889623.8
</t>
        </r>
      </text>
    </comment>
    <comment ref="J295" authorId="0">
      <text>
        <r>
          <rPr>
            <sz val="9"/>
            <rFont val="宋体"/>
            <charset val="134"/>
          </rPr>
          <t xml:space="preserve">240307000015/240307000017合计52948.5.
</t>
        </r>
      </text>
    </comment>
    <comment ref="J296" authorId="0">
      <text>
        <r>
          <rPr>
            <sz val="9"/>
            <rFont val="宋体"/>
            <charset val="134"/>
          </rPr>
          <t xml:space="preserve">240305000032/240307000016/240307000001/240304000005合计103520.
</t>
        </r>
      </text>
    </comment>
    <comment ref="J297" authorId="0">
      <text>
        <r>
          <rPr>
            <sz val="9"/>
            <rFont val="宋体"/>
            <charset val="134"/>
          </rPr>
          <t xml:space="preserve">240307000015/240307000017合计52948.5.
</t>
        </r>
      </text>
    </comment>
    <comment ref="M302" authorId="0">
      <text>
        <r>
          <rPr>
            <sz val="9"/>
            <rFont val="宋体"/>
            <charset val="134"/>
          </rPr>
          <t xml:space="preserve">预付644转 到付USD89.56
</t>
        </r>
      </text>
    </comment>
    <comment ref="M303" authorId="0">
      <text>
        <r>
          <rPr>
            <sz val="9"/>
            <rFont val="宋体"/>
            <charset val="134"/>
          </rPr>
          <t xml:space="preserve">预付906转到付USD126
</t>
        </r>
      </text>
    </comment>
    <comment ref="M305" authorId="0">
      <text>
        <r>
          <rPr>
            <sz val="9"/>
            <rFont val="宋体"/>
            <charset val="134"/>
          </rPr>
          <t xml:space="preserve">预付4888转到付USD679.83
</t>
        </r>
      </text>
    </comment>
    <comment ref="J308" authorId="0">
      <text>
        <r>
          <rPr>
            <sz val="9"/>
            <rFont val="宋体"/>
            <charset val="134"/>
          </rPr>
          <t xml:space="preserve">240307000004/240308000005合计1217744.
</t>
        </r>
      </text>
    </comment>
    <comment ref="M313" authorId="0">
      <text>
        <r>
          <rPr>
            <sz val="9"/>
            <rFont val="宋体"/>
            <charset val="134"/>
          </rPr>
          <t xml:space="preserve">预付2.5转到付USD28.16.
</t>
        </r>
      </text>
    </comment>
    <comment ref="J315" authorId="0">
      <text>
        <r>
          <rPr>
            <sz val="9"/>
            <rFont val="宋体"/>
            <charset val="134"/>
          </rPr>
          <t xml:space="preserve">240311000043/240308000027/240220000015合计119394.2.
</t>
        </r>
      </text>
    </comment>
    <comment ref="M315" authorId="0">
      <text>
        <r>
          <rPr>
            <sz val="9"/>
            <rFont val="宋体"/>
            <charset val="134"/>
          </rPr>
          <t xml:space="preserve">预付73.5转到付USD10.22
</t>
        </r>
      </text>
    </comment>
    <comment ref="M316" authorId="0">
      <text>
        <r>
          <rPr>
            <sz val="9"/>
            <rFont val="宋体"/>
            <charset val="134"/>
          </rPr>
          <t xml:space="preserve">预付90转到付USD12.51
</t>
        </r>
      </text>
    </comment>
    <comment ref="J317" authorId="0">
      <text>
        <r>
          <rPr>
            <sz val="9"/>
            <rFont val="宋体"/>
            <charset val="134"/>
          </rPr>
          <t xml:space="preserve">240308000034 AND 240228000011合计923666.
</t>
        </r>
      </text>
    </comment>
    <comment ref="M317" authorId="0">
      <text>
        <r>
          <rPr>
            <sz val="9"/>
            <rFont val="宋体"/>
            <charset val="134"/>
          </rPr>
          <t xml:space="preserve">预付931转到付USD129.48.
</t>
        </r>
      </text>
    </comment>
    <comment ref="M320" authorId="0">
      <text>
        <r>
          <rPr>
            <sz val="9"/>
            <rFont val="宋体"/>
            <charset val="134"/>
          </rPr>
          <t xml:space="preserve">预付1598转到付USD222.25
</t>
        </r>
      </text>
    </comment>
    <comment ref="M322" authorId="0">
      <text>
        <r>
          <rPr>
            <sz val="9"/>
            <rFont val="宋体"/>
            <charset val="134"/>
          </rPr>
          <t xml:space="preserve">预付180转到付USD25.03
</t>
        </r>
      </text>
    </comment>
    <comment ref="J325" authorId="0">
      <text>
        <r>
          <rPr>
            <sz val="9"/>
            <rFont val="宋体"/>
            <charset val="134"/>
          </rPr>
          <t xml:space="preserve">240304000009 and 240304000011合计458052.
</t>
        </r>
      </text>
    </comment>
    <comment ref="M325" authorId="0">
      <text>
        <r>
          <rPr>
            <sz val="9"/>
            <rFont val="宋体"/>
            <charset val="134"/>
          </rPr>
          <t xml:space="preserve">预付1177.2转到付USD163.72
</t>
        </r>
      </text>
    </comment>
    <comment ref="J326" authorId="0">
      <text>
        <r>
          <rPr>
            <sz val="9"/>
            <rFont val="宋体"/>
            <charset val="134"/>
          </rPr>
          <t xml:space="preserve">240304000009 and 240304000011合计458052.
</t>
        </r>
      </text>
    </comment>
    <comment ref="M326" authorId="0">
      <text>
        <r>
          <rPr>
            <sz val="9"/>
            <rFont val="宋体"/>
            <charset val="134"/>
          </rPr>
          <t xml:space="preserve">预付1057.2转到付USD147.03
</t>
        </r>
      </text>
    </comment>
    <comment ref="J327" authorId="0">
      <text>
        <r>
          <rPr>
            <sz val="9"/>
            <rFont val="宋体"/>
            <charset val="134"/>
          </rPr>
          <t xml:space="preserve">240326000007=RMB660=N120,780.00
240304000014=RMB:4569.96=N836,303.5合计957083.5
</t>
        </r>
      </text>
    </comment>
    <comment ref="M327" authorId="0">
      <text>
        <r>
          <rPr>
            <sz val="9"/>
            <rFont val="宋体"/>
            <charset val="134"/>
          </rPr>
          <t xml:space="preserve">预付4569.96转到付USD635.59
</t>
        </r>
      </text>
    </comment>
    <comment ref="M343" authorId="0">
      <text>
        <r>
          <rPr>
            <sz val="9"/>
            <rFont val="宋体"/>
            <charset val="134"/>
          </rPr>
          <t xml:space="preserve">预付60转到付USD8.34
</t>
        </r>
      </text>
    </comment>
    <comment ref="J344" authorId="0">
      <text>
        <r>
          <rPr>
            <sz val="9"/>
            <rFont val="宋体"/>
            <charset val="134"/>
          </rPr>
          <t xml:space="preserve">240306000021=5,610.00=N1,037,850.00
240307000040= 390.00=N72,150.00
240318000055=3,454.50=N639,082.00
240319000005=325.00=N60,125.00合计1809207.
</t>
        </r>
      </text>
    </comment>
    <comment ref="M344" authorId="0">
      <text>
        <r>
          <rPr>
            <sz val="9"/>
            <rFont val="宋体"/>
            <charset val="134"/>
          </rPr>
          <t xml:space="preserve">预付5610转到付USD780.25
</t>
        </r>
      </text>
    </comment>
    <comment ref="M353" authorId="0">
      <text>
        <r>
          <rPr>
            <sz val="9"/>
            <rFont val="宋体"/>
            <charset val="134"/>
          </rPr>
          <t xml:space="preserve">预付390转到付USD54.24
</t>
        </r>
      </text>
    </comment>
    <comment ref="J368" authorId="0">
      <text>
        <r>
          <rPr>
            <sz val="9"/>
            <rFont val="宋体"/>
            <charset val="134"/>
          </rPr>
          <t xml:space="preserve">240311000043/240308000027/240220000015合计119394.2
</t>
        </r>
      </text>
    </comment>
    <comment ref="M368" authorId="0">
      <text>
        <r>
          <rPr>
            <sz val="9"/>
            <rFont val="宋体"/>
            <charset val="134"/>
          </rPr>
          <t xml:space="preserve">预付172.5转到付USD23.99
</t>
        </r>
      </text>
    </comment>
    <comment ref="M409" authorId="0">
      <text>
        <r>
          <rPr>
            <sz val="9"/>
            <rFont val="宋体"/>
            <charset val="134"/>
          </rPr>
          <t xml:space="preserve">预付2175转到付USD302.5
</t>
        </r>
      </text>
    </comment>
    <comment ref="M421" authorId="0">
      <text>
        <r>
          <rPr>
            <b/>
            <sz val="9"/>
            <rFont val="宋体"/>
            <charset val="134"/>
          </rPr>
          <t>3预付3232转到付USD449.51</t>
        </r>
        <r>
          <rPr>
            <sz val="9"/>
            <rFont val="宋体"/>
            <charset val="134"/>
          </rPr>
          <t xml:space="preserve">
</t>
        </r>
      </text>
    </comment>
    <comment ref="M422" authorId="0">
      <text>
        <r>
          <rPr>
            <sz val="9"/>
            <rFont val="宋体"/>
            <charset val="134"/>
          </rPr>
          <t>预付3836转到付USD533.51</t>
        </r>
      </text>
    </comment>
    <comment ref="I423" authorId="0">
      <text>
        <r>
          <rPr>
            <sz val="9"/>
            <rFont val="宋体"/>
            <charset val="134"/>
          </rPr>
          <t xml:space="preserve">到付USD4425转预付31860
</t>
        </r>
      </text>
    </comment>
    <comment ref="M435" authorId="0">
      <text>
        <r>
          <rPr>
            <sz val="9"/>
            <rFont val="宋体"/>
            <charset val="134"/>
          </rPr>
          <t xml:space="preserve">预付787.5转到付USD109.52
</t>
        </r>
      </text>
    </comment>
    <comment ref="M446" authorId="0">
      <text>
        <r>
          <rPr>
            <sz val="9"/>
            <rFont val="宋体"/>
            <charset val="134"/>
          </rPr>
          <t xml:space="preserve">预付1650转到付USD229.48.
</t>
        </r>
      </text>
    </comment>
    <comment ref="M447" authorId="0">
      <text>
        <r>
          <rPr>
            <sz val="9"/>
            <rFont val="宋体"/>
            <charset val="134"/>
          </rPr>
          <t xml:space="preserve">预付8440转到付USD1173.85.
</t>
        </r>
      </text>
    </comment>
    <comment ref="J448" authorId="0">
      <text>
        <r>
          <rPr>
            <sz val="9"/>
            <rFont val="宋体"/>
            <charset val="134"/>
          </rPr>
          <t xml:space="preserve">240311000020/240312000002合计41452.
</t>
        </r>
      </text>
    </comment>
    <comment ref="M461" authorId="0">
      <text>
        <r>
          <rPr>
            <sz val="9"/>
            <rFont val="宋体"/>
            <charset val="134"/>
          </rPr>
          <t xml:space="preserve">预付5350转到付USD744.08
</t>
        </r>
      </text>
    </comment>
    <comment ref="J466" authorId="0">
      <text>
        <r>
          <rPr>
            <sz val="9"/>
            <rFont val="宋体"/>
            <charset val="134"/>
          </rPr>
          <t xml:space="preserve">240311000020/240312000002合计41452.
</t>
        </r>
      </text>
    </comment>
    <comment ref="M480" authorId="0">
      <text>
        <r>
          <rPr>
            <sz val="9"/>
            <rFont val="宋体"/>
            <charset val="134"/>
          </rPr>
          <t xml:space="preserve">预付441转到付USD61.33
</t>
        </r>
      </text>
    </comment>
    <comment ref="M482" authorId="0">
      <text>
        <r>
          <rPr>
            <sz val="9"/>
            <rFont val="宋体"/>
            <charset val="134"/>
          </rPr>
          <t xml:space="preserve">预付400转到付SD55.63.
</t>
        </r>
      </text>
    </comment>
    <comment ref="M487" authorId="0">
      <text>
        <r>
          <rPr>
            <sz val="9"/>
            <rFont val="宋体"/>
            <charset val="134"/>
          </rPr>
          <t xml:space="preserve">预付1493转到付USD207.64
</t>
        </r>
      </text>
    </comment>
    <comment ref="K506" authorId="0">
      <text>
        <r>
          <rPr>
            <sz val="9"/>
            <rFont val="宋体"/>
            <charset val="134"/>
          </rPr>
          <t xml:space="preserve">240117000034=663.6；240126000025=100.4；240129000013=8.1；240221000006=33.5；240304000047=7.1；240314000004=107.44.合计2088.75
</t>
        </r>
      </text>
    </comment>
    <comment ref="M511" authorId="0">
      <text>
        <r>
          <rPr>
            <sz val="9"/>
            <rFont val="宋体"/>
            <charset val="134"/>
          </rPr>
          <t xml:space="preserve">预付1867.5转到付USD259.73.
</t>
        </r>
      </text>
    </comment>
    <comment ref="J514" authorId="0">
      <text>
        <r>
          <rPr>
            <sz val="9"/>
            <rFont val="宋体"/>
            <charset val="134"/>
          </rPr>
          <t xml:space="preserve">240314000021=RMB4550=N796,250.00
240315000019=RMB6375=N1,115,625.00
240315000043=RMB150=N26,250.00
Total：N1,938,125.00
Amount paid：N1,939,000.00
</t>
        </r>
      </text>
    </comment>
    <comment ref="M514" authorId="0">
      <text>
        <r>
          <rPr>
            <sz val="9"/>
            <rFont val="宋体"/>
            <charset val="134"/>
          </rPr>
          <t xml:space="preserve">预付4550转到付USD632.82.
</t>
        </r>
      </text>
    </comment>
    <comment ref="M515" authorId="0">
      <text>
        <r>
          <rPr>
            <sz val="9"/>
            <rFont val="宋体"/>
            <charset val="134"/>
          </rPr>
          <t>预付59转到付USD8.2.</t>
        </r>
      </text>
    </comment>
    <comment ref="M516" authorId="0">
      <text>
        <r>
          <rPr>
            <sz val="9"/>
            <rFont val="宋体"/>
            <charset val="134"/>
          </rPr>
          <t xml:space="preserve">预付228转到付USD31.71.
</t>
        </r>
      </text>
    </comment>
    <comment ref="J526" authorId="0">
      <text>
        <r>
          <rPr>
            <sz val="9"/>
            <rFont val="宋体"/>
            <charset val="134"/>
          </rPr>
          <t xml:space="preserve">240314000021=RMB4550=N796,250.00
240315000019=RMB6375=N1,115,625.00
240315000043=RMB150=N26,250.00
Total：N1,938,125.00
Amount paid：N1,939,000.00
</t>
        </r>
      </text>
    </comment>
    <comment ref="M526" authorId="0">
      <text>
        <r>
          <rPr>
            <sz val="9"/>
            <rFont val="宋体"/>
            <charset val="134"/>
          </rPr>
          <t xml:space="preserve">预付6375转到付USD886.64.
</t>
        </r>
      </text>
    </comment>
    <comment ref="M529" authorId="0">
      <text>
        <r>
          <rPr>
            <sz val="9"/>
            <rFont val="宋体"/>
            <charset val="134"/>
          </rPr>
          <t xml:space="preserve">预付399.5转到付USD55.56.
</t>
        </r>
      </text>
    </comment>
    <comment ref="M530" authorId="0">
      <text>
        <r>
          <rPr>
            <sz val="9"/>
            <rFont val="宋体"/>
            <charset val="134"/>
          </rPr>
          <t xml:space="preserve">预付706转到付USD98.19
</t>
        </r>
      </text>
    </comment>
    <comment ref="I547" authorId="0">
      <text>
        <r>
          <rPr>
            <sz val="9"/>
            <rFont val="宋体"/>
            <charset val="134"/>
          </rPr>
          <t xml:space="preserve">到付USD182.04转预付1322.5
</t>
        </r>
      </text>
    </comment>
    <comment ref="J565" authorId="0">
      <text>
        <r>
          <rPr>
            <sz val="9"/>
            <rFont val="宋体"/>
            <charset val="134"/>
          </rPr>
          <t xml:space="preserve">240314000021=RMB4550=N796,250.00
240315000019=RMB6375=N1,115,625.00
240315000043=RMB150=N26,250.00
Total：N1,938,125.00
Amount paid：N1,939,000.00
</t>
        </r>
      </text>
    </comment>
    <comment ref="M565" authorId="0">
      <text>
        <r>
          <rPr>
            <sz val="9"/>
            <rFont val="宋体"/>
            <charset val="134"/>
          </rPr>
          <t xml:space="preserve">预付150转到付USD20.86
</t>
        </r>
      </text>
    </comment>
    <comment ref="I567" authorId="0">
      <text>
        <r>
          <rPr>
            <b/>
            <sz val="9"/>
            <rFont val="宋体"/>
            <charset val="134"/>
          </rPr>
          <t>29/4支付16576.45欠5631.05.</t>
        </r>
        <r>
          <rPr>
            <sz val="9"/>
            <rFont val="宋体"/>
            <charset val="134"/>
          </rPr>
          <t xml:space="preserve">
</t>
        </r>
      </text>
    </comment>
    <comment ref="I569" authorId="0">
      <text>
        <r>
          <rPr>
            <sz val="9"/>
            <rFont val="宋体"/>
            <charset val="134"/>
          </rPr>
          <t xml:space="preserve">到付USD132.68转预付734.
</t>
        </r>
      </text>
    </comment>
    <comment ref="J574" authorId="0">
      <text>
        <r>
          <rPr>
            <sz val="9"/>
            <rFont val="宋体"/>
            <charset val="134"/>
          </rPr>
          <t xml:space="preserve">240320000025/240318000078/240318000079合计90204
</t>
        </r>
      </text>
    </comment>
    <comment ref="J575" authorId="0">
      <text>
        <r>
          <rPr>
            <sz val="9"/>
            <rFont val="宋体"/>
            <charset val="134"/>
          </rPr>
          <t xml:space="preserve">240320000025/240318000078/240318000079合计90204.
</t>
        </r>
      </text>
    </comment>
    <comment ref="M596" authorId="0">
      <text>
        <r>
          <rPr>
            <sz val="9"/>
            <rFont val="宋体"/>
            <charset val="134"/>
          </rPr>
          <t xml:space="preserve">预付159.6转到付USD22.19.
</t>
        </r>
      </text>
    </comment>
    <comment ref="J599" authorId="0">
      <text>
        <r>
          <rPr>
            <sz val="9"/>
            <rFont val="宋体"/>
            <charset val="134"/>
          </rPr>
          <t xml:space="preserve">240318000025=19,983.6  240318000030=50,425.65合计70409.25
</t>
        </r>
      </text>
    </comment>
    <comment ref="M599" authorId="0">
      <text>
        <r>
          <rPr>
            <sz val="9"/>
            <rFont val="宋体"/>
            <charset val="134"/>
          </rPr>
          <t xml:space="preserve">预付109.2转到付USD15.18.
</t>
        </r>
      </text>
    </comment>
    <comment ref="J603" authorId="0">
      <text>
        <r>
          <rPr>
            <sz val="9"/>
            <rFont val="宋体"/>
            <charset val="134"/>
          </rPr>
          <t xml:space="preserve">240318000025=19,983.6  240318000030=50,425.65合计70409.25
</t>
        </r>
      </text>
    </comment>
    <comment ref="M603" authorId="0">
      <text>
        <r>
          <rPr>
            <sz val="9"/>
            <rFont val="宋体"/>
            <charset val="134"/>
          </rPr>
          <t xml:space="preserve">预付275.55转到付USD38.32.
</t>
        </r>
      </text>
    </comment>
    <comment ref="M609" authorId="0">
      <text>
        <r>
          <rPr>
            <sz val="9"/>
            <rFont val="宋体"/>
            <charset val="134"/>
          </rPr>
          <t xml:space="preserve">预付1505转到付USD209.31
</t>
        </r>
      </text>
    </comment>
    <comment ref="M616" authorId="0">
      <text>
        <r>
          <rPr>
            <sz val="9"/>
            <rFont val="宋体"/>
            <charset val="134"/>
          </rPr>
          <t xml:space="preserve">预付675转到付USD93.88
</t>
        </r>
      </text>
    </comment>
    <comment ref="M618" authorId="0">
      <text>
        <r>
          <rPr>
            <sz val="9"/>
            <rFont val="宋体"/>
            <charset val="134"/>
          </rPr>
          <t xml:space="preserve">预付844.2转到付USD117.41.
</t>
        </r>
      </text>
    </comment>
    <comment ref="J622" authorId="0">
      <text>
        <r>
          <rPr>
            <sz val="9"/>
            <rFont val="宋体"/>
            <charset val="134"/>
          </rPr>
          <t xml:space="preserve">240319000022=RMB66=N11,946
240318000034=RMB2574=N465,894
合计：N477,840
</t>
        </r>
      </text>
    </comment>
    <comment ref="M622" authorId="0">
      <text>
        <r>
          <rPr>
            <sz val="9"/>
            <rFont val="宋体"/>
            <charset val="134"/>
          </rPr>
          <t xml:space="preserve">预付66转到付USD9.17
</t>
        </r>
      </text>
    </comment>
    <comment ref="M631" authorId="0">
      <text>
        <r>
          <rPr>
            <sz val="9"/>
            <rFont val="宋体"/>
            <charset val="134"/>
          </rPr>
          <t xml:space="preserve">预付1437.5转到付USD290375.
</t>
        </r>
      </text>
    </comment>
    <comment ref="M639" authorId="0">
      <text>
        <r>
          <rPr>
            <sz val="9"/>
            <rFont val="宋体"/>
            <charset val="134"/>
          </rPr>
          <t xml:space="preserve">预付402.5转到付USD55.98
</t>
        </r>
      </text>
    </comment>
    <comment ref="J641" authorId="0">
      <text>
        <r>
          <rPr>
            <sz val="9"/>
            <rFont val="宋体"/>
            <charset val="134"/>
          </rPr>
          <t xml:space="preserve">240320000025/240318000078/240318000079合计90204.
</t>
        </r>
      </text>
    </comment>
    <comment ref="M642" authorId="0">
      <text>
        <r>
          <rPr>
            <sz val="9"/>
            <rFont val="宋体"/>
            <charset val="134"/>
          </rPr>
          <t xml:space="preserve">预付115转到付USD15.99
</t>
        </r>
      </text>
    </comment>
    <comment ref="J647" authorId="0">
      <text>
        <r>
          <rPr>
            <sz val="9"/>
            <rFont val="宋体"/>
            <charset val="134"/>
          </rPr>
          <t xml:space="preserve">240315000015=RMB106321.48=N19669473.80
240323000002=RMB1125=N208,125.00
PP to CC
240307000010=RMB65=N12,025.00合计19889623.8.
</t>
        </r>
      </text>
    </comment>
    <comment ref="M647" authorId="0">
      <text>
        <r>
          <rPr>
            <sz val="9"/>
            <rFont val="宋体"/>
            <charset val="134"/>
          </rPr>
          <t xml:space="preserve">预付1125转 到付USD156.46
</t>
        </r>
      </text>
    </comment>
    <comment ref="M653" authorId="0">
      <text>
        <r>
          <rPr>
            <sz val="9"/>
            <rFont val="宋体"/>
            <charset val="134"/>
          </rPr>
          <t xml:space="preserve">预付6862转到付USD954.38
</t>
        </r>
      </text>
    </comment>
    <comment ref="M660" authorId="0">
      <text>
        <r>
          <rPr>
            <sz val="9"/>
            <rFont val="宋体"/>
            <charset val="134"/>
          </rPr>
          <t xml:space="preserve">预付354转到付USD49.25
</t>
        </r>
      </text>
    </comment>
    <comment ref="M661" authorId="0">
      <text>
        <r>
          <rPr>
            <sz val="9"/>
            <rFont val="宋体"/>
            <charset val="134"/>
          </rPr>
          <t xml:space="preserve">预付569.5转到付USD79.2
</t>
        </r>
      </text>
    </comment>
    <comment ref="M669" authorId="0">
      <text>
        <r>
          <rPr>
            <sz val="9"/>
            <rFont val="宋体"/>
            <charset val="134"/>
          </rPr>
          <t xml:space="preserve">预付1193转到付USD165.92
</t>
        </r>
      </text>
    </comment>
    <comment ref="I675" authorId="0">
      <text>
        <r>
          <rPr>
            <sz val="9"/>
            <rFont val="宋体"/>
            <charset val="134"/>
          </rPr>
          <t xml:space="preserve">到付USD23.39转预付170.
</t>
        </r>
      </text>
    </comment>
    <comment ref="J677" authorId="0">
      <text>
        <r>
          <rPr>
            <sz val="9"/>
            <rFont val="宋体"/>
            <charset val="134"/>
          </rPr>
          <t xml:space="preserve">240319000022=RMB66=N11,946
240318000034=RMB2574=N465,894
合计：N477,840
</t>
        </r>
      </text>
    </comment>
    <comment ref="M677" authorId="0">
      <text>
        <r>
          <rPr>
            <sz val="9"/>
            <rFont val="宋体"/>
            <charset val="134"/>
          </rPr>
          <t xml:space="preserve">预付2574转到付USD357.99
</t>
        </r>
      </text>
    </comment>
    <comment ref="M689" authorId="0">
      <text>
        <r>
          <rPr>
            <sz val="9"/>
            <rFont val="宋体"/>
            <charset val="134"/>
          </rPr>
          <t xml:space="preserve">预付3454.5转到付USD480.45
</t>
        </r>
      </text>
    </comment>
    <comment ref="M694" authorId="0">
      <text>
        <r>
          <rPr>
            <sz val="9"/>
            <rFont val="宋体"/>
            <charset val="134"/>
          </rPr>
          <t xml:space="preserve">预付182转到付USD25.31.
</t>
        </r>
      </text>
    </comment>
    <comment ref="M695" authorId="0">
      <text>
        <r>
          <rPr>
            <sz val="9"/>
            <rFont val="宋体"/>
            <charset val="134"/>
          </rPr>
          <t xml:space="preserve">预付3959.5转到付USD550.69.
</t>
        </r>
      </text>
    </comment>
    <comment ref="M696" authorId="0">
      <text>
        <r>
          <rPr>
            <sz val="9"/>
            <rFont val="宋体"/>
            <charset val="134"/>
          </rPr>
          <t xml:space="preserve">预付14469转到付USD2012.37
</t>
        </r>
      </text>
    </comment>
    <comment ref="M698" authorId="0">
      <text>
        <r>
          <rPr>
            <sz val="9"/>
            <rFont val="宋体"/>
            <charset val="134"/>
          </rPr>
          <t>预付78转到付USD10.84.</t>
        </r>
      </text>
    </comment>
    <comment ref="M703" authorId="0">
      <text>
        <r>
          <rPr>
            <sz val="9"/>
            <rFont val="宋体"/>
            <charset val="134"/>
          </rPr>
          <t xml:space="preserve">预付850转到付USD118.21.
</t>
        </r>
      </text>
    </comment>
    <comment ref="J704" authorId="0">
      <text>
        <r>
          <rPr>
            <sz val="9"/>
            <rFont val="宋体"/>
            <charset val="134"/>
          </rPr>
          <t xml:space="preserve">240306000021=5,610.00=N1,037,850.00
240307000040= 390.00=N72,150.00
240318000055=3,454.50=N639,082.00
240319000005=325.00=N60,125.00合计1809207.
</t>
        </r>
      </text>
    </comment>
    <comment ref="M704" authorId="0">
      <text>
        <r>
          <rPr>
            <sz val="9"/>
            <rFont val="宋体"/>
            <charset val="134"/>
          </rPr>
          <t>预付325转到付USD45.2</t>
        </r>
      </text>
    </comment>
    <comment ref="M708" authorId="0">
      <text>
        <r>
          <rPr>
            <sz val="9"/>
            <rFont val="宋体"/>
            <charset val="134"/>
          </rPr>
          <t xml:space="preserve">预付3685.5转到付USD512.58.
</t>
        </r>
      </text>
    </comment>
    <comment ref="M709" authorId="0">
      <text>
        <r>
          <rPr>
            <sz val="9"/>
            <rFont val="宋体"/>
            <charset val="134"/>
          </rPr>
          <t xml:space="preserve">预付108.5转到付USD15.09
</t>
        </r>
      </text>
    </comment>
    <comment ref="M716" authorId="0">
      <text>
        <r>
          <rPr>
            <sz val="9"/>
            <rFont val="宋体"/>
            <charset val="134"/>
          </rPr>
          <t xml:space="preserve">预付492.8转到付USD68.53
</t>
        </r>
      </text>
    </comment>
    <comment ref="J720" authorId="0">
      <text>
        <r>
          <rPr>
            <sz val="9"/>
            <rFont val="宋体"/>
            <charset val="134"/>
          </rPr>
          <t xml:space="preserve">240321000002  :NGN 128100
240321000003  :NGN 64050 合计192150.
</t>
        </r>
      </text>
    </comment>
    <comment ref="M720" authorId="0">
      <text>
        <r>
          <rPr>
            <sz val="9"/>
            <rFont val="宋体"/>
            <charset val="134"/>
          </rPr>
          <t xml:space="preserve">预付732转到付USD101.8
</t>
        </r>
      </text>
    </comment>
    <comment ref="J721" authorId="0">
      <text>
        <r>
          <rPr>
            <sz val="9"/>
            <rFont val="宋体"/>
            <charset val="134"/>
          </rPr>
          <t xml:space="preserve">240321000002  :NGN 128100
240321000003  :NGN 64050 合计192150.
</t>
        </r>
      </text>
    </comment>
    <comment ref="M721" authorId="0">
      <text>
        <r>
          <rPr>
            <sz val="9"/>
            <rFont val="宋体"/>
            <charset val="134"/>
          </rPr>
          <t xml:space="preserve">预付366转到付USD50.9
</t>
        </r>
      </text>
    </comment>
    <comment ref="I726" authorId="0">
      <text>
        <r>
          <rPr>
            <sz val="9"/>
            <rFont val="宋体"/>
            <charset val="134"/>
          </rPr>
          <t xml:space="preserve">到付USD27.65转预付199.
</t>
        </r>
      </text>
    </comment>
    <comment ref="J731" authorId="0">
      <text>
        <r>
          <rPr>
            <sz val="9"/>
            <rFont val="宋体"/>
            <charset val="134"/>
          </rPr>
          <t xml:space="preserve">240321000025/240326000002合计50801.
</t>
        </r>
      </text>
    </comment>
    <comment ref="M751" authorId="0">
      <text>
        <r>
          <rPr>
            <sz val="9"/>
            <rFont val="宋体"/>
            <charset val="134"/>
          </rPr>
          <t xml:space="preserve">预付700转到付USD97.35
</t>
        </r>
      </text>
    </comment>
    <comment ref="J754" authorId="0">
      <text>
        <r>
          <rPr>
            <sz val="9"/>
            <rFont val="宋体"/>
            <charset val="134"/>
          </rPr>
          <t xml:space="preserve">240319000025/240403000028合计55346.
</t>
        </r>
      </text>
    </comment>
    <comment ref="M757" authorId="0">
      <text>
        <r>
          <rPr>
            <sz val="9"/>
            <rFont val="宋体"/>
            <charset val="134"/>
          </rPr>
          <t xml:space="preserve">预付575转到付USD79.97
</t>
        </r>
      </text>
    </comment>
    <comment ref="M758" authorId="0">
      <text>
        <r>
          <rPr>
            <sz val="9"/>
            <rFont val="宋体"/>
            <charset val="134"/>
          </rPr>
          <t xml:space="preserve">预付689转到付USD95.82
</t>
        </r>
      </text>
    </comment>
    <comment ref="M759" authorId="0">
      <text>
        <r>
          <rPr>
            <sz val="9"/>
            <rFont val="宋体"/>
            <charset val="134"/>
          </rPr>
          <t xml:space="preserve">预付3484.5转到付USD484.63
</t>
        </r>
      </text>
    </comment>
    <comment ref="I771" authorId="0">
      <text>
        <r>
          <rPr>
            <sz val="9"/>
            <rFont val="宋体"/>
            <charset val="134"/>
          </rPr>
          <t xml:space="preserve">到付USD52转预付374.
</t>
        </r>
      </text>
    </comment>
    <comment ref="I775" authorId="0">
      <text>
        <r>
          <rPr>
            <sz val="9"/>
            <rFont val="宋体"/>
            <charset val="134"/>
          </rPr>
          <t xml:space="preserve">到付USD12.07转预付87.
</t>
        </r>
      </text>
    </comment>
    <comment ref="M784" authorId="0">
      <text>
        <r>
          <rPr>
            <sz val="9"/>
            <rFont val="宋体"/>
            <charset val="134"/>
          </rPr>
          <t xml:space="preserve">预付725转到付USD100.83
</t>
        </r>
      </text>
    </comment>
    <comment ref="M785" authorId="0">
      <text>
        <r>
          <rPr>
            <sz val="9"/>
            <rFont val="宋体"/>
            <charset val="134"/>
          </rPr>
          <t>预付19885转到付USD2765.64</t>
        </r>
      </text>
    </comment>
    <comment ref="M786" authorId="0">
      <text>
        <r>
          <rPr>
            <sz val="9"/>
            <rFont val="宋体"/>
            <charset val="134"/>
          </rPr>
          <t xml:space="preserve">预付446.5转到付USD62.1
</t>
        </r>
      </text>
    </comment>
    <comment ref="M787" authorId="0">
      <text>
        <r>
          <rPr>
            <sz val="9"/>
            <rFont val="宋体"/>
            <charset val="134"/>
          </rPr>
          <t xml:space="preserve">预付470转到付USD65.36
</t>
        </r>
      </text>
    </comment>
    <comment ref="J790" authorId="0">
      <text>
        <r>
          <rPr>
            <sz val="9"/>
            <rFont val="宋体"/>
            <charset val="134"/>
          </rPr>
          <t xml:space="preserve">240325000003/240322000021/240322000020合计236048
</t>
        </r>
      </text>
    </comment>
    <comment ref="J791" authorId="0">
      <text>
        <r>
          <rPr>
            <sz val="9"/>
            <rFont val="宋体"/>
            <charset val="134"/>
          </rPr>
          <t xml:space="preserve">240325000003/240322000021/240322000020合计236048.
</t>
        </r>
      </text>
    </comment>
    <comment ref="J794" authorId="0">
      <text>
        <r>
          <rPr>
            <sz val="9"/>
            <rFont val="宋体"/>
            <charset val="134"/>
          </rPr>
          <t xml:space="preserve">240323000003/240323000005合计6211660.
</t>
        </r>
      </text>
    </comment>
    <comment ref="M794" authorId="0">
      <text>
        <r>
          <rPr>
            <sz val="9"/>
            <rFont val="宋体"/>
            <charset val="134"/>
          </rPr>
          <t xml:space="preserve">预付33803转到付USD4701.39.
</t>
        </r>
      </text>
    </comment>
    <comment ref="J795" authorId="0">
      <text>
        <r>
          <rPr>
            <sz val="9"/>
            <rFont val="宋体"/>
            <charset val="134"/>
          </rPr>
          <t xml:space="preserve">240323000003/240323000005合计6211660.
</t>
        </r>
      </text>
    </comment>
    <comment ref="M795" authorId="0">
      <text>
        <r>
          <rPr>
            <sz val="9"/>
            <rFont val="宋体"/>
            <charset val="134"/>
          </rPr>
          <t xml:space="preserve">预付140.5转到付USD19.54.
</t>
        </r>
      </text>
    </comment>
    <comment ref="M796" authorId="0">
      <text>
        <r>
          <rPr>
            <sz val="9"/>
            <rFont val="宋体"/>
            <charset val="134"/>
          </rPr>
          <t xml:space="preserve">预付19871转到付USD2763.69.
</t>
        </r>
      </text>
    </comment>
    <comment ref="M801" authorId="0">
      <text>
        <r>
          <rPr>
            <sz val="9"/>
            <rFont val="宋体"/>
            <charset val="134"/>
          </rPr>
          <t xml:space="preserve">预付2426.52转到付USD337.48
</t>
        </r>
      </text>
    </comment>
    <comment ref="M803" authorId="0">
      <text>
        <r>
          <rPr>
            <sz val="9"/>
            <rFont val="宋体"/>
            <charset val="134"/>
          </rPr>
          <t xml:space="preserve">预付3633.25转到付USD505.31
</t>
        </r>
      </text>
    </comment>
    <comment ref="M806" authorId="0">
      <text>
        <r>
          <rPr>
            <sz val="9"/>
            <rFont val="宋体"/>
            <charset val="134"/>
          </rPr>
          <t xml:space="preserve">预付3738.5转到付USD591.95.
</t>
        </r>
      </text>
    </comment>
    <comment ref="J808" authorId="0">
      <text>
        <r>
          <rPr>
            <sz val="9"/>
            <rFont val="宋体"/>
            <charset val="134"/>
          </rPr>
          <t xml:space="preserve">240315000015=RMB106321.48=N19669473.80
240323000002=RMB1125=N208,125.00
PP to CC
240307000010=RMB65=N12,025.00合计19889623.8.
</t>
        </r>
      </text>
    </comment>
    <comment ref="M808" authorId="0">
      <text>
        <r>
          <rPr>
            <sz val="9"/>
            <rFont val="宋体"/>
            <charset val="134"/>
          </rPr>
          <t xml:space="preserve">预付106321.48转到付USD14787.41.
</t>
        </r>
      </text>
    </comment>
    <comment ref="J810" authorId="0">
      <text>
        <r>
          <rPr>
            <sz val="9"/>
            <rFont val="宋体"/>
            <charset val="134"/>
          </rPr>
          <t xml:space="preserve">240325000045/240323000014合计97930.
</t>
        </r>
      </text>
    </comment>
    <comment ref="J812" authorId="0">
      <text>
        <r>
          <rPr>
            <sz val="9"/>
            <rFont val="宋体"/>
            <charset val="134"/>
          </rPr>
          <t xml:space="preserve">240325000045/240323000014合计97930.
</t>
        </r>
      </text>
    </comment>
    <comment ref="M814" authorId="0">
      <text>
        <r>
          <rPr>
            <sz val="9"/>
            <rFont val="宋体"/>
            <charset val="134"/>
          </rPr>
          <t xml:space="preserve">预付180转到付USD25.03
</t>
        </r>
      </text>
    </comment>
    <comment ref="M821" authorId="0">
      <text>
        <r>
          <rPr>
            <sz val="9"/>
            <rFont val="宋体"/>
            <charset val="134"/>
          </rPr>
          <t xml:space="preserve">预付6440转到付USD895.68.
</t>
        </r>
      </text>
    </comment>
    <comment ref="M822" authorId="0">
      <text>
        <r>
          <rPr>
            <sz val="9"/>
            <rFont val="宋体"/>
            <charset val="134"/>
          </rPr>
          <t xml:space="preserve">预付115转到付USD15.99.
</t>
        </r>
      </text>
    </comment>
    <comment ref="M825" authorId="0">
      <text>
        <r>
          <rPr>
            <sz val="9"/>
            <rFont val="宋体"/>
            <charset val="134"/>
          </rPr>
          <t xml:space="preserve">预付275转到付USD38.24.
</t>
        </r>
      </text>
    </comment>
    <comment ref="M827" authorId="0">
      <text>
        <r>
          <rPr>
            <sz val="9"/>
            <rFont val="宋体"/>
            <charset val="134"/>
          </rPr>
          <t xml:space="preserve">预付2014.5转到付USD280.18.
</t>
        </r>
      </text>
    </comment>
    <comment ref="M828" authorId="0">
      <text>
        <r>
          <rPr>
            <sz val="9"/>
            <rFont val="宋体"/>
            <charset val="134"/>
          </rPr>
          <t xml:space="preserve">预付636转到付USD88.45
</t>
        </r>
      </text>
    </comment>
    <comment ref="J829" authorId="0">
      <text>
        <r>
          <rPr>
            <sz val="9"/>
            <rFont val="宋体"/>
            <charset val="134"/>
          </rPr>
          <t xml:space="preserve">240325000025=864元
240323000004=1488元
2352*175=Ｎ411,600
</t>
        </r>
      </text>
    </comment>
    <comment ref="J832" authorId="0">
      <text>
        <r>
          <rPr>
            <sz val="9"/>
            <rFont val="宋体"/>
            <charset val="134"/>
          </rPr>
          <t xml:space="preserve">240325000003/240322000021/240322000020合计236048.
</t>
        </r>
      </text>
    </comment>
    <comment ref="M838" authorId="0">
      <text>
        <r>
          <rPr>
            <sz val="9"/>
            <rFont val="宋体"/>
            <charset val="134"/>
          </rPr>
          <t xml:space="preserve">预付577.5转到付USD80.31.
</t>
        </r>
      </text>
    </comment>
    <comment ref="M839" authorId="0">
      <text>
        <r>
          <rPr>
            <sz val="9"/>
            <rFont val="宋体"/>
            <charset val="134"/>
          </rPr>
          <t xml:space="preserve">预付1130转到付USD157.16
</t>
        </r>
      </text>
    </comment>
    <comment ref="M841" authorId="0">
      <text>
        <r>
          <rPr>
            <sz val="9"/>
            <rFont val="宋体"/>
            <charset val="134"/>
          </rPr>
          <t xml:space="preserve">预付94转到付USD13.07
</t>
        </r>
      </text>
    </comment>
    <comment ref="J842" authorId="0">
      <text>
        <r>
          <rPr>
            <sz val="9"/>
            <rFont val="宋体"/>
            <charset val="134"/>
          </rPr>
          <t xml:space="preserve">240325000025=864元
240323000004=1488元
2352*175=Ｎ411,600 
</t>
        </r>
      </text>
    </comment>
    <comment ref="M842" authorId="0">
      <text>
        <r>
          <rPr>
            <sz val="9"/>
            <rFont val="宋体"/>
            <charset val="134"/>
          </rPr>
          <t xml:space="preserve">预付864转到付USD120.16.
</t>
        </r>
      </text>
    </comment>
    <comment ref="M844" authorId="0">
      <text>
        <r>
          <rPr>
            <sz val="9"/>
            <rFont val="宋体"/>
            <charset val="134"/>
          </rPr>
          <t>预付1155转到付USD160.63</t>
        </r>
      </text>
    </comment>
    <comment ref="J848" authorId="0">
      <text>
        <r>
          <rPr>
            <sz val="9"/>
            <rFont val="宋体"/>
            <charset val="134"/>
          </rPr>
          <t xml:space="preserve">240321000025/240326000002合计50801.
</t>
        </r>
      </text>
    </comment>
    <comment ref="M864" authorId="0">
      <text>
        <r>
          <rPr>
            <sz val="9"/>
            <rFont val="宋体"/>
            <charset val="134"/>
          </rPr>
          <t xml:space="preserve">预付135转 到付USD18.77
</t>
        </r>
      </text>
    </comment>
    <comment ref="M866" authorId="0">
      <text>
        <r>
          <rPr>
            <sz val="9"/>
            <rFont val="宋体"/>
            <charset val="134"/>
          </rPr>
          <t xml:space="preserve">预付381.6转到付USD53.07
</t>
        </r>
      </text>
    </comment>
    <comment ref="J876" authorId="0">
      <text>
        <r>
          <rPr>
            <sz val="9"/>
            <rFont val="宋体"/>
            <charset val="134"/>
          </rPr>
          <t xml:space="preserve">240326000007=RMB660=N120,780.00
240304000014=RMB:4569.96=N836,303.5合计957083.5.
</t>
        </r>
      </text>
    </comment>
  </commentList>
</comments>
</file>

<file path=xl/sharedStrings.xml><?xml version="1.0" encoding="utf-8"?>
<sst xmlns="http://schemas.openxmlformats.org/spreadsheetml/2006/main" count="2825" uniqueCount="559">
  <si>
    <t>2024年03月份LOS毛利表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</si>
  <si>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</si>
  <si>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</si>
  <si>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</si>
  <si>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</si>
  <si>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</si>
  <si>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</si>
  <si>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</si>
  <si>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</si>
  <si>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</si>
  <si>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</si>
  <si>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</si>
  <si>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</si>
  <si>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</si>
  <si>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</si>
  <si>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</si>
  <si>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</si>
  <si>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</si>
  <si>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</si>
  <si>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</si>
  <si>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</si>
  <si>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</si>
  <si>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</si>
  <si>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</si>
  <si>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</si>
  <si>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</si>
  <si>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</si>
  <si>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</si>
  <si>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</si>
  <si>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</si>
  <si>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</si>
  <si>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</si>
  <si>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</si>
  <si>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</si>
  <si>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</si>
  <si>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JOB030324</t>
  </si>
  <si>
    <t>COLL003836</t>
  </si>
  <si>
    <t>Bella</t>
  </si>
  <si>
    <t>Bella Chan</t>
  </si>
  <si>
    <t>li tao</t>
  </si>
  <si>
    <t>顶派</t>
  </si>
  <si>
    <t>朱小飞</t>
  </si>
  <si>
    <t>Isabel Zhu</t>
  </si>
  <si>
    <t>Emmanuel</t>
  </si>
  <si>
    <t>吕沛霖</t>
  </si>
  <si>
    <t>喵喵速运-Layne</t>
  </si>
  <si>
    <t>Mr.Cheng</t>
  </si>
  <si>
    <t>黄颖</t>
  </si>
  <si>
    <t>ying</t>
  </si>
  <si>
    <t>chuks</t>
  </si>
  <si>
    <t>Wang Jiu Lin</t>
  </si>
  <si>
    <t>吴敏琪</t>
  </si>
  <si>
    <t>Mikey</t>
  </si>
  <si>
    <t>Chenyun</t>
  </si>
  <si>
    <t>SIMON OMALE</t>
  </si>
  <si>
    <t>qianqian</t>
  </si>
  <si>
    <t>Colin</t>
  </si>
  <si>
    <t>Blessing</t>
  </si>
  <si>
    <t>Lisa</t>
  </si>
  <si>
    <t>Sesan</t>
  </si>
  <si>
    <t>Joy</t>
  </si>
  <si>
    <t>Lynda</t>
  </si>
  <si>
    <t>Wu Jiao Xing</t>
  </si>
  <si>
    <t>Shan Nan</t>
  </si>
  <si>
    <t>Yang Peng Tao</t>
  </si>
  <si>
    <t>MailMail速运</t>
  </si>
  <si>
    <t>chen a tong</t>
  </si>
  <si>
    <t>John 张</t>
  </si>
  <si>
    <t>Chinex</t>
  </si>
  <si>
    <t>Wu Zhe</t>
  </si>
  <si>
    <t>Sam.Pao</t>
  </si>
  <si>
    <t>Nkechi</t>
  </si>
  <si>
    <t>Zhang Guo Ren</t>
  </si>
  <si>
    <t>Halifa Success</t>
  </si>
  <si>
    <t>SKY JET</t>
  </si>
  <si>
    <t>JOB030325</t>
  </si>
  <si>
    <t>COLL003838</t>
  </si>
  <si>
    <t>MR HE</t>
  </si>
  <si>
    <t>富姐</t>
  </si>
  <si>
    <t>Cheng</t>
  </si>
  <si>
    <t>Long Er</t>
  </si>
  <si>
    <t>Shang yafei</t>
  </si>
  <si>
    <t>han bin</t>
  </si>
  <si>
    <t>Eric Qu</t>
  </si>
  <si>
    <t>Ke Ren</t>
  </si>
  <si>
    <t>无人</t>
  </si>
  <si>
    <t>Jinggang Pan</t>
  </si>
  <si>
    <t>YunLong Hu</t>
  </si>
  <si>
    <t>MaiKaiNian</t>
  </si>
  <si>
    <t>JOHNNIE</t>
  </si>
  <si>
    <t>JOB030326</t>
  </si>
  <si>
    <t>COLL003842</t>
  </si>
  <si>
    <t>Li Si Zhe</t>
  </si>
  <si>
    <t>JiaFeng</t>
  </si>
  <si>
    <t>jiafeng</t>
  </si>
  <si>
    <t>鸿</t>
  </si>
  <si>
    <t>Alice08105750388</t>
  </si>
  <si>
    <t>JOB030327</t>
  </si>
  <si>
    <t>COLL003840</t>
  </si>
  <si>
    <t>baozi</t>
  </si>
  <si>
    <t>MA ZONG</t>
  </si>
  <si>
    <t>CHENG ZHONG</t>
  </si>
  <si>
    <t>fast hours DM NIGHT LED</t>
  </si>
  <si>
    <t>Zhang Hao</t>
  </si>
  <si>
    <t>William Wei</t>
  </si>
  <si>
    <t>Kaylee Tan</t>
  </si>
  <si>
    <t>EY</t>
  </si>
  <si>
    <t>Zhao Xin</t>
  </si>
  <si>
    <t>James Lee</t>
  </si>
  <si>
    <t>zhang guang li</t>
  </si>
  <si>
    <t>Tomonsachi</t>
  </si>
  <si>
    <t>JEFF</t>
  </si>
  <si>
    <t>OTW 埃德维 ABV</t>
  </si>
  <si>
    <t>Ye Zheng Rong</t>
  </si>
  <si>
    <t>David</t>
  </si>
  <si>
    <t>Peace Elechi</t>
  </si>
  <si>
    <t>Yuan</t>
  </si>
  <si>
    <t>JOB030328</t>
  </si>
  <si>
    <t>COLL003841</t>
  </si>
  <si>
    <t>Boulos Enterprises Limited</t>
  </si>
  <si>
    <t>顶派=79939.5
广州通达=4326.4</t>
  </si>
  <si>
    <t>xieziqing</t>
  </si>
  <si>
    <t>William Xu</t>
  </si>
  <si>
    <t>Mr Pan Li</t>
  </si>
  <si>
    <t>ZHENWEI YUE</t>
  </si>
  <si>
    <t>fang ming</t>
  </si>
  <si>
    <t>21th CENTURY</t>
  </si>
  <si>
    <t>weng zixian</t>
  </si>
  <si>
    <t>clarkzeng2</t>
  </si>
  <si>
    <t>zengyugui</t>
  </si>
  <si>
    <t>Guo Hui 郭总</t>
  </si>
  <si>
    <t>Wang Yan Tao</t>
  </si>
  <si>
    <t>LEO WEI</t>
  </si>
  <si>
    <t>REMI</t>
  </si>
  <si>
    <t>chenhuaping</t>
  </si>
  <si>
    <t>SEGUN</t>
  </si>
  <si>
    <t>Feny</t>
  </si>
  <si>
    <t>Charles</t>
  </si>
  <si>
    <t>SHI</t>
  </si>
  <si>
    <t>Adams</t>
  </si>
  <si>
    <t>FeLiX</t>
  </si>
  <si>
    <t>Mr Huang</t>
  </si>
  <si>
    <t>Hellen</t>
  </si>
  <si>
    <t>Simon Wang</t>
  </si>
  <si>
    <t>JOANNE</t>
  </si>
  <si>
    <t>风儿吹</t>
  </si>
  <si>
    <t>Harper</t>
  </si>
  <si>
    <t>Mr.Bernie</t>
  </si>
  <si>
    <t>JOB030329</t>
  </si>
  <si>
    <t>COLL003835</t>
  </si>
  <si>
    <t>James</t>
  </si>
  <si>
    <t>Ope Olofinjana</t>
  </si>
  <si>
    <t>xiongge</t>
  </si>
  <si>
    <t>GONG</t>
  </si>
  <si>
    <t>Al Ameen Aminu</t>
  </si>
  <si>
    <t>JAMES Felicity</t>
  </si>
  <si>
    <t>Steve</t>
  </si>
  <si>
    <t>Lony</t>
  </si>
  <si>
    <t>Priscella</t>
  </si>
  <si>
    <t>sun li</t>
  </si>
  <si>
    <t>tola</t>
  </si>
  <si>
    <t>DUDUHE鹤</t>
  </si>
  <si>
    <t>SHAN NAN</t>
  </si>
  <si>
    <t>LU JIA XING</t>
  </si>
  <si>
    <t>Nwachukwu victor</t>
  </si>
  <si>
    <t>Unique Desh logistics</t>
  </si>
  <si>
    <t>Taiwo</t>
  </si>
  <si>
    <t>Hillter</t>
  </si>
  <si>
    <t>Jason</t>
  </si>
  <si>
    <t>HWANI INDUSTRY (NIGERIA) CO.,LTD</t>
  </si>
  <si>
    <t>liujinchun</t>
  </si>
  <si>
    <t>JOB030330</t>
  </si>
  <si>
    <t>COLL003839</t>
  </si>
  <si>
    <t>ZUO Qiyang</t>
  </si>
  <si>
    <t>ChenGaoHong</t>
  </si>
  <si>
    <t>慌慌</t>
  </si>
  <si>
    <t>Jessie</t>
  </si>
  <si>
    <t>David Wei</t>
  </si>
  <si>
    <t>SF Jerry 顾</t>
  </si>
  <si>
    <t>JOB030331</t>
  </si>
  <si>
    <t>COLL003843</t>
  </si>
  <si>
    <t>Chief Prince</t>
  </si>
  <si>
    <t>Julie LEE</t>
  </si>
  <si>
    <t>Julie lee</t>
  </si>
  <si>
    <t>DING</t>
  </si>
  <si>
    <t>JOB030332</t>
  </si>
  <si>
    <t>COLL003846</t>
  </si>
  <si>
    <t>YAN</t>
  </si>
  <si>
    <t>IVAN</t>
  </si>
  <si>
    <t>CHIMEZIE MARTIN</t>
  </si>
  <si>
    <t>JOB030333</t>
  </si>
  <si>
    <t>COLL003849</t>
  </si>
  <si>
    <t>JOB030334</t>
  </si>
  <si>
    <t>COLL003844</t>
  </si>
  <si>
    <t>Jahnson</t>
  </si>
  <si>
    <t>Joe</t>
  </si>
  <si>
    <t>shaodong</t>
  </si>
  <si>
    <t>Qingqing Zhang</t>
  </si>
  <si>
    <t>Mr Tonnie</t>
  </si>
  <si>
    <t>Hecheng</t>
  </si>
  <si>
    <t>Engr. Kola Balogun</t>
  </si>
  <si>
    <t>Dosunmu oluwafemi</t>
  </si>
  <si>
    <t>XING JI ZHONG</t>
  </si>
  <si>
    <t>Miss Yemisi</t>
  </si>
  <si>
    <t>Mr. Jiang</t>
  </si>
  <si>
    <t>XiongQiJun</t>
  </si>
  <si>
    <t>Yangbin</t>
  </si>
  <si>
    <t>James Mr.Yuan</t>
  </si>
  <si>
    <t>Tang Zhao</t>
  </si>
  <si>
    <t>JOB030335</t>
  </si>
  <si>
    <t>COLL003845</t>
  </si>
  <si>
    <t>james</t>
  </si>
  <si>
    <t>DengYaDi</t>
  </si>
  <si>
    <t>liangyu</t>
  </si>
  <si>
    <t>Tony</t>
  </si>
  <si>
    <t>Tuntex</t>
  </si>
  <si>
    <t>Francis</t>
  </si>
  <si>
    <t>zhangbingying</t>
  </si>
  <si>
    <t>Liuyansheng</t>
  </si>
  <si>
    <t>gan lan</t>
  </si>
  <si>
    <t>Zhang long ting</t>
  </si>
  <si>
    <t>Shuaixueqiang</t>
  </si>
  <si>
    <t>zhengdeng</t>
  </si>
  <si>
    <t>Atten Engr Kola Balogun</t>
  </si>
  <si>
    <t>Wangjianshe</t>
  </si>
  <si>
    <t>JOSIAS</t>
  </si>
  <si>
    <t>Mr.Richard 志强</t>
  </si>
  <si>
    <t>a niu ge</t>
  </si>
  <si>
    <t>zhou jia jun</t>
  </si>
  <si>
    <t>shola</t>
  </si>
  <si>
    <t>caohuixian</t>
  </si>
  <si>
    <t>Ka Ka 4分部</t>
  </si>
  <si>
    <t>Judy</t>
  </si>
  <si>
    <t>Zhou Ji BBQ</t>
  </si>
  <si>
    <t>WANG LIN</t>
  </si>
  <si>
    <t>Shijianguo</t>
  </si>
  <si>
    <t>JOB030337</t>
  </si>
  <si>
    <t>COLL003850</t>
  </si>
  <si>
    <t>WEI PING</t>
  </si>
  <si>
    <t>Mr.Chen</t>
  </si>
  <si>
    <t>ShiYuLiu</t>
  </si>
  <si>
    <t>Chukwunyelum</t>
  </si>
  <si>
    <t>JOHNNIE CHAK</t>
  </si>
  <si>
    <t>JOB030338</t>
  </si>
  <si>
    <t>COLL003848</t>
  </si>
  <si>
    <t>SHAEK</t>
  </si>
  <si>
    <t>Rahmat Isah</t>
  </si>
  <si>
    <t>Miaomiao Dogu</t>
  </si>
  <si>
    <t>zhang jian fei</t>
  </si>
  <si>
    <t>Chiboy</t>
  </si>
  <si>
    <t>Alex</t>
  </si>
  <si>
    <t>Allen Zhou</t>
  </si>
  <si>
    <t>Aisha</t>
  </si>
  <si>
    <t>Dawn</t>
  </si>
  <si>
    <t>Kelly</t>
  </si>
  <si>
    <t>Lee Ming</t>
  </si>
  <si>
    <t>Mr</t>
  </si>
  <si>
    <t>feng liang</t>
  </si>
  <si>
    <t>che xing cheng</t>
  </si>
  <si>
    <t>salma chimaobi</t>
  </si>
  <si>
    <t>Mailmail Abv sales person 1</t>
  </si>
  <si>
    <t>Kalio Edith</t>
  </si>
  <si>
    <t>Nnamdi Ikechukwu</t>
  </si>
  <si>
    <t>Adam Labaran</t>
  </si>
  <si>
    <t>Victor</t>
  </si>
  <si>
    <t>MeiMei</t>
  </si>
  <si>
    <t>SEAN</t>
  </si>
  <si>
    <t>FRANK</t>
  </si>
  <si>
    <t>ANAEKWE</t>
  </si>
  <si>
    <t>JOB030340</t>
  </si>
  <si>
    <t>COLL003847</t>
  </si>
  <si>
    <t>Georgina Zhang</t>
  </si>
  <si>
    <t>Jane</t>
  </si>
  <si>
    <t>Shunming</t>
  </si>
  <si>
    <t>Wang Guo Dong</t>
  </si>
  <si>
    <t>Aming</t>
  </si>
  <si>
    <t>yangguangqin</t>
  </si>
  <si>
    <t>OLIVER</t>
  </si>
  <si>
    <t>Alex Zhu</t>
  </si>
  <si>
    <t>Ifeoluwa Oguntoyinbo</t>
  </si>
  <si>
    <t>Ryan Li</t>
  </si>
  <si>
    <t>huang peng</t>
  </si>
  <si>
    <t>Zhang</t>
  </si>
  <si>
    <t>Mr Samson Okonkwo</t>
  </si>
  <si>
    <t>songenxin</t>
  </si>
  <si>
    <t>Yuan Tian</t>
  </si>
  <si>
    <t>Hu Hai Liang</t>
  </si>
  <si>
    <t>Doris Xie</t>
  </si>
  <si>
    <t>GODSPOWER OBOJADE</t>
  </si>
  <si>
    <t>chenlu</t>
  </si>
  <si>
    <t>Zhang Peng Yu</t>
  </si>
  <si>
    <t>huangjie</t>
  </si>
  <si>
    <t>panda</t>
  </si>
  <si>
    <t>Mukhtar Bala</t>
  </si>
  <si>
    <t>Chidi</t>
  </si>
  <si>
    <t>良大大</t>
  </si>
  <si>
    <t>ALICE</t>
  </si>
  <si>
    <t>JOB030341</t>
  </si>
  <si>
    <t>COLL003857</t>
  </si>
  <si>
    <t>yangming</t>
  </si>
  <si>
    <t>jason</t>
  </si>
  <si>
    <t>Kelly He</t>
  </si>
  <si>
    <t>zhang feng</t>
  </si>
  <si>
    <t>Abdulkadir Lawal</t>
  </si>
  <si>
    <t>JOB030342</t>
  </si>
  <si>
    <t>COLL003856</t>
  </si>
  <si>
    <t>Sagamu</t>
  </si>
  <si>
    <t>Rachel</t>
  </si>
  <si>
    <t>JOB030343</t>
  </si>
  <si>
    <t>COLL003859</t>
  </si>
  <si>
    <t>JOB030344</t>
  </si>
  <si>
    <t>COLL003860</t>
  </si>
  <si>
    <t>Star of Africa hotel Abuja</t>
  </si>
  <si>
    <t>Mr Guan</t>
  </si>
  <si>
    <t>Jhon</t>
  </si>
  <si>
    <t>LuZhiLong</t>
  </si>
  <si>
    <t>JOB030345</t>
  </si>
  <si>
    <t>COLL003855</t>
  </si>
  <si>
    <t>olamide</t>
  </si>
  <si>
    <t>Shrerk Wang</t>
  </si>
  <si>
    <t>lu tong liu</t>
  </si>
  <si>
    <t>Alina</t>
  </si>
  <si>
    <t>Xiao Xi Bin</t>
  </si>
  <si>
    <t>Gene</t>
  </si>
  <si>
    <t>Tina</t>
  </si>
  <si>
    <t>CH</t>
  </si>
  <si>
    <t>Yang</t>
  </si>
  <si>
    <t>Liang Cai Yi</t>
  </si>
  <si>
    <t>xiaoxiao</t>
  </si>
  <si>
    <t>Mr.Chao</t>
  </si>
  <si>
    <t>Mr Folabidayo</t>
  </si>
  <si>
    <t>Sun Xinglong</t>
  </si>
  <si>
    <t>Gbenga</t>
  </si>
  <si>
    <t>JOB030336</t>
  </si>
  <si>
    <t>COLL003851</t>
  </si>
  <si>
    <t>阿米拉海运</t>
  </si>
  <si>
    <t>COLL003852</t>
  </si>
  <si>
    <t>COLL003853</t>
  </si>
  <si>
    <t>Ochigbo Emmanuel</t>
  </si>
  <si>
    <t>JOB030347</t>
  </si>
  <si>
    <t>COLL003863</t>
  </si>
  <si>
    <t>COLL003864</t>
  </si>
  <si>
    <t>Bruce</t>
  </si>
  <si>
    <t>COLL003865</t>
  </si>
  <si>
    <t>JOB030348</t>
  </si>
  <si>
    <t>COLL003866</t>
  </si>
  <si>
    <t>Paul</t>
  </si>
  <si>
    <t>JOB030349</t>
  </si>
  <si>
    <t>COLL003867</t>
  </si>
  <si>
    <t>JOB030350</t>
  </si>
  <si>
    <t>COLL003868</t>
  </si>
  <si>
    <t>Zhu Chang Wang</t>
  </si>
  <si>
    <t>JOB030351</t>
  </si>
  <si>
    <t>COLL003854</t>
  </si>
  <si>
    <t>steven</t>
  </si>
  <si>
    <t>zhou chen yue</t>
  </si>
  <si>
    <t>ABDULRAZAQ MUSA</t>
  </si>
  <si>
    <t>qiuliuliu</t>
  </si>
  <si>
    <t>Bisi</t>
  </si>
  <si>
    <t>JIDE</t>
  </si>
  <si>
    <t>tanghaiou</t>
  </si>
  <si>
    <t>John</t>
  </si>
  <si>
    <t>huangdan</t>
  </si>
  <si>
    <t>maohaiming</t>
  </si>
  <si>
    <t>LI XING MAO</t>
  </si>
  <si>
    <t>Ruby</t>
  </si>
  <si>
    <t>Kola</t>
  </si>
  <si>
    <t>DAVID ZHAO</t>
  </si>
  <si>
    <t>yusuf</t>
  </si>
  <si>
    <t>DinMingJun</t>
  </si>
  <si>
    <t>Mr. Jason</t>
  </si>
  <si>
    <t>zhugang</t>
  </si>
  <si>
    <t>Echo</t>
  </si>
  <si>
    <t>Mr Wang</t>
  </si>
  <si>
    <t>Sowsco Well Services Nig Ltd</t>
  </si>
  <si>
    <t>Ifeoma Onwudiwe</t>
  </si>
  <si>
    <t>Ayong</t>
  </si>
  <si>
    <t>OTW 埃德维</t>
  </si>
  <si>
    <t>Anny</t>
  </si>
  <si>
    <t>LIN</t>
  </si>
  <si>
    <t>los徐周鹏</t>
  </si>
  <si>
    <t>Fafunso</t>
  </si>
  <si>
    <t>yingyunjiao</t>
  </si>
  <si>
    <t>Zhang Xin Jian</t>
  </si>
  <si>
    <t>Rose 徐艳秋</t>
  </si>
  <si>
    <t>Terry Zhang</t>
  </si>
  <si>
    <t>liangdawei</t>
  </si>
  <si>
    <t>Maureen Kingsley</t>
  </si>
  <si>
    <t>Eric qu</t>
  </si>
  <si>
    <t>Nicole li</t>
  </si>
  <si>
    <t>Chuanwei</t>
  </si>
  <si>
    <t>Ma Feng</t>
  </si>
  <si>
    <t>Hu chao nan</t>
  </si>
  <si>
    <t>JOB030352</t>
  </si>
  <si>
    <t>COLL003861</t>
  </si>
  <si>
    <t>Chen de hu</t>
  </si>
  <si>
    <t>Hu Wen Cheng</t>
  </si>
  <si>
    <t>JOB030353</t>
  </si>
  <si>
    <t>COLL003858</t>
  </si>
  <si>
    <t>XIN</t>
  </si>
  <si>
    <t>Jing Li</t>
  </si>
  <si>
    <t>Gao Tian</t>
  </si>
  <si>
    <t>Liu Ming Rui</t>
  </si>
  <si>
    <t>Kristy Liu</t>
  </si>
  <si>
    <t>mike anya</t>
  </si>
  <si>
    <t>Funtua Mr Lee</t>
  </si>
  <si>
    <t>Effiong Okonessien</t>
  </si>
  <si>
    <t>Liao HuaiXian</t>
  </si>
  <si>
    <t>JOB030354</t>
  </si>
  <si>
    <t>COLL003870</t>
  </si>
  <si>
    <t>jinwenda</t>
  </si>
  <si>
    <t>Gao Yang</t>
  </si>
  <si>
    <t>JOB030355</t>
  </si>
  <si>
    <t>COLL003869</t>
  </si>
  <si>
    <t>Omolade</t>
  </si>
  <si>
    <t>ANTHONY</t>
  </si>
  <si>
    <t>Daniel Brian</t>
  </si>
  <si>
    <t>MI JUN JIE</t>
  </si>
  <si>
    <t>Li Jian Hong</t>
  </si>
  <si>
    <t>Oyedele Soyege</t>
  </si>
  <si>
    <t>Highlight Consulting Services Limited</t>
  </si>
  <si>
    <t>Segun Babatunde</t>
  </si>
  <si>
    <t>Xue.zf</t>
  </si>
  <si>
    <t>abubaka</t>
  </si>
  <si>
    <t>JiangJiang</t>
  </si>
  <si>
    <t>Zou Jun Yu</t>
  </si>
  <si>
    <t>tangmingmei</t>
  </si>
  <si>
    <t>Leon</t>
  </si>
  <si>
    <t>Richard</t>
  </si>
  <si>
    <t>cary cai</t>
  </si>
  <si>
    <t>yangxianwu</t>
  </si>
  <si>
    <t>Jacky hong</t>
  </si>
  <si>
    <t>ChenBin</t>
  </si>
  <si>
    <t>Lin Kai</t>
  </si>
  <si>
    <t>粘豆包&amp;豆包粘</t>
  </si>
  <si>
    <t>wang</t>
  </si>
  <si>
    <t>xingqiang</t>
  </si>
  <si>
    <t>Abdul</t>
  </si>
  <si>
    <t>xiaohanbing</t>
  </si>
  <si>
    <t>Kim</t>
  </si>
  <si>
    <t>游离分子</t>
  </si>
  <si>
    <t>wang Pei</t>
  </si>
  <si>
    <t>Chimezie</t>
  </si>
  <si>
    <t>Adindu</t>
  </si>
  <si>
    <t>val</t>
  </si>
  <si>
    <t>Jerry Zhang</t>
  </si>
  <si>
    <t>JOB030356</t>
  </si>
  <si>
    <t>COLL003873</t>
  </si>
  <si>
    <t>shangyafei</t>
  </si>
  <si>
    <t>Ayo</t>
  </si>
  <si>
    <t>JOB030357</t>
  </si>
  <si>
    <t>COLL003874</t>
  </si>
  <si>
    <t>Chen Quan</t>
  </si>
  <si>
    <t>BAMBE NICHOLAS</t>
  </si>
  <si>
    <t>kk</t>
  </si>
  <si>
    <t>JOB030358</t>
  </si>
  <si>
    <t>COLL003862</t>
  </si>
  <si>
    <t>A Lan</t>
  </si>
  <si>
    <t>Li-CDDN</t>
  </si>
  <si>
    <t>ARIBOIL COMPANY LIMITED</t>
  </si>
  <si>
    <t>Zhou Jia Liang</t>
  </si>
  <si>
    <t>LEE</t>
  </si>
  <si>
    <t>TOYIN S. ADEKUNLE</t>
  </si>
  <si>
    <t>liufang</t>
  </si>
  <si>
    <t>Lu</t>
  </si>
  <si>
    <t>ma bin bin</t>
  </si>
  <si>
    <t>Precious Ali</t>
  </si>
  <si>
    <t>Mr Xu</t>
  </si>
  <si>
    <t>Charles obiora chukwuekmeka</t>
  </si>
  <si>
    <t>los牛晨晖</t>
  </si>
  <si>
    <t>Mr Eliyas</t>
  </si>
  <si>
    <t>huangdong</t>
  </si>
  <si>
    <t>Mamuda Beverages Nigeria</t>
  </si>
  <si>
    <t>Robin Tai</t>
  </si>
  <si>
    <t>LUO YUN HONG</t>
  </si>
  <si>
    <t>Anita</t>
  </si>
  <si>
    <t>zhang long ting</t>
  </si>
  <si>
    <t>JOB030359</t>
  </si>
  <si>
    <t>COLL003875</t>
  </si>
  <si>
    <t>补单</t>
  </si>
  <si>
    <t>JOB030360</t>
  </si>
  <si>
    <t>COLL003872</t>
  </si>
  <si>
    <t>CHI NGA</t>
  </si>
  <si>
    <t>yanjian</t>
  </si>
  <si>
    <t>chike</t>
  </si>
  <si>
    <t>Ms</t>
  </si>
  <si>
    <t>san pao</t>
  </si>
  <si>
    <t>Eric Wang</t>
  </si>
  <si>
    <t>Great Stone</t>
  </si>
  <si>
    <t>Mailmail/Taiwo</t>
  </si>
  <si>
    <t>亚丽</t>
  </si>
  <si>
    <t>Mr zhang</t>
  </si>
  <si>
    <t>Xu Jie</t>
  </si>
  <si>
    <t>Martina</t>
  </si>
  <si>
    <t>Liuqiang</t>
  </si>
  <si>
    <t>haowangjun</t>
  </si>
  <si>
    <t>Abdulrahman</t>
  </si>
  <si>
    <t>JOB030361</t>
  </si>
  <si>
    <t>COLL003871</t>
  </si>
  <si>
    <t>MR WANG</t>
  </si>
  <si>
    <t>songjunqiang</t>
  </si>
  <si>
    <t>geng</t>
  </si>
  <si>
    <t>xiaoer</t>
  </si>
  <si>
    <t>Fafunso/Italy</t>
  </si>
  <si>
    <t>Kane</t>
  </si>
  <si>
    <t>Gold Tech</t>
  </si>
  <si>
    <t>Chukwudi Ibe</t>
  </si>
  <si>
    <t>eve</t>
  </si>
  <si>
    <t>Zhang Pengpeng</t>
  </si>
  <si>
    <t>Leo Chen</t>
  </si>
  <si>
    <t>Chen Hao</t>
  </si>
  <si>
    <t>Lucky</t>
  </si>
  <si>
    <t>David Zhao</t>
  </si>
  <si>
    <t>Sampao</t>
  </si>
  <si>
    <t>JOB030362</t>
  </si>
  <si>
    <t>COLL003879</t>
  </si>
  <si>
    <t>AiGeLi</t>
  </si>
  <si>
    <t>JOB030363</t>
  </si>
  <si>
    <t>COLL003880</t>
  </si>
  <si>
    <t>WENDY</t>
  </si>
  <si>
    <t>JOB030364</t>
  </si>
  <si>
    <t>COLL003881</t>
  </si>
  <si>
    <t>JOB030365</t>
  </si>
  <si>
    <t>COLL003878</t>
  </si>
  <si>
    <t>Olusola George-Taylor</t>
  </si>
  <si>
    <t>JOB030367</t>
  </si>
  <si>
    <t>COLL003885</t>
  </si>
  <si>
    <t>los阿拉蕾</t>
  </si>
  <si>
    <t>muji</t>
  </si>
  <si>
    <t>shidanni</t>
  </si>
  <si>
    <t>wei hui zhu</t>
  </si>
  <si>
    <t>Mark</t>
  </si>
  <si>
    <t>JOB030368</t>
  </si>
  <si>
    <t>COLL003877</t>
  </si>
  <si>
    <t>Zeng Xiu Zhuang</t>
  </si>
  <si>
    <t>Ah Jie</t>
  </si>
  <si>
    <t>Jacklee</t>
  </si>
  <si>
    <t>God win</t>
  </si>
  <si>
    <t>Jack</t>
  </si>
  <si>
    <t>WANG RUI</t>
  </si>
  <si>
    <t>MR. EZEKIEL</t>
  </si>
  <si>
    <t>Martin</t>
  </si>
  <si>
    <t>Ugochukwu</t>
  </si>
  <si>
    <t>JOB030369</t>
  </si>
  <si>
    <t>COLL003876</t>
  </si>
  <si>
    <t>zhusufei</t>
  </si>
  <si>
    <t>ss</t>
  </si>
  <si>
    <t>Deng</t>
  </si>
  <si>
    <t>Li Ce</t>
  </si>
  <si>
    <t>suraj musa</t>
  </si>
  <si>
    <t>yezhi</t>
  </si>
  <si>
    <t>Joying-lzy</t>
  </si>
  <si>
    <t>JOB030370</t>
  </si>
  <si>
    <t>COLL003886</t>
  </si>
  <si>
    <t>Kevin</t>
  </si>
  <si>
    <t>Xin Ting</t>
  </si>
  <si>
    <t>he ling</t>
  </si>
  <si>
    <t>lituo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</si>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</sst>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8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0"/>
      <color rgb="FF000000"/>
      <name val="Microsoft JhengHei"/>
      <charset val="134"/>
    </font>
    <font>
      <sz val="9.75"/>
      <name val="Microsoft JhengHei"/>
      <charset val="134"/>
    </font>
    <font>
      <sz val="9"/>
      <name val="Microsoft JhengHei"/>
      <charset val="134"/>
    </font>
    <font>
      <sz val="9.75"/>
      <color rgb="FFFF0000"/>
      <name val="Microsoft JhengHei"/>
      <charset val="134"/>
    </font>
    <font>
      <sz val="9"/>
      <color theme="1"/>
      <name val="Microsoft JhengHei"/>
      <charset val="134"/>
    </font>
    <font>
      <sz val="11"/>
      <color rgb="FFFF0000"/>
      <name val="宋体"/>
      <charset val="134"/>
      <scheme val="minor"/>
    </font>
    <font>
      <sz val="11"/>
      <color theme="1"/>
      <name val="Microsoft JhengHei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13" applyNumberFormat="0" applyAlignment="0" applyProtection="0">
      <alignment vertical="center"/>
    </xf>
    <xf numFmtId="0" fontId="36" fillId="9" borderId="14" applyNumberFormat="0" applyAlignment="0" applyProtection="0">
      <alignment vertical="center"/>
    </xf>
    <xf numFmtId="0" fontId="37" fillId="9" borderId="13" applyNumberFormat="0" applyAlignment="0" applyProtection="0">
      <alignment vertical="center"/>
    </xf>
    <xf numFmtId="0" fontId="38" fillId="10" borderId="15" applyNumberFormat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8" fillId="0" borderId="2" xfId="0" applyNumberFormat="1" applyFont="1" applyFill="1" applyBorder="1">
      <alignment vertical="center"/>
    </xf>
    <xf numFmtId="58" fontId="9" fillId="0" borderId="2" xfId="0" applyNumberFormat="1" applyFont="1" applyBorder="1" applyAlignment="1">
      <alignment horizontal="center" vertical="center"/>
    </xf>
    <xf numFmtId="181" fontId="8" fillId="3" borderId="2" xfId="0" applyNumberFormat="1" applyFont="1" applyFill="1" applyBorder="1">
      <alignment vertical="center"/>
    </xf>
    <xf numFmtId="58" fontId="9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76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82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1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right" vertical="center"/>
    </xf>
    <xf numFmtId="176" fontId="12" fillId="3" borderId="2" xfId="0" applyNumberFormat="1" applyFont="1" applyFill="1" applyBorder="1" applyAlignment="1">
      <alignment horizontal="center" vertical="center" wrapText="1"/>
    </xf>
    <xf numFmtId="182" fontId="12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13" fillId="3" borderId="2" xfId="0" applyNumberFormat="1" applyFont="1" applyFill="1" applyBorder="1" applyAlignment="1">
      <alignment horizontal="center" vertical="center"/>
    </xf>
    <xf numFmtId="182" fontId="14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15" fillId="0" borderId="2" xfId="0" applyNumberFormat="1" applyFont="1" applyFill="1" applyBorder="1">
      <alignment vertical="center"/>
    </xf>
    <xf numFmtId="176" fontId="15" fillId="0" borderId="2" xfId="0" applyNumberFormat="1" applyFont="1" applyFill="1" applyBorder="1" applyAlignment="1">
      <alignment horizontal="center" vertical="center"/>
    </xf>
    <xf numFmtId="177" fontId="15" fillId="0" borderId="2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76" fontId="7" fillId="2" borderId="2" xfId="0" applyNumberFormat="1" applyFont="1" applyFill="1" applyBorder="1">
      <alignment vertical="center"/>
    </xf>
    <xf numFmtId="182" fontId="7" fillId="2" borderId="2" xfId="0" applyNumberFormat="1" applyFont="1" applyFill="1" applyBorder="1">
      <alignment vertical="center"/>
    </xf>
    <xf numFmtId="182" fontId="7" fillId="2" borderId="1" xfId="0" applyNumberFormat="1" applyFont="1" applyFill="1" applyBorder="1" applyAlignment="1">
      <alignment horizontal="center" vertical="center"/>
    </xf>
    <xf numFmtId="182" fontId="7" fillId="2" borderId="3" xfId="0" applyNumberFormat="1" applyFont="1" applyFill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76" fontId="15" fillId="3" borderId="2" xfId="0" applyNumberFormat="1" applyFont="1" applyFill="1" applyBorder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/>
    </xf>
    <xf numFmtId="177" fontId="15" fillId="2" borderId="2" xfId="0" applyNumberFormat="1" applyFont="1" applyFill="1" applyBorder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15" fillId="2" borderId="2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 applyAlignment="1">
      <alignment horizontal="center" vertical="center"/>
    </xf>
    <xf numFmtId="177" fontId="15" fillId="3" borderId="2" xfId="0" applyNumberFormat="1" applyFont="1" applyFill="1" applyBorder="1">
      <alignment vertical="center"/>
    </xf>
    <xf numFmtId="182" fontId="15" fillId="3" borderId="2" xfId="0" applyNumberFormat="1" applyFont="1" applyFill="1" applyBorder="1">
      <alignment vertical="center"/>
    </xf>
    <xf numFmtId="182" fontId="7" fillId="2" borderId="7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2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6" fillId="3" borderId="1" xfId="0" applyNumberFormat="1" applyFont="1" applyFill="1" applyBorder="1" applyAlignment="1">
      <alignment horizontal="center" vertical="center" wrapText="1"/>
    </xf>
    <xf numFmtId="177" fontId="13" fillId="3" borderId="2" xfId="0" applyNumberFormat="1" applyFont="1" applyFill="1" applyBorder="1" applyAlignment="1">
      <alignment horizontal="center" vertical="center"/>
    </xf>
    <xf numFmtId="183" fontId="17" fillId="5" borderId="2" xfId="4" applyNumberFormat="1" applyFont="1" applyFill="1" applyBorder="1" applyAlignment="1">
      <alignment horizontal="center" vertical="center"/>
    </xf>
    <xf numFmtId="182" fontId="14" fillId="5" borderId="2" xfId="4" applyNumberFormat="1" applyFont="1" applyFill="1" applyBorder="1" applyAlignment="1">
      <alignment horizontal="center" vertical="center"/>
    </xf>
    <xf numFmtId="183" fontId="14" fillId="0" borderId="2" xfId="4" applyNumberFormat="1" applyFont="1" applyFill="1" applyBorder="1" applyAlignment="1">
      <alignment horizontal="center" vertical="center"/>
    </xf>
    <xf numFmtId="182" fontId="14" fillId="0" borderId="2" xfId="4" applyNumberFormat="1" applyFont="1" applyFill="1" applyBorder="1" applyAlignment="1">
      <alignment horizontal="center" vertical="center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6" fillId="3" borderId="3" xfId="0" applyNumberFormat="1" applyFont="1" applyFill="1" applyBorder="1" applyAlignment="1">
      <alignment horizontal="center" vertical="center" wrapText="1"/>
    </xf>
    <xf numFmtId="177" fontId="18" fillId="3" borderId="2" xfId="0" applyNumberFormat="1" applyFont="1" applyFill="1" applyBorder="1" applyAlignment="1">
      <alignment vertical="center" wrapText="1"/>
    </xf>
    <xf numFmtId="182" fontId="7" fillId="2" borderId="2" xfId="0" applyNumberFormat="1" applyFont="1" applyFill="1" applyBorder="1" applyAlignment="1">
      <alignment vertical="center"/>
    </xf>
    <xf numFmtId="182" fontId="7" fillId="3" borderId="2" xfId="0" applyNumberFormat="1" applyFont="1" applyFill="1" applyBorder="1" applyAlignment="1">
      <alignment vertical="center"/>
    </xf>
    <xf numFmtId="7" fontId="7" fillId="2" borderId="2" xfId="0" applyNumberFormat="1" applyFont="1" applyFill="1" applyBorder="1" applyAlignment="1">
      <alignment vertical="center"/>
    </xf>
    <xf numFmtId="177" fontId="7" fillId="2" borderId="2" xfId="0" applyNumberFormat="1" applyFont="1" applyFill="1" applyBorder="1" applyAlignment="1">
      <alignment vertical="center"/>
    </xf>
    <xf numFmtId="176" fontId="13" fillId="3" borderId="2" xfId="0" applyNumberFormat="1" applyFont="1" applyFill="1" applyBorder="1" applyAlignment="1">
      <alignment horizontal="center" vertical="center"/>
    </xf>
    <xf numFmtId="182" fontId="13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7" fontId="13" fillId="3" borderId="2" xfId="0" applyNumberFormat="1" applyFont="1" applyFill="1" applyBorder="1" applyAlignment="1">
      <alignment horizontal="right" vertical="center"/>
    </xf>
    <xf numFmtId="176" fontId="16" fillId="3" borderId="2" xfId="0" applyNumberFormat="1" applyFont="1" applyFill="1" applyBorder="1" applyAlignment="1">
      <alignment horizontal="center" vertical="center"/>
    </xf>
    <xf numFmtId="182" fontId="13" fillId="3" borderId="2" xfId="0" applyNumberFormat="1" applyFont="1" applyFill="1" applyBorder="1" applyAlignment="1">
      <alignment horizontal="center" vertical="center"/>
    </xf>
    <xf numFmtId="182" fontId="13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vertical="center"/>
    </xf>
    <xf numFmtId="177" fontId="15" fillId="3" borderId="2" xfId="0" applyNumberFormat="1" applyFont="1" applyFill="1" applyBorder="1" applyAlignment="1">
      <alignment horizontal="center" vertical="center"/>
    </xf>
    <xf numFmtId="182" fontId="15" fillId="2" borderId="2" xfId="0" applyNumberFormat="1" applyFont="1" applyFill="1" applyBorder="1">
      <alignment vertical="center"/>
    </xf>
    <xf numFmtId="177" fontId="15" fillId="2" borderId="2" xfId="0" applyNumberFormat="1" applyFont="1" applyFill="1" applyBorder="1" applyAlignment="1">
      <alignment horizontal="center" vertical="center"/>
    </xf>
    <xf numFmtId="182" fontId="7" fillId="2" borderId="1" xfId="0" applyNumberFormat="1" applyFont="1" applyFill="1" applyBorder="1" applyAlignment="1">
      <alignment horizontal="center" vertical="center" wrapText="1"/>
    </xf>
    <xf numFmtId="182" fontId="7" fillId="0" borderId="2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82" fontId="7" fillId="2" borderId="1" xfId="0" applyNumberFormat="1" applyFont="1" applyFill="1" applyBorder="1">
      <alignment vertical="center"/>
    </xf>
    <xf numFmtId="176" fontId="15" fillId="2" borderId="1" xfId="0" applyNumberFormat="1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177" fontId="15" fillId="2" borderId="1" xfId="0" applyNumberFormat="1" applyFont="1" applyFill="1" applyBorder="1">
      <alignment vertical="center"/>
    </xf>
    <xf numFmtId="176" fontId="7" fillId="2" borderId="1" xfId="0" applyNumberFormat="1" applyFont="1" applyFill="1" applyBorder="1">
      <alignment vertical="center"/>
    </xf>
    <xf numFmtId="182" fontId="7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7" fontId="15" fillId="0" borderId="2" xfId="0" applyNumberFormat="1" applyFont="1" applyFill="1" applyBorder="1">
      <alignment vertical="center"/>
    </xf>
    <xf numFmtId="177" fontId="19" fillId="0" borderId="2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9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>
      <alignment vertical="center"/>
    </xf>
    <xf numFmtId="182" fontId="21" fillId="2" borderId="2" xfId="0" applyNumberFormat="1" applyFont="1" applyFill="1" applyBorder="1">
      <alignment vertical="center"/>
    </xf>
    <xf numFmtId="176" fontId="22" fillId="0" borderId="2" xfId="0" applyNumberFormat="1" applyFont="1" applyFill="1" applyBorder="1" applyAlignment="1">
      <alignment horizontal="center" vertical="center"/>
    </xf>
    <xf numFmtId="177" fontId="22" fillId="0" borderId="2" xfId="0" applyNumberFormat="1" applyFont="1" applyFill="1" applyBorder="1" applyAlignment="1">
      <alignment horizontal="center" vertical="center"/>
    </xf>
    <xf numFmtId="177" fontId="20" fillId="2" borderId="2" xfId="0" applyNumberFormat="1" applyFont="1" applyFill="1" applyBorder="1">
      <alignment vertical="center"/>
    </xf>
    <xf numFmtId="176" fontId="21" fillId="2" borderId="2" xfId="0" applyNumberFormat="1" applyFont="1" applyFill="1" applyBorder="1">
      <alignment vertical="center"/>
    </xf>
    <xf numFmtId="182" fontId="21" fillId="2" borderId="1" xfId="0" applyNumberFormat="1" applyFont="1" applyFill="1" applyBorder="1" applyAlignment="1">
      <alignment horizontal="center" vertical="center"/>
    </xf>
    <xf numFmtId="182" fontId="21" fillId="2" borderId="3" xfId="0" applyNumberFormat="1" applyFont="1" applyFill="1" applyBorder="1" applyAlignment="1">
      <alignment horizontal="center" vertical="center"/>
    </xf>
    <xf numFmtId="176" fontId="20" fillId="3" borderId="2" xfId="0" applyNumberFormat="1" applyFont="1" applyFill="1" applyBorder="1" applyAlignment="1">
      <alignment horizontal="center" vertical="center"/>
    </xf>
    <xf numFmtId="177" fontId="20" fillId="3" borderId="2" xfId="0" applyNumberFormat="1" applyFont="1" applyFill="1" applyBorder="1" applyAlignment="1">
      <alignment horizontal="center" vertical="center"/>
    </xf>
    <xf numFmtId="176" fontId="22" fillId="2" borderId="2" xfId="0" applyNumberFormat="1" applyFont="1" applyFill="1" applyBorder="1" applyAlignment="1">
      <alignment horizontal="center" vertical="center"/>
    </xf>
    <xf numFmtId="177" fontId="20" fillId="2" borderId="2" xfId="0" applyNumberFormat="1" applyFont="1" applyFill="1" applyBorder="1" applyAlignment="1">
      <alignment horizontal="center" vertical="center"/>
    </xf>
    <xf numFmtId="177" fontId="22" fillId="2" borderId="2" xfId="0" applyNumberFormat="1" applyFont="1" applyFill="1" applyBorder="1">
      <alignment vertical="center"/>
    </xf>
    <xf numFmtId="176" fontId="22" fillId="3" borderId="2" xfId="0" applyNumberFormat="1" applyFont="1" applyFill="1" applyBorder="1" applyAlignment="1">
      <alignment horizontal="center" vertical="center"/>
    </xf>
    <xf numFmtId="182" fontId="21" fillId="2" borderId="7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>
      <alignment vertical="center"/>
    </xf>
    <xf numFmtId="7" fontId="7" fillId="2" borderId="1" xfId="0" applyNumberFormat="1" applyFont="1" applyFill="1" applyBorder="1" applyAlignment="1">
      <alignment horizontal="right" vertical="center"/>
    </xf>
    <xf numFmtId="7" fontId="7" fillId="2" borderId="7" xfId="0" applyNumberFormat="1" applyFont="1" applyFill="1" applyBorder="1" applyAlignment="1">
      <alignment horizontal="right" vertical="center"/>
    </xf>
    <xf numFmtId="177" fontId="7" fillId="2" borderId="7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right" vertical="center"/>
    </xf>
    <xf numFmtId="176" fontId="7" fillId="2" borderId="1" xfId="0" applyNumberFormat="1" applyFont="1" applyFill="1" applyBorder="1" applyAlignment="1">
      <alignment horizontal="right" vertical="center"/>
    </xf>
    <xf numFmtId="182" fontId="7" fillId="2" borderId="1" xfId="0" applyNumberFormat="1" applyFont="1" applyFill="1" applyBorder="1" applyAlignment="1">
      <alignment horizontal="right" vertical="center"/>
    </xf>
    <xf numFmtId="177" fontId="2" fillId="0" borderId="7" xfId="0" applyNumberFormat="1" applyFont="1" applyBorder="1" applyAlignment="1">
      <alignment horizontal="right" vertical="center"/>
    </xf>
    <xf numFmtId="176" fontId="7" fillId="2" borderId="7" xfId="0" applyNumberFormat="1" applyFont="1" applyFill="1" applyBorder="1" applyAlignment="1">
      <alignment horizontal="right" vertical="center"/>
    </xf>
    <xf numFmtId="182" fontId="7" fillId="2" borderId="7" xfId="0" applyNumberFormat="1" applyFont="1" applyFill="1" applyBorder="1" applyAlignment="1">
      <alignment horizontal="right" vertical="center"/>
    </xf>
    <xf numFmtId="176" fontId="15" fillId="0" borderId="2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58" fontId="8" fillId="0" borderId="2" xfId="0" applyNumberFormat="1" applyFont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176" fontId="15" fillId="2" borderId="2" xfId="0" applyNumberFormat="1" applyFont="1" applyFill="1" applyBorder="1">
      <alignment vertical="center"/>
    </xf>
    <xf numFmtId="182" fontId="7" fillId="0" borderId="2" xfId="0" applyNumberFormat="1" applyFont="1" applyFill="1" applyBorder="1" applyAlignment="1">
      <alignment horizontal="right" vertical="center"/>
    </xf>
    <xf numFmtId="182" fontId="23" fillId="0" borderId="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7" fontId="0" fillId="0" borderId="2" xfId="0" applyNumberFormat="1" applyBorder="1">
      <alignment vertical="center"/>
    </xf>
    <xf numFmtId="182" fontId="25" fillId="0" borderId="2" xfId="0" applyNumberFormat="1" applyFont="1" applyBorder="1">
      <alignment vertical="center"/>
    </xf>
    <xf numFmtId="182" fontId="25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77" fontId="26" fillId="0" borderId="2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82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933"/>
  <sheetViews>
    <sheetView tabSelected="1" workbookViewId="0">
      <selection activeCell="I264" sqref="I264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2"/>
    <col min="6" max="6" width="17.375" customWidth="1"/>
    <col min="7" max="8" width="11.5"/>
    <col min="9" max="9" width="13.875"/>
    <col min="10" max="10" width="15.125" style="3"/>
    <col min="11" max="11" width="13.875"/>
    <col min="12" max="12" width="13.875" style="3"/>
    <col min="13" max="13" width="13.625"/>
    <col min="14" max="14" width="12.625"/>
    <col min="15" max="15" width="13.875"/>
    <col min="16" max="16" width="12.375" customWidth="1"/>
    <col min="17" max="17" width="11.25" customWidth="1"/>
    <col min="18" max="18" width="16.125"/>
    <col min="19" max="19" width="11.25" style="4" customWidth="1"/>
    <col min="20" max="20" width="10.25" style="4"/>
    <col min="21" max="22" width="11.25" style="4"/>
    <col min="23" max="23" width="14.75" style="5"/>
    <col min="24" max="24" width="11.875" style="6" customWidth="1"/>
    <col min="25" max="25" width="11.125" style="6" customWidth="1"/>
    <col min="26" max="26" width="11.25" style="6"/>
    <col min="27" max="27" width="12.625" style="6"/>
    <col min="28" max="28" width="12" style="3"/>
    <col min="29" max="29" width="12.875"/>
    <col min="30" max="30" width="14.875"/>
    <col min="31" max="31" width="14.75"/>
    <col min="32" max="32" width="12.625"/>
  </cols>
  <sheetData>
    <row r="1" ht="31" customHeight="1" spans="1:31">
      <c r="A1" s="7" t="s">
        <v>0</v>
      </c>
      <c r="B1" s="7"/>
      <c r="C1" s="7"/>
      <c r="D1" s="7"/>
      <c r="E1" s="7"/>
      <c r="F1" s="7"/>
      <c r="G1" s="7"/>
      <c r="H1" s="7"/>
      <c r="I1" s="7"/>
      <c r="J1" s="25"/>
      <c r="K1" s="7"/>
      <c r="L1" s="25"/>
      <c r="M1" s="7"/>
      <c r="N1" s="26"/>
      <c r="O1" s="7"/>
      <c r="P1" s="7"/>
      <c r="Q1" s="7"/>
      <c r="R1" s="7"/>
      <c r="S1" s="59"/>
      <c r="T1" s="59"/>
      <c r="U1" s="60"/>
      <c r="V1" s="59"/>
      <c r="W1" s="61"/>
      <c r="X1" s="62"/>
      <c r="Y1" s="62"/>
      <c r="Z1" s="62"/>
      <c r="AA1" s="62"/>
      <c r="AB1" s="25"/>
      <c r="AC1" s="62"/>
      <c r="AD1" s="7"/>
      <c r="AE1" s="7"/>
    </row>
    <row r="2" s="1" customFormat="1" ht="23" customHeight="1" spans="1:31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27" t="s">
        <v>9</v>
      </c>
      <c r="J2" s="28"/>
      <c r="K2" s="29"/>
      <c r="L2" s="28"/>
      <c r="M2" s="30"/>
      <c r="N2" s="31"/>
      <c r="O2" s="32"/>
      <c r="P2" s="33" t="s">
        <v>10</v>
      </c>
      <c r="Q2" s="63" t="s">
        <v>11</v>
      </c>
      <c r="R2" s="64"/>
      <c r="S2" s="65"/>
      <c r="T2" s="66"/>
      <c r="U2" s="67"/>
      <c r="V2" s="68" t="s">
        <v>12</v>
      </c>
      <c r="W2" s="69" t="s">
        <v>13</v>
      </c>
      <c r="X2" s="70" t="s">
        <v>14</v>
      </c>
      <c r="Y2" s="70"/>
      <c r="Z2" s="70"/>
      <c r="AA2" s="70"/>
      <c r="AB2" s="82"/>
      <c r="AC2" s="70"/>
      <c r="AD2" s="83" t="s">
        <v>15</v>
      </c>
      <c r="AE2" s="84" t="s">
        <v>16</v>
      </c>
    </row>
    <row r="3" s="1" customFormat="1" ht="27" customHeight="1" spans="1:31">
      <c r="A3" s="14"/>
      <c r="B3" s="15"/>
      <c r="C3" s="10"/>
      <c r="D3" s="11"/>
      <c r="E3" s="16"/>
      <c r="F3" s="17"/>
      <c r="G3" s="17"/>
      <c r="H3" s="17"/>
      <c r="I3" s="34" t="s">
        <v>17</v>
      </c>
      <c r="J3" s="35" t="s">
        <v>18</v>
      </c>
      <c r="K3" s="36" t="s">
        <v>19</v>
      </c>
      <c r="L3" s="35" t="s">
        <v>20</v>
      </c>
      <c r="M3" s="37" t="s">
        <v>21</v>
      </c>
      <c r="N3" s="38" t="s">
        <v>22</v>
      </c>
      <c r="O3" s="39" t="s">
        <v>23</v>
      </c>
      <c r="P3" s="40"/>
      <c r="Q3" s="71" t="s">
        <v>24</v>
      </c>
      <c r="R3" s="72" t="s">
        <v>25</v>
      </c>
      <c r="S3" s="73" t="s">
        <v>26</v>
      </c>
      <c r="T3" s="74" t="s">
        <v>27</v>
      </c>
      <c r="U3" s="73" t="s">
        <v>28</v>
      </c>
      <c r="V3" s="75"/>
      <c r="W3" s="76"/>
      <c r="X3" s="77" t="s">
        <v>29</v>
      </c>
      <c r="Y3" s="77" t="s">
        <v>30</v>
      </c>
      <c r="Z3" s="77" t="s">
        <v>31</v>
      </c>
      <c r="AA3" s="85" t="s">
        <v>32</v>
      </c>
      <c r="AB3" s="86" t="s">
        <v>33</v>
      </c>
      <c r="AC3" s="87" t="s">
        <v>23</v>
      </c>
      <c r="AD3" s="88" t="s">
        <v>34</v>
      </c>
      <c r="AE3" s="89"/>
    </row>
    <row r="4" customFormat="1" spans="1:31">
      <c r="A4" s="18" t="s">
        <v>35</v>
      </c>
      <c r="B4" s="19" t="s">
        <v>36</v>
      </c>
      <c r="C4" s="20">
        <v>240220000004</v>
      </c>
      <c r="D4" s="21">
        <v>45353</v>
      </c>
      <c r="E4" s="21" t="s">
        <v>37</v>
      </c>
      <c r="F4" s="19" t="s">
        <v>38</v>
      </c>
      <c r="G4" s="19" t="s">
        <v>39</v>
      </c>
      <c r="H4" s="19">
        <v>1.5</v>
      </c>
      <c r="I4" s="41">
        <v>88.2</v>
      </c>
      <c r="J4" s="42"/>
      <c r="K4" s="43"/>
      <c r="L4" s="42"/>
      <c r="M4" s="44"/>
      <c r="N4" s="45"/>
      <c r="O4" s="46">
        <f t="shared" ref="O4:O11" si="0">SUM(I4)</f>
        <v>88.2</v>
      </c>
      <c r="P4" s="47">
        <f>SUM(O4:O30)</f>
        <v>80342.6896</v>
      </c>
      <c r="Q4" s="47" t="s">
        <v>40</v>
      </c>
      <c r="R4" s="78">
        <f>SUM(63773.2/1539)*H4</f>
        <v>62.1571150097466</v>
      </c>
      <c r="S4" s="78"/>
      <c r="T4" s="79">
        <f>SUM(125/1539)*H4</f>
        <v>0.121832358674464</v>
      </c>
      <c r="U4" s="78"/>
      <c r="V4" s="78"/>
      <c r="W4" s="80">
        <f>SUM(R4:V4)</f>
        <v>62.2789473684211</v>
      </c>
      <c r="X4" s="81">
        <f>SUM(1114.79/1539)*H4</f>
        <v>1.08653996101365</v>
      </c>
      <c r="Y4" s="81"/>
      <c r="Z4" s="81"/>
      <c r="AA4" s="81">
        <f>SUM(X4:Z4)</f>
        <v>1.08653996101365</v>
      </c>
      <c r="AB4" s="90">
        <v>7.19</v>
      </c>
      <c r="AC4" s="78">
        <f>SUM(AA4*AB4)</f>
        <v>7.81222231968811</v>
      </c>
      <c r="AD4" s="78">
        <f>SUM(W4+AC4)</f>
        <v>70.0911696881092</v>
      </c>
      <c r="AE4" s="78">
        <f>SUM(O4-AD4)</f>
        <v>18.1088303118908</v>
      </c>
    </row>
    <row r="5" customFormat="1" spans="1:31">
      <c r="A5" s="18"/>
      <c r="B5" s="19"/>
      <c r="C5" s="20">
        <v>240220000041</v>
      </c>
      <c r="D5" s="21">
        <v>45353</v>
      </c>
      <c r="E5" s="21" t="s">
        <v>41</v>
      </c>
      <c r="F5" s="19" t="s">
        <v>42</v>
      </c>
      <c r="G5" s="19" t="s">
        <v>43</v>
      </c>
      <c r="H5" s="19">
        <v>0.97</v>
      </c>
      <c r="I5" s="41">
        <v>125</v>
      </c>
      <c r="J5" s="42"/>
      <c r="K5" s="43"/>
      <c r="L5" s="42"/>
      <c r="M5" s="44"/>
      <c r="N5" s="45"/>
      <c r="O5" s="46">
        <f t="shared" si="0"/>
        <v>125</v>
      </c>
      <c r="P5" s="48"/>
      <c r="Q5" s="48"/>
      <c r="R5" s="78">
        <f t="shared" ref="R5:R30" si="1">SUM(63773.2/1539)*H5</f>
        <v>40.1949343729695</v>
      </c>
      <c r="S5" s="78"/>
      <c r="T5" s="79">
        <f t="shared" ref="T5:T30" si="2">SUM(125/1539)*H5</f>
        <v>0.0787849252761533</v>
      </c>
      <c r="U5" s="78"/>
      <c r="V5" s="78"/>
      <c r="W5" s="80">
        <f t="shared" ref="W5:W30" si="3">SUM(R5:V5)</f>
        <v>40.2737192982456</v>
      </c>
      <c r="X5" s="81">
        <f t="shared" ref="X5:X30" si="4">SUM(1114.79/1539)*H5</f>
        <v>0.702629174788824</v>
      </c>
      <c r="Y5" s="81"/>
      <c r="Z5" s="81"/>
      <c r="AA5" s="81">
        <f t="shared" ref="AA5:AA30" si="5">SUM(X5:Z5)</f>
        <v>0.702629174788824</v>
      </c>
      <c r="AB5" s="90">
        <v>7.19</v>
      </c>
      <c r="AC5" s="78">
        <f t="shared" ref="AC5:AC30" si="6">SUM(AA5*AB5)</f>
        <v>5.05190376673164</v>
      </c>
      <c r="AD5" s="78">
        <f t="shared" ref="AD5:AD30" si="7">SUM(W5+AC5)</f>
        <v>45.3256230649773</v>
      </c>
      <c r="AE5" s="78">
        <f t="shared" ref="AE5:AE30" si="8">SUM(O5-AD5)</f>
        <v>79.6743769350227</v>
      </c>
    </row>
    <row r="6" customFormat="1" spans="1:31">
      <c r="A6" s="18"/>
      <c r="B6" s="19"/>
      <c r="C6" s="20">
        <v>240221000024</v>
      </c>
      <c r="D6" s="21">
        <v>45353</v>
      </c>
      <c r="E6" s="21" t="s">
        <v>44</v>
      </c>
      <c r="F6" s="19" t="s">
        <v>45</v>
      </c>
      <c r="G6" s="19" t="s">
        <v>46</v>
      </c>
      <c r="H6" s="19">
        <v>78.5</v>
      </c>
      <c r="I6" s="49"/>
      <c r="J6" s="50">
        <v>769350</v>
      </c>
      <c r="K6" s="51"/>
      <c r="L6" s="50">
        <f>SUM(J6/M6)</f>
        <v>1603.38036387887</v>
      </c>
      <c r="M6" s="52">
        <v>479.83</v>
      </c>
      <c r="N6" s="45">
        <v>7.19</v>
      </c>
      <c r="O6" s="46">
        <f>SUM(M6*N6)</f>
        <v>3449.9777</v>
      </c>
      <c r="P6" s="48"/>
      <c r="Q6" s="48"/>
      <c r="R6" s="78">
        <f t="shared" si="1"/>
        <v>3252.8890188434</v>
      </c>
      <c r="S6" s="78"/>
      <c r="T6" s="79">
        <f t="shared" si="2"/>
        <v>6.37589343729695</v>
      </c>
      <c r="U6" s="78"/>
      <c r="V6" s="78"/>
      <c r="W6" s="80">
        <f t="shared" si="3"/>
        <v>3259.2649122807</v>
      </c>
      <c r="X6" s="81">
        <f t="shared" si="4"/>
        <v>56.8622579597141</v>
      </c>
      <c r="Y6" s="81"/>
      <c r="Z6" s="81"/>
      <c r="AA6" s="81">
        <f t="shared" si="5"/>
        <v>56.8622579597141</v>
      </c>
      <c r="AB6" s="90">
        <v>7.19</v>
      </c>
      <c r="AC6" s="78">
        <f t="shared" si="6"/>
        <v>408.839634730344</v>
      </c>
      <c r="AD6" s="78">
        <f t="shared" si="7"/>
        <v>3668.10454701105</v>
      </c>
      <c r="AE6" s="78">
        <f t="shared" si="8"/>
        <v>-218.126847011046</v>
      </c>
    </row>
    <row r="7" customFormat="1" spans="1:31">
      <c r="A7" s="18"/>
      <c r="B7" s="19"/>
      <c r="C7" s="20">
        <v>240222000009</v>
      </c>
      <c r="D7" s="21">
        <v>45353</v>
      </c>
      <c r="E7" s="21" t="s">
        <v>47</v>
      </c>
      <c r="F7" s="19" t="s">
        <v>48</v>
      </c>
      <c r="G7" s="19" t="s">
        <v>49</v>
      </c>
      <c r="H7" s="19">
        <v>281</v>
      </c>
      <c r="I7" s="49"/>
      <c r="J7" s="50">
        <v>3822220</v>
      </c>
      <c r="K7" s="51"/>
      <c r="L7" s="50">
        <f>SUM(J7/M7)</f>
        <v>1603.37435923251</v>
      </c>
      <c r="M7" s="52">
        <v>2383.86</v>
      </c>
      <c r="N7" s="45">
        <v>7.19</v>
      </c>
      <c r="O7" s="46">
        <f>SUM(M7*N7)</f>
        <v>17139.9534</v>
      </c>
      <c r="P7" s="48"/>
      <c r="Q7" s="48"/>
      <c r="R7" s="78">
        <f t="shared" si="1"/>
        <v>11644.0995451592</v>
      </c>
      <c r="S7" s="78"/>
      <c r="T7" s="79">
        <f t="shared" si="2"/>
        <v>22.8232618583496</v>
      </c>
      <c r="U7" s="79">
        <v>280</v>
      </c>
      <c r="V7" s="78"/>
      <c r="W7" s="80">
        <f t="shared" si="3"/>
        <v>11946.9228070175</v>
      </c>
      <c r="X7" s="81">
        <f t="shared" si="4"/>
        <v>203.545152696556</v>
      </c>
      <c r="Y7" s="81"/>
      <c r="Z7" s="81"/>
      <c r="AA7" s="81">
        <f t="shared" si="5"/>
        <v>203.545152696556</v>
      </c>
      <c r="AB7" s="90">
        <v>7.19</v>
      </c>
      <c r="AC7" s="78">
        <f t="shared" si="6"/>
        <v>1463.48964788824</v>
      </c>
      <c r="AD7" s="78">
        <f t="shared" si="7"/>
        <v>13410.4124549058</v>
      </c>
      <c r="AE7" s="78">
        <f t="shared" si="8"/>
        <v>3729.54094509422</v>
      </c>
    </row>
    <row r="8" customFormat="1" spans="1:31">
      <c r="A8" s="18"/>
      <c r="B8" s="19"/>
      <c r="C8" s="20">
        <v>240223000006</v>
      </c>
      <c r="D8" s="21">
        <v>45353</v>
      </c>
      <c r="E8" s="21" t="s">
        <v>44</v>
      </c>
      <c r="F8" s="19" t="s">
        <v>45</v>
      </c>
      <c r="G8" s="19" t="s">
        <v>50</v>
      </c>
      <c r="H8" s="19">
        <v>31</v>
      </c>
      <c r="I8" s="41">
        <v>1981.2</v>
      </c>
      <c r="J8" s="42"/>
      <c r="K8" s="43"/>
      <c r="L8" s="42"/>
      <c r="M8" s="44"/>
      <c r="N8" s="45"/>
      <c r="O8" s="46">
        <f t="shared" si="0"/>
        <v>1981.2</v>
      </c>
      <c r="P8" s="48"/>
      <c r="Q8" s="48"/>
      <c r="R8" s="78">
        <f t="shared" si="1"/>
        <v>1284.5803768681</v>
      </c>
      <c r="S8" s="78"/>
      <c r="T8" s="79">
        <f t="shared" si="2"/>
        <v>2.51786874593892</v>
      </c>
      <c r="U8" s="79">
        <v>160</v>
      </c>
      <c r="V8" s="78"/>
      <c r="W8" s="80">
        <f t="shared" si="3"/>
        <v>1447.09824561403</v>
      </c>
      <c r="X8" s="81">
        <f t="shared" si="4"/>
        <v>22.455159194282</v>
      </c>
      <c r="Y8" s="81"/>
      <c r="Z8" s="81"/>
      <c r="AA8" s="81">
        <f t="shared" si="5"/>
        <v>22.455159194282</v>
      </c>
      <c r="AB8" s="90">
        <v>7.19</v>
      </c>
      <c r="AC8" s="78">
        <f t="shared" si="6"/>
        <v>161.452594606888</v>
      </c>
      <c r="AD8" s="78">
        <f t="shared" si="7"/>
        <v>1608.55084022092</v>
      </c>
      <c r="AE8" s="78">
        <f t="shared" si="8"/>
        <v>372.649159779078</v>
      </c>
    </row>
    <row r="9" customFormat="1" spans="1:31">
      <c r="A9" s="18"/>
      <c r="B9" s="19"/>
      <c r="C9" s="20">
        <v>240223000009</v>
      </c>
      <c r="D9" s="21">
        <v>45353</v>
      </c>
      <c r="E9" s="21" t="s">
        <v>51</v>
      </c>
      <c r="F9" s="19" t="s">
        <v>52</v>
      </c>
      <c r="G9" s="19" t="s">
        <v>53</v>
      </c>
      <c r="H9" s="19">
        <v>6</v>
      </c>
      <c r="I9" s="41">
        <v>324</v>
      </c>
      <c r="J9" s="53"/>
      <c r="K9" s="51"/>
      <c r="L9" s="53"/>
      <c r="M9" s="44"/>
      <c r="N9" s="45"/>
      <c r="O9" s="46">
        <f t="shared" si="0"/>
        <v>324</v>
      </c>
      <c r="P9" s="48"/>
      <c r="Q9" s="48"/>
      <c r="R9" s="78">
        <f t="shared" si="1"/>
        <v>248.628460038986</v>
      </c>
      <c r="S9" s="78"/>
      <c r="T9" s="79">
        <f t="shared" si="2"/>
        <v>0.487329434697856</v>
      </c>
      <c r="U9" s="78"/>
      <c r="V9" s="78"/>
      <c r="W9" s="80">
        <f t="shared" si="3"/>
        <v>249.115789473684</v>
      </c>
      <c r="X9" s="81">
        <f t="shared" si="4"/>
        <v>4.34615984405458</v>
      </c>
      <c r="Y9" s="81"/>
      <c r="Z9" s="81"/>
      <c r="AA9" s="81">
        <f t="shared" si="5"/>
        <v>4.34615984405458</v>
      </c>
      <c r="AB9" s="90">
        <v>7.19</v>
      </c>
      <c r="AC9" s="78">
        <f t="shared" si="6"/>
        <v>31.2488892787524</v>
      </c>
      <c r="AD9" s="78">
        <f t="shared" si="7"/>
        <v>280.364678752437</v>
      </c>
      <c r="AE9" s="78">
        <f t="shared" si="8"/>
        <v>43.6353212475634</v>
      </c>
    </row>
    <row r="10" customFormat="1" spans="1:31">
      <c r="A10" s="18"/>
      <c r="B10" s="19"/>
      <c r="C10" s="20">
        <v>240223000010</v>
      </c>
      <c r="D10" s="21">
        <v>45353</v>
      </c>
      <c r="E10" s="21" t="s">
        <v>51</v>
      </c>
      <c r="F10" s="19" t="s">
        <v>52</v>
      </c>
      <c r="G10" s="19" t="s">
        <v>54</v>
      </c>
      <c r="H10" s="19">
        <v>6.5</v>
      </c>
      <c r="I10" s="41">
        <v>397.2</v>
      </c>
      <c r="J10" s="42"/>
      <c r="K10" s="43"/>
      <c r="L10" s="42"/>
      <c r="M10" s="44"/>
      <c r="N10" s="45"/>
      <c r="O10" s="46">
        <f t="shared" si="0"/>
        <v>397.2</v>
      </c>
      <c r="P10" s="48"/>
      <c r="Q10" s="48"/>
      <c r="R10" s="78">
        <f t="shared" si="1"/>
        <v>269.347498375569</v>
      </c>
      <c r="S10" s="78"/>
      <c r="T10" s="79">
        <f t="shared" si="2"/>
        <v>0.527940220922677</v>
      </c>
      <c r="U10" s="78"/>
      <c r="V10" s="78"/>
      <c r="W10" s="80">
        <f t="shared" si="3"/>
        <v>269.875438596491</v>
      </c>
      <c r="X10" s="81">
        <f t="shared" si="4"/>
        <v>4.70833983105913</v>
      </c>
      <c r="Y10" s="81"/>
      <c r="Z10" s="81"/>
      <c r="AA10" s="81">
        <f t="shared" si="5"/>
        <v>4.70833983105913</v>
      </c>
      <c r="AB10" s="90">
        <v>7.19</v>
      </c>
      <c r="AC10" s="78">
        <f t="shared" si="6"/>
        <v>33.8529633853151</v>
      </c>
      <c r="AD10" s="78">
        <f t="shared" si="7"/>
        <v>303.728401981806</v>
      </c>
      <c r="AE10" s="78">
        <f t="shared" si="8"/>
        <v>93.4715980181936</v>
      </c>
    </row>
    <row r="11" customFormat="1" spans="1:31">
      <c r="A11" s="18"/>
      <c r="B11" s="19"/>
      <c r="C11" s="20">
        <v>240223000011</v>
      </c>
      <c r="D11" s="21">
        <v>45353</v>
      </c>
      <c r="E11" s="21" t="s">
        <v>47</v>
      </c>
      <c r="F11" s="19" t="s">
        <v>48</v>
      </c>
      <c r="G11" s="19" t="s">
        <v>55</v>
      </c>
      <c r="H11" s="19">
        <v>10</v>
      </c>
      <c r="I11" s="41">
        <v>588</v>
      </c>
      <c r="J11" s="42"/>
      <c r="K11" s="43"/>
      <c r="L11" s="42"/>
      <c r="M11" s="44"/>
      <c r="N11" s="45"/>
      <c r="O11" s="46">
        <f t="shared" si="0"/>
        <v>588</v>
      </c>
      <c r="P11" s="48"/>
      <c r="Q11" s="48"/>
      <c r="R11" s="78">
        <f t="shared" si="1"/>
        <v>414.380766731644</v>
      </c>
      <c r="S11" s="78"/>
      <c r="T11" s="79">
        <f t="shared" si="2"/>
        <v>0.812215724496426</v>
      </c>
      <c r="U11" s="78"/>
      <c r="V11" s="78"/>
      <c r="W11" s="80">
        <f t="shared" si="3"/>
        <v>415.19298245614</v>
      </c>
      <c r="X11" s="81">
        <f t="shared" si="4"/>
        <v>7.24359974009097</v>
      </c>
      <c r="Y11" s="81"/>
      <c r="Z11" s="81"/>
      <c r="AA11" s="81">
        <f t="shared" si="5"/>
        <v>7.24359974009097</v>
      </c>
      <c r="AB11" s="90">
        <v>7.19</v>
      </c>
      <c r="AC11" s="78">
        <f t="shared" si="6"/>
        <v>52.0814821312541</v>
      </c>
      <c r="AD11" s="78">
        <f t="shared" si="7"/>
        <v>467.274464587394</v>
      </c>
      <c r="AE11" s="78">
        <f t="shared" si="8"/>
        <v>120.725535412606</v>
      </c>
    </row>
    <row r="12" customFormat="1" spans="1:31">
      <c r="A12" s="18"/>
      <c r="B12" s="19"/>
      <c r="C12" s="20">
        <v>240223000018</v>
      </c>
      <c r="D12" s="21">
        <v>45353</v>
      </c>
      <c r="E12" s="21" t="s">
        <v>41</v>
      </c>
      <c r="F12" s="19" t="s">
        <v>42</v>
      </c>
      <c r="G12" s="19" t="s">
        <v>56</v>
      </c>
      <c r="H12" s="19">
        <v>33.5</v>
      </c>
      <c r="I12" s="46"/>
      <c r="J12" s="54">
        <v>395664</v>
      </c>
      <c r="K12" s="55"/>
      <c r="L12" s="50">
        <f>SUM(J12/M12)</f>
        <v>1600</v>
      </c>
      <c r="M12" s="52">
        <v>247.29</v>
      </c>
      <c r="N12" s="45">
        <v>7.19</v>
      </c>
      <c r="O12" s="46">
        <f>SUM(M12*N12)</f>
        <v>1778.0151</v>
      </c>
      <c r="P12" s="48"/>
      <c r="Q12" s="48"/>
      <c r="R12" s="78">
        <f t="shared" si="1"/>
        <v>1388.17556855101</v>
      </c>
      <c r="S12" s="78"/>
      <c r="T12" s="79">
        <f t="shared" si="2"/>
        <v>2.72092267706303</v>
      </c>
      <c r="U12" s="78"/>
      <c r="V12" s="78"/>
      <c r="W12" s="80">
        <f t="shared" si="3"/>
        <v>1390.89649122807</v>
      </c>
      <c r="X12" s="81">
        <f t="shared" si="4"/>
        <v>24.2660591293047</v>
      </c>
      <c r="Y12" s="81"/>
      <c r="Z12" s="81"/>
      <c r="AA12" s="81">
        <f t="shared" si="5"/>
        <v>24.2660591293047</v>
      </c>
      <c r="AB12" s="90">
        <v>7.19</v>
      </c>
      <c r="AC12" s="78">
        <f t="shared" si="6"/>
        <v>174.472965139701</v>
      </c>
      <c r="AD12" s="78">
        <f t="shared" si="7"/>
        <v>1565.36945636777</v>
      </c>
      <c r="AE12" s="78">
        <f t="shared" si="8"/>
        <v>212.645643632229</v>
      </c>
    </row>
    <row r="13" customFormat="1" spans="1:31">
      <c r="A13" s="18"/>
      <c r="B13" s="19"/>
      <c r="C13" s="20">
        <v>240223000020</v>
      </c>
      <c r="D13" s="21">
        <v>45353</v>
      </c>
      <c r="E13" s="21" t="s">
        <v>51</v>
      </c>
      <c r="F13" s="19" t="s">
        <v>52</v>
      </c>
      <c r="G13" s="19" t="s">
        <v>57</v>
      </c>
      <c r="H13" s="19">
        <v>56.5</v>
      </c>
      <c r="I13" s="41">
        <v>3729</v>
      </c>
      <c r="J13" s="42"/>
      <c r="K13" s="43"/>
      <c r="L13" s="42"/>
      <c r="M13" s="44"/>
      <c r="N13" s="45"/>
      <c r="O13" s="46">
        <f t="shared" ref="O13:O15" si="9">SUM(I13)</f>
        <v>3729</v>
      </c>
      <c r="P13" s="48"/>
      <c r="Q13" s="48"/>
      <c r="R13" s="78">
        <f t="shared" si="1"/>
        <v>2341.25133203379</v>
      </c>
      <c r="S13" s="78"/>
      <c r="T13" s="79">
        <f t="shared" si="2"/>
        <v>4.58901884340481</v>
      </c>
      <c r="U13" s="78"/>
      <c r="V13" s="78"/>
      <c r="W13" s="80">
        <f t="shared" si="3"/>
        <v>2345.84035087719</v>
      </c>
      <c r="X13" s="81">
        <f t="shared" si="4"/>
        <v>40.926338531514</v>
      </c>
      <c r="Y13" s="81"/>
      <c r="Z13" s="81"/>
      <c r="AA13" s="81">
        <f t="shared" si="5"/>
        <v>40.926338531514</v>
      </c>
      <c r="AB13" s="90">
        <v>7.19</v>
      </c>
      <c r="AC13" s="78">
        <f t="shared" si="6"/>
        <v>294.260374041585</v>
      </c>
      <c r="AD13" s="78">
        <f t="shared" si="7"/>
        <v>2640.10072491878</v>
      </c>
      <c r="AE13" s="78">
        <f t="shared" si="8"/>
        <v>1088.89927508122</v>
      </c>
    </row>
    <row r="14" customFormat="1" spans="1:31">
      <c r="A14" s="18"/>
      <c r="B14" s="19"/>
      <c r="C14" s="20">
        <v>240224000001</v>
      </c>
      <c r="D14" s="21">
        <v>45353</v>
      </c>
      <c r="E14" s="21" t="s">
        <v>41</v>
      </c>
      <c r="F14" s="19" t="s">
        <v>42</v>
      </c>
      <c r="G14" s="19" t="s">
        <v>58</v>
      </c>
      <c r="H14" s="19">
        <v>9</v>
      </c>
      <c r="I14" s="41">
        <v>547</v>
      </c>
      <c r="J14" s="42"/>
      <c r="K14" s="43"/>
      <c r="L14" s="42"/>
      <c r="M14" s="44"/>
      <c r="N14" s="45"/>
      <c r="O14" s="46">
        <f t="shared" si="9"/>
        <v>547</v>
      </c>
      <c r="P14" s="48"/>
      <c r="Q14" s="48"/>
      <c r="R14" s="78">
        <f t="shared" si="1"/>
        <v>372.94269005848</v>
      </c>
      <c r="S14" s="78"/>
      <c r="T14" s="79">
        <f t="shared" si="2"/>
        <v>0.730994152046784</v>
      </c>
      <c r="U14" s="78"/>
      <c r="V14" s="78"/>
      <c r="W14" s="80">
        <f t="shared" si="3"/>
        <v>373.673684210526</v>
      </c>
      <c r="X14" s="81">
        <f t="shared" si="4"/>
        <v>6.51923976608187</v>
      </c>
      <c r="Y14" s="81"/>
      <c r="Z14" s="81"/>
      <c r="AA14" s="81">
        <f t="shared" si="5"/>
        <v>6.51923976608187</v>
      </c>
      <c r="AB14" s="90">
        <v>7.19</v>
      </c>
      <c r="AC14" s="78">
        <f t="shared" si="6"/>
        <v>46.8733339181287</v>
      </c>
      <c r="AD14" s="78">
        <f t="shared" si="7"/>
        <v>420.547018128655</v>
      </c>
      <c r="AE14" s="78">
        <f t="shared" si="8"/>
        <v>126.452981871345</v>
      </c>
    </row>
    <row r="15" customFormat="1" spans="1:31">
      <c r="A15" s="18"/>
      <c r="B15" s="19"/>
      <c r="C15" s="20">
        <v>240224000004</v>
      </c>
      <c r="D15" s="21">
        <v>45353</v>
      </c>
      <c r="E15" s="21" t="s">
        <v>41</v>
      </c>
      <c r="F15" s="19" t="s">
        <v>42</v>
      </c>
      <c r="G15" s="19" t="s">
        <v>59</v>
      </c>
      <c r="H15" s="19">
        <v>30</v>
      </c>
      <c r="I15" s="41">
        <v>1671</v>
      </c>
      <c r="J15" s="42"/>
      <c r="K15" s="43"/>
      <c r="L15" s="42"/>
      <c r="M15" s="44"/>
      <c r="N15" s="45"/>
      <c r="O15" s="46">
        <f t="shared" si="9"/>
        <v>1671</v>
      </c>
      <c r="P15" s="48"/>
      <c r="Q15" s="48"/>
      <c r="R15" s="78">
        <f t="shared" si="1"/>
        <v>1243.14230019493</v>
      </c>
      <c r="S15" s="78"/>
      <c r="T15" s="79">
        <f t="shared" si="2"/>
        <v>2.43664717348928</v>
      </c>
      <c r="U15" s="78"/>
      <c r="V15" s="78"/>
      <c r="W15" s="80">
        <f t="shared" si="3"/>
        <v>1245.57894736842</v>
      </c>
      <c r="X15" s="81">
        <f t="shared" si="4"/>
        <v>21.7307992202729</v>
      </c>
      <c r="Y15" s="81"/>
      <c r="Z15" s="81"/>
      <c r="AA15" s="81">
        <f t="shared" si="5"/>
        <v>21.7307992202729</v>
      </c>
      <c r="AB15" s="90">
        <v>7.19</v>
      </c>
      <c r="AC15" s="78">
        <f t="shared" si="6"/>
        <v>156.244446393762</v>
      </c>
      <c r="AD15" s="78">
        <f t="shared" si="7"/>
        <v>1401.82339376218</v>
      </c>
      <c r="AE15" s="78">
        <f t="shared" si="8"/>
        <v>269.176606237817</v>
      </c>
    </row>
    <row r="16" customFormat="1" spans="1:31">
      <c r="A16" s="18"/>
      <c r="B16" s="19"/>
      <c r="C16" s="20">
        <v>240224000007</v>
      </c>
      <c r="D16" s="21">
        <v>45353</v>
      </c>
      <c r="E16" s="21" t="s">
        <v>41</v>
      </c>
      <c r="F16" s="19" t="s">
        <v>42</v>
      </c>
      <c r="G16" s="19" t="s">
        <v>60</v>
      </c>
      <c r="H16" s="19">
        <v>15</v>
      </c>
      <c r="I16" s="46"/>
      <c r="J16" s="54">
        <v>240000</v>
      </c>
      <c r="K16" s="55"/>
      <c r="L16" s="50">
        <f>SUM(J16/M16)</f>
        <v>1600</v>
      </c>
      <c r="M16" s="52">
        <v>150</v>
      </c>
      <c r="N16" s="45">
        <v>7.19</v>
      </c>
      <c r="O16" s="46">
        <f>SUM(M16*N16)</f>
        <v>1078.5</v>
      </c>
      <c r="P16" s="48"/>
      <c r="Q16" s="48"/>
      <c r="R16" s="78">
        <f t="shared" si="1"/>
        <v>621.571150097466</v>
      </c>
      <c r="S16" s="78"/>
      <c r="T16" s="79">
        <f t="shared" si="2"/>
        <v>1.21832358674464</v>
      </c>
      <c r="U16" s="78"/>
      <c r="V16" s="78"/>
      <c r="W16" s="80">
        <f t="shared" si="3"/>
        <v>622.789473684211</v>
      </c>
      <c r="X16" s="81">
        <f t="shared" si="4"/>
        <v>10.8653996101365</v>
      </c>
      <c r="Y16" s="81"/>
      <c r="Z16" s="81"/>
      <c r="AA16" s="81">
        <f t="shared" si="5"/>
        <v>10.8653996101365</v>
      </c>
      <c r="AB16" s="90">
        <v>7.19</v>
      </c>
      <c r="AC16" s="78">
        <f t="shared" si="6"/>
        <v>78.1222231968811</v>
      </c>
      <c r="AD16" s="78">
        <f t="shared" si="7"/>
        <v>700.911696881092</v>
      </c>
      <c r="AE16" s="78">
        <f t="shared" si="8"/>
        <v>377.588303118908</v>
      </c>
    </row>
    <row r="17" customFormat="1" spans="1:31">
      <c r="A17" s="18"/>
      <c r="B17" s="19"/>
      <c r="C17" s="20">
        <v>240226000002</v>
      </c>
      <c r="D17" s="21">
        <v>45353</v>
      </c>
      <c r="E17" s="21" t="s">
        <v>41</v>
      </c>
      <c r="F17" s="19" t="s">
        <v>42</v>
      </c>
      <c r="G17" s="19" t="s">
        <v>61</v>
      </c>
      <c r="H17" s="19">
        <v>31</v>
      </c>
      <c r="I17" s="41">
        <v>1646</v>
      </c>
      <c r="J17" s="42"/>
      <c r="K17" s="43"/>
      <c r="L17" s="42"/>
      <c r="M17" s="44"/>
      <c r="N17" s="45"/>
      <c r="O17" s="46">
        <f t="shared" ref="O17:O19" si="10">SUM(I17)</f>
        <v>1646</v>
      </c>
      <c r="P17" s="48"/>
      <c r="Q17" s="48"/>
      <c r="R17" s="78">
        <f t="shared" si="1"/>
        <v>1284.5803768681</v>
      </c>
      <c r="S17" s="78"/>
      <c r="T17" s="79">
        <f t="shared" si="2"/>
        <v>2.51786874593892</v>
      </c>
      <c r="U17" s="78"/>
      <c r="V17" s="79">
        <f>SUM(43+22)</f>
        <v>65</v>
      </c>
      <c r="W17" s="80">
        <f t="shared" si="3"/>
        <v>1352.09824561403</v>
      </c>
      <c r="X17" s="81">
        <f t="shared" si="4"/>
        <v>22.455159194282</v>
      </c>
      <c r="Y17" s="81"/>
      <c r="Z17" s="81"/>
      <c r="AA17" s="81">
        <f t="shared" si="5"/>
        <v>22.455159194282</v>
      </c>
      <c r="AB17" s="90">
        <v>7.19</v>
      </c>
      <c r="AC17" s="78">
        <f t="shared" si="6"/>
        <v>161.452594606888</v>
      </c>
      <c r="AD17" s="78">
        <f t="shared" si="7"/>
        <v>1513.55084022092</v>
      </c>
      <c r="AE17" s="78">
        <f t="shared" si="8"/>
        <v>132.449159779077</v>
      </c>
    </row>
    <row r="18" customFormat="1" spans="1:31">
      <c r="A18" s="18"/>
      <c r="B18" s="19"/>
      <c r="C18" s="20">
        <v>240226000003</v>
      </c>
      <c r="D18" s="21">
        <v>45353</v>
      </c>
      <c r="E18" s="21" t="s">
        <v>41</v>
      </c>
      <c r="F18" s="19" t="s">
        <v>42</v>
      </c>
      <c r="G18" s="19" t="s">
        <v>62</v>
      </c>
      <c r="H18" s="19">
        <v>0.36</v>
      </c>
      <c r="I18" s="41">
        <v>60</v>
      </c>
      <c r="J18" s="42"/>
      <c r="K18" s="43"/>
      <c r="L18" s="42"/>
      <c r="M18" s="44"/>
      <c r="N18" s="45"/>
      <c r="O18" s="46">
        <f t="shared" si="10"/>
        <v>60</v>
      </c>
      <c r="P18" s="48"/>
      <c r="Q18" s="48"/>
      <c r="R18" s="78">
        <f t="shared" si="1"/>
        <v>14.9177076023392</v>
      </c>
      <c r="S18" s="78"/>
      <c r="T18" s="79">
        <f t="shared" si="2"/>
        <v>0.0292397660818713</v>
      </c>
      <c r="U18" s="78"/>
      <c r="V18" s="78"/>
      <c r="W18" s="80">
        <f t="shared" si="3"/>
        <v>14.9469473684211</v>
      </c>
      <c r="X18" s="81">
        <f t="shared" si="4"/>
        <v>0.260769590643275</v>
      </c>
      <c r="Y18" s="81"/>
      <c r="Z18" s="81"/>
      <c r="AA18" s="81">
        <f t="shared" si="5"/>
        <v>0.260769590643275</v>
      </c>
      <c r="AB18" s="90">
        <v>7.19</v>
      </c>
      <c r="AC18" s="78">
        <f t="shared" si="6"/>
        <v>1.87493335672515</v>
      </c>
      <c r="AD18" s="78">
        <f t="shared" si="7"/>
        <v>16.8218807251462</v>
      </c>
      <c r="AE18" s="78">
        <f t="shared" si="8"/>
        <v>43.1781192748538</v>
      </c>
    </row>
    <row r="19" customFormat="1" spans="1:31">
      <c r="A19" s="18"/>
      <c r="B19" s="19"/>
      <c r="C19" s="20">
        <v>240226000004</v>
      </c>
      <c r="D19" s="21">
        <v>45353</v>
      </c>
      <c r="E19" s="21" t="s">
        <v>41</v>
      </c>
      <c r="F19" s="19" t="s">
        <v>42</v>
      </c>
      <c r="G19" s="19" t="s">
        <v>63</v>
      </c>
      <c r="H19" s="19">
        <v>6</v>
      </c>
      <c r="I19" s="41">
        <v>378</v>
      </c>
      <c r="J19" s="42"/>
      <c r="K19" s="43"/>
      <c r="L19" s="42"/>
      <c r="M19" s="44"/>
      <c r="N19" s="45"/>
      <c r="O19" s="46">
        <f t="shared" si="10"/>
        <v>378</v>
      </c>
      <c r="P19" s="48"/>
      <c r="Q19" s="48"/>
      <c r="R19" s="78">
        <f t="shared" si="1"/>
        <v>248.628460038986</v>
      </c>
      <c r="S19" s="78"/>
      <c r="T19" s="79">
        <f t="shared" si="2"/>
        <v>0.487329434697856</v>
      </c>
      <c r="U19" s="78"/>
      <c r="V19" s="78"/>
      <c r="W19" s="80">
        <f t="shared" si="3"/>
        <v>249.115789473684</v>
      </c>
      <c r="X19" s="81">
        <f t="shared" si="4"/>
        <v>4.34615984405458</v>
      </c>
      <c r="Y19" s="81"/>
      <c r="Z19" s="81"/>
      <c r="AA19" s="81">
        <f t="shared" si="5"/>
        <v>4.34615984405458</v>
      </c>
      <c r="AB19" s="90">
        <v>7.19</v>
      </c>
      <c r="AC19" s="78">
        <f t="shared" si="6"/>
        <v>31.2488892787524</v>
      </c>
      <c r="AD19" s="78">
        <f t="shared" si="7"/>
        <v>280.364678752437</v>
      </c>
      <c r="AE19" s="78">
        <f t="shared" si="8"/>
        <v>97.6353212475634</v>
      </c>
    </row>
    <row r="20" customFormat="1" spans="1:31">
      <c r="A20" s="18"/>
      <c r="B20" s="19"/>
      <c r="C20" s="20">
        <v>240226000010</v>
      </c>
      <c r="D20" s="21">
        <v>45353</v>
      </c>
      <c r="E20" s="21" t="s">
        <v>44</v>
      </c>
      <c r="F20" s="19" t="s">
        <v>45</v>
      </c>
      <c r="G20" s="19" t="s">
        <v>64</v>
      </c>
      <c r="H20" s="19">
        <v>2</v>
      </c>
      <c r="I20" s="49"/>
      <c r="J20" s="50">
        <v>27875</v>
      </c>
      <c r="K20" s="51"/>
      <c r="L20" s="50">
        <f>SUM(J20/M20)</f>
        <v>1603.85500575374</v>
      </c>
      <c r="M20" s="52">
        <v>17.38</v>
      </c>
      <c r="N20" s="45">
        <v>7.19</v>
      </c>
      <c r="O20" s="46">
        <f>SUM(M20*N20)</f>
        <v>124.9622</v>
      </c>
      <c r="P20" s="48"/>
      <c r="Q20" s="48"/>
      <c r="R20" s="78">
        <f t="shared" si="1"/>
        <v>82.8761533463288</v>
      </c>
      <c r="S20" s="78"/>
      <c r="T20" s="79">
        <f t="shared" si="2"/>
        <v>0.162443144899285</v>
      </c>
      <c r="U20" s="78"/>
      <c r="V20" s="78"/>
      <c r="W20" s="80">
        <f t="shared" si="3"/>
        <v>83.0385964912281</v>
      </c>
      <c r="X20" s="81">
        <f t="shared" si="4"/>
        <v>1.44871994801819</v>
      </c>
      <c r="Y20" s="81"/>
      <c r="Z20" s="81"/>
      <c r="AA20" s="81">
        <f t="shared" si="5"/>
        <v>1.44871994801819</v>
      </c>
      <c r="AB20" s="90">
        <v>7.19</v>
      </c>
      <c r="AC20" s="78">
        <f t="shared" si="6"/>
        <v>10.4162964262508</v>
      </c>
      <c r="AD20" s="78">
        <f t="shared" si="7"/>
        <v>93.4548929174789</v>
      </c>
      <c r="AE20" s="78">
        <f t="shared" si="8"/>
        <v>31.5073070825211</v>
      </c>
    </row>
    <row r="21" customFormat="1" spans="1:31">
      <c r="A21" s="18"/>
      <c r="B21" s="19"/>
      <c r="C21" s="20">
        <v>240226000026</v>
      </c>
      <c r="D21" s="21">
        <v>45353</v>
      </c>
      <c r="E21" s="21" t="s">
        <v>51</v>
      </c>
      <c r="F21" s="19" t="s">
        <v>65</v>
      </c>
      <c r="G21" s="19" t="s">
        <v>66</v>
      </c>
      <c r="H21" s="19">
        <v>8.5</v>
      </c>
      <c r="I21" s="41">
        <v>456</v>
      </c>
      <c r="J21" s="42"/>
      <c r="K21" s="43"/>
      <c r="L21" s="42"/>
      <c r="M21" s="44"/>
      <c r="N21" s="45"/>
      <c r="O21" s="46">
        <f t="shared" ref="O21:O24" si="11">SUM(I21)</f>
        <v>456</v>
      </c>
      <c r="P21" s="48"/>
      <c r="Q21" s="48"/>
      <c r="R21" s="78">
        <f t="shared" si="1"/>
        <v>352.223651721897</v>
      </c>
      <c r="S21" s="78"/>
      <c r="T21" s="79">
        <f t="shared" si="2"/>
        <v>0.690383365821962</v>
      </c>
      <c r="U21" s="78"/>
      <c r="V21" s="78"/>
      <c r="W21" s="80">
        <f t="shared" si="3"/>
        <v>352.914035087719</v>
      </c>
      <c r="X21" s="81">
        <f t="shared" si="4"/>
        <v>6.15705977907732</v>
      </c>
      <c r="Y21" s="81"/>
      <c r="Z21" s="81"/>
      <c r="AA21" s="81">
        <f t="shared" si="5"/>
        <v>6.15705977907732</v>
      </c>
      <c r="AB21" s="90">
        <v>7.19</v>
      </c>
      <c r="AC21" s="78">
        <f t="shared" si="6"/>
        <v>44.269259811566</v>
      </c>
      <c r="AD21" s="78">
        <f t="shared" si="7"/>
        <v>397.183294899285</v>
      </c>
      <c r="AE21" s="78">
        <f t="shared" si="8"/>
        <v>58.8167051007148</v>
      </c>
    </row>
    <row r="22" customFormat="1" spans="1:31">
      <c r="A22" s="18"/>
      <c r="B22" s="19"/>
      <c r="C22" s="20">
        <v>240226000027</v>
      </c>
      <c r="D22" s="21">
        <v>45353</v>
      </c>
      <c r="E22" s="21" t="s">
        <v>51</v>
      </c>
      <c r="F22" s="19" t="s">
        <v>65</v>
      </c>
      <c r="G22" s="19" t="s">
        <v>67</v>
      </c>
      <c r="H22" s="19">
        <v>3</v>
      </c>
      <c r="I22" s="41">
        <v>194.4</v>
      </c>
      <c r="J22" s="42"/>
      <c r="K22" s="43"/>
      <c r="L22" s="42"/>
      <c r="M22" s="44"/>
      <c r="N22" s="45"/>
      <c r="O22" s="46">
        <f t="shared" si="11"/>
        <v>194.4</v>
      </c>
      <c r="P22" s="48"/>
      <c r="Q22" s="48"/>
      <c r="R22" s="78">
        <f t="shared" si="1"/>
        <v>124.314230019493</v>
      </c>
      <c r="S22" s="78"/>
      <c r="T22" s="79">
        <f t="shared" si="2"/>
        <v>0.243664717348928</v>
      </c>
      <c r="U22" s="78"/>
      <c r="V22" s="78"/>
      <c r="W22" s="80">
        <f t="shared" si="3"/>
        <v>124.557894736842</v>
      </c>
      <c r="X22" s="81">
        <f t="shared" si="4"/>
        <v>2.17307992202729</v>
      </c>
      <c r="Y22" s="81"/>
      <c r="Z22" s="81"/>
      <c r="AA22" s="81">
        <f t="shared" si="5"/>
        <v>2.17307992202729</v>
      </c>
      <c r="AB22" s="90">
        <v>7.19</v>
      </c>
      <c r="AC22" s="78">
        <f t="shared" si="6"/>
        <v>15.6244446393762</v>
      </c>
      <c r="AD22" s="78">
        <f t="shared" si="7"/>
        <v>140.182339376218</v>
      </c>
      <c r="AE22" s="78">
        <f t="shared" si="8"/>
        <v>54.2176606237817</v>
      </c>
    </row>
    <row r="23" customFormat="1" spans="1:31">
      <c r="A23" s="18"/>
      <c r="B23" s="19"/>
      <c r="C23" s="20">
        <v>240226000044</v>
      </c>
      <c r="D23" s="21">
        <v>45353</v>
      </c>
      <c r="E23" s="21" t="s">
        <v>47</v>
      </c>
      <c r="F23" s="19" t="s">
        <v>48</v>
      </c>
      <c r="G23" s="19" t="s">
        <v>68</v>
      </c>
      <c r="H23" s="19">
        <v>408.5</v>
      </c>
      <c r="I23" s="41">
        <v>21026.25</v>
      </c>
      <c r="J23" s="42"/>
      <c r="K23" s="43"/>
      <c r="L23" s="42"/>
      <c r="M23" s="44"/>
      <c r="N23" s="45"/>
      <c r="O23" s="46">
        <f t="shared" si="11"/>
        <v>21026.25</v>
      </c>
      <c r="P23" s="48"/>
      <c r="Q23" s="48"/>
      <c r="R23" s="78">
        <f t="shared" si="1"/>
        <v>16927.4543209877</v>
      </c>
      <c r="S23" s="78"/>
      <c r="T23" s="79">
        <f t="shared" si="2"/>
        <v>33.179012345679</v>
      </c>
      <c r="U23" s="78"/>
      <c r="V23" s="79">
        <f>SUM(326+71)</f>
        <v>397</v>
      </c>
      <c r="W23" s="80">
        <f t="shared" si="3"/>
        <v>17357.6333333333</v>
      </c>
      <c r="X23" s="81">
        <f t="shared" si="4"/>
        <v>295.901049382716</v>
      </c>
      <c r="Y23" s="81"/>
      <c r="Z23" s="81"/>
      <c r="AA23" s="81">
        <f t="shared" si="5"/>
        <v>295.901049382716</v>
      </c>
      <c r="AB23" s="90">
        <v>7.19</v>
      </c>
      <c r="AC23" s="78">
        <f t="shared" si="6"/>
        <v>2127.52854506173</v>
      </c>
      <c r="AD23" s="78">
        <f t="shared" si="7"/>
        <v>19485.1618783951</v>
      </c>
      <c r="AE23" s="78">
        <f t="shared" si="8"/>
        <v>1541.08812160494</v>
      </c>
    </row>
    <row r="24" customFormat="1" spans="1:31">
      <c r="A24" s="18"/>
      <c r="B24" s="19"/>
      <c r="C24" s="20">
        <v>240227000009</v>
      </c>
      <c r="D24" s="21">
        <v>45353</v>
      </c>
      <c r="E24" s="21" t="s">
        <v>47</v>
      </c>
      <c r="F24" s="19" t="s">
        <v>48</v>
      </c>
      <c r="G24" s="19" t="s">
        <v>69</v>
      </c>
      <c r="H24" s="19">
        <v>10</v>
      </c>
      <c r="I24" s="41">
        <v>535.2</v>
      </c>
      <c r="J24" s="42"/>
      <c r="K24" s="43"/>
      <c r="L24" s="42"/>
      <c r="M24" s="44"/>
      <c r="N24" s="45"/>
      <c r="O24" s="46">
        <f t="shared" si="11"/>
        <v>535.2</v>
      </c>
      <c r="P24" s="48"/>
      <c r="Q24" s="48"/>
      <c r="R24" s="78">
        <f t="shared" si="1"/>
        <v>414.380766731644</v>
      </c>
      <c r="S24" s="78"/>
      <c r="T24" s="79">
        <f t="shared" si="2"/>
        <v>0.812215724496426</v>
      </c>
      <c r="U24" s="78"/>
      <c r="V24" s="78"/>
      <c r="W24" s="80">
        <f t="shared" si="3"/>
        <v>415.19298245614</v>
      </c>
      <c r="X24" s="81">
        <f t="shared" si="4"/>
        <v>7.24359974009097</v>
      </c>
      <c r="Y24" s="81"/>
      <c r="Z24" s="81"/>
      <c r="AA24" s="81">
        <f t="shared" si="5"/>
        <v>7.24359974009097</v>
      </c>
      <c r="AB24" s="90">
        <v>7.19</v>
      </c>
      <c r="AC24" s="78">
        <f t="shared" si="6"/>
        <v>52.0814821312541</v>
      </c>
      <c r="AD24" s="78">
        <f t="shared" si="7"/>
        <v>467.274464587394</v>
      </c>
      <c r="AE24" s="78">
        <f t="shared" si="8"/>
        <v>67.9255354126057</v>
      </c>
    </row>
    <row r="25" customFormat="1" spans="1:31">
      <c r="A25" s="18"/>
      <c r="B25" s="19"/>
      <c r="C25" s="22">
        <v>240227000015</v>
      </c>
      <c r="D25" s="23">
        <v>45353</v>
      </c>
      <c r="E25" s="21" t="s">
        <v>41</v>
      </c>
      <c r="F25" s="24" t="s">
        <v>42</v>
      </c>
      <c r="G25" s="24" t="s">
        <v>63</v>
      </c>
      <c r="H25" s="24">
        <v>1.5</v>
      </c>
      <c r="I25" s="49"/>
      <c r="J25" s="50">
        <v>19968</v>
      </c>
      <c r="K25" s="51"/>
      <c r="L25" s="50">
        <f>SUM(J25/M25)</f>
        <v>1600</v>
      </c>
      <c r="M25" s="56">
        <v>12.48</v>
      </c>
      <c r="N25" s="45">
        <v>7.19</v>
      </c>
      <c r="O25" s="46">
        <f>SUM(M25*N25)</f>
        <v>89.7312</v>
      </c>
      <c r="P25" s="48"/>
      <c r="Q25" s="48"/>
      <c r="R25" s="78">
        <f t="shared" si="1"/>
        <v>62.1571150097466</v>
      </c>
      <c r="S25" s="78"/>
      <c r="T25" s="79">
        <f t="shared" si="2"/>
        <v>0.121832358674464</v>
      </c>
      <c r="U25" s="78"/>
      <c r="V25" s="78"/>
      <c r="W25" s="80">
        <f t="shared" si="3"/>
        <v>62.2789473684211</v>
      </c>
      <c r="X25" s="81">
        <f t="shared" si="4"/>
        <v>1.08653996101365</v>
      </c>
      <c r="Y25" s="81"/>
      <c r="Z25" s="81"/>
      <c r="AA25" s="81">
        <f t="shared" si="5"/>
        <v>1.08653996101365</v>
      </c>
      <c r="AB25" s="90">
        <v>7.19</v>
      </c>
      <c r="AC25" s="78">
        <f t="shared" si="6"/>
        <v>7.81222231968811</v>
      </c>
      <c r="AD25" s="78">
        <f t="shared" si="7"/>
        <v>70.0911696881092</v>
      </c>
      <c r="AE25" s="78">
        <f t="shared" si="8"/>
        <v>19.6400303118908</v>
      </c>
    </row>
    <row r="26" customFormat="1" spans="1:31">
      <c r="A26" s="18"/>
      <c r="B26" s="19"/>
      <c r="C26" s="20">
        <v>240227000020</v>
      </c>
      <c r="D26" s="21">
        <v>45353</v>
      </c>
      <c r="E26" s="21" t="s">
        <v>70</v>
      </c>
      <c r="F26" s="19" t="s">
        <v>70</v>
      </c>
      <c r="G26" s="19" t="s">
        <v>71</v>
      </c>
      <c r="H26" s="19">
        <v>115.5</v>
      </c>
      <c r="I26" s="41">
        <v>5297.5</v>
      </c>
      <c r="J26" s="42"/>
      <c r="K26" s="43"/>
      <c r="L26" s="42"/>
      <c r="M26" s="44"/>
      <c r="N26" s="45"/>
      <c r="O26" s="46">
        <f t="shared" ref="O26:O30" si="12">SUM(I26)</f>
        <v>5297.5</v>
      </c>
      <c r="P26" s="48"/>
      <c r="Q26" s="48"/>
      <c r="R26" s="78">
        <f t="shared" si="1"/>
        <v>4786.09785575049</v>
      </c>
      <c r="S26" s="78"/>
      <c r="T26" s="79">
        <f t="shared" si="2"/>
        <v>9.38109161793372</v>
      </c>
      <c r="U26" s="78"/>
      <c r="V26" s="78"/>
      <c r="W26" s="80">
        <f t="shared" si="3"/>
        <v>4795.47894736842</v>
      </c>
      <c r="X26" s="81">
        <f t="shared" si="4"/>
        <v>83.6635769980507</v>
      </c>
      <c r="Y26" s="81"/>
      <c r="Z26" s="81"/>
      <c r="AA26" s="81">
        <f t="shared" si="5"/>
        <v>83.6635769980507</v>
      </c>
      <c r="AB26" s="90">
        <v>7.19</v>
      </c>
      <c r="AC26" s="78">
        <f t="shared" si="6"/>
        <v>601.541118615984</v>
      </c>
      <c r="AD26" s="78">
        <f t="shared" si="7"/>
        <v>5397.0200659844</v>
      </c>
      <c r="AE26" s="78">
        <f t="shared" si="8"/>
        <v>-99.5200659844049</v>
      </c>
    </row>
    <row r="27" customFormat="1" spans="1:31">
      <c r="A27" s="18"/>
      <c r="B27" s="19"/>
      <c r="C27" s="20">
        <v>240227000030</v>
      </c>
      <c r="D27" s="21">
        <v>45353</v>
      </c>
      <c r="E27" s="21" t="s">
        <v>44</v>
      </c>
      <c r="F27" s="19" t="s">
        <v>45</v>
      </c>
      <c r="G27" s="19" t="s">
        <v>72</v>
      </c>
      <c r="H27" s="19">
        <v>2</v>
      </c>
      <c r="I27" s="41">
        <v>135.8</v>
      </c>
      <c r="J27" s="42"/>
      <c r="K27" s="43"/>
      <c r="L27" s="42"/>
      <c r="M27" s="44"/>
      <c r="N27" s="45"/>
      <c r="O27" s="46">
        <f t="shared" si="12"/>
        <v>135.8</v>
      </c>
      <c r="P27" s="48"/>
      <c r="Q27" s="48"/>
      <c r="R27" s="78">
        <f t="shared" si="1"/>
        <v>82.8761533463288</v>
      </c>
      <c r="S27" s="78"/>
      <c r="T27" s="79">
        <f t="shared" si="2"/>
        <v>0.162443144899285</v>
      </c>
      <c r="U27" s="78"/>
      <c r="V27" s="78"/>
      <c r="W27" s="80">
        <f t="shared" si="3"/>
        <v>83.0385964912281</v>
      </c>
      <c r="X27" s="81">
        <f t="shared" si="4"/>
        <v>1.44871994801819</v>
      </c>
      <c r="Y27" s="81"/>
      <c r="Z27" s="81"/>
      <c r="AA27" s="81">
        <f t="shared" si="5"/>
        <v>1.44871994801819</v>
      </c>
      <c r="AB27" s="90">
        <v>7.19</v>
      </c>
      <c r="AC27" s="78">
        <f t="shared" si="6"/>
        <v>10.4162964262508</v>
      </c>
      <c r="AD27" s="78">
        <f t="shared" si="7"/>
        <v>93.4548929174789</v>
      </c>
      <c r="AE27" s="78">
        <f t="shared" si="8"/>
        <v>42.3451070825211</v>
      </c>
    </row>
    <row r="28" customFormat="1" spans="1:31">
      <c r="A28" s="18"/>
      <c r="B28" s="19"/>
      <c r="C28" s="20">
        <v>240227000032</v>
      </c>
      <c r="D28" s="21">
        <v>45353</v>
      </c>
      <c r="E28" s="21" t="s">
        <v>41</v>
      </c>
      <c r="F28" s="19" t="s">
        <v>42</v>
      </c>
      <c r="G28" s="19" t="s">
        <v>73</v>
      </c>
      <c r="H28" s="19">
        <v>1.5</v>
      </c>
      <c r="I28" s="41">
        <v>147</v>
      </c>
      <c r="J28" s="42"/>
      <c r="K28" s="43"/>
      <c r="L28" s="42"/>
      <c r="M28" s="44"/>
      <c r="N28" s="45"/>
      <c r="O28" s="46">
        <f t="shared" si="12"/>
        <v>147</v>
      </c>
      <c r="P28" s="48"/>
      <c r="Q28" s="48"/>
      <c r="R28" s="78">
        <f t="shared" si="1"/>
        <v>62.1571150097466</v>
      </c>
      <c r="S28" s="78"/>
      <c r="T28" s="79">
        <f t="shared" si="2"/>
        <v>0.121832358674464</v>
      </c>
      <c r="U28" s="78"/>
      <c r="V28" s="78"/>
      <c r="W28" s="80">
        <f t="shared" si="3"/>
        <v>62.2789473684211</v>
      </c>
      <c r="X28" s="81">
        <f t="shared" si="4"/>
        <v>1.08653996101365</v>
      </c>
      <c r="Y28" s="81"/>
      <c r="Z28" s="81"/>
      <c r="AA28" s="81">
        <f t="shared" si="5"/>
        <v>1.08653996101365</v>
      </c>
      <c r="AB28" s="90">
        <v>7.19</v>
      </c>
      <c r="AC28" s="78">
        <f t="shared" ref="AC28:AC46" si="13">SUM(AA28*AB28)</f>
        <v>7.81222231968814</v>
      </c>
      <c r="AD28" s="78">
        <f t="shared" si="7"/>
        <v>70.0911696881092</v>
      </c>
      <c r="AE28" s="78">
        <f t="shared" ref="AE28:AE45" si="14">SUM(O28-AD28)</f>
        <v>76.9088303118908</v>
      </c>
    </row>
    <row r="29" customFormat="1" spans="1:31">
      <c r="A29" s="18"/>
      <c r="B29" s="19"/>
      <c r="C29" s="20">
        <v>240227000033</v>
      </c>
      <c r="D29" s="21">
        <v>45353</v>
      </c>
      <c r="E29" s="21" t="s">
        <v>41</v>
      </c>
      <c r="F29" s="19" t="s">
        <v>42</v>
      </c>
      <c r="G29" s="19" t="s">
        <v>73</v>
      </c>
      <c r="H29" s="19">
        <v>3</v>
      </c>
      <c r="I29" s="41">
        <v>172.8</v>
      </c>
      <c r="J29" s="42"/>
      <c r="K29" s="43"/>
      <c r="L29" s="42"/>
      <c r="M29" s="44"/>
      <c r="N29" s="45"/>
      <c r="O29" s="46">
        <f t="shared" si="12"/>
        <v>172.8</v>
      </c>
      <c r="P29" s="48"/>
      <c r="Q29" s="48"/>
      <c r="R29" s="78">
        <f t="shared" si="1"/>
        <v>124.314230019493</v>
      </c>
      <c r="S29" s="78"/>
      <c r="T29" s="79">
        <f t="shared" si="2"/>
        <v>0.243664717348928</v>
      </c>
      <c r="U29" s="78"/>
      <c r="V29" s="78"/>
      <c r="W29" s="80">
        <f t="shared" ref="W29:W45" si="15">SUM(R29:V29)</f>
        <v>124.557894736842</v>
      </c>
      <c r="X29" s="81">
        <f t="shared" si="4"/>
        <v>2.17307992202729</v>
      </c>
      <c r="Y29" s="81"/>
      <c r="Z29" s="81"/>
      <c r="AA29" s="81">
        <f t="shared" si="5"/>
        <v>2.17307992202729</v>
      </c>
      <c r="AB29" s="90">
        <v>7.19</v>
      </c>
      <c r="AC29" s="78">
        <f t="shared" si="13"/>
        <v>15.6244446393762</v>
      </c>
      <c r="AD29" s="78">
        <f t="shared" ref="AD29:AD46" si="16">SUM(W29+AC29)</f>
        <v>140.182339376218</v>
      </c>
      <c r="AE29" s="78">
        <f t="shared" si="14"/>
        <v>32.6176606237818</v>
      </c>
    </row>
    <row r="30" customFormat="1" spans="1:31">
      <c r="A30" s="18"/>
      <c r="B30" s="19"/>
      <c r="C30" s="20">
        <v>240301000026</v>
      </c>
      <c r="D30" s="21">
        <v>45353</v>
      </c>
      <c r="E30" s="21" t="s">
        <v>70</v>
      </c>
      <c r="F30" s="19" t="s">
        <v>70</v>
      </c>
      <c r="G30" s="19" t="s">
        <v>74</v>
      </c>
      <c r="H30" s="19">
        <v>390.5</v>
      </c>
      <c r="I30" s="57">
        <v>17182</v>
      </c>
      <c r="J30" s="53"/>
      <c r="K30" s="51"/>
      <c r="L30" s="53"/>
      <c r="M30" s="44"/>
      <c r="N30" s="45"/>
      <c r="O30" s="46">
        <f t="shared" si="12"/>
        <v>17182</v>
      </c>
      <c r="P30" s="58"/>
      <c r="Q30" s="58"/>
      <c r="R30" s="78">
        <f t="shared" si="1"/>
        <v>16181.5689408707</v>
      </c>
      <c r="S30" s="78"/>
      <c r="T30" s="79">
        <f t="shared" si="2"/>
        <v>31.7170240415854</v>
      </c>
      <c r="U30" s="78"/>
      <c r="V30" s="78"/>
      <c r="W30" s="80">
        <f t="shared" si="15"/>
        <v>16213.2859649123</v>
      </c>
      <c r="X30" s="81">
        <f t="shared" si="4"/>
        <v>282.862569850552</v>
      </c>
      <c r="Y30" s="81"/>
      <c r="Z30" s="81"/>
      <c r="AA30" s="81">
        <f t="shared" ref="AA30:AA45" si="17">SUM(X30:Z30)</f>
        <v>282.862569850552</v>
      </c>
      <c r="AB30" s="90">
        <v>7.19</v>
      </c>
      <c r="AC30" s="78">
        <f t="shared" si="13"/>
        <v>2033.78187722547</v>
      </c>
      <c r="AD30" s="78">
        <f t="shared" si="16"/>
        <v>18247.0678421378</v>
      </c>
      <c r="AE30" s="78">
        <f t="shared" si="14"/>
        <v>-1065.06784213777</v>
      </c>
    </row>
    <row r="31" customFormat="1" spans="1:31">
      <c r="A31" s="18" t="s">
        <v>75</v>
      </c>
      <c r="B31" s="19" t="s">
        <v>76</v>
      </c>
      <c r="C31" s="20">
        <v>240223000030</v>
      </c>
      <c r="D31" s="21">
        <v>45353</v>
      </c>
      <c r="E31" s="21" t="s">
        <v>70</v>
      </c>
      <c r="F31" s="19" t="s">
        <v>70</v>
      </c>
      <c r="G31" s="19" t="s">
        <v>77</v>
      </c>
      <c r="H31" s="19">
        <v>4.5</v>
      </c>
      <c r="I31" s="46"/>
      <c r="J31" s="54">
        <v>121696</v>
      </c>
      <c r="K31" s="55"/>
      <c r="L31" s="50">
        <f>SUM(J31/M31)</f>
        <v>1600</v>
      </c>
      <c r="M31" s="52">
        <v>76.06</v>
      </c>
      <c r="N31" s="45">
        <v>7.19</v>
      </c>
      <c r="O31" s="46">
        <f>SUM(M31*N31)</f>
        <v>546.8714</v>
      </c>
      <c r="P31" s="47">
        <f>SUM(O31:O41)</f>
        <v>8365.28301438</v>
      </c>
      <c r="Q31" s="47" t="s">
        <v>78</v>
      </c>
      <c r="R31" s="78">
        <f>SUM(4400/64)*H31</f>
        <v>309.375</v>
      </c>
      <c r="S31" s="78"/>
      <c r="T31" s="79">
        <f>SUM(68.81/64)*H31</f>
        <v>4.838203125</v>
      </c>
      <c r="U31" s="78"/>
      <c r="V31" s="78"/>
      <c r="W31" s="80">
        <f t="shared" si="15"/>
        <v>314.213203125</v>
      </c>
      <c r="X31" s="81">
        <f>SUM(172.57/64)*H31</f>
        <v>12.133828125</v>
      </c>
      <c r="Y31" s="81"/>
      <c r="Z31" s="81"/>
      <c r="AA31" s="81">
        <f t="shared" si="17"/>
        <v>12.133828125</v>
      </c>
      <c r="AB31" s="90">
        <v>7.19</v>
      </c>
      <c r="AC31" s="78">
        <f t="shared" si="13"/>
        <v>87.24222421875</v>
      </c>
      <c r="AD31" s="78">
        <f t="shared" si="16"/>
        <v>401.45542734375</v>
      </c>
      <c r="AE31" s="78">
        <f t="shared" si="14"/>
        <v>145.41597265625</v>
      </c>
    </row>
    <row r="32" customFormat="1" spans="1:31">
      <c r="A32" s="18"/>
      <c r="B32" s="19"/>
      <c r="C32" s="20">
        <v>240226000015</v>
      </c>
      <c r="D32" s="21">
        <v>45353</v>
      </c>
      <c r="E32" s="21" t="s">
        <v>44</v>
      </c>
      <c r="F32" s="19" t="s">
        <v>45</v>
      </c>
      <c r="G32" s="19" t="s">
        <v>79</v>
      </c>
      <c r="H32" s="19">
        <v>4.5</v>
      </c>
      <c r="I32" s="41">
        <v>1035</v>
      </c>
      <c r="J32" s="42"/>
      <c r="K32" s="43"/>
      <c r="L32" s="42"/>
      <c r="M32" s="44"/>
      <c r="N32" s="45"/>
      <c r="O32" s="46">
        <f t="shared" ref="O32:O37" si="18">SUM(I32)</f>
        <v>1035</v>
      </c>
      <c r="P32" s="48"/>
      <c r="Q32" s="48"/>
      <c r="R32" s="78">
        <f t="shared" ref="R32:R41" si="19">SUM(4400/64)*H32</f>
        <v>309.375</v>
      </c>
      <c r="S32" s="78"/>
      <c r="T32" s="79">
        <f t="shared" ref="T32:T41" si="20">SUM(68.81/64)*H32</f>
        <v>4.838203125</v>
      </c>
      <c r="U32" s="78"/>
      <c r="V32" s="78"/>
      <c r="W32" s="80">
        <f t="shared" si="15"/>
        <v>314.213203125</v>
      </c>
      <c r="X32" s="81">
        <f t="shared" ref="X32:X41" si="21">SUM(172.57/64)*H32</f>
        <v>12.133828125</v>
      </c>
      <c r="Y32" s="81"/>
      <c r="Z32" s="81"/>
      <c r="AA32" s="81">
        <f t="shared" si="17"/>
        <v>12.133828125</v>
      </c>
      <c r="AB32" s="90">
        <v>7.19</v>
      </c>
      <c r="AC32" s="78">
        <f t="shared" si="13"/>
        <v>87.24222421875</v>
      </c>
      <c r="AD32" s="78">
        <f t="shared" si="16"/>
        <v>401.45542734375</v>
      </c>
      <c r="AE32" s="78">
        <f t="shared" si="14"/>
        <v>633.54457265625</v>
      </c>
    </row>
    <row r="33" customFormat="1" spans="1:31">
      <c r="A33" s="18"/>
      <c r="B33" s="19"/>
      <c r="C33" s="20">
        <v>240227000005</v>
      </c>
      <c r="D33" s="21">
        <v>45353</v>
      </c>
      <c r="E33" s="21" t="s">
        <v>41</v>
      </c>
      <c r="F33" s="19" t="s">
        <v>42</v>
      </c>
      <c r="G33" s="19" t="s">
        <v>80</v>
      </c>
      <c r="H33" s="19">
        <v>2.5</v>
      </c>
      <c r="I33" s="41">
        <v>300</v>
      </c>
      <c r="J33" s="42"/>
      <c r="K33" s="43"/>
      <c r="L33" s="42"/>
      <c r="M33" s="44"/>
      <c r="N33" s="45"/>
      <c r="O33" s="46">
        <f t="shared" si="18"/>
        <v>300</v>
      </c>
      <c r="P33" s="48"/>
      <c r="Q33" s="48"/>
      <c r="R33" s="78">
        <f t="shared" si="19"/>
        <v>171.875</v>
      </c>
      <c r="S33" s="78"/>
      <c r="T33" s="79">
        <f t="shared" si="20"/>
        <v>2.687890625</v>
      </c>
      <c r="U33" s="78"/>
      <c r="V33" s="78"/>
      <c r="W33" s="80">
        <f t="shared" si="15"/>
        <v>174.562890625</v>
      </c>
      <c r="X33" s="81">
        <f t="shared" si="21"/>
        <v>6.741015625</v>
      </c>
      <c r="Y33" s="81"/>
      <c r="Z33" s="81"/>
      <c r="AA33" s="81">
        <f t="shared" si="17"/>
        <v>6.741015625</v>
      </c>
      <c r="AB33" s="90">
        <v>7.19</v>
      </c>
      <c r="AC33" s="78">
        <f t="shared" si="13"/>
        <v>48.46790234375</v>
      </c>
      <c r="AD33" s="78">
        <f t="shared" si="16"/>
        <v>223.03079296875</v>
      </c>
      <c r="AE33" s="78">
        <f t="shared" si="14"/>
        <v>76.96920703125</v>
      </c>
    </row>
    <row r="34" customFormat="1" spans="1:31">
      <c r="A34" s="18"/>
      <c r="B34" s="19"/>
      <c r="C34" s="20">
        <v>240227000011</v>
      </c>
      <c r="D34" s="21">
        <v>45353</v>
      </c>
      <c r="E34" s="21" t="s">
        <v>47</v>
      </c>
      <c r="F34" s="19" t="s">
        <v>48</v>
      </c>
      <c r="G34" s="19" t="s">
        <v>81</v>
      </c>
      <c r="H34" s="19">
        <v>25.5</v>
      </c>
      <c r="I34" s="41">
        <v>3060</v>
      </c>
      <c r="J34" s="42"/>
      <c r="K34" s="43"/>
      <c r="L34" s="42"/>
      <c r="M34" s="44"/>
      <c r="N34" s="45"/>
      <c r="O34" s="46">
        <f t="shared" si="18"/>
        <v>3060</v>
      </c>
      <c r="P34" s="48"/>
      <c r="Q34" s="48"/>
      <c r="R34" s="78">
        <f t="shared" si="19"/>
        <v>1753.125</v>
      </c>
      <c r="S34" s="78"/>
      <c r="T34" s="79">
        <f t="shared" si="20"/>
        <v>27.416484375</v>
      </c>
      <c r="U34" s="78"/>
      <c r="V34" s="78"/>
      <c r="W34" s="80">
        <f t="shared" si="15"/>
        <v>1780.541484375</v>
      </c>
      <c r="X34" s="81">
        <f t="shared" si="21"/>
        <v>68.758359375</v>
      </c>
      <c r="Y34" s="81"/>
      <c r="Z34" s="81"/>
      <c r="AA34" s="81">
        <f t="shared" si="17"/>
        <v>68.758359375</v>
      </c>
      <c r="AB34" s="90">
        <v>7.19</v>
      </c>
      <c r="AC34" s="78">
        <f t="shared" si="13"/>
        <v>494.37260390625</v>
      </c>
      <c r="AD34" s="78">
        <f t="shared" si="16"/>
        <v>2274.91408828125</v>
      </c>
      <c r="AE34" s="78">
        <f t="shared" si="14"/>
        <v>785.08591171875</v>
      </c>
    </row>
    <row r="35" customFormat="1" spans="1:31">
      <c r="A35" s="18"/>
      <c r="B35" s="19"/>
      <c r="C35" s="20">
        <v>240227000022</v>
      </c>
      <c r="D35" s="21">
        <v>45353</v>
      </c>
      <c r="E35" s="21" t="s">
        <v>37</v>
      </c>
      <c r="F35" s="19" t="s">
        <v>38</v>
      </c>
      <c r="G35" s="19" t="s">
        <v>82</v>
      </c>
      <c r="H35" s="19">
        <v>0.52</v>
      </c>
      <c r="I35" s="41">
        <v>180</v>
      </c>
      <c r="J35" s="42"/>
      <c r="K35" s="43"/>
      <c r="L35" s="42"/>
      <c r="M35" s="44"/>
      <c r="N35" s="45"/>
      <c r="O35" s="46">
        <f t="shared" si="18"/>
        <v>180</v>
      </c>
      <c r="P35" s="48"/>
      <c r="Q35" s="48"/>
      <c r="R35" s="78">
        <f t="shared" si="19"/>
        <v>35.75</v>
      </c>
      <c r="S35" s="78"/>
      <c r="T35" s="79">
        <f t="shared" si="20"/>
        <v>0.55908125</v>
      </c>
      <c r="U35" s="78"/>
      <c r="V35" s="78"/>
      <c r="W35" s="80">
        <f t="shared" si="15"/>
        <v>36.30908125</v>
      </c>
      <c r="X35" s="81">
        <f t="shared" si="21"/>
        <v>1.40213125</v>
      </c>
      <c r="Y35" s="81"/>
      <c r="Z35" s="81"/>
      <c r="AA35" s="81">
        <f t="shared" si="17"/>
        <v>1.40213125</v>
      </c>
      <c r="AB35" s="90">
        <v>7.19</v>
      </c>
      <c r="AC35" s="78">
        <f t="shared" si="13"/>
        <v>10.0813236875</v>
      </c>
      <c r="AD35" s="78">
        <f t="shared" si="16"/>
        <v>46.3904049375</v>
      </c>
      <c r="AE35" s="78">
        <f t="shared" si="14"/>
        <v>133.6095950625</v>
      </c>
    </row>
    <row r="36" customFormat="1" spans="1:31">
      <c r="A36" s="18"/>
      <c r="B36" s="19"/>
      <c r="C36" s="20">
        <v>240227000023</v>
      </c>
      <c r="D36" s="21">
        <v>45353</v>
      </c>
      <c r="E36" s="21" t="s">
        <v>37</v>
      </c>
      <c r="F36" s="19" t="s">
        <v>38</v>
      </c>
      <c r="G36" s="19" t="s">
        <v>83</v>
      </c>
      <c r="H36" s="19">
        <v>2</v>
      </c>
      <c r="I36" s="41">
        <v>290</v>
      </c>
      <c r="J36" s="42"/>
      <c r="K36" s="43"/>
      <c r="L36" s="42"/>
      <c r="M36" s="44"/>
      <c r="N36" s="45"/>
      <c r="O36" s="46">
        <f t="shared" si="18"/>
        <v>290</v>
      </c>
      <c r="P36" s="48"/>
      <c r="Q36" s="48"/>
      <c r="R36" s="78">
        <f t="shared" si="19"/>
        <v>137.5</v>
      </c>
      <c r="S36" s="78"/>
      <c r="T36" s="79">
        <f t="shared" si="20"/>
        <v>2.1503125</v>
      </c>
      <c r="U36" s="78"/>
      <c r="V36" s="78"/>
      <c r="W36" s="80">
        <f t="shared" si="15"/>
        <v>139.6503125</v>
      </c>
      <c r="X36" s="81">
        <f t="shared" si="21"/>
        <v>5.3928125</v>
      </c>
      <c r="Y36" s="81"/>
      <c r="Z36" s="81"/>
      <c r="AA36" s="81">
        <f t="shared" si="17"/>
        <v>5.3928125</v>
      </c>
      <c r="AB36" s="90">
        <v>7.19</v>
      </c>
      <c r="AC36" s="78">
        <f t="shared" si="13"/>
        <v>38.774321875</v>
      </c>
      <c r="AD36" s="78">
        <f t="shared" si="16"/>
        <v>178.424634375</v>
      </c>
      <c r="AE36" s="78">
        <f t="shared" si="14"/>
        <v>111.575365625</v>
      </c>
    </row>
    <row r="37" customFormat="1" spans="1:31">
      <c r="A37" s="18"/>
      <c r="B37" s="19"/>
      <c r="C37" s="20">
        <v>240227000024</v>
      </c>
      <c r="D37" s="21">
        <v>45353</v>
      </c>
      <c r="E37" s="21" t="s">
        <v>44</v>
      </c>
      <c r="F37" s="19" t="s">
        <v>45</v>
      </c>
      <c r="G37" s="19" t="s">
        <v>84</v>
      </c>
      <c r="H37" s="19">
        <v>3.5</v>
      </c>
      <c r="I37" s="41">
        <v>391</v>
      </c>
      <c r="J37" s="42"/>
      <c r="K37" s="43"/>
      <c r="L37" s="42"/>
      <c r="M37" s="44"/>
      <c r="N37" s="45"/>
      <c r="O37" s="46">
        <f t="shared" si="18"/>
        <v>391</v>
      </c>
      <c r="P37" s="48"/>
      <c r="Q37" s="48"/>
      <c r="R37" s="78">
        <f t="shared" si="19"/>
        <v>240.625</v>
      </c>
      <c r="S37" s="78"/>
      <c r="T37" s="79">
        <f t="shared" si="20"/>
        <v>3.763046875</v>
      </c>
      <c r="U37" s="78"/>
      <c r="V37" s="78"/>
      <c r="W37" s="80">
        <f t="shared" si="15"/>
        <v>244.388046875</v>
      </c>
      <c r="X37" s="81">
        <f t="shared" si="21"/>
        <v>9.437421875</v>
      </c>
      <c r="Y37" s="81"/>
      <c r="Z37" s="81"/>
      <c r="AA37" s="81">
        <f t="shared" si="17"/>
        <v>9.437421875</v>
      </c>
      <c r="AB37" s="90">
        <v>7.19</v>
      </c>
      <c r="AC37" s="78">
        <f t="shared" si="13"/>
        <v>67.85506328125</v>
      </c>
      <c r="AD37" s="78">
        <f t="shared" si="16"/>
        <v>312.24311015625</v>
      </c>
      <c r="AE37" s="78">
        <f t="shared" si="14"/>
        <v>78.75688984375</v>
      </c>
    </row>
    <row r="38" customFormat="1" spans="1:31">
      <c r="A38" s="18"/>
      <c r="B38" s="19"/>
      <c r="C38" s="20">
        <v>240227000031</v>
      </c>
      <c r="D38" s="21">
        <v>45353</v>
      </c>
      <c r="E38" s="21" t="s">
        <v>85</v>
      </c>
      <c r="F38" s="19"/>
      <c r="G38" s="19" t="s">
        <v>86</v>
      </c>
      <c r="H38" s="19">
        <v>3.5</v>
      </c>
      <c r="I38" s="46"/>
      <c r="J38" s="54">
        <v>90704</v>
      </c>
      <c r="K38" s="55"/>
      <c r="L38" s="50">
        <f t="shared" ref="L38:L46" si="22">SUM(J38/M38)</f>
        <v>1599.99994355266</v>
      </c>
      <c r="M38" s="52">
        <v>56.690002</v>
      </c>
      <c r="N38" s="45">
        <v>7.19</v>
      </c>
      <c r="O38" s="46">
        <f t="shared" ref="O38:O46" si="23">SUM(M38*N38)</f>
        <v>407.60111438</v>
      </c>
      <c r="P38" s="48"/>
      <c r="Q38" s="48"/>
      <c r="R38" s="78">
        <f t="shared" si="19"/>
        <v>240.625</v>
      </c>
      <c r="S38" s="78"/>
      <c r="T38" s="79">
        <f t="shared" si="20"/>
        <v>3.763046875</v>
      </c>
      <c r="U38" s="78"/>
      <c r="V38" s="78"/>
      <c r="W38" s="80">
        <f t="shared" si="15"/>
        <v>244.388046875</v>
      </c>
      <c r="X38" s="81">
        <f t="shared" si="21"/>
        <v>9.437421875</v>
      </c>
      <c r="Y38" s="81"/>
      <c r="Z38" s="81"/>
      <c r="AA38" s="81">
        <f t="shared" si="17"/>
        <v>9.437421875</v>
      </c>
      <c r="AB38" s="90">
        <v>7.19</v>
      </c>
      <c r="AC38" s="78">
        <f t="shared" si="13"/>
        <v>67.85506328125</v>
      </c>
      <c r="AD38" s="78">
        <f t="shared" si="16"/>
        <v>312.24311015625</v>
      </c>
      <c r="AE38" s="78">
        <f t="shared" si="14"/>
        <v>95.35800422375</v>
      </c>
    </row>
    <row r="39" customFormat="1" spans="1:31">
      <c r="A39" s="18"/>
      <c r="B39" s="19"/>
      <c r="C39" s="20">
        <v>240227000034</v>
      </c>
      <c r="D39" s="21">
        <v>45353</v>
      </c>
      <c r="E39" s="21" t="s">
        <v>70</v>
      </c>
      <c r="F39" s="19" t="s">
        <v>70</v>
      </c>
      <c r="G39" s="19" t="s">
        <v>87</v>
      </c>
      <c r="H39" s="19">
        <v>15</v>
      </c>
      <c r="I39" s="46"/>
      <c r="J39" s="54">
        <v>388720</v>
      </c>
      <c r="K39" s="55"/>
      <c r="L39" s="50">
        <f t="shared" si="22"/>
        <v>1600</v>
      </c>
      <c r="M39" s="52">
        <v>242.95</v>
      </c>
      <c r="N39" s="45">
        <v>7.19</v>
      </c>
      <c r="O39" s="46">
        <f t="shared" si="23"/>
        <v>1746.8105</v>
      </c>
      <c r="P39" s="48"/>
      <c r="Q39" s="48"/>
      <c r="R39" s="78">
        <f t="shared" si="19"/>
        <v>1031.25</v>
      </c>
      <c r="S39" s="78"/>
      <c r="T39" s="79">
        <f t="shared" si="20"/>
        <v>16.12734375</v>
      </c>
      <c r="U39" s="78"/>
      <c r="V39" s="78"/>
      <c r="W39" s="80">
        <f t="shared" si="15"/>
        <v>1047.37734375</v>
      </c>
      <c r="X39" s="81">
        <f t="shared" si="21"/>
        <v>40.44609375</v>
      </c>
      <c r="Y39" s="81"/>
      <c r="Z39" s="81"/>
      <c r="AA39" s="81">
        <f t="shared" si="17"/>
        <v>40.44609375</v>
      </c>
      <c r="AB39" s="90">
        <v>7.19</v>
      </c>
      <c r="AC39" s="78">
        <f t="shared" si="13"/>
        <v>290.8074140625</v>
      </c>
      <c r="AD39" s="78">
        <f t="shared" si="16"/>
        <v>1338.1847578125</v>
      </c>
      <c r="AE39" s="78">
        <f t="shared" si="14"/>
        <v>408.6257421875</v>
      </c>
    </row>
    <row r="40" customFormat="1" spans="1:31">
      <c r="A40" s="18"/>
      <c r="B40" s="19"/>
      <c r="C40" s="20">
        <v>240228000025</v>
      </c>
      <c r="D40" s="21">
        <v>45353</v>
      </c>
      <c r="E40" s="21" t="s">
        <v>70</v>
      </c>
      <c r="F40" s="19" t="s">
        <v>70</v>
      </c>
      <c r="G40" s="19" t="s">
        <v>88</v>
      </c>
      <c r="H40" s="19">
        <v>1.5</v>
      </c>
      <c r="I40" s="41">
        <v>235.5</v>
      </c>
      <c r="J40" s="53"/>
      <c r="K40" s="51"/>
      <c r="L40" s="53"/>
      <c r="M40" s="44"/>
      <c r="N40" s="45"/>
      <c r="O40" s="46">
        <f t="shared" ref="O40:O42" si="24">SUM(I40)</f>
        <v>235.5</v>
      </c>
      <c r="P40" s="48"/>
      <c r="Q40" s="48"/>
      <c r="R40" s="78">
        <f t="shared" si="19"/>
        <v>103.125</v>
      </c>
      <c r="S40" s="78"/>
      <c r="T40" s="79">
        <f t="shared" si="20"/>
        <v>1.612734375</v>
      </c>
      <c r="U40" s="78"/>
      <c r="V40" s="79">
        <v>18</v>
      </c>
      <c r="W40" s="80">
        <f t="shared" si="15"/>
        <v>122.737734375</v>
      </c>
      <c r="X40" s="81">
        <f t="shared" si="21"/>
        <v>4.044609375</v>
      </c>
      <c r="Y40" s="81"/>
      <c r="Z40" s="81"/>
      <c r="AA40" s="81">
        <f t="shared" si="17"/>
        <v>4.044609375</v>
      </c>
      <c r="AB40" s="90">
        <v>7.19</v>
      </c>
      <c r="AC40" s="78">
        <f t="shared" si="13"/>
        <v>29.08074140625</v>
      </c>
      <c r="AD40" s="78">
        <f t="shared" si="16"/>
        <v>151.81847578125</v>
      </c>
      <c r="AE40" s="78">
        <f t="shared" si="14"/>
        <v>83.68152421875</v>
      </c>
    </row>
    <row r="41" customFormat="1" spans="1:31">
      <c r="A41" s="18"/>
      <c r="B41" s="19"/>
      <c r="C41" s="20">
        <v>240301000002</v>
      </c>
      <c r="D41" s="21">
        <v>45353</v>
      </c>
      <c r="E41" s="21" t="s">
        <v>47</v>
      </c>
      <c r="F41" s="19" t="s">
        <v>48</v>
      </c>
      <c r="G41" s="19" t="s">
        <v>89</v>
      </c>
      <c r="H41" s="19">
        <v>1.5</v>
      </c>
      <c r="I41" s="41">
        <v>172.5</v>
      </c>
      <c r="J41" s="42"/>
      <c r="K41" s="43"/>
      <c r="L41" s="42"/>
      <c r="M41" s="44"/>
      <c r="N41" s="45"/>
      <c r="O41" s="46">
        <f t="shared" si="24"/>
        <v>172.5</v>
      </c>
      <c r="P41" s="58"/>
      <c r="Q41" s="58"/>
      <c r="R41" s="78">
        <f t="shared" si="19"/>
        <v>103.125</v>
      </c>
      <c r="S41" s="78"/>
      <c r="T41" s="79">
        <f t="shared" si="20"/>
        <v>1.612734375</v>
      </c>
      <c r="U41" s="78"/>
      <c r="V41" s="78"/>
      <c r="W41" s="80">
        <f t="shared" si="15"/>
        <v>104.737734375</v>
      </c>
      <c r="X41" s="81">
        <f t="shared" si="21"/>
        <v>4.044609375</v>
      </c>
      <c r="Y41" s="81"/>
      <c r="Z41" s="81"/>
      <c r="AA41" s="81">
        <f t="shared" si="17"/>
        <v>4.044609375</v>
      </c>
      <c r="AB41" s="90">
        <v>7.19</v>
      </c>
      <c r="AC41" s="78">
        <f t="shared" si="13"/>
        <v>29.08074140625</v>
      </c>
      <c r="AD41" s="78">
        <f t="shared" si="16"/>
        <v>133.81847578125</v>
      </c>
      <c r="AE41" s="78">
        <f t="shared" si="14"/>
        <v>38.68152421875</v>
      </c>
    </row>
    <row r="42" customFormat="1" spans="1:31">
      <c r="A42" s="18" t="s">
        <v>90</v>
      </c>
      <c r="B42" s="19" t="s">
        <v>91</v>
      </c>
      <c r="C42" s="20">
        <v>240229000001</v>
      </c>
      <c r="D42" s="21">
        <v>45354</v>
      </c>
      <c r="E42" s="21" t="s">
        <v>41</v>
      </c>
      <c r="F42" s="19" t="s">
        <v>42</v>
      </c>
      <c r="G42" s="19" t="s">
        <v>92</v>
      </c>
      <c r="H42" s="19">
        <v>0.486</v>
      </c>
      <c r="I42" s="41">
        <v>115</v>
      </c>
      <c r="J42" s="42"/>
      <c r="K42" s="43"/>
      <c r="L42" s="42"/>
      <c r="M42" s="44"/>
      <c r="N42" s="45"/>
      <c r="O42" s="46">
        <f t="shared" si="24"/>
        <v>115</v>
      </c>
      <c r="P42" s="47">
        <f>SUM(O42:O45)</f>
        <v>25852.1802</v>
      </c>
      <c r="Q42" s="47" t="s">
        <v>78</v>
      </c>
      <c r="R42" s="78">
        <f>SUM(15400/224)*H42</f>
        <v>33.4125</v>
      </c>
      <c r="S42" s="78"/>
      <c r="T42" s="79">
        <f>SUM(67.81/224)*H42</f>
        <v>0.147123482142857</v>
      </c>
      <c r="U42" s="78"/>
      <c r="V42" s="78"/>
      <c r="W42" s="80">
        <f t="shared" si="15"/>
        <v>33.5596234821429</v>
      </c>
      <c r="X42" s="81">
        <f>SUM(153.75/224)*H42</f>
        <v>0.333582589285714</v>
      </c>
      <c r="Y42" s="81"/>
      <c r="Z42" s="81"/>
      <c r="AA42" s="81">
        <f t="shared" si="17"/>
        <v>0.333582589285714</v>
      </c>
      <c r="AB42" s="90">
        <v>7.19</v>
      </c>
      <c r="AC42" s="78">
        <f t="shared" ref="AC42:AC75" si="25">SUM(AA42*AB42)</f>
        <v>2.39845881696428</v>
      </c>
      <c r="AD42" s="78">
        <f t="shared" si="16"/>
        <v>35.9580822991072</v>
      </c>
      <c r="AE42" s="78">
        <f t="shared" si="14"/>
        <v>79.0419177008928</v>
      </c>
    </row>
    <row r="43" customFormat="1" spans="1:31">
      <c r="A43" s="18"/>
      <c r="B43" s="19"/>
      <c r="C43" s="20">
        <v>240229000020</v>
      </c>
      <c r="D43" s="21">
        <v>45354</v>
      </c>
      <c r="E43" s="21" t="s">
        <v>47</v>
      </c>
      <c r="F43" s="19" t="s">
        <v>93</v>
      </c>
      <c r="G43" s="19" t="s">
        <v>94</v>
      </c>
      <c r="H43" s="19">
        <v>0.94</v>
      </c>
      <c r="I43" s="46"/>
      <c r="J43" s="54">
        <v>25920</v>
      </c>
      <c r="K43" s="55"/>
      <c r="L43" s="50">
        <f t="shared" si="22"/>
        <v>1600</v>
      </c>
      <c r="M43" s="52">
        <v>16.2</v>
      </c>
      <c r="N43" s="45">
        <v>7.19</v>
      </c>
      <c r="O43" s="46">
        <f t="shared" si="23"/>
        <v>116.478</v>
      </c>
      <c r="P43" s="48"/>
      <c r="Q43" s="48"/>
      <c r="R43" s="78">
        <f>SUM(15400/224)*H43</f>
        <v>64.625</v>
      </c>
      <c r="S43" s="78"/>
      <c r="T43" s="79">
        <f>SUM(67.81/224)*H43</f>
        <v>0.284559821428571</v>
      </c>
      <c r="U43" s="78"/>
      <c r="V43" s="78"/>
      <c r="W43" s="80">
        <f t="shared" si="15"/>
        <v>64.9095598214286</v>
      </c>
      <c r="X43" s="81">
        <f>SUM(153.75/224)*H43</f>
        <v>0.645200892857143</v>
      </c>
      <c r="Y43" s="81"/>
      <c r="Z43" s="81"/>
      <c r="AA43" s="81">
        <f t="shared" si="17"/>
        <v>0.645200892857143</v>
      </c>
      <c r="AB43" s="90">
        <v>7.19</v>
      </c>
      <c r="AC43" s="78">
        <f t="shared" si="25"/>
        <v>4.63899441964286</v>
      </c>
      <c r="AD43" s="78">
        <f t="shared" ref="AD43:AD75" si="26">SUM(W43+AC43)</f>
        <v>69.5485542410715</v>
      </c>
      <c r="AE43" s="78">
        <f t="shared" si="14"/>
        <v>46.9294457589285</v>
      </c>
    </row>
    <row r="44" customFormat="1" spans="1:31">
      <c r="A44" s="18"/>
      <c r="B44" s="19"/>
      <c r="C44" s="20">
        <v>240229000021</v>
      </c>
      <c r="D44" s="21">
        <v>45354</v>
      </c>
      <c r="E44" s="21" t="s">
        <v>47</v>
      </c>
      <c r="F44" s="19" t="s">
        <v>93</v>
      </c>
      <c r="G44" s="19" t="s">
        <v>94</v>
      </c>
      <c r="H44" s="19">
        <v>0.36</v>
      </c>
      <c r="I44" s="46"/>
      <c r="J44" s="54">
        <v>25920</v>
      </c>
      <c r="K44" s="55"/>
      <c r="L44" s="50">
        <f t="shared" si="22"/>
        <v>1600</v>
      </c>
      <c r="M44" s="52">
        <v>16.2</v>
      </c>
      <c r="N44" s="45">
        <v>7.19</v>
      </c>
      <c r="O44" s="46">
        <f t="shared" si="23"/>
        <v>116.478</v>
      </c>
      <c r="P44" s="48"/>
      <c r="Q44" s="48"/>
      <c r="R44" s="78">
        <f>SUM(15400/224)*H44</f>
        <v>24.75</v>
      </c>
      <c r="S44" s="78"/>
      <c r="T44" s="79">
        <f>SUM(67.81/224)*H44</f>
        <v>0.108980357142857</v>
      </c>
      <c r="U44" s="78"/>
      <c r="V44" s="78"/>
      <c r="W44" s="80">
        <f t="shared" si="15"/>
        <v>24.8589803571429</v>
      </c>
      <c r="X44" s="81">
        <f>SUM(153.75/224)*H44</f>
        <v>0.247098214285714</v>
      </c>
      <c r="Y44" s="81"/>
      <c r="Z44" s="81"/>
      <c r="AA44" s="81">
        <f t="shared" si="17"/>
        <v>0.247098214285714</v>
      </c>
      <c r="AB44" s="90">
        <v>7.19</v>
      </c>
      <c r="AC44" s="78">
        <f t="shared" si="25"/>
        <v>1.77663616071428</v>
      </c>
      <c r="AD44" s="78">
        <f t="shared" si="26"/>
        <v>26.6356165178572</v>
      </c>
      <c r="AE44" s="78">
        <f t="shared" ref="AE44:AE75" si="27">SUM(O44-AD44)</f>
        <v>89.8423834821428</v>
      </c>
    </row>
    <row r="45" customFormat="1" spans="1:31">
      <c r="A45" s="18"/>
      <c r="B45" s="19"/>
      <c r="C45" s="20">
        <v>240302000009</v>
      </c>
      <c r="D45" s="21">
        <v>45354</v>
      </c>
      <c r="E45" s="21" t="s">
        <v>70</v>
      </c>
      <c r="F45" s="19" t="s">
        <v>95</v>
      </c>
      <c r="G45" s="19" t="s">
        <v>96</v>
      </c>
      <c r="H45" s="19">
        <v>219</v>
      </c>
      <c r="I45" s="46"/>
      <c r="J45" s="54">
        <v>6384924</v>
      </c>
      <c r="K45" s="55"/>
      <c r="L45" s="50">
        <f t="shared" si="22"/>
        <v>1800</v>
      </c>
      <c r="M45" s="52">
        <v>3547.18</v>
      </c>
      <c r="N45" s="45">
        <v>7.19</v>
      </c>
      <c r="O45" s="46">
        <f t="shared" si="23"/>
        <v>25504.2242</v>
      </c>
      <c r="P45" s="58"/>
      <c r="Q45" s="58"/>
      <c r="R45" s="78">
        <f>SUM(15400/224)*H45</f>
        <v>15056.25</v>
      </c>
      <c r="S45" s="78"/>
      <c r="T45" s="79">
        <f>SUM(67.81/224)*H45</f>
        <v>66.2963839285714</v>
      </c>
      <c r="U45" s="78"/>
      <c r="V45" s="78"/>
      <c r="W45" s="80">
        <f t="shared" si="15"/>
        <v>15122.5463839286</v>
      </c>
      <c r="X45" s="81">
        <f>SUM(153.75/224)*H45</f>
        <v>150.318080357143</v>
      </c>
      <c r="Y45" s="81"/>
      <c r="Z45" s="81"/>
      <c r="AA45" s="81">
        <f t="shared" ref="AA45:AA75" si="28">SUM(X45:Z45)</f>
        <v>150.318080357143</v>
      </c>
      <c r="AB45" s="90">
        <v>7.19</v>
      </c>
      <c r="AC45" s="78">
        <f t="shared" si="25"/>
        <v>1080.78699776786</v>
      </c>
      <c r="AD45" s="78">
        <f t="shared" si="26"/>
        <v>16203.3333816965</v>
      </c>
      <c r="AE45" s="78">
        <f t="shared" si="27"/>
        <v>9300.89081830354</v>
      </c>
    </row>
    <row r="46" customFormat="1" spans="1:31">
      <c r="A46" s="18" t="s">
        <v>97</v>
      </c>
      <c r="B46" s="19" t="s">
        <v>98</v>
      </c>
      <c r="C46" s="20">
        <v>240226000018</v>
      </c>
      <c r="D46" s="21">
        <v>45355</v>
      </c>
      <c r="E46" s="21" t="s">
        <v>47</v>
      </c>
      <c r="F46" s="19" t="s">
        <v>48</v>
      </c>
      <c r="G46" s="19" t="s">
        <v>99</v>
      </c>
      <c r="H46" s="19">
        <v>236</v>
      </c>
      <c r="I46" s="49"/>
      <c r="J46" s="50">
        <v>3449005</v>
      </c>
      <c r="K46" s="51"/>
      <c r="L46" s="50">
        <f t="shared" si="22"/>
        <v>1674.43683852801</v>
      </c>
      <c r="M46" s="52">
        <v>2059.8</v>
      </c>
      <c r="N46" s="45">
        <v>7.19</v>
      </c>
      <c r="O46" s="46">
        <f t="shared" si="23"/>
        <v>14809.962</v>
      </c>
      <c r="P46" s="47">
        <f>SUM(O46:O75)</f>
        <v>89808.2758</v>
      </c>
      <c r="Q46" s="47" t="s">
        <v>40</v>
      </c>
      <c r="R46" s="78">
        <f>SUM(68581.1/1637)*H46</f>
        <v>9887.07367135003</v>
      </c>
      <c r="S46" s="78"/>
      <c r="T46" s="79">
        <f>SUM(120/1637)*H46</f>
        <v>17.2999389126451</v>
      </c>
      <c r="U46" s="79">
        <f>SUM(80+70+30)</f>
        <v>180</v>
      </c>
      <c r="V46" s="78"/>
      <c r="W46" s="80">
        <f t="shared" ref="W46:W75" si="29">SUM(R46:V46)</f>
        <v>10084.3736102627</v>
      </c>
      <c r="X46" s="81">
        <f>SUM(1434.3/1637)*H46</f>
        <v>206.77751985339</v>
      </c>
      <c r="Y46" s="81"/>
      <c r="Z46" s="81"/>
      <c r="AA46" s="81">
        <f t="shared" si="28"/>
        <v>206.77751985339</v>
      </c>
      <c r="AB46" s="90">
        <v>7.19</v>
      </c>
      <c r="AC46" s="78">
        <f t="shared" si="25"/>
        <v>1486.73036774588</v>
      </c>
      <c r="AD46" s="78">
        <f t="shared" si="26"/>
        <v>11571.1039780086</v>
      </c>
      <c r="AE46" s="78">
        <f t="shared" si="27"/>
        <v>3238.85802199145</v>
      </c>
    </row>
    <row r="47" customFormat="1" spans="1:31">
      <c r="A47" s="18"/>
      <c r="B47" s="19"/>
      <c r="C47" s="20">
        <v>240226000021</v>
      </c>
      <c r="D47" s="21">
        <v>45355</v>
      </c>
      <c r="E47" s="21" t="s">
        <v>44</v>
      </c>
      <c r="F47" s="19" t="s">
        <v>45</v>
      </c>
      <c r="G47" s="19" t="s">
        <v>100</v>
      </c>
      <c r="H47" s="19">
        <v>17</v>
      </c>
      <c r="I47" s="41">
        <v>935</v>
      </c>
      <c r="J47" s="42"/>
      <c r="K47" s="43"/>
      <c r="L47" s="42"/>
      <c r="M47" s="44"/>
      <c r="N47" s="45"/>
      <c r="O47" s="46">
        <f t="shared" ref="O47:O54" si="30">SUM(I47)</f>
        <v>935</v>
      </c>
      <c r="P47" s="48"/>
      <c r="Q47" s="48"/>
      <c r="R47" s="78">
        <f t="shared" ref="R47:R75" si="31">SUM(68581.1/1637)*H47</f>
        <v>712.204459376909</v>
      </c>
      <c r="S47" s="78"/>
      <c r="T47" s="79">
        <f t="shared" ref="T47:T75" si="32">SUM(120/1637)*H47</f>
        <v>1.24618204031765</v>
      </c>
      <c r="U47" s="78"/>
      <c r="V47" s="78"/>
      <c r="W47" s="80">
        <f t="shared" si="29"/>
        <v>713.450641417227</v>
      </c>
      <c r="X47" s="81">
        <f t="shared" ref="X47:X75" si="33">SUM(1434.3/1637)*H47</f>
        <v>14.8949908368968</v>
      </c>
      <c r="Y47" s="81"/>
      <c r="Z47" s="81"/>
      <c r="AA47" s="81">
        <f t="shared" si="28"/>
        <v>14.8949908368968</v>
      </c>
      <c r="AB47" s="90">
        <v>7.19</v>
      </c>
      <c r="AC47" s="78">
        <f t="shared" si="25"/>
        <v>107.094984117288</v>
      </c>
      <c r="AD47" s="78">
        <f t="shared" si="26"/>
        <v>820.545625534514</v>
      </c>
      <c r="AE47" s="78">
        <f t="shared" si="27"/>
        <v>114.454374465486</v>
      </c>
    </row>
    <row r="48" customFormat="1" spans="1:31">
      <c r="A48" s="18"/>
      <c r="B48" s="19"/>
      <c r="C48" s="20">
        <v>240226000025</v>
      </c>
      <c r="D48" s="21">
        <v>45355</v>
      </c>
      <c r="E48" s="21" t="s">
        <v>44</v>
      </c>
      <c r="F48" s="19" t="s">
        <v>45</v>
      </c>
      <c r="G48" s="19" t="s">
        <v>101</v>
      </c>
      <c r="H48" s="19">
        <v>2.5</v>
      </c>
      <c r="I48" s="46"/>
      <c r="J48" s="54">
        <v>32640</v>
      </c>
      <c r="K48" s="55"/>
      <c r="L48" s="50">
        <f>SUM(J48/M48)</f>
        <v>1600</v>
      </c>
      <c r="M48" s="52">
        <v>20.4</v>
      </c>
      <c r="N48" s="45">
        <v>7.19</v>
      </c>
      <c r="O48" s="46">
        <f>SUM(M48*N48)</f>
        <v>146.676</v>
      </c>
      <c r="P48" s="48"/>
      <c r="Q48" s="48"/>
      <c r="R48" s="78">
        <f t="shared" si="31"/>
        <v>104.735949908369</v>
      </c>
      <c r="S48" s="78"/>
      <c r="T48" s="79">
        <f t="shared" si="32"/>
        <v>0.183262064752596</v>
      </c>
      <c r="U48" s="78"/>
      <c r="V48" s="78"/>
      <c r="W48" s="80">
        <f t="shared" si="29"/>
        <v>104.919211973122</v>
      </c>
      <c r="X48" s="81">
        <f t="shared" si="33"/>
        <v>2.19043982895541</v>
      </c>
      <c r="Y48" s="81"/>
      <c r="Z48" s="81"/>
      <c r="AA48" s="81">
        <f t="shared" si="28"/>
        <v>2.19043982895541</v>
      </c>
      <c r="AB48" s="90">
        <v>7.19</v>
      </c>
      <c r="AC48" s="78">
        <f t="shared" si="25"/>
        <v>15.7492623701894</v>
      </c>
      <c r="AD48" s="78">
        <f t="shared" si="26"/>
        <v>120.668474343311</v>
      </c>
      <c r="AE48" s="78">
        <f t="shared" si="27"/>
        <v>26.007525656689</v>
      </c>
    </row>
    <row r="49" customFormat="1" spans="1:31">
      <c r="A49" s="18"/>
      <c r="B49" s="19"/>
      <c r="C49" s="20">
        <v>240226000028</v>
      </c>
      <c r="D49" s="21">
        <v>45355</v>
      </c>
      <c r="E49" s="21" t="s">
        <v>44</v>
      </c>
      <c r="F49" s="19" t="s">
        <v>45</v>
      </c>
      <c r="G49" s="19" t="s">
        <v>102</v>
      </c>
      <c r="H49" s="19">
        <v>3.5</v>
      </c>
      <c r="I49" s="41">
        <v>201</v>
      </c>
      <c r="J49" s="42"/>
      <c r="K49" s="43"/>
      <c r="L49" s="42"/>
      <c r="M49" s="44"/>
      <c r="N49" s="45"/>
      <c r="O49" s="46">
        <f t="shared" si="30"/>
        <v>201</v>
      </c>
      <c r="P49" s="48"/>
      <c r="Q49" s="48"/>
      <c r="R49" s="78">
        <f t="shared" si="31"/>
        <v>146.630329871717</v>
      </c>
      <c r="S49" s="78"/>
      <c r="T49" s="79">
        <f t="shared" si="32"/>
        <v>0.256566890653635</v>
      </c>
      <c r="U49" s="78"/>
      <c r="V49" s="78"/>
      <c r="W49" s="80">
        <f t="shared" si="29"/>
        <v>146.88689676237</v>
      </c>
      <c r="X49" s="81">
        <f t="shared" si="33"/>
        <v>3.06661576053757</v>
      </c>
      <c r="Y49" s="81"/>
      <c r="Z49" s="81"/>
      <c r="AA49" s="81">
        <f t="shared" si="28"/>
        <v>3.06661576053757</v>
      </c>
      <c r="AB49" s="90">
        <v>7.19</v>
      </c>
      <c r="AC49" s="78">
        <f t="shared" si="25"/>
        <v>22.0489673182651</v>
      </c>
      <c r="AD49" s="78">
        <f t="shared" si="26"/>
        <v>168.935864080635</v>
      </c>
      <c r="AE49" s="78">
        <f t="shared" si="27"/>
        <v>32.0641359193647</v>
      </c>
    </row>
    <row r="50" customFormat="1" spans="1:31">
      <c r="A50" s="18"/>
      <c r="B50" s="19"/>
      <c r="C50" s="20">
        <v>240226000030</v>
      </c>
      <c r="D50" s="21">
        <v>45355</v>
      </c>
      <c r="E50" s="21" t="s">
        <v>41</v>
      </c>
      <c r="F50" s="19" t="s">
        <v>42</v>
      </c>
      <c r="G50" s="19" t="s">
        <v>103</v>
      </c>
      <c r="H50" s="19">
        <v>7.5</v>
      </c>
      <c r="I50" s="41">
        <v>433</v>
      </c>
      <c r="J50" s="42"/>
      <c r="K50" s="43"/>
      <c r="L50" s="42"/>
      <c r="M50" s="44"/>
      <c r="N50" s="45"/>
      <c r="O50" s="46">
        <f t="shared" si="30"/>
        <v>433</v>
      </c>
      <c r="P50" s="48"/>
      <c r="Q50" s="48"/>
      <c r="R50" s="78">
        <f t="shared" si="31"/>
        <v>314.207849725107</v>
      </c>
      <c r="S50" s="78"/>
      <c r="T50" s="79">
        <f t="shared" si="32"/>
        <v>0.549786194257789</v>
      </c>
      <c r="U50" s="78">
        <v>30</v>
      </c>
      <c r="V50" s="78"/>
      <c r="W50" s="80">
        <f t="shared" si="29"/>
        <v>344.757635919365</v>
      </c>
      <c r="X50" s="81">
        <f t="shared" si="33"/>
        <v>6.57131948686622</v>
      </c>
      <c r="Y50" s="81"/>
      <c r="Z50" s="81"/>
      <c r="AA50" s="81">
        <f t="shared" si="28"/>
        <v>6.57131948686622</v>
      </c>
      <c r="AB50" s="90">
        <v>7.19</v>
      </c>
      <c r="AC50" s="78">
        <f t="shared" si="25"/>
        <v>47.2477871105681</v>
      </c>
      <c r="AD50" s="78">
        <f t="shared" si="26"/>
        <v>392.005423029933</v>
      </c>
      <c r="AE50" s="78">
        <f t="shared" si="27"/>
        <v>40.9945769700672</v>
      </c>
    </row>
    <row r="51" customFormat="1" spans="1:31">
      <c r="A51" s="18"/>
      <c r="B51" s="19"/>
      <c r="C51" s="20">
        <v>240227000002</v>
      </c>
      <c r="D51" s="21">
        <v>45355</v>
      </c>
      <c r="E51" s="21" t="s">
        <v>47</v>
      </c>
      <c r="F51" s="19" t="s">
        <v>104</v>
      </c>
      <c r="G51" s="19" t="s">
        <v>104</v>
      </c>
      <c r="H51" s="19">
        <v>4.5</v>
      </c>
      <c r="I51" s="41">
        <v>257.4</v>
      </c>
      <c r="J51" s="42"/>
      <c r="K51" s="43"/>
      <c r="L51" s="42"/>
      <c r="M51" s="44"/>
      <c r="N51" s="45"/>
      <c r="O51" s="46">
        <f t="shared" si="30"/>
        <v>257.4</v>
      </c>
      <c r="P51" s="48"/>
      <c r="Q51" s="48"/>
      <c r="R51" s="78">
        <f t="shared" si="31"/>
        <v>188.524709835064</v>
      </c>
      <c r="S51" s="78"/>
      <c r="T51" s="79">
        <f t="shared" si="32"/>
        <v>0.329871716554673</v>
      </c>
      <c r="U51" s="78"/>
      <c r="V51" s="78"/>
      <c r="W51" s="80">
        <f t="shared" si="29"/>
        <v>188.854581551619</v>
      </c>
      <c r="X51" s="81">
        <f t="shared" si="33"/>
        <v>3.94279169211973</v>
      </c>
      <c r="Y51" s="81"/>
      <c r="Z51" s="81"/>
      <c r="AA51" s="81">
        <f t="shared" si="28"/>
        <v>3.94279169211973</v>
      </c>
      <c r="AB51" s="90">
        <v>7.19</v>
      </c>
      <c r="AC51" s="78">
        <f t="shared" si="25"/>
        <v>28.3486722663409</v>
      </c>
      <c r="AD51" s="78">
        <f t="shared" si="26"/>
        <v>217.20325381796</v>
      </c>
      <c r="AE51" s="78">
        <f t="shared" si="27"/>
        <v>40.1967461820403</v>
      </c>
    </row>
    <row r="52" customFormat="1" spans="1:31">
      <c r="A52" s="18"/>
      <c r="B52" s="19"/>
      <c r="C52" s="20">
        <v>240227000019</v>
      </c>
      <c r="D52" s="21">
        <v>45355</v>
      </c>
      <c r="E52" s="21" t="s">
        <v>44</v>
      </c>
      <c r="F52" s="19" t="s">
        <v>45</v>
      </c>
      <c r="G52" s="19" t="s">
        <v>58</v>
      </c>
      <c r="H52" s="19">
        <v>2.5</v>
      </c>
      <c r="I52" s="41">
        <v>144.6</v>
      </c>
      <c r="J52" s="42"/>
      <c r="K52" s="43"/>
      <c r="L52" s="42"/>
      <c r="M52" s="44"/>
      <c r="N52" s="45"/>
      <c r="O52" s="46">
        <f t="shared" si="30"/>
        <v>144.6</v>
      </c>
      <c r="P52" s="48"/>
      <c r="Q52" s="48"/>
      <c r="R52" s="78">
        <f t="shared" si="31"/>
        <v>104.735949908369</v>
      </c>
      <c r="S52" s="78"/>
      <c r="T52" s="79">
        <f t="shared" si="32"/>
        <v>0.183262064752596</v>
      </c>
      <c r="U52" s="78"/>
      <c r="V52" s="78"/>
      <c r="W52" s="80">
        <f t="shared" si="29"/>
        <v>104.919211973122</v>
      </c>
      <c r="X52" s="81">
        <f t="shared" si="33"/>
        <v>2.19043982895541</v>
      </c>
      <c r="Y52" s="81"/>
      <c r="Z52" s="81"/>
      <c r="AA52" s="81">
        <f t="shared" si="28"/>
        <v>2.19043982895541</v>
      </c>
      <c r="AB52" s="90">
        <v>7.19</v>
      </c>
      <c r="AC52" s="78">
        <f t="shared" si="25"/>
        <v>15.7492623701894</v>
      </c>
      <c r="AD52" s="78">
        <f t="shared" si="26"/>
        <v>120.668474343311</v>
      </c>
      <c r="AE52" s="78">
        <f t="shared" si="27"/>
        <v>23.931525656689</v>
      </c>
    </row>
    <row r="53" customFormat="1" spans="1:31">
      <c r="A53" s="18"/>
      <c r="B53" s="19"/>
      <c r="C53" s="20">
        <v>240227000026</v>
      </c>
      <c r="D53" s="21">
        <v>45355</v>
      </c>
      <c r="E53" s="21" t="s">
        <v>51</v>
      </c>
      <c r="F53" s="19" t="s">
        <v>105</v>
      </c>
      <c r="G53" s="19" t="s">
        <v>106</v>
      </c>
      <c r="H53" s="19">
        <v>23</v>
      </c>
      <c r="I53" s="41">
        <v>1363.6</v>
      </c>
      <c r="J53" s="42"/>
      <c r="K53" s="43"/>
      <c r="L53" s="42"/>
      <c r="M53" s="44"/>
      <c r="N53" s="45"/>
      <c r="O53" s="46">
        <f t="shared" si="30"/>
        <v>1363.6</v>
      </c>
      <c r="P53" s="48"/>
      <c r="Q53" s="48"/>
      <c r="R53" s="78">
        <f t="shared" si="31"/>
        <v>963.570739156995</v>
      </c>
      <c r="S53" s="78"/>
      <c r="T53" s="79">
        <f t="shared" si="32"/>
        <v>1.68601099572389</v>
      </c>
      <c r="U53" s="78"/>
      <c r="V53" s="78"/>
      <c r="W53" s="80">
        <f t="shared" si="29"/>
        <v>965.256750152718</v>
      </c>
      <c r="X53" s="81">
        <f t="shared" si="33"/>
        <v>20.1520464263897</v>
      </c>
      <c r="Y53" s="81"/>
      <c r="Z53" s="81"/>
      <c r="AA53" s="81">
        <f t="shared" si="28"/>
        <v>20.1520464263897</v>
      </c>
      <c r="AB53" s="90">
        <v>7.19</v>
      </c>
      <c r="AC53" s="78">
        <f t="shared" si="25"/>
        <v>144.893213805742</v>
      </c>
      <c r="AD53" s="78">
        <f t="shared" si="26"/>
        <v>1110.14996395846</v>
      </c>
      <c r="AE53" s="78">
        <f t="shared" si="27"/>
        <v>253.450036041539</v>
      </c>
    </row>
    <row r="54" customFormat="1" spans="1:31">
      <c r="A54" s="18"/>
      <c r="B54" s="19"/>
      <c r="C54" s="20">
        <v>240227000028</v>
      </c>
      <c r="D54" s="21">
        <v>45355</v>
      </c>
      <c r="E54" s="21" t="s">
        <v>51</v>
      </c>
      <c r="F54" s="19" t="s">
        <v>105</v>
      </c>
      <c r="G54" s="19" t="s">
        <v>106</v>
      </c>
      <c r="H54" s="19">
        <v>0.21</v>
      </c>
      <c r="I54" s="41">
        <v>70</v>
      </c>
      <c r="J54" s="42"/>
      <c r="K54" s="43"/>
      <c r="L54" s="42"/>
      <c r="M54" s="44"/>
      <c r="N54" s="45"/>
      <c r="O54" s="46">
        <f t="shared" si="30"/>
        <v>70</v>
      </c>
      <c r="P54" s="48"/>
      <c r="Q54" s="48"/>
      <c r="R54" s="78">
        <f t="shared" si="31"/>
        <v>8.79781979230299</v>
      </c>
      <c r="S54" s="78"/>
      <c r="T54" s="79">
        <f t="shared" si="32"/>
        <v>0.0153940134392181</v>
      </c>
      <c r="U54" s="78"/>
      <c r="V54" s="78"/>
      <c r="W54" s="80">
        <f t="shared" si="29"/>
        <v>8.81321380574221</v>
      </c>
      <c r="X54" s="81">
        <f t="shared" si="33"/>
        <v>0.183996945632254</v>
      </c>
      <c r="Y54" s="81"/>
      <c r="Z54" s="81"/>
      <c r="AA54" s="81">
        <f t="shared" si="28"/>
        <v>0.183996945632254</v>
      </c>
      <c r="AB54" s="90">
        <v>7.19</v>
      </c>
      <c r="AC54" s="78">
        <f t="shared" si="25"/>
        <v>1.32293803909591</v>
      </c>
      <c r="AD54" s="78">
        <f t="shared" si="26"/>
        <v>10.1361518448381</v>
      </c>
      <c r="AE54" s="78">
        <f t="shared" si="27"/>
        <v>59.8638481551619</v>
      </c>
    </row>
    <row r="55" customFormat="1" spans="1:31">
      <c r="A55" s="18"/>
      <c r="B55" s="19"/>
      <c r="C55" s="20">
        <v>240227000029</v>
      </c>
      <c r="D55" s="21">
        <v>45355</v>
      </c>
      <c r="E55" s="21" t="s">
        <v>44</v>
      </c>
      <c r="F55" s="19" t="s">
        <v>45</v>
      </c>
      <c r="G55" s="19" t="s">
        <v>100</v>
      </c>
      <c r="H55" s="19">
        <v>40.5</v>
      </c>
      <c r="I55" s="49"/>
      <c r="J55" s="50">
        <v>516802.5</v>
      </c>
      <c r="K55" s="51"/>
      <c r="L55" s="50">
        <f>SUM(J55/M55)</f>
        <v>1603.38328369322</v>
      </c>
      <c r="M55" s="52">
        <v>322.32</v>
      </c>
      <c r="N55" s="45">
        <v>7.19</v>
      </c>
      <c r="O55" s="46">
        <f>SUM(M55*N55)</f>
        <v>2317.4808</v>
      </c>
      <c r="P55" s="48"/>
      <c r="Q55" s="48"/>
      <c r="R55" s="78">
        <f t="shared" si="31"/>
        <v>1696.72238851558</v>
      </c>
      <c r="S55" s="78"/>
      <c r="T55" s="79">
        <f t="shared" si="32"/>
        <v>2.96884544899206</v>
      </c>
      <c r="U55" s="78">
        <f>SUM(50+40)</f>
        <v>90</v>
      </c>
      <c r="V55" s="78"/>
      <c r="W55" s="80">
        <f t="shared" si="29"/>
        <v>1789.69123396457</v>
      </c>
      <c r="X55" s="81">
        <f t="shared" si="33"/>
        <v>35.4851252290776</v>
      </c>
      <c r="Y55" s="81"/>
      <c r="Z55" s="81"/>
      <c r="AA55" s="81">
        <f t="shared" si="28"/>
        <v>35.4851252290776</v>
      </c>
      <c r="AB55" s="90">
        <v>7.19</v>
      </c>
      <c r="AC55" s="78">
        <f t="shared" si="25"/>
        <v>255.138050397068</v>
      </c>
      <c r="AD55" s="78">
        <f t="shared" si="26"/>
        <v>2044.82928436164</v>
      </c>
      <c r="AE55" s="78">
        <f t="shared" si="27"/>
        <v>272.651515638362</v>
      </c>
    </row>
    <row r="56" customFormat="1" spans="1:31">
      <c r="A56" s="18"/>
      <c r="B56" s="19"/>
      <c r="C56" s="20">
        <v>240228000007</v>
      </c>
      <c r="D56" s="21">
        <v>45355</v>
      </c>
      <c r="E56" s="21" t="s">
        <v>44</v>
      </c>
      <c r="F56" s="19" t="s">
        <v>45</v>
      </c>
      <c r="G56" s="19" t="s">
        <v>107</v>
      </c>
      <c r="H56" s="19">
        <v>2</v>
      </c>
      <c r="I56" s="41">
        <v>130.8</v>
      </c>
      <c r="J56" s="42"/>
      <c r="K56" s="43"/>
      <c r="L56" s="42"/>
      <c r="M56" s="44"/>
      <c r="N56" s="45"/>
      <c r="O56" s="46">
        <f t="shared" ref="O56:O58" si="34">SUM(I56)</f>
        <v>130.8</v>
      </c>
      <c r="P56" s="48"/>
      <c r="Q56" s="48"/>
      <c r="R56" s="78">
        <f t="shared" si="31"/>
        <v>83.7887599266952</v>
      </c>
      <c r="S56" s="78"/>
      <c r="T56" s="79">
        <f t="shared" si="32"/>
        <v>0.146609651802077</v>
      </c>
      <c r="U56" s="78"/>
      <c r="V56" s="78"/>
      <c r="W56" s="80">
        <f t="shared" si="29"/>
        <v>83.9353695784973</v>
      </c>
      <c r="X56" s="81">
        <f t="shared" si="33"/>
        <v>1.75235186316432</v>
      </c>
      <c r="Y56" s="81"/>
      <c r="Z56" s="81"/>
      <c r="AA56" s="81">
        <f t="shared" si="28"/>
        <v>1.75235186316432</v>
      </c>
      <c r="AB56" s="90">
        <v>7.19</v>
      </c>
      <c r="AC56" s="78">
        <f t="shared" si="25"/>
        <v>12.5994098961515</v>
      </c>
      <c r="AD56" s="78">
        <f t="shared" si="26"/>
        <v>96.5347794746488</v>
      </c>
      <c r="AE56" s="78">
        <f t="shared" si="27"/>
        <v>34.2652205253513</v>
      </c>
    </row>
    <row r="57" customFormat="1" spans="1:31">
      <c r="A57" s="18"/>
      <c r="B57" s="19"/>
      <c r="C57" s="20">
        <v>240228000009</v>
      </c>
      <c r="D57" s="21">
        <v>45355</v>
      </c>
      <c r="E57" s="21" t="s">
        <v>44</v>
      </c>
      <c r="F57" s="19" t="s">
        <v>45</v>
      </c>
      <c r="G57" s="19" t="s">
        <v>108</v>
      </c>
      <c r="H57" s="19">
        <v>6.5</v>
      </c>
      <c r="I57" s="41">
        <v>397.2</v>
      </c>
      <c r="J57" s="42"/>
      <c r="K57" s="43"/>
      <c r="L57" s="42"/>
      <c r="M57" s="44"/>
      <c r="N57" s="45"/>
      <c r="O57" s="46">
        <f t="shared" si="34"/>
        <v>397.2</v>
      </c>
      <c r="P57" s="48"/>
      <c r="Q57" s="48"/>
      <c r="R57" s="78">
        <f t="shared" si="31"/>
        <v>272.313469761759</v>
      </c>
      <c r="S57" s="78"/>
      <c r="T57" s="79">
        <f t="shared" si="32"/>
        <v>0.47648136835675</v>
      </c>
      <c r="U57" s="78"/>
      <c r="V57" s="78"/>
      <c r="W57" s="80">
        <f t="shared" si="29"/>
        <v>272.789951130116</v>
      </c>
      <c r="X57" s="81">
        <f t="shared" si="33"/>
        <v>5.69514355528406</v>
      </c>
      <c r="Y57" s="81"/>
      <c r="Z57" s="81"/>
      <c r="AA57" s="81">
        <f t="shared" si="28"/>
        <v>5.69514355528406</v>
      </c>
      <c r="AB57" s="90">
        <v>7.19</v>
      </c>
      <c r="AC57" s="78">
        <f t="shared" si="25"/>
        <v>40.9480821624924</v>
      </c>
      <c r="AD57" s="78">
        <f t="shared" si="26"/>
        <v>313.738033292608</v>
      </c>
      <c r="AE57" s="78">
        <f t="shared" si="27"/>
        <v>83.4619667073915</v>
      </c>
    </row>
    <row r="58" customFormat="1" spans="1:31">
      <c r="A58" s="18"/>
      <c r="B58" s="19"/>
      <c r="C58" s="20">
        <v>240228000010</v>
      </c>
      <c r="D58" s="21">
        <v>45355</v>
      </c>
      <c r="E58" s="21" t="s">
        <v>44</v>
      </c>
      <c r="F58" s="19" t="s">
        <v>45</v>
      </c>
      <c r="G58" s="19" t="s">
        <v>102</v>
      </c>
      <c r="H58" s="19">
        <v>1.5</v>
      </c>
      <c r="I58" s="41">
        <v>88.2</v>
      </c>
      <c r="J58" s="42"/>
      <c r="K58" s="43"/>
      <c r="L58" s="42"/>
      <c r="M58" s="44"/>
      <c r="N58" s="45"/>
      <c r="O58" s="46">
        <f t="shared" si="34"/>
        <v>88.2</v>
      </c>
      <c r="P58" s="48"/>
      <c r="Q58" s="48"/>
      <c r="R58" s="78">
        <f t="shared" si="31"/>
        <v>62.8415699450214</v>
      </c>
      <c r="S58" s="78"/>
      <c r="T58" s="79">
        <f t="shared" si="32"/>
        <v>0.109957238851558</v>
      </c>
      <c r="U58" s="78"/>
      <c r="V58" s="78"/>
      <c r="W58" s="80">
        <f t="shared" si="29"/>
        <v>62.9515271838729</v>
      </c>
      <c r="X58" s="81">
        <f t="shared" si="33"/>
        <v>1.31426389737324</v>
      </c>
      <c r="Y58" s="81"/>
      <c r="Z58" s="81"/>
      <c r="AA58" s="81">
        <f t="shared" si="28"/>
        <v>1.31426389737324</v>
      </c>
      <c r="AB58" s="90">
        <v>7.19</v>
      </c>
      <c r="AC58" s="78">
        <f t="shared" si="25"/>
        <v>9.44955742211362</v>
      </c>
      <c r="AD58" s="78">
        <f t="shared" si="26"/>
        <v>72.4010846059866</v>
      </c>
      <c r="AE58" s="78">
        <f t="shared" si="27"/>
        <v>15.7989153940134</v>
      </c>
    </row>
    <row r="59" customFormat="1" spans="1:31">
      <c r="A59" s="18"/>
      <c r="B59" s="19"/>
      <c r="C59" s="20">
        <v>240228000017</v>
      </c>
      <c r="D59" s="21">
        <v>45355</v>
      </c>
      <c r="E59" s="21" t="s">
        <v>37</v>
      </c>
      <c r="F59" s="19" t="s">
        <v>38</v>
      </c>
      <c r="G59" s="19" t="s">
        <v>109</v>
      </c>
      <c r="H59" s="19">
        <v>18.5</v>
      </c>
      <c r="I59" s="46"/>
      <c r="J59" s="54">
        <v>296015</v>
      </c>
      <c r="K59" s="55"/>
      <c r="L59" s="50">
        <f>SUM(J59/M59)</f>
        <v>1599.99459488676</v>
      </c>
      <c r="M59" s="52">
        <v>185.01</v>
      </c>
      <c r="N59" s="45">
        <v>7.19</v>
      </c>
      <c r="O59" s="46">
        <f>SUM(M59*N59)</f>
        <v>1330.2219</v>
      </c>
      <c r="P59" s="48"/>
      <c r="Q59" s="48"/>
      <c r="R59" s="78">
        <f t="shared" si="31"/>
        <v>775.04602932193</v>
      </c>
      <c r="S59" s="78"/>
      <c r="T59" s="79">
        <f t="shared" si="32"/>
        <v>1.35613927916921</v>
      </c>
      <c r="U59" s="78"/>
      <c r="V59" s="78"/>
      <c r="W59" s="80">
        <f t="shared" si="29"/>
        <v>776.4021686011</v>
      </c>
      <c r="X59" s="81">
        <f t="shared" si="33"/>
        <v>16.20925473427</v>
      </c>
      <c r="Y59" s="81"/>
      <c r="Z59" s="81"/>
      <c r="AA59" s="81">
        <f t="shared" si="28"/>
        <v>16.20925473427</v>
      </c>
      <c r="AB59" s="90">
        <v>7.19</v>
      </c>
      <c r="AC59" s="78">
        <f t="shared" si="25"/>
        <v>116.544541539401</v>
      </c>
      <c r="AD59" s="78">
        <f t="shared" si="26"/>
        <v>892.946710140501</v>
      </c>
      <c r="AE59" s="78">
        <f t="shared" si="27"/>
        <v>437.275189859499</v>
      </c>
    </row>
    <row r="60" customFormat="1" spans="1:31">
      <c r="A60" s="18"/>
      <c r="B60" s="19"/>
      <c r="C60" s="20">
        <v>240228000022</v>
      </c>
      <c r="D60" s="21">
        <v>45355</v>
      </c>
      <c r="E60" s="21" t="s">
        <v>44</v>
      </c>
      <c r="F60" s="19" t="s">
        <v>45</v>
      </c>
      <c r="G60" s="19" t="s">
        <v>110</v>
      </c>
      <c r="H60" s="19">
        <v>6.5</v>
      </c>
      <c r="I60" s="41">
        <v>506</v>
      </c>
      <c r="J60" s="42"/>
      <c r="K60" s="43"/>
      <c r="L60" s="42"/>
      <c r="M60" s="44"/>
      <c r="N60" s="45"/>
      <c r="O60" s="46">
        <f t="shared" ref="O60:O64" si="35">SUM(I60)</f>
        <v>506</v>
      </c>
      <c r="P60" s="48"/>
      <c r="Q60" s="48"/>
      <c r="R60" s="78">
        <f t="shared" si="31"/>
        <v>272.313469761759</v>
      </c>
      <c r="S60" s="78"/>
      <c r="T60" s="79">
        <f t="shared" si="32"/>
        <v>0.47648136835675</v>
      </c>
      <c r="U60" s="78"/>
      <c r="V60" s="78"/>
      <c r="W60" s="80">
        <f t="shared" si="29"/>
        <v>272.789951130116</v>
      </c>
      <c r="X60" s="81">
        <f t="shared" si="33"/>
        <v>5.69514355528406</v>
      </c>
      <c r="Y60" s="81"/>
      <c r="Z60" s="81"/>
      <c r="AA60" s="81">
        <f t="shared" si="28"/>
        <v>5.69514355528406</v>
      </c>
      <c r="AB60" s="90">
        <v>7.19</v>
      </c>
      <c r="AC60" s="78">
        <f t="shared" si="25"/>
        <v>40.9480821624924</v>
      </c>
      <c r="AD60" s="78">
        <f t="shared" si="26"/>
        <v>313.738033292608</v>
      </c>
      <c r="AE60" s="78">
        <f t="shared" si="27"/>
        <v>192.261966707392</v>
      </c>
    </row>
    <row r="61" customFormat="1" spans="1:31">
      <c r="A61" s="18"/>
      <c r="B61" s="19"/>
      <c r="C61" s="20">
        <v>240229000002</v>
      </c>
      <c r="D61" s="21">
        <v>45355</v>
      </c>
      <c r="E61" s="21" t="s">
        <v>41</v>
      </c>
      <c r="F61" s="19" t="s">
        <v>42</v>
      </c>
      <c r="G61" s="19" t="s">
        <v>62</v>
      </c>
      <c r="H61" s="19">
        <v>0.52</v>
      </c>
      <c r="I61" s="41">
        <v>60</v>
      </c>
      <c r="J61" s="42"/>
      <c r="K61" s="43"/>
      <c r="L61" s="42"/>
      <c r="M61" s="44"/>
      <c r="N61" s="45"/>
      <c r="O61" s="46">
        <f t="shared" si="35"/>
        <v>60</v>
      </c>
      <c r="P61" s="48"/>
      <c r="Q61" s="48"/>
      <c r="R61" s="78">
        <f t="shared" si="31"/>
        <v>21.7850775809407</v>
      </c>
      <c r="S61" s="78"/>
      <c r="T61" s="79">
        <f t="shared" si="32"/>
        <v>0.03811850946854</v>
      </c>
      <c r="U61" s="78"/>
      <c r="V61" s="78"/>
      <c r="W61" s="80">
        <f t="shared" si="29"/>
        <v>21.8231960904093</v>
      </c>
      <c r="X61" s="81">
        <f t="shared" si="33"/>
        <v>0.455611484422724</v>
      </c>
      <c r="Y61" s="81"/>
      <c r="Z61" s="81"/>
      <c r="AA61" s="81">
        <f t="shared" si="28"/>
        <v>0.455611484422724</v>
      </c>
      <c r="AB61" s="90">
        <v>7.19</v>
      </c>
      <c r="AC61" s="78">
        <f t="shared" si="25"/>
        <v>3.27584657299939</v>
      </c>
      <c r="AD61" s="78">
        <f t="shared" si="26"/>
        <v>25.0990426634087</v>
      </c>
      <c r="AE61" s="78">
        <f t="shared" si="27"/>
        <v>34.9009573365913</v>
      </c>
    </row>
    <row r="62" customFormat="1" spans="1:31">
      <c r="A62" s="18"/>
      <c r="B62" s="19"/>
      <c r="C62" s="20">
        <v>240229000004</v>
      </c>
      <c r="D62" s="21">
        <v>45355</v>
      </c>
      <c r="E62" s="21" t="s">
        <v>51</v>
      </c>
      <c r="F62" s="19" t="s">
        <v>65</v>
      </c>
      <c r="G62" s="19" t="s">
        <v>111</v>
      </c>
      <c r="H62" s="19">
        <v>12</v>
      </c>
      <c r="I62" s="41">
        <v>640.8</v>
      </c>
      <c r="J62" s="42"/>
      <c r="K62" s="43"/>
      <c r="L62" s="42"/>
      <c r="M62" s="44"/>
      <c r="N62" s="45"/>
      <c r="O62" s="46">
        <f t="shared" si="35"/>
        <v>640.8</v>
      </c>
      <c r="P62" s="48"/>
      <c r="Q62" s="48"/>
      <c r="R62" s="78">
        <f t="shared" si="31"/>
        <v>502.732559560171</v>
      </c>
      <c r="S62" s="78"/>
      <c r="T62" s="79">
        <f t="shared" si="32"/>
        <v>0.879657910812462</v>
      </c>
      <c r="U62" s="78"/>
      <c r="V62" s="78"/>
      <c r="W62" s="80">
        <f t="shared" si="29"/>
        <v>503.612217470984</v>
      </c>
      <c r="X62" s="81">
        <f t="shared" si="33"/>
        <v>10.5141111789859</v>
      </c>
      <c r="Y62" s="81"/>
      <c r="Z62" s="81"/>
      <c r="AA62" s="81">
        <f t="shared" si="28"/>
        <v>10.5141111789859</v>
      </c>
      <c r="AB62" s="90">
        <v>7.19</v>
      </c>
      <c r="AC62" s="78">
        <f t="shared" si="25"/>
        <v>75.596459376909</v>
      </c>
      <c r="AD62" s="78">
        <f t="shared" si="26"/>
        <v>579.208676847893</v>
      </c>
      <c r="AE62" s="78">
        <f t="shared" si="27"/>
        <v>61.5913231521074</v>
      </c>
    </row>
    <row r="63" customFormat="1" spans="1:31">
      <c r="A63" s="18"/>
      <c r="B63" s="19"/>
      <c r="C63" s="20">
        <v>240229000007</v>
      </c>
      <c r="D63" s="21">
        <v>45355</v>
      </c>
      <c r="E63" s="21" t="s">
        <v>44</v>
      </c>
      <c r="F63" s="19" t="s">
        <v>45</v>
      </c>
      <c r="G63" s="19" t="s">
        <v>112</v>
      </c>
      <c r="H63" s="19">
        <v>8</v>
      </c>
      <c r="I63" s="41">
        <v>440</v>
      </c>
      <c r="J63" s="53"/>
      <c r="K63" s="51"/>
      <c r="L63" s="53"/>
      <c r="M63" s="44"/>
      <c r="N63" s="45"/>
      <c r="O63" s="46">
        <f t="shared" si="35"/>
        <v>440</v>
      </c>
      <c r="P63" s="48"/>
      <c r="Q63" s="48"/>
      <c r="R63" s="78">
        <f t="shared" si="31"/>
        <v>335.155039706781</v>
      </c>
      <c r="S63" s="78"/>
      <c r="T63" s="79">
        <f t="shared" si="32"/>
        <v>0.586438607208308</v>
      </c>
      <c r="U63" s="78"/>
      <c r="V63" s="78"/>
      <c r="W63" s="80">
        <f t="shared" si="29"/>
        <v>335.741478313989</v>
      </c>
      <c r="X63" s="81">
        <f t="shared" si="33"/>
        <v>7.0094074526573</v>
      </c>
      <c r="Y63" s="81"/>
      <c r="Z63" s="81"/>
      <c r="AA63" s="81">
        <f t="shared" si="28"/>
        <v>7.0094074526573</v>
      </c>
      <c r="AB63" s="90">
        <v>7.19</v>
      </c>
      <c r="AC63" s="78">
        <f t="shared" si="25"/>
        <v>50.397639584606</v>
      </c>
      <c r="AD63" s="78">
        <f t="shared" si="26"/>
        <v>386.139117898595</v>
      </c>
      <c r="AE63" s="78">
        <f t="shared" si="27"/>
        <v>53.860882101405</v>
      </c>
    </row>
    <row r="64" customFormat="1" spans="1:31">
      <c r="A64" s="18"/>
      <c r="B64" s="19"/>
      <c r="C64" s="20">
        <v>240229000008</v>
      </c>
      <c r="D64" s="21">
        <v>45355</v>
      </c>
      <c r="E64" s="21" t="s">
        <v>44</v>
      </c>
      <c r="F64" s="19" t="s">
        <v>45</v>
      </c>
      <c r="G64" s="19" t="s">
        <v>112</v>
      </c>
      <c r="H64" s="19">
        <v>12.5</v>
      </c>
      <c r="I64" s="41">
        <v>687.5</v>
      </c>
      <c r="J64" s="53"/>
      <c r="K64" s="51"/>
      <c r="L64" s="53"/>
      <c r="M64" s="44"/>
      <c r="N64" s="45"/>
      <c r="O64" s="46">
        <f t="shared" si="35"/>
        <v>687.5</v>
      </c>
      <c r="P64" s="48"/>
      <c r="Q64" s="48"/>
      <c r="R64" s="78">
        <f t="shared" si="31"/>
        <v>523.679749541845</v>
      </c>
      <c r="S64" s="78"/>
      <c r="T64" s="79">
        <f t="shared" si="32"/>
        <v>0.916310323762981</v>
      </c>
      <c r="U64" s="78"/>
      <c r="V64" s="78"/>
      <c r="W64" s="80">
        <f t="shared" si="29"/>
        <v>524.596059865608</v>
      </c>
      <c r="X64" s="81">
        <f t="shared" si="33"/>
        <v>10.952199144777</v>
      </c>
      <c r="Y64" s="81"/>
      <c r="Z64" s="81"/>
      <c r="AA64" s="81">
        <f t="shared" si="28"/>
        <v>10.952199144777</v>
      </c>
      <c r="AB64" s="90">
        <v>7.19</v>
      </c>
      <c r="AC64" s="78">
        <f t="shared" si="25"/>
        <v>78.7463118509469</v>
      </c>
      <c r="AD64" s="78">
        <f t="shared" si="26"/>
        <v>603.342371716555</v>
      </c>
      <c r="AE64" s="78">
        <f t="shared" si="27"/>
        <v>84.1576282834452</v>
      </c>
    </row>
    <row r="65" customFormat="1" spans="1:31">
      <c r="A65" s="18"/>
      <c r="B65" s="19"/>
      <c r="C65" s="20">
        <v>240229000012</v>
      </c>
      <c r="D65" s="21">
        <v>45355</v>
      </c>
      <c r="E65" s="21" t="s">
        <v>44</v>
      </c>
      <c r="F65" s="19" t="s">
        <v>45</v>
      </c>
      <c r="G65" s="19" t="s">
        <v>113</v>
      </c>
      <c r="H65" s="19">
        <v>5</v>
      </c>
      <c r="I65" s="49"/>
      <c r="J65" s="50">
        <v>63688</v>
      </c>
      <c r="K65" s="51"/>
      <c r="L65" s="50">
        <f>SUM(J65/M65)</f>
        <v>1603.42396777442</v>
      </c>
      <c r="M65" s="52">
        <v>39.72</v>
      </c>
      <c r="N65" s="45">
        <v>7.19</v>
      </c>
      <c r="O65" s="46">
        <f>SUM(M65*N65)</f>
        <v>285.5868</v>
      </c>
      <c r="P65" s="48"/>
      <c r="Q65" s="48"/>
      <c r="R65" s="78">
        <f t="shared" si="31"/>
        <v>209.471899816738</v>
      </c>
      <c r="S65" s="78"/>
      <c r="T65" s="79">
        <f t="shared" si="32"/>
        <v>0.366524129505192</v>
      </c>
      <c r="U65" s="78"/>
      <c r="V65" s="78"/>
      <c r="W65" s="80">
        <f t="shared" si="29"/>
        <v>209.838423946243</v>
      </c>
      <c r="X65" s="81">
        <f t="shared" si="33"/>
        <v>4.38087965791081</v>
      </c>
      <c r="Y65" s="81"/>
      <c r="Z65" s="81"/>
      <c r="AA65" s="81">
        <f t="shared" si="28"/>
        <v>4.38087965791081</v>
      </c>
      <c r="AB65" s="90">
        <v>7.19</v>
      </c>
      <c r="AC65" s="78">
        <f t="shared" si="25"/>
        <v>31.4985247403787</v>
      </c>
      <c r="AD65" s="78">
        <f t="shared" si="26"/>
        <v>241.336948686622</v>
      </c>
      <c r="AE65" s="78">
        <f t="shared" si="27"/>
        <v>44.2498513133781</v>
      </c>
    </row>
    <row r="66" customFormat="1" spans="1:31">
      <c r="A66" s="18"/>
      <c r="B66" s="19"/>
      <c r="C66" s="20">
        <v>240301000006</v>
      </c>
      <c r="D66" s="21">
        <v>45355</v>
      </c>
      <c r="E66" s="21" t="s">
        <v>47</v>
      </c>
      <c r="F66" s="19" t="s">
        <v>48</v>
      </c>
      <c r="G66" s="19" t="s">
        <v>81</v>
      </c>
      <c r="H66" s="19">
        <v>3</v>
      </c>
      <c r="I66" s="41">
        <v>194.4</v>
      </c>
      <c r="J66" s="42"/>
      <c r="K66" s="43"/>
      <c r="L66" s="42"/>
      <c r="M66" s="44"/>
      <c r="N66" s="45"/>
      <c r="O66" s="46">
        <f t="shared" ref="O66:O71" si="36">SUM(I66)</f>
        <v>194.4</v>
      </c>
      <c r="P66" s="48"/>
      <c r="Q66" s="48"/>
      <c r="R66" s="78">
        <f t="shared" si="31"/>
        <v>125.683139890043</v>
      </c>
      <c r="S66" s="78"/>
      <c r="T66" s="79">
        <f t="shared" si="32"/>
        <v>0.219914477703115</v>
      </c>
      <c r="U66" s="78"/>
      <c r="V66" s="78"/>
      <c r="W66" s="80">
        <f t="shared" si="29"/>
        <v>125.903054367746</v>
      </c>
      <c r="X66" s="81">
        <f t="shared" si="33"/>
        <v>2.62852779474649</v>
      </c>
      <c r="Y66" s="81"/>
      <c r="Z66" s="81"/>
      <c r="AA66" s="81">
        <f t="shared" si="28"/>
        <v>2.62852779474649</v>
      </c>
      <c r="AB66" s="90">
        <v>7.19</v>
      </c>
      <c r="AC66" s="78">
        <f t="shared" si="25"/>
        <v>18.8991148442272</v>
      </c>
      <c r="AD66" s="78">
        <f t="shared" si="26"/>
        <v>144.802169211973</v>
      </c>
      <c r="AE66" s="78">
        <f t="shared" si="27"/>
        <v>49.5978307880269</v>
      </c>
    </row>
    <row r="67" customFormat="1" spans="1:31">
      <c r="A67" s="18"/>
      <c r="B67" s="19"/>
      <c r="C67" s="22">
        <v>240301000011</v>
      </c>
      <c r="D67" s="23">
        <v>45355</v>
      </c>
      <c r="E67" s="21" t="s">
        <v>41</v>
      </c>
      <c r="F67" s="24" t="s">
        <v>42</v>
      </c>
      <c r="G67" s="24" t="s">
        <v>62</v>
      </c>
      <c r="H67" s="24">
        <v>0.14</v>
      </c>
      <c r="I67" s="41">
        <v>60</v>
      </c>
      <c r="J67" s="42"/>
      <c r="K67" s="43"/>
      <c r="L67" s="42"/>
      <c r="M67" s="44"/>
      <c r="N67" s="45"/>
      <c r="O67" s="46">
        <f t="shared" si="36"/>
        <v>60</v>
      </c>
      <c r="P67" s="48"/>
      <c r="Q67" s="48"/>
      <c r="R67" s="78">
        <f t="shared" si="31"/>
        <v>5.86521319486866</v>
      </c>
      <c r="S67" s="78"/>
      <c r="T67" s="79">
        <f t="shared" si="32"/>
        <v>0.0102626756261454</v>
      </c>
      <c r="U67" s="78"/>
      <c r="V67" s="78"/>
      <c r="W67" s="80">
        <f t="shared" si="29"/>
        <v>5.87547587049481</v>
      </c>
      <c r="X67" s="81">
        <f t="shared" si="33"/>
        <v>0.122664630421503</v>
      </c>
      <c r="Y67" s="81"/>
      <c r="Z67" s="81"/>
      <c r="AA67" s="81">
        <f t="shared" si="28"/>
        <v>0.122664630421503</v>
      </c>
      <c r="AB67" s="90">
        <v>7.19</v>
      </c>
      <c r="AC67" s="78">
        <f t="shared" si="25"/>
        <v>0.881958692730605</v>
      </c>
      <c r="AD67" s="78">
        <f t="shared" si="26"/>
        <v>6.75743456322541</v>
      </c>
      <c r="AE67" s="78">
        <f t="shared" si="27"/>
        <v>53.2425654367746</v>
      </c>
    </row>
    <row r="68" customFormat="1" spans="1:31">
      <c r="A68" s="18"/>
      <c r="B68" s="19"/>
      <c r="C68" s="20">
        <v>240301000015</v>
      </c>
      <c r="D68" s="21">
        <v>45355</v>
      </c>
      <c r="E68" s="21" t="s">
        <v>70</v>
      </c>
      <c r="F68" s="19" t="s">
        <v>70</v>
      </c>
      <c r="G68" s="19" t="s">
        <v>71</v>
      </c>
      <c r="H68" s="19">
        <v>257</v>
      </c>
      <c r="I68" s="41">
        <v>12157</v>
      </c>
      <c r="J68" s="53"/>
      <c r="K68" s="51"/>
      <c r="L68" s="53"/>
      <c r="M68" s="44"/>
      <c r="N68" s="45"/>
      <c r="O68" s="46">
        <f t="shared" si="36"/>
        <v>12157</v>
      </c>
      <c r="P68" s="48"/>
      <c r="Q68" s="48"/>
      <c r="R68" s="78">
        <f t="shared" si="31"/>
        <v>10766.8556505803</v>
      </c>
      <c r="S68" s="78"/>
      <c r="T68" s="79">
        <f t="shared" si="32"/>
        <v>18.8393402565669</v>
      </c>
      <c r="U68" s="78"/>
      <c r="V68" s="78"/>
      <c r="W68" s="80">
        <f t="shared" si="29"/>
        <v>10785.6949908369</v>
      </c>
      <c r="X68" s="81">
        <f t="shared" si="33"/>
        <v>225.177214416616</v>
      </c>
      <c r="Y68" s="81"/>
      <c r="Z68" s="81"/>
      <c r="AA68" s="81">
        <f t="shared" si="28"/>
        <v>225.177214416616</v>
      </c>
      <c r="AB68" s="90">
        <v>7.19</v>
      </c>
      <c r="AC68" s="78">
        <f t="shared" si="25"/>
        <v>1619.02417165547</v>
      </c>
      <c r="AD68" s="78">
        <f t="shared" si="26"/>
        <v>12404.7191624924</v>
      </c>
      <c r="AE68" s="78">
        <f t="shared" si="27"/>
        <v>-247.719162492365</v>
      </c>
    </row>
    <row r="69" customFormat="1" spans="1:31">
      <c r="A69" s="18"/>
      <c r="B69" s="19"/>
      <c r="C69" s="20">
        <v>240301000017</v>
      </c>
      <c r="D69" s="21">
        <v>45355</v>
      </c>
      <c r="E69" s="21" t="s">
        <v>44</v>
      </c>
      <c r="F69" s="19" t="s">
        <v>45</v>
      </c>
      <c r="G69" s="19" t="s">
        <v>114</v>
      </c>
      <c r="H69" s="19">
        <v>2.5</v>
      </c>
      <c r="I69" s="41">
        <v>144.6</v>
      </c>
      <c r="J69" s="42"/>
      <c r="K69" s="43"/>
      <c r="L69" s="42"/>
      <c r="M69" s="44"/>
      <c r="N69" s="45"/>
      <c r="O69" s="46">
        <f t="shared" si="36"/>
        <v>144.6</v>
      </c>
      <c r="P69" s="48"/>
      <c r="Q69" s="48"/>
      <c r="R69" s="78">
        <f t="shared" si="31"/>
        <v>104.735949908369</v>
      </c>
      <c r="S69" s="78"/>
      <c r="T69" s="79">
        <f t="shared" si="32"/>
        <v>0.183262064752596</v>
      </c>
      <c r="U69" s="78"/>
      <c r="V69" s="78"/>
      <c r="W69" s="80">
        <f t="shared" si="29"/>
        <v>104.919211973122</v>
      </c>
      <c r="X69" s="81">
        <f t="shared" si="33"/>
        <v>2.19043982895541</v>
      </c>
      <c r="Y69" s="81"/>
      <c r="Z69" s="81"/>
      <c r="AA69" s="81">
        <f t="shared" si="28"/>
        <v>2.19043982895541</v>
      </c>
      <c r="AB69" s="90">
        <v>7.19</v>
      </c>
      <c r="AC69" s="78">
        <f t="shared" si="25"/>
        <v>15.7492623701894</v>
      </c>
      <c r="AD69" s="78">
        <f t="shared" si="26"/>
        <v>120.668474343311</v>
      </c>
      <c r="AE69" s="78">
        <f t="shared" si="27"/>
        <v>23.931525656689</v>
      </c>
    </row>
    <row r="70" customFormat="1" spans="1:31">
      <c r="A70" s="18"/>
      <c r="B70" s="19"/>
      <c r="C70" s="20">
        <v>240301000018</v>
      </c>
      <c r="D70" s="21">
        <v>45355</v>
      </c>
      <c r="E70" s="21" t="s">
        <v>44</v>
      </c>
      <c r="F70" s="19" t="s">
        <v>45</v>
      </c>
      <c r="G70" s="19" t="s">
        <v>114</v>
      </c>
      <c r="H70" s="19">
        <v>4</v>
      </c>
      <c r="I70" s="41">
        <v>340</v>
      </c>
      <c r="J70" s="42"/>
      <c r="K70" s="43"/>
      <c r="L70" s="42"/>
      <c r="M70" s="44"/>
      <c r="N70" s="45"/>
      <c r="O70" s="46">
        <f t="shared" si="36"/>
        <v>340</v>
      </c>
      <c r="P70" s="48"/>
      <c r="Q70" s="48"/>
      <c r="R70" s="78">
        <f t="shared" si="31"/>
        <v>167.57751985339</v>
      </c>
      <c r="S70" s="78"/>
      <c r="T70" s="79">
        <f t="shared" si="32"/>
        <v>0.293219303604154</v>
      </c>
      <c r="U70" s="78"/>
      <c r="V70" s="78"/>
      <c r="W70" s="80">
        <f t="shared" si="29"/>
        <v>167.870739156995</v>
      </c>
      <c r="X70" s="81">
        <f t="shared" si="33"/>
        <v>3.50470372632865</v>
      </c>
      <c r="Y70" s="81"/>
      <c r="Z70" s="81"/>
      <c r="AA70" s="81">
        <f t="shared" si="28"/>
        <v>3.50470372632865</v>
      </c>
      <c r="AB70" s="90">
        <v>7.19</v>
      </c>
      <c r="AC70" s="78">
        <f t="shared" si="25"/>
        <v>25.198819792303</v>
      </c>
      <c r="AD70" s="78">
        <f t="shared" si="26"/>
        <v>193.069558949298</v>
      </c>
      <c r="AE70" s="78">
        <f t="shared" si="27"/>
        <v>146.930441050702</v>
      </c>
    </row>
    <row r="71" customFormat="1" spans="1:31">
      <c r="A71" s="18"/>
      <c r="B71" s="19"/>
      <c r="C71" s="20">
        <v>240301000021</v>
      </c>
      <c r="D71" s="21">
        <v>45355</v>
      </c>
      <c r="E71" s="21" t="s">
        <v>41</v>
      </c>
      <c r="F71" s="19" t="s">
        <v>42</v>
      </c>
      <c r="G71" s="19" t="s">
        <v>73</v>
      </c>
      <c r="H71" s="19">
        <v>3.5</v>
      </c>
      <c r="I71" s="41">
        <v>303.8</v>
      </c>
      <c r="J71" s="42"/>
      <c r="K71" s="43"/>
      <c r="L71" s="42"/>
      <c r="M71" s="44"/>
      <c r="N71" s="45"/>
      <c r="O71" s="46">
        <f t="shared" si="36"/>
        <v>303.8</v>
      </c>
      <c r="P71" s="48"/>
      <c r="Q71" s="48"/>
      <c r="R71" s="78">
        <f t="shared" si="31"/>
        <v>146.630329871717</v>
      </c>
      <c r="S71" s="78"/>
      <c r="T71" s="79">
        <f t="shared" si="32"/>
        <v>0.256566890653635</v>
      </c>
      <c r="U71" s="78"/>
      <c r="V71" s="78"/>
      <c r="W71" s="80">
        <f t="shared" si="29"/>
        <v>146.88689676237</v>
      </c>
      <c r="X71" s="81">
        <f t="shared" si="33"/>
        <v>3.06661576053757</v>
      </c>
      <c r="Y71" s="81"/>
      <c r="Z71" s="81"/>
      <c r="AA71" s="81">
        <f t="shared" si="28"/>
        <v>3.06661576053757</v>
      </c>
      <c r="AB71" s="90">
        <v>7.19</v>
      </c>
      <c r="AC71" s="78">
        <f t="shared" si="25"/>
        <v>22.0489673182651</v>
      </c>
      <c r="AD71" s="78">
        <f t="shared" si="26"/>
        <v>168.935864080635</v>
      </c>
      <c r="AE71" s="78">
        <f t="shared" si="27"/>
        <v>134.864135919365</v>
      </c>
    </row>
    <row r="72" customFormat="1" spans="1:31">
      <c r="A72" s="18"/>
      <c r="B72" s="19"/>
      <c r="C72" s="20">
        <v>240301000023</v>
      </c>
      <c r="D72" s="21">
        <v>45355</v>
      </c>
      <c r="E72" s="21" t="s">
        <v>47</v>
      </c>
      <c r="F72" s="19" t="s">
        <v>48</v>
      </c>
      <c r="G72" s="19" t="s">
        <v>49</v>
      </c>
      <c r="H72" s="19">
        <v>499.5</v>
      </c>
      <c r="I72" s="49"/>
      <c r="J72" s="50">
        <v>6759130</v>
      </c>
      <c r="K72" s="51"/>
      <c r="L72" s="50">
        <f>SUM(J72/M72)</f>
        <v>1603.3727348852</v>
      </c>
      <c r="M72" s="52">
        <v>4215.57</v>
      </c>
      <c r="N72" s="45">
        <v>7.19</v>
      </c>
      <c r="O72" s="46">
        <f>SUM(M72*N72)</f>
        <v>30309.9483</v>
      </c>
      <c r="P72" s="48"/>
      <c r="Q72" s="48"/>
      <c r="R72" s="78">
        <f t="shared" si="31"/>
        <v>20926.2427916921</v>
      </c>
      <c r="S72" s="78"/>
      <c r="T72" s="79">
        <f t="shared" si="32"/>
        <v>36.6157605375687</v>
      </c>
      <c r="U72" s="79">
        <v>340</v>
      </c>
      <c r="V72" s="78"/>
      <c r="W72" s="80">
        <f t="shared" si="29"/>
        <v>21302.8585522297</v>
      </c>
      <c r="X72" s="81">
        <f t="shared" si="33"/>
        <v>437.64987782529</v>
      </c>
      <c r="Y72" s="81"/>
      <c r="Z72" s="81"/>
      <c r="AA72" s="81">
        <f t="shared" si="28"/>
        <v>437.64987782529</v>
      </c>
      <c r="AB72" s="90">
        <v>7.19</v>
      </c>
      <c r="AC72" s="78">
        <f t="shared" si="25"/>
        <v>3146.70262156384</v>
      </c>
      <c r="AD72" s="78">
        <f t="shared" si="26"/>
        <v>24449.5611737935</v>
      </c>
      <c r="AE72" s="78">
        <f t="shared" si="27"/>
        <v>5860.38712620647</v>
      </c>
    </row>
    <row r="73" customFormat="1" spans="1:31">
      <c r="A73" s="18"/>
      <c r="B73" s="19"/>
      <c r="C73" s="20">
        <v>240301000036</v>
      </c>
      <c r="D73" s="21">
        <v>45355</v>
      </c>
      <c r="E73" s="21" t="s">
        <v>44</v>
      </c>
      <c r="F73" s="19" t="s">
        <v>45</v>
      </c>
      <c r="G73" s="19" t="s">
        <v>115</v>
      </c>
      <c r="H73" s="19">
        <v>4.5</v>
      </c>
      <c r="I73" s="41">
        <v>220</v>
      </c>
      <c r="J73" s="42"/>
      <c r="K73" s="43"/>
      <c r="L73" s="42"/>
      <c r="M73" s="44"/>
      <c r="N73" s="45"/>
      <c r="O73" s="46">
        <f t="shared" ref="O73:O78" si="37">SUM(I73)</f>
        <v>220</v>
      </c>
      <c r="P73" s="48"/>
      <c r="Q73" s="48"/>
      <c r="R73" s="78">
        <f t="shared" si="31"/>
        <v>188.524709835064</v>
      </c>
      <c r="S73" s="78"/>
      <c r="T73" s="79">
        <f t="shared" si="32"/>
        <v>0.329871716554673</v>
      </c>
      <c r="U73" s="78"/>
      <c r="V73" s="78"/>
      <c r="W73" s="80">
        <f t="shared" si="29"/>
        <v>188.854581551619</v>
      </c>
      <c r="X73" s="81">
        <f t="shared" si="33"/>
        <v>3.94279169211973</v>
      </c>
      <c r="Y73" s="81"/>
      <c r="Z73" s="81"/>
      <c r="AA73" s="81">
        <f t="shared" si="28"/>
        <v>3.94279169211973</v>
      </c>
      <c r="AB73" s="90">
        <v>7.19</v>
      </c>
      <c r="AC73" s="78">
        <f t="shared" si="25"/>
        <v>28.3486722663409</v>
      </c>
      <c r="AD73" s="78">
        <f t="shared" si="26"/>
        <v>217.20325381796</v>
      </c>
      <c r="AE73" s="78">
        <f t="shared" ref="AE73:AE116" si="38">SUM(O73-AD73)</f>
        <v>2.79674618204032</v>
      </c>
    </row>
    <row r="74" customFormat="1" spans="1:31">
      <c r="A74" s="18"/>
      <c r="B74" s="19"/>
      <c r="C74" s="20">
        <v>240301000038</v>
      </c>
      <c r="D74" s="21">
        <v>45355</v>
      </c>
      <c r="E74" s="21" t="s">
        <v>70</v>
      </c>
      <c r="F74" s="19" t="s">
        <v>70</v>
      </c>
      <c r="G74" s="19" t="s">
        <v>74</v>
      </c>
      <c r="H74" s="19">
        <v>429</v>
      </c>
      <c r="I74" s="57">
        <v>18876</v>
      </c>
      <c r="J74" s="53"/>
      <c r="K74" s="51"/>
      <c r="L74" s="53"/>
      <c r="M74" s="44"/>
      <c r="N74" s="45"/>
      <c r="O74" s="46">
        <f t="shared" si="37"/>
        <v>18876</v>
      </c>
      <c r="P74" s="48"/>
      <c r="Q74" s="48"/>
      <c r="R74" s="78">
        <f t="shared" si="31"/>
        <v>17972.6890042761</v>
      </c>
      <c r="S74" s="78"/>
      <c r="T74" s="79">
        <f t="shared" si="32"/>
        <v>31.4477703115455</v>
      </c>
      <c r="U74" s="78"/>
      <c r="V74" s="78"/>
      <c r="W74" s="80">
        <f t="shared" si="29"/>
        <v>18004.1367745877</v>
      </c>
      <c r="X74" s="81">
        <f t="shared" si="33"/>
        <v>375.879474648748</v>
      </c>
      <c r="Y74" s="81"/>
      <c r="Z74" s="81"/>
      <c r="AA74" s="81">
        <f t="shared" si="28"/>
        <v>375.879474648748</v>
      </c>
      <c r="AB74" s="90">
        <v>7.19</v>
      </c>
      <c r="AC74" s="78">
        <f t="shared" si="25"/>
        <v>2702.5734227245</v>
      </c>
      <c r="AD74" s="78">
        <f t="shared" ref="AD74:AD116" si="39">SUM(W74+AC74)</f>
        <v>20706.7101973122</v>
      </c>
      <c r="AE74" s="78">
        <f t="shared" si="38"/>
        <v>-1830.71019731216</v>
      </c>
    </row>
    <row r="75" customFormat="1" spans="1:31">
      <c r="A75" s="18"/>
      <c r="B75" s="19"/>
      <c r="C75" s="20">
        <v>240301000039</v>
      </c>
      <c r="D75" s="21">
        <v>45355</v>
      </c>
      <c r="E75" s="21" t="s">
        <v>70</v>
      </c>
      <c r="F75" s="19" t="s">
        <v>70</v>
      </c>
      <c r="G75" s="19" t="s">
        <v>116</v>
      </c>
      <c r="H75" s="19">
        <v>43.5</v>
      </c>
      <c r="I75" s="49">
        <v>1957.5</v>
      </c>
      <c r="J75" s="53"/>
      <c r="K75" s="51"/>
      <c r="L75" s="53"/>
      <c r="M75" s="44"/>
      <c r="N75" s="45"/>
      <c r="O75" s="46">
        <f t="shared" si="37"/>
        <v>1957.5</v>
      </c>
      <c r="P75" s="58"/>
      <c r="Q75" s="58"/>
      <c r="R75" s="78">
        <f t="shared" si="31"/>
        <v>1822.40552840562</v>
      </c>
      <c r="S75" s="78"/>
      <c r="T75" s="79">
        <f t="shared" si="32"/>
        <v>3.18875992669517</v>
      </c>
      <c r="U75" s="78"/>
      <c r="V75" s="78"/>
      <c r="W75" s="80">
        <f t="shared" ref="W75:W116" si="40">SUM(R75:V75)</f>
        <v>1825.59428833232</v>
      </c>
      <c r="X75" s="81">
        <f t="shared" si="33"/>
        <v>38.1136530238241</v>
      </c>
      <c r="Y75" s="81"/>
      <c r="Z75" s="81"/>
      <c r="AA75" s="81">
        <f t="shared" ref="AA75:AA116" si="41">SUM(X75:Z75)</f>
        <v>38.1136530238241</v>
      </c>
      <c r="AB75" s="90">
        <v>7.19</v>
      </c>
      <c r="AC75" s="78">
        <f t="shared" ref="AC75:AC116" si="42">SUM(AA75*AB75)</f>
        <v>274.037165241295</v>
      </c>
      <c r="AD75" s="78">
        <f t="shared" si="39"/>
        <v>2099.63145357361</v>
      </c>
      <c r="AE75" s="78">
        <f t="shared" si="38"/>
        <v>-142.13145357361</v>
      </c>
    </row>
    <row r="76" customFormat="1" spans="1:31">
      <c r="A76" s="18" t="s">
        <v>117</v>
      </c>
      <c r="B76" s="19" t="s">
        <v>118</v>
      </c>
      <c r="C76" s="20">
        <v>240226000006</v>
      </c>
      <c r="D76" s="21">
        <v>45355</v>
      </c>
      <c r="E76" s="21" t="s">
        <v>47</v>
      </c>
      <c r="F76" s="19" t="s">
        <v>48</v>
      </c>
      <c r="G76" s="19" t="s">
        <v>119</v>
      </c>
      <c r="H76" s="19">
        <v>3.5</v>
      </c>
      <c r="I76" s="41">
        <v>167.5</v>
      </c>
      <c r="J76" s="42"/>
      <c r="K76" s="43"/>
      <c r="L76" s="42"/>
      <c r="M76" s="44"/>
      <c r="N76" s="45"/>
      <c r="O76" s="46">
        <f t="shared" si="37"/>
        <v>167.5</v>
      </c>
      <c r="P76" s="47">
        <f>SUM(O76:O116)</f>
        <v>117648.1756719</v>
      </c>
      <c r="Q76" s="94" t="s">
        <v>120</v>
      </c>
      <c r="R76" s="78">
        <f>SUM(86265.9/2533)*H76</f>
        <v>119.198835373075</v>
      </c>
      <c r="S76" s="78"/>
      <c r="T76" s="79">
        <f>SUM(207.54/2533)*H76</f>
        <v>0.286770627714173</v>
      </c>
      <c r="U76" s="78"/>
      <c r="V76" s="78"/>
      <c r="W76" s="80">
        <f t="shared" si="40"/>
        <v>119.48560600079</v>
      </c>
      <c r="X76" s="81">
        <f>SUM(1988.41/2533)*H76</f>
        <v>2.74750690880379</v>
      </c>
      <c r="Y76" s="81"/>
      <c r="Z76" s="81"/>
      <c r="AA76" s="81">
        <f t="shared" si="41"/>
        <v>2.74750690880379</v>
      </c>
      <c r="AB76" s="90">
        <v>7.19</v>
      </c>
      <c r="AC76" s="78">
        <f t="shared" si="42"/>
        <v>19.7545746742993</v>
      </c>
      <c r="AD76" s="78">
        <f t="shared" si="39"/>
        <v>139.240180675089</v>
      </c>
      <c r="AE76" s="78">
        <f t="shared" si="38"/>
        <v>28.2598193249112</v>
      </c>
    </row>
    <row r="77" customFormat="1" spans="1:31">
      <c r="A77" s="18"/>
      <c r="B77" s="19"/>
      <c r="C77" s="20">
        <v>240226000029</v>
      </c>
      <c r="D77" s="21">
        <v>45355</v>
      </c>
      <c r="E77" s="21" t="s">
        <v>41</v>
      </c>
      <c r="F77" s="19" t="s">
        <v>42</v>
      </c>
      <c r="G77" s="19" t="s">
        <v>103</v>
      </c>
      <c r="H77" s="19">
        <v>13.5</v>
      </c>
      <c r="I77" s="41">
        <v>600</v>
      </c>
      <c r="J77" s="42"/>
      <c r="K77" s="43"/>
      <c r="L77" s="42"/>
      <c r="M77" s="44"/>
      <c r="N77" s="45"/>
      <c r="O77" s="46">
        <f t="shared" si="37"/>
        <v>600</v>
      </c>
      <c r="P77" s="48"/>
      <c r="Q77" s="48"/>
      <c r="R77" s="78">
        <f t="shared" ref="R77:R116" si="43">SUM(86265.9/2533)*H77</f>
        <v>459.766936439005</v>
      </c>
      <c r="S77" s="78"/>
      <c r="T77" s="79">
        <f t="shared" ref="T77:T116" si="44">SUM(207.54/2533)*H77</f>
        <v>1.1061152783261</v>
      </c>
      <c r="U77" s="78"/>
      <c r="V77" s="78"/>
      <c r="W77" s="80">
        <f t="shared" si="40"/>
        <v>460.873051717331</v>
      </c>
      <c r="X77" s="81">
        <f t="shared" ref="X77:X116" si="45">SUM(1988.41/2533)*H77</f>
        <v>10.5975266482432</v>
      </c>
      <c r="Y77" s="81"/>
      <c r="Z77" s="81"/>
      <c r="AA77" s="81">
        <f t="shared" si="41"/>
        <v>10.5975266482432</v>
      </c>
      <c r="AB77" s="90">
        <v>7.19</v>
      </c>
      <c r="AC77" s="78">
        <f t="shared" si="42"/>
        <v>76.1962166008685</v>
      </c>
      <c r="AD77" s="78">
        <f t="shared" si="39"/>
        <v>537.0692683182</v>
      </c>
      <c r="AE77" s="78">
        <f t="shared" si="38"/>
        <v>62.9307316818002</v>
      </c>
    </row>
    <row r="78" customFormat="1" spans="1:31">
      <c r="A78" s="18"/>
      <c r="B78" s="19"/>
      <c r="C78" s="20">
        <v>240226000034</v>
      </c>
      <c r="D78" s="21">
        <v>45355</v>
      </c>
      <c r="E78" s="21" t="s">
        <v>51</v>
      </c>
      <c r="F78" s="19" t="s">
        <v>52</v>
      </c>
      <c r="G78" s="19" t="s">
        <v>121</v>
      </c>
      <c r="H78" s="19">
        <v>3.5</v>
      </c>
      <c r="I78" s="41">
        <v>188.5</v>
      </c>
      <c r="J78" s="42"/>
      <c r="K78" s="43"/>
      <c r="L78" s="42"/>
      <c r="M78" s="44"/>
      <c r="N78" s="45"/>
      <c r="O78" s="46">
        <f t="shared" si="37"/>
        <v>188.5</v>
      </c>
      <c r="P78" s="48"/>
      <c r="Q78" s="48"/>
      <c r="R78" s="78">
        <f t="shared" si="43"/>
        <v>119.198835373075</v>
      </c>
      <c r="S78" s="78"/>
      <c r="T78" s="79">
        <f t="shared" si="44"/>
        <v>0.286770627714173</v>
      </c>
      <c r="U78" s="78"/>
      <c r="V78" s="78"/>
      <c r="W78" s="80">
        <f t="shared" si="40"/>
        <v>119.48560600079</v>
      </c>
      <c r="X78" s="81">
        <f t="shared" si="45"/>
        <v>2.74750690880379</v>
      </c>
      <c r="Y78" s="81"/>
      <c r="Z78" s="81"/>
      <c r="AA78" s="81">
        <f t="shared" si="41"/>
        <v>2.74750690880379</v>
      </c>
      <c r="AB78" s="90">
        <v>7.19</v>
      </c>
      <c r="AC78" s="78">
        <f t="shared" si="42"/>
        <v>19.7545746742993</v>
      </c>
      <c r="AD78" s="78">
        <f t="shared" si="39"/>
        <v>139.240180675089</v>
      </c>
      <c r="AE78" s="78">
        <f t="shared" si="38"/>
        <v>49.2598193249112</v>
      </c>
    </row>
    <row r="79" customFormat="1" spans="1:31">
      <c r="A79" s="18"/>
      <c r="B79" s="19"/>
      <c r="C79" s="20">
        <v>240226000046</v>
      </c>
      <c r="D79" s="21">
        <v>45355</v>
      </c>
      <c r="E79" s="21" t="s">
        <v>41</v>
      </c>
      <c r="F79" s="19" t="s">
        <v>42</v>
      </c>
      <c r="G79" s="19" t="s">
        <v>56</v>
      </c>
      <c r="H79" s="19">
        <v>2.5</v>
      </c>
      <c r="I79" s="46"/>
      <c r="J79" s="54">
        <v>27200</v>
      </c>
      <c r="K79" s="55"/>
      <c r="L79" s="50">
        <f>SUM(J79/M79)</f>
        <v>1600</v>
      </c>
      <c r="M79" s="52">
        <v>17</v>
      </c>
      <c r="N79" s="45">
        <v>7.19</v>
      </c>
      <c r="O79" s="46">
        <f>SUM(M79*N79)</f>
        <v>122.23</v>
      </c>
      <c r="P79" s="48"/>
      <c r="Q79" s="48"/>
      <c r="R79" s="78">
        <f t="shared" si="43"/>
        <v>85.1420252664824</v>
      </c>
      <c r="S79" s="78"/>
      <c r="T79" s="79">
        <f t="shared" si="44"/>
        <v>0.204836162652981</v>
      </c>
      <c r="U79" s="78"/>
      <c r="V79" s="78"/>
      <c r="W79" s="80">
        <f t="shared" si="40"/>
        <v>85.3468614291354</v>
      </c>
      <c r="X79" s="81">
        <f t="shared" si="45"/>
        <v>1.96250493485985</v>
      </c>
      <c r="Y79" s="81"/>
      <c r="Z79" s="81"/>
      <c r="AA79" s="81">
        <f t="shared" si="41"/>
        <v>1.96250493485985</v>
      </c>
      <c r="AB79" s="90">
        <v>7.19</v>
      </c>
      <c r="AC79" s="78">
        <f t="shared" si="42"/>
        <v>14.1104104816423</v>
      </c>
      <c r="AD79" s="78">
        <f t="shared" si="39"/>
        <v>99.4572719107777</v>
      </c>
      <c r="AE79" s="78">
        <f t="shared" si="38"/>
        <v>22.7727280892223</v>
      </c>
    </row>
    <row r="80" customFormat="1" spans="1:31">
      <c r="A80" s="18"/>
      <c r="B80" s="19"/>
      <c r="C80" s="20">
        <v>240226000048</v>
      </c>
      <c r="D80" s="21">
        <v>45355</v>
      </c>
      <c r="E80" s="21" t="s">
        <v>44</v>
      </c>
      <c r="F80" s="19" t="s">
        <v>45</v>
      </c>
      <c r="G80" s="19" t="s">
        <v>122</v>
      </c>
      <c r="H80" s="19">
        <v>59</v>
      </c>
      <c r="I80" s="49"/>
      <c r="J80" s="50">
        <v>438134</v>
      </c>
      <c r="K80" s="51"/>
      <c r="L80" s="50">
        <f>SUM(J80/M80)</f>
        <v>1136.033396427</v>
      </c>
      <c r="M80" s="52">
        <v>385.67</v>
      </c>
      <c r="N80" s="45">
        <v>7.19</v>
      </c>
      <c r="O80" s="46">
        <f>SUM(M80*N80)</f>
        <v>2772.9673</v>
      </c>
      <c r="P80" s="48"/>
      <c r="Q80" s="48"/>
      <c r="R80" s="78">
        <f t="shared" si="43"/>
        <v>2009.35179628899</v>
      </c>
      <c r="S80" s="78"/>
      <c r="T80" s="79">
        <f t="shared" si="44"/>
        <v>4.83413343861034</v>
      </c>
      <c r="U80" s="78"/>
      <c r="V80" s="78"/>
      <c r="W80" s="80">
        <f t="shared" si="40"/>
        <v>2014.1859297276</v>
      </c>
      <c r="X80" s="81">
        <f t="shared" si="45"/>
        <v>46.3151164626925</v>
      </c>
      <c r="Y80" s="81"/>
      <c r="Z80" s="81"/>
      <c r="AA80" s="81">
        <f t="shared" si="41"/>
        <v>46.3151164626925</v>
      </c>
      <c r="AB80" s="90">
        <v>7.19</v>
      </c>
      <c r="AC80" s="78">
        <f t="shared" si="42"/>
        <v>333.005687366759</v>
      </c>
      <c r="AD80" s="78">
        <f t="shared" si="39"/>
        <v>2347.19161709435</v>
      </c>
      <c r="AE80" s="78">
        <f t="shared" si="38"/>
        <v>425.775682905646</v>
      </c>
    </row>
    <row r="81" customFormat="1" spans="1:31">
      <c r="A81" s="18"/>
      <c r="B81" s="19"/>
      <c r="C81" s="20">
        <v>240227000004</v>
      </c>
      <c r="D81" s="21">
        <v>45355</v>
      </c>
      <c r="E81" s="21" t="s">
        <v>41</v>
      </c>
      <c r="F81" s="19" t="s">
        <v>42</v>
      </c>
      <c r="G81" s="19" t="s">
        <v>62</v>
      </c>
      <c r="H81" s="19">
        <v>3</v>
      </c>
      <c r="I81" s="41">
        <v>144</v>
      </c>
      <c r="J81" s="42"/>
      <c r="K81" s="43"/>
      <c r="L81" s="42"/>
      <c r="M81" s="44"/>
      <c r="N81" s="45"/>
      <c r="O81" s="46">
        <f t="shared" ref="O81:O85" si="46">SUM(I81)</f>
        <v>144</v>
      </c>
      <c r="P81" s="48"/>
      <c r="Q81" s="48"/>
      <c r="R81" s="78">
        <f t="shared" si="43"/>
        <v>102.170430319779</v>
      </c>
      <c r="S81" s="78"/>
      <c r="T81" s="79">
        <f t="shared" si="44"/>
        <v>0.245803395183577</v>
      </c>
      <c r="U81" s="78"/>
      <c r="V81" s="78"/>
      <c r="W81" s="80">
        <f t="shared" si="40"/>
        <v>102.416233714962</v>
      </c>
      <c r="X81" s="81">
        <f t="shared" si="45"/>
        <v>2.35500592183182</v>
      </c>
      <c r="Y81" s="81"/>
      <c r="Z81" s="81"/>
      <c r="AA81" s="81">
        <f t="shared" si="41"/>
        <v>2.35500592183182</v>
      </c>
      <c r="AB81" s="90">
        <v>7.19</v>
      </c>
      <c r="AC81" s="78">
        <f t="shared" si="42"/>
        <v>16.9324925779708</v>
      </c>
      <c r="AD81" s="78">
        <f t="shared" si="39"/>
        <v>119.348726292933</v>
      </c>
      <c r="AE81" s="78">
        <f t="shared" si="38"/>
        <v>24.6512737070667</v>
      </c>
    </row>
    <row r="82" customFormat="1" spans="1:31">
      <c r="A82" s="18"/>
      <c r="B82" s="19"/>
      <c r="C82" s="20">
        <v>240227000006</v>
      </c>
      <c r="D82" s="21">
        <v>45355</v>
      </c>
      <c r="E82" s="21" t="s">
        <v>41</v>
      </c>
      <c r="F82" s="19" t="s">
        <v>42</v>
      </c>
      <c r="G82" s="19" t="s">
        <v>123</v>
      </c>
      <c r="H82" s="19">
        <v>37</v>
      </c>
      <c r="I82" s="41">
        <v>1665</v>
      </c>
      <c r="J82" s="42"/>
      <c r="K82" s="43"/>
      <c r="L82" s="42"/>
      <c r="M82" s="44"/>
      <c r="N82" s="45"/>
      <c r="O82" s="46">
        <f t="shared" si="46"/>
        <v>1665</v>
      </c>
      <c r="P82" s="48"/>
      <c r="Q82" s="48"/>
      <c r="R82" s="78">
        <f t="shared" si="43"/>
        <v>1260.10197394394</v>
      </c>
      <c r="S82" s="78"/>
      <c r="T82" s="79">
        <f t="shared" si="44"/>
        <v>3.03157520726411</v>
      </c>
      <c r="U82" s="78"/>
      <c r="V82" s="78"/>
      <c r="W82" s="80">
        <f t="shared" si="40"/>
        <v>1263.1335491512</v>
      </c>
      <c r="X82" s="81">
        <f t="shared" si="45"/>
        <v>29.0450730359258</v>
      </c>
      <c r="Y82" s="81"/>
      <c r="Z82" s="81"/>
      <c r="AA82" s="81">
        <f t="shared" si="41"/>
        <v>29.0450730359258</v>
      </c>
      <c r="AB82" s="90">
        <v>7.19</v>
      </c>
      <c r="AC82" s="78">
        <f t="shared" si="42"/>
        <v>208.834075128306</v>
      </c>
      <c r="AD82" s="78">
        <f t="shared" si="39"/>
        <v>1471.96762427951</v>
      </c>
      <c r="AE82" s="78">
        <f t="shared" si="38"/>
        <v>193.03237572049</v>
      </c>
    </row>
    <row r="83" customFormat="1" spans="1:31">
      <c r="A83" s="18"/>
      <c r="B83" s="19"/>
      <c r="C83" s="20">
        <v>240227000007</v>
      </c>
      <c r="D83" s="21">
        <v>45355</v>
      </c>
      <c r="E83" s="21" t="s">
        <v>41</v>
      </c>
      <c r="F83" s="19" t="s">
        <v>42</v>
      </c>
      <c r="G83" s="19" t="s">
        <v>123</v>
      </c>
      <c r="H83" s="19">
        <v>73</v>
      </c>
      <c r="I83" s="41">
        <v>3585</v>
      </c>
      <c r="J83" s="42"/>
      <c r="K83" s="43"/>
      <c r="L83" s="42"/>
      <c r="M83" s="44"/>
      <c r="N83" s="45"/>
      <c r="O83" s="46">
        <f t="shared" si="46"/>
        <v>3585</v>
      </c>
      <c r="P83" s="48"/>
      <c r="Q83" s="48"/>
      <c r="R83" s="78">
        <f t="shared" si="43"/>
        <v>2486.14713778129</v>
      </c>
      <c r="S83" s="78"/>
      <c r="T83" s="79">
        <f t="shared" si="44"/>
        <v>5.98121594946703</v>
      </c>
      <c r="U83" s="78"/>
      <c r="V83" s="78"/>
      <c r="W83" s="80">
        <f t="shared" si="40"/>
        <v>2492.12835373075</v>
      </c>
      <c r="X83" s="81">
        <f t="shared" si="45"/>
        <v>57.3051440979076</v>
      </c>
      <c r="Y83" s="81"/>
      <c r="Z83" s="81"/>
      <c r="AA83" s="81">
        <f t="shared" si="41"/>
        <v>57.3051440979076</v>
      </c>
      <c r="AB83" s="90">
        <v>7.19</v>
      </c>
      <c r="AC83" s="78">
        <f t="shared" si="42"/>
        <v>412.023986063956</v>
      </c>
      <c r="AD83" s="78">
        <f t="shared" si="39"/>
        <v>2904.15233979471</v>
      </c>
      <c r="AE83" s="78">
        <f t="shared" si="38"/>
        <v>680.84766020529</v>
      </c>
    </row>
    <row r="84" customFormat="1" spans="1:31">
      <c r="A84" s="18"/>
      <c r="B84" s="19"/>
      <c r="C84" s="20">
        <v>240227000010</v>
      </c>
      <c r="D84" s="21">
        <v>45355</v>
      </c>
      <c r="E84" s="21" t="s">
        <v>37</v>
      </c>
      <c r="F84" s="19" t="s">
        <v>38</v>
      </c>
      <c r="G84" s="19" t="s">
        <v>39</v>
      </c>
      <c r="H84" s="19">
        <v>8.5</v>
      </c>
      <c r="I84" s="41">
        <v>380</v>
      </c>
      <c r="J84" s="42"/>
      <c r="K84" s="43"/>
      <c r="L84" s="42"/>
      <c r="M84" s="44"/>
      <c r="N84" s="45"/>
      <c r="O84" s="46">
        <f t="shared" si="46"/>
        <v>380</v>
      </c>
      <c r="P84" s="48"/>
      <c r="Q84" s="48"/>
      <c r="R84" s="78">
        <f t="shared" si="43"/>
        <v>289.48288590604</v>
      </c>
      <c r="S84" s="78"/>
      <c r="T84" s="79">
        <f t="shared" si="44"/>
        <v>0.696442953020134</v>
      </c>
      <c r="U84" s="78"/>
      <c r="V84" s="78"/>
      <c r="W84" s="80">
        <f t="shared" si="40"/>
        <v>290.17932885906</v>
      </c>
      <c r="X84" s="81">
        <f t="shared" si="45"/>
        <v>6.67251677852349</v>
      </c>
      <c r="Y84" s="81"/>
      <c r="Z84" s="81"/>
      <c r="AA84" s="81">
        <f t="shared" si="41"/>
        <v>6.67251677852349</v>
      </c>
      <c r="AB84" s="90">
        <v>7.19</v>
      </c>
      <c r="AC84" s="78">
        <f t="shared" si="42"/>
        <v>47.9753956375839</v>
      </c>
      <c r="AD84" s="78">
        <f t="shared" si="39"/>
        <v>338.154724496644</v>
      </c>
      <c r="AE84" s="78">
        <f t="shared" si="38"/>
        <v>41.8452755033557</v>
      </c>
    </row>
    <row r="85" customFormat="1" spans="1:31">
      <c r="A85" s="18"/>
      <c r="B85" s="19"/>
      <c r="C85" s="20">
        <v>240227000013</v>
      </c>
      <c r="D85" s="21">
        <v>45355</v>
      </c>
      <c r="E85" s="21" t="s">
        <v>41</v>
      </c>
      <c r="F85" s="19" t="s">
        <v>42</v>
      </c>
      <c r="G85" s="19" t="s">
        <v>62</v>
      </c>
      <c r="H85" s="19">
        <v>0.4</v>
      </c>
      <c r="I85" s="41">
        <v>50</v>
      </c>
      <c r="J85" s="42"/>
      <c r="K85" s="43"/>
      <c r="L85" s="42"/>
      <c r="M85" s="44"/>
      <c r="N85" s="45"/>
      <c r="O85" s="46">
        <f t="shared" si="46"/>
        <v>50</v>
      </c>
      <c r="P85" s="48"/>
      <c r="Q85" s="48"/>
      <c r="R85" s="78">
        <f t="shared" si="43"/>
        <v>13.6227240426372</v>
      </c>
      <c r="S85" s="78"/>
      <c r="T85" s="79">
        <f t="shared" si="44"/>
        <v>0.0327737860244769</v>
      </c>
      <c r="U85" s="78"/>
      <c r="V85" s="78"/>
      <c r="W85" s="80">
        <f t="shared" si="40"/>
        <v>13.6554978286617</v>
      </c>
      <c r="X85" s="81">
        <f t="shared" si="45"/>
        <v>0.314000789577576</v>
      </c>
      <c r="Y85" s="81"/>
      <c r="Z85" s="81"/>
      <c r="AA85" s="81">
        <f t="shared" si="41"/>
        <v>0.314000789577576</v>
      </c>
      <c r="AB85" s="90">
        <v>7.19</v>
      </c>
      <c r="AC85" s="78">
        <f t="shared" si="42"/>
        <v>2.25766567706277</v>
      </c>
      <c r="AD85" s="78">
        <f t="shared" si="39"/>
        <v>15.9131635057244</v>
      </c>
      <c r="AE85" s="78">
        <f t="shared" si="38"/>
        <v>34.0868364942756</v>
      </c>
    </row>
    <row r="86" customFormat="1" spans="1:31">
      <c r="A86" s="18"/>
      <c r="B86" s="19"/>
      <c r="C86" s="20">
        <v>240227000014</v>
      </c>
      <c r="D86" s="21">
        <v>45355</v>
      </c>
      <c r="E86" s="21" t="s">
        <v>44</v>
      </c>
      <c r="F86" s="19" t="s">
        <v>45</v>
      </c>
      <c r="G86" s="19" t="s">
        <v>124</v>
      </c>
      <c r="H86" s="19">
        <v>0.86</v>
      </c>
      <c r="I86" s="49"/>
      <c r="J86" s="50">
        <v>10035</v>
      </c>
      <c r="K86" s="51"/>
      <c r="L86" s="50">
        <f t="shared" ref="L86:L89" si="47">SUM(J86/M86)</f>
        <v>1605.6</v>
      </c>
      <c r="M86" s="52">
        <v>6.25</v>
      </c>
      <c r="N86" s="45">
        <v>7.19</v>
      </c>
      <c r="O86" s="46">
        <f t="shared" ref="O86:O89" si="48">SUM(M86*N86)</f>
        <v>44.9375</v>
      </c>
      <c r="P86" s="48"/>
      <c r="Q86" s="48"/>
      <c r="R86" s="78">
        <f t="shared" si="43"/>
        <v>29.28885669167</v>
      </c>
      <c r="S86" s="78"/>
      <c r="T86" s="79">
        <f t="shared" si="44"/>
        <v>0.0704636399526253</v>
      </c>
      <c r="U86" s="78"/>
      <c r="V86" s="78"/>
      <c r="W86" s="80">
        <f t="shared" si="40"/>
        <v>29.3593203316226</v>
      </c>
      <c r="X86" s="81">
        <f t="shared" si="45"/>
        <v>0.675101697591788</v>
      </c>
      <c r="Y86" s="81"/>
      <c r="Z86" s="81"/>
      <c r="AA86" s="81">
        <f t="shared" si="41"/>
        <v>0.675101697591788</v>
      </c>
      <c r="AB86" s="90">
        <v>7.19</v>
      </c>
      <c r="AC86" s="78">
        <f t="shared" si="42"/>
        <v>4.85398120568496</v>
      </c>
      <c r="AD86" s="78">
        <f t="shared" si="39"/>
        <v>34.2133015373075</v>
      </c>
      <c r="AE86" s="78">
        <f t="shared" si="38"/>
        <v>10.7241984626925</v>
      </c>
    </row>
    <row r="87" customFormat="1" spans="1:31">
      <c r="A87" s="18"/>
      <c r="B87" s="19"/>
      <c r="C87" s="20">
        <v>240227000021</v>
      </c>
      <c r="D87" s="21">
        <v>45355</v>
      </c>
      <c r="E87" s="21" t="s">
        <v>37</v>
      </c>
      <c r="F87" s="19" t="s">
        <v>38</v>
      </c>
      <c r="G87" s="19" t="s">
        <v>125</v>
      </c>
      <c r="H87" s="19">
        <v>75</v>
      </c>
      <c r="I87" s="41">
        <v>3534</v>
      </c>
      <c r="J87" s="42"/>
      <c r="K87" s="43"/>
      <c r="L87" s="42"/>
      <c r="M87" s="44"/>
      <c r="N87" s="45"/>
      <c r="O87" s="46">
        <f t="shared" ref="O87:O93" si="49">SUM(I87)</f>
        <v>3534</v>
      </c>
      <c r="P87" s="48"/>
      <c r="Q87" s="48"/>
      <c r="R87" s="78">
        <f t="shared" si="43"/>
        <v>2554.26075799447</v>
      </c>
      <c r="S87" s="78"/>
      <c r="T87" s="79">
        <f t="shared" si="44"/>
        <v>6.14508487958942</v>
      </c>
      <c r="U87" s="78"/>
      <c r="V87" s="78"/>
      <c r="W87" s="80">
        <f t="shared" si="40"/>
        <v>2560.40584287406</v>
      </c>
      <c r="X87" s="81">
        <f t="shared" si="45"/>
        <v>58.8751480457955</v>
      </c>
      <c r="Y87" s="81"/>
      <c r="Z87" s="81"/>
      <c r="AA87" s="81">
        <f t="shared" si="41"/>
        <v>58.8751480457955</v>
      </c>
      <c r="AB87" s="90">
        <v>7.19</v>
      </c>
      <c r="AC87" s="78">
        <f t="shared" si="42"/>
        <v>423.31231444927</v>
      </c>
      <c r="AD87" s="78">
        <f t="shared" si="39"/>
        <v>2983.71815732333</v>
      </c>
      <c r="AE87" s="78">
        <f t="shared" si="38"/>
        <v>550.281842676668</v>
      </c>
    </row>
    <row r="88" customFormat="1" spans="1:31">
      <c r="A88" s="18"/>
      <c r="B88" s="19"/>
      <c r="C88" s="20">
        <v>240227000027</v>
      </c>
      <c r="D88" s="21">
        <v>45355</v>
      </c>
      <c r="E88" s="21" t="s">
        <v>44</v>
      </c>
      <c r="F88" s="19" t="s">
        <v>45</v>
      </c>
      <c r="G88" s="19" t="s">
        <v>126</v>
      </c>
      <c r="H88" s="19">
        <v>22</v>
      </c>
      <c r="I88" s="46"/>
      <c r="J88" s="54">
        <v>301264</v>
      </c>
      <c r="K88" s="55"/>
      <c r="L88" s="50">
        <f t="shared" si="47"/>
        <v>1599.9999150247</v>
      </c>
      <c r="M88" s="52">
        <v>188.29001</v>
      </c>
      <c r="N88" s="45">
        <v>7.19</v>
      </c>
      <c r="O88" s="46">
        <f t="shared" si="48"/>
        <v>1353.8051719</v>
      </c>
      <c r="P88" s="48"/>
      <c r="Q88" s="48"/>
      <c r="R88" s="78">
        <f t="shared" si="43"/>
        <v>749.249822345045</v>
      </c>
      <c r="S88" s="78"/>
      <c r="T88" s="79">
        <f t="shared" si="44"/>
        <v>1.80255823134623</v>
      </c>
      <c r="U88" s="78"/>
      <c r="V88" s="78"/>
      <c r="W88" s="80">
        <f t="shared" si="40"/>
        <v>751.052380576392</v>
      </c>
      <c r="X88" s="81">
        <f t="shared" si="45"/>
        <v>17.2700434267667</v>
      </c>
      <c r="Y88" s="81"/>
      <c r="Z88" s="81"/>
      <c r="AA88" s="81">
        <f t="shared" si="41"/>
        <v>17.2700434267667</v>
      </c>
      <c r="AB88" s="90">
        <v>7.19</v>
      </c>
      <c r="AC88" s="78">
        <f t="shared" si="42"/>
        <v>124.171612238452</v>
      </c>
      <c r="AD88" s="78">
        <f t="shared" si="39"/>
        <v>875.223992814844</v>
      </c>
      <c r="AE88" s="78">
        <f t="shared" si="38"/>
        <v>478.581179085156</v>
      </c>
    </row>
    <row r="89" customFormat="1" spans="1:31">
      <c r="A89" s="18"/>
      <c r="B89" s="19"/>
      <c r="C89" s="20">
        <v>240228000001</v>
      </c>
      <c r="D89" s="21">
        <v>45355</v>
      </c>
      <c r="E89" s="21" t="s">
        <v>37</v>
      </c>
      <c r="F89" s="19">
        <v>13635229849</v>
      </c>
      <c r="G89" s="19" t="s">
        <v>127</v>
      </c>
      <c r="H89" s="19">
        <v>9.5</v>
      </c>
      <c r="I89" s="46"/>
      <c r="J89" s="54">
        <v>101692</v>
      </c>
      <c r="K89" s="55"/>
      <c r="L89" s="50">
        <f t="shared" si="47"/>
        <v>1489.99267399267</v>
      </c>
      <c r="M89" s="52">
        <v>68.25</v>
      </c>
      <c r="N89" s="45">
        <v>7.19</v>
      </c>
      <c r="O89" s="46">
        <f t="shared" si="48"/>
        <v>490.7175</v>
      </c>
      <c r="P89" s="48"/>
      <c r="Q89" s="48"/>
      <c r="R89" s="78">
        <f t="shared" si="43"/>
        <v>323.539696012633</v>
      </c>
      <c r="S89" s="78"/>
      <c r="T89" s="79">
        <f t="shared" si="44"/>
        <v>0.778377418081326</v>
      </c>
      <c r="U89" s="78"/>
      <c r="V89" s="78"/>
      <c r="W89" s="80">
        <f t="shared" si="40"/>
        <v>324.318073430715</v>
      </c>
      <c r="X89" s="81">
        <f t="shared" si="45"/>
        <v>7.45751875246743</v>
      </c>
      <c r="Y89" s="81"/>
      <c r="Z89" s="81"/>
      <c r="AA89" s="81">
        <f t="shared" si="41"/>
        <v>7.45751875246743</v>
      </c>
      <c r="AB89" s="90">
        <v>7.19</v>
      </c>
      <c r="AC89" s="78">
        <f t="shared" si="42"/>
        <v>53.6195598302408</v>
      </c>
      <c r="AD89" s="78">
        <f t="shared" si="39"/>
        <v>377.937633260955</v>
      </c>
      <c r="AE89" s="78">
        <f t="shared" si="38"/>
        <v>112.779866739045</v>
      </c>
    </row>
    <row r="90" customFormat="1" spans="1:31">
      <c r="A90" s="18"/>
      <c r="B90" s="19"/>
      <c r="C90" s="20">
        <v>240228000002</v>
      </c>
      <c r="D90" s="21">
        <v>45355</v>
      </c>
      <c r="E90" s="21" t="s">
        <v>47</v>
      </c>
      <c r="F90" s="19" t="s">
        <v>128</v>
      </c>
      <c r="G90" s="19" t="s">
        <v>129</v>
      </c>
      <c r="H90" s="19">
        <v>4</v>
      </c>
      <c r="I90" s="41">
        <v>215</v>
      </c>
      <c r="J90" s="42"/>
      <c r="K90" s="43"/>
      <c r="L90" s="42"/>
      <c r="M90" s="44"/>
      <c r="N90" s="45"/>
      <c r="O90" s="46">
        <f t="shared" si="49"/>
        <v>215</v>
      </c>
      <c r="P90" s="48"/>
      <c r="Q90" s="48"/>
      <c r="R90" s="78">
        <f t="shared" si="43"/>
        <v>136.227240426372</v>
      </c>
      <c r="S90" s="78"/>
      <c r="T90" s="79">
        <f t="shared" si="44"/>
        <v>0.327737860244769</v>
      </c>
      <c r="U90" s="78"/>
      <c r="V90" s="78"/>
      <c r="W90" s="80">
        <f t="shared" si="40"/>
        <v>136.554978286617</v>
      </c>
      <c r="X90" s="81">
        <f t="shared" si="45"/>
        <v>3.14000789577576</v>
      </c>
      <c r="Y90" s="81"/>
      <c r="Z90" s="81"/>
      <c r="AA90" s="81">
        <f t="shared" si="41"/>
        <v>3.14000789577576</v>
      </c>
      <c r="AB90" s="90">
        <v>7.19</v>
      </c>
      <c r="AC90" s="78">
        <f t="shared" si="42"/>
        <v>22.5766567706277</v>
      </c>
      <c r="AD90" s="78">
        <f t="shared" si="39"/>
        <v>159.131635057244</v>
      </c>
      <c r="AE90" s="78">
        <f t="shared" si="38"/>
        <v>55.8683649427556</v>
      </c>
    </row>
    <row r="91" customFormat="1" spans="1:31">
      <c r="A91" s="18"/>
      <c r="B91" s="19"/>
      <c r="C91" s="20">
        <v>240228000003</v>
      </c>
      <c r="D91" s="21">
        <v>45355</v>
      </c>
      <c r="E91" s="21" t="s">
        <v>47</v>
      </c>
      <c r="F91" s="19" t="s">
        <v>128</v>
      </c>
      <c r="G91" s="19" t="s">
        <v>129</v>
      </c>
      <c r="H91" s="19">
        <v>2.5</v>
      </c>
      <c r="I91" s="41">
        <v>135.5</v>
      </c>
      <c r="J91" s="42"/>
      <c r="K91" s="43"/>
      <c r="L91" s="42"/>
      <c r="M91" s="44"/>
      <c r="N91" s="45"/>
      <c r="O91" s="46">
        <f t="shared" si="49"/>
        <v>135.5</v>
      </c>
      <c r="P91" s="48"/>
      <c r="Q91" s="48"/>
      <c r="R91" s="78">
        <f t="shared" si="43"/>
        <v>85.1420252664824</v>
      </c>
      <c r="S91" s="78"/>
      <c r="T91" s="79">
        <f t="shared" si="44"/>
        <v>0.204836162652981</v>
      </c>
      <c r="U91" s="78"/>
      <c r="V91" s="78"/>
      <c r="W91" s="80">
        <f t="shared" si="40"/>
        <v>85.3468614291354</v>
      </c>
      <c r="X91" s="81">
        <f t="shared" si="45"/>
        <v>1.96250493485985</v>
      </c>
      <c r="Y91" s="81"/>
      <c r="Z91" s="81"/>
      <c r="AA91" s="81">
        <f t="shared" si="41"/>
        <v>1.96250493485985</v>
      </c>
      <c r="AB91" s="90">
        <v>7.19</v>
      </c>
      <c r="AC91" s="78">
        <f t="shared" si="42"/>
        <v>14.1104104816423</v>
      </c>
      <c r="AD91" s="78">
        <f t="shared" si="39"/>
        <v>99.4572719107777</v>
      </c>
      <c r="AE91" s="78">
        <f t="shared" si="38"/>
        <v>36.0427280892223</v>
      </c>
    </row>
    <row r="92" customFormat="1" spans="1:31">
      <c r="A92" s="18"/>
      <c r="B92" s="19"/>
      <c r="C92" s="20">
        <v>240228000004</v>
      </c>
      <c r="D92" s="21">
        <v>45355</v>
      </c>
      <c r="E92" s="21" t="s">
        <v>44</v>
      </c>
      <c r="F92" s="19" t="s">
        <v>45</v>
      </c>
      <c r="G92" s="19" t="s">
        <v>130</v>
      </c>
      <c r="H92" s="19">
        <v>0.187</v>
      </c>
      <c r="I92" s="41">
        <v>45</v>
      </c>
      <c r="J92" s="42"/>
      <c r="K92" s="43"/>
      <c r="L92" s="42"/>
      <c r="M92" s="44"/>
      <c r="N92" s="45"/>
      <c r="O92" s="46">
        <f t="shared" si="49"/>
        <v>45</v>
      </c>
      <c r="P92" s="48"/>
      <c r="Q92" s="48"/>
      <c r="R92" s="78">
        <f t="shared" si="43"/>
        <v>6.36862348993289</v>
      </c>
      <c r="S92" s="78"/>
      <c r="T92" s="79">
        <f t="shared" si="44"/>
        <v>0.015321744966443</v>
      </c>
      <c r="U92" s="78"/>
      <c r="V92" s="78"/>
      <c r="W92" s="80">
        <f t="shared" si="40"/>
        <v>6.38394523489933</v>
      </c>
      <c r="X92" s="81">
        <f t="shared" si="45"/>
        <v>0.146795369127517</v>
      </c>
      <c r="Y92" s="81"/>
      <c r="Z92" s="81"/>
      <c r="AA92" s="81">
        <f t="shared" si="41"/>
        <v>0.146795369127517</v>
      </c>
      <c r="AB92" s="90">
        <v>7.19</v>
      </c>
      <c r="AC92" s="78">
        <f t="shared" si="42"/>
        <v>1.05545870402685</v>
      </c>
      <c r="AD92" s="78">
        <f t="shared" si="39"/>
        <v>7.43940393892617</v>
      </c>
      <c r="AE92" s="78">
        <f t="shared" si="38"/>
        <v>37.5605960610738</v>
      </c>
    </row>
    <row r="93" customFormat="1" spans="1:31">
      <c r="A93" s="18"/>
      <c r="B93" s="19"/>
      <c r="C93" s="20">
        <v>240228000008</v>
      </c>
      <c r="D93" s="21">
        <v>45355</v>
      </c>
      <c r="E93" s="21" t="s">
        <v>44</v>
      </c>
      <c r="F93" s="19" t="s">
        <v>45</v>
      </c>
      <c r="G93" s="19" t="s">
        <v>131</v>
      </c>
      <c r="H93" s="19">
        <v>1.5</v>
      </c>
      <c r="I93" s="41">
        <v>67.5</v>
      </c>
      <c r="J93" s="42"/>
      <c r="K93" s="43"/>
      <c r="L93" s="42"/>
      <c r="M93" s="44"/>
      <c r="N93" s="45"/>
      <c r="O93" s="46">
        <f t="shared" si="49"/>
        <v>67.5</v>
      </c>
      <c r="P93" s="48"/>
      <c r="Q93" s="48"/>
      <c r="R93" s="78">
        <f t="shared" si="43"/>
        <v>51.0852151598895</v>
      </c>
      <c r="S93" s="78"/>
      <c r="T93" s="79">
        <f t="shared" si="44"/>
        <v>0.122901697591788</v>
      </c>
      <c r="U93" s="78"/>
      <c r="V93" s="78"/>
      <c r="W93" s="80">
        <f t="shared" si="40"/>
        <v>51.2081168574812</v>
      </c>
      <c r="X93" s="81">
        <f t="shared" si="45"/>
        <v>1.17750296091591</v>
      </c>
      <c r="Y93" s="81"/>
      <c r="Z93" s="81"/>
      <c r="AA93" s="81">
        <f t="shared" si="41"/>
        <v>1.17750296091591</v>
      </c>
      <c r="AB93" s="90">
        <v>7.19</v>
      </c>
      <c r="AC93" s="78">
        <f t="shared" si="42"/>
        <v>8.46624628898539</v>
      </c>
      <c r="AD93" s="78">
        <f t="shared" si="39"/>
        <v>59.6743631464666</v>
      </c>
      <c r="AE93" s="78">
        <f t="shared" si="38"/>
        <v>7.82563685353336</v>
      </c>
    </row>
    <row r="94" customFormat="1" spans="1:31">
      <c r="A94" s="18"/>
      <c r="B94" s="19"/>
      <c r="C94" s="20">
        <v>240228000011</v>
      </c>
      <c r="D94" s="21">
        <v>45355</v>
      </c>
      <c r="E94" s="21" t="s">
        <v>44</v>
      </c>
      <c r="F94" s="19" t="s">
        <v>45</v>
      </c>
      <c r="G94" s="19" t="s">
        <v>132</v>
      </c>
      <c r="H94" s="19">
        <v>61</v>
      </c>
      <c r="I94" s="49"/>
      <c r="J94" s="50">
        <v>716053</v>
      </c>
      <c r="K94" s="51"/>
      <c r="L94" s="50">
        <f>SUM(J94/M94)</f>
        <v>1603.37893817596</v>
      </c>
      <c r="M94" s="52">
        <v>446.59</v>
      </c>
      <c r="N94" s="45">
        <v>7.19</v>
      </c>
      <c r="O94" s="46">
        <f>SUM(M94*N94)</f>
        <v>3210.9821</v>
      </c>
      <c r="P94" s="48"/>
      <c r="Q94" s="48"/>
      <c r="R94" s="78">
        <f t="shared" si="43"/>
        <v>2077.46541650217</v>
      </c>
      <c r="S94" s="78"/>
      <c r="T94" s="79">
        <f t="shared" si="44"/>
        <v>4.99800236873273</v>
      </c>
      <c r="U94" s="78"/>
      <c r="V94" s="79">
        <f>SUM(130+153)</f>
        <v>283</v>
      </c>
      <c r="W94" s="80">
        <f t="shared" si="40"/>
        <v>2365.4634188709</v>
      </c>
      <c r="X94" s="81">
        <f t="shared" si="45"/>
        <v>47.8851204105803</v>
      </c>
      <c r="Y94" s="81"/>
      <c r="Z94" s="81"/>
      <c r="AA94" s="81">
        <f t="shared" si="41"/>
        <v>47.8851204105803</v>
      </c>
      <c r="AB94" s="90">
        <v>7.19</v>
      </c>
      <c r="AC94" s="78">
        <f t="shared" si="42"/>
        <v>344.294015752073</v>
      </c>
      <c r="AD94" s="78">
        <f t="shared" si="39"/>
        <v>2709.75743462298</v>
      </c>
      <c r="AE94" s="78">
        <f t="shared" si="38"/>
        <v>501.224665377024</v>
      </c>
    </row>
    <row r="95" customFormat="1" spans="1:31">
      <c r="A95" s="18"/>
      <c r="B95" s="19"/>
      <c r="C95" s="20">
        <v>240228000012</v>
      </c>
      <c r="D95" s="21">
        <v>45355</v>
      </c>
      <c r="E95" s="21" t="s">
        <v>44</v>
      </c>
      <c r="F95" s="19" t="s">
        <v>45</v>
      </c>
      <c r="G95" s="19" t="s">
        <v>133</v>
      </c>
      <c r="H95" s="19">
        <v>0.9</v>
      </c>
      <c r="I95" s="49"/>
      <c r="J95" s="50">
        <v>8610</v>
      </c>
      <c r="K95" s="91"/>
      <c r="L95" s="50">
        <f>SUM(J95/M95)</f>
        <v>1474.31506849315</v>
      </c>
      <c r="M95" s="52">
        <v>5.84</v>
      </c>
      <c r="N95" s="45">
        <v>7.19</v>
      </c>
      <c r="O95" s="46">
        <f>SUM(M95*N95)</f>
        <v>41.9896</v>
      </c>
      <c r="P95" s="48"/>
      <c r="Q95" s="48"/>
      <c r="R95" s="78">
        <f t="shared" si="43"/>
        <v>30.6511290959337</v>
      </c>
      <c r="S95" s="78"/>
      <c r="T95" s="79">
        <f t="shared" si="44"/>
        <v>0.073741018555073</v>
      </c>
      <c r="U95" s="78"/>
      <c r="V95" s="95"/>
      <c r="W95" s="80">
        <f t="shared" si="40"/>
        <v>30.7248701144887</v>
      </c>
      <c r="X95" s="81">
        <f t="shared" si="45"/>
        <v>0.706501776549546</v>
      </c>
      <c r="Y95" s="81"/>
      <c r="Z95" s="81"/>
      <c r="AA95" s="81">
        <f t="shared" si="41"/>
        <v>0.706501776549546</v>
      </c>
      <c r="AB95" s="90">
        <v>7.19</v>
      </c>
      <c r="AC95" s="78">
        <f t="shared" si="42"/>
        <v>5.07974777339124</v>
      </c>
      <c r="AD95" s="78">
        <f t="shared" si="39"/>
        <v>35.80461788788</v>
      </c>
      <c r="AE95" s="78">
        <f t="shared" si="38"/>
        <v>6.18498211212002</v>
      </c>
    </row>
    <row r="96" customFormat="1" spans="1:31">
      <c r="A96" s="18"/>
      <c r="B96" s="19"/>
      <c r="C96" s="20">
        <v>240228000014</v>
      </c>
      <c r="D96" s="21">
        <v>45355</v>
      </c>
      <c r="E96" s="21" t="s">
        <v>47</v>
      </c>
      <c r="F96" s="19" t="s">
        <v>48</v>
      </c>
      <c r="G96" s="19" t="s">
        <v>134</v>
      </c>
      <c r="H96" s="19">
        <v>3</v>
      </c>
      <c r="I96" s="41">
        <v>144</v>
      </c>
      <c r="J96" s="42"/>
      <c r="K96" s="43"/>
      <c r="L96" s="42"/>
      <c r="M96" s="44"/>
      <c r="N96" s="45"/>
      <c r="O96" s="46">
        <f t="shared" ref="O96:O100" si="50">SUM(I96)</f>
        <v>144</v>
      </c>
      <c r="P96" s="48"/>
      <c r="Q96" s="48"/>
      <c r="R96" s="78">
        <f t="shared" si="43"/>
        <v>102.170430319779</v>
      </c>
      <c r="S96" s="78"/>
      <c r="T96" s="79">
        <f t="shared" si="44"/>
        <v>0.245803395183577</v>
      </c>
      <c r="U96" s="78"/>
      <c r="V96" s="78"/>
      <c r="W96" s="80">
        <f t="shared" si="40"/>
        <v>102.416233714962</v>
      </c>
      <c r="X96" s="81">
        <f t="shared" si="45"/>
        <v>2.35500592183182</v>
      </c>
      <c r="Y96" s="81"/>
      <c r="Z96" s="81"/>
      <c r="AA96" s="81">
        <f t="shared" si="41"/>
        <v>2.35500592183182</v>
      </c>
      <c r="AB96" s="90">
        <v>7.19</v>
      </c>
      <c r="AC96" s="78">
        <f t="shared" si="42"/>
        <v>16.9324925779708</v>
      </c>
      <c r="AD96" s="78">
        <f t="shared" si="39"/>
        <v>119.348726292933</v>
      </c>
      <c r="AE96" s="78">
        <f t="shared" si="38"/>
        <v>24.6512737070667</v>
      </c>
    </row>
    <row r="97" customFormat="1" spans="1:31">
      <c r="A97" s="18"/>
      <c r="B97" s="19"/>
      <c r="C97" s="22">
        <v>240228000015</v>
      </c>
      <c r="D97" s="23">
        <v>45355</v>
      </c>
      <c r="E97" s="21" t="s">
        <v>47</v>
      </c>
      <c r="F97" s="24" t="s">
        <v>48</v>
      </c>
      <c r="G97" s="24" t="s">
        <v>135</v>
      </c>
      <c r="H97" s="24">
        <v>65</v>
      </c>
      <c r="I97" s="41">
        <v>2730</v>
      </c>
      <c r="J97" s="53"/>
      <c r="K97" s="51"/>
      <c r="L97" s="53"/>
      <c r="M97" s="44"/>
      <c r="N97" s="45"/>
      <c r="O97" s="46">
        <f t="shared" si="50"/>
        <v>2730</v>
      </c>
      <c r="P97" s="48"/>
      <c r="Q97" s="48"/>
      <c r="R97" s="78">
        <f t="shared" si="43"/>
        <v>2213.69265692854</v>
      </c>
      <c r="S97" s="78"/>
      <c r="T97" s="79">
        <f t="shared" si="44"/>
        <v>5.3257402289775</v>
      </c>
      <c r="U97" s="78"/>
      <c r="V97" s="78"/>
      <c r="W97" s="80">
        <f t="shared" si="40"/>
        <v>2219.01839715752</v>
      </c>
      <c r="X97" s="81">
        <f t="shared" si="45"/>
        <v>51.0251283063561</v>
      </c>
      <c r="Y97" s="81"/>
      <c r="Z97" s="81"/>
      <c r="AA97" s="81">
        <f t="shared" si="41"/>
        <v>51.0251283063561</v>
      </c>
      <c r="AB97" s="90">
        <v>7.19</v>
      </c>
      <c r="AC97" s="78">
        <f t="shared" si="42"/>
        <v>366.8706725227</v>
      </c>
      <c r="AD97" s="78">
        <f t="shared" si="39"/>
        <v>2585.88906968022</v>
      </c>
      <c r="AE97" s="78">
        <f t="shared" si="38"/>
        <v>144.11093031978</v>
      </c>
    </row>
    <row r="98" customFormat="1" spans="1:31">
      <c r="A98" s="18"/>
      <c r="B98" s="19"/>
      <c r="C98" s="20">
        <v>240228000016</v>
      </c>
      <c r="D98" s="21">
        <v>45355</v>
      </c>
      <c r="E98" s="21" t="s">
        <v>47</v>
      </c>
      <c r="F98" s="19" t="s">
        <v>48</v>
      </c>
      <c r="G98" s="19" t="s">
        <v>68</v>
      </c>
      <c r="H98" s="19">
        <v>2</v>
      </c>
      <c r="I98" s="41">
        <v>97</v>
      </c>
      <c r="J98" s="42"/>
      <c r="K98" s="43"/>
      <c r="L98" s="42"/>
      <c r="M98" s="44"/>
      <c r="N98" s="45"/>
      <c r="O98" s="46">
        <f t="shared" si="50"/>
        <v>97</v>
      </c>
      <c r="P98" s="48"/>
      <c r="Q98" s="48"/>
      <c r="R98" s="78">
        <f t="shared" si="43"/>
        <v>68.1136202131859</v>
      </c>
      <c r="S98" s="78"/>
      <c r="T98" s="79">
        <f t="shared" si="44"/>
        <v>0.163868930122385</v>
      </c>
      <c r="U98" s="78"/>
      <c r="V98" s="78"/>
      <c r="W98" s="80">
        <f t="shared" si="40"/>
        <v>68.2774891433083</v>
      </c>
      <c r="X98" s="81">
        <f t="shared" si="45"/>
        <v>1.57000394788788</v>
      </c>
      <c r="Y98" s="81"/>
      <c r="Z98" s="81"/>
      <c r="AA98" s="81">
        <f t="shared" si="41"/>
        <v>1.57000394788788</v>
      </c>
      <c r="AB98" s="90">
        <v>7.19</v>
      </c>
      <c r="AC98" s="78">
        <f t="shared" si="42"/>
        <v>11.2883283853139</v>
      </c>
      <c r="AD98" s="78">
        <f t="shared" si="39"/>
        <v>79.5658175286222</v>
      </c>
      <c r="AE98" s="78">
        <f t="shared" si="38"/>
        <v>17.4341824713778</v>
      </c>
    </row>
    <row r="99" customFormat="1" spans="1:31">
      <c r="A99" s="18"/>
      <c r="B99" s="19"/>
      <c r="C99" s="20">
        <v>240228000023</v>
      </c>
      <c r="D99" s="21">
        <v>45355</v>
      </c>
      <c r="E99" s="21" t="s">
        <v>37</v>
      </c>
      <c r="F99" s="19" t="s">
        <v>38</v>
      </c>
      <c r="G99" s="19" t="s">
        <v>125</v>
      </c>
      <c r="H99" s="19">
        <v>160</v>
      </c>
      <c r="I99" s="41">
        <v>7529</v>
      </c>
      <c r="J99" s="42"/>
      <c r="K99" s="43"/>
      <c r="L99" s="42"/>
      <c r="M99" s="44"/>
      <c r="N99" s="45"/>
      <c r="O99" s="46">
        <f t="shared" si="50"/>
        <v>7529</v>
      </c>
      <c r="P99" s="48"/>
      <c r="Q99" s="48"/>
      <c r="R99" s="78">
        <f t="shared" si="43"/>
        <v>5449.08961705487</v>
      </c>
      <c r="S99" s="78"/>
      <c r="T99" s="79">
        <f t="shared" si="44"/>
        <v>13.1095144097908</v>
      </c>
      <c r="U99" s="78"/>
      <c r="V99" s="78"/>
      <c r="W99" s="80">
        <f t="shared" si="40"/>
        <v>5462.19913146467</v>
      </c>
      <c r="X99" s="81">
        <f t="shared" si="45"/>
        <v>125.60031583103</v>
      </c>
      <c r="Y99" s="81"/>
      <c r="Z99" s="81"/>
      <c r="AA99" s="81">
        <f t="shared" si="41"/>
        <v>125.60031583103</v>
      </c>
      <c r="AB99" s="90">
        <v>7.19</v>
      </c>
      <c r="AC99" s="78">
        <f t="shared" si="42"/>
        <v>903.066270825109</v>
      </c>
      <c r="AD99" s="78">
        <f t="shared" si="39"/>
        <v>6365.26540228977</v>
      </c>
      <c r="AE99" s="78">
        <f t="shared" si="38"/>
        <v>1163.73459771023</v>
      </c>
    </row>
    <row r="100" customFormat="1" spans="1:31">
      <c r="A100" s="18"/>
      <c r="B100" s="19"/>
      <c r="C100" s="20">
        <v>240228000024</v>
      </c>
      <c r="D100" s="21">
        <v>45355</v>
      </c>
      <c r="E100" s="21" t="s">
        <v>70</v>
      </c>
      <c r="F100" s="19" t="s">
        <v>70</v>
      </c>
      <c r="G100" s="19" t="s">
        <v>136</v>
      </c>
      <c r="H100" s="19">
        <v>32.5</v>
      </c>
      <c r="I100" s="41">
        <v>1373</v>
      </c>
      <c r="J100" s="53"/>
      <c r="K100" s="51"/>
      <c r="L100" s="53"/>
      <c r="M100" s="44"/>
      <c r="N100" s="45"/>
      <c r="O100" s="46">
        <f t="shared" si="50"/>
        <v>1373</v>
      </c>
      <c r="P100" s="48"/>
      <c r="Q100" s="48"/>
      <c r="R100" s="78">
        <f t="shared" si="43"/>
        <v>1106.84632846427</v>
      </c>
      <c r="S100" s="78"/>
      <c r="T100" s="79">
        <f t="shared" si="44"/>
        <v>2.66287011448875</v>
      </c>
      <c r="U100" s="78"/>
      <c r="V100" s="78"/>
      <c r="W100" s="80">
        <f t="shared" si="40"/>
        <v>1109.50919857876</v>
      </c>
      <c r="X100" s="81">
        <f t="shared" si="45"/>
        <v>25.5125641531781</v>
      </c>
      <c r="Y100" s="81"/>
      <c r="Z100" s="81"/>
      <c r="AA100" s="81">
        <f t="shared" si="41"/>
        <v>25.5125641531781</v>
      </c>
      <c r="AB100" s="90">
        <v>7.19</v>
      </c>
      <c r="AC100" s="78">
        <f t="shared" si="42"/>
        <v>183.43533626135</v>
      </c>
      <c r="AD100" s="78">
        <f t="shared" si="39"/>
        <v>1292.94453484011</v>
      </c>
      <c r="AE100" s="78">
        <f t="shared" si="38"/>
        <v>80.0554651598898</v>
      </c>
    </row>
    <row r="101" customFormat="1" spans="1:31">
      <c r="A101" s="18"/>
      <c r="B101" s="19"/>
      <c r="C101" s="20">
        <v>240229000009</v>
      </c>
      <c r="D101" s="21">
        <v>45355</v>
      </c>
      <c r="E101" s="21" t="s">
        <v>44</v>
      </c>
      <c r="F101" s="19" t="s">
        <v>45</v>
      </c>
      <c r="G101" s="19" t="s">
        <v>133</v>
      </c>
      <c r="H101" s="19">
        <v>1.5</v>
      </c>
      <c r="I101" s="49"/>
      <c r="J101" s="50">
        <v>12915</v>
      </c>
      <c r="K101" s="91"/>
      <c r="L101" s="50">
        <f t="shared" ref="L101:L103" si="51">SUM(J101/M101)</f>
        <v>1474.31506849315</v>
      </c>
      <c r="M101" s="52">
        <v>8.76</v>
      </c>
      <c r="N101" s="45">
        <v>7.19</v>
      </c>
      <c r="O101" s="46">
        <f t="shared" ref="O101:O103" si="52">SUM(M101*N101)</f>
        <v>62.9844</v>
      </c>
      <c r="P101" s="48"/>
      <c r="Q101" s="48"/>
      <c r="R101" s="78">
        <f t="shared" si="43"/>
        <v>51.0852151598895</v>
      </c>
      <c r="S101" s="78"/>
      <c r="T101" s="79">
        <f t="shared" si="44"/>
        <v>0.122901697591788</v>
      </c>
      <c r="U101" s="78"/>
      <c r="V101" s="78"/>
      <c r="W101" s="80">
        <f t="shared" si="40"/>
        <v>51.2081168574812</v>
      </c>
      <c r="X101" s="81">
        <f t="shared" si="45"/>
        <v>1.17750296091591</v>
      </c>
      <c r="Y101" s="81"/>
      <c r="Z101" s="81"/>
      <c r="AA101" s="81">
        <f t="shared" si="41"/>
        <v>1.17750296091591</v>
      </c>
      <c r="AB101" s="90">
        <v>7.19</v>
      </c>
      <c r="AC101" s="78">
        <f t="shared" si="42"/>
        <v>8.46624628898539</v>
      </c>
      <c r="AD101" s="78">
        <f t="shared" si="39"/>
        <v>59.6743631464666</v>
      </c>
      <c r="AE101" s="78">
        <f t="shared" si="38"/>
        <v>3.31003685353336</v>
      </c>
    </row>
    <row r="102" customFormat="1" spans="1:31">
      <c r="A102" s="18"/>
      <c r="B102" s="19"/>
      <c r="C102" s="20">
        <v>240229000015</v>
      </c>
      <c r="D102" s="21">
        <v>45355</v>
      </c>
      <c r="E102" s="21" t="s">
        <v>44</v>
      </c>
      <c r="F102" s="19" t="s">
        <v>45</v>
      </c>
      <c r="G102" s="19" t="s">
        <v>122</v>
      </c>
      <c r="H102" s="19">
        <v>9</v>
      </c>
      <c r="I102" s="49"/>
      <c r="J102" s="50">
        <v>66834</v>
      </c>
      <c r="K102" s="51"/>
      <c r="L102" s="50">
        <f t="shared" si="51"/>
        <v>1136.05303416624</v>
      </c>
      <c r="M102" s="52">
        <v>58.83</v>
      </c>
      <c r="N102" s="45">
        <v>7.19</v>
      </c>
      <c r="O102" s="46">
        <f t="shared" si="52"/>
        <v>422.9877</v>
      </c>
      <c r="P102" s="48"/>
      <c r="Q102" s="48"/>
      <c r="R102" s="78">
        <f t="shared" si="43"/>
        <v>306.511290959337</v>
      </c>
      <c r="S102" s="78"/>
      <c r="T102" s="79">
        <f t="shared" si="44"/>
        <v>0.73741018555073</v>
      </c>
      <c r="U102" s="78"/>
      <c r="V102" s="78"/>
      <c r="W102" s="80">
        <f t="shared" si="40"/>
        <v>307.248701144887</v>
      </c>
      <c r="X102" s="81">
        <f t="shared" si="45"/>
        <v>7.06501776549546</v>
      </c>
      <c r="Y102" s="81"/>
      <c r="Z102" s="81"/>
      <c r="AA102" s="81">
        <f t="shared" si="41"/>
        <v>7.06501776549546</v>
      </c>
      <c r="AB102" s="90">
        <v>7.19</v>
      </c>
      <c r="AC102" s="78">
        <f t="shared" si="42"/>
        <v>50.7974777339124</v>
      </c>
      <c r="AD102" s="78">
        <f t="shared" si="39"/>
        <v>358.0461788788</v>
      </c>
      <c r="AE102" s="78">
        <f t="shared" si="38"/>
        <v>64.9415211212001</v>
      </c>
    </row>
    <row r="103" customFormat="1" spans="1:31">
      <c r="A103" s="18"/>
      <c r="B103" s="19"/>
      <c r="C103" s="20">
        <v>240301000003</v>
      </c>
      <c r="D103" s="21">
        <v>45355</v>
      </c>
      <c r="E103" s="21" t="s">
        <v>44</v>
      </c>
      <c r="F103" s="19" t="s">
        <v>45</v>
      </c>
      <c r="G103" s="19" t="s">
        <v>133</v>
      </c>
      <c r="H103" s="19">
        <v>10</v>
      </c>
      <c r="I103" s="49"/>
      <c r="J103" s="50">
        <v>86100</v>
      </c>
      <c r="K103" s="91"/>
      <c r="L103" s="50">
        <f t="shared" si="51"/>
        <v>1474.06266050334</v>
      </c>
      <c r="M103" s="52">
        <v>58.41</v>
      </c>
      <c r="N103" s="45">
        <v>7.19</v>
      </c>
      <c r="O103" s="46">
        <f t="shared" si="52"/>
        <v>419.9679</v>
      </c>
      <c r="P103" s="48"/>
      <c r="Q103" s="48"/>
      <c r="R103" s="78">
        <f t="shared" si="43"/>
        <v>340.56810106593</v>
      </c>
      <c r="S103" s="78"/>
      <c r="T103" s="79">
        <f t="shared" si="44"/>
        <v>0.819344650611923</v>
      </c>
      <c r="U103" s="78"/>
      <c r="V103" s="78"/>
      <c r="W103" s="80">
        <f t="shared" si="40"/>
        <v>341.387445716542</v>
      </c>
      <c r="X103" s="81">
        <f t="shared" si="45"/>
        <v>7.8500197394394</v>
      </c>
      <c r="Y103" s="81"/>
      <c r="Z103" s="81"/>
      <c r="AA103" s="81">
        <f t="shared" si="41"/>
        <v>7.8500197394394</v>
      </c>
      <c r="AB103" s="90">
        <v>7.19</v>
      </c>
      <c r="AC103" s="78">
        <f t="shared" si="42"/>
        <v>56.4416419265693</v>
      </c>
      <c r="AD103" s="78">
        <f t="shared" si="39"/>
        <v>397.829087643111</v>
      </c>
      <c r="AE103" s="78">
        <f t="shared" si="38"/>
        <v>22.1388123568891</v>
      </c>
    </row>
    <row r="104" customFormat="1" spans="1:31">
      <c r="A104" s="18"/>
      <c r="B104" s="19"/>
      <c r="C104" s="20">
        <v>240301000007</v>
      </c>
      <c r="D104" s="21">
        <v>45355</v>
      </c>
      <c r="E104" s="21" t="s">
        <v>47</v>
      </c>
      <c r="F104" s="19" t="s">
        <v>48</v>
      </c>
      <c r="G104" s="19" t="s">
        <v>137</v>
      </c>
      <c r="H104" s="19">
        <v>3.5</v>
      </c>
      <c r="I104" s="41">
        <v>167.5</v>
      </c>
      <c r="J104" s="42"/>
      <c r="K104" s="43"/>
      <c r="L104" s="42"/>
      <c r="M104" s="44"/>
      <c r="N104" s="45"/>
      <c r="O104" s="46">
        <f t="shared" ref="O104:O106" si="53">SUM(I104)</f>
        <v>167.5</v>
      </c>
      <c r="P104" s="48"/>
      <c r="Q104" s="48"/>
      <c r="R104" s="78">
        <f t="shared" si="43"/>
        <v>119.198835373075</v>
      </c>
      <c r="S104" s="78"/>
      <c r="T104" s="79">
        <f t="shared" si="44"/>
        <v>0.286770627714173</v>
      </c>
      <c r="U104" s="78"/>
      <c r="V104" s="78"/>
      <c r="W104" s="80">
        <f t="shared" si="40"/>
        <v>119.48560600079</v>
      </c>
      <c r="X104" s="81">
        <f t="shared" si="45"/>
        <v>2.74750690880379</v>
      </c>
      <c r="Y104" s="81"/>
      <c r="Z104" s="81"/>
      <c r="AA104" s="81">
        <f t="shared" si="41"/>
        <v>2.74750690880379</v>
      </c>
      <c r="AB104" s="90">
        <v>7.19</v>
      </c>
      <c r="AC104" s="78">
        <f t="shared" si="42"/>
        <v>19.7545746742993</v>
      </c>
      <c r="AD104" s="78">
        <f t="shared" si="39"/>
        <v>139.240180675089</v>
      </c>
      <c r="AE104" s="78">
        <f t="shared" si="38"/>
        <v>28.2598193249112</v>
      </c>
    </row>
    <row r="105" customFormat="1" spans="1:31">
      <c r="A105" s="18"/>
      <c r="B105" s="19"/>
      <c r="C105" s="20">
        <v>240301000014</v>
      </c>
      <c r="D105" s="21">
        <v>45355</v>
      </c>
      <c r="E105" s="21" t="s">
        <v>70</v>
      </c>
      <c r="F105" s="19" t="s">
        <v>70</v>
      </c>
      <c r="G105" s="19" t="s">
        <v>138</v>
      </c>
      <c r="H105" s="19">
        <v>110.5</v>
      </c>
      <c r="I105" s="49">
        <v>5242.5</v>
      </c>
      <c r="J105" s="53"/>
      <c r="K105" s="51"/>
      <c r="L105" s="53"/>
      <c r="M105" s="44"/>
      <c r="N105" s="45"/>
      <c r="O105" s="46">
        <f t="shared" si="53"/>
        <v>5242.5</v>
      </c>
      <c r="P105" s="48"/>
      <c r="Q105" s="48"/>
      <c r="R105" s="78">
        <f t="shared" si="43"/>
        <v>3763.27751677852</v>
      </c>
      <c r="S105" s="78"/>
      <c r="T105" s="79">
        <f t="shared" si="44"/>
        <v>9.05375838926174</v>
      </c>
      <c r="U105" s="79">
        <v>40</v>
      </c>
      <c r="V105" s="78"/>
      <c r="W105" s="80">
        <f t="shared" si="40"/>
        <v>3812.33127516778</v>
      </c>
      <c r="X105" s="81">
        <f t="shared" si="45"/>
        <v>86.7427181208054</v>
      </c>
      <c r="Y105" s="81"/>
      <c r="Z105" s="81"/>
      <c r="AA105" s="81">
        <f t="shared" si="41"/>
        <v>86.7427181208054</v>
      </c>
      <c r="AB105" s="90">
        <v>7.19</v>
      </c>
      <c r="AC105" s="78">
        <f t="shared" si="42"/>
        <v>623.680143288591</v>
      </c>
      <c r="AD105" s="78">
        <f t="shared" si="39"/>
        <v>4436.01141845638</v>
      </c>
      <c r="AE105" s="78">
        <f t="shared" si="38"/>
        <v>806.488581543625</v>
      </c>
    </row>
    <row r="106" customFormat="1" spans="1:31">
      <c r="A106" s="18"/>
      <c r="B106" s="19"/>
      <c r="C106" s="20">
        <v>240301000020</v>
      </c>
      <c r="D106" s="21">
        <v>45355</v>
      </c>
      <c r="E106" s="21" t="s">
        <v>41</v>
      </c>
      <c r="F106" s="19" t="s">
        <v>42</v>
      </c>
      <c r="G106" s="19" t="s">
        <v>73</v>
      </c>
      <c r="H106" s="19">
        <v>8.5</v>
      </c>
      <c r="I106" s="41">
        <v>489.6</v>
      </c>
      <c r="J106" s="42"/>
      <c r="K106" s="43"/>
      <c r="L106" s="42"/>
      <c r="M106" s="44"/>
      <c r="N106" s="45"/>
      <c r="O106" s="46">
        <f t="shared" si="53"/>
        <v>489.6</v>
      </c>
      <c r="P106" s="48"/>
      <c r="Q106" s="48"/>
      <c r="R106" s="78">
        <f t="shared" si="43"/>
        <v>289.48288590604</v>
      </c>
      <c r="S106" s="78"/>
      <c r="T106" s="79">
        <f t="shared" si="44"/>
        <v>0.696442953020134</v>
      </c>
      <c r="U106" s="78"/>
      <c r="V106" s="78"/>
      <c r="W106" s="80">
        <f t="shared" si="40"/>
        <v>290.17932885906</v>
      </c>
      <c r="X106" s="81">
        <f t="shared" si="45"/>
        <v>6.67251677852349</v>
      </c>
      <c r="Y106" s="81"/>
      <c r="Z106" s="81"/>
      <c r="AA106" s="81">
        <f t="shared" si="41"/>
        <v>6.67251677852349</v>
      </c>
      <c r="AB106" s="90">
        <v>7.19</v>
      </c>
      <c r="AC106" s="78">
        <f t="shared" si="42"/>
        <v>47.9753956375839</v>
      </c>
      <c r="AD106" s="78">
        <f t="shared" si="39"/>
        <v>338.154724496644</v>
      </c>
      <c r="AE106" s="78">
        <f t="shared" si="38"/>
        <v>151.445275503356</v>
      </c>
    </row>
    <row r="107" customFormat="1" spans="1:31">
      <c r="A107" s="18"/>
      <c r="B107" s="19"/>
      <c r="C107" s="20">
        <v>240301000022</v>
      </c>
      <c r="D107" s="21">
        <v>45355</v>
      </c>
      <c r="E107" s="21" t="s">
        <v>41</v>
      </c>
      <c r="F107" s="19" t="s">
        <v>42</v>
      </c>
      <c r="G107" s="19" t="s">
        <v>139</v>
      </c>
      <c r="H107" s="19">
        <v>0.42</v>
      </c>
      <c r="I107" s="46"/>
      <c r="J107" s="54">
        <v>12900</v>
      </c>
      <c r="K107" s="55"/>
      <c r="L107" s="50">
        <f t="shared" ref="L107:L113" si="54">SUM(J107/M107)</f>
        <v>1816.9014084507</v>
      </c>
      <c r="M107" s="52">
        <v>7.1</v>
      </c>
      <c r="N107" s="45">
        <v>7.19</v>
      </c>
      <c r="O107" s="46">
        <f t="shared" ref="O107:O113" si="55">SUM(M107*N107)</f>
        <v>51.049</v>
      </c>
      <c r="P107" s="48"/>
      <c r="Q107" s="48"/>
      <c r="R107" s="78">
        <f t="shared" si="43"/>
        <v>14.303860244769</v>
      </c>
      <c r="S107" s="78"/>
      <c r="T107" s="79">
        <f t="shared" si="44"/>
        <v>0.0344124753257007</v>
      </c>
      <c r="U107" s="78"/>
      <c r="V107" s="78"/>
      <c r="W107" s="80">
        <f t="shared" si="40"/>
        <v>14.3382727200947</v>
      </c>
      <c r="X107" s="81">
        <f t="shared" si="45"/>
        <v>0.329700829056455</v>
      </c>
      <c r="Y107" s="81"/>
      <c r="Z107" s="81"/>
      <c r="AA107" s="81">
        <f t="shared" si="41"/>
        <v>0.329700829056455</v>
      </c>
      <c r="AB107" s="90">
        <v>7.19</v>
      </c>
      <c r="AC107" s="78">
        <f t="shared" si="42"/>
        <v>2.37054896091591</v>
      </c>
      <c r="AD107" s="78">
        <f t="shared" si="39"/>
        <v>16.7088216810107</v>
      </c>
      <c r="AE107" s="78">
        <f t="shared" si="38"/>
        <v>34.3401783189893</v>
      </c>
    </row>
    <row r="108" customFormat="1" spans="1:31">
      <c r="A108" s="18"/>
      <c r="B108" s="19"/>
      <c r="C108" s="20">
        <v>240301000027</v>
      </c>
      <c r="D108" s="21">
        <v>45355</v>
      </c>
      <c r="E108" s="21" t="s">
        <v>41</v>
      </c>
      <c r="F108" s="19" t="s">
        <v>42</v>
      </c>
      <c r="G108" s="19" t="s">
        <v>62</v>
      </c>
      <c r="H108" s="19">
        <v>3</v>
      </c>
      <c r="I108" s="41">
        <v>200</v>
      </c>
      <c r="J108" s="42"/>
      <c r="K108" s="43"/>
      <c r="L108" s="42"/>
      <c r="M108" s="44"/>
      <c r="N108" s="45"/>
      <c r="O108" s="46">
        <f t="shared" ref="O108:O111" si="56">SUM(I108)</f>
        <v>200</v>
      </c>
      <c r="P108" s="48"/>
      <c r="Q108" s="48"/>
      <c r="R108" s="78">
        <f t="shared" si="43"/>
        <v>102.170430319779</v>
      </c>
      <c r="S108" s="78"/>
      <c r="T108" s="79">
        <f t="shared" si="44"/>
        <v>0.245803395183577</v>
      </c>
      <c r="U108" s="78"/>
      <c r="V108" s="78"/>
      <c r="W108" s="80">
        <f t="shared" si="40"/>
        <v>102.416233714962</v>
      </c>
      <c r="X108" s="81">
        <f t="shared" si="45"/>
        <v>2.35500592183182</v>
      </c>
      <c r="Y108" s="81"/>
      <c r="Z108" s="81"/>
      <c r="AA108" s="81">
        <f t="shared" si="41"/>
        <v>2.35500592183182</v>
      </c>
      <c r="AB108" s="90">
        <v>7.19</v>
      </c>
      <c r="AC108" s="78">
        <f t="shared" si="42"/>
        <v>16.9324925779708</v>
      </c>
      <c r="AD108" s="78">
        <f t="shared" si="39"/>
        <v>119.348726292933</v>
      </c>
      <c r="AE108" s="78">
        <f t="shared" si="38"/>
        <v>80.6512737070667</v>
      </c>
    </row>
    <row r="109" customFormat="1" spans="1:31">
      <c r="A109" s="18"/>
      <c r="B109" s="19"/>
      <c r="C109" s="20">
        <v>240301000030</v>
      </c>
      <c r="D109" s="21">
        <v>45355</v>
      </c>
      <c r="E109" s="21" t="s">
        <v>47</v>
      </c>
      <c r="F109" s="19" t="s">
        <v>48</v>
      </c>
      <c r="G109" s="19" t="s">
        <v>140</v>
      </c>
      <c r="H109" s="19">
        <v>19</v>
      </c>
      <c r="I109" s="49"/>
      <c r="J109" s="50">
        <v>187766</v>
      </c>
      <c r="K109" s="51"/>
      <c r="L109" s="50">
        <f t="shared" si="54"/>
        <v>1603.46712211785</v>
      </c>
      <c r="M109" s="52">
        <v>117.1</v>
      </c>
      <c r="N109" s="45">
        <v>7.19</v>
      </c>
      <c r="O109" s="46">
        <f t="shared" si="55"/>
        <v>841.949</v>
      </c>
      <c r="P109" s="48"/>
      <c r="Q109" s="48"/>
      <c r="R109" s="78">
        <f t="shared" si="43"/>
        <v>647.079392025266</v>
      </c>
      <c r="S109" s="78"/>
      <c r="T109" s="79">
        <f t="shared" si="44"/>
        <v>1.55675483616265</v>
      </c>
      <c r="U109" s="78"/>
      <c r="V109" s="78"/>
      <c r="W109" s="80">
        <f t="shared" si="40"/>
        <v>648.636146861429</v>
      </c>
      <c r="X109" s="81">
        <f t="shared" si="45"/>
        <v>14.9150375049349</v>
      </c>
      <c r="Y109" s="81"/>
      <c r="Z109" s="81"/>
      <c r="AA109" s="81">
        <f t="shared" si="41"/>
        <v>14.9150375049349</v>
      </c>
      <c r="AB109" s="90">
        <v>7.19</v>
      </c>
      <c r="AC109" s="78">
        <f t="shared" si="42"/>
        <v>107.239119660482</v>
      </c>
      <c r="AD109" s="78">
        <f t="shared" si="39"/>
        <v>755.875266521911</v>
      </c>
      <c r="AE109" s="78">
        <f t="shared" si="38"/>
        <v>86.0737334780893</v>
      </c>
    </row>
    <row r="110" customFormat="1" spans="1:31">
      <c r="A110" s="18"/>
      <c r="B110" s="19"/>
      <c r="C110" s="20">
        <v>240301000031</v>
      </c>
      <c r="D110" s="21">
        <v>45355</v>
      </c>
      <c r="E110" s="21" t="s">
        <v>41</v>
      </c>
      <c r="F110" s="19" t="s">
        <v>42</v>
      </c>
      <c r="G110" s="19" t="s">
        <v>141</v>
      </c>
      <c r="H110" s="19">
        <v>8</v>
      </c>
      <c r="I110" s="41">
        <v>436</v>
      </c>
      <c r="J110" s="42"/>
      <c r="K110" s="43"/>
      <c r="L110" s="42"/>
      <c r="M110" s="44"/>
      <c r="N110" s="45"/>
      <c r="O110" s="46">
        <f t="shared" si="56"/>
        <v>436</v>
      </c>
      <c r="P110" s="48"/>
      <c r="Q110" s="48"/>
      <c r="R110" s="78">
        <f t="shared" si="43"/>
        <v>272.454480852744</v>
      </c>
      <c r="S110" s="78"/>
      <c r="T110" s="79">
        <f t="shared" si="44"/>
        <v>0.655475720489538</v>
      </c>
      <c r="U110" s="78"/>
      <c r="V110" s="78"/>
      <c r="W110" s="80">
        <f t="shared" si="40"/>
        <v>273.109956573233</v>
      </c>
      <c r="X110" s="81">
        <f t="shared" si="45"/>
        <v>6.28001579155152</v>
      </c>
      <c r="Y110" s="81"/>
      <c r="Z110" s="81"/>
      <c r="AA110" s="81">
        <f t="shared" si="41"/>
        <v>6.28001579155152</v>
      </c>
      <c r="AB110" s="90">
        <v>7.19</v>
      </c>
      <c r="AC110" s="78">
        <f t="shared" si="42"/>
        <v>45.1533135412554</v>
      </c>
      <c r="AD110" s="78">
        <f t="shared" si="39"/>
        <v>318.263270114489</v>
      </c>
      <c r="AE110" s="78">
        <f t="shared" si="38"/>
        <v>117.736729885511</v>
      </c>
    </row>
    <row r="111" customFormat="1" spans="1:31">
      <c r="A111" s="18"/>
      <c r="B111" s="19"/>
      <c r="C111" s="20">
        <v>240301000032</v>
      </c>
      <c r="D111" s="21">
        <v>45355</v>
      </c>
      <c r="E111" s="21" t="s">
        <v>70</v>
      </c>
      <c r="F111" s="19" t="s">
        <v>70</v>
      </c>
      <c r="G111" s="19" t="s">
        <v>142</v>
      </c>
      <c r="H111" s="19">
        <v>17</v>
      </c>
      <c r="I111" s="41">
        <v>818</v>
      </c>
      <c r="J111" s="53"/>
      <c r="K111" s="51"/>
      <c r="L111" s="53"/>
      <c r="M111" s="44"/>
      <c r="N111" s="45"/>
      <c r="O111" s="46">
        <f t="shared" si="56"/>
        <v>818</v>
      </c>
      <c r="P111" s="48"/>
      <c r="Q111" s="48"/>
      <c r="R111" s="78">
        <f t="shared" si="43"/>
        <v>578.96577181208</v>
      </c>
      <c r="S111" s="78"/>
      <c r="T111" s="79">
        <f t="shared" si="44"/>
        <v>1.39288590604027</v>
      </c>
      <c r="U111" s="78"/>
      <c r="V111" s="78"/>
      <c r="W111" s="80">
        <f t="shared" si="40"/>
        <v>580.358657718121</v>
      </c>
      <c r="X111" s="81">
        <f t="shared" si="45"/>
        <v>13.345033557047</v>
      </c>
      <c r="Y111" s="81"/>
      <c r="Z111" s="81"/>
      <c r="AA111" s="81">
        <f t="shared" si="41"/>
        <v>13.345033557047</v>
      </c>
      <c r="AB111" s="90">
        <v>7.19</v>
      </c>
      <c r="AC111" s="78">
        <f t="shared" si="42"/>
        <v>95.9507912751678</v>
      </c>
      <c r="AD111" s="78">
        <f t="shared" si="39"/>
        <v>676.309448993289</v>
      </c>
      <c r="AE111" s="78">
        <f t="shared" si="38"/>
        <v>141.690551006711</v>
      </c>
    </row>
    <row r="112" customFormat="1" spans="1:31">
      <c r="A112" s="18"/>
      <c r="B112" s="19"/>
      <c r="C112" s="20">
        <v>240301000037</v>
      </c>
      <c r="D112" s="21">
        <v>45355</v>
      </c>
      <c r="E112" s="21" t="s">
        <v>70</v>
      </c>
      <c r="F112" s="19" t="s">
        <v>70</v>
      </c>
      <c r="G112" s="19" t="s">
        <v>143</v>
      </c>
      <c r="H112" s="19">
        <v>1350.5</v>
      </c>
      <c r="I112" s="46"/>
      <c r="J112" s="54">
        <v>10803960</v>
      </c>
      <c r="K112" s="55"/>
      <c r="L112" s="50">
        <f t="shared" si="54"/>
        <v>1337.34058368374</v>
      </c>
      <c r="M112" s="52">
        <v>8078.69</v>
      </c>
      <c r="N112" s="45">
        <v>7.19</v>
      </c>
      <c r="O112" s="46">
        <f t="shared" si="55"/>
        <v>58085.7811</v>
      </c>
      <c r="P112" s="48"/>
      <c r="Q112" s="48"/>
      <c r="R112" s="78">
        <f t="shared" si="43"/>
        <v>45993.7220489538</v>
      </c>
      <c r="S112" s="78"/>
      <c r="T112" s="79">
        <f t="shared" si="44"/>
        <v>110.65249506514</v>
      </c>
      <c r="U112" s="78"/>
      <c r="V112" s="78"/>
      <c r="W112" s="80">
        <f t="shared" si="40"/>
        <v>46104.374544019</v>
      </c>
      <c r="X112" s="81">
        <f t="shared" si="45"/>
        <v>1060.14516581129</v>
      </c>
      <c r="Y112" s="81"/>
      <c r="Z112" s="81"/>
      <c r="AA112" s="81">
        <f t="shared" si="41"/>
        <v>1060.14516581129</v>
      </c>
      <c r="AB112" s="90">
        <v>7.19</v>
      </c>
      <c r="AC112" s="78">
        <f t="shared" si="42"/>
        <v>7622.44374218318</v>
      </c>
      <c r="AD112" s="78">
        <f t="shared" si="39"/>
        <v>53726.8182862021</v>
      </c>
      <c r="AE112" s="78">
        <f t="shared" si="38"/>
        <v>4358.96281379787</v>
      </c>
    </row>
    <row r="113" customFormat="1" spans="1:31">
      <c r="A113" s="18"/>
      <c r="B113" s="19"/>
      <c r="C113" s="20">
        <v>240302000004</v>
      </c>
      <c r="D113" s="21">
        <v>45355</v>
      </c>
      <c r="E113" s="21" t="s">
        <v>51</v>
      </c>
      <c r="F113" s="19" t="s">
        <v>52</v>
      </c>
      <c r="G113" s="19" t="s">
        <v>144</v>
      </c>
      <c r="H113" s="19">
        <v>4</v>
      </c>
      <c r="I113" s="49"/>
      <c r="J113" s="50">
        <v>59764</v>
      </c>
      <c r="K113" s="51"/>
      <c r="L113" s="50">
        <f t="shared" si="54"/>
        <v>1603.54172256507</v>
      </c>
      <c r="M113" s="52">
        <v>37.27</v>
      </c>
      <c r="N113" s="45">
        <v>7.19</v>
      </c>
      <c r="O113" s="46">
        <f t="shared" si="55"/>
        <v>267.9713</v>
      </c>
      <c r="P113" s="48"/>
      <c r="Q113" s="48"/>
      <c r="R113" s="78">
        <f t="shared" si="43"/>
        <v>136.227240426372</v>
      </c>
      <c r="S113" s="78"/>
      <c r="T113" s="79">
        <f t="shared" si="44"/>
        <v>0.327737860244769</v>
      </c>
      <c r="U113" s="78"/>
      <c r="V113" s="78"/>
      <c r="W113" s="80">
        <f t="shared" si="40"/>
        <v>136.554978286617</v>
      </c>
      <c r="X113" s="81">
        <f t="shared" si="45"/>
        <v>3.14000789577576</v>
      </c>
      <c r="Y113" s="81"/>
      <c r="Z113" s="81"/>
      <c r="AA113" s="81">
        <f t="shared" si="41"/>
        <v>3.14000789577576</v>
      </c>
      <c r="AB113" s="90">
        <v>7.19</v>
      </c>
      <c r="AC113" s="78">
        <f t="shared" si="42"/>
        <v>22.5766567706277</v>
      </c>
      <c r="AD113" s="78">
        <f t="shared" si="39"/>
        <v>159.131635057244</v>
      </c>
      <c r="AE113" s="78">
        <f t="shared" si="38"/>
        <v>108.839664942756</v>
      </c>
    </row>
    <row r="114" customFormat="1" spans="1:31">
      <c r="A114" s="18"/>
      <c r="B114" s="19"/>
      <c r="C114" s="20">
        <v>240302000007</v>
      </c>
      <c r="D114" s="21">
        <v>45355</v>
      </c>
      <c r="E114" s="21" t="s">
        <v>37</v>
      </c>
      <c r="F114" s="19" t="s">
        <v>145</v>
      </c>
      <c r="G114" s="19" t="s">
        <v>146</v>
      </c>
      <c r="H114" s="19">
        <v>30</v>
      </c>
      <c r="I114" s="41">
        <v>1290</v>
      </c>
      <c r="J114" s="42"/>
      <c r="K114" s="43"/>
      <c r="L114" s="42"/>
      <c r="M114" s="44"/>
      <c r="N114" s="45"/>
      <c r="O114" s="46">
        <f t="shared" ref="O114:O118" si="57">SUM(I114)</f>
        <v>1290</v>
      </c>
      <c r="P114" s="48"/>
      <c r="Q114" s="48"/>
      <c r="R114" s="78">
        <f t="shared" si="43"/>
        <v>1021.70430319779</v>
      </c>
      <c r="S114" s="78"/>
      <c r="T114" s="79">
        <f t="shared" si="44"/>
        <v>2.45803395183577</v>
      </c>
      <c r="U114" s="78"/>
      <c r="V114" s="78"/>
      <c r="W114" s="80">
        <f t="shared" si="40"/>
        <v>1024.16233714962</v>
      </c>
      <c r="X114" s="81">
        <f t="shared" si="45"/>
        <v>23.5500592183182</v>
      </c>
      <c r="Y114" s="81"/>
      <c r="Z114" s="81"/>
      <c r="AA114" s="81">
        <f t="shared" si="41"/>
        <v>23.5500592183182</v>
      </c>
      <c r="AB114" s="90">
        <v>7.19</v>
      </c>
      <c r="AC114" s="78">
        <f t="shared" ref="AC114:AC158" si="58">SUM(AA114*AB114)</f>
        <v>169.324925779708</v>
      </c>
      <c r="AD114" s="78">
        <f t="shared" si="39"/>
        <v>1193.48726292933</v>
      </c>
      <c r="AE114" s="78">
        <f t="shared" si="38"/>
        <v>96.5127370706673</v>
      </c>
    </row>
    <row r="115" customFormat="1" spans="1:31">
      <c r="A115" s="18"/>
      <c r="B115" s="19"/>
      <c r="C115" s="20">
        <v>240302000010</v>
      </c>
      <c r="D115" s="21">
        <v>45355</v>
      </c>
      <c r="E115" s="21" t="s">
        <v>70</v>
      </c>
      <c r="F115" s="19" t="s">
        <v>95</v>
      </c>
      <c r="G115" s="19" t="s">
        <v>96</v>
      </c>
      <c r="H115" s="19">
        <v>191</v>
      </c>
      <c r="I115" s="46"/>
      <c r="J115" s="54">
        <v>1969904</v>
      </c>
      <c r="K115" s="55"/>
      <c r="L115" s="50">
        <f>SUM(J115/M115)</f>
        <v>1600</v>
      </c>
      <c r="M115" s="52">
        <v>1231.19</v>
      </c>
      <c r="N115" s="45">
        <v>7.19</v>
      </c>
      <c r="O115" s="46">
        <f>SUM(M115*N115)</f>
        <v>8852.2561</v>
      </c>
      <c r="P115" s="48"/>
      <c r="Q115" s="48"/>
      <c r="R115" s="78">
        <f t="shared" si="43"/>
        <v>6504.85073035926</v>
      </c>
      <c r="S115" s="78"/>
      <c r="T115" s="79">
        <f t="shared" si="44"/>
        <v>15.6494828266877</v>
      </c>
      <c r="U115" s="79">
        <v>350</v>
      </c>
      <c r="V115" s="78"/>
      <c r="W115" s="80">
        <f t="shared" ref="W115:W158" si="59">SUM(R115:V115)</f>
        <v>6870.50021318594</v>
      </c>
      <c r="X115" s="81">
        <f t="shared" si="45"/>
        <v>149.935377023293</v>
      </c>
      <c r="Y115" s="81"/>
      <c r="Z115" s="81"/>
      <c r="AA115" s="81">
        <f t="shared" ref="AA115:AA158" si="60">SUM(X115:Z115)</f>
        <v>149.935377023293</v>
      </c>
      <c r="AB115" s="90">
        <v>7.19</v>
      </c>
      <c r="AC115" s="78">
        <f t="shared" si="58"/>
        <v>1078.03536079747</v>
      </c>
      <c r="AD115" s="78">
        <f t="shared" si="39"/>
        <v>7948.53557398342</v>
      </c>
      <c r="AE115" s="78">
        <f t="shared" si="38"/>
        <v>903.720526016583</v>
      </c>
    </row>
    <row r="116" customFormat="1" spans="1:31">
      <c r="A116" s="18"/>
      <c r="B116" s="19"/>
      <c r="C116" s="20">
        <v>240302000013</v>
      </c>
      <c r="D116" s="21">
        <v>45355</v>
      </c>
      <c r="E116" s="21" t="s">
        <v>44</v>
      </c>
      <c r="F116" s="19" t="s">
        <v>45</v>
      </c>
      <c r="G116" s="19" t="s">
        <v>147</v>
      </c>
      <c r="H116" s="19">
        <v>194</v>
      </c>
      <c r="I116" s="41">
        <v>9312</v>
      </c>
      <c r="J116" s="53"/>
      <c r="K116" s="51"/>
      <c r="L116" s="53"/>
      <c r="M116" s="44"/>
      <c r="N116" s="45"/>
      <c r="O116" s="46">
        <f t="shared" si="57"/>
        <v>9312</v>
      </c>
      <c r="P116" s="58"/>
      <c r="Q116" s="58"/>
      <c r="R116" s="78">
        <f t="shared" si="43"/>
        <v>6607.02116067904</v>
      </c>
      <c r="S116" s="78"/>
      <c r="T116" s="79">
        <f t="shared" si="44"/>
        <v>15.8952862218713</v>
      </c>
      <c r="U116" s="78"/>
      <c r="V116" s="78"/>
      <c r="W116" s="80">
        <f t="shared" si="59"/>
        <v>6622.91644690091</v>
      </c>
      <c r="X116" s="81">
        <f t="shared" si="45"/>
        <v>152.290382945124</v>
      </c>
      <c r="Y116" s="81"/>
      <c r="Z116" s="81"/>
      <c r="AA116" s="81">
        <f t="shared" si="60"/>
        <v>152.290382945124</v>
      </c>
      <c r="AB116" s="90">
        <v>7.19</v>
      </c>
      <c r="AC116" s="78">
        <f t="shared" si="58"/>
        <v>1094.96785337544</v>
      </c>
      <c r="AD116" s="78">
        <f t="shared" ref="AD116:AD158" si="61">SUM(W116+AC116)</f>
        <v>7717.88430027635</v>
      </c>
      <c r="AE116" s="78">
        <f t="shared" ref="AE116:AE158" si="62">SUM(O116-AD116)</f>
        <v>1594.11569972365</v>
      </c>
    </row>
    <row r="117" customFormat="1" spans="1:31">
      <c r="A117" s="18" t="s">
        <v>148</v>
      </c>
      <c r="B117" s="19" t="s">
        <v>149</v>
      </c>
      <c r="C117" s="20">
        <v>240223000014</v>
      </c>
      <c r="D117" s="21">
        <v>45356</v>
      </c>
      <c r="E117" s="21" t="s">
        <v>41</v>
      </c>
      <c r="F117" s="19" t="s">
        <v>42</v>
      </c>
      <c r="G117" s="19" t="s">
        <v>62</v>
      </c>
      <c r="H117" s="19">
        <v>2</v>
      </c>
      <c r="I117" s="41">
        <v>97</v>
      </c>
      <c r="J117" s="42"/>
      <c r="K117" s="43"/>
      <c r="L117" s="42"/>
      <c r="M117" s="44"/>
      <c r="N117" s="45"/>
      <c r="O117" s="46">
        <f t="shared" si="57"/>
        <v>97</v>
      </c>
      <c r="P117" s="47">
        <f>SUM(O117:O147)</f>
        <v>215067.7846</v>
      </c>
      <c r="Q117" s="47" t="s">
        <v>40</v>
      </c>
      <c r="R117" s="78">
        <f>SUM(175610/5317)*H117</f>
        <v>66.0560466428437</v>
      </c>
      <c r="S117" s="78"/>
      <c r="T117" s="79">
        <f>SUM(250/5317)*H117</f>
        <v>0.0940379913485048</v>
      </c>
      <c r="U117" s="78"/>
      <c r="V117" s="78"/>
      <c r="W117" s="80">
        <f t="shared" si="59"/>
        <v>66.1500846341922</v>
      </c>
      <c r="X117" s="81">
        <f>SUM(3938.86/5317)*H117</f>
        <v>1.48160993041189</v>
      </c>
      <c r="Y117" s="81"/>
      <c r="Z117" s="81"/>
      <c r="AA117" s="81">
        <f t="shared" si="60"/>
        <v>1.48160993041189</v>
      </c>
      <c r="AB117" s="90">
        <v>7.19</v>
      </c>
      <c r="AC117" s="78">
        <f t="shared" si="58"/>
        <v>10.6527753996615</v>
      </c>
      <c r="AD117" s="78">
        <f t="shared" si="61"/>
        <v>76.8028600338537</v>
      </c>
      <c r="AE117" s="78">
        <f t="shared" si="62"/>
        <v>20.1971399661463</v>
      </c>
    </row>
    <row r="118" customFormat="1" spans="1:31">
      <c r="A118" s="18"/>
      <c r="B118" s="19"/>
      <c r="C118" s="20">
        <v>240223000023</v>
      </c>
      <c r="D118" s="21">
        <v>45356</v>
      </c>
      <c r="E118" s="21" t="s">
        <v>70</v>
      </c>
      <c r="F118" s="19" t="s">
        <v>70</v>
      </c>
      <c r="G118" s="19" t="s">
        <v>150</v>
      </c>
      <c r="H118" s="19">
        <v>46</v>
      </c>
      <c r="I118" s="41">
        <v>2912</v>
      </c>
      <c r="J118" s="53"/>
      <c r="K118" s="51"/>
      <c r="L118" s="53"/>
      <c r="M118" s="44"/>
      <c r="N118" s="45"/>
      <c r="O118" s="46">
        <f t="shared" si="57"/>
        <v>2912</v>
      </c>
      <c r="P118" s="48"/>
      <c r="Q118" s="48"/>
      <c r="R118" s="78">
        <f t="shared" ref="R118:R158" si="63">SUM(175610/5317)*H118</f>
        <v>1519.28907278541</v>
      </c>
      <c r="S118" s="78"/>
      <c r="T118" s="79">
        <f t="shared" ref="T118:T158" si="64">SUM(250/5317)*H118</f>
        <v>2.16287380101561</v>
      </c>
      <c r="U118" s="78"/>
      <c r="V118" s="78"/>
      <c r="W118" s="80">
        <f t="shared" si="59"/>
        <v>1521.45194658642</v>
      </c>
      <c r="X118" s="81">
        <f t="shared" ref="X118:X158" si="65">SUM(3938.86/5317)*H118</f>
        <v>34.0770283994734</v>
      </c>
      <c r="Y118" s="81"/>
      <c r="Z118" s="81"/>
      <c r="AA118" s="81">
        <f t="shared" si="60"/>
        <v>34.0770283994734</v>
      </c>
      <c r="AB118" s="90">
        <v>7.19</v>
      </c>
      <c r="AC118" s="78">
        <f t="shared" si="58"/>
        <v>245.013834192214</v>
      </c>
      <c r="AD118" s="78">
        <f t="shared" si="61"/>
        <v>1766.46578077863</v>
      </c>
      <c r="AE118" s="78">
        <f t="shared" si="62"/>
        <v>1145.53421922137</v>
      </c>
    </row>
    <row r="119" customFormat="1" spans="1:31">
      <c r="A119" s="18"/>
      <c r="B119" s="19"/>
      <c r="C119" s="20">
        <v>240223000027</v>
      </c>
      <c r="D119" s="21">
        <v>45356</v>
      </c>
      <c r="E119" s="21" t="s">
        <v>44</v>
      </c>
      <c r="F119" s="19" t="s">
        <v>45</v>
      </c>
      <c r="G119" s="19" t="s">
        <v>122</v>
      </c>
      <c r="H119" s="19">
        <v>52</v>
      </c>
      <c r="I119" s="49"/>
      <c r="J119" s="50">
        <v>386152</v>
      </c>
      <c r="K119" s="51"/>
      <c r="L119" s="50">
        <f>SUM(J119/M119)</f>
        <v>1136.04189344238</v>
      </c>
      <c r="M119" s="52">
        <v>339.91</v>
      </c>
      <c r="N119" s="45">
        <v>7.19</v>
      </c>
      <c r="O119" s="46">
        <f>SUM(M119*N119)</f>
        <v>2443.9529</v>
      </c>
      <c r="P119" s="48"/>
      <c r="Q119" s="48"/>
      <c r="R119" s="78">
        <f t="shared" si="63"/>
        <v>1717.45721271394</v>
      </c>
      <c r="S119" s="78"/>
      <c r="T119" s="79">
        <f t="shared" si="64"/>
        <v>2.44498777506112</v>
      </c>
      <c r="U119" s="78"/>
      <c r="V119" s="78"/>
      <c r="W119" s="80">
        <f t="shared" si="59"/>
        <v>1719.902200489</v>
      </c>
      <c r="X119" s="81">
        <f t="shared" si="65"/>
        <v>38.521858190709</v>
      </c>
      <c r="Y119" s="81"/>
      <c r="Z119" s="81"/>
      <c r="AA119" s="81">
        <f t="shared" si="60"/>
        <v>38.521858190709</v>
      </c>
      <c r="AB119" s="90">
        <v>7.19</v>
      </c>
      <c r="AC119" s="78">
        <f t="shared" si="58"/>
        <v>276.972160391198</v>
      </c>
      <c r="AD119" s="78">
        <f t="shared" si="61"/>
        <v>1996.8743608802</v>
      </c>
      <c r="AE119" s="78">
        <f t="shared" si="62"/>
        <v>447.078539119804</v>
      </c>
    </row>
    <row r="120" customFormat="1" spans="1:31">
      <c r="A120" s="18"/>
      <c r="B120" s="19"/>
      <c r="C120" s="20">
        <v>240224000003</v>
      </c>
      <c r="D120" s="21">
        <v>45356</v>
      </c>
      <c r="E120" s="21" t="s">
        <v>70</v>
      </c>
      <c r="F120" s="19" t="s">
        <v>70</v>
      </c>
      <c r="G120" s="19" t="s">
        <v>88</v>
      </c>
      <c r="H120" s="19">
        <v>12</v>
      </c>
      <c r="I120" s="41">
        <v>534</v>
      </c>
      <c r="J120" s="53"/>
      <c r="K120" s="51"/>
      <c r="L120" s="53"/>
      <c r="M120" s="44"/>
      <c r="N120" s="45"/>
      <c r="O120" s="46">
        <f t="shared" ref="O120:O125" si="66">SUM(I120)</f>
        <v>534</v>
      </c>
      <c r="P120" s="48"/>
      <c r="Q120" s="48"/>
      <c r="R120" s="78">
        <f t="shared" si="63"/>
        <v>396.336279857062</v>
      </c>
      <c r="S120" s="78"/>
      <c r="T120" s="79">
        <f t="shared" si="64"/>
        <v>0.564227948091029</v>
      </c>
      <c r="U120" s="78"/>
      <c r="V120" s="78"/>
      <c r="W120" s="80">
        <f t="shared" si="59"/>
        <v>396.900507805153</v>
      </c>
      <c r="X120" s="81">
        <f t="shared" si="65"/>
        <v>8.88965958247132</v>
      </c>
      <c r="Y120" s="81"/>
      <c r="Z120" s="81"/>
      <c r="AA120" s="81">
        <f t="shared" si="60"/>
        <v>8.88965958247132</v>
      </c>
      <c r="AB120" s="90">
        <v>7.19</v>
      </c>
      <c r="AC120" s="78">
        <f t="shared" si="58"/>
        <v>63.9166523979688</v>
      </c>
      <c r="AD120" s="78">
        <f t="shared" si="61"/>
        <v>460.817160203122</v>
      </c>
      <c r="AE120" s="78">
        <f t="shared" si="62"/>
        <v>73.1828397968779</v>
      </c>
    </row>
    <row r="121" customFormat="1" spans="1:31">
      <c r="A121" s="18"/>
      <c r="B121" s="19"/>
      <c r="C121" s="20">
        <v>240224000006</v>
      </c>
      <c r="D121" s="21">
        <v>45356</v>
      </c>
      <c r="E121" s="21" t="s">
        <v>41</v>
      </c>
      <c r="F121" s="19" t="s">
        <v>42</v>
      </c>
      <c r="G121" s="19" t="s">
        <v>62</v>
      </c>
      <c r="H121" s="19">
        <v>2</v>
      </c>
      <c r="I121" s="41">
        <v>116</v>
      </c>
      <c r="J121" s="42"/>
      <c r="K121" s="43"/>
      <c r="L121" s="42"/>
      <c r="M121" s="44"/>
      <c r="N121" s="45"/>
      <c r="O121" s="46">
        <f t="shared" si="66"/>
        <v>116</v>
      </c>
      <c r="P121" s="48"/>
      <c r="Q121" s="48"/>
      <c r="R121" s="78">
        <f t="shared" si="63"/>
        <v>66.0560466428437</v>
      </c>
      <c r="S121" s="78"/>
      <c r="T121" s="79">
        <f t="shared" si="64"/>
        <v>0.0940379913485048</v>
      </c>
      <c r="U121" s="78"/>
      <c r="V121" s="78"/>
      <c r="W121" s="80">
        <f t="shared" si="59"/>
        <v>66.1500846341922</v>
      </c>
      <c r="X121" s="81">
        <f t="shared" si="65"/>
        <v>1.48160993041189</v>
      </c>
      <c r="Y121" s="81"/>
      <c r="Z121" s="81"/>
      <c r="AA121" s="81">
        <f t="shared" si="60"/>
        <v>1.48160993041189</v>
      </c>
      <c r="AB121" s="90">
        <v>7.19</v>
      </c>
      <c r="AC121" s="78">
        <f t="shared" si="58"/>
        <v>10.6527753996615</v>
      </c>
      <c r="AD121" s="78">
        <f t="shared" si="61"/>
        <v>76.8028600338537</v>
      </c>
      <c r="AE121" s="78">
        <f t="shared" si="62"/>
        <v>39.1971399661463</v>
      </c>
    </row>
    <row r="122" customFormat="1" spans="1:31">
      <c r="A122" s="18"/>
      <c r="B122" s="19"/>
      <c r="C122" s="20">
        <v>240224000008</v>
      </c>
      <c r="D122" s="21">
        <v>45356</v>
      </c>
      <c r="E122" s="21" t="s">
        <v>41</v>
      </c>
      <c r="F122" s="19" t="s">
        <v>42</v>
      </c>
      <c r="G122" s="19" t="s">
        <v>151</v>
      </c>
      <c r="H122" s="19">
        <v>2</v>
      </c>
      <c r="I122" s="46"/>
      <c r="J122" s="54">
        <v>22000</v>
      </c>
      <c r="K122" s="55"/>
      <c r="L122" s="50">
        <f>SUM(J122/M122)</f>
        <v>1605.83941605839</v>
      </c>
      <c r="M122" s="52">
        <v>13.7</v>
      </c>
      <c r="N122" s="45">
        <v>7.19</v>
      </c>
      <c r="O122" s="46">
        <f>SUM(M122*N122)</f>
        <v>98.503</v>
      </c>
      <c r="P122" s="48"/>
      <c r="Q122" s="48"/>
      <c r="R122" s="78">
        <f t="shared" si="63"/>
        <v>66.0560466428437</v>
      </c>
      <c r="S122" s="78"/>
      <c r="T122" s="79">
        <f t="shared" si="64"/>
        <v>0.0940379913485048</v>
      </c>
      <c r="U122" s="78"/>
      <c r="V122" s="78"/>
      <c r="W122" s="80">
        <f t="shared" si="59"/>
        <v>66.1500846341922</v>
      </c>
      <c r="X122" s="81">
        <f t="shared" si="65"/>
        <v>1.48160993041189</v>
      </c>
      <c r="Y122" s="81"/>
      <c r="Z122" s="81"/>
      <c r="AA122" s="81">
        <f t="shared" si="60"/>
        <v>1.48160993041189</v>
      </c>
      <c r="AB122" s="90">
        <v>7.19</v>
      </c>
      <c r="AC122" s="78">
        <f t="shared" si="58"/>
        <v>10.6527753996615</v>
      </c>
      <c r="AD122" s="78">
        <f t="shared" si="61"/>
        <v>76.8028600338537</v>
      </c>
      <c r="AE122" s="78">
        <f t="shared" si="62"/>
        <v>21.7001399661463</v>
      </c>
    </row>
    <row r="123" customFormat="1" spans="1:31">
      <c r="A123" s="18"/>
      <c r="B123" s="19"/>
      <c r="C123" s="20">
        <v>240226000001</v>
      </c>
      <c r="D123" s="21">
        <v>45356</v>
      </c>
      <c r="E123" s="21" t="s">
        <v>37</v>
      </c>
      <c r="F123" s="19" t="s">
        <v>38</v>
      </c>
      <c r="G123" s="19" t="s">
        <v>39</v>
      </c>
      <c r="H123" s="19">
        <v>9</v>
      </c>
      <c r="I123" s="41">
        <v>402</v>
      </c>
      <c r="J123" s="42"/>
      <c r="K123" s="43"/>
      <c r="L123" s="42"/>
      <c r="M123" s="44"/>
      <c r="N123" s="45"/>
      <c r="O123" s="46">
        <f t="shared" si="66"/>
        <v>402</v>
      </c>
      <c r="P123" s="48"/>
      <c r="Q123" s="48"/>
      <c r="R123" s="78">
        <f t="shared" si="63"/>
        <v>297.252209892797</v>
      </c>
      <c r="S123" s="78"/>
      <c r="T123" s="79">
        <f t="shared" si="64"/>
        <v>0.423170961068272</v>
      </c>
      <c r="U123" s="78"/>
      <c r="V123" s="78"/>
      <c r="W123" s="80">
        <f t="shared" si="59"/>
        <v>297.675380853865</v>
      </c>
      <c r="X123" s="81">
        <f t="shared" si="65"/>
        <v>6.66724468685349</v>
      </c>
      <c r="Y123" s="81"/>
      <c r="Z123" s="81"/>
      <c r="AA123" s="81">
        <f t="shared" si="60"/>
        <v>6.66724468685349</v>
      </c>
      <c r="AB123" s="90">
        <v>7.19</v>
      </c>
      <c r="AC123" s="78">
        <f t="shared" si="58"/>
        <v>47.9374892984766</v>
      </c>
      <c r="AD123" s="78">
        <f t="shared" si="61"/>
        <v>345.612870152342</v>
      </c>
      <c r="AE123" s="78">
        <f t="shared" si="62"/>
        <v>56.3871298476585</v>
      </c>
    </row>
    <row r="124" customFormat="1" spans="1:31">
      <c r="A124" s="18"/>
      <c r="B124" s="19"/>
      <c r="C124" s="20">
        <v>240226000008</v>
      </c>
      <c r="D124" s="21">
        <v>45356</v>
      </c>
      <c r="E124" s="21" t="s">
        <v>47</v>
      </c>
      <c r="F124" s="19" t="s">
        <v>48</v>
      </c>
      <c r="G124" s="19" t="s">
        <v>152</v>
      </c>
      <c r="H124" s="19">
        <v>0.62</v>
      </c>
      <c r="I124" s="41">
        <v>50</v>
      </c>
      <c r="J124" s="42"/>
      <c r="K124" s="43"/>
      <c r="L124" s="42"/>
      <c r="M124" s="44"/>
      <c r="N124" s="45"/>
      <c r="O124" s="46">
        <f t="shared" si="66"/>
        <v>50</v>
      </c>
      <c r="P124" s="48"/>
      <c r="Q124" s="48"/>
      <c r="R124" s="78">
        <f t="shared" si="63"/>
        <v>20.4773744592815</v>
      </c>
      <c r="S124" s="78"/>
      <c r="T124" s="79">
        <f t="shared" si="64"/>
        <v>0.0291517773180365</v>
      </c>
      <c r="U124" s="78"/>
      <c r="V124" s="78"/>
      <c r="W124" s="80">
        <f t="shared" si="59"/>
        <v>20.5065262365996</v>
      </c>
      <c r="X124" s="81">
        <f t="shared" si="65"/>
        <v>0.459299078427685</v>
      </c>
      <c r="Y124" s="81"/>
      <c r="Z124" s="81"/>
      <c r="AA124" s="81">
        <f t="shared" si="60"/>
        <v>0.459299078427685</v>
      </c>
      <c r="AB124" s="90">
        <v>7.19</v>
      </c>
      <c r="AC124" s="78">
        <f t="shared" si="58"/>
        <v>3.30236037389505</v>
      </c>
      <c r="AD124" s="78">
        <f t="shared" si="61"/>
        <v>23.8088866104946</v>
      </c>
      <c r="AE124" s="78">
        <f t="shared" si="62"/>
        <v>26.1911133895054</v>
      </c>
    </row>
    <row r="125" customFormat="1" spans="1:31">
      <c r="A125" s="18"/>
      <c r="B125" s="19"/>
      <c r="C125" s="20">
        <v>240226000011</v>
      </c>
      <c r="D125" s="21">
        <v>45356</v>
      </c>
      <c r="E125" s="21" t="s">
        <v>44</v>
      </c>
      <c r="F125" s="19" t="s">
        <v>45</v>
      </c>
      <c r="G125" s="19" t="s">
        <v>153</v>
      </c>
      <c r="H125" s="19">
        <v>259</v>
      </c>
      <c r="I125" s="41">
        <v>10478</v>
      </c>
      <c r="J125" s="53"/>
      <c r="K125" s="51"/>
      <c r="L125" s="53"/>
      <c r="M125" s="44"/>
      <c r="N125" s="45"/>
      <c r="O125" s="46">
        <f t="shared" si="66"/>
        <v>10478</v>
      </c>
      <c r="P125" s="48"/>
      <c r="Q125" s="48"/>
      <c r="R125" s="78">
        <f t="shared" si="63"/>
        <v>8554.25804024826</v>
      </c>
      <c r="S125" s="78"/>
      <c r="T125" s="79">
        <f t="shared" si="64"/>
        <v>12.1779198796314</v>
      </c>
      <c r="U125" s="78"/>
      <c r="V125" s="78"/>
      <c r="W125" s="80">
        <f t="shared" si="59"/>
        <v>8566.43596012789</v>
      </c>
      <c r="X125" s="81">
        <f t="shared" si="65"/>
        <v>191.868485988339</v>
      </c>
      <c r="Y125" s="81"/>
      <c r="Z125" s="81"/>
      <c r="AA125" s="81">
        <f t="shared" si="60"/>
        <v>191.868485988339</v>
      </c>
      <c r="AB125" s="90">
        <v>7.19</v>
      </c>
      <c r="AC125" s="78">
        <f t="shared" si="58"/>
        <v>1379.53441425616</v>
      </c>
      <c r="AD125" s="78">
        <f t="shared" si="61"/>
        <v>9945.97037438405</v>
      </c>
      <c r="AE125" s="78">
        <f t="shared" si="62"/>
        <v>532.029625615949</v>
      </c>
    </row>
    <row r="126" customFormat="1" spans="1:31">
      <c r="A126" s="18"/>
      <c r="B126" s="19"/>
      <c r="C126" s="20">
        <v>240226000012</v>
      </c>
      <c r="D126" s="21">
        <v>45356</v>
      </c>
      <c r="E126" s="21" t="s">
        <v>47</v>
      </c>
      <c r="F126" s="19" t="s">
        <v>48</v>
      </c>
      <c r="G126" s="19" t="s">
        <v>154</v>
      </c>
      <c r="H126" s="19">
        <v>9.5</v>
      </c>
      <c r="I126" s="92">
        <v>492</v>
      </c>
      <c r="J126" s="54"/>
      <c r="K126" s="93"/>
      <c r="L126" s="54"/>
      <c r="M126" s="44"/>
      <c r="N126" s="45"/>
      <c r="O126" s="46">
        <f>SUBTOTAL(9,I126)</f>
        <v>492</v>
      </c>
      <c r="P126" s="48"/>
      <c r="Q126" s="48"/>
      <c r="R126" s="78">
        <f t="shared" si="63"/>
        <v>313.766221553508</v>
      </c>
      <c r="S126" s="78"/>
      <c r="T126" s="79">
        <f t="shared" si="64"/>
        <v>0.446680458905398</v>
      </c>
      <c r="U126" s="78"/>
      <c r="V126" s="78"/>
      <c r="W126" s="80">
        <f t="shared" si="59"/>
        <v>314.212902012413</v>
      </c>
      <c r="X126" s="81">
        <f t="shared" si="65"/>
        <v>7.03764716945646</v>
      </c>
      <c r="Y126" s="81"/>
      <c r="Z126" s="81"/>
      <c r="AA126" s="81">
        <f t="shared" si="60"/>
        <v>7.03764716945646</v>
      </c>
      <c r="AB126" s="90">
        <v>7.19</v>
      </c>
      <c r="AC126" s="78">
        <f t="shared" si="58"/>
        <v>50.600683148392</v>
      </c>
      <c r="AD126" s="78">
        <f t="shared" si="61"/>
        <v>364.813585160805</v>
      </c>
      <c r="AE126" s="78">
        <f t="shared" si="62"/>
        <v>127.186414839195</v>
      </c>
    </row>
    <row r="127" customFormat="1" spans="1:31">
      <c r="A127" s="18"/>
      <c r="B127" s="19"/>
      <c r="C127" s="20">
        <v>240226000013</v>
      </c>
      <c r="D127" s="21">
        <v>45356</v>
      </c>
      <c r="E127" s="21" t="s">
        <v>44</v>
      </c>
      <c r="F127" s="19" t="s">
        <v>45</v>
      </c>
      <c r="G127" s="19" t="s">
        <v>155</v>
      </c>
      <c r="H127" s="19">
        <v>14</v>
      </c>
      <c r="I127" s="41">
        <v>616</v>
      </c>
      <c r="J127" s="53"/>
      <c r="K127" s="51"/>
      <c r="L127" s="53"/>
      <c r="M127" s="44"/>
      <c r="N127" s="45"/>
      <c r="O127" s="46">
        <f t="shared" ref="O127:O131" si="67">SUM(I127)</f>
        <v>616</v>
      </c>
      <c r="P127" s="48"/>
      <c r="Q127" s="48"/>
      <c r="R127" s="78">
        <f t="shared" si="63"/>
        <v>462.392326499906</v>
      </c>
      <c r="S127" s="78"/>
      <c r="T127" s="79">
        <f t="shared" si="64"/>
        <v>0.658265939439534</v>
      </c>
      <c r="U127" s="78"/>
      <c r="V127" s="78"/>
      <c r="W127" s="80">
        <f t="shared" si="59"/>
        <v>463.050592439346</v>
      </c>
      <c r="X127" s="81">
        <f t="shared" si="65"/>
        <v>10.3712695128832</v>
      </c>
      <c r="Y127" s="81"/>
      <c r="Z127" s="81"/>
      <c r="AA127" s="81">
        <f t="shared" si="60"/>
        <v>10.3712695128832</v>
      </c>
      <c r="AB127" s="90">
        <v>7.19</v>
      </c>
      <c r="AC127" s="78">
        <f t="shared" si="58"/>
        <v>74.5694277976302</v>
      </c>
      <c r="AD127" s="78">
        <f t="shared" si="61"/>
        <v>537.620020236976</v>
      </c>
      <c r="AE127" s="78">
        <f t="shared" si="62"/>
        <v>78.3799797630243</v>
      </c>
    </row>
    <row r="128" customFormat="1" spans="1:31">
      <c r="A128" s="18"/>
      <c r="B128" s="19"/>
      <c r="C128" s="20">
        <v>240226000016</v>
      </c>
      <c r="D128" s="21">
        <v>45356</v>
      </c>
      <c r="E128" s="21" t="s">
        <v>44</v>
      </c>
      <c r="F128" s="19" t="s">
        <v>45</v>
      </c>
      <c r="G128" s="19" t="s">
        <v>156</v>
      </c>
      <c r="H128" s="19">
        <v>0.62</v>
      </c>
      <c r="I128" s="41">
        <v>56</v>
      </c>
      <c r="J128" s="42"/>
      <c r="K128" s="43"/>
      <c r="L128" s="42"/>
      <c r="M128" s="44"/>
      <c r="N128" s="45"/>
      <c r="O128" s="46">
        <f t="shared" si="67"/>
        <v>56</v>
      </c>
      <c r="P128" s="48"/>
      <c r="Q128" s="48"/>
      <c r="R128" s="78">
        <f t="shared" si="63"/>
        <v>20.4773744592815</v>
      </c>
      <c r="S128" s="78"/>
      <c r="T128" s="79">
        <f t="shared" si="64"/>
        <v>0.0291517773180365</v>
      </c>
      <c r="U128" s="78"/>
      <c r="V128" s="78"/>
      <c r="W128" s="80">
        <f t="shared" si="59"/>
        <v>20.5065262365996</v>
      </c>
      <c r="X128" s="81">
        <f t="shared" si="65"/>
        <v>0.459299078427685</v>
      </c>
      <c r="Y128" s="81"/>
      <c r="Z128" s="81"/>
      <c r="AA128" s="81">
        <f t="shared" si="60"/>
        <v>0.459299078427685</v>
      </c>
      <c r="AB128" s="90">
        <v>7.19</v>
      </c>
      <c r="AC128" s="78">
        <f t="shared" si="58"/>
        <v>3.30236037389505</v>
      </c>
      <c r="AD128" s="78">
        <f t="shared" si="61"/>
        <v>23.8088866104946</v>
      </c>
      <c r="AE128" s="78">
        <f t="shared" si="62"/>
        <v>32.1911133895054</v>
      </c>
    </row>
    <row r="129" customFormat="1" spans="1:31">
      <c r="A129" s="18"/>
      <c r="B129" s="19"/>
      <c r="C129" s="20">
        <v>240226000017</v>
      </c>
      <c r="D129" s="21">
        <v>45356</v>
      </c>
      <c r="E129" s="21" t="s">
        <v>44</v>
      </c>
      <c r="F129" s="19" t="s">
        <v>45</v>
      </c>
      <c r="G129" s="19" t="s">
        <v>124</v>
      </c>
      <c r="H129" s="19">
        <v>353.5</v>
      </c>
      <c r="I129" s="49"/>
      <c r="J129" s="50">
        <v>3310881</v>
      </c>
      <c r="K129" s="51"/>
      <c r="L129" s="50">
        <f t="shared" ref="L129:L133" si="68">SUM(J129/M129)</f>
        <v>1603.37102593283</v>
      </c>
      <c r="M129" s="52">
        <v>2064.95</v>
      </c>
      <c r="N129" s="45">
        <v>7.19</v>
      </c>
      <c r="O129" s="46">
        <f t="shared" ref="O129:O133" si="69">SUM(M129*N129)</f>
        <v>14846.9905</v>
      </c>
      <c r="P129" s="48"/>
      <c r="Q129" s="48"/>
      <c r="R129" s="78">
        <f t="shared" si="63"/>
        <v>11675.4062441226</v>
      </c>
      <c r="S129" s="78"/>
      <c r="T129" s="79">
        <f t="shared" si="64"/>
        <v>16.6212149708482</v>
      </c>
      <c r="U129" s="78">
        <v>707</v>
      </c>
      <c r="V129" s="78"/>
      <c r="W129" s="80">
        <f t="shared" si="59"/>
        <v>12399.0274590935</v>
      </c>
      <c r="X129" s="81">
        <f t="shared" si="65"/>
        <v>261.874555200301</v>
      </c>
      <c r="Y129" s="81"/>
      <c r="Z129" s="81"/>
      <c r="AA129" s="81">
        <f t="shared" si="60"/>
        <v>261.874555200301</v>
      </c>
      <c r="AB129" s="90">
        <v>7.19</v>
      </c>
      <c r="AC129" s="78">
        <f t="shared" si="58"/>
        <v>1882.87805189016</v>
      </c>
      <c r="AD129" s="78">
        <f t="shared" si="61"/>
        <v>14281.9055109836</v>
      </c>
      <c r="AE129" s="78">
        <f t="shared" si="62"/>
        <v>565.084989016363</v>
      </c>
    </row>
    <row r="130" customFormat="1" spans="1:31">
      <c r="A130" s="18"/>
      <c r="B130" s="19"/>
      <c r="C130" s="20">
        <v>240226000019</v>
      </c>
      <c r="D130" s="21">
        <v>45356</v>
      </c>
      <c r="E130" s="21" t="s">
        <v>44</v>
      </c>
      <c r="F130" s="19" t="s">
        <v>45</v>
      </c>
      <c r="G130" s="19" t="s">
        <v>157</v>
      </c>
      <c r="H130" s="19">
        <v>4</v>
      </c>
      <c r="I130" s="49"/>
      <c r="J130" s="50">
        <v>37464</v>
      </c>
      <c r="K130" s="51"/>
      <c r="L130" s="50">
        <f t="shared" si="68"/>
        <v>1603.76712328767</v>
      </c>
      <c r="M130" s="52">
        <v>23.36</v>
      </c>
      <c r="N130" s="45">
        <v>7.19</v>
      </c>
      <c r="O130" s="46">
        <f t="shared" si="69"/>
        <v>167.9584</v>
      </c>
      <c r="P130" s="48"/>
      <c r="Q130" s="48"/>
      <c r="R130" s="78">
        <f t="shared" si="63"/>
        <v>132.112093285687</v>
      </c>
      <c r="S130" s="78"/>
      <c r="T130" s="79">
        <f t="shared" si="64"/>
        <v>0.18807598269701</v>
      </c>
      <c r="U130" s="78"/>
      <c r="V130" s="78"/>
      <c r="W130" s="80">
        <f t="shared" si="59"/>
        <v>132.300169268384</v>
      </c>
      <c r="X130" s="81">
        <f t="shared" si="65"/>
        <v>2.96321986082377</v>
      </c>
      <c r="Y130" s="81"/>
      <c r="Z130" s="81"/>
      <c r="AA130" s="81">
        <f t="shared" si="60"/>
        <v>2.96321986082377</v>
      </c>
      <c r="AB130" s="90">
        <v>7.19</v>
      </c>
      <c r="AC130" s="78">
        <f t="shared" si="58"/>
        <v>21.3055507993229</v>
      </c>
      <c r="AD130" s="78">
        <f t="shared" si="61"/>
        <v>153.605720067707</v>
      </c>
      <c r="AE130" s="78">
        <f t="shared" si="62"/>
        <v>14.3526799322927</v>
      </c>
    </row>
    <row r="131" customFormat="1" spans="1:31">
      <c r="A131" s="18"/>
      <c r="B131" s="19"/>
      <c r="C131" s="20">
        <v>240226000022</v>
      </c>
      <c r="D131" s="21">
        <v>45356</v>
      </c>
      <c r="E131" s="21" t="s">
        <v>44</v>
      </c>
      <c r="F131" s="19" t="s">
        <v>45</v>
      </c>
      <c r="G131" s="19" t="s">
        <v>100</v>
      </c>
      <c r="H131" s="19">
        <v>192</v>
      </c>
      <c r="I131" s="41">
        <v>9524</v>
      </c>
      <c r="J131" s="53"/>
      <c r="K131" s="51"/>
      <c r="L131" s="53"/>
      <c r="M131" s="44"/>
      <c r="N131" s="45"/>
      <c r="O131" s="46">
        <f t="shared" si="67"/>
        <v>9524</v>
      </c>
      <c r="P131" s="48"/>
      <c r="Q131" s="48"/>
      <c r="R131" s="78">
        <f t="shared" si="63"/>
        <v>6341.380477713</v>
      </c>
      <c r="S131" s="78"/>
      <c r="T131" s="79">
        <f t="shared" si="64"/>
        <v>9.02764716945646</v>
      </c>
      <c r="U131" s="78"/>
      <c r="V131" s="78"/>
      <c r="W131" s="80">
        <f t="shared" si="59"/>
        <v>6350.40812488245</v>
      </c>
      <c r="X131" s="81">
        <f t="shared" si="65"/>
        <v>142.234553319541</v>
      </c>
      <c r="Y131" s="81"/>
      <c r="Z131" s="81"/>
      <c r="AA131" s="81">
        <f t="shared" si="60"/>
        <v>142.234553319541</v>
      </c>
      <c r="AB131" s="90">
        <v>7.19</v>
      </c>
      <c r="AC131" s="78">
        <f t="shared" si="58"/>
        <v>1022.6664383675</v>
      </c>
      <c r="AD131" s="78">
        <f t="shared" si="61"/>
        <v>7373.07456324995</v>
      </c>
      <c r="AE131" s="78">
        <f t="shared" si="62"/>
        <v>2150.92543675005</v>
      </c>
    </row>
    <row r="132" customFormat="1" spans="1:31">
      <c r="A132" s="18"/>
      <c r="B132" s="19"/>
      <c r="C132" s="20">
        <v>240226000024</v>
      </c>
      <c r="D132" s="21">
        <v>45356</v>
      </c>
      <c r="E132" s="21" t="s">
        <v>44</v>
      </c>
      <c r="F132" s="19" t="s">
        <v>45</v>
      </c>
      <c r="G132" s="19" t="s">
        <v>158</v>
      </c>
      <c r="H132" s="19">
        <v>6.5</v>
      </c>
      <c r="I132" s="49"/>
      <c r="J132" s="50">
        <v>74036</v>
      </c>
      <c r="K132" s="51"/>
      <c r="L132" s="50">
        <f t="shared" si="68"/>
        <v>1603.5520901018</v>
      </c>
      <c r="M132" s="52">
        <v>46.17</v>
      </c>
      <c r="N132" s="45">
        <v>7.19</v>
      </c>
      <c r="O132" s="46">
        <f t="shared" si="69"/>
        <v>331.9623</v>
      </c>
      <c r="P132" s="48"/>
      <c r="Q132" s="48"/>
      <c r="R132" s="78">
        <f t="shared" si="63"/>
        <v>214.682151589242</v>
      </c>
      <c r="S132" s="78"/>
      <c r="T132" s="79">
        <f t="shared" si="64"/>
        <v>0.305623471882641</v>
      </c>
      <c r="U132" s="78">
        <v>40</v>
      </c>
      <c r="V132" s="78"/>
      <c r="W132" s="80">
        <f t="shared" si="59"/>
        <v>254.987775061125</v>
      </c>
      <c r="X132" s="81">
        <f t="shared" si="65"/>
        <v>4.81523227383863</v>
      </c>
      <c r="Y132" s="81"/>
      <c r="Z132" s="81"/>
      <c r="AA132" s="81">
        <f t="shared" si="60"/>
        <v>4.81523227383863</v>
      </c>
      <c r="AB132" s="90">
        <v>7.19</v>
      </c>
      <c r="AC132" s="78">
        <f t="shared" si="58"/>
        <v>34.6215200488998</v>
      </c>
      <c r="AD132" s="78">
        <f t="shared" si="61"/>
        <v>289.609295110025</v>
      </c>
      <c r="AE132" s="78">
        <f t="shared" si="62"/>
        <v>42.3530048899755</v>
      </c>
    </row>
    <row r="133" customFormat="1" spans="1:31">
      <c r="A133" s="18"/>
      <c r="B133" s="19"/>
      <c r="C133" s="20">
        <v>240226000031</v>
      </c>
      <c r="D133" s="21">
        <v>45356</v>
      </c>
      <c r="E133" s="21" t="s">
        <v>47</v>
      </c>
      <c r="F133" s="19" t="s">
        <v>48</v>
      </c>
      <c r="G133" s="19" t="s">
        <v>140</v>
      </c>
      <c r="H133" s="19">
        <v>13.5</v>
      </c>
      <c r="I133" s="49"/>
      <c r="J133" s="50">
        <v>132462</v>
      </c>
      <c r="K133" s="51"/>
      <c r="L133" s="50">
        <f t="shared" si="68"/>
        <v>1603.4620505992</v>
      </c>
      <c r="M133" s="52">
        <v>82.61</v>
      </c>
      <c r="N133" s="45">
        <v>7.19</v>
      </c>
      <c r="O133" s="46">
        <f t="shared" si="69"/>
        <v>593.9659</v>
      </c>
      <c r="P133" s="48"/>
      <c r="Q133" s="48"/>
      <c r="R133" s="78">
        <f t="shared" si="63"/>
        <v>445.878314839195</v>
      </c>
      <c r="S133" s="78"/>
      <c r="T133" s="79">
        <f t="shared" si="64"/>
        <v>0.634756441602407</v>
      </c>
      <c r="U133" s="78"/>
      <c r="V133" s="78"/>
      <c r="W133" s="80">
        <f t="shared" si="59"/>
        <v>446.513071280797</v>
      </c>
      <c r="X133" s="81">
        <f t="shared" si="65"/>
        <v>10.0008670302802</v>
      </c>
      <c r="Y133" s="81"/>
      <c r="Z133" s="81"/>
      <c r="AA133" s="81">
        <f t="shared" si="60"/>
        <v>10.0008670302802</v>
      </c>
      <c r="AB133" s="90">
        <v>7.19</v>
      </c>
      <c r="AC133" s="78">
        <f t="shared" si="58"/>
        <v>71.9062339477149</v>
      </c>
      <c r="AD133" s="78">
        <f t="shared" si="61"/>
        <v>518.419305228512</v>
      </c>
      <c r="AE133" s="78">
        <f t="shared" si="62"/>
        <v>75.5465947714877</v>
      </c>
    </row>
    <row r="134" customFormat="1" spans="1:31">
      <c r="A134" s="18"/>
      <c r="B134" s="19"/>
      <c r="C134" s="20">
        <v>240226000032</v>
      </c>
      <c r="D134" s="21">
        <v>45356</v>
      </c>
      <c r="E134" s="21" t="s">
        <v>37</v>
      </c>
      <c r="F134" s="19" t="s">
        <v>38</v>
      </c>
      <c r="G134" s="19" t="s">
        <v>159</v>
      </c>
      <c r="H134" s="19">
        <v>0.6</v>
      </c>
      <c r="I134" s="41">
        <v>54</v>
      </c>
      <c r="J134" s="53"/>
      <c r="K134" s="51"/>
      <c r="L134" s="53"/>
      <c r="M134" s="44"/>
      <c r="N134" s="45"/>
      <c r="O134" s="46">
        <f t="shared" ref="O134:O138" si="70">SUM(I134)</f>
        <v>54</v>
      </c>
      <c r="P134" s="48"/>
      <c r="Q134" s="48"/>
      <c r="R134" s="78">
        <f t="shared" si="63"/>
        <v>19.8168139928531</v>
      </c>
      <c r="S134" s="78"/>
      <c r="T134" s="79">
        <f t="shared" si="64"/>
        <v>0.0282113974045514</v>
      </c>
      <c r="U134" s="78"/>
      <c r="V134" s="78"/>
      <c r="W134" s="80">
        <f t="shared" si="59"/>
        <v>19.8450253902577</v>
      </c>
      <c r="X134" s="81">
        <f t="shared" si="65"/>
        <v>0.444482979123566</v>
      </c>
      <c r="Y134" s="81"/>
      <c r="Z134" s="81"/>
      <c r="AA134" s="81">
        <f t="shared" si="60"/>
        <v>0.444482979123566</v>
      </c>
      <c r="AB134" s="90">
        <v>7.19</v>
      </c>
      <c r="AC134" s="78">
        <f t="shared" si="58"/>
        <v>3.19583261989844</v>
      </c>
      <c r="AD134" s="78">
        <f t="shared" si="61"/>
        <v>23.0408580101561</v>
      </c>
      <c r="AE134" s="78">
        <f t="shared" si="62"/>
        <v>30.9591419898439</v>
      </c>
    </row>
    <row r="135" customFormat="1" spans="1:31">
      <c r="A135" s="18"/>
      <c r="B135" s="19"/>
      <c r="C135" s="20">
        <v>240226000033</v>
      </c>
      <c r="D135" s="21">
        <v>45356</v>
      </c>
      <c r="E135" s="21" t="s">
        <v>44</v>
      </c>
      <c r="F135" s="19" t="s">
        <v>45</v>
      </c>
      <c r="G135" s="19" t="s">
        <v>160</v>
      </c>
      <c r="H135" s="19">
        <v>14</v>
      </c>
      <c r="I135" s="49"/>
      <c r="J135" s="50">
        <v>153424</v>
      </c>
      <c r="K135" s="51"/>
      <c r="L135" s="50">
        <f t="shared" ref="L135:L139" si="71">SUM(J135/M135)</f>
        <v>1603.51170568562</v>
      </c>
      <c r="M135" s="52">
        <v>95.68</v>
      </c>
      <c r="N135" s="45">
        <v>7.19</v>
      </c>
      <c r="O135" s="46">
        <f t="shared" ref="O135:O139" si="72">SUM(M135*N135)</f>
        <v>687.9392</v>
      </c>
      <c r="P135" s="48"/>
      <c r="Q135" s="48"/>
      <c r="R135" s="78">
        <f t="shared" si="63"/>
        <v>462.392326499906</v>
      </c>
      <c r="S135" s="78"/>
      <c r="T135" s="79">
        <f t="shared" si="64"/>
        <v>0.658265939439534</v>
      </c>
      <c r="U135" s="78"/>
      <c r="V135" s="78"/>
      <c r="W135" s="80">
        <f t="shared" si="59"/>
        <v>463.050592439346</v>
      </c>
      <c r="X135" s="81">
        <f t="shared" si="65"/>
        <v>10.3712695128832</v>
      </c>
      <c r="Y135" s="81"/>
      <c r="Z135" s="81"/>
      <c r="AA135" s="81">
        <f t="shared" si="60"/>
        <v>10.3712695128832</v>
      </c>
      <c r="AB135" s="90">
        <v>7.19</v>
      </c>
      <c r="AC135" s="78">
        <f t="shared" si="58"/>
        <v>74.5694277976302</v>
      </c>
      <c r="AD135" s="78">
        <f t="shared" si="61"/>
        <v>537.620020236976</v>
      </c>
      <c r="AE135" s="78">
        <f t="shared" si="62"/>
        <v>150.319179763024</v>
      </c>
    </row>
    <row r="136" customFormat="1" spans="1:31">
      <c r="A136" s="18"/>
      <c r="B136" s="19"/>
      <c r="C136" s="20">
        <v>240226000035</v>
      </c>
      <c r="D136" s="21">
        <v>45356</v>
      </c>
      <c r="E136" s="21" t="s">
        <v>41</v>
      </c>
      <c r="F136" s="19" t="s">
        <v>161</v>
      </c>
      <c r="G136" s="19" t="s">
        <v>162</v>
      </c>
      <c r="H136" s="19">
        <v>12</v>
      </c>
      <c r="I136" s="46"/>
      <c r="J136" s="54">
        <v>120464</v>
      </c>
      <c r="K136" s="55"/>
      <c r="L136" s="50">
        <f t="shared" si="71"/>
        <v>1600</v>
      </c>
      <c r="M136" s="52">
        <v>75.29</v>
      </c>
      <c r="N136" s="45">
        <v>7.19</v>
      </c>
      <c r="O136" s="46">
        <f t="shared" si="72"/>
        <v>541.3351</v>
      </c>
      <c r="P136" s="48"/>
      <c r="Q136" s="48"/>
      <c r="R136" s="78">
        <f t="shared" si="63"/>
        <v>396.336279857062</v>
      </c>
      <c r="S136" s="78"/>
      <c r="T136" s="79">
        <f t="shared" si="64"/>
        <v>0.564227948091029</v>
      </c>
      <c r="U136" s="78"/>
      <c r="V136" s="78"/>
      <c r="W136" s="80">
        <f t="shared" si="59"/>
        <v>396.900507805153</v>
      </c>
      <c r="X136" s="81">
        <f t="shared" si="65"/>
        <v>8.88965958247132</v>
      </c>
      <c r="Y136" s="81"/>
      <c r="Z136" s="81"/>
      <c r="AA136" s="81">
        <f t="shared" si="60"/>
        <v>8.88965958247132</v>
      </c>
      <c r="AB136" s="90">
        <v>7.19</v>
      </c>
      <c r="AC136" s="78">
        <f t="shared" si="58"/>
        <v>63.9166523979688</v>
      </c>
      <c r="AD136" s="78">
        <f t="shared" si="61"/>
        <v>460.817160203122</v>
      </c>
      <c r="AE136" s="78">
        <f t="shared" si="62"/>
        <v>80.517939796878</v>
      </c>
    </row>
    <row r="137" customFormat="1" spans="1:31">
      <c r="A137" s="18"/>
      <c r="B137" s="19"/>
      <c r="C137" s="20">
        <v>240226000036</v>
      </c>
      <c r="D137" s="21">
        <v>45356</v>
      </c>
      <c r="E137" s="21" t="s">
        <v>37</v>
      </c>
      <c r="F137" s="19" t="s">
        <v>38</v>
      </c>
      <c r="G137" s="19" t="s">
        <v>163</v>
      </c>
      <c r="H137" s="19">
        <v>1.5</v>
      </c>
      <c r="I137" s="41">
        <v>82</v>
      </c>
      <c r="J137" s="42"/>
      <c r="K137" s="43"/>
      <c r="L137" s="42"/>
      <c r="M137" s="44"/>
      <c r="N137" s="45"/>
      <c r="O137" s="46">
        <f t="shared" si="70"/>
        <v>82</v>
      </c>
      <c r="P137" s="48"/>
      <c r="Q137" s="48"/>
      <c r="R137" s="78">
        <f t="shared" si="63"/>
        <v>49.5420349821328</v>
      </c>
      <c r="S137" s="78"/>
      <c r="T137" s="79">
        <f t="shared" si="64"/>
        <v>0.0705284935113786</v>
      </c>
      <c r="U137" s="78"/>
      <c r="V137" s="78"/>
      <c r="W137" s="80">
        <f t="shared" si="59"/>
        <v>49.6125634756442</v>
      </c>
      <c r="X137" s="81">
        <f t="shared" si="65"/>
        <v>1.11120744780891</v>
      </c>
      <c r="Y137" s="81"/>
      <c r="Z137" s="81"/>
      <c r="AA137" s="81">
        <f t="shared" si="60"/>
        <v>1.11120744780891</v>
      </c>
      <c r="AB137" s="90">
        <v>7.19</v>
      </c>
      <c r="AC137" s="78">
        <f t="shared" si="58"/>
        <v>7.9895815497461</v>
      </c>
      <c r="AD137" s="78">
        <f t="shared" si="61"/>
        <v>57.6021450253903</v>
      </c>
      <c r="AE137" s="78">
        <f t="shared" si="62"/>
        <v>24.3978549746097</v>
      </c>
    </row>
    <row r="138" customFormat="1" spans="1:31">
      <c r="A138" s="18"/>
      <c r="B138" s="19"/>
      <c r="C138" s="22">
        <v>240226000040</v>
      </c>
      <c r="D138" s="23">
        <v>45356</v>
      </c>
      <c r="E138" s="21" t="s">
        <v>44</v>
      </c>
      <c r="F138" s="24" t="s">
        <v>45</v>
      </c>
      <c r="G138" s="24" t="s">
        <v>164</v>
      </c>
      <c r="H138" s="24">
        <v>3.5</v>
      </c>
      <c r="I138" s="41">
        <v>211.5</v>
      </c>
      <c r="J138" s="53"/>
      <c r="K138" s="51"/>
      <c r="L138" s="53"/>
      <c r="M138" s="44"/>
      <c r="N138" s="45"/>
      <c r="O138" s="46">
        <f t="shared" si="70"/>
        <v>211.5</v>
      </c>
      <c r="P138" s="48"/>
      <c r="Q138" s="48"/>
      <c r="R138" s="78">
        <f t="shared" si="63"/>
        <v>115.598081624976</v>
      </c>
      <c r="S138" s="78"/>
      <c r="T138" s="79">
        <f t="shared" si="64"/>
        <v>0.164566484859883</v>
      </c>
      <c r="U138" s="78"/>
      <c r="V138" s="78"/>
      <c r="W138" s="80">
        <f t="shared" si="59"/>
        <v>115.762648109836</v>
      </c>
      <c r="X138" s="81">
        <f t="shared" si="65"/>
        <v>2.5928173782208</v>
      </c>
      <c r="Y138" s="81"/>
      <c r="Z138" s="81"/>
      <c r="AA138" s="81">
        <f t="shared" si="60"/>
        <v>2.5928173782208</v>
      </c>
      <c r="AB138" s="90">
        <v>7.19</v>
      </c>
      <c r="AC138" s="78">
        <f t="shared" si="58"/>
        <v>18.6423569494076</v>
      </c>
      <c r="AD138" s="78">
        <f t="shared" si="61"/>
        <v>134.405005059244</v>
      </c>
      <c r="AE138" s="78">
        <f t="shared" si="62"/>
        <v>77.0949949407561</v>
      </c>
    </row>
    <row r="139" customFormat="1" spans="1:31">
      <c r="A139" s="18"/>
      <c r="B139" s="19"/>
      <c r="C139" s="20">
        <v>240226000043</v>
      </c>
      <c r="D139" s="21">
        <v>45356</v>
      </c>
      <c r="E139" s="21" t="s">
        <v>85</v>
      </c>
      <c r="F139" s="19" t="s">
        <v>165</v>
      </c>
      <c r="G139" s="19" t="s">
        <v>166</v>
      </c>
      <c r="H139" s="19">
        <v>9</v>
      </c>
      <c r="I139" s="46"/>
      <c r="J139" s="54">
        <v>90000</v>
      </c>
      <c r="K139" s="55"/>
      <c r="L139" s="50">
        <f t="shared" si="71"/>
        <v>1587.58158405362</v>
      </c>
      <c r="M139" s="52">
        <v>56.69</v>
      </c>
      <c r="N139" s="45">
        <v>7.19</v>
      </c>
      <c r="O139" s="46">
        <f t="shared" si="72"/>
        <v>407.6011</v>
      </c>
      <c r="P139" s="48"/>
      <c r="Q139" s="48"/>
      <c r="R139" s="78">
        <f t="shared" si="63"/>
        <v>297.252209892797</v>
      </c>
      <c r="S139" s="78"/>
      <c r="T139" s="79">
        <f t="shared" si="64"/>
        <v>0.423170961068272</v>
      </c>
      <c r="U139" s="78"/>
      <c r="V139" s="78"/>
      <c r="W139" s="80">
        <f t="shared" si="59"/>
        <v>297.675380853865</v>
      </c>
      <c r="X139" s="81">
        <f t="shared" si="65"/>
        <v>6.66724468685349</v>
      </c>
      <c r="Y139" s="81"/>
      <c r="Z139" s="81"/>
      <c r="AA139" s="81">
        <f t="shared" si="60"/>
        <v>6.66724468685349</v>
      </c>
      <c r="AB139" s="90">
        <v>7.19</v>
      </c>
      <c r="AC139" s="78">
        <f t="shared" si="58"/>
        <v>47.9374892984766</v>
      </c>
      <c r="AD139" s="78">
        <f t="shared" si="61"/>
        <v>345.612870152342</v>
      </c>
      <c r="AE139" s="78">
        <f t="shared" si="62"/>
        <v>61.9882298476584</v>
      </c>
    </row>
    <row r="140" customFormat="1" spans="1:31">
      <c r="A140" s="18"/>
      <c r="B140" s="19"/>
      <c r="C140" s="20">
        <v>240226000045</v>
      </c>
      <c r="D140" s="21">
        <v>45356</v>
      </c>
      <c r="E140" s="21" t="s">
        <v>47</v>
      </c>
      <c r="F140" s="19" t="s">
        <v>48</v>
      </c>
      <c r="G140" s="19" t="s">
        <v>167</v>
      </c>
      <c r="H140" s="19">
        <v>1.5</v>
      </c>
      <c r="I140" s="41">
        <v>63</v>
      </c>
      <c r="J140" s="42"/>
      <c r="K140" s="43"/>
      <c r="L140" s="42"/>
      <c r="M140" s="44"/>
      <c r="N140" s="45"/>
      <c r="O140" s="46">
        <f t="shared" ref="O140:O143" si="73">SUM(I140)</f>
        <v>63</v>
      </c>
      <c r="P140" s="48"/>
      <c r="Q140" s="48"/>
      <c r="R140" s="78">
        <f t="shared" si="63"/>
        <v>49.5420349821328</v>
      </c>
      <c r="S140" s="78"/>
      <c r="T140" s="79">
        <f t="shared" si="64"/>
        <v>0.0705284935113786</v>
      </c>
      <c r="U140" s="78"/>
      <c r="V140" s="78"/>
      <c r="W140" s="80">
        <f t="shared" si="59"/>
        <v>49.6125634756442</v>
      </c>
      <c r="X140" s="81">
        <f t="shared" si="65"/>
        <v>1.11120744780891</v>
      </c>
      <c r="Y140" s="81"/>
      <c r="Z140" s="81"/>
      <c r="AA140" s="81">
        <f t="shared" si="60"/>
        <v>1.11120744780891</v>
      </c>
      <c r="AB140" s="90">
        <v>7.19</v>
      </c>
      <c r="AC140" s="78">
        <f t="shared" si="58"/>
        <v>7.9895815497461</v>
      </c>
      <c r="AD140" s="78">
        <f t="shared" si="61"/>
        <v>57.6021450253903</v>
      </c>
      <c r="AE140" s="78">
        <f t="shared" si="62"/>
        <v>5.39785497460974</v>
      </c>
    </row>
    <row r="141" customFormat="1" spans="1:31">
      <c r="A141" s="18"/>
      <c r="B141" s="19"/>
      <c r="C141" s="20">
        <v>240226000047</v>
      </c>
      <c r="D141" s="21">
        <v>45356</v>
      </c>
      <c r="E141" s="21" t="s">
        <v>44</v>
      </c>
      <c r="F141" s="19" t="s">
        <v>45</v>
      </c>
      <c r="G141" s="19" t="s">
        <v>133</v>
      </c>
      <c r="H141" s="19">
        <v>6.5</v>
      </c>
      <c r="I141" s="49"/>
      <c r="J141" s="50">
        <v>68880</v>
      </c>
      <c r="K141" s="91"/>
      <c r="L141" s="50">
        <f>SUM(J141/M141)</f>
        <v>1473.99957200942</v>
      </c>
      <c r="M141" s="52">
        <v>46.73</v>
      </c>
      <c r="N141" s="45">
        <v>7.19</v>
      </c>
      <c r="O141" s="46">
        <f>SUM(M141*N141)</f>
        <v>335.9887</v>
      </c>
      <c r="P141" s="48"/>
      <c r="Q141" s="48"/>
      <c r="R141" s="78">
        <f t="shared" si="63"/>
        <v>214.682151589242</v>
      </c>
      <c r="S141" s="78"/>
      <c r="T141" s="79">
        <f t="shared" si="64"/>
        <v>0.305623471882641</v>
      </c>
      <c r="U141" s="78"/>
      <c r="V141" s="79">
        <v>51</v>
      </c>
      <c r="W141" s="80">
        <f t="shared" si="59"/>
        <v>265.987775061125</v>
      </c>
      <c r="X141" s="81">
        <f t="shared" si="65"/>
        <v>4.81523227383863</v>
      </c>
      <c r="Y141" s="81"/>
      <c r="Z141" s="81"/>
      <c r="AA141" s="81">
        <f t="shared" si="60"/>
        <v>4.81523227383863</v>
      </c>
      <c r="AB141" s="90">
        <v>7.19</v>
      </c>
      <c r="AC141" s="78">
        <f t="shared" si="58"/>
        <v>34.6215200488998</v>
      </c>
      <c r="AD141" s="78">
        <f t="shared" si="61"/>
        <v>300.609295110024</v>
      </c>
      <c r="AE141" s="78">
        <f t="shared" si="62"/>
        <v>35.3794048899755</v>
      </c>
    </row>
    <row r="142" customFormat="1" spans="1:31">
      <c r="A142" s="18"/>
      <c r="B142" s="19"/>
      <c r="C142" s="20">
        <v>240227000001</v>
      </c>
      <c r="D142" s="21">
        <v>45356</v>
      </c>
      <c r="E142" s="21" t="s">
        <v>37</v>
      </c>
      <c r="F142" s="19">
        <v>13635229849</v>
      </c>
      <c r="G142" s="19" t="s">
        <v>127</v>
      </c>
      <c r="H142" s="19">
        <v>8</v>
      </c>
      <c r="I142" s="46"/>
      <c r="J142" s="54">
        <v>92160</v>
      </c>
      <c r="K142" s="55"/>
      <c r="L142" s="50">
        <f>SUM(J142/M142)</f>
        <v>1600</v>
      </c>
      <c r="M142" s="52">
        <v>57.6</v>
      </c>
      <c r="N142" s="45">
        <v>7.19</v>
      </c>
      <c r="O142" s="46">
        <f>SUM(M142*N142)</f>
        <v>414.144</v>
      </c>
      <c r="P142" s="48"/>
      <c r="Q142" s="48"/>
      <c r="R142" s="78">
        <f t="shared" si="63"/>
        <v>264.224186571375</v>
      </c>
      <c r="S142" s="78"/>
      <c r="T142" s="79">
        <f t="shared" si="64"/>
        <v>0.376151965394019</v>
      </c>
      <c r="U142" s="78"/>
      <c r="V142" s="78"/>
      <c r="W142" s="80">
        <f t="shared" si="59"/>
        <v>264.600338536769</v>
      </c>
      <c r="X142" s="81">
        <f t="shared" si="65"/>
        <v>5.92643972164755</v>
      </c>
      <c r="Y142" s="81"/>
      <c r="Z142" s="81"/>
      <c r="AA142" s="81">
        <f t="shared" si="60"/>
        <v>5.92643972164755</v>
      </c>
      <c r="AB142" s="90">
        <v>7.19</v>
      </c>
      <c r="AC142" s="78">
        <f t="shared" si="58"/>
        <v>42.6111015986459</v>
      </c>
      <c r="AD142" s="78">
        <f t="shared" si="61"/>
        <v>307.211440135415</v>
      </c>
      <c r="AE142" s="78">
        <f t="shared" si="62"/>
        <v>106.932559864585</v>
      </c>
    </row>
    <row r="143" customFormat="1" spans="1:31">
      <c r="A143" s="18"/>
      <c r="B143" s="19"/>
      <c r="C143" s="20">
        <v>240227000003</v>
      </c>
      <c r="D143" s="21">
        <v>45356</v>
      </c>
      <c r="E143" s="21" t="s">
        <v>37</v>
      </c>
      <c r="F143" s="19" t="s">
        <v>38</v>
      </c>
      <c r="G143" s="19" t="s">
        <v>168</v>
      </c>
      <c r="H143" s="19">
        <v>0.65</v>
      </c>
      <c r="I143" s="41">
        <v>56</v>
      </c>
      <c r="J143" s="42"/>
      <c r="K143" s="43"/>
      <c r="L143" s="42"/>
      <c r="M143" s="44"/>
      <c r="N143" s="45"/>
      <c r="O143" s="46">
        <f t="shared" si="73"/>
        <v>56</v>
      </c>
      <c r="P143" s="48"/>
      <c r="Q143" s="48"/>
      <c r="R143" s="78">
        <f t="shared" si="63"/>
        <v>21.4682151589242</v>
      </c>
      <c r="S143" s="78"/>
      <c r="T143" s="79">
        <f t="shared" si="64"/>
        <v>0.0305623471882641</v>
      </c>
      <c r="U143" s="78"/>
      <c r="V143" s="78"/>
      <c r="W143" s="80">
        <f t="shared" si="59"/>
        <v>21.4987775061125</v>
      </c>
      <c r="X143" s="81">
        <f t="shared" si="65"/>
        <v>0.481523227383863</v>
      </c>
      <c r="Y143" s="81"/>
      <c r="Z143" s="81"/>
      <c r="AA143" s="81">
        <f t="shared" si="60"/>
        <v>0.481523227383863</v>
      </c>
      <c r="AB143" s="90">
        <v>7.19</v>
      </c>
      <c r="AC143" s="78">
        <f t="shared" si="58"/>
        <v>3.46215200488998</v>
      </c>
      <c r="AD143" s="78">
        <f t="shared" si="61"/>
        <v>24.9609295110024</v>
      </c>
      <c r="AE143" s="78">
        <f t="shared" si="62"/>
        <v>31.0390704889976</v>
      </c>
    </row>
    <row r="144" customFormat="1" spans="1:31">
      <c r="A144" s="18"/>
      <c r="B144" s="19"/>
      <c r="C144" s="20">
        <v>240227000012</v>
      </c>
      <c r="D144" s="21">
        <v>45356</v>
      </c>
      <c r="E144" s="21" t="s">
        <v>44</v>
      </c>
      <c r="F144" s="19" t="s">
        <v>45</v>
      </c>
      <c r="G144" s="19" t="s">
        <v>133</v>
      </c>
      <c r="H144" s="19">
        <v>40</v>
      </c>
      <c r="I144" s="49"/>
      <c r="J144" s="50">
        <v>344400</v>
      </c>
      <c r="K144" s="91"/>
      <c r="L144" s="50">
        <f>SUM(J144/M144)</f>
        <v>1473.99957200942</v>
      </c>
      <c r="M144" s="52">
        <v>233.65</v>
      </c>
      <c r="N144" s="45">
        <v>7.19</v>
      </c>
      <c r="O144" s="46">
        <f>SUM(M144*N144)</f>
        <v>1679.9435</v>
      </c>
      <c r="P144" s="48"/>
      <c r="Q144" s="48"/>
      <c r="R144" s="78">
        <f t="shared" si="63"/>
        <v>1321.12093285687</v>
      </c>
      <c r="S144" s="78"/>
      <c r="T144" s="79">
        <f t="shared" si="64"/>
        <v>1.8807598269701</v>
      </c>
      <c r="U144" s="78"/>
      <c r="V144" s="78"/>
      <c r="W144" s="80">
        <f t="shared" si="59"/>
        <v>1323.00169268384</v>
      </c>
      <c r="X144" s="81">
        <f t="shared" si="65"/>
        <v>29.6321986082377</v>
      </c>
      <c r="Y144" s="81"/>
      <c r="Z144" s="81"/>
      <c r="AA144" s="81">
        <f t="shared" si="60"/>
        <v>29.6321986082377</v>
      </c>
      <c r="AB144" s="90">
        <v>7.19</v>
      </c>
      <c r="AC144" s="78">
        <f t="shared" si="58"/>
        <v>213.055507993229</v>
      </c>
      <c r="AD144" s="78">
        <f t="shared" si="61"/>
        <v>1536.05720067707</v>
      </c>
      <c r="AE144" s="78">
        <f t="shared" si="62"/>
        <v>143.886299322927</v>
      </c>
    </row>
    <row r="145" customFormat="1" spans="1:31">
      <c r="A145" s="18"/>
      <c r="B145" s="19"/>
      <c r="C145" s="20">
        <v>240227000016</v>
      </c>
      <c r="D145" s="21">
        <v>45356</v>
      </c>
      <c r="E145" s="21" t="s">
        <v>47</v>
      </c>
      <c r="F145" s="19" t="s">
        <v>48</v>
      </c>
      <c r="G145" s="19" t="s">
        <v>169</v>
      </c>
      <c r="H145" s="19">
        <v>2973</v>
      </c>
      <c r="I145" s="41">
        <v>166488</v>
      </c>
      <c r="J145" s="42"/>
      <c r="K145" s="43"/>
      <c r="L145" s="42"/>
      <c r="M145" s="44"/>
      <c r="N145" s="45"/>
      <c r="O145" s="46">
        <f t="shared" ref="O145:O152" si="74">SUM(I145)</f>
        <v>166488</v>
      </c>
      <c r="P145" s="48"/>
      <c r="Q145" s="48"/>
      <c r="R145" s="78">
        <f t="shared" si="63"/>
        <v>98192.3133345872</v>
      </c>
      <c r="S145" s="78"/>
      <c r="T145" s="79">
        <f t="shared" si="64"/>
        <v>139.787474139552</v>
      </c>
      <c r="U145" s="78"/>
      <c r="V145" s="78"/>
      <c r="W145" s="80">
        <f t="shared" si="59"/>
        <v>98332.1008087267</v>
      </c>
      <c r="X145" s="81">
        <f t="shared" si="65"/>
        <v>2202.41316155727</v>
      </c>
      <c r="Y145" s="81"/>
      <c r="Z145" s="81"/>
      <c r="AA145" s="81">
        <f t="shared" si="60"/>
        <v>2202.41316155727</v>
      </c>
      <c r="AB145" s="90">
        <v>7.19</v>
      </c>
      <c r="AC145" s="78">
        <f t="shared" si="58"/>
        <v>15835.3506315968</v>
      </c>
      <c r="AD145" s="78">
        <f t="shared" si="61"/>
        <v>114167.451440323</v>
      </c>
      <c r="AE145" s="78">
        <f t="shared" si="62"/>
        <v>52320.5485596765</v>
      </c>
    </row>
    <row r="146" customFormat="1" spans="1:31">
      <c r="A146" s="18"/>
      <c r="B146" s="19"/>
      <c r="C146" s="20">
        <v>240227000018</v>
      </c>
      <c r="D146" s="21">
        <v>45356</v>
      </c>
      <c r="E146" s="21" t="s">
        <v>44</v>
      </c>
      <c r="F146" s="19" t="s">
        <v>45</v>
      </c>
      <c r="G146" s="19" t="s">
        <v>46</v>
      </c>
      <c r="H146" s="19">
        <v>4.5</v>
      </c>
      <c r="I146" s="41">
        <v>189</v>
      </c>
      <c r="J146" s="42"/>
      <c r="K146" s="43"/>
      <c r="L146" s="42"/>
      <c r="M146" s="44"/>
      <c r="N146" s="45"/>
      <c r="O146" s="46">
        <f t="shared" si="74"/>
        <v>189</v>
      </c>
      <c r="P146" s="48"/>
      <c r="Q146" s="48"/>
      <c r="R146" s="78">
        <f t="shared" si="63"/>
        <v>148.626104946398</v>
      </c>
      <c r="S146" s="78"/>
      <c r="T146" s="79">
        <f t="shared" si="64"/>
        <v>0.211585480534136</v>
      </c>
      <c r="U146" s="78"/>
      <c r="V146" s="78"/>
      <c r="W146" s="80">
        <f t="shared" si="59"/>
        <v>148.837690426932</v>
      </c>
      <c r="X146" s="81">
        <f t="shared" si="65"/>
        <v>3.33362234342674</v>
      </c>
      <c r="Y146" s="81"/>
      <c r="Z146" s="81"/>
      <c r="AA146" s="81">
        <f t="shared" si="60"/>
        <v>3.33362234342674</v>
      </c>
      <c r="AB146" s="90">
        <v>7.19</v>
      </c>
      <c r="AC146" s="78">
        <f t="shared" si="58"/>
        <v>23.9687446492383</v>
      </c>
      <c r="AD146" s="78">
        <f t="shared" si="61"/>
        <v>172.806435076171</v>
      </c>
      <c r="AE146" s="78">
        <f t="shared" si="62"/>
        <v>16.1935649238292</v>
      </c>
    </row>
    <row r="147" customFormat="1" spans="1:31">
      <c r="A147" s="18"/>
      <c r="B147" s="19"/>
      <c r="C147" s="20">
        <v>240227000025</v>
      </c>
      <c r="D147" s="21">
        <v>45356</v>
      </c>
      <c r="E147" s="21" t="s">
        <v>51</v>
      </c>
      <c r="F147" s="19" t="s">
        <v>52</v>
      </c>
      <c r="G147" s="19" t="s">
        <v>170</v>
      </c>
      <c r="H147" s="19">
        <v>2</v>
      </c>
      <c r="I147" s="41">
        <v>97</v>
      </c>
      <c r="J147" s="42"/>
      <c r="K147" s="43"/>
      <c r="L147" s="42"/>
      <c r="M147" s="44"/>
      <c r="N147" s="45"/>
      <c r="O147" s="46">
        <f t="shared" si="74"/>
        <v>97</v>
      </c>
      <c r="P147" s="58"/>
      <c r="Q147" s="58"/>
      <c r="R147" s="78">
        <f t="shared" si="63"/>
        <v>66.0560466428437</v>
      </c>
      <c r="S147" s="78"/>
      <c r="T147" s="79">
        <f t="shared" si="64"/>
        <v>0.0940379913485048</v>
      </c>
      <c r="U147" s="78"/>
      <c r="V147" s="78"/>
      <c r="W147" s="80">
        <f t="shared" si="59"/>
        <v>66.1500846341922</v>
      </c>
      <c r="X147" s="81">
        <f t="shared" si="65"/>
        <v>1.48160993041189</v>
      </c>
      <c r="Y147" s="81"/>
      <c r="Z147" s="81"/>
      <c r="AA147" s="81">
        <f t="shared" si="60"/>
        <v>1.48160993041189</v>
      </c>
      <c r="AB147" s="90">
        <v>7.19</v>
      </c>
      <c r="AC147" s="78">
        <f t="shared" si="58"/>
        <v>10.6527753996615</v>
      </c>
      <c r="AD147" s="78">
        <f t="shared" si="61"/>
        <v>76.8028600338537</v>
      </c>
      <c r="AE147" s="78">
        <f t="shared" si="62"/>
        <v>20.1971399661463</v>
      </c>
    </row>
    <row r="148" customFormat="1" spans="1:31">
      <c r="A148" s="18" t="s">
        <v>171</v>
      </c>
      <c r="B148" s="19" t="s">
        <v>172</v>
      </c>
      <c r="C148" s="20">
        <v>240222000012</v>
      </c>
      <c r="D148" s="21">
        <v>45356</v>
      </c>
      <c r="E148" s="21" t="s">
        <v>37</v>
      </c>
      <c r="F148" s="19" t="s">
        <v>38</v>
      </c>
      <c r="G148" s="19" t="s">
        <v>173</v>
      </c>
      <c r="H148" s="19">
        <v>61.5</v>
      </c>
      <c r="I148" s="41">
        <v>2890.5</v>
      </c>
      <c r="J148" s="53"/>
      <c r="K148" s="51"/>
      <c r="L148" s="53"/>
      <c r="M148" s="44"/>
      <c r="N148" s="45"/>
      <c r="O148" s="46">
        <f t="shared" si="74"/>
        <v>2890.5</v>
      </c>
      <c r="P148" s="47">
        <f>SUM(O148:O158)</f>
        <v>65199.1849</v>
      </c>
      <c r="Q148" s="47" t="s">
        <v>40</v>
      </c>
      <c r="R148" s="78">
        <f t="shared" si="63"/>
        <v>2031.22343426744</v>
      </c>
      <c r="S148" s="78"/>
      <c r="T148" s="79">
        <f t="shared" si="64"/>
        <v>2.89166823396652</v>
      </c>
      <c r="U148" s="78"/>
      <c r="V148" s="78"/>
      <c r="W148" s="80">
        <f t="shared" si="59"/>
        <v>2034.11510250141</v>
      </c>
      <c r="X148" s="81">
        <f t="shared" si="65"/>
        <v>45.5595053601655</v>
      </c>
      <c r="Y148" s="81"/>
      <c r="Z148" s="81"/>
      <c r="AA148" s="81">
        <f t="shared" si="60"/>
        <v>45.5595053601655</v>
      </c>
      <c r="AB148" s="90">
        <v>7.19</v>
      </c>
      <c r="AC148" s="78">
        <f t="shared" si="58"/>
        <v>327.57284353959</v>
      </c>
      <c r="AD148" s="78">
        <f t="shared" si="61"/>
        <v>2361.687946041</v>
      </c>
      <c r="AE148" s="78">
        <f t="shared" si="62"/>
        <v>528.812053958999</v>
      </c>
    </row>
    <row r="149" customFormat="1" spans="1:31">
      <c r="A149" s="18"/>
      <c r="B149" s="19"/>
      <c r="C149" s="20">
        <v>240225000001</v>
      </c>
      <c r="D149" s="21">
        <v>45356</v>
      </c>
      <c r="E149" s="21" t="s">
        <v>70</v>
      </c>
      <c r="F149" s="19" t="s">
        <v>70</v>
      </c>
      <c r="G149" s="19" t="s">
        <v>174</v>
      </c>
      <c r="H149" s="19">
        <v>202.5</v>
      </c>
      <c r="I149" s="49"/>
      <c r="J149" s="50">
        <v>1261980</v>
      </c>
      <c r="K149" s="51"/>
      <c r="L149" s="50">
        <f>SUM(J149/M149)</f>
        <v>1092.88831924622</v>
      </c>
      <c r="M149" s="52">
        <v>1154.72</v>
      </c>
      <c r="N149" s="45">
        <v>7.19</v>
      </c>
      <c r="O149" s="46">
        <f>SUM(M149*N149)</f>
        <v>8302.4368</v>
      </c>
      <c r="P149" s="48"/>
      <c r="Q149" s="48"/>
      <c r="R149" s="78">
        <f t="shared" si="63"/>
        <v>6688.17472258793</v>
      </c>
      <c r="S149" s="78"/>
      <c r="T149" s="79">
        <f t="shared" si="64"/>
        <v>9.52134662403611</v>
      </c>
      <c r="U149" s="78"/>
      <c r="V149" s="78"/>
      <c r="W149" s="80">
        <f t="shared" si="59"/>
        <v>6697.69606921196</v>
      </c>
      <c r="X149" s="81">
        <f t="shared" si="65"/>
        <v>150.013005454203</v>
      </c>
      <c r="Y149" s="81"/>
      <c r="Z149" s="81"/>
      <c r="AA149" s="81">
        <f t="shared" si="60"/>
        <v>150.013005454203</v>
      </c>
      <c r="AB149" s="90">
        <v>7.19</v>
      </c>
      <c r="AC149" s="78">
        <f t="shared" si="58"/>
        <v>1078.59350921572</v>
      </c>
      <c r="AD149" s="78">
        <f t="shared" si="61"/>
        <v>7776.28957842768</v>
      </c>
      <c r="AE149" s="78">
        <f t="shared" si="62"/>
        <v>526.147221572315</v>
      </c>
    </row>
    <row r="150" customFormat="1" spans="1:31">
      <c r="A150" s="18"/>
      <c r="B150" s="19"/>
      <c r="C150" s="20">
        <v>240228000019</v>
      </c>
      <c r="D150" s="21">
        <v>45356</v>
      </c>
      <c r="E150" s="21" t="s">
        <v>47</v>
      </c>
      <c r="F150" s="19" t="s">
        <v>48</v>
      </c>
      <c r="G150" s="19" t="s">
        <v>49</v>
      </c>
      <c r="H150" s="19">
        <v>54.5</v>
      </c>
      <c r="I150" s="41">
        <v>2398</v>
      </c>
      <c r="J150" s="42"/>
      <c r="K150" s="43"/>
      <c r="L150" s="42"/>
      <c r="M150" s="44"/>
      <c r="N150" s="45"/>
      <c r="O150" s="46">
        <f t="shared" si="74"/>
        <v>2398</v>
      </c>
      <c r="P150" s="48"/>
      <c r="Q150" s="48"/>
      <c r="R150" s="78">
        <f t="shared" si="63"/>
        <v>1800.02727101749</v>
      </c>
      <c r="S150" s="78"/>
      <c r="T150" s="79">
        <f t="shared" si="64"/>
        <v>2.56253526424676</v>
      </c>
      <c r="U150" s="78"/>
      <c r="V150" s="78"/>
      <c r="W150" s="80">
        <f t="shared" si="59"/>
        <v>1802.58980628174</v>
      </c>
      <c r="X150" s="81">
        <f t="shared" si="65"/>
        <v>40.3738706037239</v>
      </c>
      <c r="Y150" s="81"/>
      <c r="Z150" s="81"/>
      <c r="AA150" s="81">
        <f t="shared" si="60"/>
        <v>40.3738706037239</v>
      </c>
      <c r="AB150" s="90">
        <v>7.19</v>
      </c>
      <c r="AC150" s="78">
        <f t="shared" si="58"/>
        <v>290.288129640775</v>
      </c>
      <c r="AD150" s="78">
        <f t="shared" si="61"/>
        <v>2092.87793592251</v>
      </c>
      <c r="AE150" s="78">
        <f t="shared" si="62"/>
        <v>305.122064077487</v>
      </c>
    </row>
    <row r="151" customFormat="1" spans="1:31">
      <c r="A151" s="18"/>
      <c r="B151" s="19"/>
      <c r="C151" s="20">
        <v>240228000020</v>
      </c>
      <c r="D151" s="21">
        <v>45356</v>
      </c>
      <c r="E151" s="21" t="s">
        <v>47</v>
      </c>
      <c r="F151" s="19" t="s">
        <v>48</v>
      </c>
      <c r="G151" s="19" t="s">
        <v>167</v>
      </c>
      <c r="H151" s="19">
        <v>511.5</v>
      </c>
      <c r="I151" s="41">
        <v>30690</v>
      </c>
      <c r="J151" s="42"/>
      <c r="K151" s="43"/>
      <c r="L151" s="42"/>
      <c r="M151" s="44"/>
      <c r="N151" s="45"/>
      <c r="O151" s="46">
        <f t="shared" si="74"/>
        <v>30690</v>
      </c>
      <c r="P151" s="48"/>
      <c r="Q151" s="48"/>
      <c r="R151" s="78">
        <f t="shared" si="63"/>
        <v>16893.8339289073</v>
      </c>
      <c r="S151" s="78"/>
      <c r="T151" s="79">
        <f t="shared" si="64"/>
        <v>24.0502162873801</v>
      </c>
      <c r="U151" s="78"/>
      <c r="V151" s="78"/>
      <c r="W151" s="80">
        <f t="shared" si="59"/>
        <v>16917.8841451947</v>
      </c>
      <c r="X151" s="81">
        <f t="shared" si="65"/>
        <v>378.92173970284</v>
      </c>
      <c r="Y151" s="81"/>
      <c r="Z151" s="81"/>
      <c r="AA151" s="81">
        <f t="shared" si="60"/>
        <v>378.92173970284</v>
      </c>
      <c r="AB151" s="90">
        <v>7.19</v>
      </c>
      <c r="AC151" s="78">
        <f t="shared" si="58"/>
        <v>2724.44730846342</v>
      </c>
      <c r="AD151" s="78">
        <f t="shared" si="61"/>
        <v>19642.3314536581</v>
      </c>
      <c r="AE151" s="78">
        <f t="shared" si="62"/>
        <v>11047.6685463419</v>
      </c>
    </row>
    <row r="152" customFormat="1" spans="1:31">
      <c r="A152" s="18"/>
      <c r="B152" s="19"/>
      <c r="C152" s="20">
        <v>240228000021</v>
      </c>
      <c r="D152" s="21">
        <v>45356</v>
      </c>
      <c r="E152" s="21" t="s">
        <v>47</v>
      </c>
      <c r="F152" s="19" t="s">
        <v>175</v>
      </c>
      <c r="G152" s="19" t="s">
        <v>167</v>
      </c>
      <c r="H152" s="19">
        <v>20.5</v>
      </c>
      <c r="I152" s="41">
        <v>1211</v>
      </c>
      <c r="J152" s="42"/>
      <c r="K152" s="43"/>
      <c r="L152" s="42"/>
      <c r="M152" s="44"/>
      <c r="N152" s="45"/>
      <c r="O152" s="46">
        <f t="shared" si="74"/>
        <v>1211</v>
      </c>
      <c r="P152" s="48"/>
      <c r="Q152" s="48"/>
      <c r="R152" s="78">
        <f t="shared" si="63"/>
        <v>677.074478089148</v>
      </c>
      <c r="S152" s="78"/>
      <c r="T152" s="79">
        <f t="shared" si="64"/>
        <v>0.963889411322174</v>
      </c>
      <c r="U152" s="78"/>
      <c r="V152" s="78"/>
      <c r="W152" s="80">
        <f t="shared" si="59"/>
        <v>678.03836750047</v>
      </c>
      <c r="X152" s="81">
        <f t="shared" si="65"/>
        <v>15.1865017867218</v>
      </c>
      <c r="Y152" s="81"/>
      <c r="Z152" s="81"/>
      <c r="AA152" s="81">
        <f t="shared" si="60"/>
        <v>15.1865017867218</v>
      </c>
      <c r="AB152" s="90">
        <v>7.19</v>
      </c>
      <c r="AC152" s="78">
        <f t="shared" si="58"/>
        <v>109.19094784653</v>
      </c>
      <c r="AD152" s="78">
        <f t="shared" si="61"/>
        <v>787.229315347</v>
      </c>
      <c r="AE152" s="78">
        <f t="shared" si="62"/>
        <v>423.770684653</v>
      </c>
    </row>
    <row r="153" customFormat="1" spans="1:31">
      <c r="A153" s="18"/>
      <c r="B153" s="19"/>
      <c r="C153" s="20">
        <v>240229000003</v>
      </c>
      <c r="D153" s="21">
        <v>45356</v>
      </c>
      <c r="E153" s="21" t="s">
        <v>41</v>
      </c>
      <c r="F153" s="19" t="s">
        <v>42</v>
      </c>
      <c r="G153" s="19" t="s">
        <v>60</v>
      </c>
      <c r="H153" s="19">
        <v>56</v>
      </c>
      <c r="I153" s="46"/>
      <c r="J153" s="54">
        <v>896000</v>
      </c>
      <c r="K153" s="55"/>
      <c r="L153" s="50">
        <f>SUM(J153/M153)</f>
        <v>1600</v>
      </c>
      <c r="M153" s="52">
        <v>560</v>
      </c>
      <c r="N153" s="45">
        <v>7.19</v>
      </c>
      <c r="O153" s="46">
        <f t="shared" ref="O153:O155" si="75">SUM(M153*N153)</f>
        <v>4026.4</v>
      </c>
      <c r="P153" s="48"/>
      <c r="Q153" s="48"/>
      <c r="R153" s="78">
        <f t="shared" si="63"/>
        <v>1849.56930599962</v>
      </c>
      <c r="S153" s="78"/>
      <c r="T153" s="79">
        <f t="shared" si="64"/>
        <v>2.63306375775813</v>
      </c>
      <c r="U153" s="78"/>
      <c r="V153" s="78"/>
      <c r="W153" s="80">
        <f t="shared" si="59"/>
        <v>1852.20236975738</v>
      </c>
      <c r="X153" s="81">
        <f t="shared" si="65"/>
        <v>41.4850780515328</v>
      </c>
      <c r="Y153" s="81"/>
      <c r="Z153" s="81"/>
      <c r="AA153" s="81">
        <f t="shared" si="60"/>
        <v>41.4850780515328</v>
      </c>
      <c r="AB153" s="90">
        <v>7.19</v>
      </c>
      <c r="AC153" s="78">
        <f t="shared" si="58"/>
        <v>298.277711190521</v>
      </c>
      <c r="AD153" s="78">
        <f t="shared" si="61"/>
        <v>2150.4800809479</v>
      </c>
      <c r="AE153" s="78">
        <f t="shared" si="62"/>
        <v>1875.9199190521</v>
      </c>
    </row>
    <row r="154" customFormat="1" spans="1:31">
      <c r="A154" s="18"/>
      <c r="B154" s="19"/>
      <c r="C154" s="20">
        <v>240229000005</v>
      </c>
      <c r="D154" s="21">
        <v>45356</v>
      </c>
      <c r="E154" s="21" t="s">
        <v>44</v>
      </c>
      <c r="F154" s="19" t="s">
        <v>45</v>
      </c>
      <c r="G154" s="19" t="s">
        <v>124</v>
      </c>
      <c r="H154" s="19">
        <v>137</v>
      </c>
      <c r="I154" s="49"/>
      <c r="J154" s="50">
        <v>1283142</v>
      </c>
      <c r="K154" s="51"/>
      <c r="L154" s="50">
        <f t="shared" ref="L154:L157" si="76">SUM(J154/M154)</f>
        <v>1603.38635710448</v>
      </c>
      <c r="M154" s="52">
        <v>800.27</v>
      </c>
      <c r="N154" s="45">
        <v>7.19</v>
      </c>
      <c r="O154" s="46">
        <f t="shared" si="75"/>
        <v>5753.9413</v>
      </c>
      <c r="P154" s="48"/>
      <c r="Q154" s="48"/>
      <c r="R154" s="78">
        <f t="shared" si="63"/>
        <v>4524.83919503479</v>
      </c>
      <c r="S154" s="78"/>
      <c r="T154" s="79">
        <f t="shared" si="64"/>
        <v>6.44160240737258</v>
      </c>
      <c r="U154" s="78"/>
      <c r="V154" s="78"/>
      <c r="W154" s="80">
        <f t="shared" si="59"/>
        <v>4531.28079744217</v>
      </c>
      <c r="X154" s="81">
        <f t="shared" si="65"/>
        <v>101.490280233214</v>
      </c>
      <c r="Y154" s="81"/>
      <c r="Z154" s="81"/>
      <c r="AA154" s="81">
        <f t="shared" si="60"/>
        <v>101.490280233214</v>
      </c>
      <c r="AB154" s="90">
        <v>7.19</v>
      </c>
      <c r="AC154" s="78">
        <f t="shared" si="58"/>
        <v>729.71511487681</v>
      </c>
      <c r="AD154" s="78">
        <f t="shared" si="61"/>
        <v>5260.99591231898</v>
      </c>
      <c r="AE154" s="78">
        <f t="shared" si="62"/>
        <v>492.945387681024</v>
      </c>
    </row>
    <row r="155" customFormat="1" spans="1:31">
      <c r="A155" s="18"/>
      <c r="B155" s="19"/>
      <c r="C155" s="20">
        <v>240229000013</v>
      </c>
      <c r="D155" s="21">
        <v>45356</v>
      </c>
      <c r="E155" s="21" t="s">
        <v>44</v>
      </c>
      <c r="F155" s="19" t="s">
        <v>45</v>
      </c>
      <c r="G155" s="19" t="s">
        <v>133</v>
      </c>
      <c r="H155" s="19">
        <v>84</v>
      </c>
      <c r="I155" s="49"/>
      <c r="J155" s="50">
        <v>792120</v>
      </c>
      <c r="K155" s="91"/>
      <c r="L155" s="50">
        <f t="shared" si="76"/>
        <v>1473.95843024879</v>
      </c>
      <c r="M155" s="52">
        <v>537.41</v>
      </c>
      <c r="N155" s="45">
        <v>7.19</v>
      </c>
      <c r="O155" s="46">
        <f t="shared" si="75"/>
        <v>3863.9779</v>
      </c>
      <c r="P155" s="48"/>
      <c r="Q155" s="48"/>
      <c r="R155" s="78">
        <f t="shared" si="63"/>
        <v>2774.35395899944</v>
      </c>
      <c r="S155" s="78"/>
      <c r="T155" s="79">
        <f t="shared" si="64"/>
        <v>3.9495956366372</v>
      </c>
      <c r="U155" s="78"/>
      <c r="V155" s="78"/>
      <c r="W155" s="80">
        <f t="shared" si="59"/>
        <v>2778.30355463607</v>
      </c>
      <c r="X155" s="81">
        <f t="shared" si="65"/>
        <v>62.2276170772992</v>
      </c>
      <c r="Y155" s="81"/>
      <c r="Z155" s="81"/>
      <c r="AA155" s="81">
        <f t="shared" si="60"/>
        <v>62.2276170772992</v>
      </c>
      <c r="AB155" s="90">
        <v>7.19</v>
      </c>
      <c r="AC155" s="78">
        <f t="shared" si="58"/>
        <v>447.416566785781</v>
      </c>
      <c r="AD155" s="78">
        <f t="shared" si="61"/>
        <v>3225.72012142185</v>
      </c>
      <c r="AE155" s="78">
        <f t="shared" ref="AE155:AE173" si="77">SUM(O155-AD155)</f>
        <v>638.257778578145</v>
      </c>
    </row>
    <row r="156" customFormat="1" spans="1:31">
      <c r="A156" s="18"/>
      <c r="B156" s="19"/>
      <c r="C156" s="20">
        <v>240229000017</v>
      </c>
      <c r="D156" s="21">
        <v>45356</v>
      </c>
      <c r="E156" s="21" t="s">
        <v>44</v>
      </c>
      <c r="F156" s="19" t="s">
        <v>45</v>
      </c>
      <c r="G156" s="19" t="s">
        <v>176</v>
      </c>
      <c r="H156" s="19">
        <v>60.5</v>
      </c>
      <c r="I156" s="41">
        <v>2591</v>
      </c>
      <c r="J156" s="42"/>
      <c r="K156" s="43"/>
      <c r="L156" s="42"/>
      <c r="M156" s="44"/>
      <c r="N156" s="45"/>
      <c r="O156" s="46">
        <f t="shared" ref="O156:O160" si="78">SUM(I156)</f>
        <v>2591</v>
      </c>
      <c r="P156" s="48"/>
      <c r="Q156" s="48"/>
      <c r="R156" s="78">
        <f t="shared" si="63"/>
        <v>1998.19541094602</v>
      </c>
      <c r="S156" s="78"/>
      <c r="T156" s="79">
        <f t="shared" si="64"/>
        <v>2.84464923829227</v>
      </c>
      <c r="U156" s="78"/>
      <c r="V156" s="78"/>
      <c r="W156" s="80">
        <f t="shared" si="59"/>
        <v>2001.04006018431</v>
      </c>
      <c r="X156" s="81">
        <f t="shared" si="65"/>
        <v>44.8187003949596</v>
      </c>
      <c r="Y156" s="81"/>
      <c r="Z156" s="81"/>
      <c r="AA156" s="81">
        <f t="shared" si="60"/>
        <v>44.8187003949596</v>
      </c>
      <c r="AB156" s="90">
        <v>7.19</v>
      </c>
      <c r="AC156" s="78">
        <f t="shared" si="58"/>
        <v>322.246455839759</v>
      </c>
      <c r="AD156" s="78">
        <f t="shared" si="61"/>
        <v>2323.28651602407</v>
      </c>
      <c r="AE156" s="78">
        <f t="shared" si="77"/>
        <v>267.713483975926</v>
      </c>
    </row>
    <row r="157" customFormat="1" spans="1:31">
      <c r="A157" s="18"/>
      <c r="B157" s="19"/>
      <c r="C157" s="20">
        <v>240301000001</v>
      </c>
      <c r="D157" s="21">
        <v>45356</v>
      </c>
      <c r="E157" s="21" t="s">
        <v>70</v>
      </c>
      <c r="F157" s="19" t="s">
        <v>70</v>
      </c>
      <c r="G157" s="19" t="s">
        <v>177</v>
      </c>
      <c r="H157" s="19">
        <v>65</v>
      </c>
      <c r="I157" s="49"/>
      <c r="J157" s="50">
        <v>672000</v>
      </c>
      <c r="K157" s="51"/>
      <c r="L157" s="50">
        <f t="shared" si="76"/>
        <v>1561.66484627362</v>
      </c>
      <c r="M157" s="52">
        <v>430.31</v>
      </c>
      <c r="N157" s="45">
        <v>7.19</v>
      </c>
      <c r="O157" s="46">
        <f>SUM(M157*N157)</f>
        <v>3093.9289</v>
      </c>
      <c r="P157" s="48"/>
      <c r="Q157" s="48"/>
      <c r="R157" s="78">
        <f t="shared" si="63"/>
        <v>2146.82151589242</v>
      </c>
      <c r="S157" s="78"/>
      <c r="T157" s="79">
        <f t="shared" si="64"/>
        <v>3.05623471882641</v>
      </c>
      <c r="U157" s="78">
        <v>30</v>
      </c>
      <c r="V157" s="78"/>
      <c r="W157" s="80">
        <f t="shared" ref="W157:W173" si="79">SUM(R157:V157)</f>
        <v>2179.87775061125</v>
      </c>
      <c r="X157" s="81">
        <f t="shared" si="65"/>
        <v>48.1523227383863</v>
      </c>
      <c r="Y157" s="81"/>
      <c r="Z157" s="81"/>
      <c r="AA157" s="81">
        <f t="shared" si="60"/>
        <v>48.1523227383863</v>
      </c>
      <c r="AB157" s="90">
        <v>7.19</v>
      </c>
      <c r="AC157" s="78">
        <f t="shared" ref="AC157:AC173" si="80">SUM(AA157*AB157)</f>
        <v>346.215200488998</v>
      </c>
      <c r="AD157" s="78">
        <f t="shared" ref="AD157:AD173" si="81">SUM(W157+AC157)</f>
        <v>2526.09295110024</v>
      </c>
      <c r="AE157" s="78">
        <f t="shared" si="77"/>
        <v>567.835948899755</v>
      </c>
    </row>
    <row r="158" customFormat="1" spans="1:31">
      <c r="A158" s="18"/>
      <c r="B158" s="19"/>
      <c r="C158" s="20">
        <v>240301000034</v>
      </c>
      <c r="D158" s="21">
        <v>45356</v>
      </c>
      <c r="E158" s="21" t="s">
        <v>44</v>
      </c>
      <c r="F158" s="19" t="s">
        <v>45</v>
      </c>
      <c r="G158" s="19" t="s">
        <v>178</v>
      </c>
      <c r="H158" s="19">
        <v>9</v>
      </c>
      <c r="I158" s="41">
        <v>378</v>
      </c>
      <c r="J158" s="53"/>
      <c r="K158" s="51"/>
      <c r="L158" s="53"/>
      <c r="M158" s="44"/>
      <c r="N158" s="45"/>
      <c r="O158" s="46">
        <f t="shared" si="78"/>
        <v>378</v>
      </c>
      <c r="P158" s="58"/>
      <c r="Q158" s="58"/>
      <c r="R158" s="78">
        <f t="shared" si="63"/>
        <v>297.252209892797</v>
      </c>
      <c r="S158" s="78"/>
      <c r="T158" s="79">
        <f t="shared" si="64"/>
        <v>0.423170961068272</v>
      </c>
      <c r="U158" s="78"/>
      <c r="V158" s="78"/>
      <c r="W158" s="80">
        <f t="shared" si="79"/>
        <v>297.675380853865</v>
      </c>
      <c r="X158" s="81">
        <f t="shared" si="65"/>
        <v>6.66724468685349</v>
      </c>
      <c r="Y158" s="81"/>
      <c r="Z158" s="81"/>
      <c r="AA158" s="81">
        <f t="shared" si="60"/>
        <v>6.66724468685349</v>
      </c>
      <c r="AB158" s="90">
        <v>7.19</v>
      </c>
      <c r="AC158" s="78">
        <f t="shared" si="80"/>
        <v>47.9374892984766</v>
      </c>
      <c r="AD158" s="78">
        <f t="shared" si="81"/>
        <v>345.612870152342</v>
      </c>
      <c r="AE158" s="78">
        <f t="shared" si="77"/>
        <v>32.3871298476585</v>
      </c>
    </row>
    <row r="159" customFormat="1" spans="1:31">
      <c r="A159" s="18" t="s">
        <v>179</v>
      </c>
      <c r="B159" s="19" t="s">
        <v>180</v>
      </c>
      <c r="C159" s="20">
        <v>240224000002</v>
      </c>
      <c r="D159" s="21">
        <v>45357</v>
      </c>
      <c r="E159" s="21" t="s">
        <v>47</v>
      </c>
      <c r="F159" s="19" t="s">
        <v>48</v>
      </c>
      <c r="G159" s="19" t="s">
        <v>81</v>
      </c>
      <c r="H159" s="19">
        <v>13</v>
      </c>
      <c r="I159" s="41">
        <v>1560</v>
      </c>
      <c r="J159" s="42"/>
      <c r="K159" s="43"/>
      <c r="L159" s="42"/>
      <c r="M159" s="44"/>
      <c r="N159" s="45"/>
      <c r="O159" s="46">
        <f t="shared" si="78"/>
        <v>1560</v>
      </c>
      <c r="P159" s="47">
        <f>SUM(O159:O173)</f>
        <v>17090.85531438</v>
      </c>
      <c r="Q159" s="47" t="s">
        <v>78</v>
      </c>
      <c r="R159" s="78">
        <f>SUM(8800/128)*H159</f>
        <v>893.75</v>
      </c>
      <c r="S159" s="78"/>
      <c r="T159" s="79">
        <f>SUM(121.62/128)*H159</f>
        <v>12.35203125</v>
      </c>
      <c r="U159" s="78"/>
      <c r="V159" s="78">
        <v>58</v>
      </c>
      <c r="W159" s="80">
        <f t="shared" si="79"/>
        <v>964.10203125</v>
      </c>
      <c r="X159" s="81">
        <f>SUM(170.3/128)*H159</f>
        <v>17.29609375</v>
      </c>
      <c r="Y159" s="81"/>
      <c r="Z159" s="81"/>
      <c r="AA159" s="81">
        <f t="shared" ref="AA159:AA173" si="82">SUM(X159:Z159)</f>
        <v>17.29609375</v>
      </c>
      <c r="AB159" s="90">
        <v>7.19</v>
      </c>
      <c r="AC159" s="78">
        <f t="shared" si="80"/>
        <v>124.3589140625</v>
      </c>
      <c r="AD159" s="78">
        <f t="shared" si="81"/>
        <v>1088.4609453125</v>
      </c>
      <c r="AE159" s="78">
        <f t="shared" si="77"/>
        <v>471.5390546875</v>
      </c>
    </row>
    <row r="160" customFormat="1" spans="1:31">
      <c r="A160" s="18"/>
      <c r="B160" s="19"/>
      <c r="C160" s="20">
        <v>240228000026</v>
      </c>
      <c r="D160" s="21">
        <v>45357</v>
      </c>
      <c r="E160" s="21" t="s">
        <v>47</v>
      </c>
      <c r="F160" s="19" t="s">
        <v>48</v>
      </c>
      <c r="G160" s="19" t="s">
        <v>137</v>
      </c>
      <c r="H160" s="19">
        <v>22</v>
      </c>
      <c r="I160" s="41">
        <v>2530</v>
      </c>
      <c r="J160" s="42"/>
      <c r="K160" s="43"/>
      <c r="L160" s="42"/>
      <c r="M160" s="44"/>
      <c r="N160" s="45"/>
      <c r="O160" s="46">
        <f t="shared" si="78"/>
        <v>2530</v>
      </c>
      <c r="P160" s="48"/>
      <c r="Q160" s="48"/>
      <c r="R160" s="78">
        <f t="shared" ref="R160:R173" si="83">SUM(8800/128)*H160</f>
        <v>1512.5</v>
      </c>
      <c r="S160" s="78"/>
      <c r="T160" s="79">
        <f t="shared" ref="T160:T173" si="84">SUM(121.62/128)*H160</f>
        <v>20.9034375</v>
      </c>
      <c r="U160" s="78"/>
      <c r="V160" s="78"/>
      <c r="W160" s="80">
        <f t="shared" si="79"/>
        <v>1533.4034375</v>
      </c>
      <c r="X160" s="81">
        <f t="shared" ref="X160:X173" si="85">SUM(170.3/128)*H160</f>
        <v>29.2703125</v>
      </c>
      <c r="Y160" s="81"/>
      <c r="Z160" s="81"/>
      <c r="AA160" s="81">
        <f t="shared" si="82"/>
        <v>29.2703125</v>
      </c>
      <c r="AB160" s="90">
        <v>7.19</v>
      </c>
      <c r="AC160" s="78">
        <f t="shared" si="80"/>
        <v>210.453546875</v>
      </c>
      <c r="AD160" s="78">
        <f t="shared" si="81"/>
        <v>1743.856984375</v>
      </c>
      <c r="AE160" s="78">
        <f t="shared" si="77"/>
        <v>786.143015625</v>
      </c>
    </row>
    <row r="161" customFormat="1" spans="1:31">
      <c r="A161" s="18"/>
      <c r="B161" s="19"/>
      <c r="C161" s="20">
        <v>240229000014</v>
      </c>
      <c r="D161" s="21">
        <v>45357</v>
      </c>
      <c r="E161" s="21" t="s">
        <v>44</v>
      </c>
      <c r="F161" s="19" t="s">
        <v>45</v>
      </c>
      <c r="G161" s="19" t="s">
        <v>124</v>
      </c>
      <c r="H161" s="19">
        <v>1.5</v>
      </c>
      <c r="I161" s="49"/>
      <c r="J161" s="50">
        <v>38467.5</v>
      </c>
      <c r="K161" s="91"/>
      <c r="L161" s="50">
        <f t="shared" ref="L161:L166" si="86">SUM(J161/M161)</f>
        <v>1603.48061692372</v>
      </c>
      <c r="M161" s="52">
        <v>23.99</v>
      </c>
      <c r="N161" s="45">
        <v>7.19</v>
      </c>
      <c r="O161" s="46">
        <f t="shared" ref="O161:O166" si="87">SUM(M161*N161)</f>
        <v>172.4881</v>
      </c>
      <c r="P161" s="48"/>
      <c r="Q161" s="48"/>
      <c r="R161" s="78">
        <f t="shared" si="83"/>
        <v>103.125</v>
      </c>
      <c r="S161" s="78"/>
      <c r="T161" s="79">
        <f t="shared" si="84"/>
        <v>1.425234375</v>
      </c>
      <c r="U161" s="78"/>
      <c r="V161" s="78"/>
      <c r="W161" s="80">
        <f t="shared" si="79"/>
        <v>104.550234375</v>
      </c>
      <c r="X161" s="81">
        <f t="shared" si="85"/>
        <v>1.995703125</v>
      </c>
      <c r="Y161" s="81"/>
      <c r="Z161" s="81"/>
      <c r="AA161" s="81">
        <f t="shared" si="82"/>
        <v>1.995703125</v>
      </c>
      <c r="AB161" s="90">
        <v>7.19</v>
      </c>
      <c r="AC161" s="78">
        <f t="shared" si="80"/>
        <v>14.34910546875</v>
      </c>
      <c r="AD161" s="78">
        <f t="shared" si="81"/>
        <v>118.89933984375</v>
      </c>
      <c r="AE161" s="78">
        <f t="shared" si="77"/>
        <v>53.58876015625</v>
      </c>
    </row>
    <row r="162" customFormat="1" spans="1:31">
      <c r="A162" s="18"/>
      <c r="B162" s="19"/>
      <c r="C162" s="20">
        <v>240301000005</v>
      </c>
      <c r="D162" s="21">
        <v>45357</v>
      </c>
      <c r="E162" s="21" t="s">
        <v>47</v>
      </c>
      <c r="F162" s="19" t="s">
        <v>48</v>
      </c>
      <c r="G162" s="19" t="s">
        <v>81</v>
      </c>
      <c r="H162" s="19">
        <v>6</v>
      </c>
      <c r="I162" s="41">
        <v>720</v>
      </c>
      <c r="J162" s="42"/>
      <c r="K162" s="43"/>
      <c r="L162" s="42"/>
      <c r="M162" s="44"/>
      <c r="N162" s="45"/>
      <c r="O162" s="46">
        <f t="shared" ref="O162:O164" si="88">SUM(I162)</f>
        <v>720</v>
      </c>
      <c r="P162" s="48"/>
      <c r="Q162" s="48"/>
      <c r="R162" s="78">
        <f t="shared" si="83"/>
        <v>412.5</v>
      </c>
      <c r="S162" s="78"/>
      <c r="T162" s="79">
        <f t="shared" si="84"/>
        <v>5.7009375</v>
      </c>
      <c r="U162" s="78"/>
      <c r="V162" s="78"/>
      <c r="W162" s="80">
        <f t="shared" si="79"/>
        <v>418.2009375</v>
      </c>
      <c r="X162" s="81">
        <f t="shared" si="85"/>
        <v>7.9828125</v>
      </c>
      <c r="Y162" s="81"/>
      <c r="Z162" s="81"/>
      <c r="AA162" s="81">
        <f t="shared" si="82"/>
        <v>7.9828125</v>
      </c>
      <c r="AB162" s="90">
        <v>7.19</v>
      </c>
      <c r="AC162" s="78">
        <f t="shared" si="80"/>
        <v>57.396421875</v>
      </c>
      <c r="AD162" s="78">
        <f t="shared" si="81"/>
        <v>475.597359375</v>
      </c>
      <c r="AE162" s="78">
        <f t="shared" si="77"/>
        <v>244.402640625</v>
      </c>
    </row>
    <row r="163" customFormat="1" spans="1:31">
      <c r="A163" s="18"/>
      <c r="B163" s="19"/>
      <c r="C163" s="20">
        <v>240302000002</v>
      </c>
      <c r="D163" s="21">
        <v>45357</v>
      </c>
      <c r="E163" s="21" t="s">
        <v>47</v>
      </c>
      <c r="F163" s="19" t="s">
        <v>48</v>
      </c>
      <c r="G163" s="19" t="s">
        <v>81</v>
      </c>
      <c r="H163" s="19">
        <v>11.5</v>
      </c>
      <c r="I163" s="41">
        <v>1380</v>
      </c>
      <c r="J163" s="42"/>
      <c r="K163" s="43"/>
      <c r="L163" s="42"/>
      <c r="M163" s="44"/>
      <c r="N163" s="45"/>
      <c r="O163" s="46">
        <f t="shared" si="88"/>
        <v>1380</v>
      </c>
      <c r="P163" s="48"/>
      <c r="Q163" s="48"/>
      <c r="R163" s="78">
        <f t="shared" si="83"/>
        <v>790.625</v>
      </c>
      <c r="S163" s="78"/>
      <c r="T163" s="79">
        <f t="shared" si="84"/>
        <v>10.926796875</v>
      </c>
      <c r="U163" s="78"/>
      <c r="V163" s="78"/>
      <c r="W163" s="80">
        <f t="shared" si="79"/>
        <v>801.551796875</v>
      </c>
      <c r="X163" s="81">
        <f t="shared" si="85"/>
        <v>15.300390625</v>
      </c>
      <c r="Y163" s="81"/>
      <c r="Z163" s="81"/>
      <c r="AA163" s="81">
        <f t="shared" si="82"/>
        <v>15.300390625</v>
      </c>
      <c r="AB163" s="90">
        <v>7.19</v>
      </c>
      <c r="AC163" s="78">
        <f t="shared" si="80"/>
        <v>110.00980859375</v>
      </c>
      <c r="AD163" s="78">
        <f t="shared" si="81"/>
        <v>911.56160546875</v>
      </c>
      <c r="AE163" s="78">
        <f t="shared" si="77"/>
        <v>468.43839453125</v>
      </c>
    </row>
    <row r="164" customFormat="1" spans="1:31">
      <c r="A164" s="18"/>
      <c r="B164" s="19"/>
      <c r="C164" s="20">
        <v>240302000006</v>
      </c>
      <c r="D164" s="21">
        <v>45357</v>
      </c>
      <c r="E164" s="21" t="s">
        <v>47</v>
      </c>
      <c r="F164" s="19" t="s">
        <v>48</v>
      </c>
      <c r="G164" s="19" t="s">
        <v>137</v>
      </c>
      <c r="H164" s="19">
        <v>1.5</v>
      </c>
      <c r="I164" s="41">
        <v>172.5</v>
      </c>
      <c r="J164" s="42"/>
      <c r="K164" s="43"/>
      <c r="L164" s="42"/>
      <c r="M164" s="44"/>
      <c r="N164" s="45"/>
      <c r="O164" s="46">
        <f t="shared" si="88"/>
        <v>172.5</v>
      </c>
      <c r="P164" s="48"/>
      <c r="Q164" s="48"/>
      <c r="R164" s="78">
        <f t="shared" si="83"/>
        <v>103.125</v>
      </c>
      <c r="S164" s="78"/>
      <c r="T164" s="79">
        <f t="shared" si="84"/>
        <v>1.425234375</v>
      </c>
      <c r="U164" s="78"/>
      <c r="V164" s="78"/>
      <c r="W164" s="80">
        <f t="shared" si="79"/>
        <v>104.550234375</v>
      </c>
      <c r="X164" s="81">
        <f t="shared" si="85"/>
        <v>1.995703125</v>
      </c>
      <c r="Y164" s="81"/>
      <c r="Z164" s="81"/>
      <c r="AA164" s="81">
        <f t="shared" si="82"/>
        <v>1.995703125</v>
      </c>
      <c r="AB164" s="90">
        <v>7.19</v>
      </c>
      <c r="AC164" s="78">
        <f t="shared" si="80"/>
        <v>14.34910546875</v>
      </c>
      <c r="AD164" s="78">
        <f t="shared" si="81"/>
        <v>118.89933984375</v>
      </c>
      <c r="AE164" s="78">
        <f t="shared" si="77"/>
        <v>53.60066015625</v>
      </c>
    </row>
    <row r="165" customFormat="1" spans="1:31">
      <c r="A165" s="18"/>
      <c r="B165" s="19"/>
      <c r="C165" s="20">
        <v>240302000016</v>
      </c>
      <c r="D165" s="21">
        <v>45357</v>
      </c>
      <c r="E165" s="21" t="s">
        <v>47</v>
      </c>
      <c r="F165" s="19" t="s">
        <v>93</v>
      </c>
      <c r="G165" s="19" t="s">
        <v>94</v>
      </c>
      <c r="H165" s="19">
        <v>3.5</v>
      </c>
      <c r="I165" s="46"/>
      <c r="J165" s="54">
        <v>90704</v>
      </c>
      <c r="K165" s="55"/>
      <c r="L165" s="50">
        <f t="shared" si="86"/>
        <v>1599.99994355266</v>
      </c>
      <c r="M165" s="52">
        <v>56.690002</v>
      </c>
      <c r="N165" s="45">
        <v>7.19</v>
      </c>
      <c r="O165" s="46">
        <f t="shared" si="87"/>
        <v>407.60111438</v>
      </c>
      <c r="P165" s="48"/>
      <c r="Q165" s="48"/>
      <c r="R165" s="78">
        <f t="shared" si="83"/>
        <v>240.625</v>
      </c>
      <c r="S165" s="78"/>
      <c r="T165" s="79">
        <f t="shared" si="84"/>
        <v>3.325546875</v>
      </c>
      <c r="U165" s="78"/>
      <c r="V165" s="78"/>
      <c r="W165" s="80">
        <f t="shared" si="79"/>
        <v>243.950546875</v>
      </c>
      <c r="X165" s="81">
        <f t="shared" si="85"/>
        <v>4.656640625</v>
      </c>
      <c r="Y165" s="81"/>
      <c r="Z165" s="81"/>
      <c r="AA165" s="81">
        <f t="shared" si="82"/>
        <v>4.656640625</v>
      </c>
      <c r="AB165" s="90">
        <v>7.19</v>
      </c>
      <c r="AC165" s="78">
        <f t="shared" si="80"/>
        <v>33.48124609375</v>
      </c>
      <c r="AD165" s="78">
        <f t="shared" si="81"/>
        <v>277.43179296875</v>
      </c>
      <c r="AE165" s="78">
        <f t="shared" si="77"/>
        <v>130.16932141125</v>
      </c>
    </row>
    <row r="166" customFormat="1" spans="1:31">
      <c r="A166" s="18"/>
      <c r="B166" s="19"/>
      <c r="C166" s="20">
        <v>240302000017</v>
      </c>
      <c r="D166" s="21">
        <v>45357</v>
      </c>
      <c r="E166" s="21" t="s">
        <v>41</v>
      </c>
      <c r="F166" s="19" t="s">
        <v>42</v>
      </c>
      <c r="G166" s="19" t="s">
        <v>181</v>
      </c>
      <c r="H166" s="19">
        <v>0.922</v>
      </c>
      <c r="I166" s="46"/>
      <c r="J166" s="54">
        <v>25920</v>
      </c>
      <c r="K166" s="55"/>
      <c r="L166" s="50">
        <f t="shared" si="86"/>
        <v>1600</v>
      </c>
      <c r="M166" s="52">
        <v>16.2</v>
      </c>
      <c r="N166" s="45">
        <v>7.19</v>
      </c>
      <c r="O166" s="46">
        <f t="shared" si="87"/>
        <v>116.478</v>
      </c>
      <c r="P166" s="48"/>
      <c r="Q166" s="48"/>
      <c r="R166" s="78">
        <f t="shared" si="83"/>
        <v>63.3875</v>
      </c>
      <c r="S166" s="78"/>
      <c r="T166" s="79">
        <f t="shared" si="84"/>
        <v>0.8760440625</v>
      </c>
      <c r="U166" s="78"/>
      <c r="V166" s="78"/>
      <c r="W166" s="80">
        <f t="shared" si="79"/>
        <v>64.2635440625</v>
      </c>
      <c r="X166" s="81">
        <f t="shared" si="85"/>
        <v>1.2266921875</v>
      </c>
      <c r="Y166" s="81"/>
      <c r="Z166" s="81"/>
      <c r="AA166" s="81">
        <f t="shared" si="82"/>
        <v>1.2266921875</v>
      </c>
      <c r="AB166" s="90">
        <v>7.19</v>
      </c>
      <c r="AC166" s="78">
        <f t="shared" si="80"/>
        <v>8.819916828125</v>
      </c>
      <c r="AD166" s="78">
        <f t="shared" si="81"/>
        <v>73.083460890625</v>
      </c>
      <c r="AE166" s="78">
        <f t="shared" si="77"/>
        <v>43.394539109375</v>
      </c>
    </row>
    <row r="167" customFormat="1" spans="1:31">
      <c r="A167" s="18"/>
      <c r="B167" s="19"/>
      <c r="C167" s="20">
        <v>240303000002</v>
      </c>
      <c r="D167" s="21">
        <v>45357</v>
      </c>
      <c r="E167" s="21" t="s">
        <v>70</v>
      </c>
      <c r="F167" s="19" t="s">
        <v>182</v>
      </c>
      <c r="G167" s="19" t="s">
        <v>183</v>
      </c>
      <c r="H167" s="19">
        <v>33.5</v>
      </c>
      <c r="I167" s="41">
        <v>4020.5</v>
      </c>
      <c r="J167" s="42"/>
      <c r="K167" s="43"/>
      <c r="L167" s="42"/>
      <c r="M167" s="44"/>
      <c r="N167" s="45"/>
      <c r="O167" s="46">
        <f t="shared" ref="O167:O175" si="89">SUM(I167)</f>
        <v>4020.5</v>
      </c>
      <c r="P167" s="48"/>
      <c r="Q167" s="48"/>
      <c r="R167" s="78">
        <f t="shared" si="83"/>
        <v>2303.125</v>
      </c>
      <c r="S167" s="78"/>
      <c r="T167" s="79">
        <f t="shared" si="84"/>
        <v>31.830234375</v>
      </c>
      <c r="U167" s="78"/>
      <c r="V167" s="78"/>
      <c r="W167" s="80">
        <f t="shared" si="79"/>
        <v>2334.955234375</v>
      </c>
      <c r="X167" s="81">
        <f t="shared" si="85"/>
        <v>44.570703125</v>
      </c>
      <c r="Y167" s="81"/>
      <c r="Z167" s="81"/>
      <c r="AA167" s="81">
        <f t="shared" si="82"/>
        <v>44.570703125</v>
      </c>
      <c r="AB167" s="90">
        <v>7.19</v>
      </c>
      <c r="AC167" s="78">
        <f t="shared" si="80"/>
        <v>320.46335546875</v>
      </c>
      <c r="AD167" s="78">
        <f t="shared" si="81"/>
        <v>2655.41858984375</v>
      </c>
      <c r="AE167" s="78">
        <f t="shared" si="77"/>
        <v>1365.08141015625</v>
      </c>
    </row>
    <row r="168" customFormat="1" spans="1:31">
      <c r="A168" s="18"/>
      <c r="B168" s="19"/>
      <c r="C168" s="20">
        <v>240303000003</v>
      </c>
      <c r="D168" s="21">
        <v>45357</v>
      </c>
      <c r="E168" s="21" t="s">
        <v>47</v>
      </c>
      <c r="F168" s="19" t="s">
        <v>93</v>
      </c>
      <c r="G168" s="19" t="s">
        <v>94</v>
      </c>
      <c r="H168" s="19">
        <v>0.46</v>
      </c>
      <c r="I168" s="46"/>
      <c r="J168" s="54">
        <v>25904</v>
      </c>
      <c r="K168" s="55"/>
      <c r="L168" s="50">
        <f>SUM(J168/M168)</f>
        <v>1600</v>
      </c>
      <c r="M168" s="52">
        <v>16.19</v>
      </c>
      <c r="N168" s="45">
        <v>7.19</v>
      </c>
      <c r="O168" s="46">
        <f t="shared" ref="O168:O170" si="90">SUM(M168*N168)</f>
        <v>116.4061</v>
      </c>
      <c r="P168" s="48"/>
      <c r="Q168" s="48"/>
      <c r="R168" s="78">
        <f t="shared" si="83"/>
        <v>31.625</v>
      </c>
      <c r="S168" s="78"/>
      <c r="T168" s="79">
        <f t="shared" si="84"/>
        <v>0.437071875</v>
      </c>
      <c r="U168" s="78"/>
      <c r="V168" s="78"/>
      <c r="W168" s="80">
        <f t="shared" si="79"/>
        <v>32.062071875</v>
      </c>
      <c r="X168" s="81">
        <f t="shared" si="85"/>
        <v>0.612015625</v>
      </c>
      <c r="Y168" s="81"/>
      <c r="Z168" s="81"/>
      <c r="AA168" s="81">
        <f t="shared" si="82"/>
        <v>0.612015625</v>
      </c>
      <c r="AB168" s="90">
        <v>7.19</v>
      </c>
      <c r="AC168" s="78">
        <f t="shared" si="80"/>
        <v>4.40039234375</v>
      </c>
      <c r="AD168" s="78">
        <f t="shared" si="81"/>
        <v>36.46246421875</v>
      </c>
      <c r="AE168" s="78">
        <f t="shared" si="77"/>
        <v>79.94363578125</v>
      </c>
    </row>
    <row r="169" customFormat="1" spans="1:31">
      <c r="A169" s="18"/>
      <c r="B169" s="19"/>
      <c r="C169" s="20">
        <v>240304000006</v>
      </c>
      <c r="D169" s="21">
        <v>45357</v>
      </c>
      <c r="E169" s="21" t="s">
        <v>44</v>
      </c>
      <c r="F169" s="19" t="s">
        <v>45</v>
      </c>
      <c r="G169" s="19" t="s">
        <v>58</v>
      </c>
      <c r="H169" s="19">
        <v>18.5</v>
      </c>
      <c r="I169" s="49"/>
      <c r="J169" s="50">
        <v>474432.5</v>
      </c>
      <c r="K169" s="51"/>
      <c r="L169" s="50">
        <f>SUM(J169/M169)</f>
        <v>1603.40836121532</v>
      </c>
      <c r="M169" s="52">
        <v>295.89</v>
      </c>
      <c r="N169" s="45">
        <v>7.19</v>
      </c>
      <c r="O169" s="46">
        <f t="shared" si="90"/>
        <v>2127.4491</v>
      </c>
      <c r="P169" s="48"/>
      <c r="Q169" s="48"/>
      <c r="R169" s="78">
        <f t="shared" si="83"/>
        <v>1271.875</v>
      </c>
      <c r="S169" s="78"/>
      <c r="T169" s="79">
        <f t="shared" si="84"/>
        <v>17.577890625</v>
      </c>
      <c r="U169" s="78"/>
      <c r="V169" s="78"/>
      <c r="W169" s="80">
        <f t="shared" si="79"/>
        <v>1289.452890625</v>
      </c>
      <c r="X169" s="81">
        <f t="shared" si="85"/>
        <v>24.613671875</v>
      </c>
      <c r="Y169" s="81"/>
      <c r="Z169" s="81"/>
      <c r="AA169" s="81">
        <f t="shared" si="82"/>
        <v>24.613671875</v>
      </c>
      <c r="AB169" s="90">
        <v>7.19</v>
      </c>
      <c r="AC169" s="78">
        <f t="shared" si="80"/>
        <v>176.97230078125</v>
      </c>
      <c r="AD169" s="78">
        <f t="shared" si="81"/>
        <v>1466.42519140625</v>
      </c>
      <c r="AE169" s="78">
        <f t="shared" si="77"/>
        <v>661.02390859375</v>
      </c>
    </row>
    <row r="170" customFormat="1" spans="1:31">
      <c r="A170" s="18"/>
      <c r="B170" s="19"/>
      <c r="C170" s="20">
        <v>240304000008</v>
      </c>
      <c r="D170" s="21">
        <v>45357</v>
      </c>
      <c r="E170" s="21" t="s">
        <v>44</v>
      </c>
      <c r="F170" s="19" t="s">
        <v>45</v>
      </c>
      <c r="G170" s="19" t="s">
        <v>58</v>
      </c>
      <c r="H170" s="19">
        <v>14.5</v>
      </c>
      <c r="I170" s="49"/>
      <c r="J170" s="50">
        <v>371852.5</v>
      </c>
      <c r="K170" s="51"/>
      <c r="L170" s="50">
        <f>SUM(J170/M170)</f>
        <v>1603.43452201285</v>
      </c>
      <c r="M170" s="52">
        <v>231.91</v>
      </c>
      <c r="N170" s="45">
        <v>7.19</v>
      </c>
      <c r="O170" s="46">
        <f t="shared" si="90"/>
        <v>1667.4329</v>
      </c>
      <c r="P170" s="48"/>
      <c r="Q170" s="48"/>
      <c r="R170" s="78">
        <f t="shared" si="83"/>
        <v>996.875</v>
      </c>
      <c r="S170" s="78"/>
      <c r="T170" s="79">
        <f t="shared" si="84"/>
        <v>13.777265625</v>
      </c>
      <c r="U170" s="78"/>
      <c r="V170" s="78"/>
      <c r="W170" s="80">
        <f t="shared" si="79"/>
        <v>1010.652265625</v>
      </c>
      <c r="X170" s="81">
        <f t="shared" si="85"/>
        <v>19.291796875</v>
      </c>
      <c r="Y170" s="81"/>
      <c r="Z170" s="81"/>
      <c r="AA170" s="81">
        <f t="shared" si="82"/>
        <v>19.291796875</v>
      </c>
      <c r="AB170" s="90">
        <v>7.19</v>
      </c>
      <c r="AC170" s="78">
        <f t="shared" si="80"/>
        <v>138.70801953125</v>
      </c>
      <c r="AD170" s="78">
        <f t="shared" si="81"/>
        <v>1149.36028515625</v>
      </c>
      <c r="AE170" s="78">
        <f t="shared" si="77"/>
        <v>518.07261484375</v>
      </c>
    </row>
    <row r="171" customFormat="1" spans="1:31">
      <c r="A171" s="18"/>
      <c r="B171" s="19"/>
      <c r="C171" s="20">
        <v>240304000016</v>
      </c>
      <c r="D171" s="21">
        <v>45357</v>
      </c>
      <c r="E171" s="21" t="s">
        <v>44</v>
      </c>
      <c r="F171" s="19" t="s">
        <v>45</v>
      </c>
      <c r="G171" s="19" t="s">
        <v>100</v>
      </c>
      <c r="H171" s="19">
        <v>13.5</v>
      </c>
      <c r="I171" s="41">
        <v>1620</v>
      </c>
      <c r="J171" s="42"/>
      <c r="K171" s="43"/>
      <c r="L171" s="42"/>
      <c r="M171" s="44"/>
      <c r="N171" s="45"/>
      <c r="O171" s="46">
        <f t="shared" si="89"/>
        <v>1620</v>
      </c>
      <c r="P171" s="48"/>
      <c r="Q171" s="48"/>
      <c r="R171" s="78">
        <f t="shared" si="83"/>
        <v>928.125</v>
      </c>
      <c r="S171" s="78"/>
      <c r="T171" s="79">
        <f t="shared" si="84"/>
        <v>12.827109375</v>
      </c>
      <c r="U171" s="78"/>
      <c r="V171" s="78"/>
      <c r="W171" s="80">
        <f t="shared" si="79"/>
        <v>940.952109375</v>
      </c>
      <c r="X171" s="81">
        <f t="shared" si="85"/>
        <v>17.961328125</v>
      </c>
      <c r="Y171" s="81"/>
      <c r="Z171" s="81"/>
      <c r="AA171" s="81">
        <f t="shared" si="82"/>
        <v>17.961328125</v>
      </c>
      <c r="AB171" s="90">
        <v>7.19</v>
      </c>
      <c r="AC171" s="78">
        <f t="shared" si="80"/>
        <v>129.14194921875</v>
      </c>
      <c r="AD171" s="78">
        <f t="shared" si="81"/>
        <v>1070.09405859375</v>
      </c>
      <c r="AE171" s="78">
        <f t="shared" ref="AE171:AE180" si="91">SUM(O171-AD171)</f>
        <v>549.90594140625</v>
      </c>
    </row>
    <row r="172" customFormat="1" spans="1:31">
      <c r="A172" s="18"/>
      <c r="B172" s="19"/>
      <c r="C172" s="20">
        <v>240304000033</v>
      </c>
      <c r="D172" s="21">
        <v>45357</v>
      </c>
      <c r="E172" s="21" t="s">
        <v>70</v>
      </c>
      <c r="F172" s="19" t="s">
        <v>70</v>
      </c>
      <c r="G172" s="19" t="s">
        <v>184</v>
      </c>
      <c r="H172" s="19">
        <v>0.54</v>
      </c>
      <c r="I172" s="41">
        <v>120</v>
      </c>
      <c r="J172" s="53"/>
      <c r="K172" s="51"/>
      <c r="L172" s="53"/>
      <c r="M172" s="44"/>
      <c r="N172" s="45"/>
      <c r="O172" s="46">
        <f t="shared" si="89"/>
        <v>120</v>
      </c>
      <c r="P172" s="48"/>
      <c r="Q172" s="48"/>
      <c r="R172" s="78">
        <f t="shared" si="83"/>
        <v>37.125</v>
      </c>
      <c r="S172" s="78"/>
      <c r="T172" s="79">
        <f t="shared" si="84"/>
        <v>0.513084375</v>
      </c>
      <c r="U172" s="78"/>
      <c r="V172" s="78"/>
      <c r="W172" s="80">
        <f t="shared" si="79"/>
        <v>37.638084375</v>
      </c>
      <c r="X172" s="81">
        <f t="shared" si="85"/>
        <v>0.718453125</v>
      </c>
      <c r="Y172" s="81"/>
      <c r="Z172" s="81"/>
      <c r="AA172" s="81">
        <f t="shared" si="82"/>
        <v>0.718453125</v>
      </c>
      <c r="AB172" s="90">
        <v>7.19</v>
      </c>
      <c r="AC172" s="78">
        <f t="shared" si="80"/>
        <v>5.16567796875</v>
      </c>
      <c r="AD172" s="78">
        <f t="shared" si="81"/>
        <v>42.80376234375</v>
      </c>
      <c r="AE172" s="78">
        <f t="shared" si="91"/>
        <v>77.19623765625</v>
      </c>
    </row>
    <row r="173" customFormat="1" spans="1:31">
      <c r="A173" s="18"/>
      <c r="B173" s="19"/>
      <c r="C173" s="20">
        <v>240305000010</v>
      </c>
      <c r="D173" s="21">
        <v>45357</v>
      </c>
      <c r="E173" s="21" t="s">
        <v>44</v>
      </c>
      <c r="F173" s="19" t="s">
        <v>45</v>
      </c>
      <c r="G173" s="19" t="s">
        <v>100</v>
      </c>
      <c r="H173" s="19">
        <v>3</v>
      </c>
      <c r="I173" s="41">
        <v>360</v>
      </c>
      <c r="J173" s="42"/>
      <c r="K173" s="43"/>
      <c r="L173" s="42"/>
      <c r="M173" s="44"/>
      <c r="N173" s="45"/>
      <c r="O173" s="46">
        <f t="shared" si="89"/>
        <v>360</v>
      </c>
      <c r="P173" s="58"/>
      <c r="Q173" s="58"/>
      <c r="R173" s="78">
        <f t="shared" si="83"/>
        <v>206.25</v>
      </c>
      <c r="S173" s="78"/>
      <c r="T173" s="79">
        <f t="shared" si="84"/>
        <v>2.85046875</v>
      </c>
      <c r="U173" s="78"/>
      <c r="V173" s="78"/>
      <c r="W173" s="80">
        <f t="shared" ref="W173:W179" si="92">SUM(R173:V173)</f>
        <v>209.10046875</v>
      </c>
      <c r="X173" s="81">
        <f t="shared" si="85"/>
        <v>3.99140625</v>
      </c>
      <c r="Y173" s="81"/>
      <c r="Z173" s="81"/>
      <c r="AA173" s="81">
        <f t="shared" si="82"/>
        <v>3.99140625</v>
      </c>
      <c r="AB173" s="90">
        <v>7.19</v>
      </c>
      <c r="AC173" s="78">
        <f t="shared" ref="AC173:AC180" si="93">SUM(AA173*AB173)</f>
        <v>28.6982109375</v>
      </c>
      <c r="AD173" s="78">
        <f t="shared" ref="AD173:AD180" si="94">SUM(W173+AC173)</f>
        <v>237.7986796875</v>
      </c>
      <c r="AE173" s="78">
        <f t="shared" si="91"/>
        <v>122.2013203125</v>
      </c>
    </row>
    <row r="174" customFormat="1" spans="1:31">
      <c r="A174" s="18" t="s">
        <v>185</v>
      </c>
      <c r="B174" s="19" t="s">
        <v>186</v>
      </c>
      <c r="C174" s="20">
        <v>240304000037</v>
      </c>
      <c r="D174" s="21">
        <v>45359</v>
      </c>
      <c r="E174" s="21" t="s">
        <v>70</v>
      </c>
      <c r="F174" s="19" t="s">
        <v>70</v>
      </c>
      <c r="G174" s="19" t="s">
        <v>187</v>
      </c>
      <c r="H174" s="19">
        <v>6.5</v>
      </c>
      <c r="I174" s="41">
        <v>780</v>
      </c>
      <c r="J174" s="53"/>
      <c r="K174" s="51"/>
      <c r="L174" s="53"/>
      <c r="M174" s="44"/>
      <c r="N174" s="45"/>
      <c r="O174" s="46">
        <f t="shared" si="89"/>
        <v>780</v>
      </c>
      <c r="P174" s="47">
        <f>SUM(O174:O179)</f>
        <v>19765.3711</v>
      </c>
      <c r="Q174" s="47" t="s">
        <v>78</v>
      </c>
      <c r="R174" s="78">
        <f t="shared" ref="R174:R179" si="95">SUM(11000/160)*H174</f>
        <v>446.875</v>
      </c>
      <c r="S174" s="78"/>
      <c r="T174" s="79">
        <f t="shared" ref="T174:T179" si="96">SUM(62.81/160)*H174</f>
        <v>2.55165625</v>
      </c>
      <c r="U174" s="78"/>
      <c r="V174" s="78"/>
      <c r="W174" s="80">
        <f t="shared" si="92"/>
        <v>449.42665625</v>
      </c>
      <c r="X174" s="81">
        <f t="shared" ref="X174:X179" si="97">SUM(155.42/160)*H174</f>
        <v>6.3139375</v>
      </c>
      <c r="Y174" s="81"/>
      <c r="Z174" s="81"/>
      <c r="AA174" s="81">
        <f t="shared" ref="AA174:AA180" si="98">SUM(X174:Z174)</f>
        <v>6.3139375</v>
      </c>
      <c r="AB174" s="90">
        <v>7.19</v>
      </c>
      <c r="AC174" s="78">
        <f t="shared" si="93"/>
        <v>45.397210625</v>
      </c>
      <c r="AD174" s="78">
        <f t="shared" si="94"/>
        <v>494.823866875</v>
      </c>
      <c r="AE174" s="78">
        <f t="shared" si="91"/>
        <v>285.176133125</v>
      </c>
    </row>
    <row r="175" customFormat="1" spans="1:31">
      <c r="A175" s="18"/>
      <c r="B175" s="19"/>
      <c r="C175" s="20">
        <v>240304000040</v>
      </c>
      <c r="D175" s="21">
        <v>45359</v>
      </c>
      <c r="E175" s="21" t="s">
        <v>47</v>
      </c>
      <c r="F175" s="19" t="s">
        <v>48</v>
      </c>
      <c r="G175" s="19" t="s">
        <v>137</v>
      </c>
      <c r="H175" s="19">
        <v>3</v>
      </c>
      <c r="I175" s="41">
        <v>345</v>
      </c>
      <c r="J175" s="42"/>
      <c r="K175" s="43"/>
      <c r="L175" s="42"/>
      <c r="M175" s="44"/>
      <c r="N175" s="45"/>
      <c r="O175" s="46">
        <f t="shared" si="89"/>
        <v>345</v>
      </c>
      <c r="P175" s="48"/>
      <c r="Q175" s="48"/>
      <c r="R175" s="78">
        <f t="shared" si="95"/>
        <v>206.25</v>
      </c>
      <c r="S175" s="78"/>
      <c r="T175" s="79">
        <f t="shared" si="96"/>
        <v>1.1776875</v>
      </c>
      <c r="U175" s="78"/>
      <c r="V175" s="78"/>
      <c r="W175" s="80">
        <f t="shared" si="92"/>
        <v>207.4276875</v>
      </c>
      <c r="X175" s="81">
        <f t="shared" si="97"/>
        <v>2.914125</v>
      </c>
      <c r="Y175" s="81"/>
      <c r="Z175" s="81"/>
      <c r="AA175" s="81">
        <f t="shared" si="98"/>
        <v>2.914125</v>
      </c>
      <c r="AB175" s="90">
        <v>7.19</v>
      </c>
      <c r="AC175" s="78">
        <f t="shared" si="93"/>
        <v>20.95255875</v>
      </c>
      <c r="AD175" s="78">
        <f t="shared" si="94"/>
        <v>228.38024625</v>
      </c>
      <c r="AE175" s="78">
        <f t="shared" si="91"/>
        <v>116.61975375</v>
      </c>
    </row>
    <row r="176" customFormat="1" spans="1:31">
      <c r="A176" s="18"/>
      <c r="B176" s="19"/>
      <c r="C176" s="20">
        <v>240304000046</v>
      </c>
      <c r="D176" s="21">
        <v>45359</v>
      </c>
      <c r="E176" s="21" t="s">
        <v>47</v>
      </c>
      <c r="F176" s="19" t="s">
        <v>48</v>
      </c>
      <c r="G176" s="19" t="s">
        <v>188</v>
      </c>
      <c r="H176" s="19">
        <v>3.5</v>
      </c>
      <c r="I176" s="49"/>
      <c r="J176" s="50">
        <v>93660</v>
      </c>
      <c r="K176" s="51"/>
      <c r="L176" s="50">
        <f>SUM(J176/M176)</f>
        <v>1603.4925526451</v>
      </c>
      <c r="M176" s="52">
        <v>58.41</v>
      </c>
      <c r="N176" s="45">
        <v>7.19</v>
      </c>
      <c r="O176" s="46">
        <f t="shared" ref="O176:O180" si="99">SUM(M176*N176)</f>
        <v>419.9679</v>
      </c>
      <c r="P176" s="48"/>
      <c r="Q176" s="48"/>
      <c r="R176" s="78">
        <f t="shared" si="95"/>
        <v>240.625</v>
      </c>
      <c r="S176" s="78"/>
      <c r="T176" s="79">
        <f t="shared" si="96"/>
        <v>1.37396875</v>
      </c>
      <c r="U176" s="78"/>
      <c r="V176" s="78"/>
      <c r="W176" s="80">
        <f t="shared" si="92"/>
        <v>241.99896875</v>
      </c>
      <c r="X176" s="81">
        <f t="shared" si="97"/>
        <v>3.3998125</v>
      </c>
      <c r="Y176" s="81"/>
      <c r="Z176" s="81"/>
      <c r="AA176" s="81">
        <f t="shared" si="98"/>
        <v>3.3998125</v>
      </c>
      <c r="AB176" s="90">
        <v>7.19</v>
      </c>
      <c r="AC176" s="78">
        <f t="shared" si="93"/>
        <v>24.444651875</v>
      </c>
      <c r="AD176" s="78">
        <f t="shared" si="94"/>
        <v>266.443620625</v>
      </c>
      <c r="AE176" s="78">
        <f t="shared" si="91"/>
        <v>153.524279375</v>
      </c>
    </row>
    <row r="177" customFormat="1" spans="1:31">
      <c r="A177" s="18"/>
      <c r="B177" s="19"/>
      <c r="C177" s="20">
        <v>240305000017</v>
      </c>
      <c r="D177" s="21">
        <v>45359</v>
      </c>
      <c r="E177" s="21" t="s">
        <v>51</v>
      </c>
      <c r="F177" s="19" t="s">
        <v>65</v>
      </c>
      <c r="G177" s="19" t="s">
        <v>189</v>
      </c>
      <c r="H177" s="19">
        <v>0.14</v>
      </c>
      <c r="I177" s="41">
        <v>150</v>
      </c>
      <c r="J177" s="42"/>
      <c r="K177" s="43"/>
      <c r="L177" s="42"/>
      <c r="M177" s="44"/>
      <c r="N177" s="45"/>
      <c r="O177" s="46">
        <f t="shared" ref="O177:O181" si="100">SUM(I177)</f>
        <v>150</v>
      </c>
      <c r="P177" s="48"/>
      <c r="Q177" s="48"/>
      <c r="R177" s="78">
        <f t="shared" si="95"/>
        <v>9.625</v>
      </c>
      <c r="S177" s="78"/>
      <c r="T177" s="79">
        <f t="shared" si="96"/>
        <v>0.05495875</v>
      </c>
      <c r="U177" s="78"/>
      <c r="V177" s="78"/>
      <c r="W177" s="80">
        <f t="shared" si="92"/>
        <v>9.67995875</v>
      </c>
      <c r="X177" s="81">
        <f t="shared" si="97"/>
        <v>0.1359925</v>
      </c>
      <c r="Y177" s="81"/>
      <c r="Z177" s="81"/>
      <c r="AA177" s="81">
        <f t="shared" si="98"/>
        <v>0.1359925</v>
      </c>
      <c r="AB177" s="90">
        <v>7.19</v>
      </c>
      <c r="AC177" s="78">
        <f t="shared" si="93"/>
        <v>0.977786075</v>
      </c>
      <c r="AD177" s="78">
        <f t="shared" si="94"/>
        <v>10.657744825</v>
      </c>
      <c r="AE177" s="78">
        <f t="shared" si="91"/>
        <v>139.342255175</v>
      </c>
    </row>
    <row r="178" customFormat="1" spans="1:31">
      <c r="A178" s="18"/>
      <c r="B178" s="19"/>
      <c r="C178" s="20">
        <v>240305000031</v>
      </c>
      <c r="D178" s="21">
        <v>45359</v>
      </c>
      <c r="E178" s="21" t="s">
        <v>70</v>
      </c>
      <c r="F178" s="19" t="s">
        <v>70</v>
      </c>
      <c r="G178" s="19" t="s">
        <v>71</v>
      </c>
      <c r="H178" s="19">
        <v>2</v>
      </c>
      <c r="I178" s="41">
        <v>230</v>
      </c>
      <c r="J178" s="53"/>
      <c r="K178" s="51"/>
      <c r="L178" s="53"/>
      <c r="M178" s="44"/>
      <c r="N178" s="45"/>
      <c r="O178" s="46">
        <f t="shared" si="100"/>
        <v>230</v>
      </c>
      <c r="P178" s="48"/>
      <c r="Q178" s="48"/>
      <c r="R178" s="78">
        <f t="shared" si="95"/>
        <v>137.5</v>
      </c>
      <c r="S178" s="78"/>
      <c r="T178" s="79">
        <f t="shared" si="96"/>
        <v>0.785125</v>
      </c>
      <c r="U178" s="78"/>
      <c r="V178" s="78"/>
      <c r="W178" s="80">
        <f t="shared" si="92"/>
        <v>138.285125</v>
      </c>
      <c r="X178" s="81">
        <f t="shared" si="97"/>
        <v>1.94275</v>
      </c>
      <c r="Y178" s="81"/>
      <c r="Z178" s="81"/>
      <c r="AA178" s="81">
        <f t="shared" si="98"/>
        <v>1.94275</v>
      </c>
      <c r="AB178" s="90">
        <v>7.19</v>
      </c>
      <c r="AC178" s="78">
        <f t="shared" si="93"/>
        <v>13.9683725</v>
      </c>
      <c r="AD178" s="78">
        <f t="shared" ref="AD178:AD210" si="101">SUM(W178+AC178)</f>
        <v>152.2534975</v>
      </c>
      <c r="AE178" s="78">
        <f t="shared" si="91"/>
        <v>77.7465025</v>
      </c>
    </row>
    <row r="179" customFormat="1" spans="1:31">
      <c r="A179" s="18"/>
      <c r="B179" s="19"/>
      <c r="C179" s="20">
        <v>240307000002</v>
      </c>
      <c r="D179" s="21">
        <v>45359</v>
      </c>
      <c r="E179" s="21" t="s">
        <v>70</v>
      </c>
      <c r="F179" s="19" t="s">
        <v>95</v>
      </c>
      <c r="G179" s="19" t="s">
        <v>96</v>
      </c>
      <c r="H179" s="19">
        <v>132</v>
      </c>
      <c r="I179" s="46"/>
      <c r="J179" s="54">
        <v>3975010.56</v>
      </c>
      <c r="K179" s="55"/>
      <c r="L179" s="50">
        <f>SUM(J179/M179)</f>
        <v>1602</v>
      </c>
      <c r="M179" s="52">
        <v>2481.28</v>
      </c>
      <c r="N179" s="45">
        <v>7.19</v>
      </c>
      <c r="O179" s="46">
        <f t="shared" si="99"/>
        <v>17840.4032</v>
      </c>
      <c r="P179" s="58"/>
      <c r="Q179" s="58"/>
      <c r="R179" s="78">
        <f t="shared" si="95"/>
        <v>9075</v>
      </c>
      <c r="S179" s="78"/>
      <c r="T179" s="79">
        <f t="shared" si="96"/>
        <v>51.81825</v>
      </c>
      <c r="U179" s="78"/>
      <c r="V179" s="78"/>
      <c r="W179" s="80">
        <f t="shared" si="92"/>
        <v>9126.81825</v>
      </c>
      <c r="X179" s="81">
        <f t="shared" si="97"/>
        <v>128.2215</v>
      </c>
      <c r="Y179" s="81"/>
      <c r="Z179" s="81"/>
      <c r="AA179" s="81">
        <f t="shared" si="98"/>
        <v>128.2215</v>
      </c>
      <c r="AB179" s="90">
        <v>7.19</v>
      </c>
      <c r="AC179" s="78">
        <f t="shared" ref="AC179:AC210" si="102">SUM(AA179*AB179)</f>
        <v>921.912585</v>
      </c>
      <c r="AD179" s="78">
        <f t="shared" si="101"/>
        <v>10048.730835</v>
      </c>
      <c r="AE179" s="78">
        <f t="shared" ref="AE179:AE210" si="103">SUM(O179-AD179)</f>
        <v>7791.672365</v>
      </c>
    </row>
    <row r="180" customFormat="1" ht="15" customHeight="1" spans="1:31">
      <c r="A180" s="96" t="s">
        <v>190</v>
      </c>
      <c r="B180" s="97" t="s">
        <v>191</v>
      </c>
      <c r="C180" s="20">
        <v>240307000002</v>
      </c>
      <c r="D180" s="21">
        <v>45360</v>
      </c>
      <c r="E180" s="21" t="s">
        <v>70</v>
      </c>
      <c r="F180" s="97" t="s">
        <v>95</v>
      </c>
      <c r="G180" s="97" t="s">
        <v>96</v>
      </c>
      <c r="H180" s="97">
        <v>96</v>
      </c>
      <c r="I180" s="98"/>
      <c r="J180" s="99">
        <v>2581597.44</v>
      </c>
      <c r="K180" s="100"/>
      <c r="L180" s="50">
        <f>SUM(J180/M180)</f>
        <v>1596.94012705757</v>
      </c>
      <c r="M180" s="101">
        <v>1616.59</v>
      </c>
      <c r="N180" s="102">
        <v>7.19</v>
      </c>
      <c r="O180" s="46">
        <f t="shared" si="99"/>
        <v>11623.2821</v>
      </c>
      <c r="P180" s="46">
        <f>SUM(O180)</f>
        <v>11623.2821</v>
      </c>
      <c r="Q180" s="103" t="s">
        <v>78</v>
      </c>
      <c r="R180" s="103">
        <v>6600</v>
      </c>
      <c r="S180" s="103"/>
      <c r="T180" s="103">
        <v>0</v>
      </c>
      <c r="U180" s="103"/>
      <c r="V180" s="103"/>
      <c r="W180" s="80">
        <f t="shared" ref="W180:W210" si="104">SUM(R180:V180)</f>
        <v>6600</v>
      </c>
      <c r="X180" s="55">
        <v>60.4</v>
      </c>
      <c r="Y180" s="55"/>
      <c r="Z180" s="55"/>
      <c r="AA180" s="81">
        <f t="shared" ref="AA180:AA210" si="105">SUM(X180:Z180)</f>
        <v>60.4</v>
      </c>
      <c r="AB180" s="90">
        <v>7.19</v>
      </c>
      <c r="AC180" s="78">
        <f t="shared" si="102"/>
        <v>434.276</v>
      </c>
      <c r="AD180" s="78">
        <f t="shared" si="101"/>
        <v>7034.276</v>
      </c>
      <c r="AE180" s="78">
        <f t="shared" si="103"/>
        <v>4589.0061</v>
      </c>
    </row>
    <row r="181" customFormat="1" spans="1:31">
      <c r="A181" s="18" t="s">
        <v>192</v>
      </c>
      <c r="B181" s="19" t="s">
        <v>193</v>
      </c>
      <c r="C181" s="20">
        <v>240229000018</v>
      </c>
      <c r="D181" s="21">
        <v>45360</v>
      </c>
      <c r="E181" s="21" t="s">
        <v>37</v>
      </c>
      <c r="F181" s="19" t="s">
        <v>38</v>
      </c>
      <c r="G181" s="19" t="s">
        <v>194</v>
      </c>
      <c r="H181" s="19">
        <v>11</v>
      </c>
      <c r="I181" s="41">
        <v>1170</v>
      </c>
      <c r="J181" s="53"/>
      <c r="K181" s="51"/>
      <c r="L181" s="53"/>
      <c r="M181" s="44"/>
      <c r="N181" s="45"/>
      <c r="O181" s="46">
        <f t="shared" si="100"/>
        <v>1170</v>
      </c>
      <c r="P181" s="47">
        <f>SUM(O181:O210)</f>
        <v>91704.50198562</v>
      </c>
      <c r="Q181" s="47" t="s">
        <v>40</v>
      </c>
      <c r="R181" s="78">
        <f>SUM(70219.2/1689)*H181</f>
        <v>457.31865008881</v>
      </c>
      <c r="S181" s="78"/>
      <c r="T181" s="79">
        <f>SUM(120/1689)*H181</f>
        <v>0.781527531083481</v>
      </c>
      <c r="U181" s="78"/>
      <c r="V181" s="78"/>
      <c r="W181" s="80">
        <f t="shared" si="104"/>
        <v>458.100177619893</v>
      </c>
      <c r="X181" s="81">
        <f>SUM(1338.23/1689)*H181</f>
        <v>8.71552989934873</v>
      </c>
      <c r="Y181" s="81"/>
      <c r="Z181" s="81"/>
      <c r="AA181" s="81">
        <f t="shared" si="105"/>
        <v>8.71552989934873</v>
      </c>
      <c r="AB181" s="90">
        <v>7.19</v>
      </c>
      <c r="AC181" s="78">
        <f t="shared" si="102"/>
        <v>62.6646599763174</v>
      </c>
      <c r="AD181" s="78">
        <f t="shared" si="101"/>
        <v>520.764837596211</v>
      </c>
      <c r="AE181" s="78">
        <f t="shared" si="103"/>
        <v>649.235162403789</v>
      </c>
    </row>
    <row r="182" customFormat="1" spans="1:31">
      <c r="A182" s="18"/>
      <c r="B182" s="19"/>
      <c r="C182" s="22">
        <v>240301000008</v>
      </c>
      <c r="D182" s="23">
        <v>45360</v>
      </c>
      <c r="E182" s="21" t="s">
        <v>47</v>
      </c>
      <c r="F182" s="24" t="s">
        <v>48</v>
      </c>
      <c r="G182" s="24" t="s">
        <v>99</v>
      </c>
      <c r="H182" s="24">
        <v>160</v>
      </c>
      <c r="I182" s="49"/>
      <c r="J182" s="50">
        <v>2000000</v>
      </c>
      <c r="K182" s="51"/>
      <c r="L182" s="50">
        <f>SUM(J182/M182)</f>
        <v>1494.03134477761</v>
      </c>
      <c r="M182" s="52">
        <v>1338.66</v>
      </c>
      <c r="N182" s="45">
        <v>7.19</v>
      </c>
      <c r="O182" s="46">
        <f t="shared" ref="O182:O184" si="106">SUM(M182*N182)</f>
        <v>9624.9654</v>
      </c>
      <c r="P182" s="48"/>
      <c r="Q182" s="48"/>
      <c r="R182" s="78">
        <f t="shared" ref="R182:R210" si="107">SUM(70219.2/1689)*H182</f>
        <v>6651.90763765542</v>
      </c>
      <c r="S182" s="78"/>
      <c r="T182" s="79">
        <f t="shared" ref="T182:T210" si="108">SUM(120/1689)*H182</f>
        <v>11.3676731793961</v>
      </c>
      <c r="U182" s="78"/>
      <c r="V182" s="78"/>
      <c r="W182" s="80">
        <f t="shared" si="104"/>
        <v>6663.27531083481</v>
      </c>
      <c r="X182" s="81">
        <f t="shared" ref="X182:X210" si="109">SUM(1338.23/1689)*H182</f>
        <v>126.771343990527</v>
      </c>
      <c r="Y182" s="81"/>
      <c r="Z182" s="81"/>
      <c r="AA182" s="81">
        <f t="shared" si="105"/>
        <v>126.771343990527</v>
      </c>
      <c r="AB182" s="90">
        <v>7.19</v>
      </c>
      <c r="AC182" s="78">
        <f t="shared" si="102"/>
        <v>911.485963291889</v>
      </c>
      <c r="AD182" s="78">
        <f t="shared" si="101"/>
        <v>7574.7612741267</v>
      </c>
      <c r="AE182" s="78">
        <f t="shared" si="103"/>
        <v>2050.2041258733</v>
      </c>
    </row>
    <row r="183" customFormat="1" spans="1:31">
      <c r="A183" s="18"/>
      <c r="B183" s="19"/>
      <c r="C183" s="20">
        <v>240301000016</v>
      </c>
      <c r="D183" s="21">
        <v>45360</v>
      </c>
      <c r="E183" s="21" t="s">
        <v>37</v>
      </c>
      <c r="F183" s="19" t="s">
        <v>38</v>
      </c>
      <c r="G183" s="19" t="s">
        <v>127</v>
      </c>
      <c r="H183" s="19">
        <v>1.5</v>
      </c>
      <c r="I183" s="46"/>
      <c r="J183" s="54">
        <v>20800</v>
      </c>
      <c r="K183" s="55"/>
      <c r="L183" s="50">
        <f>SUM(J183/M183)</f>
        <v>1489.97134670487</v>
      </c>
      <c r="M183" s="52">
        <v>13.96</v>
      </c>
      <c r="N183" s="45">
        <v>7.19</v>
      </c>
      <c r="O183" s="46">
        <f t="shared" si="106"/>
        <v>100.3724</v>
      </c>
      <c r="P183" s="48"/>
      <c r="Q183" s="48"/>
      <c r="R183" s="78">
        <f t="shared" si="107"/>
        <v>62.3616341030195</v>
      </c>
      <c r="S183" s="78"/>
      <c r="T183" s="79">
        <f t="shared" si="108"/>
        <v>0.106571936056838</v>
      </c>
      <c r="U183" s="78"/>
      <c r="V183" s="78"/>
      <c r="W183" s="80">
        <f t="shared" si="104"/>
        <v>62.4682060390764</v>
      </c>
      <c r="X183" s="81">
        <f t="shared" si="109"/>
        <v>1.18848134991119</v>
      </c>
      <c r="Y183" s="81"/>
      <c r="Z183" s="81"/>
      <c r="AA183" s="81">
        <f t="shared" si="105"/>
        <v>1.18848134991119</v>
      </c>
      <c r="AB183" s="90">
        <v>7.19</v>
      </c>
      <c r="AC183" s="78">
        <f t="shared" si="102"/>
        <v>8.54518090586146</v>
      </c>
      <c r="AD183" s="78">
        <f t="shared" si="101"/>
        <v>71.0133869449378</v>
      </c>
      <c r="AE183" s="78">
        <f t="shared" si="103"/>
        <v>29.3590130550622</v>
      </c>
    </row>
    <row r="184" customFormat="1" spans="1:31">
      <c r="A184" s="18"/>
      <c r="B184" s="19"/>
      <c r="C184" s="20">
        <v>240301000019</v>
      </c>
      <c r="D184" s="21">
        <v>45360</v>
      </c>
      <c r="E184" s="21" t="s">
        <v>44</v>
      </c>
      <c r="F184" s="19" t="s">
        <v>45</v>
      </c>
      <c r="G184" s="19" t="s">
        <v>101</v>
      </c>
      <c r="H184" s="19">
        <v>3</v>
      </c>
      <c r="I184" s="46"/>
      <c r="J184" s="54">
        <v>45472</v>
      </c>
      <c r="K184" s="55"/>
      <c r="L184" s="50">
        <f>SUM(J184/M184)</f>
        <v>1600.00011259677</v>
      </c>
      <c r="M184" s="52">
        <v>28.419998</v>
      </c>
      <c r="N184" s="45">
        <v>7.19</v>
      </c>
      <c r="O184" s="46">
        <f t="shared" si="106"/>
        <v>204.33978562</v>
      </c>
      <c r="P184" s="48"/>
      <c r="Q184" s="48"/>
      <c r="R184" s="78">
        <f t="shared" si="107"/>
        <v>124.723268206039</v>
      </c>
      <c r="S184" s="78"/>
      <c r="T184" s="79">
        <f t="shared" si="108"/>
        <v>0.213143872113677</v>
      </c>
      <c r="U184" s="78"/>
      <c r="V184" s="78"/>
      <c r="W184" s="80">
        <f t="shared" si="104"/>
        <v>124.936412078153</v>
      </c>
      <c r="X184" s="81">
        <f t="shared" si="109"/>
        <v>2.37696269982238</v>
      </c>
      <c r="Y184" s="81"/>
      <c r="Z184" s="81"/>
      <c r="AA184" s="81">
        <f t="shared" si="105"/>
        <v>2.37696269982238</v>
      </c>
      <c r="AB184" s="90">
        <v>7.19</v>
      </c>
      <c r="AC184" s="78">
        <f t="shared" si="102"/>
        <v>17.0903618117229</v>
      </c>
      <c r="AD184" s="78">
        <f t="shared" si="101"/>
        <v>142.026773889876</v>
      </c>
      <c r="AE184" s="78">
        <f t="shared" si="103"/>
        <v>62.3130117301243</v>
      </c>
    </row>
    <row r="185" customFormat="1" spans="1:31">
      <c r="A185" s="18"/>
      <c r="B185" s="19"/>
      <c r="C185" s="20">
        <v>240301000024</v>
      </c>
      <c r="D185" s="21">
        <v>45360</v>
      </c>
      <c r="E185" s="21" t="s">
        <v>41</v>
      </c>
      <c r="F185" s="19" t="s">
        <v>42</v>
      </c>
      <c r="G185" s="19" t="s">
        <v>195</v>
      </c>
      <c r="H185" s="19">
        <v>6.5</v>
      </c>
      <c r="I185" s="41">
        <v>408</v>
      </c>
      <c r="J185" s="42"/>
      <c r="K185" s="43"/>
      <c r="L185" s="42"/>
      <c r="M185" s="44"/>
      <c r="N185" s="45"/>
      <c r="O185" s="46">
        <f t="shared" ref="O185:O190" si="110">SUM(I185)</f>
        <v>408</v>
      </c>
      <c r="P185" s="48"/>
      <c r="Q185" s="48"/>
      <c r="R185" s="78">
        <f t="shared" si="107"/>
        <v>270.233747779751</v>
      </c>
      <c r="S185" s="78"/>
      <c r="T185" s="79">
        <f t="shared" si="108"/>
        <v>0.461811722912966</v>
      </c>
      <c r="U185" s="78"/>
      <c r="V185" s="78"/>
      <c r="W185" s="80">
        <f t="shared" si="104"/>
        <v>270.695559502664</v>
      </c>
      <c r="X185" s="81">
        <f t="shared" si="109"/>
        <v>5.15008584961516</v>
      </c>
      <c r="Y185" s="81"/>
      <c r="Z185" s="81"/>
      <c r="AA185" s="81">
        <f t="shared" si="105"/>
        <v>5.15008584961516</v>
      </c>
      <c r="AB185" s="90">
        <v>7.19</v>
      </c>
      <c r="AC185" s="78">
        <f t="shared" si="102"/>
        <v>37.029117258733</v>
      </c>
      <c r="AD185" s="78">
        <f t="shared" si="101"/>
        <v>307.724676761397</v>
      </c>
      <c r="AE185" s="78">
        <f t="shared" si="103"/>
        <v>100.275323238603</v>
      </c>
    </row>
    <row r="186" customFormat="1" spans="1:31">
      <c r="A186" s="18"/>
      <c r="B186" s="19"/>
      <c r="C186" s="20">
        <v>240301000029</v>
      </c>
      <c r="D186" s="21">
        <v>45360</v>
      </c>
      <c r="E186" s="21" t="s">
        <v>47</v>
      </c>
      <c r="F186" s="19" t="s">
        <v>48</v>
      </c>
      <c r="G186" s="19" t="s">
        <v>196</v>
      </c>
      <c r="H186" s="19">
        <v>2.5</v>
      </c>
      <c r="I186" s="41">
        <v>144.6</v>
      </c>
      <c r="J186" s="42"/>
      <c r="K186" s="43"/>
      <c r="L186" s="42"/>
      <c r="M186" s="44"/>
      <c r="N186" s="45"/>
      <c r="O186" s="46">
        <f t="shared" si="110"/>
        <v>144.6</v>
      </c>
      <c r="P186" s="48"/>
      <c r="Q186" s="48"/>
      <c r="R186" s="78">
        <f t="shared" si="107"/>
        <v>103.936056838366</v>
      </c>
      <c r="S186" s="78"/>
      <c r="T186" s="79">
        <f t="shared" si="108"/>
        <v>0.177619893428064</v>
      </c>
      <c r="U186" s="78"/>
      <c r="V186" s="78"/>
      <c r="W186" s="80">
        <f t="shared" si="104"/>
        <v>104.113676731794</v>
      </c>
      <c r="X186" s="81">
        <f t="shared" si="109"/>
        <v>1.98080224985198</v>
      </c>
      <c r="Y186" s="81"/>
      <c r="Z186" s="81"/>
      <c r="AA186" s="81">
        <f t="shared" si="105"/>
        <v>1.98080224985198</v>
      </c>
      <c r="AB186" s="90">
        <v>7.19</v>
      </c>
      <c r="AC186" s="78">
        <f t="shared" si="102"/>
        <v>14.2419681764358</v>
      </c>
      <c r="AD186" s="78">
        <f t="shared" si="101"/>
        <v>118.35564490823</v>
      </c>
      <c r="AE186" s="78">
        <f t="shared" si="103"/>
        <v>26.2443550917703</v>
      </c>
    </row>
    <row r="187" customFormat="1" spans="1:31">
      <c r="A187" s="18"/>
      <c r="B187" s="19"/>
      <c r="C187" s="20">
        <v>240302000008</v>
      </c>
      <c r="D187" s="21">
        <v>45360</v>
      </c>
      <c r="E187" s="21" t="s">
        <v>41</v>
      </c>
      <c r="F187" s="19" t="s">
        <v>42</v>
      </c>
      <c r="G187" s="19" t="s">
        <v>197</v>
      </c>
      <c r="H187" s="19">
        <v>8</v>
      </c>
      <c r="I187" s="41">
        <v>424</v>
      </c>
      <c r="J187" s="42"/>
      <c r="K187" s="43"/>
      <c r="L187" s="42"/>
      <c r="M187" s="44"/>
      <c r="N187" s="45"/>
      <c r="O187" s="46">
        <f t="shared" si="110"/>
        <v>424</v>
      </c>
      <c r="P187" s="48"/>
      <c r="Q187" s="48"/>
      <c r="R187" s="78">
        <f t="shared" si="107"/>
        <v>332.595381882771</v>
      </c>
      <c r="S187" s="78"/>
      <c r="T187" s="79">
        <f t="shared" si="108"/>
        <v>0.568383658969805</v>
      </c>
      <c r="U187" s="78"/>
      <c r="V187" s="78"/>
      <c r="W187" s="80">
        <f t="shared" si="104"/>
        <v>333.163765541741</v>
      </c>
      <c r="X187" s="81">
        <f t="shared" si="109"/>
        <v>6.33856719952635</v>
      </c>
      <c r="Y187" s="81"/>
      <c r="Z187" s="81"/>
      <c r="AA187" s="81">
        <f t="shared" si="105"/>
        <v>6.33856719952635</v>
      </c>
      <c r="AB187" s="90">
        <v>7.19</v>
      </c>
      <c r="AC187" s="78">
        <f t="shared" si="102"/>
        <v>45.5742981645944</v>
      </c>
      <c r="AD187" s="78">
        <f t="shared" si="101"/>
        <v>378.738063706335</v>
      </c>
      <c r="AE187" s="78">
        <f t="shared" si="103"/>
        <v>45.2619362936649</v>
      </c>
    </row>
    <row r="188" customFormat="1" spans="1:31">
      <c r="A188" s="18"/>
      <c r="B188" s="19"/>
      <c r="C188" s="20">
        <v>240302000011</v>
      </c>
      <c r="D188" s="21">
        <v>45360</v>
      </c>
      <c r="E188" s="21" t="s">
        <v>51</v>
      </c>
      <c r="F188" s="19" t="s">
        <v>52</v>
      </c>
      <c r="G188" s="19" t="s">
        <v>198</v>
      </c>
      <c r="H188" s="19">
        <v>105.5</v>
      </c>
      <c r="I188" s="41">
        <v>5275</v>
      </c>
      <c r="J188" s="42"/>
      <c r="K188" s="43"/>
      <c r="L188" s="42"/>
      <c r="M188" s="44"/>
      <c r="N188" s="45"/>
      <c r="O188" s="46">
        <f t="shared" si="110"/>
        <v>5275</v>
      </c>
      <c r="P188" s="48"/>
      <c r="Q188" s="48"/>
      <c r="R188" s="78">
        <f t="shared" si="107"/>
        <v>4386.10159857904</v>
      </c>
      <c r="S188" s="78"/>
      <c r="T188" s="79">
        <f t="shared" si="108"/>
        <v>7.4955595026643</v>
      </c>
      <c r="U188" s="78"/>
      <c r="V188" s="78"/>
      <c r="W188" s="80">
        <f t="shared" si="104"/>
        <v>4393.5971580817</v>
      </c>
      <c r="X188" s="81">
        <f t="shared" si="109"/>
        <v>83.5898549437537</v>
      </c>
      <c r="Y188" s="81"/>
      <c r="Z188" s="81"/>
      <c r="AA188" s="81">
        <f t="shared" si="105"/>
        <v>83.5898549437537</v>
      </c>
      <c r="AB188" s="90">
        <v>7.19</v>
      </c>
      <c r="AC188" s="78">
        <f t="shared" si="102"/>
        <v>601.011057045589</v>
      </c>
      <c r="AD188" s="78">
        <f t="shared" si="101"/>
        <v>4994.60821512729</v>
      </c>
      <c r="AE188" s="78">
        <f t="shared" si="103"/>
        <v>280.391784872706</v>
      </c>
    </row>
    <row r="189" customFormat="1" spans="1:31">
      <c r="A189" s="18"/>
      <c r="B189" s="19"/>
      <c r="C189" s="20">
        <v>240302000012</v>
      </c>
      <c r="D189" s="21">
        <v>45360</v>
      </c>
      <c r="E189" s="21" t="s">
        <v>47</v>
      </c>
      <c r="F189" s="19" t="s">
        <v>48</v>
      </c>
      <c r="G189" s="19" t="s">
        <v>199</v>
      </c>
      <c r="H189" s="19">
        <v>9.5</v>
      </c>
      <c r="I189" s="41">
        <v>659.6</v>
      </c>
      <c r="J189" s="42"/>
      <c r="K189" s="43"/>
      <c r="L189" s="42"/>
      <c r="M189" s="44"/>
      <c r="N189" s="45"/>
      <c r="O189" s="46">
        <f t="shared" si="110"/>
        <v>659.6</v>
      </c>
      <c r="P189" s="48"/>
      <c r="Q189" s="48"/>
      <c r="R189" s="78">
        <f t="shared" si="107"/>
        <v>394.95701598579</v>
      </c>
      <c r="S189" s="78"/>
      <c r="T189" s="79">
        <f t="shared" si="108"/>
        <v>0.674955595026643</v>
      </c>
      <c r="U189" s="78"/>
      <c r="V189" s="78">
        <v>1</v>
      </c>
      <c r="W189" s="80">
        <f t="shared" si="104"/>
        <v>396.631971580817</v>
      </c>
      <c r="X189" s="81">
        <f t="shared" si="109"/>
        <v>7.52704854943754</v>
      </c>
      <c r="Y189" s="81">
        <v>9</v>
      </c>
      <c r="Z189" s="81"/>
      <c r="AA189" s="81">
        <f t="shared" si="105"/>
        <v>16.5270485494375</v>
      </c>
      <c r="AB189" s="90">
        <v>7.19</v>
      </c>
      <c r="AC189" s="78">
        <f t="shared" si="102"/>
        <v>118.829479070456</v>
      </c>
      <c r="AD189" s="78">
        <f t="shared" si="101"/>
        <v>515.461450651273</v>
      </c>
      <c r="AE189" s="78">
        <f t="shared" si="103"/>
        <v>144.138549348727</v>
      </c>
    </row>
    <row r="190" customFormat="1" spans="1:31">
      <c r="A190" s="18"/>
      <c r="B190" s="19"/>
      <c r="C190" s="20">
        <v>240302000014</v>
      </c>
      <c r="D190" s="21">
        <v>45360</v>
      </c>
      <c r="E190" s="21" t="s">
        <v>44</v>
      </c>
      <c r="F190" s="19" t="s">
        <v>45</v>
      </c>
      <c r="G190" s="19" t="s">
        <v>147</v>
      </c>
      <c r="H190" s="19">
        <v>57.5</v>
      </c>
      <c r="I190" s="41">
        <v>3162.5</v>
      </c>
      <c r="J190" s="53"/>
      <c r="K190" s="51"/>
      <c r="L190" s="53"/>
      <c r="M190" s="44"/>
      <c r="N190" s="45"/>
      <c r="O190" s="46">
        <f t="shared" si="110"/>
        <v>3162.5</v>
      </c>
      <c r="P190" s="48"/>
      <c r="Q190" s="48"/>
      <c r="R190" s="78">
        <f t="shared" si="107"/>
        <v>2390.52930728242</v>
      </c>
      <c r="S190" s="78"/>
      <c r="T190" s="79">
        <f t="shared" si="108"/>
        <v>4.08525754884547</v>
      </c>
      <c r="U190" s="78"/>
      <c r="V190" s="78"/>
      <c r="W190" s="80">
        <f t="shared" si="104"/>
        <v>2394.61456483126</v>
      </c>
      <c r="X190" s="81">
        <f t="shared" si="109"/>
        <v>45.5584517465956</v>
      </c>
      <c r="Y190" s="81"/>
      <c r="Z190" s="81"/>
      <c r="AA190" s="81">
        <f t="shared" si="105"/>
        <v>45.5584517465956</v>
      </c>
      <c r="AB190" s="90">
        <v>7.19</v>
      </c>
      <c r="AC190" s="78">
        <f t="shared" si="102"/>
        <v>327.565268058022</v>
      </c>
      <c r="AD190" s="78">
        <f t="shared" si="101"/>
        <v>2722.17983288928</v>
      </c>
      <c r="AE190" s="78">
        <f t="shared" si="103"/>
        <v>440.320167110716</v>
      </c>
    </row>
    <row r="191" customFormat="1" spans="1:31">
      <c r="A191" s="18"/>
      <c r="B191" s="19"/>
      <c r="C191" s="20">
        <v>240302000015</v>
      </c>
      <c r="D191" s="21">
        <v>45360</v>
      </c>
      <c r="E191" s="21" t="s">
        <v>47</v>
      </c>
      <c r="F191" s="19" t="s">
        <v>48</v>
      </c>
      <c r="G191" s="19" t="s">
        <v>200</v>
      </c>
      <c r="H191" s="19">
        <v>10.5</v>
      </c>
      <c r="I191" s="49"/>
      <c r="J191" s="50">
        <v>149989</v>
      </c>
      <c r="K191" s="51"/>
      <c r="L191" s="50">
        <f>SUM(J191/M191)</f>
        <v>1603.4744494334</v>
      </c>
      <c r="M191" s="52">
        <v>93.54</v>
      </c>
      <c r="N191" s="45">
        <v>7.19</v>
      </c>
      <c r="O191" s="46">
        <f>SUM(M191*N191)</f>
        <v>672.5526</v>
      </c>
      <c r="P191" s="48"/>
      <c r="Q191" s="48"/>
      <c r="R191" s="78">
        <f t="shared" si="107"/>
        <v>436.531438721137</v>
      </c>
      <c r="S191" s="78"/>
      <c r="T191" s="79">
        <f t="shared" si="108"/>
        <v>0.746003552397869</v>
      </c>
      <c r="U191" s="78"/>
      <c r="V191" s="78"/>
      <c r="W191" s="80">
        <f t="shared" si="104"/>
        <v>437.277442273535</v>
      </c>
      <c r="X191" s="81">
        <f t="shared" si="109"/>
        <v>8.31936944937833</v>
      </c>
      <c r="Y191" s="81"/>
      <c r="Z191" s="81"/>
      <c r="AA191" s="81">
        <f t="shared" si="105"/>
        <v>8.31936944937833</v>
      </c>
      <c r="AB191" s="90">
        <v>7.19</v>
      </c>
      <c r="AC191" s="78">
        <f t="shared" si="102"/>
        <v>59.8162663410302</v>
      </c>
      <c r="AD191" s="78">
        <f t="shared" si="101"/>
        <v>497.093708614565</v>
      </c>
      <c r="AE191" s="78">
        <f t="shared" si="103"/>
        <v>175.458891385435</v>
      </c>
    </row>
    <row r="192" customFormat="1" spans="1:31">
      <c r="A192" s="18"/>
      <c r="B192" s="19"/>
      <c r="C192" s="20">
        <v>240304000004</v>
      </c>
      <c r="D192" s="21">
        <v>45360</v>
      </c>
      <c r="E192" s="21" t="s">
        <v>37</v>
      </c>
      <c r="F192" s="19" t="s">
        <v>38</v>
      </c>
      <c r="G192" s="19" t="s">
        <v>159</v>
      </c>
      <c r="H192" s="19">
        <v>0.5</v>
      </c>
      <c r="I192" s="41">
        <v>78.4</v>
      </c>
      <c r="J192" s="53"/>
      <c r="K192" s="51"/>
      <c r="L192" s="53"/>
      <c r="M192" s="44"/>
      <c r="N192" s="45"/>
      <c r="O192" s="46">
        <f t="shared" ref="O192:O199" si="111">SUM(I192)</f>
        <v>78.4</v>
      </c>
      <c r="P192" s="48"/>
      <c r="Q192" s="48"/>
      <c r="R192" s="78">
        <f t="shared" si="107"/>
        <v>20.7872113676732</v>
      </c>
      <c r="S192" s="78"/>
      <c r="T192" s="79">
        <f t="shared" si="108"/>
        <v>0.0355239786856128</v>
      </c>
      <c r="U192" s="78"/>
      <c r="V192" s="78"/>
      <c r="W192" s="80">
        <f t="shared" si="104"/>
        <v>20.8227353463588</v>
      </c>
      <c r="X192" s="81">
        <f t="shared" si="109"/>
        <v>0.396160449970397</v>
      </c>
      <c r="Y192" s="81"/>
      <c r="Z192" s="81"/>
      <c r="AA192" s="81">
        <f t="shared" si="105"/>
        <v>0.396160449970397</v>
      </c>
      <c r="AB192" s="90">
        <v>7.19</v>
      </c>
      <c r="AC192" s="78">
        <f t="shared" si="102"/>
        <v>2.84839363528715</v>
      </c>
      <c r="AD192" s="78">
        <f t="shared" si="101"/>
        <v>23.6711289816459</v>
      </c>
      <c r="AE192" s="78">
        <f t="shared" si="103"/>
        <v>54.7288710183541</v>
      </c>
    </row>
    <row r="193" customFormat="1" spans="1:31">
      <c r="A193" s="18"/>
      <c r="B193" s="19"/>
      <c r="C193" s="20">
        <v>240304000005</v>
      </c>
      <c r="D193" s="21">
        <v>45360</v>
      </c>
      <c r="E193" s="21" t="s">
        <v>41</v>
      </c>
      <c r="F193" s="19" t="s">
        <v>42</v>
      </c>
      <c r="G193" s="19" t="s">
        <v>151</v>
      </c>
      <c r="H193" s="19">
        <v>0.24</v>
      </c>
      <c r="I193" s="46"/>
      <c r="J193" s="54">
        <v>11360</v>
      </c>
      <c r="K193" s="55"/>
      <c r="L193" s="50">
        <f>SUM(J193/M193)</f>
        <v>1600</v>
      </c>
      <c r="M193" s="52">
        <v>7.1</v>
      </c>
      <c r="N193" s="45">
        <v>7.19</v>
      </c>
      <c r="O193" s="46">
        <f>SUM(M193*N193)</f>
        <v>51.049</v>
      </c>
      <c r="P193" s="48"/>
      <c r="Q193" s="48"/>
      <c r="R193" s="78">
        <f t="shared" si="107"/>
        <v>9.97786145648313</v>
      </c>
      <c r="S193" s="78"/>
      <c r="T193" s="79">
        <f t="shared" si="108"/>
        <v>0.0170515097690941</v>
      </c>
      <c r="U193" s="78"/>
      <c r="V193" s="78"/>
      <c r="W193" s="80">
        <f t="shared" si="104"/>
        <v>9.99491296625222</v>
      </c>
      <c r="X193" s="81">
        <f t="shared" si="109"/>
        <v>0.19015701598579</v>
      </c>
      <c r="Y193" s="81"/>
      <c r="Z193" s="81"/>
      <c r="AA193" s="81">
        <f t="shared" si="105"/>
        <v>0.19015701598579</v>
      </c>
      <c r="AB193" s="90">
        <v>7.19</v>
      </c>
      <c r="AC193" s="78">
        <f t="shared" si="102"/>
        <v>1.36722894493783</v>
      </c>
      <c r="AD193" s="78">
        <f t="shared" si="101"/>
        <v>11.3621419111901</v>
      </c>
      <c r="AE193" s="78">
        <f t="shared" si="103"/>
        <v>39.6868580888099</v>
      </c>
    </row>
    <row r="194" customFormat="1" spans="1:31">
      <c r="A194" s="18"/>
      <c r="B194" s="19"/>
      <c r="C194" s="20">
        <v>240304000013</v>
      </c>
      <c r="D194" s="21">
        <v>45360</v>
      </c>
      <c r="E194" s="21" t="s">
        <v>44</v>
      </c>
      <c r="F194" s="19" t="s">
        <v>45</v>
      </c>
      <c r="G194" s="19" t="s">
        <v>58</v>
      </c>
      <c r="H194" s="19">
        <v>2</v>
      </c>
      <c r="I194" s="41">
        <v>116.4</v>
      </c>
      <c r="J194" s="42"/>
      <c r="K194" s="43"/>
      <c r="L194" s="42"/>
      <c r="M194" s="44"/>
      <c r="N194" s="45"/>
      <c r="O194" s="46">
        <f t="shared" si="111"/>
        <v>116.4</v>
      </c>
      <c r="P194" s="48"/>
      <c r="Q194" s="48"/>
      <c r="R194" s="78">
        <f t="shared" si="107"/>
        <v>83.1488454706927</v>
      </c>
      <c r="S194" s="78"/>
      <c r="T194" s="79">
        <f t="shared" si="108"/>
        <v>0.142095914742451</v>
      </c>
      <c r="U194" s="78"/>
      <c r="V194" s="78"/>
      <c r="W194" s="80">
        <f t="shared" si="104"/>
        <v>83.2909413854352</v>
      </c>
      <c r="X194" s="81">
        <f t="shared" si="109"/>
        <v>1.58464179988159</v>
      </c>
      <c r="Y194" s="81"/>
      <c r="Z194" s="81"/>
      <c r="AA194" s="81">
        <f t="shared" si="105"/>
        <v>1.58464179988159</v>
      </c>
      <c r="AB194" s="90">
        <v>7.19</v>
      </c>
      <c r="AC194" s="78">
        <f t="shared" si="102"/>
        <v>11.3935745411486</v>
      </c>
      <c r="AD194" s="78">
        <f t="shared" si="101"/>
        <v>94.6845159265838</v>
      </c>
      <c r="AE194" s="78">
        <f t="shared" si="103"/>
        <v>21.7154840734162</v>
      </c>
    </row>
    <row r="195" customFormat="1" spans="1:31">
      <c r="A195" s="18"/>
      <c r="B195" s="19"/>
      <c r="C195" s="20">
        <v>240304000015</v>
      </c>
      <c r="D195" s="21">
        <v>45360</v>
      </c>
      <c r="E195" s="21" t="s">
        <v>44</v>
      </c>
      <c r="F195" s="19" t="s">
        <v>45</v>
      </c>
      <c r="G195" s="19" t="s">
        <v>155</v>
      </c>
      <c r="H195" s="19">
        <v>18</v>
      </c>
      <c r="I195" s="41">
        <v>936</v>
      </c>
      <c r="J195" s="53"/>
      <c r="K195" s="51"/>
      <c r="L195" s="53"/>
      <c r="M195" s="44"/>
      <c r="N195" s="45"/>
      <c r="O195" s="46">
        <f t="shared" si="111"/>
        <v>936</v>
      </c>
      <c r="P195" s="48"/>
      <c r="Q195" s="48"/>
      <c r="R195" s="78">
        <f t="shared" si="107"/>
        <v>748.339609236235</v>
      </c>
      <c r="S195" s="78"/>
      <c r="T195" s="79">
        <f t="shared" si="108"/>
        <v>1.27886323268206</v>
      </c>
      <c r="U195" s="78"/>
      <c r="V195" s="78"/>
      <c r="W195" s="80">
        <f t="shared" si="104"/>
        <v>749.618472468917</v>
      </c>
      <c r="X195" s="81">
        <f t="shared" si="109"/>
        <v>14.2617761989343</v>
      </c>
      <c r="Y195" s="81"/>
      <c r="Z195" s="81"/>
      <c r="AA195" s="81">
        <f t="shared" si="105"/>
        <v>14.2617761989343</v>
      </c>
      <c r="AB195" s="90">
        <v>7.19</v>
      </c>
      <c r="AC195" s="78">
        <f t="shared" si="102"/>
        <v>102.542170870337</v>
      </c>
      <c r="AD195" s="78">
        <f t="shared" si="101"/>
        <v>852.160643339254</v>
      </c>
      <c r="AE195" s="78">
        <f t="shared" si="103"/>
        <v>83.8393566607459</v>
      </c>
    </row>
    <row r="196" customFormat="1" spans="1:31">
      <c r="A196" s="18"/>
      <c r="B196" s="19"/>
      <c r="C196" s="20">
        <v>240304000021</v>
      </c>
      <c r="D196" s="21">
        <v>45360</v>
      </c>
      <c r="E196" s="21" t="s">
        <v>47</v>
      </c>
      <c r="F196" s="19" t="s">
        <v>48</v>
      </c>
      <c r="G196" s="19" t="s">
        <v>201</v>
      </c>
      <c r="H196" s="19">
        <v>3</v>
      </c>
      <c r="I196" s="41">
        <v>364.8</v>
      </c>
      <c r="J196" s="42"/>
      <c r="K196" s="43"/>
      <c r="L196" s="42"/>
      <c r="M196" s="44"/>
      <c r="N196" s="45"/>
      <c r="O196" s="46">
        <f t="shared" si="111"/>
        <v>364.8</v>
      </c>
      <c r="P196" s="48"/>
      <c r="Q196" s="48"/>
      <c r="R196" s="78">
        <f t="shared" si="107"/>
        <v>124.723268206039</v>
      </c>
      <c r="S196" s="78"/>
      <c r="T196" s="79">
        <f t="shared" si="108"/>
        <v>0.213143872113677</v>
      </c>
      <c r="U196" s="78"/>
      <c r="V196" s="78"/>
      <c r="W196" s="80">
        <f t="shared" si="104"/>
        <v>124.936412078153</v>
      </c>
      <c r="X196" s="81">
        <f t="shared" si="109"/>
        <v>2.37696269982238</v>
      </c>
      <c r="Y196" s="81"/>
      <c r="Z196" s="81"/>
      <c r="AA196" s="81">
        <f t="shared" si="105"/>
        <v>2.37696269982238</v>
      </c>
      <c r="AB196" s="90">
        <v>7.19</v>
      </c>
      <c r="AC196" s="78">
        <f t="shared" si="102"/>
        <v>17.0903618117229</v>
      </c>
      <c r="AD196" s="78">
        <f t="shared" si="101"/>
        <v>142.026773889876</v>
      </c>
      <c r="AE196" s="78">
        <f t="shared" si="103"/>
        <v>222.773226110124</v>
      </c>
    </row>
    <row r="197" customFormat="1" spans="1:31">
      <c r="A197" s="18"/>
      <c r="B197" s="19"/>
      <c r="C197" s="20">
        <v>240304000024</v>
      </c>
      <c r="D197" s="21">
        <v>45360</v>
      </c>
      <c r="E197" s="21" t="s">
        <v>44</v>
      </c>
      <c r="F197" s="19" t="s">
        <v>45</v>
      </c>
      <c r="G197" s="19" t="s">
        <v>202</v>
      </c>
      <c r="H197" s="19">
        <v>0.91</v>
      </c>
      <c r="I197" s="41">
        <v>93</v>
      </c>
      <c r="J197" s="42"/>
      <c r="K197" s="43"/>
      <c r="L197" s="42"/>
      <c r="M197" s="44"/>
      <c r="N197" s="45"/>
      <c r="O197" s="46">
        <f t="shared" si="111"/>
        <v>93</v>
      </c>
      <c r="P197" s="48"/>
      <c r="Q197" s="48"/>
      <c r="R197" s="78">
        <f t="shared" si="107"/>
        <v>37.8327246891652</v>
      </c>
      <c r="S197" s="78"/>
      <c r="T197" s="79">
        <f t="shared" si="108"/>
        <v>0.0646536412078153</v>
      </c>
      <c r="U197" s="78"/>
      <c r="V197" s="78"/>
      <c r="W197" s="80">
        <f t="shared" si="104"/>
        <v>37.897378330373</v>
      </c>
      <c r="X197" s="81">
        <f t="shared" si="109"/>
        <v>0.721012018946122</v>
      </c>
      <c r="Y197" s="81"/>
      <c r="Z197" s="81"/>
      <c r="AA197" s="81">
        <f t="shared" si="105"/>
        <v>0.721012018946122</v>
      </c>
      <c r="AB197" s="90">
        <v>7.19</v>
      </c>
      <c r="AC197" s="78">
        <f t="shared" si="102"/>
        <v>5.18407641622262</v>
      </c>
      <c r="AD197" s="78">
        <f t="shared" si="101"/>
        <v>43.0814547465956</v>
      </c>
      <c r="AE197" s="78">
        <f t="shared" si="103"/>
        <v>49.9185452534044</v>
      </c>
    </row>
    <row r="198" customFormat="1" spans="1:31">
      <c r="A198" s="18"/>
      <c r="B198" s="19"/>
      <c r="C198" s="20">
        <v>240304000026</v>
      </c>
      <c r="D198" s="21">
        <v>45360</v>
      </c>
      <c r="E198" s="21" t="s">
        <v>47</v>
      </c>
      <c r="F198" s="19" t="s">
        <v>48</v>
      </c>
      <c r="G198" s="19" t="s">
        <v>203</v>
      </c>
      <c r="H198" s="19">
        <v>44.5</v>
      </c>
      <c r="I198" s="41">
        <v>2247.25</v>
      </c>
      <c r="J198" s="42"/>
      <c r="K198" s="43"/>
      <c r="L198" s="42"/>
      <c r="M198" s="44"/>
      <c r="N198" s="45"/>
      <c r="O198" s="46">
        <f t="shared" si="111"/>
        <v>2247.25</v>
      </c>
      <c r="P198" s="48"/>
      <c r="Q198" s="48"/>
      <c r="R198" s="78">
        <f t="shared" si="107"/>
        <v>1850.06181172291</v>
      </c>
      <c r="S198" s="78"/>
      <c r="T198" s="79">
        <f t="shared" si="108"/>
        <v>3.16163410301954</v>
      </c>
      <c r="U198" s="78"/>
      <c r="V198" s="78"/>
      <c r="W198" s="80">
        <f t="shared" si="104"/>
        <v>1853.22344582593</v>
      </c>
      <c r="X198" s="81">
        <f t="shared" si="109"/>
        <v>35.2582800473653</v>
      </c>
      <c r="Y198" s="81"/>
      <c r="Z198" s="81"/>
      <c r="AA198" s="81">
        <f t="shared" si="105"/>
        <v>35.2582800473653</v>
      </c>
      <c r="AB198" s="90">
        <v>7.19</v>
      </c>
      <c r="AC198" s="78">
        <f t="shared" si="102"/>
        <v>253.507033540557</v>
      </c>
      <c r="AD198" s="78">
        <f t="shared" si="101"/>
        <v>2106.73047936649</v>
      </c>
      <c r="AE198" s="78">
        <f t="shared" si="103"/>
        <v>140.519520633511</v>
      </c>
    </row>
    <row r="199" customFormat="1" spans="1:31">
      <c r="A199" s="18"/>
      <c r="B199" s="19"/>
      <c r="C199" s="20">
        <v>240304000032</v>
      </c>
      <c r="D199" s="21">
        <v>45360</v>
      </c>
      <c r="E199" s="21" t="s">
        <v>70</v>
      </c>
      <c r="F199" s="19" t="s">
        <v>70</v>
      </c>
      <c r="G199" s="19" t="s">
        <v>204</v>
      </c>
      <c r="H199" s="19">
        <v>56.5</v>
      </c>
      <c r="I199" s="41">
        <v>4689.5</v>
      </c>
      <c r="J199" s="42"/>
      <c r="K199" s="43"/>
      <c r="L199" s="42"/>
      <c r="M199" s="44"/>
      <c r="N199" s="45"/>
      <c r="O199" s="46">
        <f t="shared" si="111"/>
        <v>4689.5</v>
      </c>
      <c r="P199" s="48"/>
      <c r="Q199" s="48"/>
      <c r="R199" s="78">
        <f t="shared" si="107"/>
        <v>2348.95488454707</v>
      </c>
      <c r="S199" s="78"/>
      <c r="T199" s="79">
        <f t="shared" si="108"/>
        <v>4.01420959147424</v>
      </c>
      <c r="U199" s="78"/>
      <c r="V199" s="78"/>
      <c r="W199" s="80">
        <f t="shared" si="104"/>
        <v>2352.96909413854</v>
      </c>
      <c r="X199" s="81">
        <f t="shared" si="109"/>
        <v>44.7661308466548</v>
      </c>
      <c r="Y199" s="81"/>
      <c r="Z199" s="81"/>
      <c r="AA199" s="81">
        <f t="shared" si="105"/>
        <v>44.7661308466548</v>
      </c>
      <c r="AB199" s="90">
        <v>7.19</v>
      </c>
      <c r="AC199" s="78">
        <f t="shared" si="102"/>
        <v>321.868480787448</v>
      </c>
      <c r="AD199" s="78">
        <f t="shared" si="101"/>
        <v>2674.83757492599</v>
      </c>
      <c r="AE199" s="78">
        <f t="shared" si="103"/>
        <v>2014.66242507401</v>
      </c>
    </row>
    <row r="200" customFormat="1" spans="1:31">
      <c r="A200" s="18"/>
      <c r="B200" s="19"/>
      <c r="C200" s="20">
        <v>240304000039</v>
      </c>
      <c r="D200" s="21">
        <v>45360</v>
      </c>
      <c r="E200" s="21" t="s">
        <v>70</v>
      </c>
      <c r="F200" s="19" t="s">
        <v>70</v>
      </c>
      <c r="G200" s="19" t="s">
        <v>205</v>
      </c>
      <c r="H200" s="19">
        <v>0.44</v>
      </c>
      <c r="I200" s="57">
        <v>150</v>
      </c>
      <c r="J200" s="53"/>
      <c r="K200" s="51"/>
      <c r="L200" s="50"/>
      <c r="M200" s="52"/>
      <c r="N200" s="45"/>
      <c r="O200" s="46">
        <f>SUBTOTAL(9,I200)</f>
        <v>150</v>
      </c>
      <c r="P200" s="48"/>
      <c r="Q200" s="48"/>
      <c r="R200" s="78">
        <f t="shared" si="107"/>
        <v>18.2927460035524</v>
      </c>
      <c r="S200" s="78"/>
      <c r="T200" s="79">
        <f t="shared" si="108"/>
        <v>0.0312611012433393</v>
      </c>
      <c r="U200" s="78"/>
      <c r="V200" s="78"/>
      <c r="W200" s="80">
        <f t="shared" si="104"/>
        <v>18.3240071047957</v>
      </c>
      <c r="X200" s="81">
        <f t="shared" si="109"/>
        <v>0.348621195973949</v>
      </c>
      <c r="Y200" s="81"/>
      <c r="Z200" s="81"/>
      <c r="AA200" s="81">
        <f t="shared" si="105"/>
        <v>0.348621195973949</v>
      </c>
      <c r="AB200" s="90">
        <v>7.19</v>
      </c>
      <c r="AC200" s="78">
        <f t="shared" si="102"/>
        <v>2.50658639905269</v>
      </c>
      <c r="AD200" s="78">
        <f t="shared" si="101"/>
        <v>20.8305935038484</v>
      </c>
      <c r="AE200" s="78">
        <f t="shared" si="103"/>
        <v>129.169406496152</v>
      </c>
    </row>
    <row r="201" customFormat="1" spans="1:31">
      <c r="A201" s="18"/>
      <c r="B201" s="19"/>
      <c r="C201" s="20">
        <v>240304000041</v>
      </c>
      <c r="D201" s="21">
        <v>45360</v>
      </c>
      <c r="E201" s="21" t="s">
        <v>41</v>
      </c>
      <c r="F201" s="19" t="s">
        <v>42</v>
      </c>
      <c r="G201" s="19" t="s">
        <v>62</v>
      </c>
      <c r="H201" s="19">
        <v>6.5</v>
      </c>
      <c r="I201" s="41">
        <v>351</v>
      </c>
      <c r="J201" s="42"/>
      <c r="K201" s="43"/>
      <c r="L201" s="42"/>
      <c r="M201" s="44"/>
      <c r="N201" s="45"/>
      <c r="O201" s="46">
        <f t="shared" ref="O201:O210" si="112">SUM(I201)</f>
        <v>351</v>
      </c>
      <c r="P201" s="48"/>
      <c r="Q201" s="48"/>
      <c r="R201" s="78">
        <f t="shared" si="107"/>
        <v>270.233747779751</v>
      </c>
      <c r="S201" s="78"/>
      <c r="T201" s="79">
        <f t="shared" si="108"/>
        <v>0.461811722912966</v>
      </c>
      <c r="U201" s="78"/>
      <c r="V201" s="78"/>
      <c r="W201" s="80">
        <f t="shared" si="104"/>
        <v>270.695559502664</v>
      </c>
      <c r="X201" s="81">
        <f t="shared" si="109"/>
        <v>5.15008584961516</v>
      </c>
      <c r="Y201" s="81"/>
      <c r="Z201" s="81"/>
      <c r="AA201" s="81">
        <f t="shared" si="105"/>
        <v>5.15008584961516</v>
      </c>
      <c r="AB201" s="90">
        <v>7.19</v>
      </c>
      <c r="AC201" s="78">
        <f t="shared" si="102"/>
        <v>37.029117258733</v>
      </c>
      <c r="AD201" s="78">
        <f t="shared" si="101"/>
        <v>307.724676761397</v>
      </c>
      <c r="AE201" s="78">
        <f t="shared" si="103"/>
        <v>43.2753232386027</v>
      </c>
    </row>
    <row r="202" customFormat="1" spans="1:31">
      <c r="A202" s="18"/>
      <c r="B202" s="19"/>
      <c r="C202" s="22">
        <v>240304000056</v>
      </c>
      <c r="D202" s="23">
        <v>45360</v>
      </c>
      <c r="E202" s="21" t="s">
        <v>70</v>
      </c>
      <c r="F202" s="24" t="s">
        <v>70</v>
      </c>
      <c r="G202" s="24" t="s">
        <v>206</v>
      </c>
      <c r="H202" s="24">
        <v>9.5</v>
      </c>
      <c r="I202" s="41">
        <v>577.2</v>
      </c>
      <c r="J202" s="53"/>
      <c r="K202" s="51"/>
      <c r="L202" s="53"/>
      <c r="M202" s="44"/>
      <c r="N202" s="45"/>
      <c r="O202" s="46">
        <f t="shared" si="112"/>
        <v>577.2</v>
      </c>
      <c r="P202" s="48"/>
      <c r="Q202" s="48"/>
      <c r="R202" s="78">
        <f t="shared" si="107"/>
        <v>394.95701598579</v>
      </c>
      <c r="S202" s="78"/>
      <c r="T202" s="79">
        <f t="shared" si="108"/>
        <v>0.674955595026643</v>
      </c>
      <c r="U202" s="78"/>
      <c r="V202" s="78"/>
      <c r="W202" s="80">
        <f t="shared" si="104"/>
        <v>395.631971580817</v>
      </c>
      <c r="X202" s="81">
        <f t="shared" si="109"/>
        <v>7.52704854943754</v>
      </c>
      <c r="Y202" s="81"/>
      <c r="Z202" s="81"/>
      <c r="AA202" s="81">
        <f t="shared" si="105"/>
        <v>7.52704854943754</v>
      </c>
      <c r="AB202" s="90">
        <v>7.19</v>
      </c>
      <c r="AC202" s="78">
        <f t="shared" si="102"/>
        <v>54.1194790704559</v>
      </c>
      <c r="AD202" s="78">
        <f t="shared" si="101"/>
        <v>449.751450651273</v>
      </c>
      <c r="AE202" s="78">
        <f t="shared" si="103"/>
        <v>127.448549348727</v>
      </c>
    </row>
    <row r="203" customFormat="1" spans="1:31">
      <c r="A203" s="18"/>
      <c r="B203" s="19"/>
      <c r="C203" s="20">
        <v>240305000008</v>
      </c>
      <c r="D203" s="21">
        <v>45360</v>
      </c>
      <c r="E203" s="21" t="s">
        <v>47</v>
      </c>
      <c r="F203" s="19" t="s">
        <v>48</v>
      </c>
      <c r="G203" s="19" t="s">
        <v>49</v>
      </c>
      <c r="H203" s="19">
        <v>195</v>
      </c>
      <c r="I203" s="49"/>
      <c r="J203" s="50">
        <v>2667080</v>
      </c>
      <c r="K203" s="51"/>
      <c r="L203" s="50">
        <f t="shared" ref="L200:L204" si="113">SUM(J203/M203)</f>
        <v>1603.37136742374</v>
      </c>
      <c r="M203" s="52">
        <v>1663.42</v>
      </c>
      <c r="N203" s="45">
        <v>7.19</v>
      </c>
      <c r="O203" s="46">
        <f>SUM(M203*N203)</f>
        <v>11959.9898</v>
      </c>
      <c r="P203" s="48"/>
      <c r="Q203" s="48"/>
      <c r="R203" s="78">
        <f t="shared" si="107"/>
        <v>8107.01243339254</v>
      </c>
      <c r="S203" s="78"/>
      <c r="T203" s="79">
        <f t="shared" si="108"/>
        <v>13.854351687389</v>
      </c>
      <c r="U203" s="79">
        <v>260</v>
      </c>
      <c r="V203" s="78"/>
      <c r="W203" s="80">
        <f t="shared" si="104"/>
        <v>8380.86678507993</v>
      </c>
      <c r="X203" s="81">
        <f t="shared" si="109"/>
        <v>154.502575488455</v>
      </c>
      <c r="Y203" s="81"/>
      <c r="Z203" s="81"/>
      <c r="AA203" s="81">
        <f t="shared" si="105"/>
        <v>154.502575488455</v>
      </c>
      <c r="AB203" s="90">
        <v>7.19</v>
      </c>
      <c r="AC203" s="78">
        <f t="shared" si="102"/>
        <v>1110.87351776199</v>
      </c>
      <c r="AD203" s="78">
        <f t="shared" si="101"/>
        <v>9491.74030284192</v>
      </c>
      <c r="AE203" s="78">
        <f t="shared" si="103"/>
        <v>2468.24949715808</v>
      </c>
    </row>
    <row r="204" customFormat="1" spans="1:31">
      <c r="A204" s="18"/>
      <c r="B204" s="19"/>
      <c r="C204" s="20">
        <v>240305000009</v>
      </c>
      <c r="D204" s="21">
        <v>45360</v>
      </c>
      <c r="E204" s="21" t="s">
        <v>44</v>
      </c>
      <c r="F204" s="19" t="s">
        <v>45</v>
      </c>
      <c r="G204" s="19" t="s">
        <v>207</v>
      </c>
      <c r="H204" s="19">
        <v>21</v>
      </c>
      <c r="I204" s="49"/>
      <c r="J204" s="50">
        <v>281720</v>
      </c>
      <c r="K204" s="51"/>
      <c r="L204" s="50">
        <f t="shared" si="113"/>
        <v>1603.41491178145</v>
      </c>
      <c r="M204" s="52">
        <v>175.7</v>
      </c>
      <c r="N204" s="45">
        <v>7.19</v>
      </c>
      <c r="O204" s="46">
        <f>SUM(M204*N204)</f>
        <v>1263.283</v>
      </c>
      <c r="P204" s="48"/>
      <c r="Q204" s="48"/>
      <c r="R204" s="78">
        <f t="shared" si="107"/>
        <v>873.062877442274</v>
      </c>
      <c r="S204" s="78"/>
      <c r="T204" s="79">
        <f t="shared" si="108"/>
        <v>1.49200710479574</v>
      </c>
      <c r="U204" s="78"/>
      <c r="V204" s="78"/>
      <c r="W204" s="80">
        <f t="shared" si="104"/>
        <v>874.554884547069</v>
      </c>
      <c r="X204" s="81">
        <f t="shared" si="109"/>
        <v>16.6387388987567</v>
      </c>
      <c r="Y204" s="81"/>
      <c r="Z204" s="81"/>
      <c r="AA204" s="81">
        <f t="shared" si="105"/>
        <v>16.6387388987567</v>
      </c>
      <c r="AB204" s="90">
        <v>7.19</v>
      </c>
      <c r="AC204" s="78">
        <f t="shared" si="102"/>
        <v>119.63253268206</v>
      </c>
      <c r="AD204" s="78">
        <f t="shared" si="101"/>
        <v>994.18741722913</v>
      </c>
      <c r="AE204" s="78">
        <f t="shared" si="103"/>
        <v>269.09558277087</v>
      </c>
    </row>
    <row r="205" customFormat="1" spans="1:31">
      <c r="A205" s="18"/>
      <c r="B205" s="19"/>
      <c r="C205" s="20">
        <v>240305000014</v>
      </c>
      <c r="D205" s="21">
        <v>45360</v>
      </c>
      <c r="E205" s="21" t="s">
        <v>70</v>
      </c>
      <c r="F205" s="19" t="s">
        <v>70</v>
      </c>
      <c r="G205" s="19" t="s">
        <v>71</v>
      </c>
      <c r="H205" s="19">
        <v>82</v>
      </c>
      <c r="I205" s="41">
        <v>4564</v>
      </c>
      <c r="J205" s="53"/>
      <c r="K205" s="51"/>
      <c r="L205" s="53"/>
      <c r="M205" s="44"/>
      <c r="N205" s="45"/>
      <c r="O205" s="46">
        <f t="shared" si="112"/>
        <v>4564</v>
      </c>
      <c r="P205" s="48"/>
      <c r="Q205" s="48"/>
      <c r="R205" s="78">
        <f t="shared" si="107"/>
        <v>3409.1026642984</v>
      </c>
      <c r="S205" s="78"/>
      <c r="T205" s="79">
        <f t="shared" si="108"/>
        <v>5.8259325044405</v>
      </c>
      <c r="U205" s="78"/>
      <c r="V205" s="78"/>
      <c r="W205" s="80">
        <f t="shared" si="104"/>
        <v>3414.92859680284</v>
      </c>
      <c r="X205" s="81">
        <f t="shared" si="109"/>
        <v>64.9703137951451</v>
      </c>
      <c r="Y205" s="81"/>
      <c r="Z205" s="81"/>
      <c r="AA205" s="81">
        <f t="shared" si="105"/>
        <v>64.9703137951451</v>
      </c>
      <c r="AB205" s="90">
        <v>7.19</v>
      </c>
      <c r="AC205" s="78">
        <f t="shared" ref="AC205:AC236" si="114">SUM(AA205*AB205)</f>
        <v>467.136556187093</v>
      </c>
      <c r="AD205" s="78">
        <f t="shared" si="101"/>
        <v>3882.06515298994</v>
      </c>
      <c r="AE205" s="78">
        <f t="shared" si="103"/>
        <v>681.934847010065</v>
      </c>
    </row>
    <row r="206" customFormat="1" spans="1:31">
      <c r="A206" s="18"/>
      <c r="B206" s="19"/>
      <c r="C206" s="20">
        <v>240305000016</v>
      </c>
      <c r="D206" s="21">
        <v>45360</v>
      </c>
      <c r="E206" s="21" t="s">
        <v>47</v>
      </c>
      <c r="F206" s="19" t="s">
        <v>48</v>
      </c>
      <c r="G206" s="19" t="s">
        <v>81</v>
      </c>
      <c r="H206" s="19">
        <v>3.5</v>
      </c>
      <c r="I206" s="41">
        <v>226.2</v>
      </c>
      <c r="J206" s="42"/>
      <c r="K206" s="43"/>
      <c r="L206" s="42"/>
      <c r="M206" s="44"/>
      <c r="N206" s="45"/>
      <c r="O206" s="46">
        <f t="shared" si="112"/>
        <v>226.2</v>
      </c>
      <c r="P206" s="48"/>
      <c r="Q206" s="48"/>
      <c r="R206" s="78">
        <f t="shared" si="107"/>
        <v>145.510479573712</v>
      </c>
      <c r="S206" s="78"/>
      <c r="T206" s="79">
        <f t="shared" si="108"/>
        <v>0.248667850799289</v>
      </c>
      <c r="U206" s="78"/>
      <c r="V206" s="78"/>
      <c r="W206" s="80">
        <f t="shared" si="104"/>
        <v>145.759147424512</v>
      </c>
      <c r="X206" s="81">
        <f t="shared" si="109"/>
        <v>2.77312314979278</v>
      </c>
      <c r="Y206" s="81"/>
      <c r="Z206" s="81"/>
      <c r="AA206" s="81">
        <f t="shared" si="105"/>
        <v>2.77312314979278</v>
      </c>
      <c r="AB206" s="90">
        <v>7.19</v>
      </c>
      <c r="AC206" s="78">
        <f t="shared" si="114"/>
        <v>19.9387554470101</v>
      </c>
      <c r="AD206" s="78">
        <f t="shared" ref="AD206:AD237" si="115">SUM(W206+AC206)</f>
        <v>165.697902871522</v>
      </c>
      <c r="AE206" s="78">
        <f t="shared" si="103"/>
        <v>60.5020971284784</v>
      </c>
    </row>
    <row r="207" customFormat="1" spans="1:31">
      <c r="A207" s="18"/>
      <c r="B207" s="19"/>
      <c r="C207" s="20">
        <v>240305000019</v>
      </c>
      <c r="D207" s="21">
        <v>45360</v>
      </c>
      <c r="E207" s="21" t="s">
        <v>41</v>
      </c>
      <c r="F207" s="19" t="s">
        <v>42</v>
      </c>
      <c r="G207" s="19" t="s">
        <v>58</v>
      </c>
      <c r="H207" s="19">
        <v>3</v>
      </c>
      <c r="I207" s="41">
        <v>194</v>
      </c>
      <c r="J207" s="42"/>
      <c r="K207" s="43"/>
      <c r="L207" s="42"/>
      <c r="M207" s="44"/>
      <c r="N207" s="45"/>
      <c r="O207" s="46">
        <f t="shared" si="112"/>
        <v>194</v>
      </c>
      <c r="P207" s="48"/>
      <c r="Q207" s="48"/>
      <c r="R207" s="78">
        <f t="shared" si="107"/>
        <v>124.723268206039</v>
      </c>
      <c r="S207" s="78"/>
      <c r="T207" s="79">
        <f t="shared" si="108"/>
        <v>0.213143872113677</v>
      </c>
      <c r="U207" s="78"/>
      <c r="V207" s="78"/>
      <c r="W207" s="80">
        <f t="shared" si="104"/>
        <v>124.936412078153</v>
      </c>
      <c r="X207" s="81">
        <f t="shared" si="109"/>
        <v>2.37696269982238</v>
      </c>
      <c r="Y207" s="81"/>
      <c r="Z207" s="81"/>
      <c r="AA207" s="81">
        <f t="shared" si="105"/>
        <v>2.37696269982238</v>
      </c>
      <c r="AB207" s="90">
        <v>7.19</v>
      </c>
      <c r="AC207" s="78">
        <f t="shared" si="114"/>
        <v>17.0903618117229</v>
      </c>
      <c r="AD207" s="78">
        <f t="shared" si="115"/>
        <v>142.026773889876</v>
      </c>
      <c r="AE207" s="78">
        <f t="shared" ref="AE207:AE238" si="116">SUM(O207-AD207)</f>
        <v>51.9732261101243</v>
      </c>
    </row>
    <row r="208" customFormat="1" spans="1:31">
      <c r="A208" s="18"/>
      <c r="B208" s="19"/>
      <c r="C208" s="20">
        <v>240305000021</v>
      </c>
      <c r="D208" s="21">
        <v>45360</v>
      </c>
      <c r="E208" s="21" t="s">
        <v>44</v>
      </c>
      <c r="F208" s="19" t="s">
        <v>45</v>
      </c>
      <c r="G208" s="19" t="s">
        <v>208</v>
      </c>
      <c r="H208" s="19">
        <v>15.5</v>
      </c>
      <c r="I208" s="41">
        <v>728.5</v>
      </c>
      <c r="J208" s="53"/>
      <c r="K208" s="51"/>
      <c r="L208" s="53"/>
      <c r="M208" s="44"/>
      <c r="N208" s="45"/>
      <c r="O208" s="46">
        <f t="shared" si="112"/>
        <v>728.5</v>
      </c>
      <c r="P208" s="48"/>
      <c r="Q208" s="48"/>
      <c r="R208" s="78">
        <f t="shared" si="107"/>
        <v>644.403552397869</v>
      </c>
      <c r="S208" s="78"/>
      <c r="T208" s="79">
        <f t="shared" si="108"/>
        <v>1.101243339254</v>
      </c>
      <c r="U208" s="78"/>
      <c r="V208" s="78"/>
      <c r="W208" s="80">
        <f t="shared" si="104"/>
        <v>645.504795737123</v>
      </c>
      <c r="X208" s="81">
        <f t="shared" si="109"/>
        <v>12.2809739490823</v>
      </c>
      <c r="Y208" s="81"/>
      <c r="Z208" s="81"/>
      <c r="AA208" s="81">
        <f t="shared" si="105"/>
        <v>12.2809739490823</v>
      </c>
      <c r="AB208" s="90">
        <v>7.19</v>
      </c>
      <c r="AC208" s="78">
        <f t="shared" si="114"/>
        <v>88.3002026939017</v>
      </c>
      <c r="AD208" s="78">
        <f t="shared" si="115"/>
        <v>733.804998431024</v>
      </c>
      <c r="AE208" s="78">
        <f t="shared" si="116"/>
        <v>-5.30499843102427</v>
      </c>
    </row>
    <row r="209" customFormat="1" spans="1:31">
      <c r="A209" s="18"/>
      <c r="B209" s="19"/>
      <c r="C209" s="20">
        <v>240305000022</v>
      </c>
      <c r="D209" s="21">
        <v>45360</v>
      </c>
      <c r="E209" s="21" t="s">
        <v>41</v>
      </c>
      <c r="F209" s="19" t="s">
        <v>42</v>
      </c>
      <c r="G209" s="19" t="s">
        <v>73</v>
      </c>
      <c r="H209" s="19">
        <v>2.5</v>
      </c>
      <c r="I209" s="41">
        <v>150</v>
      </c>
      <c r="J209" s="42"/>
      <c r="K209" s="43"/>
      <c r="L209" s="42"/>
      <c r="M209" s="44"/>
      <c r="N209" s="45"/>
      <c r="O209" s="46">
        <f t="shared" si="112"/>
        <v>150</v>
      </c>
      <c r="P209" s="48"/>
      <c r="Q209" s="48"/>
      <c r="R209" s="78">
        <f t="shared" si="107"/>
        <v>103.936056838366</v>
      </c>
      <c r="S209" s="78"/>
      <c r="T209" s="79">
        <f t="shared" si="108"/>
        <v>0.177619893428064</v>
      </c>
      <c r="U209" s="78"/>
      <c r="V209" s="78"/>
      <c r="W209" s="80">
        <f t="shared" si="104"/>
        <v>104.113676731794</v>
      </c>
      <c r="X209" s="81">
        <f t="shared" si="109"/>
        <v>1.98080224985198</v>
      </c>
      <c r="Y209" s="81"/>
      <c r="Z209" s="81"/>
      <c r="AA209" s="81">
        <f t="shared" si="105"/>
        <v>1.98080224985198</v>
      </c>
      <c r="AB209" s="90">
        <v>7.19</v>
      </c>
      <c r="AC209" s="78">
        <f t="shared" si="114"/>
        <v>14.2419681764358</v>
      </c>
      <c r="AD209" s="78">
        <f t="shared" si="115"/>
        <v>118.35564490823</v>
      </c>
      <c r="AE209" s="78">
        <f t="shared" si="116"/>
        <v>31.6443550917703</v>
      </c>
    </row>
    <row r="210" customFormat="1" spans="1:31">
      <c r="A210" s="18"/>
      <c r="B210" s="19"/>
      <c r="C210" s="20">
        <v>240307000019</v>
      </c>
      <c r="D210" s="21">
        <v>45360</v>
      </c>
      <c r="E210" s="21" t="s">
        <v>70</v>
      </c>
      <c r="F210" s="19" t="s">
        <v>70</v>
      </c>
      <c r="G210" s="19" t="s">
        <v>74</v>
      </c>
      <c r="H210" s="19">
        <v>934.5</v>
      </c>
      <c r="I210" s="57">
        <v>41118</v>
      </c>
      <c r="J210" s="53"/>
      <c r="K210" s="51"/>
      <c r="L210" s="53"/>
      <c r="M210" s="44"/>
      <c r="N210" s="45"/>
      <c r="O210" s="46">
        <f t="shared" si="112"/>
        <v>41118</v>
      </c>
      <c r="P210" s="58"/>
      <c r="Q210" s="58"/>
      <c r="R210" s="78">
        <f t="shared" si="107"/>
        <v>38851.2980461812</v>
      </c>
      <c r="S210" s="78"/>
      <c r="T210" s="79">
        <f t="shared" si="108"/>
        <v>66.3943161634103</v>
      </c>
      <c r="U210" s="78"/>
      <c r="V210" s="78"/>
      <c r="W210" s="80">
        <f t="shared" ref="W210:W241" si="117">SUM(R210:V210)</f>
        <v>38917.6923623446</v>
      </c>
      <c r="X210" s="81">
        <f t="shared" si="109"/>
        <v>740.423880994671</v>
      </c>
      <c r="Y210" s="81"/>
      <c r="Z210" s="81"/>
      <c r="AA210" s="81">
        <f t="shared" ref="AA210:AA241" si="118">SUM(X210:Z210)</f>
        <v>740.423880994671</v>
      </c>
      <c r="AB210" s="90">
        <v>7.19</v>
      </c>
      <c r="AC210" s="78">
        <f t="shared" si="114"/>
        <v>5323.64770435169</v>
      </c>
      <c r="AD210" s="78">
        <f t="shared" si="115"/>
        <v>44241.3400666963</v>
      </c>
      <c r="AE210" s="78">
        <f t="shared" si="116"/>
        <v>-3123.34006669627</v>
      </c>
    </row>
    <row r="211" customFormat="1" spans="1:31">
      <c r="A211" s="18" t="s">
        <v>209</v>
      </c>
      <c r="B211" s="19" t="s">
        <v>210</v>
      </c>
      <c r="C211" s="20">
        <v>240221000006</v>
      </c>
      <c r="D211" s="21">
        <v>45360</v>
      </c>
      <c r="E211" s="21" t="s">
        <v>37</v>
      </c>
      <c r="F211" s="19" t="s">
        <v>38</v>
      </c>
      <c r="G211" s="19" t="s">
        <v>211</v>
      </c>
      <c r="H211" s="19">
        <v>5</v>
      </c>
      <c r="I211" s="46"/>
      <c r="J211" s="104"/>
      <c r="K211" s="93">
        <v>33.5</v>
      </c>
      <c r="L211" s="50">
        <f>SUM(J211/M211)</f>
        <v>0</v>
      </c>
      <c r="M211" s="52">
        <v>33.5</v>
      </c>
      <c r="N211" s="45">
        <v>7.19</v>
      </c>
      <c r="O211" s="46">
        <f>SUM(M211*N211)</f>
        <v>240.865</v>
      </c>
      <c r="P211" s="47">
        <f>SUM(O211:O263)</f>
        <v>84032.1954</v>
      </c>
      <c r="Q211" s="47" t="s">
        <v>40</v>
      </c>
      <c r="R211" s="78">
        <f>SUM(63592/1848)*H211</f>
        <v>172.056277056277</v>
      </c>
      <c r="S211" s="78"/>
      <c r="T211" s="79">
        <f>SUM(130/1848)*H211</f>
        <v>0.351731601731602</v>
      </c>
      <c r="U211" s="78"/>
      <c r="V211" s="78"/>
      <c r="W211" s="80">
        <f t="shared" si="117"/>
        <v>172.408008658009</v>
      </c>
      <c r="X211" s="81">
        <f>SUM(1276.78/1848)*H211</f>
        <v>3.45449134199134</v>
      </c>
      <c r="Y211" s="81"/>
      <c r="Z211" s="81"/>
      <c r="AA211" s="81">
        <f t="shared" si="118"/>
        <v>3.45449134199134</v>
      </c>
      <c r="AB211" s="90">
        <v>7.19</v>
      </c>
      <c r="AC211" s="78">
        <f t="shared" si="114"/>
        <v>24.8377927489177</v>
      </c>
      <c r="AD211" s="78">
        <f t="shared" si="115"/>
        <v>197.245801406926</v>
      </c>
      <c r="AE211" s="78">
        <f t="shared" si="116"/>
        <v>43.619198593074</v>
      </c>
    </row>
    <row r="212" customFormat="1" spans="1:31">
      <c r="A212" s="18"/>
      <c r="B212" s="19"/>
      <c r="C212" s="20">
        <v>240221000020</v>
      </c>
      <c r="D212" s="21">
        <v>45360</v>
      </c>
      <c r="E212" s="21" t="s">
        <v>70</v>
      </c>
      <c r="F212" s="19" t="s">
        <v>70</v>
      </c>
      <c r="G212" s="19" t="s">
        <v>212</v>
      </c>
      <c r="H212" s="19">
        <v>17.5</v>
      </c>
      <c r="I212" s="41">
        <v>776</v>
      </c>
      <c r="J212" s="53"/>
      <c r="K212" s="51"/>
      <c r="L212" s="53"/>
      <c r="M212" s="44"/>
      <c r="N212" s="45"/>
      <c r="O212" s="46">
        <f t="shared" ref="O212:O216" si="119">SUM(I212)</f>
        <v>776</v>
      </c>
      <c r="P212" s="48"/>
      <c r="Q212" s="48"/>
      <c r="R212" s="78">
        <f t="shared" ref="R212:R243" si="120">SUM(63592/1848)*H212</f>
        <v>602.19696969697</v>
      </c>
      <c r="S212" s="78"/>
      <c r="T212" s="79">
        <f t="shared" ref="T212:T243" si="121">SUM(130/1848)*H212</f>
        <v>1.23106060606061</v>
      </c>
      <c r="U212" s="78"/>
      <c r="V212" s="78"/>
      <c r="W212" s="80">
        <f t="shared" si="117"/>
        <v>603.42803030303</v>
      </c>
      <c r="X212" s="81">
        <f t="shared" ref="X212:X243" si="122">SUM(1276.78/1848)*H212</f>
        <v>12.0907196969697</v>
      </c>
      <c r="Y212" s="81"/>
      <c r="Z212" s="81"/>
      <c r="AA212" s="81">
        <f t="shared" si="118"/>
        <v>12.0907196969697</v>
      </c>
      <c r="AB212" s="90">
        <v>7.19</v>
      </c>
      <c r="AC212" s="78">
        <f t="shared" si="114"/>
        <v>86.9322746212121</v>
      </c>
      <c r="AD212" s="78">
        <f t="shared" si="115"/>
        <v>690.360304924242</v>
      </c>
      <c r="AE212" s="78">
        <f t="shared" si="116"/>
        <v>85.6396950757576</v>
      </c>
    </row>
    <row r="213" customFormat="1" spans="1:31">
      <c r="A213" s="18"/>
      <c r="B213" s="19"/>
      <c r="C213" s="20">
        <v>240226000041</v>
      </c>
      <c r="D213" s="21">
        <v>45360</v>
      </c>
      <c r="E213" s="21" t="s">
        <v>47</v>
      </c>
      <c r="F213" s="19" t="s">
        <v>48</v>
      </c>
      <c r="G213" s="19" t="s">
        <v>213</v>
      </c>
      <c r="H213" s="19">
        <v>84.5</v>
      </c>
      <c r="I213" s="41">
        <v>3846</v>
      </c>
      <c r="J213" s="42"/>
      <c r="K213" s="43"/>
      <c r="L213" s="42"/>
      <c r="M213" s="44"/>
      <c r="N213" s="45"/>
      <c r="O213" s="46">
        <f t="shared" si="119"/>
        <v>3846</v>
      </c>
      <c r="P213" s="48"/>
      <c r="Q213" s="48"/>
      <c r="R213" s="78">
        <f t="shared" si="120"/>
        <v>2907.75108225108</v>
      </c>
      <c r="S213" s="78"/>
      <c r="T213" s="79">
        <f t="shared" si="121"/>
        <v>5.94426406926407</v>
      </c>
      <c r="U213" s="78"/>
      <c r="V213" s="79">
        <v>120</v>
      </c>
      <c r="W213" s="80">
        <f t="shared" si="117"/>
        <v>3033.69534632035</v>
      </c>
      <c r="X213" s="81">
        <f t="shared" si="122"/>
        <v>58.3809036796537</v>
      </c>
      <c r="Y213" s="81"/>
      <c r="Z213" s="81"/>
      <c r="AA213" s="81">
        <f t="shared" si="118"/>
        <v>58.3809036796537</v>
      </c>
      <c r="AB213" s="90">
        <v>7.19</v>
      </c>
      <c r="AC213" s="78">
        <f t="shared" si="114"/>
        <v>419.75869745671</v>
      </c>
      <c r="AD213" s="78">
        <f t="shared" si="115"/>
        <v>3453.45404377706</v>
      </c>
      <c r="AE213" s="78">
        <f t="shared" si="116"/>
        <v>392.545956222944</v>
      </c>
    </row>
    <row r="214" customFormat="1" spans="1:31">
      <c r="A214" s="18"/>
      <c r="B214" s="19"/>
      <c r="C214" s="20">
        <v>240229000016</v>
      </c>
      <c r="D214" s="21">
        <v>45360</v>
      </c>
      <c r="E214" s="21" t="s">
        <v>44</v>
      </c>
      <c r="F214" s="19" t="s">
        <v>45</v>
      </c>
      <c r="G214" s="19" t="s">
        <v>122</v>
      </c>
      <c r="H214" s="19">
        <v>7</v>
      </c>
      <c r="I214" s="49"/>
      <c r="J214" s="50">
        <v>51982</v>
      </c>
      <c r="K214" s="51"/>
      <c r="L214" s="50">
        <f t="shared" ref="L214:L218" si="123">SUM(J214/M214)</f>
        <v>1136.21857923497</v>
      </c>
      <c r="M214" s="52">
        <v>45.75</v>
      </c>
      <c r="N214" s="45">
        <v>7.19</v>
      </c>
      <c r="O214" s="46">
        <f t="shared" ref="O214:O218" si="124">SUM(M214*N214)</f>
        <v>328.9425</v>
      </c>
      <c r="P214" s="48"/>
      <c r="Q214" s="48"/>
      <c r="R214" s="78">
        <f t="shared" si="120"/>
        <v>240.878787878788</v>
      </c>
      <c r="S214" s="78"/>
      <c r="T214" s="79">
        <f t="shared" si="121"/>
        <v>0.492424242424242</v>
      </c>
      <c r="U214" s="78"/>
      <c r="V214" s="78"/>
      <c r="W214" s="80">
        <f t="shared" si="117"/>
        <v>241.371212121212</v>
      </c>
      <c r="X214" s="81">
        <f t="shared" si="122"/>
        <v>4.83628787878788</v>
      </c>
      <c r="Y214" s="81"/>
      <c r="Z214" s="81"/>
      <c r="AA214" s="81">
        <f t="shared" si="118"/>
        <v>4.83628787878788</v>
      </c>
      <c r="AB214" s="90">
        <v>7.19</v>
      </c>
      <c r="AC214" s="78">
        <f t="shared" si="114"/>
        <v>34.7729098484849</v>
      </c>
      <c r="AD214" s="78">
        <f t="shared" si="115"/>
        <v>276.144121969697</v>
      </c>
      <c r="AE214" s="78">
        <f t="shared" si="116"/>
        <v>52.798378030303</v>
      </c>
    </row>
    <row r="215" customFormat="1" spans="1:31">
      <c r="A215" s="18"/>
      <c r="B215" s="19"/>
      <c r="C215" s="20">
        <v>240301000004</v>
      </c>
      <c r="D215" s="21">
        <v>45360</v>
      </c>
      <c r="E215" s="21" t="s">
        <v>70</v>
      </c>
      <c r="F215" s="19" t="s">
        <v>70</v>
      </c>
      <c r="G215" s="19" t="s">
        <v>205</v>
      </c>
      <c r="H215" s="19">
        <v>7</v>
      </c>
      <c r="I215" s="41">
        <v>376.8</v>
      </c>
      <c r="J215" s="53"/>
      <c r="K215" s="51"/>
      <c r="L215" s="53"/>
      <c r="M215" s="44"/>
      <c r="N215" s="45"/>
      <c r="O215" s="46">
        <f t="shared" si="119"/>
        <v>376.8</v>
      </c>
      <c r="P215" s="48"/>
      <c r="Q215" s="48"/>
      <c r="R215" s="78">
        <f t="shared" si="120"/>
        <v>240.878787878788</v>
      </c>
      <c r="S215" s="78"/>
      <c r="T215" s="79">
        <f t="shared" si="121"/>
        <v>0.492424242424242</v>
      </c>
      <c r="U215" s="78"/>
      <c r="V215" s="78"/>
      <c r="W215" s="80">
        <f t="shared" si="117"/>
        <v>241.371212121212</v>
      </c>
      <c r="X215" s="81">
        <f t="shared" si="122"/>
        <v>4.83628787878788</v>
      </c>
      <c r="Y215" s="81"/>
      <c r="Z215" s="81"/>
      <c r="AA215" s="81">
        <f t="shared" si="118"/>
        <v>4.83628787878788</v>
      </c>
      <c r="AB215" s="90">
        <v>7.19</v>
      </c>
      <c r="AC215" s="78">
        <f t="shared" si="114"/>
        <v>34.7729098484849</v>
      </c>
      <c r="AD215" s="78">
        <f t="shared" si="115"/>
        <v>276.144121969697</v>
      </c>
      <c r="AE215" s="78">
        <f t="shared" si="116"/>
        <v>100.655878030303</v>
      </c>
    </row>
    <row r="216" customFormat="1" spans="1:31">
      <c r="A216" s="18"/>
      <c r="B216" s="19"/>
      <c r="C216" s="20">
        <v>240301000009</v>
      </c>
      <c r="D216" s="21">
        <v>45360</v>
      </c>
      <c r="E216" s="21" t="s">
        <v>47</v>
      </c>
      <c r="F216" s="19" t="s">
        <v>175</v>
      </c>
      <c r="G216" s="19" t="s">
        <v>167</v>
      </c>
      <c r="H216" s="19">
        <v>14.5</v>
      </c>
      <c r="I216" s="41">
        <v>609</v>
      </c>
      <c r="J216" s="42"/>
      <c r="K216" s="43"/>
      <c r="L216" s="42"/>
      <c r="M216" s="44"/>
      <c r="N216" s="45"/>
      <c r="O216" s="46">
        <f t="shared" si="119"/>
        <v>609</v>
      </c>
      <c r="P216" s="48"/>
      <c r="Q216" s="48"/>
      <c r="R216" s="78">
        <f t="shared" si="120"/>
        <v>498.963203463203</v>
      </c>
      <c r="S216" s="78"/>
      <c r="T216" s="79">
        <f t="shared" si="121"/>
        <v>1.02002164502165</v>
      </c>
      <c r="U216" s="78"/>
      <c r="V216" s="78"/>
      <c r="W216" s="80">
        <f t="shared" si="117"/>
        <v>499.983225108225</v>
      </c>
      <c r="X216" s="81">
        <f t="shared" si="122"/>
        <v>10.0180248917749</v>
      </c>
      <c r="Y216" s="81"/>
      <c r="Z216" s="81"/>
      <c r="AA216" s="81">
        <f t="shared" si="118"/>
        <v>10.0180248917749</v>
      </c>
      <c r="AB216" s="90">
        <v>7.19</v>
      </c>
      <c r="AC216" s="78">
        <f t="shared" si="114"/>
        <v>72.0295989718615</v>
      </c>
      <c r="AD216" s="78">
        <f t="shared" si="115"/>
        <v>572.012824080087</v>
      </c>
      <c r="AE216" s="78">
        <f t="shared" si="116"/>
        <v>36.9871759199134</v>
      </c>
    </row>
    <row r="217" customFormat="1" spans="1:31">
      <c r="A217" s="18"/>
      <c r="B217" s="19"/>
      <c r="C217" s="20">
        <v>240301000010</v>
      </c>
      <c r="D217" s="21">
        <v>45360</v>
      </c>
      <c r="E217" s="21" t="s">
        <v>47</v>
      </c>
      <c r="F217" s="19" t="s">
        <v>48</v>
      </c>
      <c r="G217" s="19" t="s">
        <v>214</v>
      </c>
      <c r="H217" s="19">
        <v>1.5</v>
      </c>
      <c r="I217" s="49"/>
      <c r="J217" s="50">
        <v>26389.5</v>
      </c>
      <c r="K217" s="51"/>
      <c r="L217" s="50">
        <f t="shared" si="123"/>
        <v>1575.49253731343</v>
      </c>
      <c r="M217" s="52">
        <v>16.75</v>
      </c>
      <c r="N217" s="45">
        <v>7.19</v>
      </c>
      <c r="O217" s="46">
        <f t="shared" si="124"/>
        <v>120.4325</v>
      </c>
      <c r="P217" s="48"/>
      <c r="Q217" s="48"/>
      <c r="R217" s="78">
        <f t="shared" si="120"/>
        <v>51.6168831168831</v>
      </c>
      <c r="S217" s="78"/>
      <c r="T217" s="79">
        <f t="shared" si="121"/>
        <v>0.105519480519481</v>
      </c>
      <c r="U217" s="78"/>
      <c r="V217" s="78"/>
      <c r="W217" s="80">
        <f t="shared" si="117"/>
        <v>51.7224025974026</v>
      </c>
      <c r="X217" s="81">
        <f t="shared" si="122"/>
        <v>1.0363474025974</v>
      </c>
      <c r="Y217" s="81"/>
      <c r="Z217" s="81"/>
      <c r="AA217" s="81">
        <f t="shared" si="118"/>
        <v>1.0363474025974</v>
      </c>
      <c r="AB217" s="90">
        <v>7.19</v>
      </c>
      <c r="AC217" s="78">
        <f t="shared" si="114"/>
        <v>7.45133782467533</v>
      </c>
      <c r="AD217" s="78">
        <f t="shared" si="115"/>
        <v>59.1737404220779</v>
      </c>
      <c r="AE217" s="78">
        <f t="shared" si="116"/>
        <v>61.2587595779221</v>
      </c>
    </row>
    <row r="218" customFormat="1" spans="1:31">
      <c r="A218" s="18"/>
      <c r="B218" s="19"/>
      <c r="C218" s="20">
        <v>240301000013</v>
      </c>
      <c r="D218" s="21">
        <v>45360</v>
      </c>
      <c r="E218" s="21" t="s">
        <v>44</v>
      </c>
      <c r="F218" s="19" t="s">
        <v>45</v>
      </c>
      <c r="G218" s="19" t="s">
        <v>215</v>
      </c>
      <c r="H218" s="19">
        <v>0.1</v>
      </c>
      <c r="I218" s="46"/>
      <c r="J218" s="54">
        <v>11360</v>
      </c>
      <c r="K218" s="55"/>
      <c r="L218" s="50">
        <f t="shared" si="123"/>
        <v>1600</v>
      </c>
      <c r="M218" s="105">
        <v>7.1</v>
      </c>
      <c r="N218" s="45">
        <v>7.19</v>
      </c>
      <c r="O218" s="46">
        <f t="shared" si="124"/>
        <v>51.049</v>
      </c>
      <c r="P218" s="48"/>
      <c r="Q218" s="48"/>
      <c r="R218" s="78">
        <f t="shared" si="120"/>
        <v>3.44112554112554</v>
      </c>
      <c r="S218" s="78"/>
      <c r="T218" s="79">
        <f t="shared" si="121"/>
        <v>0.00703463203463204</v>
      </c>
      <c r="U218" s="78"/>
      <c r="V218" s="78"/>
      <c r="W218" s="80">
        <f t="shared" si="117"/>
        <v>3.44816017316017</v>
      </c>
      <c r="X218" s="81">
        <f t="shared" si="122"/>
        <v>0.0690898268398268</v>
      </c>
      <c r="Y218" s="81"/>
      <c r="Z218" s="81"/>
      <c r="AA218" s="81">
        <f t="shared" si="118"/>
        <v>0.0690898268398268</v>
      </c>
      <c r="AB218" s="90">
        <v>7.19</v>
      </c>
      <c r="AC218" s="78">
        <f t="shared" si="114"/>
        <v>0.496755854978355</v>
      </c>
      <c r="AD218" s="78">
        <f t="shared" si="115"/>
        <v>3.94491602813853</v>
      </c>
      <c r="AE218" s="78">
        <f t="shared" si="116"/>
        <v>47.1040839718615</v>
      </c>
    </row>
    <row r="219" customFormat="1" spans="1:31">
      <c r="A219" s="18"/>
      <c r="B219" s="19"/>
      <c r="C219" s="20">
        <v>240301000025</v>
      </c>
      <c r="D219" s="21">
        <v>45360</v>
      </c>
      <c r="E219" s="21" t="s">
        <v>41</v>
      </c>
      <c r="F219" s="19" t="s">
        <v>42</v>
      </c>
      <c r="G219" s="19" t="s">
        <v>195</v>
      </c>
      <c r="H219" s="19">
        <v>3.5</v>
      </c>
      <c r="I219" s="41">
        <v>167</v>
      </c>
      <c r="J219" s="42"/>
      <c r="K219" s="43"/>
      <c r="L219" s="42"/>
      <c r="M219" s="44"/>
      <c r="N219" s="45"/>
      <c r="O219" s="46">
        <f t="shared" ref="O219:O227" si="125">SUM(I219)</f>
        <v>167</v>
      </c>
      <c r="P219" s="48"/>
      <c r="Q219" s="48"/>
      <c r="R219" s="78">
        <f t="shared" si="120"/>
        <v>120.439393939394</v>
      </c>
      <c r="S219" s="78"/>
      <c r="T219" s="79">
        <f t="shared" si="121"/>
        <v>0.246212121212121</v>
      </c>
      <c r="U219" s="78"/>
      <c r="V219" s="78"/>
      <c r="W219" s="80">
        <f t="shared" si="117"/>
        <v>120.685606060606</v>
      </c>
      <c r="X219" s="81">
        <f t="shared" si="122"/>
        <v>2.41814393939394</v>
      </c>
      <c r="Y219" s="81"/>
      <c r="Z219" s="81"/>
      <c r="AA219" s="81">
        <f t="shared" si="118"/>
        <v>2.41814393939394</v>
      </c>
      <c r="AB219" s="90">
        <v>7.19</v>
      </c>
      <c r="AC219" s="78">
        <f t="shared" si="114"/>
        <v>17.3864549242424</v>
      </c>
      <c r="AD219" s="78">
        <f t="shared" si="115"/>
        <v>138.072060984848</v>
      </c>
      <c r="AE219" s="78">
        <f t="shared" si="116"/>
        <v>28.9279390151515</v>
      </c>
    </row>
    <row r="220" customFormat="1" spans="1:31">
      <c r="A220" s="18"/>
      <c r="B220" s="19"/>
      <c r="C220" s="20">
        <v>240301000035</v>
      </c>
      <c r="D220" s="21">
        <v>45360</v>
      </c>
      <c r="E220" s="21" t="s">
        <v>44</v>
      </c>
      <c r="F220" s="19" t="s">
        <v>45</v>
      </c>
      <c r="G220" s="19" t="s">
        <v>122</v>
      </c>
      <c r="H220" s="19">
        <v>38</v>
      </c>
      <c r="I220" s="49"/>
      <c r="J220" s="50">
        <v>282188</v>
      </c>
      <c r="K220" s="51"/>
      <c r="L220" s="50">
        <f t="shared" ref="L220:L223" si="126">SUM(J220/M220)</f>
        <v>1136.02254428341</v>
      </c>
      <c r="M220" s="52">
        <v>248.4</v>
      </c>
      <c r="N220" s="45">
        <v>7.19</v>
      </c>
      <c r="O220" s="46">
        <f t="shared" ref="O220:O223" si="127">SUM(M220*N220)</f>
        <v>1785.996</v>
      </c>
      <c r="P220" s="48"/>
      <c r="Q220" s="48"/>
      <c r="R220" s="78">
        <f t="shared" si="120"/>
        <v>1307.62770562771</v>
      </c>
      <c r="S220" s="78"/>
      <c r="T220" s="79">
        <f t="shared" si="121"/>
        <v>2.67316017316017</v>
      </c>
      <c r="U220" s="78"/>
      <c r="V220" s="78"/>
      <c r="W220" s="80">
        <f t="shared" si="117"/>
        <v>1310.30086580087</v>
      </c>
      <c r="X220" s="81">
        <f t="shared" si="122"/>
        <v>26.2541341991342</v>
      </c>
      <c r="Y220" s="81"/>
      <c r="Z220" s="81"/>
      <c r="AA220" s="81">
        <f t="shared" si="118"/>
        <v>26.2541341991342</v>
      </c>
      <c r="AB220" s="90">
        <v>7.19</v>
      </c>
      <c r="AC220" s="78">
        <f t="shared" si="114"/>
        <v>188.767224891775</v>
      </c>
      <c r="AD220" s="78">
        <f t="shared" si="115"/>
        <v>1499.06809069264</v>
      </c>
      <c r="AE220" s="78">
        <f t="shared" si="116"/>
        <v>286.927909307359</v>
      </c>
    </row>
    <row r="221" customFormat="1" spans="1:31">
      <c r="A221" s="18"/>
      <c r="B221" s="19"/>
      <c r="C221" s="20">
        <v>240302000001</v>
      </c>
      <c r="D221" s="21">
        <v>45360</v>
      </c>
      <c r="E221" s="21" t="s">
        <v>47</v>
      </c>
      <c r="F221" s="19" t="s">
        <v>48</v>
      </c>
      <c r="G221" s="19" t="s">
        <v>216</v>
      </c>
      <c r="H221" s="19">
        <v>24.5</v>
      </c>
      <c r="I221" s="49"/>
      <c r="J221" s="50">
        <v>229467</v>
      </c>
      <c r="K221" s="51"/>
      <c r="L221" s="50">
        <f t="shared" si="126"/>
        <v>1603.43092725875</v>
      </c>
      <c r="M221" s="52">
        <v>143.11</v>
      </c>
      <c r="N221" s="45">
        <v>7.19</v>
      </c>
      <c r="O221" s="46">
        <f t="shared" si="127"/>
        <v>1028.9609</v>
      </c>
      <c r="P221" s="48"/>
      <c r="Q221" s="48"/>
      <c r="R221" s="78">
        <f t="shared" si="120"/>
        <v>843.075757575758</v>
      </c>
      <c r="S221" s="78"/>
      <c r="T221" s="79">
        <f t="shared" si="121"/>
        <v>1.72348484848485</v>
      </c>
      <c r="U221" s="78"/>
      <c r="V221" s="78"/>
      <c r="W221" s="80">
        <f t="shared" si="117"/>
        <v>844.799242424242</v>
      </c>
      <c r="X221" s="81">
        <f t="shared" si="122"/>
        <v>16.9270075757576</v>
      </c>
      <c r="Y221" s="81"/>
      <c r="Z221" s="81"/>
      <c r="AA221" s="81">
        <f t="shared" si="118"/>
        <v>16.9270075757576</v>
      </c>
      <c r="AB221" s="90">
        <v>7.19</v>
      </c>
      <c r="AC221" s="78">
        <f t="shared" si="114"/>
        <v>121.705184469697</v>
      </c>
      <c r="AD221" s="78">
        <f t="shared" si="115"/>
        <v>966.504426893939</v>
      </c>
      <c r="AE221" s="78">
        <f t="shared" si="116"/>
        <v>62.4564731060607</v>
      </c>
    </row>
    <row r="222" customFormat="1" spans="1:31">
      <c r="A222" s="18"/>
      <c r="B222" s="19"/>
      <c r="C222" s="20">
        <v>240302000003</v>
      </c>
      <c r="D222" s="21">
        <v>45360</v>
      </c>
      <c r="E222" s="21" t="s">
        <v>47</v>
      </c>
      <c r="F222" s="19" t="s">
        <v>48</v>
      </c>
      <c r="G222" s="19" t="s">
        <v>217</v>
      </c>
      <c r="H222" s="19">
        <v>246</v>
      </c>
      <c r="I222" s="41">
        <v>10824</v>
      </c>
      <c r="J222" s="42"/>
      <c r="K222" s="43"/>
      <c r="L222" s="42"/>
      <c r="M222" s="44"/>
      <c r="N222" s="45"/>
      <c r="O222" s="46">
        <f t="shared" si="125"/>
        <v>10824</v>
      </c>
      <c r="P222" s="48"/>
      <c r="Q222" s="48"/>
      <c r="R222" s="78">
        <f t="shared" si="120"/>
        <v>8465.16883116883</v>
      </c>
      <c r="S222" s="78"/>
      <c r="T222" s="79">
        <f t="shared" si="121"/>
        <v>17.3051948051948</v>
      </c>
      <c r="U222" s="78"/>
      <c r="V222" s="78"/>
      <c r="W222" s="80">
        <f t="shared" si="117"/>
        <v>8482.47402597402</v>
      </c>
      <c r="X222" s="81">
        <f t="shared" si="122"/>
        <v>169.960974025974</v>
      </c>
      <c r="Y222" s="81"/>
      <c r="Z222" s="81"/>
      <c r="AA222" s="81">
        <f t="shared" si="118"/>
        <v>169.960974025974</v>
      </c>
      <c r="AB222" s="90">
        <v>7.19</v>
      </c>
      <c r="AC222" s="78">
        <f t="shared" si="114"/>
        <v>1222.01940324675</v>
      </c>
      <c r="AD222" s="78">
        <f t="shared" si="115"/>
        <v>9704.49342922078</v>
      </c>
      <c r="AE222" s="78">
        <f t="shared" si="116"/>
        <v>1119.50657077922</v>
      </c>
    </row>
    <row r="223" customFormat="1" spans="1:31">
      <c r="A223" s="18"/>
      <c r="B223" s="19"/>
      <c r="C223" s="20">
        <v>240302000005</v>
      </c>
      <c r="D223" s="21">
        <v>45360</v>
      </c>
      <c r="E223" s="21" t="s">
        <v>51</v>
      </c>
      <c r="F223" s="19" t="s">
        <v>52</v>
      </c>
      <c r="G223" s="19" t="s">
        <v>218</v>
      </c>
      <c r="H223" s="19">
        <v>11</v>
      </c>
      <c r="I223" s="49"/>
      <c r="J223" s="50">
        <v>235488</v>
      </c>
      <c r="K223" s="51"/>
      <c r="L223" s="50">
        <f t="shared" si="126"/>
        <v>1603.37713624294</v>
      </c>
      <c r="M223" s="52">
        <v>146.87</v>
      </c>
      <c r="N223" s="45">
        <v>7.19</v>
      </c>
      <c r="O223" s="46">
        <f t="shared" si="127"/>
        <v>1055.9953</v>
      </c>
      <c r="P223" s="48"/>
      <c r="Q223" s="48"/>
      <c r="R223" s="78">
        <f t="shared" si="120"/>
        <v>378.52380952381</v>
      </c>
      <c r="S223" s="78"/>
      <c r="T223" s="79">
        <f t="shared" si="121"/>
        <v>0.773809523809524</v>
      </c>
      <c r="U223" s="78">
        <v>60</v>
      </c>
      <c r="V223" s="78"/>
      <c r="W223" s="80">
        <f t="shared" si="117"/>
        <v>439.297619047619</v>
      </c>
      <c r="X223" s="81">
        <f t="shared" si="122"/>
        <v>7.59988095238095</v>
      </c>
      <c r="Y223" s="81"/>
      <c r="Z223" s="81"/>
      <c r="AA223" s="81">
        <f t="shared" si="118"/>
        <v>7.59988095238095</v>
      </c>
      <c r="AB223" s="90">
        <v>7.19</v>
      </c>
      <c r="AC223" s="78">
        <f t="shared" si="114"/>
        <v>54.6431440476191</v>
      </c>
      <c r="AD223" s="78">
        <f t="shared" si="115"/>
        <v>493.940763095238</v>
      </c>
      <c r="AE223" s="78">
        <f t="shared" si="116"/>
        <v>562.054536904762</v>
      </c>
    </row>
    <row r="224" customFormat="1" spans="1:31">
      <c r="A224" s="18"/>
      <c r="B224" s="19"/>
      <c r="C224" s="20">
        <v>240304000001</v>
      </c>
      <c r="D224" s="21">
        <v>45360</v>
      </c>
      <c r="E224" s="21" t="s">
        <v>37</v>
      </c>
      <c r="F224" s="19" t="s">
        <v>38</v>
      </c>
      <c r="G224" s="19" t="s">
        <v>219</v>
      </c>
      <c r="H224" s="19">
        <v>8</v>
      </c>
      <c r="I224" s="41">
        <v>400</v>
      </c>
      <c r="J224" s="42"/>
      <c r="K224" s="43"/>
      <c r="L224" s="42"/>
      <c r="M224" s="44"/>
      <c r="N224" s="45"/>
      <c r="O224" s="46">
        <f t="shared" si="125"/>
        <v>400</v>
      </c>
      <c r="P224" s="48"/>
      <c r="Q224" s="48"/>
      <c r="R224" s="78">
        <f t="shared" si="120"/>
        <v>275.290043290043</v>
      </c>
      <c r="S224" s="78"/>
      <c r="T224" s="79">
        <f t="shared" si="121"/>
        <v>0.562770562770563</v>
      </c>
      <c r="U224" s="78">
        <v>30</v>
      </c>
      <c r="V224" s="78"/>
      <c r="W224" s="80">
        <f t="shared" si="117"/>
        <v>305.852813852814</v>
      </c>
      <c r="X224" s="81">
        <f t="shared" si="122"/>
        <v>5.52718614718615</v>
      </c>
      <c r="Y224" s="81"/>
      <c r="Z224" s="81"/>
      <c r="AA224" s="81">
        <f t="shared" si="118"/>
        <v>5.52718614718615</v>
      </c>
      <c r="AB224" s="90">
        <v>7.19</v>
      </c>
      <c r="AC224" s="78">
        <f t="shared" si="114"/>
        <v>39.7404683982684</v>
      </c>
      <c r="AD224" s="78">
        <f t="shared" si="115"/>
        <v>345.593282251082</v>
      </c>
      <c r="AE224" s="78">
        <f t="shared" si="116"/>
        <v>54.4067177489178</v>
      </c>
    </row>
    <row r="225" customFormat="1" spans="1:31">
      <c r="A225" s="18"/>
      <c r="B225" s="19"/>
      <c r="C225" s="20">
        <v>240304000003</v>
      </c>
      <c r="D225" s="21">
        <v>45360</v>
      </c>
      <c r="E225" s="21" t="s">
        <v>37</v>
      </c>
      <c r="F225" s="19" t="s">
        <v>38</v>
      </c>
      <c r="G225" s="19" t="s">
        <v>39</v>
      </c>
      <c r="H225" s="19">
        <v>4.5</v>
      </c>
      <c r="I225" s="41">
        <v>214.5</v>
      </c>
      <c r="J225" s="53"/>
      <c r="K225" s="51"/>
      <c r="L225" s="53"/>
      <c r="M225" s="44"/>
      <c r="N225" s="45"/>
      <c r="O225" s="46">
        <f t="shared" si="125"/>
        <v>214.5</v>
      </c>
      <c r="P225" s="48"/>
      <c r="Q225" s="48"/>
      <c r="R225" s="78">
        <f t="shared" si="120"/>
        <v>154.850649350649</v>
      </c>
      <c r="S225" s="78"/>
      <c r="T225" s="79">
        <f t="shared" si="121"/>
        <v>0.316558441558442</v>
      </c>
      <c r="U225" s="78"/>
      <c r="V225" s="78"/>
      <c r="W225" s="80">
        <f t="shared" si="117"/>
        <v>155.167207792208</v>
      </c>
      <c r="X225" s="81">
        <f t="shared" si="122"/>
        <v>3.10904220779221</v>
      </c>
      <c r="Y225" s="81"/>
      <c r="Z225" s="81"/>
      <c r="AA225" s="81">
        <f t="shared" si="118"/>
        <v>3.10904220779221</v>
      </c>
      <c r="AB225" s="90">
        <v>7.19</v>
      </c>
      <c r="AC225" s="78">
        <f t="shared" si="114"/>
        <v>22.354013474026</v>
      </c>
      <c r="AD225" s="78">
        <f t="shared" si="115"/>
        <v>177.521221266234</v>
      </c>
      <c r="AE225" s="78">
        <f t="shared" si="116"/>
        <v>36.9787787337662</v>
      </c>
    </row>
    <row r="226" customFormat="1" spans="1:31">
      <c r="A226" s="18"/>
      <c r="B226" s="19"/>
      <c r="C226" s="20">
        <v>240304000012</v>
      </c>
      <c r="D226" s="21">
        <v>45360</v>
      </c>
      <c r="E226" s="21" t="s">
        <v>37</v>
      </c>
      <c r="F226" s="19" t="s">
        <v>38</v>
      </c>
      <c r="G226" s="19" t="s">
        <v>220</v>
      </c>
      <c r="H226" s="19">
        <v>1</v>
      </c>
      <c r="I226" s="41">
        <v>50</v>
      </c>
      <c r="J226" s="42"/>
      <c r="K226" s="43"/>
      <c r="L226" s="42"/>
      <c r="M226" s="44"/>
      <c r="N226" s="45"/>
      <c r="O226" s="46">
        <f t="shared" si="125"/>
        <v>50</v>
      </c>
      <c r="P226" s="48"/>
      <c r="Q226" s="48"/>
      <c r="R226" s="78">
        <f t="shared" si="120"/>
        <v>34.4112554112554</v>
      </c>
      <c r="S226" s="78"/>
      <c r="T226" s="79">
        <f t="shared" si="121"/>
        <v>0.0703463203463204</v>
      </c>
      <c r="U226" s="78"/>
      <c r="V226" s="78"/>
      <c r="W226" s="80">
        <f t="shared" si="117"/>
        <v>34.4816017316017</v>
      </c>
      <c r="X226" s="81">
        <f t="shared" si="122"/>
        <v>0.690898268398268</v>
      </c>
      <c r="Y226" s="81"/>
      <c r="Z226" s="81"/>
      <c r="AA226" s="81">
        <f t="shared" si="118"/>
        <v>0.690898268398268</v>
      </c>
      <c r="AB226" s="90">
        <v>7.19</v>
      </c>
      <c r="AC226" s="78">
        <f t="shared" si="114"/>
        <v>4.96755854978355</v>
      </c>
      <c r="AD226" s="78">
        <f t="shared" si="115"/>
        <v>39.4491602813853</v>
      </c>
      <c r="AE226" s="78">
        <f t="shared" si="116"/>
        <v>10.5508397186147</v>
      </c>
    </row>
    <row r="227" customFormat="1" spans="1:31">
      <c r="A227" s="18"/>
      <c r="B227" s="19"/>
      <c r="C227" s="20">
        <v>240304000018</v>
      </c>
      <c r="D227" s="21">
        <v>45360</v>
      </c>
      <c r="E227" s="21" t="s">
        <v>47</v>
      </c>
      <c r="F227" s="19" t="s">
        <v>48</v>
      </c>
      <c r="G227" s="19" t="s">
        <v>221</v>
      </c>
      <c r="H227" s="19">
        <v>16</v>
      </c>
      <c r="I227" s="41">
        <v>710</v>
      </c>
      <c r="J227" s="42"/>
      <c r="K227" s="43"/>
      <c r="L227" s="42"/>
      <c r="M227" s="44"/>
      <c r="N227" s="45"/>
      <c r="O227" s="46">
        <f t="shared" si="125"/>
        <v>710</v>
      </c>
      <c r="P227" s="48"/>
      <c r="Q227" s="48"/>
      <c r="R227" s="78">
        <f t="shared" si="120"/>
        <v>550.580086580087</v>
      </c>
      <c r="S227" s="78"/>
      <c r="T227" s="79">
        <f t="shared" si="121"/>
        <v>1.12554112554113</v>
      </c>
      <c r="U227" s="78"/>
      <c r="V227" s="78"/>
      <c r="W227" s="80">
        <f t="shared" si="117"/>
        <v>551.705627705628</v>
      </c>
      <c r="X227" s="81">
        <f t="shared" si="122"/>
        <v>11.0543722943723</v>
      </c>
      <c r="Y227" s="81"/>
      <c r="Z227" s="81"/>
      <c r="AA227" s="81">
        <f t="shared" si="118"/>
        <v>11.0543722943723</v>
      </c>
      <c r="AB227" s="90">
        <v>7.19</v>
      </c>
      <c r="AC227" s="78">
        <f t="shared" si="114"/>
        <v>79.4809367965368</v>
      </c>
      <c r="AD227" s="78">
        <f t="shared" si="115"/>
        <v>631.186564502164</v>
      </c>
      <c r="AE227" s="78">
        <f t="shared" si="116"/>
        <v>78.8134354978356</v>
      </c>
    </row>
    <row r="228" customFormat="1" spans="1:31">
      <c r="A228" s="18"/>
      <c r="B228" s="19"/>
      <c r="C228" s="20">
        <v>240304000019</v>
      </c>
      <c r="D228" s="21">
        <v>45360</v>
      </c>
      <c r="E228" s="21" t="s">
        <v>44</v>
      </c>
      <c r="F228" s="19" t="s">
        <v>45</v>
      </c>
      <c r="G228" s="19" t="s">
        <v>122</v>
      </c>
      <c r="H228" s="19">
        <v>16.5</v>
      </c>
      <c r="I228" s="49"/>
      <c r="J228" s="50">
        <v>122529</v>
      </c>
      <c r="K228" s="51"/>
      <c r="L228" s="50">
        <f t="shared" ref="L228:L230" si="128">SUM(J228/M228)</f>
        <v>1136.1057023644</v>
      </c>
      <c r="M228" s="52">
        <v>107.85</v>
      </c>
      <c r="N228" s="45">
        <v>7.19</v>
      </c>
      <c r="O228" s="46">
        <f t="shared" ref="O228:O230" si="129">SUM(M228*N228)</f>
        <v>775.4415</v>
      </c>
      <c r="P228" s="48"/>
      <c r="Q228" s="48"/>
      <c r="R228" s="78">
        <f t="shared" si="120"/>
        <v>567.785714285714</v>
      </c>
      <c r="S228" s="78"/>
      <c r="T228" s="79">
        <f t="shared" si="121"/>
        <v>1.16071428571429</v>
      </c>
      <c r="U228" s="78"/>
      <c r="V228" s="78"/>
      <c r="W228" s="80">
        <f t="shared" si="117"/>
        <v>568.946428571429</v>
      </c>
      <c r="X228" s="81">
        <f t="shared" si="122"/>
        <v>11.3998214285714</v>
      </c>
      <c r="Y228" s="81"/>
      <c r="Z228" s="81"/>
      <c r="AA228" s="81">
        <f t="shared" si="118"/>
        <v>11.3998214285714</v>
      </c>
      <c r="AB228" s="90">
        <v>7.19</v>
      </c>
      <c r="AC228" s="78">
        <f t="shared" si="114"/>
        <v>81.9647160714286</v>
      </c>
      <c r="AD228" s="78">
        <f t="shared" si="115"/>
        <v>650.911144642857</v>
      </c>
      <c r="AE228" s="78">
        <f t="shared" si="116"/>
        <v>124.530355357143</v>
      </c>
    </row>
    <row r="229" customFormat="1" spans="1:31">
      <c r="A229" s="18"/>
      <c r="B229" s="19"/>
      <c r="C229" s="20">
        <v>240304000020</v>
      </c>
      <c r="D229" s="21">
        <v>45360</v>
      </c>
      <c r="E229" s="21" t="s">
        <v>47</v>
      </c>
      <c r="F229" s="19" t="s">
        <v>48</v>
      </c>
      <c r="G229" s="19" t="s">
        <v>222</v>
      </c>
      <c r="H229" s="19">
        <v>15.5</v>
      </c>
      <c r="I229" s="49"/>
      <c r="J229" s="50">
        <v>160337</v>
      </c>
      <c r="K229" s="51"/>
      <c r="L229" s="50">
        <f t="shared" si="128"/>
        <v>1603.37</v>
      </c>
      <c r="M229" s="52">
        <v>100</v>
      </c>
      <c r="N229" s="45">
        <v>7.19</v>
      </c>
      <c r="O229" s="46">
        <f t="shared" si="129"/>
        <v>719</v>
      </c>
      <c r="P229" s="48"/>
      <c r="Q229" s="48"/>
      <c r="R229" s="78">
        <f t="shared" si="120"/>
        <v>533.374458874459</v>
      </c>
      <c r="S229" s="78"/>
      <c r="T229" s="79">
        <f t="shared" si="121"/>
        <v>1.09036796536797</v>
      </c>
      <c r="U229" s="78"/>
      <c r="V229" s="78"/>
      <c r="W229" s="80">
        <f t="shared" si="117"/>
        <v>534.464826839827</v>
      </c>
      <c r="X229" s="81">
        <f t="shared" si="122"/>
        <v>10.7089231601732</v>
      </c>
      <c r="Y229" s="81"/>
      <c r="Z229" s="81"/>
      <c r="AA229" s="81">
        <f t="shared" si="118"/>
        <v>10.7089231601732</v>
      </c>
      <c r="AB229" s="90">
        <v>7.19</v>
      </c>
      <c r="AC229" s="78">
        <f t="shared" si="114"/>
        <v>76.997157521645</v>
      </c>
      <c r="AD229" s="78">
        <f t="shared" si="115"/>
        <v>611.461984361472</v>
      </c>
      <c r="AE229" s="78">
        <f t="shared" si="116"/>
        <v>107.538015638528</v>
      </c>
    </row>
    <row r="230" customFormat="1" spans="1:31">
      <c r="A230" s="18"/>
      <c r="B230" s="19"/>
      <c r="C230" s="20">
        <v>240304000022</v>
      </c>
      <c r="D230" s="21">
        <v>45360</v>
      </c>
      <c r="E230" s="21" t="s">
        <v>44</v>
      </c>
      <c r="F230" s="19" t="s">
        <v>45</v>
      </c>
      <c r="G230" s="19" t="s">
        <v>122</v>
      </c>
      <c r="H230" s="19">
        <v>452</v>
      </c>
      <c r="I230" s="49"/>
      <c r="J230" s="50">
        <v>3062672</v>
      </c>
      <c r="K230" s="51"/>
      <c r="L230" s="50">
        <f t="shared" si="128"/>
        <v>1136.02278965563</v>
      </c>
      <c r="M230" s="52">
        <v>2695.96</v>
      </c>
      <c r="N230" s="45">
        <v>7.19</v>
      </c>
      <c r="O230" s="46">
        <f t="shared" si="129"/>
        <v>19383.9524</v>
      </c>
      <c r="P230" s="48"/>
      <c r="Q230" s="48"/>
      <c r="R230" s="78">
        <f t="shared" si="120"/>
        <v>15553.8874458874</v>
      </c>
      <c r="S230" s="78"/>
      <c r="T230" s="79">
        <f t="shared" si="121"/>
        <v>31.7965367965368</v>
      </c>
      <c r="U230" s="78"/>
      <c r="V230" s="78"/>
      <c r="W230" s="80">
        <f t="shared" si="117"/>
        <v>15585.683982684</v>
      </c>
      <c r="X230" s="81">
        <f t="shared" si="122"/>
        <v>312.286017316017</v>
      </c>
      <c r="Y230" s="81">
        <v>55.63</v>
      </c>
      <c r="Z230" s="81"/>
      <c r="AA230" s="81">
        <f t="shared" si="118"/>
        <v>367.916017316017</v>
      </c>
      <c r="AB230" s="90">
        <v>7.19</v>
      </c>
      <c r="AC230" s="78">
        <f t="shared" si="114"/>
        <v>2645.31616450216</v>
      </c>
      <c r="AD230" s="78">
        <f t="shared" si="115"/>
        <v>18231.0001471861</v>
      </c>
      <c r="AE230" s="78">
        <f t="shared" si="116"/>
        <v>1152.95225281385</v>
      </c>
    </row>
    <row r="231" customFormat="1" spans="1:31">
      <c r="A231" s="18"/>
      <c r="B231" s="19"/>
      <c r="C231" s="20">
        <v>240304000027</v>
      </c>
      <c r="D231" s="21">
        <v>45360</v>
      </c>
      <c r="E231" s="21" t="s">
        <v>47</v>
      </c>
      <c r="F231" s="19" t="s">
        <v>48</v>
      </c>
      <c r="G231" s="19" t="s">
        <v>196</v>
      </c>
      <c r="H231" s="19">
        <v>5.5</v>
      </c>
      <c r="I231" s="41">
        <v>261.5</v>
      </c>
      <c r="J231" s="42"/>
      <c r="K231" s="43"/>
      <c r="L231" s="42"/>
      <c r="M231" s="44"/>
      <c r="N231" s="45"/>
      <c r="O231" s="46">
        <f t="shared" ref="O231:O236" si="130">SUM(I231)</f>
        <v>261.5</v>
      </c>
      <c r="P231" s="48"/>
      <c r="Q231" s="48"/>
      <c r="R231" s="78">
        <f t="shared" si="120"/>
        <v>189.261904761905</v>
      </c>
      <c r="S231" s="78"/>
      <c r="T231" s="79">
        <f t="shared" si="121"/>
        <v>0.386904761904762</v>
      </c>
      <c r="U231" s="78"/>
      <c r="V231" s="78"/>
      <c r="W231" s="80">
        <f t="shared" si="117"/>
        <v>189.64880952381</v>
      </c>
      <c r="X231" s="81">
        <f t="shared" si="122"/>
        <v>3.79994047619048</v>
      </c>
      <c r="Y231" s="81"/>
      <c r="Z231" s="81"/>
      <c r="AA231" s="81">
        <f t="shared" si="118"/>
        <v>3.79994047619048</v>
      </c>
      <c r="AB231" s="90">
        <v>7.19</v>
      </c>
      <c r="AC231" s="78">
        <f t="shared" si="114"/>
        <v>27.3215720238095</v>
      </c>
      <c r="AD231" s="78">
        <f t="shared" si="115"/>
        <v>216.970381547619</v>
      </c>
      <c r="AE231" s="78">
        <f t="shared" si="116"/>
        <v>44.529618452381</v>
      </c>
    </row>
    <row r="232" customFormat="1" spans="1:31">
      <c r="A232" s="18"/>
      <c r="B232" s="19"/>
      <c r="C232" s="22">
        <v>240304000028</v>
      </c>
      <c r="D232" s="23">
        <v>45360</v>
      </c>
      <c r="E232" s="21" t="s">
        <v>47</v>
      </c>
      <c r="F232" s="24" t="s">
        <v>48</v>
      </c>
      <c r="G232" s="24" t="s">
        <v>223</v>
      </c>
      <c r="H232" s="24">
        <v>41</v>
      </c>
      <c r="I232" s="41">
        <v>1722</v>
      </c>
      <c r="J232" s="42"/>
      <c r="K232" s="43"/>
      <c r="L232" s="42"/>
      <c r="M232" s="44"/>
      <c r="N232" s="45"/>
      <c r="O232" s="46">
        <f t="shared" si="130"/>
        <v>1722</v>
      </c>
      <c r="P232" s="48"/>
      <c r="Q232" s="48"/>
      <c r="R232" s="78">
        <f t="shared" si="120"/>
        <v>1410.86147186147</v>
      </c>
      <c r="S232" s="78"/>
      <c r="T232" s="79">
        <f t="shared" si="121"/>
        <v>2.88419913419913</v>
      </c>
      <c r="U232" s="78"/>
      <c r="V232" s="78"/>
      <c r="W232" s="80">
        <f t="shared" si="117"/>
        <v>1413.74567099567</v>
      </c>
      <c r="X232" s="81">
        <f t="shared" si="122"/>
        <v>28.326829004329</v>
      </c>
      <c r="Y232" s="81"/>
      <c r="Z232" s="81"/>
      <c r="AA232" s="81">
        <f t="shared" si="118"/>
        <v>28.326829004329</v>
      </c>
      <c r="AB232" s="90">
        <v>7.19</v>
      </c>
      <c r="AC232" s="78">
        <f t="shared" si="114"/>
        <v>203.669900541126</v>
      </c>
      <c r="AD232" s="78">
        <f t="shared" si="115"/>
        <v>1617.4155715368</v>
      </c>
      <c r="AE232" s="78">
        <f t="shared" si="116"/>
        <v>104.584428463203</v>
      </c>
    </row>
    <row r="233" customFormat="1" spans="1:31">
      <c r="A233" s="18"/>
      <c r="B233" s="19"/>
      <c r="C233" s="20">
        <v>240304000029</v>
      </c>
      <c r="D233" s="21">
        <v>45360</v>
      </c>
      <c r="E233" s="21" t="s">
        <v>47</v>
      </c>
      <c r="F233" s="19" t="s">
        <v>48</v>
      </c>
      <c r="G233" s="19" t="s">
        <v>152</v>
      </c>
      <c r="H233" s="19">
        <v>0.16</v>
      </c>
      <c r="I233" s="41">
        <v>50</v>
      </c>
      <c r="J233" s="42"/>
      <c r="K233" s="43"/>
      <c r="L233" s="42"/>
      <c r="M233" s="44"/>
      <c r="N233" s="45"/>
      <c r="O233" s="46">
        <f t="shared" si="130"/>
        <v>50</v>
      </c>
      <c r="P233" s="48"/>
      <c r="Q233" s="48"/>
      <c r="R233" s="78">
        <f t="shared" si="120"/>
        <v>5.50580086580087</v>
      </c>
      <c r="S233" s="78"/>
      <c r="T233" s="79">
        <f t="shared" si="121"/>
        <v>0.0112554112554113</v>
      </c>
      <c r="U233" s="78"/>
      <c r="V233" s="78"/>
      <c r="W233" s="80">
        <f t="shared" si="117"/>
        <v>5.51705627705628</v>
      </c>
      <c r="X233" s="81">
        <f t="shared" si="122"/>
        <v>0.110543722943723</v>
      </c>
      <c r="Y233" s="81"/>
      <c r="Z233" s="81"/>
      <c r="AA233" s="81">
        <f t="shared" si="118"/>
        <v>0.110543722943723</v>
      </c>
      <c r="AB233" s="90">
        <v>7.19</v>
      </c>
      <c r="AC233" s="78">
        <f t="shared" si="114"/>
        <v>0.794809367965368</v>
      </c>
      <c r="AD233" s="78">
        <f t="shared" si="115"/>
        <v>6.31186564502165</v>
      </c>
      <c r="AE233" s="78">
        <f t="shared" si="116"/>
        <v>43.6881343549784</v>
      </c>
    </row>
    <row r="234" customFormat="1" spans="1:31">
      <c r="A234" s="18"/>
      <c r="B234" s="19"/>
      <c r="C234" s="20">
        <v>240304000034</v>
      </c>
      <c r="D234" s="21">
        <v>45360</v>
      </c>
      <c r="E234" s="21" t="s">
        <v>70</v>
      </c>
      <c r="F234" s="19" t="s">
        <v>70</v>
      </c>
      <c r="G234" s="19" t="s">
        <v>184</v>
      </c>
      <c r="H234" s="19">
        <v>3.5</v>
      </c>
      <c r="I234" s="41">
        <v>188.5</v>
      </c>
      <c r="J234" s="53"/>
      <c r="K234" s="51"/>
      <c r="L234" s="53"/>
      <c r="M234" s="44"/>
      <c r="N234" s="45"/>
      <c r="O234" s="46">
        <f t="shared" si="130"/>
        <v>188.5</v>
      </c>
      <c r="P234" s="48"/>
      <c r="Q234" s="48"/>
      <c r="R234" s="78">
        <f t="shared" si="120"/>
        <v>120.439393939394</v>
      </c>
      <c r="S234" s="78"/>
      <c r="T234" s="79">
        <f t="shared" si="121"/>
        <v>0.246212121212121</v>
      </c>
      <c r="U234" s="78"/>
      <c r="V234" s="78"/>
      <c r="W234" s="80">
        <f t="shared" si="117"/>
        <v>120.685606060606</v>
      </c>
      <c r="X234" s="81">
        <f t="shared" si="122"/>
        <v>2.41814393939394</v>
      </c>
      <c r="Y234" s="81"/>
      <c r="Z234" s="81"/>
      <c r="AA234" s="81">
        <f t="shared" si="118"/>
        <v>2.41814393939394</v>
      </c>
      <c r="AB234" s="90">
        <v>7.19</v>
      </c>
      <c r="AC234" s="78">
        <f t="shared" si="114"/>
        <v>17.3864549242424</v>
      </c>
      <c r="AD234" s="78">
        <f t="shared" si="115"/>
        <v>138.072060984848</v>
      </c>
      <c r="AE234" s="78">
        <f t="shared" si="116"/>
        <v>50.4279390151515</v>
      </c>
    </row>
    <row r="235" customFormat="1" spans="1:31">
      <c r="A235" s="18"/>
      <c r="B235" s="19"/>
      <c r="C235" s="20">
        <v>240304000038</v>
      </c>
      <c r="D235" s="21">
        <v>45360</v>
      </c>
      <c r="E235" s="21" t="s">
        <v>44</v>
      </c>
      <c r="F235" s="19" t="s">
        <v>45</v>
      </c>
      <c r="G235" s="19" t="s">
        <v>100</v>
      </c>
      <c r="H235" s="19">
        <v>13.5</v>
      </c>
      <c r="I235" s="41">
        <v>634.5</v>
      </c>
      <c r="J235" s="53"/>
      <c r="K235" s="51"/>
      <c r="L235" s="53"/>
      <c r="M235" s="44"/>
      <c r="N235" s="45"/>
      <c r="O235" s="46">
        <f t="shared" si="130"/>
        <v>634.5</v>
      </c>
      <c r="P235" s="48"/>
      <c r="Q235" s="48"/>
      <c r="R235" s="78">
        <f t="shared" si="120"/>
        <v>464.551948051948</v>
      </c>
      <c r="S235" s="78"/>
      <c r="T235" s="79">
        <f t="shared" si="121"/>
        <v>0.949675324675325</v>
      </c>
      <c r="U235" s="78"/>
      <c r="V235" s="78"/>
      <c r="W235" s="80">
        <f t="shared" si="117"/>
        <v>465.501623376623</v>
      </c>
      <c r="X235" s="81">
        <f t="shared" si="122"/>
        <v>9.32712662337662</v>
      </c>
      <c r="Y235" s="81"/>
      <c r="Z235" s="81"/>
      <c r="AA235" s="81">
        <f t="shared" si="118"/>
        <v>9.32712662337662</v>
      </c>
      <c r="AB235" s="90">
        <v>7.19</v>
      </c>
      <c r="AC235" s="78">
        <f t="shared" si="114"/>
        <v>67.0620404220779</v>
      </c>
      <c r="AD235" s="78">
        <f t="shared" si="115"/>
        <v>532.563663798701</v>
      </c>
      <c r="AE235" s="78">
        <f t="shared" si="116"/>
        <v>101.936336201299</v>
      </c>
    </row>
    <row r="236" customFormat="1" spans="1:31">
      <c r="A236" s="18"/>
      <c r="B236" s="19"/>
      <c r="C236" s="20">
        <v>240304000044</v>
      </c>
      <c r="D236" s="21">
        <v>45360</v>
      </c>
      <c r="E236" s="21" t="s">
        <v>47</v>
      </c>
      <c r="F236" s="19" t="s">
        <v>48</v>
      </c>
      <c r="G236" s="19" t="s">
        <v>224</v>
      </c>
      <c r="H236" s="19">
        <v>3</v>
      </c>
      <c r="I236" s="41">
        <v>238</v>
      </c>
      <c r="J236" s="42"/>
      <c r="K236" s="43"/>
      <c r="L236" s="42"/>
      <c r="M236" s="44"/>
      <c r="N236" s="45"/>
      <c r="O236" s="46">
        <f t="shared" si="130"/>
        <v>238</v>
      </c>
      <c r="P236" s="48"/>
      <c r="Q236" s="48"/>
      <c r="R236" s="78">
        <f t="shared" si="120"/>
        <v>103.233766233766</v>
      </c>
      <c r="S236" s="78"/>
      <c r="T236" s="79">
        <f t="shared" si="121"/>
        <v>0.211038961038961</v>
      </c>
      <c r="U236" s="78"/>
      <c r="V236" s="78"/>
      <c r="W236" s="80">
        <f t="shared" si="117"/>
        <v>103.444805194805</v>
      </c>
      <c r="X236" s="81">
        <f t="shared" si="122"/>
        <v>2.07269480519481</v>
      </c>
      <c r="Y236" s="81">
        <v>10.57</v>
      </c>
      <c r="Z236" s="81"/>
      <c r="AA236" s="81">
        <f t="shared" si="118"/>
        <v>12.6426948051948</v>
      </c>
      <c r="AB236" s="90">
        <v>7.19</v>
      </c>
      <c r="AC236" s="78">
        <f t="shared" si="114"/>
        <v>90.9009756493507</v>
      </c>
      <c r="AD236" s="78">
        <f t="shared" si="115"/>
        <v>194.345780844156</v>
      </c>
      <c r="AE236" s="78">
        <f t="shared" si="116"/>
        <v>43.6542191558441</v>
      </c>
    </row>
    <row r="237" customFormat="1" spans="1:31">
      <c r="A237" s="18"/>
      <c r="B237" s="19"/>
      <c r="C237" s="20">
        <v>240304000045</v>
      </c>
      <c r="D237" s="21">
        <v>45360</v>
      </c>
      <c r="E237" s="21" t="s">
        <v>41</v>
      </c>
      <c r="F237" s="19" t="s">
        <v>161</v>
      </c>
      <c r="G237" s="19" t="s">
        <v>162</v>
      </c>
      <c r="H237" s="19">
        <v>9.5</v>
      </c>
      <c r="I237" s="46"/>
      <c r="J237" s="54">
        <v>95664</v>
      </c>
      <c r="K237" s="55"/>
      <c r="L237" s="50">
        <f t="shared" ref="L237:L243" si="131">SUM(J237/M237)</f>
        <v>1600</v>
      </c>
      <c r="M237" s="52">
        <v>59.79</v>
      </c>
      <c r="N237" s="45">
        <v>7.19</v>
      </c>
      <c r="O237" s="46">
        <f t="shared" ref="O237:O243" si="132">SUM(M237*N237)</f>
        <v>429.8901</v>
      </c>
      <c r="P237" s="48"/>
      <c r="Q237" s="48"/>
      <c r="R237" s="78">
        <f t="shared" si="120"/>
        <v>326.906926406926</v>
      </c>
      <c r="S237" s="78"/>
      <c r="T237" s="79">
        <f t="shared" si="121"/>
        <v>0.668290043290043</v>
      </c>
      <c r="U237" s="78"/>
      <c r="V237" s="78"/>
      <c r="W237" s="80">
        <f t="shared" si="117"/>
        <v>327.575216450216</v>
      </c>
      <c r="X237" s="81">
        <f t="shared" si="122"/>
        <v>6.56353354978355</v>
      </c>
      <c r="Y237" s="81"/>
      <c r="Z237" s="81"/>
      <c r="AA237" s="81">
        <f t="shared" si="118"/>
        <v>6.56353354978355</v>
      </c>
      <c r="AB237" s="90">
        <v>7.19</v>
      </c>
      <c r="AC237" s="78">
        <f t="shared" ref="AC237:AC263" si="133">SUM(AA237*AB237)</f>
        <v>47.1918062229437</v>
      </c>
      <c r="AD237" s="78">
        <f t="shared" si="115"/>
        <v>374.76702267316</v>
      </c>
      <c r="AE237" s="78">
        <f t="shared" si="116"/>
        <v>55.1230773268398</v>
      </c>
    </row>
    <row r="238" customFormat="1" spans="1:31">
      <c r="A238" s="18"/>
      <c r="B238" s="19"/>
      <c r="C238" s="20">
        <v>240304000047</v>
      </c>
      <c r="D238" s="21">
        <v>45360</v>
      </c>
      <c r="E238" s="21" t="s">
        <v>37</v>
      </c>
      <c r="F238" s="19" t="s">
        <v>38</v>
      </c>
      <c r="G238" s="19" t="s">
        <v>211</v>
      </c>
      <c r="H238" s="19">
        <v>0.98</v>
      </c>
      <c r="I238" s="46"/>
      <c r="J238" s="104"/>
      <c r="K238" s="93">
        <v>7.1</v>
      </c>
      <c r="L238" s="50">
        <f t="shared" si="131"/>
        <v>0</v>
      </c>
      <c r="M238" s="52">
        <v>7.1</v>
      </c>
      <c r="N238" s="45">
        <v>7.19</v>
      </c>
      <c r="O238" s="46">
        <f t="shared" si="132"/>
        <v>51.049</v>
      </c>
      <c r="P238" s="48"/>
      <c r="Q238" s="48"/>
      <c r="R238" s="78">
        <f t="shared" si="120"/>
        <v>33.7230303030303</v>
      </c>
      <c r="S238" s="78"/>
      <c r="T238" s="79">
        <f t="shared" si="121"/>
        <v>0.0689393939393939</v>
      </c>
      <c r="U238" s="78"/>
      <c r="V238" s="78"/>
      <c r="W238" s="80">
        <f t="shared" si="117"/>
        <v>33.7919696969697</v>
      </c>
      <c r="X238" s="81">
        <f t="shared" si="122"/>
        <v>0.677080303030303</v>
      </c>
      <c r="Y238" s="81"/>
      <c r="Z238" s="81"/>
      <c r="AA238" s="81">
        <f t="shared" si="118"/>
        <v>0.677080303030303</v>
      </c>
      <c r="AB238" s="90">
        <v>7.19</v>
      </c>
      <c r="AC238" s="78">
        <f t="shared" si="133"/>
        <v>4.86820737878788</v>
      </c>
      <c r="AD238" s="78">
        <f t="shared" ref="AD238:AD263" si="134">SUM(W238+AC238)</f>
        <v>38.6601770757576</v>
      </c>
      <c r="AE238" s="78">
        <f t="shared" si="116"/>
        <v>12.3888229242424</v>
      </c>
    </row>
    <row r="239" customFormat="1" spans="1:31">
      <c r="A239" s="18"/>
      <c r="B239" s="19"/>
      <c r="C239" s="20">
        <v>240304000049</v>
      </c>
      <c r="D239" s="21">
        <v>45360</v>
      </c>
      <c r="E239" s="21" t="s">
        <v>47</v>
      </c>
      <c r="F239" s="19" t="s">
        <v>48</v>
      </c>
      <c r="G239" s="19" t="s">
        <v>225</v>
      </c>
      <c r="H239" s="19">
        <v>22.5</v>
      </c>
      <c r="I239" s="41">
        <v>1575</v>
      </c>
      <c r="J239" s="42"/>
      <c r="K239" s="43"/>
      <c r="L239" s="42"/>
      <c r="M239" s="44"/>
      <c r="N239" s="45"/>
      <c r="O239" s="46">
        <f t="shared" ref="O239:O241" si="135">SUM(I239)</f>
        <v>1575</v>
      </c>
      <c r="P239" s="48"/>
      <c r="Q239" s="48"/>
      <c r="R239" s="78">
        <f t="shared" si="120"/>
        <v>774.253246753247</v>
      </c>
      <c r="S239" s="78"/>
      <c r="T239" s="79">
        <f t="shared" si="121"/>
        <v>1.58279220779221</v>
      </c>
      <c r="U239" s="78"/>
      <c r="V239" s="78"/>
      <c r="W239" s="80">
        <f t="shared" si="117"/>
        <v>775.836038961039</v>
      </c>
      <c r="X239" s="81">
        <f t="shared" si="122"/>
        <v>15.545211038961</v>
      </c>
      <c r="Y239" s="81"/>
      <c r="Z239" s="81"/>
      <c r="AA239" s="81">
        <f t="shared" si="118"/>
        <v>15.545211038961</v>
      </c>
      <c r="AB239" s="90">
        <v>7.19</v>
      </c>
      <c r="AC239" s="78">
        <f t="shared" si="133"/>
        <v>111.77006737013</v>
      </c>
      <c r="AD239" s="78">
        <f t="shared" si="134"/>
        <v>887.606106331169</v>
      </c>
      <c r="AE239" s="78">
        <f t="shared" ref="AE239:AE263" si="136">SUM(O239-AD239)</f>
        <v>687.393893668831</v>
      </c>
    </row>
    <row r="240" customFormat="1" spans="1:31">
      <c r="A240" s="18"/>
      <c r="B240" s="19"/>
      <c r="C240" s="20">
        <v>240304000051</v>
      </c>
      <c r="D240" s="21">
        <v>45360</v>
      </c>
      <c r="E240" s="21" t="s">
        <v>44</v>
      </c>
      <c r="F240" s="19" t="s">
        <v>45</v>
      </c>
      <c r="G240" s="19" t="s">
        <v>226</v>
      </c>
      <c r="H240" s="19">
        <v>21</v>
      </c>
      <c r="I240" s="41">
        <v>1504</v>
      </c>
      <c r="J240" s="53"/>
      <c r="K240" s="51"/>
      <c r="L240" s="53"/>
      <c r="M240" s="44"/>
      <c r="N240" s="45"/>
      <c r="O240" s="46">
        <f t="shared" si="135"/>
        <v>1504</v>
      </c>
      <c r="P240" s="48"/>
      <c r="Q240" s="48"/>
      <c r="R240" s="78">
        <f t="shared" si="120"/>
        <v>722.636363636364</v>
      </c>
      <c r="S240" s="78"/>
      <c r="T240" s="79">
        <f t="shared" si="121"/>
        <v>1.47727272727273</v>
      </c>
      <c r="U240" s="78"/>
      <c r="V240" s="78"/>
      <c r="W240" s="80">
        <f t="shared" si="117"/>
        <v>724.113636363636</v>
      </c>
      <c r="X240" s="81">
        <f t="shared" si="122"/>
        <v>14.5088636363636</v>
      </c>
      <c r="Y240" s="81"/>
      <c r="Z240" s="81"/>
      <c r="AA240" s="81">
        <f t="shared" si="118"/>
        <v>14.5088636363636</v>
      </c>
      <c r="AB240" s="90">
        <v>7.19</v>
      </c>
      <c r="AC240" s="78">
        <f t="shared" si="133"/>
        <v>104.318729545455</v>
      </c>
      <c r="AD240" s="78">
        <f t="shared" si="134"/>
        <v>828.432365909091</v>
      </c>
      <c r="AE240" s="78">
        <f t="shared" si="136"/>
        <v>675.567634090909</v>
      </c>
    </row>
    <row r="241" customFormat="1" spans="1:31">
      <c r="A241" s="18"/>
      <c r="B241" s="19"/>
      <c r="C241" s="20">
        <v>240304000053</v>
      </c>
      <c r="D241" s="21">
        <v>45360</v>
      </c>
      <c r="E241" s="21" t="s">
        <v>47</v>
      </c>
      <c r="F241" s="19" t="s">
        <v>175</v>
      </c>
      <c r="G241" s="19" t="s">
        <v>167</v>
      </c>
      <c r="H241" s="19">
        <v>17</v>
      </c>
      <c r="I241" s="41">
        <v>1064</v>
      </c>
      <c r="J241" s="42"/>
      <c r="K241" s="43"/>
      <c r="L241" s="42"/>
      <c r="M241" s="44"/>
      <c r="N241" s="45"/>
      <c r="O241" s="46">
        <f t="shared" si="135"/>
        <v>1064</v>
      </c>
      <c r="P241" s="48"/>
      <c r="Q241" s="48"/>
      <c r="R241" s="78">
        <f t="shared" si="120"/>
        <v>584.991341991342</v>
      </c>
      <c r="S241" s="78"/>
      <c r="T241" s="79">
        <f t="shared" si="121"/>
        <v>1.19588744588745</v>
      </c>
      <c r="U241" s="78"/>
      <c r="V241" s="78"/>
      <c r="W241" s="80">
        <f t="shared" si="117"/>
        <v>586.187229437229</v>
      </c>
      <c r="X241" s="81">
        <f t="shared" si="122"/>
        <v>11.7452705627706</v>
      </c>
      <c r="Y241" s="81"/>
      <c r="Z241" s="81"/>
      <c r="AA241" s="81">
        <f t="shared" si="118"/>
        <v>11.7452705627706</v>
      </c>
      <c r="AB241" s="90">
        <v>7.19</v>
      </c>
      <c r="AC241" s="78">
        <f t="shared" si="133"/>
        <v>84.4484953463203</v>
      </c>
      <c r="AD241" s="78">
        <f t="shared" si="134"/>
        <v>670.63572478355</v>
      </c>
      <c r="AE241" s="78">
        <f t="shared" si="136"/>
        <v>393.36427521645</v>
      </c>
    </row>
    <row r="242" customFormat="1" spans="1:31">
      <c r="A242" s="18"/>
      <c r="B242" s="19"/>
      <c r="C242" s="20">
        <v>240304000055</v>
      </c>
      <c r="D242" s="21">
        <v>45360</v>
      </c>
      <c r="E242" s="21" t="s">
        <v>47</v>
      </c>
      <c r="F242" s="19" t="s">
        <v>48</v>
      </c>
      <c r="G242" s="19" t="s">
        <v>49</v>
      </c>
      <c r="H242" s="19">
        <v>53</v>
      </c>
      <c r="I242" s="49"/>
      <c r="J242" s="50">
        <v>498182</v>
      </c>
      <c r="K242" s="51"/>
      <c r="L242" s="50">
        <f t="shared" si="131"/>
        <v>1603.41808818796</v>
      </c>
      <c r="M242" s="52">
        <v>310.7</v>
      </c>
      <c r="N242" s="45">
        <v>7.19</v>
      </c>
      <c r="O242" s="46">
        <f t="shared" si="132"/>
        <v>2233.933</v>
      </c>
      <c r="P242" s="48"/>
      <c r="Q242" s="48"/>
      <c r="R242" s="78">
        <f t="shared" si="120"/>
        <v>1823.79653679654</v>
      </c>
      <c r="S242" s="78"/>
      <c r="T242" s="79">
        <f t="shared" si="121"/>
        <v>3.72835497835498</v>
      </c>
      <c r="U242" s="78"/>
      <c r="V242" s="78"/>
      <c r="W242" s="80">
        <f t="shared" ref="W242:W263" si="137">SUM(R242:V242)</f>
        <v>1827.52489177489</v>
      </c>
      <c r="X242" s="81">
        <f t="shared" si="122"/>
        <v>36.6176082251082</v>
      </c>
      <c r="Y242" s="81"/>
      <c r="Z242" s="81"/>
      <c r="AA242" s="81">
        <f t="shared" ref="AA242:AA263" si="138">SUM(X242:Z242)</f>
        <v>36.6176082251082</v>
      </c>
      <c r="AB242" s="90">
        <v>7.19</v>
      </c>
      <c r="AC242" s="78">
        <f t="shared" si="133"/>
        <v>263.280603138528</v>
      </c>
      <c r="AD242" s="78">
        <f t="shared" si="134"/>
        <v>2090.80549491342</v>
      </c>
      <c r="AE242" s="78">
        <f t="shared" si="136"/>
        <v>143.12750508658</v>
      </c>
    </row>
    <row r="243" customFormat="1" spans="1:31">
      <c r="A243" s="18"/>
      <c r="B243" s="19"/>
      <c r="C243" s="20">
        <v>240305000001</v>
      </c>
      <c r="D243" s="21">
        <v>45360</v>
      </c>
      <c r="E243" s="21" t="s">
        <v>85</v>
      </c>
      <c r="F243" s="19" t="s">
        <v>165</v>
      </c>
      <c r="G243" s="19" t="s">
        <v>166</v>
      </c>
      <c r="H243" s="19">
        <v>1.5</v>
      </c>
      <c r="I243" s="46"/>
      <c r="J243" s="54">
        <v>22720</v>
      </c>
      <c r="K243" s="55"/>
      <c r="L243" s="50">
        <f t="shared" si="131"/>
        <v>3200</v>
      </c>
      <c r="M243" s="52">
        <v>7.1</v>
      </c>
      <c r="N243" s="45">
        <v>7.19</v>
      </c>
      <c r="O243" s="46">
        <f t="shared" si="132"/>
        <v>51.049</v>
      </c>
      <c r="P243" s="48"/>
      <c r="Q243" s="48"/>
      <c r="R243" s="78">
        <f t="shared" si="120"/>
        <v>51.6168831168831</v>
      </c>
      <c r="S243" s="78"/>
      <c r="T243" s="79">
        <f t="shared" si="121"/>
        <v>0.105519480519481</v>
      </c>
      <c r="U243" s="78"/>
      <c r="V243" s="78"/>
      <c r="W243" s="80">
        <f t="shared" si="137"/>
        <v>51.7224025974026</v>
      </c>
      <c r="X243" s="81">
        <f t="shared" si="122"/>
        <v>1.0363474025974</v>
      </c>
      <c r="Y243" s="81"/>
      <c r="Z243" s="81"/>
      <c r="AA243" s="81">
        <f t="shared" si="138"/>
        <v>1.0363474025974</v>
      </c>
      <c r="AB243" s="90">
        <v>7.19</v>
      </c>
      <c r="AC243" s="78">
        <f t="shared" si="133"/>
        <v>7.45133782467533</v>
      </c>
      <c r="AD243" s="78">
        <f t="shared" si="134"/>
        <v>59.1737404220779</v>
      </c>
      <c r="AE243" s="78">
        <f t="shared" si="136"/>
        <v>-8.12474042207793</v>
      </c>
    </row>
    <row r="244" customFormat="1" spans="1:31">
      <c r="A244" s="18"/>
      <c r="B244" s="19"/>
      <c r="C244" s="20">
        <v>240305000003</v>
      </c>
      <c r="D244" s="21">
        <v>45360</v>
      </c>
      <c r="E244" s="21" t="s">
        <v>41</v>
      </c>
      <c r="F244" s="19" t="s">
        <v>42</v>
      </c>
      <c r="G244" s="19" t="s">
        <v>62</v>
      </c>
      <c r="H244" s="19">
        <v>0.1</v>
      </c>
      <c r="I244" s="41">
        <v>50</v>
      </c>
      <c r="J244" s="42"/>
      <c r="K244" s="43"/>
      <c r="L244" s="42"/>
      <c r="M244" s="44"/>
      <c r="N244" s="45"/>
      <c r="O244" s="46">
        <f t="shared" ref="O244:O248" si="139">SUM(I244)</f>
        <v>50</v>
      </c>
      <c r="P244" s="48"/>
      <c r="Q244" s="48"/>
      <c r="R244" s="78">
        <f t="shared" ref="R244:R263" si="140">SUM(63592/1848)*H244</f>
        <v>3.44112554112554</v>
      </c>
      <c r="S244" s="78"/>
      <c r="T244" s="79">
        <f t="shared" ref="T244:T263" si="141">SUM(130/1848)*H244</f>
        <v>0.00703463203463204</v>
      </c>
      <c r="U244" s="78"/>
      <c r="V244" s="78"/>
      <c r="W244" s="80">
        <f t="shared" si="137"/>
        <v>3.44816017316017</v>
      </c>
      <c r="X244" s="81">
        <f t="shared" ref="X244:X263" si="142">SUM(1276.78/1848)*H244</f>
        <v>0.0690898268398268</v>
      </c>
      <c r="Y244" s="81"/>
      <c r="Z244" s="81"/>
      <c r="AA244" s="81">
        <f t="shared" si="138"/>
        <v>0.0690898268398268</v>
      </c>
      <c r="AB244" s="90">
        <v>7.19</v>
      </c>
      <c r="AC244" s="78">
        <f t="shared" si="133"/>
        <v>0.496755854978355</v>
      </c>
      <c r="AD244" s="78">
        <f t="shared" si="134"/>
        <v>3.94491602813853</v>
      </c>
      <c r="AE244" s="78">
        <f t="shared" si="136"/>
        <v>46.0550839718615</v>
      </c>
    </row>
    <row r="245" customFormat="1" spans="1:31">
      <c r="A245" s="18"/>
      <c r="B245" s="19"/>
      <c r="C245" s="20">
        <v>240305000004</v>
      </c>
      <c r="D245" s="21">
        <v>45360</v>
      </c>
      <c r="E245" s="21" t="s">
        <v>41</v>
      </c>
      <c r="F245" s="19" t="s">
        <v>42</v>
      </c>
      <c r="G245" s="19" t="s">
        <v>139</v>
      </c>
      <c r="H245" s="19">
        <v>0.18</v>
      </c>
      <c r="I245" s="46"/>
      <c r="J245" s="54">
        <v>12750</v>
      </c>
      <c r="K245" s="55"/>
      <c r="L245" s="50">
        <f t="shared" ref="L245:L249" si="143">SUM(J245/M245)</f>
        <v>1795.77464788732</v>
      </c>
      <c r="M245" s="52">
        <v>7.1</v>
      </c>
      <c r="N245" s="45">
        <v>7.19</v>
      </c>
      <c r="O245" s="46">
        <f t="shared" ref="O245:O249" si="144">SUM(M245*N245)</f>
        <v>51.049</v>
      </c>
      <c r="P245" s="48"/>
      <c r="Q245" s="48"/>
      <c r="R245" s="78">
        <f t="shared" si="140"/>
        <v>6.19402597402597</v>
      </c>
      <c r="S245" s="78"/>
      <c r="T245" s="79">
        <f t="shared" si="141"/>
        <v>0.0126623376623377</v>
      </c>
      <c r="U245" s="78"/>
      <c r="V245" s="78"/>
      <c r="W245" s="80">
        <f t="shared" si="137"/>
        <v>6.20668831168831</v>
      </c>
      <c r="X245" s="81">
        <f t="shared" si="142"/>
        <v>0.124361688311688</v>
      </c>
      <c r="Y245" s="81"/>
      <c r="Z245" s="81"/>
      <c r="AA245" s="81">
        <f t="shared" si="138"/>
        <v>0.124361688311688</v>
      </c>
      <c r="AB245" s="90">
        <v>7.19</v>
      </c>
      <c r="AC245" s="78">
        <f t="shared" si="133"/>
        <v>0.894160538961039</v>
      </c>
      <c r="AD245" s="78">
        <f t="shared" si="134"/>
        <v>7.10084885064935</v>
      </c>
      <c r="AE245" s="78">
        <f t="shared" si="136"/>
        <v>43.9481511493507</v>
      </c>
    </row>
    <row r="246" customFormat="1" spans="1:31">
      <c r="A246" s="18"/>
      <c r="B246" s="19"/>
      <c r="C246" s="20">
        <v>240305000005</v>
      </c>
      <c r="D246" s="21">
        <v>45360</v>
      </c>
      <c r="E246" s="21" t="s">
        <v>37</v>
      </c>
      <c r="F246" s="19" t="s">
        <v>38</v>
      </c>
      <c r="G246" s="19" t="s">
        <v>227</v>
      </c>
      <c r="H246" s="19">
        <v>67.5</v>
      </c>
      <c r="I246" s="41">
        <v>3335</v>
      </c>
      <c r="J246" s="42"/>
      <c r="K246" s="43"/>
      <c r="L246" s="42"/>
      <c r="M246" s="44"/>
      <c r="N246" s="45"/>
      <c r="O246" s="46">
        <f t="shared" si="139"/>
        <v>3335</v>
      </c>
      <c r="P246" s="48"/>
      <c r="Q246" s="48"/>
      <c r="R246" s="78">
        <f t="shared" si="140"/>
        <v>2322.75974025974</v>
      </c>
      <c r="S246" s="78"/>
      <c r="T246" s="79">
        <f t="shared" si="141"/>
        <v>4.74837662337662</v>
      </c>
      <c r="U246" s="78"/>
      <c r="V246" s="78"/>
      <c r="W246" s="80">
        <f t="shared" si="137"/>
        <v>2327.50811688312</v>
      </c>
      <c r="X246" s="81">
        <f t="shared" si="142"/>
        <v>46.6356331168831</v>
      </c>
      <c r="Y246" s="81"/>
      <c r="Z246" s="81"/>
      <c r="AA246" s="81">
        <f t="shared" si="138"/>
        <v>46.6356331168831</v>
      </c>
      <c r="AB246" s="90">
        <v>7.19</v>
      </c>
      <c r="AC246" s="78">
        <f t="shared" si="133"/>
        <v>335.31020211039</v>
      </c>
      <c r="AD246" s="78">
        <f t="shared" si="134"/>
        <v>2662.81831899351</v>
      </c>
      <c r="AE246" s="78">
        <f t="shared" si="136"/>
        <v>672.181681006493</v>
      </c>
    </row>
    <row r="247" customFormat="1" spans="1:31">
      <c r="A247" s="18"/>
      <c r="B247" s="19"/>
      <c r="C247" s="20">
        <v>240305000006</v>
      </c>
      <c r="D247" s="21">
        <v>45360</v>
      </c>
      <c r="E247" s="21" t="s">
        <v>37</v>
      </c>
      <c r="F247" s="19" t="s">
        <v>38</v>
      </c>
      <c r="G247" s="19" t="s">
        <v>228</v>
      </c>
      <c r="H247" s="19">
        <v>8.5</v>
      </c>
      <c r="I247" s="46"/>
      <c r="J247" s="54">
        <v>101072</v>
      </c>
      <c r="K247" s="55"/>
      <c r="L247" s="50">
        <f t="shared" si="143"/>
        <v>1600</v>
      </c>
      <c r="M247" s="52">
        <v>63.17</v>
      </c>
      <c r="N247" s="45">
        <v>7.19</v>
      </c>
      <c r="O247" s="46">
        <f t="shared" si="144"/>
        <v>454.1923</v>
      </c>
      <c r="P247" s="48"/>
      <c r="Q247" s="48"/>
      <c r="R247" s="78">
        <f t="shared" si="140"/>
        <v>292.495670995671</v>
      </c>
      <c r="S247" s="78"/>
      <c r="T247" s="79">
        <f t="shared" si="141"/>
        <v>0.597943722943723</v>
      </c>
      <c r="U247" s="78"/>
      <c r="V247" s="79">
        <v>68</v>
      </c>
      <c r="W247" s="80">
        <f t="shared" si="137"/>
        <v>361.093614718615</v>
      </c>
      <c r="X247" s="81">
        <f t="shared" si="142"/>
        <v>5.87263528138528</v>
      </c>
      <c r="Y247" s="81"/>
      <c r="Z247" s="81"/>
      <c r="AA247" s="81">
        <f t="shared" si="138"/>
        <v>5.87263528138528</v>
      </c>
      <c r="AB247" s="90">
        <v>7.19</v>
      </c>
      <c r="AC247" s="78">
        <f t="shared" si="133"/>
        <v>42.2242476731602</v>
      </c>
      <c r="AD247" s="78">
        <f t="shared" si="134"/>
        <v>403.317862391775</v>
      </c>
      <c r="AE247" s="78">
        <f t="shared" si="136"/>
        <v>50.8744376082251</v>
      </c>
    </row>
    <row r="248" customFormat="1" spans="1:31">
      <c r="A248" s="18"/>
      <c r="B248" s="19"/>
      <c r="C248" s="20">
        <v>240305000007</v>
      </c>
      <c r="D248" s="21">
        <v>45360</v>
      </c>
      <c r="E248" s="21" t="s">
        <v>41</v>
      </c>
      <c r="F248" s="19" t="s">
        <v>42</v>
      </c>
      <c r="G248" s="19" t="s">
        <v>61</v>
      </c>
      <c r="H248" s="19">
        <v>18</v>
      </c>
      <c r="I248" s="41">
        <v>918</v>
      </c>
      <c r="J248" s="42"/>
      <c r="K248" s="43"/>
      <c r="L248" s="42"/>
      <c r="M248" s="44"/>
      <c r="N248" s="45"/>
      <c r="O248" s="46">
        <f t="shared" si="139"/>
        <v>918</v>
      </c>
      <c r="P248" s="48"/>
      <c r="Q248" s="48"/>
      <c r="R248" s="78">
        <f t="shared" si="140"/>
        <v>619.402597402597</v>
      </c>
      <c r="S248" s="78"/>
      <c r="T248" s="79">
        <f t="shared" si="141"/>
        <v>1.26623376623377</v>
      </c>
      <c r="U248" s="78"/>
      <c r="V248" s="78"/>
      <c r="W248" s="80">
        <f t="shared" si="137"/>
        <v>620.668831168831</v>
      </c>
      <c r="X248" s="81">
        <f t="shared" si="142"/>
        <v>12.4361688311688</v>
      </c>
      <c r="Y248" s="81"/>
      <c r="Z248" s="81"/>
      <c r="AA248" s="81">
        <f t="shared" si="138"/>
        <v>12.4361688311688</v>
      </c>
      <c r="AB248" s="90">
        <v>7.19</v>
      </c>
      <c r="AC248" s="78">
        <f t="shared" si="133"/>
        <v>89.4160538961039</v>
      </c>
      <c r="AD248" s="78">
        <f t="shared" si="134"/>
        <v>710.084885064935</v>
      </c>
      <c r="AE248" s="78">
        <f t="shared" si="136"/>
        <v>207.915114935065</v>
      </c>
    </row>
    <row r="249" customFormat="1" spans="1:31">
      <c r="A249" s="18"/>
      <c r="B249" s="19"/>
      <c r="C249" s="20">
        <v>240305000012</v>
      </c>
      <c r="D249" s="21">
        <v>45360</v>
      </c>
      <c r="E249" s="21" t="s">
        <v>44</v>
      </c>
      <c r="F249" s="19" t="s">
        <v>45</v>
      </c>
      <c r="G249" s="19" t="s">
        <v>122</v>
      </c>
      <c r="H249" s="19">
        <v>25.5</v>
      </c>
      <c r="I249" s="49"/>
      <c r="J249" s="50">
        <v>195683</v>
      </c>
      <c r="K249" s="51"/>
      <c r="L249" s="50">
        <f t="shared" si="143"/>
        <v>1136.04063860668</v>
      </c>
      <c r="M249" s="52">
        <v>172.25</v>
      </c>
      <c r="N249" s="45">
        <v>7.19</v>
      </c>
      <c r="O249" s="46">
        <f t="shared" si="144"/>
        <v>1238.4775</v>
      </c>
      <c r="P249" s="48"/>
      <c r="Q249" s="48"/>
      <c r="R249" s="78">
        <f t="shared" si="140"/>
        <v>877.487012987013</v>
      </c>
      <c r="S249" s="78"/>
      <c r="T249" s="79">
        <f t="shared" si="141"/>
        <v>1.79383116883117</v>
      </c>
      <c r="U249" s="78">
        <v>40</v>
      </c>
      <c r="V249" s="78"/>
      <c r="W249" s="80">
        <f t="shared" si="137"/>
        <v>919.280844155844</v>
      </c>
      <c r="X249" s="81">
        <f t="shared" si="142"/>
        <v>17.6179058441558</v>
      </c>
      <c r="Y249" s="81"/>
      <c r="Z249" s="81"/>
      <c r="AA249" s="81">
        <f t="shared" si="138"/>
        <v>17.6179058441558</v>
      </c>
      <c r="AB249" s="90">
        <v>7.19</v>
      </c>
      <c r="AC249" s="78">
        <f t="shared" si="133"/>
        <v>126.672743019481</v>
      </c>
      <c r="AD249" s="78">
        <f t="shared" si="134"/>
        <v>1045.95358717532</v>
      </c>
      <c r="AE249" s="78">
        <f t="shared" si="136"/>
        <v>192.523912824675</v>
      </c>
    </row>
    <row r="250" customFormat="1" spans="1:31">
      <c r="A250" s="18"/>
      <c r="B250" s="19"/>
      <c r="C250" s="20">
        <v>240305000013</v>
      </c>
      <c r="D250" s="21">
        <v>45360</v>
      </c>
      <c r="E250" s="21" t="s">
        <v>47</v>
      </c>
      <c r="F250" s="19" t="s">
        <v>48</v>
      </c>
      <c r="G250" s="19" t="s">
        <v>229</v>
      </c>
      <c r="H250" s="19">
        <v>3</v>
      </c>
      <c r="I250" s="41">
        <v>162</v>
      </c>
      <c r="J250" s="42"/>
      <c r="K250" s="43"/>
      <c r="L250" s="42"/>
      <c r="M250" s="44"/>
      <c r="N250" s="45"/>
      <c r="O250" s="46">
        <f t="shared" ref="O250:O255" si="145">SUM(I250)</f>
        <v>162</v>
      </c>
      <c r="P250" s="48"/>
      <c r="Q250" s="48"/>
      <c r="R250" s="78">
        <f t="shared" si="140"/>
        <v>103.233766233766</v>
      </c>
      <c r="S250" s="78"/>
      <c r="T250" s="79">
        <f t="shared" si="141"/>
        <v>0.211038961038961</v>
      </c>
      <c r="U250" s="78"/>
      <c r="V250" s="78"/>
      <c r="W250" s="80">
        <f t="shared" si="137"/>
        <v>103.444805194805</v>
      </c>
      <c r="X250" s="81">
        <f t="shared" si="142"/>
        <v>2.07269480519481</v>
      </c>
      <c r="Y250" s="81"/>
      <c r="Z250" s="81"/>
      <c r="AA250" s="81">
        <f t="shared" si="138"/>
        <v>2.07269480519481</v>
      </c>
      <c r="AB250" s="90">
        <v>7.19</v>
      </c>
      <c r="AC250" s="78">
        <f t="shared" si="133"/>
        <v>14.9026756493507</v>
      </c>
      <c r="AD250" s="78">
        <f t="shared" si="134"/>
        <v>118.347480844156</v>
      </c>
      <c r="AE250" s="78">
        <f t="shared" si="136"/>
        <v>43.6525191558441</v>
      </c>
    </row>
    <row r="251" customFormat="1" spans="1:31">
      <c r="A251" s="18"/>
      <c r="B251" s="19"/>
      <c r="C251" s="20">
        <v>240305000020</v>
      </c>
      <c r="D251" s="21">
        <v>45360</v>
      </c>
      <c r="E251" s="21" t="s">
        <v>44</v>
      </c>
      <c r="F251" s="19" t="s">
        <v>45</v>
      </c>
      <c r="G251" s="19" t="s">
        <v>114</v>
      </c>
      <c r="H251" s="19">
        <v>153.5</v>
      </c>
      <c r="I251" s="46"/>
      <c r="J251" s="54">
        <v>1489280</v>
      </c>
      <c r="K251" s="55"/>
      <c r="L251" s="50">
        <f>SUM(J251/M251)</f>
        <v>1600</v>
      </c>
      <c r="M251" s="52">
        <v>930.8</v>
      </c>
      <c r="N251" s="45">
        <v>7.19</v>
      </c>
      <c r="O251" s="46">
        <f>SUM(M251*N251)</f>
        <v>6692.452</v>
      </c>
      <c r="P251" s="48"/>
      <c r="Q251" s="48"/>
      <c r="R251" s="78">
        <f t="shared" si="140"/>
        <v>5282.12770562771</v>
      </c>
      <c r="S251" s="78"/>
      <c r="T251" s="79">
        <f t="shared" si="141"/>
        <v>10.7981601731602</v>
      </c>
      <c r="U251" s="79">
        <v>170</v>
      </c>
      <c r="V251" s="78"/>
      <c r="W251" s="80">
        <f t="shared" si="137"/>
        <v>5462.92586580087</v>
      </c>
      <c r="X251" s="81">
        <f t="shared" si="142"/>
        <v>106.052884199134</v>
      </c>
      <c r="Y251" s="81"/>
      <c r="Z251" s="81"/>
      <c r="AA251" s="81">
        <f t="shared" si="138"/>
        <v>106.052884199134</v>
      </c>
      <c r="AB251" s="90">
        <v>7.19</v>
      </c>
      <c r="AC251" s="78">
        <f t="shared" si="133"/>
        <v>762.520237391775</v>
      </c>
      <c r="AD251" s="78">
        <f t="shared" si="134"/>
        <v>6225.44610319264</v>
      </c>
      <c r="AE251" s="78">
        <f t="shared" si="136"/>
        <v>467.00589680736</v>
      </c>
    </row>
    <row r="252" customFormat="1" spans="1:31">
      <c r="A252" s="18"/>
      <c r="B252" s="19"/>
      <c r="C252" s="20">
        <v>240305000023</v>
      </c>
      <c r="D252" s="21">
        <v>45360</v>
      </c>
      <c r="E252" s="21" t="s">
        <v>41</v>
      </c>
      <c r="F252" s="19" t="s">
        <v>42</v>
      </c>
      <c r="G252" s="19" t="s">
        <v>73</v>
      </c>
      <c r="H252" s="19">
        <v>5</v>
      </c>
      <c r="I252" s="41">
        <v>288</v>
      </c>
      <c r="J252" s="42"/>
      <c r="K252" s="43"/>
      <c r="L252" s="42"/>
      <c r="M252" s="44"/>
      <c r="N252" s="45"/>
      <c r="O252" s="46">
        <f t="shared" si="145"/>
        <v>288</v>
      </c>
      <c r="P252" s="48"/>
      <c r="Q252" s="48"/>
      <c r="R252" s="78">
        <f t="shared" si="140"/>
        <v>172.056277056277</v>
      </c>
      <c r="S252" s="78"/>
      <c r="T252" s="79">
        <f t="shared" si="141"/>
        <v>0.351731601731602</v>
      </c>
      <c r="U252" s="78"/>
      <c r="V252" s="78"/>
      <c r="W252" s="80">
        <f t="shared" si="137"/>
        <v>172.408008658009</v>
      </c>
      <c r="X252" s="81">
        <f t="shared" si="142"/>
        <v>3.45449134199134</v>
      </c>
      <c r="Y252" s="81"/>
      <c r="Z252" s="81"/>
      <c r="AA252" s="81">
        <f t="shared" si="138"/>
        <v>3.45449134199134</v>
      </c>
      <c r="AB252" s="90">
        <v>7.19</v>
      </c>
      <c r="AC252" s="78">
        <f t="shared" si="133"/>
        <v>24.8377927489177</v>
      </c>
      <c r="AD252" s="78">
        <f t="shared" si="134"/>
        <v>197.245801406926</v>
      </c>
      <c r="AE252" s="78">
        <f t="shared" si="136"/>
        <v>90.7541985930736</v>
      </c>
    </row>
    <row r="253" customFormat="1" spans="1:31">
      <c r="A253" s="18"/>
      <c r="B253" s="19"/>
      <c r="C253" s="20">
        <v>240305000024</v>
      </c>
      <c r="D253" s="21">
        <v>45360</v>
      </c>
      <c r="E253" s="21" t="s">
        <v>47</v>
      </c>
      <c r="F253" s="19" t="s">
        <v>175</v>
      </c>
      <c r="G253" s="19" t="s">
        <v>167</v>
      </c>
      <c r="H253" s="19">
        <v>11</v>
      </c>
      <c r="I253" s="41">
        <v>462</v>
      </c>
      <c r="J253" s="42"/>
      <c r="K253" s="43"/>
      <c r="L253" s="42"/>
      <c r="M253" s="44"/>
      <c r="N253" s="45"/>
      <c r="O253" s="46">
        <f t="shared" si="145"/>
        <v>462</v>
      </c>
      <c r="P253" s="48"/>
      <c r="Q253" s="48"/>
      <c r="R253" s="78">
        <f t="shared" si="140"/>
        <v>378.52380952381</v>
      </c>
      <c r="S253" s="78"/>
      <c r="T253" s="79">
        <f t="shared" si="141"/>
        <v>0.773809523809524</v>
      </c>
      <c r="U253" s="78"/>
      <c r="V253" s="78"/>
      <c r="W253" s="80">
        <f t="shared" si="137"/>
        <v>379.297619047619</v>
      </c>
      <c r="X253" s="81">
        <f t="shared" si="142"/>
        <v>7.59988095238095</v>
      </c>
      <c r="Y253" s="81"/>
      <c r="Z253" s="81"/>
      <c r="AA253" s="81">
        <f t="shared" si="138"/>
        <v>7.59988095238095</v>
      </c>
      <c r="AB253" s="90">
        <v>7.19</v>
      </c>
      <c r="AC253" s="78">
        <f t="shared" si="133"/>
        <v>54.6431440476191</v>
      </c>
      <c r="AD253" s="78">
        <f t="shared" si="134"/>
        <v>433.940763095238</v>
      </c>
      <c r="AE253" s="78">
        <f t="shared" si="136"/>
        <v>28.0592369047619</v>
      </c>
    </row>
    <row r="254" customFormat="1" spans="1:31">
      <c r="A254" s="18"/>
      <c r="B254" s="19"/>
      <c r="C254" s="22">
        <v>240305000025</v>
      </c>
      <c r="D254" s="23">
        <v>45360</v>
      </c>
      <c r="E254" s="21" t="s">
        <v>47</v>
      </c>
      <c r="F254" s="24" t="s">
        <v>48</v>
      </c>
      <c r="G254" s="24" t="s">
        <v>230</v>
      </c>
      <c r="H254" s="24">
        <v>75.5</v>
      </c>
      <c r="I254" s="41">
        <v>3822</v>
      </c>
      <c r="J254" s="42"/>
      <c r="K254" s="43"/>
      <c r="L254" s="42"/>
      <c r="M254" s="44"/>
      <c r="N254" s="45"/>
      <c r="O254" s="46">
        <f t="shared" si="145"/>
        <v>3822</v>
      </c>
      <c r="P254" s="48"/>
      <c r="Q254" s="48"/>
      <c r="R254" s="78">
        <f t="shared" si="140"/>
        <v>2598.04978354978</v>
      </c>
      <c r="S254" s="78"/>
      <c r="T254" s="79">
        <f t="shared" si="141"/>
        <v>5.31114718614719</v>
      </c>
      <c r="U254" s="78"/>
      <c r="V254" s="78"/>
      <c r="W254" s="80">
        <f t="shared" si="137"/>
        <v>2603.36093073593</v>
      </c>
      <c r="X254" s="81">
        <f t="shared" si="142"/>
        <v>52.1628192640693</v>
      </c>
      <c r="Y254" s="81"/>
      <c r="Z254" s="81"/>
      <c r="AA254" s="81">
        <f t="shared" si="138"/>
        <v>52.1628192640693</v>
      </c>
      <c r="AB254" s="90">
        <v>7.19</v>
      </c>
      <c r="AC254" s="78">
        <f t="shared" si="133"/>
        <v>375.050670508658</v>
      </c>
      <c r="AD254" s="78">
        <f t="shared" si="134"/>
        <v>2978.41160124459</v>
      </c>
      <c r="AE254" s="78">
        <f t="shared" si="136"/>
        <v>843.588398755411</v>
      </c>
    </row>
    <row r="255" customFormat="1" spans="1:31">
      <c r="A255" s="18"/>
      <c r="B255" s="19"/>
      <c r="C255" s="20">
        <v>240305000026</v>
      </c>
      <c r="D255" s="21">
        <v>45360</v>
      </c>
      <c r="E255" s="21" t="s">
        <v>47</v>
      </c>
      <c r="F255" s="19" t="s">
        <v>175</v>
      </c>
      <c r="G255" s="19" t="s">
        <v>167</v>
      </c>
      <c r="H255" s="19">
        <v>5</v>
      </c>
      <c r="I255" s="41">
        <v>210</v>
      </c>
      <c r="J255" s="42"/>
      <c r="K255" s="43"/>
      <c r="L255" s="42"/>
      <c r="M255" s="44"/>
      <c r="N255" s="45"/>
      <c r="O255" s="46">
        <f t="shared" si="145"/>
        <v>210</v>
      </c>
      <c r="P255" s="48"/>
      <c r="Q255" s="48"/>
      <c r="R255" s="78">
        <f t="shared" si="140"/>
        <v>172.056277056277</v>
      </c>
      <c r="S255" s="78"/>
      <c r="T255" s="79">
        <f t="shared" si="141"/>
        <v>0.351731601731602</v>
      </c>
      <c r="U255" s="78"/>
      <c r="V255" s="78"/>
      <c r="W255" s="80">
        <f t="shared" si="137"/>
        <v>172.408008658009</v>
      </c>
      <c r="X255" s="81">
        <f t="shared" si="142"/>
        <v>3.45449134199134</v>
      </c>
      <c r="Y255" s="81"/>
      <c r="Z255" s="81"/>
      <c r="AA255" s="81">
        <f t="shared" si="138"/>
        <v>3.45449134199134</v>
      </c>
      <c r="AB255" s="90">
        <v>7.19</v>
      </c>
      <c r="AC255" s="78">
        <f t="shared" si="133"/>
        <v>24.8377927489177</v>
      </c>
      <c r="AD255" s="78">
        <f t="shared" si="134"/>
        <v>197.245801406926</v>
      </c>
      <c r="AE255" s="78">
        <f t="shared" si="136"/>
        <v>12.7541985930736</v>
      </c>
    </row>
    <row r="256" customFormat="1" spans="1:31">
      <c r="A256" s="18"/>
      <c r="B256" s="19"/>
      <c r="C256" s="20">
        <v>240305000028</v>
      </c>
      <c r="D256" s="21">
        <v>45360</v>
      </c>
      <c r="E256" s="21" t="s">
        <v>44</v>
      </c>
      <c r="F256" s="19" t="s">
        <v>45</v>
      </c>
      <c r="G256" s="19" t="s">
        <v>231</v>
      </c>
      <c r="H256" s="19">
        <v>28</v>
      </c>
      <c r="I256" s="49"/>
      <c r="J256" s="50">
        <v>295475</v>
      </c>
      <c r="K256" s="51"/>
      <c r="L256" s="50">
        <f t="shared" ref="L256:L260" si="146">SUM(J256/M256)</f>
        <v>1603.40243108313</v>
      </c>
      <c r="M256" s="52">
        <v>184.28</v>
      </c>
      <c r="N256" s="45">
        <v>7.19</v>
      </c>
      <c r="O256" s="46">
        <f t="shared" ref="O256:O260" si="147">SUM(M256*N256)</f>
        <v>1324.9732</v>
      </c>
      <c r="P256" s="48"/>
      <c r="Q256" s="48"/>
      <c r="R256" s="78">
        <f t="shared" si="140"/>
        <v>963.515151515152</v>
      </c>
      <c r="S256" s="78"/>
      <c r="T256" s="79">
        <f t="shared" si="141"/>
        <v>1.96969696969697</v>
      </c>
      <c r="U256" s="78"/>
      <c r="V256" s="78"/>
      <c r="W256" s="80">
        <f t="shared" si="137"/>
        <v>965.484848484849</v>
      </c>
      <c r="X256" s="81">
        <f t="shared" si="142"/>
        <v>19.3451515151515</v>
      </c>
      <c r="Y256" s="81"/>
      <c r="Z256" s="81"/>
      <c r="AA256" s="81">
        <f t="shared" si="138"/>
        <v>19.3451515151515</v>
      </c>
      <c r="AB256" s="90">
        <v>7.19</v>
      </c>
      <c r="AC256" s="78">
        <f t="shared" si="133"/>
        <v>139.091639393939</v>
      </c>
      <c r="AD256" s="78">
        <f t="shared" si="134"/>
        <v>1104.57648787879</v>
      </c>
      <c r="AE256" s="78">
        <f t="shared" si="136"/>
        <v>220.396712121212</v>
      </c>
    </row>
    <row r="257" customFormat="1" spans="1:31">
      <c r="A257" s="18"/>
      <c r="B257" s="19"/>
      <c r="C257" s="20">
        <v>240305000029</v>
      </c>
      <c r="D257" s="21">
        <v>45360</v>
      </c>
      <c r="E257" s="21" t="s">
        <v>47</v>
      </c>
      <c r="F257" s="19" t="s">
        <v>48</v>
      </c>
      <c r="G257" s="19" t="s">
        <v>232</v>
      </c>
      <c r="H257" s="19">
        <v>6.5</v>
      </c>
      <c r="I257" s="41">
        <v>292</v>
      </c>
      <c r="J257" s="42"/>
      <c r="K257" s="43"/>
      <c r="L257" s="42"/>
      <c r="M257" s="44"/>
      <c r="N257" s="45"/>
      <c r="O257" s="46">
        <f t="shared" ref="O257:O263" si="148">SUM(I257)</f>
        <v>292</v>
      </c>
      <c r="P257" s="48"/>
      <c r="Q257" s="48"/>
      <c r="R257" s="78">
        <f t="shared" si="140"/>
        <v>223.67316017316</v>
      </c>
      <c r="S257" s="78"/>
      <c r="T257" s="79">
        <f t="shared" si="141"/>
        <v>0.457251082251082</v>
      </c>
      <c r="U257" s="78"/>
      <c r="V257" s="78"/>
      <c r="W257" s="80">
        <f t="shared" si="137"/>
        <v>224.130411255411</v>
      </c>
      <c r="X257" s="81">
        <f t="shared" si="142"/>
        <v>4.49083874458874</v>
      </c>
      <c r="Y257" s="81"/>
      <c r="Z257" s="81"/>
      <c r="AA257" s="81">
        <f t="shared" si="138"/>
        <v>4.49083874458874</v>
      </c>
      <c r="AB257" s="90">
        <v>7.19</v>
      </c>
      <c r="AC257" s="78">
        <f t="shared" si="133"/>
        <v>32.2891305735931</v>
      </c>
      <c r="AD257" s="78">
        <f t="shared" si="134"/>
        <v>256.419541829004</v>
      </c>
      <c r="AE257" s="78">
        <f t="shared" si="136"/>
        <v>35.5804581709957</v>
      </c>
    </row>
    <row r="258" customFormat="1" spans="1:31">
      <c r="A258" s="18"/>
      <c r="B258" s="19"/>
      <c r="C258" s="20">
        <v>240305000032</v>
      </c>
      <c r="D258" s="21">
        <v>45360</v>
      </c>
      <c r="E258" s="21" t="s">
        <v>41</v>
      </c>
      <c r="F258" s="19" t="s">
        <v>42</v>
      </c>
      <c r="G258" s="19" t="s">
        <v>151</v>
      </c>
      <c r="H258" s="19">
        <v>3</v>
      </c>
      <c r="I258" s="46"/>
      <c r="J258" s="54">
        <v>32480</v>
      </c>
      <c r="K258" s="55"/>
      <c r="L258" s="50">
        <f t="shared" si="146"/>
        <v>1600</v>
      </c>
      <c r="M258" s="52">
        <v>20.3</v>
      </c>
      <c r="N258" s="45">
        <v>7.19</v>
      </c>
      <c r="O258" s="46">
        <f t="shared" si="147"/>
        <v>145.957</v>
      </c>
      <c r="P258" s="48"/>
      <c r="Q258" s="48"/>
      <c r="R258" s="78">
        <f t="shared" si="140"/>
        <v>103.233766233766</v>
      </c>
      <c r="S258" s="78"/>
      <c r="T258" s="79">
        <f t="shared" si="141"/>
        <v>0.211038961038961</v>
      </c>
      <c r="U258" s="78"/>
      <c r="V258" s="78"/>
      <c r="W258" s="80">
        <f t="shared" si="137"/>
        <v>103.444805194805</v>
      </c>
      <c r="X258" s="81">
        <f t="shared" si="142"/>
        <v>2.07269480519481</v>
      </c>
      <c r="Y258" s="81"/>
      <c r="Z258" s="81"/>
      <c r="AA258" s="81">
        <f t="shared" si="138"/>
        <v>2.07269480519481</v>
      </c>
      <c r="AB258" s="90">
        <v>7.19</v>
      </c>
      <c r="AC258" s="78">
        <f t="shared" si="133"/>
        <v>14.9026756493507</v>
      </c>
      <c r="AD258" s="78">
        <f t="shared" si="134"/>
        <v>118.347480844156</v>
      </c>
      <c r="AE258" s="78">
        <f t="shared" si="136"/>
        <v>27.6095191558441</v>
      </c>
    </row>
    <row r="259" customFormat="1" spans="1:31">
      <c r="A259" s="18"/>
      <c r="B259" s="19"/>
      <c r="C259" s="20">
        <v>240305000034</v>
      </c>
      <c r="D259" s="21">
        <v>45360</v>
      </c>
      <c r="E259" s="21" t="s">
        <v>44</v>
      </c>
      <c r="F259" s="19" t="s">
        <v>45</v>
      </c>
      <c r="G259" s="19" t="s">
        <v>233</v>
      </c>
      <c r="H259" s="19">
        <v>8.5</v>
      </c>
      <c r="I259" s="49">
        <v>-415</v>
      </c>
      <c r="J259" s="53"/>
      <c r="K259" s="51"/>
      <c r="L259" s="53"/>
      <c r="M259" s="44"/>
      <c r="N259" s="45"/>
      <c r="O259" s="46">
        <f t="shared" si="148"/>
        <v>-415</v>
      </c>
      <c r="P259" s="48"/>
      <c r="Q259" s="48"/>
      <c r="R259" s="78">
        <f t="shared" si="140"/>
        <v>292.495670995671</v>
      </c>
      <c r="S259" s="78"/>
      <c r="T259" s="79">
        <f t="shared" si="141"/>
        <v>0.597943722943723</v>
      </c>
      <c r="U259" s="78">
        <v>30</v>
      </c>
      <c r="V259" s="78"/>
      <c r="W259" s="80">
        <f t="shared" si="137"/>
        <v>323.093614718615</v>
      </c>
      <c r="X259" s="81">
        <f t="shared" si="142"/>
        <v>5.87263528138528</v>
      </c>
      <c r="Y259" s="81"/>
      <c r="Z259" s="81"/>
      <c r="AA259" s="81">
        <f t="shared" si="138"/>
        <v>5.87263528138528</v>
      </c>
      <c r="AB259" s="90">
        <v>7.19</v>
      </c>
      <c r="AC259" s="78">
        <f t="shared" si="133"/>
        <v>42.2242476731602</v>
      </c>
      <c r="AD259" s="78">
        <f t="shared" si="134"/>
        <v>365.317862391775</v>
      </c>
      <c r="AE259" s="78">
        <f t="shared" si="136"/>
        <v>-780.317862391775</v>
      </c>
    </row>
    <row r="260" customFormat="1" spans="1:31">
      <c r="A260" s="18"/>
      <c r="B260" s="19"/>
      <c r="C260" s="20">
        <v>240306000010</v>
      </c>
      <c r="D260" s="21">
        <v>45360</v>
      </c>
      <c r="E260" s="21" t="s">
        <v>44</v>
      </c>
      <c r="F260" s="19" t="s">
        <v>45</v>
      </c>
      <c r="G260" s="19" t="s">
        <v>234</v>
      </c>
      <c r="H260" s="19">
        <v>0.32</v>
      </c>
      <c r="I260" s="49"/>
      <c r="J260" s="50">
        <v>12600</v>
      </c>
      <c r="K260" s="51"/>
      <c r="L260" s="50">
        <f t="shared" si="146"/>
        <v>1619.53727506427</v>
      </c>
      <c r="M260" s="52">
        <v>7.78</v>
      </c>
      <c r="N260" s="45">
        <v>7.19</v>
      </c>
      <c r="O260" s="46">
        <f t="shared" si="147"/>
        <v>55.9382</v>
      </c>
      <c r="P260" s="48"/>
      <c r="Q260" s="48"/>
      <c r="R260" s="78">
        <f t="shared" si="140"/>
        <v>11.0116017316017</v>
      </c>
      <c r="S260" s="78"/>
      <c r="T260" s="79">
        <f t="shared" si="141"/>
        <v>0.0225108225108225</v>
      </c>
      <c r="U260" s="78"/>
      <c r="V260" s="78"/>
      <c r="W260" s="80">
        <f t="shared" si="137"/>
        <v>11.0341125541126</v>
      </c>
      <c r="X260" s="81">
        <f t="shared" si="142"/>
        <v>0.221087445887446</v>
      </c>
      <c r="Y260" s="81"/>
      <c r="Z260" s="81"/>
      <c r="AA260" s="81">
        <f t="shared" si="138"/>
        <v>0.221087445887446</v>
      </c>
      <c r="AB260" s="90">
        <v>7.19</v>
      </c>
      <c r="AC260" s="78">
        <f t="shared" si="133"/>
        <v>1.58961873593074</v>
      </c>
      <c r="AD260" s="78">
        <f t="shared" si="134"/>
        <v>12.6237312900433</v>
      </c>
      <c r="AE260" s="78">
        <f t="shared" si="136"/>
        <v>43.3144687099567</v>
      </c>
    </row>
    <row r="261" customFormat="1" spans="1:31">
      <c r="A261" s="18"/>
      <c r="B261" s="19"/>
      <c r="C261" s="20">
        <v>240306000016</v>
      </c>
      <c r="D261" s="21">
        <v>45360</v>
      </c>
      <c r="E261" s="21" t="s">
        <v>70</v>
      </c>
      <c r="F261" s="19" t="s">
        <v>70</v>
      </c>
      <c r="G261" s="19" t="s">
        <v>142</v>
      </c>
      <c r="H261" s="19">
        <v>185.5</v>
      </c>
      <c r="I261" s="41">
        <v>8041</v>
      </c>
      <c r="J261" s="53"/>
      <c r="K261" s="51"/>
      <c r="L261" s="53"/>
      <c r="M261" s="44"/>
      <c r="N261" s="45"/>
      <c r="O261" s="46">
        <f t="shared" si="148"/>
        <v>8041</v>
      </c>
      <c r="P261" s="48"/>
      <c r="Q261" s="48"/>
      <c r="R261" s="78">
        <f t="shared" si="140"/>
        <v>6383.28787878788</v>
      </c>
      <c r="S261" s="78"/>
      <c r="T261" s="79">
        <f t="shared" si="141"/>
        <v>13.0492424242424</v>
      </c>
      <c r="U261" s="78"/>
      <c r="V261" s="78"/>
      <c r="W261" s="80">
        <f t="shared" si="137"/>
        <v>6396.33712121212</v>
      </c>
      <c r="X261" s="81">
        <f t="shared" si="142"/>
        <v>128.161628787879</v>
      </c>
      <c r="Y261" s="81"/>
      <c r="Z261" s="81"/>
      <c r="AA261" s="81">
        <f t="shared" si="138"/>
        <v>128.161628787879</v>
      </c>
      <c r="AB261" s="90">
        <v>7.19</v>
      </c>
      <c r="AC261" s="78">
        <f t="shared" ref="AC261:AC272" si="149">SUM(AA261*AB261)</f>
        <v>921.482110984849</v>
      </c>
      <c r="AD261" s="78">
        <f t="shared" ref="AD261:AD272" si="150">SUM(W261+AC261)</f>
        <v>7317.81923219697</v>
      </c>
      <c r="AE261" s="78">
        <f t="shared" si="136"/>
        <v>723.180767803031</v>
      </c>
    </row>
    <row r="262" customFormat="1" spans="1:31">
      <c r="A262" s="18"/>
      <c r="B262" s="19"/>
      <c r="C262" s="20">
        <v>240306000019</v>
      </c>
      <c r="D262" s="21">
        <v>45360</v>
      </c>
      <c r="E262" s="21" t="s">
        <v>41</v>
      </c>
      <c r="F262" s="19" t="s">
        <v>42</v>
      </c>
      <c r="G262" s="19" t="s">
        <v>73</v>
      </c>
      <c r="H262" s="19">
        <v>5.5</v>
      </c>
      <c r="I262" s="41">
        <v>316.8</v>
      </c>
      <c r="J262" s="42"/>
      <c r="K262" s="43"/>
      <c r="L262" s="42"/>
      <c r="M262" s="44"/>
      <c r="N262" s="45"/>
      <c r="O262" s="46">
        <f t="shared" si="148"/>
        <v>316.8</v>
      </c>
      <c r="P262" s="48"/>
      <c r="Q262" s="48"/>
      <c r="R262" s="78">
        <f t="shared" si="140"/>
        <v>189.261904761905</v>
      </c>
      <c r="S262" s="78"/>
      <c r="T262" s="79">
        <f t="shared" si="141"/>
        <v>0.386904761904762</v>
      </c>
      <c r="U262" s="78"/>
      <c r="V262" s="78"/>
      <c r="W262" s="80">
        <f t="shared" ref="W262:W272" si="151">SUM(R262:V262)</f>
        <v>189.64880952381</v>
      </c>
      <c r="X262" s="81">
        <f t="shared" si="142"/>
        <v>3.79994047619048</v>
      </c>
      <c r="Y262" s="81"/>
      <c r="Z262" s="81"/>
      <c r="AA262" s="81">
        <f t="shared" ref="AA262:AA272" si="152">SUM(X262:Z262)</f>
        <v>3.79994047619048</v>
      </c>
      <c r="AB262" s="90">
        <v>7.19</v>
      </c>
      <c r="AC262" s="78">
        <f t="shared" si="149"/>
        <v>27.3215720238095</v>
      </c>
      <c r="AD262" s="78">
        <f t="shared" si="150"/>
        <v>216.970381547619</v>
      </c>
      <c r="AE262" s="78">
        <f t="shared" ref="AE262:AE272" si="153">SUM(O262-AD262)</f>
        <v>99.829618452381</v>
      </c>
    </row>
    <row r="263" customFormat="1" spans="1:31">
      <c r="A263" s="18"/>
      <c r="B263" s="19"/>
      <c r="C263" s="20">
        <v>240306000022</v>
      </c>
      <c r="D263" s="21">
        <v>45360</v>
      </c>
      <c r="E263" s="21" t="s">
        <v>47</v>
      </c>
      <c r="F263" s="19" t="s">
        <v>48</v>
      </c>
      <c r="G263" s="19" t="s">
        <v>235</v>
      </c>
      <c r="H263" s="19">
        <v>70</v>
      </c>
      <c r="I263" s="41">
        <v>3120</v>
      </c>
      <c r="J263" s="42"/>
      <c r="K263" s="43"/>
      <c r="L263" s="42"/>
      <c r="M263" s="44"/>
      <c r="N263" s="45"/>
      <c r="O263" s="46">
        <f t="shared" si="148"/>
        <v>3120</v>
      </c>
      <c r="P263" s="58"/>
      <c r="Q263" s="58"/>
      <c r="R263" s="78">
        <f t="shared" si="140"/>
        <v>2408.78787878788</v>
      </c>
      <c r="S263" s="78"/>
      <c r="T263" s="79">
        <f t="shared" si="141"/>
        <v>4.92424242424242</v>
      </c>
      <c r="U263" s="78"/>
      <c r="V263" s="79">
        <v>180</v>
      </c>
      <c r="W263" s="80">
        <f t="shared" si="151"/>
        <v>2593.71212121212</v>
      </c>
      <c r="X263" s="81">
        <f t="shared" si="142"/>
        <v>48.3628787878788</v>
      </c>
      <c r="Y263" s="81"/>
      <c r="Z263" s="81"/>
      <c r="AA263" s="81">
        <f t="shared" si="152"/>
        <v>48.3628787878788</v>
      </c>
      <c r="AB263" s="90">
        <v>7.19</v>
      </c>
      <c r="AC263" s="78">
        <f t="shared" si="149"/>
        <v>347.729098484848</v>
      </c>
      <c r="AD263" s="78">
        <f t="shared" si="150"/>
        <v>2941.44121969697</v>
      </c>
      <c r="AE263" s="78">
        <f t="shared" si="153"/>
        <v>178.55878030303</v>
      </c>
    </row>
    <row r="264" customFormat="1" spans="1:31">
      <c r="A264" s="18" t="s">
        <v>236</v>
      </c>
      <c r="B264" s="19" t="s">
        <v>237</v>
      </c>
      <c r="C264" s="20">
        <v>240306000023</v>
      </c>
      <c r="D264" s="21">
        <v>45363</v>
      </c>
      <c r="E264" s="21" t="s">
        <v>70</v>
      </c>
      <c r="F264" s="19" t="s">
        <v>70</v>
      </c>
      <c r="G264" s="19" t="s">
        <v>87</v>
      </c>
      <c r="H264" s="19">
        <v>10</v>
      </c>
      <c r="I264" s="92">
        <v>950</v>
      </c>
      <c r="J264" s="104"/>
      <c r="K264" s="55"/>
      <c r="L264" s="104"/>
      <c r="M264" s="44"/>
      <c r="N264" s="45"/>
      <c r="O264" s="46">
        <f>SUBTOTAL(9,I264)</f>
        <v>950</v>
      </c>
      <c r="P264" s="47">
        <f>SUM(O264:O272)</f>
        <v>3072.011</v>
      </c>
      <c r="Q264" s="47" t="s">
        <v>78</v>
      </c>
      <c r="R264" s="78">
        <f>SUM(2200/32)*H264</f>
        <v>687.5</v>
      </c>
      <c r="S264" s="78"/>
      <c r="T264" s="79">
        <f>SUM(51.99/32)*H264</f>
        <v>16.246875</v>
      </c>
      <c r="U264" s="78"/>
      <c r="V264" s="78"/>
      <c r="W264" s="80">
        <f t="shared" si="151"/>
        <v>703.746875</v>
      </c>
      <c r="X264" s="81">
        <f>SUM(104.59/32)*H264</f>
        <v>32.684375</v>
      </c>
      <c r="Y264" s="81"/>
      <c r="Z264" s="81"/>
      <c r="AA264" s="81">
        <f t="shared" si="152"/>
        <v>32.684375</v>
      </c>
      <c r="AB264" s="90">
        <v>7.19</v>
      </c>
      <c r="AC264" s="78">
        <f t="shared" si="149"/>
        <v>235.00065625</v>
      </c>
      <c r="AD264" s="78">
        <f t="shared" si="150"/>
        <v>938.74753125</v>
      </c>
      <c r="AE264" s="78">
        <f t="shared" si="153"/>
        <v>11.25246875</v>
      </c>
    </row>
    <row r="265" customFormat="1" spans="1:31">
      <c r="A265" s="18"/>
      <c r="B265" s="19"/>
      <c r="C265" s="20">
        <v>240307000012</v>
      </c>
      <c r="D265" s="21">
        <v>45363</v>
      </c>
      <c r="E265" s="21" t="s">
        <v>44</v>
      </c>
      <c r="F265" s="19" t="s">
        <v>45</v>
      </c>
      <c r="G265" s="19" t="s">
        <v>238</v>
      </c>
      <c r="H265" s="19">
        <v>2</v>
      </c>
      <c r="I265" s="41">
        <v>230</v>
      </c>
      <c r="J265" s="42"/>
      <c r="K265" s="43"/>
      <c r="L265" s="42"/>
      <c r="M265" s="44"/>
      <c r="N265" s="45"/>
      <c r="O265" s="46">
        <f t="shared" ref="O265:O271" si="154">SUM(I265)</f>
        <v>230</v>
      </c>
      <c r="P265" s="48"/>
      <c r="Q265" s="48"/>
      <c r="R265" s="78">
        <f t="shared" ref="R265:R272" si="155">SUM(2200/32)*H265</f>
        <v>137.5</v>
      </c>
      <c r="S265" s="78"/>
      <c r="T265" s="79">
        <f t="shared" ref="T265:T272" si="156">SUM(51.99/32)*H265</f>
        <v>3.249375</v>
      </c>
      <c r="U265" s="78"/>
      <c r="V265" s="78"/>
      <c r="W265" s="80">
        <f t="shared" si="151"/>
        <v>140.749375</v>
      </c>
      <c r="X265" s="81">
        <f t="shared" ref="X265:X272" si="157">SUM(104.59/32)*H265</f>
        <v>6.536875</v>
      </c>
      <c r="Y265" s="81"/>
      <c r="Z265" s="81"/>
      <c r="AA265" s="81">
        <f t="shared" si="152"/>
        <v>6.536875</v>
      </c>
      <c r="AB265" s="90">
        <v>7.19</v>
      </c>
      <c r="AC265" s="78">
        <f t="shared" si="149"/>
        <v>47.00013125</v>
      </c>
      <c r="AD265" s="78">
        <f t="shared" si="150"/>
        <v>187.74950625</v>
      </c>
      <c r="AE265" s="78">
        <f t="shared" si="153"/>
        <v>42.25049375</v>
      </c>
    </row>
    <row r="266" customFormat="1" spans="1:31">
      <c r="A266" s="18"/>
      <c r="B266" s="19"/>
      <c r="C266" s="20">
        <v>240307000025</v>
      </c>
      <c r="D266" s="21">
        <v>45363</v>
      </c>
      <c r="E266" s="21" t="s">
        <v>37</v>
      </c>
      <c r="F266" s="19" t="s">
        <v>38</v>
      </c>
      <c r="G266" s="19" t="s">
        <v>239</v>
      </c>
      <c r="H266" s="19">
        <v>1.5</v>
      </c>
      <c r="I266" s="41">
        <v>380</v>
      </c>
      <c r="J266" s="42"/>
      <c r="K266" s="43"/>
      <c r="L266" s="42"/>
      <c r="M266" s="44"/>
      <c r="N266" s="45"/>
      <c r="O266" s="46">
        <f t="shared" si="154"/>
        <v>380</v>
      </c>
      <c r="P266" s="48"/>
      <c r="Q266" s="48"/>
      <c r="R266" s="78">
        <f t="shared" si="155"/>
        <v>103.125</v>
      </c>
      <c r="S266" s="78"/>
      <c r="T266" s="79">
        <f t="shared" si="156"/>
        <v>2.43703125</v>
      </c>
      <c r="U266" s="78"/>
      <c r="V266" s="78"/>
      <c r="W266" s="80">
        <f t="shared" si="151"/>
        <v>105.56203125</v>
      </c>
      <c r="X266" s="81">
        <f t="shared" si="157"/>
        <v>4.90265625</v>
      </c>
      <c r="Y266" s="81"/>
      <c r="Z266" s="81"/>
      <c r="AA266" s="81">
        <f t="shared" si="152"/>
        <v>4.90265625</v>
      </c>
      <c r="AB266" s="90">
        <v>7.19</v>
      </c>
      <c r="AC266" s="78">
        <f t="shared" si="149"/>
        <v>35.2500984375</v>
      </c>
      <c r="AD266" s="78">
        <f t="shared" si="150"/>
        <v>140.8121296875</v>
      </c>
      <c r="AE266" s="78">
        <f t="shared" si="153"/>
        <v>239.1878703125</v>
      </c>
    </row>
    <row r="267" customFormat="1" spans="1:31">
      <c r="A267" s="18"/>
      <c r="B267" s="19"/>
      <c r="C267" s="20">
        <v>240307000030</v>
      </c>
      <c r="D267" s="21">
        <v>45363</v>
      </c>
      <c r="E267" s="21" t="s">
        <v>44</v>
      </c>
      <c r="F267" s="19" t="s">
        <v>45</v>
      </c>
      <c r="G267" s="19" t="s">
        <v>100</v>
      </c>
      <c r="H267" s="19">
        <v>0.72</v>
      </c>
      <c r="I267" s="41">
        <v>120</v>
      </c>
      <c r="J267" s="42"/>
      <c r="K267" s="43"/>
      <c r="L267" s="42"/>
      <c r="M267" s="44"/>
      <c r="N267" s="45"/>
      <c r="O267" s="46">
        <f t="shared" si="154"/>
        <v>120</v>
      </c>
      <c r="P267" s="48"/>
      <c r="Q267" s="48"/>
      <c r="R267" s="78">
        <f t="shared" si="155"/>
        <v>49.5</v>
      </c>
      <c r="S267" s="78"/>
      <c r="T267" s="79">
        <f t="shared" si="156"/>
        <v>1.169775</v>
      </c>
      <c r="U267" s="78"/>
      <c r="V267" s="78"/>
      <c r="W267" s="80">
        <f t="shared" si="151"/>
        <v>50.669775</v>
      </c>
      <c r="X267" s="81">
        <f t="shared" si="157"/>
        <v>2.353275</v>
      </c>
      <c r="Y267" s="81"/>
      <c r="Z267" s="81"/>
      <c r="AA267" s="81">
        <f t="shared" si="152"/>
        <v>2.353275</v>
      </c>
      <c r="AB267" s="90">
        <v>7.19</v>
      </c>
      <c r="AC267" s="78">
        <f t="shared" si="149"/>
        <v>16.92004725</v>
      </c>
      <c r="AD267" s="78">
        <f t="shared" si="150"/>
        <v>67.58982225</v>
      </c>
      <c r="AE267" s="78">
        <f t="shared" si="153"/>
        <v>52.41017775</v>
      </c>
    </row>
    <row r="268" customFormat="1" spans="1:31">
      <c r="A268" s="18"/>
      <c r="B268" s="19"/>
      <c r="C268" s="20">
        <v>240308000008</v>
      </c>
      <c r="D268" s="21">
        <v>45363</v>
      </c>
      <c r="E268" s="21" t="s">
        <v>47</v>
      </c>
      <c r="F268" s="19" t="s">
        <v>48</v>
      </c>
      <c r="G268" s="19" t="s">
        <v>137</v>
      </c>
      <c r="H268" s="19">
        <v>0.13</v>
      </c>
      <c r="I268" s="41">
        <v>115</v>
      </c>
      <c r="J268" s="42"/>
      <c r="K268" s="43"/>
      <c r="L268" s="42"/>
      <c r="M268" s="44"/>
      <c r="N268" s="45"/>
      <c r="O268" s="46">
        <f t="shared" si="154"/>
        <v>115</v>
      </c>
      <c r="P268" s="48"/>
      <c r="Q268" s="48"/>
      <c r="R268" s="78">
        <f t="shared" si="155"/>
        <v>8.9375</v>
      </c>
      <c r="S268" s="78"/>
      <c r="T268" s="79">
        <f t="shared" si="156"/>
        <v>0.211209375</v>
      </c>
      <c r="U268" s="78"/>
      <c r="V268" s="78"/>
      <c r="W268" s="80">
        <f t="shared" si="151"/>
        <v>9.148709375</v>
      </c>
      <c r="X268" s="81">
        <f t="shared" si="157"/>
        <v>0.424896875</v>
      </c>
      <c r="Y268" s="81"/>
      <c r="Z268" s="81"/>
      <c r="AA268" s="81">
        <f t="shared" si="152"/>
        <v>0.424896875</v>
      </c>
      <c r="AB268" s="90">
        <v>7.19</v>
      </c>
      <c r="AC268" s="78">
        <f t="shared" si="149"/>
        <v>3.05500853125</v>
      </c>
      <c r="AD268" s="78">
        <f t="shared" si="150"/>
        <v>12.20371790625</v>
      </c>
      <c r="AE268" s="78">
        <f t="shared" si="153"/>
        <v>102.79628209375</v>
      </c>
    </row>
    <row r="269" customFormat="1" spans="1:31">
      <c r="A269" s="18"/>
      <c r="B269" s="19"/>
      <c r="C269" s="20">
        <v>240308000030</v>
      </c>
      <c r="D269" s="21">
        <v>45363</v>
      </c>
      <c r="E269" s="21" t="s">
        <v>70</v>
      </c>
      <c r="F269" s="19" t="s">
        <v>70</v>
      </c>
      <c r="G269" s="19" t="s">
        <v>240</v>
      </c>
      <c r="H269" s="19">
        <v>4.5</v>
      </c>
      <c r="I269" s="41">
        <v>547.5</v>
      </c>
      <c r="J269" s="53"/>
      <c r="K269" s="51"/>
      <c r="L269" s="53"/>
      <c r="M269" s="44"/>
      <c r="N269" s="45"/>
      <c r="O269" s="46">
        <f t="shared" si="154"/>
        <v>547.5</v>
      </c>
      <c r="P269" s="48"/>
      <c r="Q269" s="48"/>
      <c r="R269" s="78">
        <f t="shared" si="155"/>
        <v>309.375</v>
      </c>
      <c r="S269" s="78"/>
      <c r="T269" s="79">
        <f t="shared" si="156"/>
        <v>7.31109375</v>
      </c>
      <c r="U269" s="78"/>
      <c r="V269" s="78"/>
      <c r="W269" s="80">
        <f t="shared" si="151"/>
        <v>316.68609375</v>
      </c>
      <c r="X269" s="81">
        <f t="shared" si="157"/>
        <v>14.70796875</v>
      </c>
      <c r="Y269" s="81"/>
      <c r="Z269" s="81"/>
      <c r="AA269" s="81">
        <f t="shared" si="152"/>
        <v>14.70796875</v>
      </c>
      <c r="AB269" s="90">
        <v>7.19</v>
      </c>
      <c r="AC269" s="78">
        <f t="shared" si="149"/>
        <v>105.7502953125</v>
      </c>
      <c r="AD269" s="78">
        <f t="shared" si="150"/>
        <v>422.4363890625</v>
      </c>
      <c r="AE269" s="78">
        <f t="shared" si="153"/>
        <v>125.0636109375</v>
      </c>
    </row>
    <row r="270" customFormat="1" spans="1:31">
      <c r="A270" s="18"/>
      <c r="B270" s="19"/>
      <c r="C270" s="20">
        <v>240308000036</v>
      </c>
      <c r="D270" s="21">
        <v>45363</v>
      </c>
      <c r="E270" s="21" t="s">
        <v>51</v>
      </c>
      <c r="F270" s="19" t="s">
        <v>65</v>
      </c>
      <c r="G270" s="19" t="s">
        <v>241</v>
      </c>
      <c r="H270" s="19">
        <v>2.5</v>
      </c>
      <c r="I270" s="41">
        <v>320.5</v>
      </c>
      <c r="J270" s="42"/>
      <c r="K270" s="43"/>
      <c r="L270" s="42"/>
      <c r="M270" s="44"/>
      <c r="N270" s="45"/>
      <c r="O270" s="46">
        <f t="shared" si="154"/>
        <v>320.5</v>
      </c>
      <c r="P270" s="48"/>
      <c r="Q270" s="48"/>
      <c r="R270" s="78">
        <f t="shared" si="155"/>
        <v>171.875</v>
      </c>
      <c r="S270" s="78"/>
      <c r="T270" s="79">
        <f t="shared" si="156"/>
        <v>4.06171875</v>
      </c>
      <c r="U270" s="78"/>
      <c r="V270" s="78"/>
      <c r="W270" s="80">
        <f t="shared" si="151"/>
        <v>175.93671875</v>
      </c>
      <c r="X270" s="81">
        <f t="shared" si="157"/>
        <v>8.17109375</v>
      </c>
      <c r="Y270" s="81"/>
      <c r="Z270" s="81"/>
      <c r="AA270" s="81">
        <f t="shared" si="152"/>
        <v>8.17109375</v>
      </c>
      <c r="AB270" s="90">
        <v>7.19</v>
      </c>
      <c r="AC270" s="78">
        <f t="shared" si="149"/>
        <v>58.7501640625</v>
      </c>
      <c r="AD270" s="78">
        <f t="shared" si="150"/>
        <v>234.6868828125</v>
      </c>
      <c r="AE270" s="78">
        <f t="shared" si="153"/>
        <v>85.8131171875</v>
      </c>
    </row>
    <row r="271" customFormat="1" spans="1:31">
      <c r="A271" s="18"/>
      <c r="B271" s="19"/>
      <c r="C271" s="20">
        <v>240308000041</v>
      </c>
      <c r="D271" s="21">
        <v>45363</v>
      </c>
      <c r="E271" s="21" t="s">
        <v>47</v>
      </c>
      <c r="F271" s="19" t="s">
        <v>48</v>
      </c>
      <c r="G271" s="19" t="s">
        <v>242</v>
      </c>
      <c r="H271" s="19">
        <v>2.5</v>
      </c>
      <c r="I271" s="41">
        <v>287.5</v>
      </c>
      <c r="J271" s="42"/>
      <c r="K271" s="43"/>
      <c r="L271" s="42"/>
      <c r="M271" s="44"/>
      <c r="N271" s="45"/>
      <c r="O271" s="46">
        <f t="shared" si="154"/>
        <v>287.5</v>
      </c>
      <c r="P271" s="48"/>
      <c r="Q271" s="48"/>
      <c r="R271" s="78">
        <f t="shared" si="155"/>
        <v>171.875</v>
      </c>
      <c r="S271" s="78"/>
      <c r="T271" s="79">
        <f t="shared" si="156"/>
        <v>4.06171875</v>
      </c>
      <c r="U271" s="78"/>
      <c r="V271" s="78"/>
      <c r="W271" s="80">
        <f t="shared" si="151"/>
        <v>175.93671875</v>
      </c>
      <c r="X271" s="81">
        <f t="shared" si="157"/>
        <v>8.17109375</v>
      </c>
      <c r="Y271" s="81"/>
      <c r="Z271" s="81"/>
      <c r="AA271" s="81">
        <f t="shared" ref="AA271:AA302" si="158">SUM(X271:Z271)</f>
        <v>8.17109375</v>
      </c>
      <c r="AB271" s="90">
        <v>7.19</v>
      </c>
      <c r="AC271" s="78">
        <f t="shared" si="149"/>
        <v>58.7501640625</v>
      </c>
      <c r="AD271" s="78">
        <f t="shared" si="150"/>
        <v>234.6868828125</v>
      </c>
      <c r="AE271" s="78">
        <f t="shared" ref="AE271:AE302" si="159">SUM(O271-AD271)</f>
        <v>52.8131171875</v>
      </c>
    </row>
    <row r="272" customFormat="1" spans="1:31">
      <c r="A272" s="18"/>
      <c r="B272" s="19"/>
      <c r="C272" s="20">
        <v>240309000004</v>
      </c>
      <c r="D272" s="21">
        <v>45363</v>
      </c>
      <c r="E272" s="21" t="s">
        <v>37</v>
      </c>
      <c r="F272" s="19">
        <v>13635229849</v>
      </c>
      <c r="G272" s="19" t="s">
        <v>127</v>
      </c>
      <c r="H272" s="19">
        <v>0.74</v>
      </c>
      <c r="I272" s="46"/>
      <c r="J272" s="54">
        <v>25181</v>
      </c>
      <c r="K272" s="55"/>
      <c r="L272" s="50">
        <f t="shared" ref="L272:L276" si="160">SUM(J272/M272)</f>
        <v>1490</v>
      </c>
      <c r="M272" s="52">
        <v>16.9</v>
      </c>
      <c r="N272" s="45">
        <v>7.19</v>
      </c>
      <c r="O272" s="46">
        <f t="shared" ref="O272:O276" si="161">SUM(M272*N272)</f>
        <v>121.511</v>
      </c>
      <c r="P272" s="58"/>
      <c r="Q272" s="58"/>
      <c r="R272" s="78">
        <f t="shared" si="155"/>
        <v>50.875</v>
      </c>
      <c r="S272" s="78"/>
      <c r="T272" s="79">
        <f t="shared" si="156"/>
        <v>1.20226875</v>
      </c>
      <c r="U272" s="78"/>
      <c r="V272" s="78"/>
      <c r="W272" s="80">
        <f t="shared" ref="W272:W303" si="162">SUM(R272:V272)</f>
        <v>52.07726875</v>
      </c>
      <c r="X272" s="81">
        <f t="shared" si="157"/>
        <v>2.41864375</v>
      </c>
      <c r="Y272" s="81"/>
      <c r="Z272" s="81"/>
      <c r="AA272" s="81">
        <f t="shared" si="158"/>
        <v>2.41864375</v>
      </c>
      <c r="AB272" s="90">
        <v>7.19</v>
      </c>
      <c r="AC272" s="78">
        <f t="shared" ref="AC272:AC303" si="163">SUM(AA272*AB272)</f>
        <v>17.3900485625</v>
      </c>
      <c r="AD272" s="78">
        <f t="shared" ref="AD272:AD303" si="164">SUM(W272+AC272)</f>
        <v>69.4673173125</v>
      </c>
      <c r="AE272" s="78">
        <f t="shared" si="159"/>
        <v>52.0436826875</v>
      </c>
    </row>
    <row r="273" customFormat="1" spans="1:31">
      <c r="A273" s="18" t="s">
        <v>243</v>
      </c>
      <c r="B273" s="19" t="s">
        <v>244</v>
      </c>
      <c r="C273" s="20">
        <v>240304000002</v>
      </c>
      <c r="D273" s="21">
        <v>45364</v>
      </c>
      <c r="E273" s="21" t="s">
        <v>37</v>
      </c>
      <c r="F273" s="19" t="s">
        <v>38</v>
      </c>
      <c r="G273" s="19" t="s">
        <v>219</v>
      </c>
      <c r="H273" s="19">
        <v>77</v>
      </c>
      <c r="I273" s="41">
        <v>6588</v>
      </c>
      <c r="J273" s="42"/>
      <c r="K273" s="43"/>
      <c r="L273" s="42"/>
      <c r="M273" s="44"/>
      <c r="N273" s="45"/>
      <c r="O273" s="46">
        <f t="shared" ref="O273:O278" si="165">SUM(I273)</f>
        <v>6588</v>
      </c>
      <c r="P273" s="47">
        <f>SUM(O273:O324)</f>
        <v>90950.3385</v>
      </c>
      <c r="Q273" s="47" t="s">
        <v>40</v>
      </c>
      <c r="R273" s="78">
        <f>SUM(61084.5/1829)*H273</f>
        <v>2571.6273920175</v>
      </c>
      <c r="S273" s="78"/>
      <c r="T273" s="79">
        <f>SUM(120/1829)*H273</f>
        <v>5.05194095133953</v>
      </c>
      <c r="U273" s="78">
        <v>240</v>
      </c>
      <c r="V273" s="78"/>
      <c r="W273" s="80">
        <f t="shared" si="162"/>
        <v>2816.67933296884</v>
      </c>
      <c r="X273" s="81">
        <f>SUM(1542.03/1829)*H273</f>
        <v>64.9187042099508</v>
      </c>
      <c r="Y273" s="81"/>
      <c r="Z273" s="81"/>
      <c r="AA273" s="81">
        <f t="shared" si="158"/>
        <v>64.9187042099508</v>
      </c>
      <c r="AB273" s="90">
        <v>7.19</v>
      </c>
      <c r="AC273" s="78">
        <f t="shared" si="163"/>
        <v>466.765483269546</v>
      </c>
      <c r="AD273" s="78">
        <f t="shared" si="164"/>
        <v>3283.44481623838</v>
      </c>
      <c r="AE273" s="78">
        <f t="shared" si="159"/>
        <v>3304.55518376162</v>
      </c>
    </row>
    <row r="274" customFormat="1" spans="1:31">
      <c r="A274" s="18"/>
      <c r="B274" s="19"/>
      <c r="C274" s="20">
        <v>240304000030</v>
      </c>
      <c r="D274" s="21">
        <v>45364</v>
      </c>
      <c r="E274" s="21" t="s">
        <v>44</v>
      </c>
      <c r="F274" s="19" t="s">
        <v>45</v>
      </c>
      <c r="G274" s="19" t="s">
        <v>245</v>
      </c>
      <c r="H274" s="19">
        <v>41</v>
      </c>
      <c r="I274" s="49"/>
      <c r="J274" s="50">
        <v>384006</v>
      </c>
      <c r="K274" s="51"/>
      <c r="L274" s="50">
        <f t="shared" si="160"/>
        <v>1603.36534446764</v>
      </c>
      <c r="M274" s="52">
        <v>239.5</v>
      </c>
      <c r="N274" s="45">
        <v>7.19</v>
      </c>
      <c r="O274" s="46">
        <f t="shared" si="161"/>
        <v>1722.005</v>
      </c>
      <c r="P274" s="48"/>
      <c r="Q274" s="48"/>
      <c r="R274" s="78">
        <f t="shared" ref="R274:R305" si="166">SUM(61084.5/1829)*H274</f>
        <v>1369.30809185347</v>
      </c>
      <c r="S274" s="78"/>
      <c r="T274" s="79">
        <f t="shared" ref="T274:T305" si="167">SUM(120/1829)*H274</f>
        <v>2.68999453253144</v>
      </c>
      <c r="U274" s="78"/>
      <c r="V274" s="78"/>
      <c r="W274" s="80">
        <f t="shared" si="162"/>
        <v>1371.998086386</v>
      </c>
      <c r="X274" s="81">
        <f t="shared" ref="X274:X305" si="168">SUM(1542.03/1829)*H274</f>
        <v>34.5671022416621</v>
      </c>
      <c r="Y274" s="81"/>
      <c r="Z274" s="81"/>
      <c r="AA274" s="81">
        <f t="shared" si="158"/>
        <v>34.5671022416621</v>
      </c>
      <c r="AB274" s="90">
        <v>7.19</v>
      </c>
      <c r="AC274" s="78">
        <f t="shared" si="163"/>
        <v>248.537465117551</v>
      </c>
      <c r="AD274" s="78">
        <f t="shared" si="164"/>
        <v>1620.53555150355</v>
      </c>
      <c r="AE274" s="78">
        <f t="shared" si="159"/>
        <v>101.469448496446</v>
      </c>
    </row>
    <row r="275" customFormat="1" spans="1:31">
      <c r="A275" s="18"/>
      <c r="B275" s="19"/>
      <c r="C275" s="20">
        <v>240305000018</v>
      </c>
      <c r="D275" s="21">
        <v>45364</v>
      </c>
      <c r="E275" s="21" t="s">
        <v>47</v>
      </c>
      <c r="F275" s="19" t="s">
        <v>48</v>
      </c>
      <c r="G275" s="19" t="s">
        <v>246</v>
      </c>
      <c r="H275" s="19">
        <v>6.5</v>
      </c>
      <c r="I275" s="41">
        <v>592</v>
      </c>
      <c r="J275" s="42"/>
      <c r="K275" s="43"/>
      <c r="L275" s="42"/>
      <c r="M275" s="44"/>
      <c r="N275" s="45"/>
      <c r="O275" s="46">
        <f t="shared" si="165"/>
        <v>592</v>
      </c>
      <c r="P275" s="48"/>
      <c r="Q275" s="48"/>
      <c r="R275" s="78">
        <f t="shared" si="166"/>
        <v>217.085429196282</v>
      </c>
      <c r="S275" s="78"/>
      <c r="T275" s="79">
        <f t="shared" si="167"/>
        <v>0.42646254784035</v>
      </c>
      <c r="U275" s="78"/>
      <c r="V275" s="78"/>
      <c r="W275" s="80">
        <f t="shared" si="162"/>
        <v>217.511891744122</v>
      </c>
      <c r="X275" s="81">
        <f t="shared" si="168"/>
        <v>5.48015035538546</v>
      </c>
      <c r="Y275" s="81"/>
      <c r="Z275" s="81"/>
      <c r="AA275" s="81">
        <f t="shared" si="158"/>
        <v>5.48015035538546</v>
      </c>
      <c r="AB275" s="90">
        <v>7.19</v>
      </c>
      <c r="AC275" s="78">
        <f t="shared" si="163"/>
        <v>39.4022810552214</v>
      </c>
      <c r="AD275" s="78">
        <f t="shared" si="164"/>
        <v>256.914172799344</v>
      </c>
      <c r="AE275" s="78">
        <f t="shared" si="159"/>
        <v>335.085827200656</v>
      </c>
    </row>
    <row r="276" customFormat="1" spans="1:31">
      <c r="A276" s="18"/>
      <c r="B276" s="19"/>
      <c r="C276" s="20">
        <v>240305000027</v>
      </c>
      <c r="D276" s="21">
        <v>45364</v>
      </c>
      <c r="E276" s="21" t="s">
        <v>44</v>
      </c>
      <c r="F276" s="19" t="s">
        <v>45</v>
      </c>
      <c r="G276" s="19" t="s">
        <v>124</v>
      </c>
      <c r="H276" s="19">
        <v>23</v>
      </c>
      <c r="I276" s="49"/>
      <c r="J276" s="50">
        <v>210735</v>
      </c>
      <c r="K276" s="51"/>
      <c r="L276" s="50">
        <f t="shared" si="160"/>
        <v>1603.40104998859</v>
      </c>
      <c r="M276" s="52">
        <v>131.43</v>
      </c>
      <c r="N276" s="45">
        <v>7.19</v>
      </c>
      <c r="O276" s="46">
        <f t="shared" si="161"/>
        <v>944.9817</v>
      </c>
      <c r="P276" s="48"/>
      <c r="Q276" s="48"/>
      <c r="R276" s="78">
        <f t="shared" si="166"/>
        <v>768.14844177146</v>
      </c>
      <c r="S276" s="78"/>
      <c r="T276" s="79">
        <f t="shared" si="167"/>
        <v>1.50902132312739</v>
      </c>
      <c r="U276" s="78"/>
      <c r="V276" s="78"/>
      <c r="W276" s="80">
        <f t="shared" si="162"/>
        <v>769.657463094587</v>
      </c>
      <c r="X276" s="81">
        <f t="shared" si="168"/>
        <v>19.3913012575178</v>
      </c>
      <c r="Y276" s="81"/>
      <c r="Z276" s="81"/>
      <c r="AA276" s="81">
        <f t="shared" si="158"/>
        <v>19.3913012575178</v>
      </c>
      <c r="AB276" s="90">
        <v>7.19</v>
      </c>
      <c r="AC276" s="78">
        <f t="shared" si="163"/>
        <v>139.423456041553</v>
      </c>
      <c r="AD276" s="78">
        <f t="shared" si="164"/>
        <v>909.08091913614</v>
      </c>
      <c r="AE276" s="78">
        <f t="shared" si="159"/>
        <v>35.9007808638601</v>
      </c>
    </row>
    <row r="277" customFormat="1" spans="1:31">
      <c r="A277" s="18"/>
      <c r="B277" s="19"/>
      <c r="C277" s="20">
        <v>240305000030</v>
      </c>
      <c r="D277" s="21">
        <v>45364</v>
      </c>
      <c r="E277" s="21" t="s">
        <v>47</v>
      </c>
      <c r="F277" s="19" t="s">
        <v>128</v>
      </c>
      <c r="G277" s="19" t="s">
        <v>129</v>
      </c>
      <c r="H277" s="19">
        <v>14</v>
      </c>
      <c r="I277" s="41">
        <v>706</v>
      </c>
      <c r="J277" s="42"/>
      <c r="K277" s="43"/>
      <c r="L277" s="42"/>
      <c r="M277" s="44"/>
      <c r="N277" s="45"/>
      <c r="O277" s="46">
        <f t="shared" si="165"/>
        <v>706</v>
      </c>
      <c r="P277" s="48"/>
      <c r="Q277" s="48"/>
      <c r="R277" s="78">
        <f t="shared" si="166"/>
        <v>467.568616730454</v>
      </c>
      <c r="S277" s="78"/>
      <c r="T277" s="79">
        <f t="shared" si="167"/>
        <v>0.918534718425369</v>
      </c>
      <c r="U277" s="78"/>
      <c r="V277" s="78"/>
      <c r="W277" s="80">
        <f t="shared" si="162"/>
        <v>468.487151448879</v>
      </c>
      <c r="X277" s="81">
        <f t="shared" si="168"/>
        <v>11.8034007654456</v>
      </c>
      <c r="Y277" s="81"/>
      <c r="Z277" s="81"/>
      <c r="AA277" s="81">
        <f t="shared" si="158"/>
        <v>11.8034007654456</v>
      </c>
      <c r="AB277" s="90">
        <v>7.19</v>
      </c>
      <c r="AC277" s="78">
        <f t="shared" si="163"/>
        <v>84.8664515035539</v>
      </c>
      <c r="AD277" s="78">
        <f t="shared" si="164"/>
        <v>553.353602952433</v>
      </c>
      <c r="AE277" s="78">
        <f t="shared" si="159"/>
        <v>152.646397047567</v>
      </c>
    </row>
    <row r="278" customFormat="1" spans="1:31">
      <c r="A278" s="18"/>
      <c r="B278" s="19"/>
      <c r="C278" s="20">
        <v>240305000033</v>
      </c>
      <c r="D278" s="21">
        <v>45364</v>
      </c>
      <c r="E278" s="21" t="s">
        <v>41</v>
      </c>
      <c r="F278" s="19" t="s">
        <v>42</v>
      </c>
      <c r="G278" s="19" t="s">
        <v>247</v>
      </c>
      <c r="H278" s="19">
        <v>95.5</v>
      </c>
      <c r="I278" s="41">
        <v>4704</v>
      </c>
      <c r="J278" s="42"/>
      <c r="K278" s="43"/>
      <c r="L278" s="42"/>
      <c r="M278" s="44"/>
      <c r="N278" s="45"/>
      <c r="O278" s="46">
        <f t="shared" si="165"/>
        <v>4704</v>
      </c>
      <c r="P278" s="48"/>
      <c r="Q278" s="48"/>
      <c r="R278" s="78">
        <f t="shared" si="166"/>
        <v>3189.48592126845</v>
      </c>
      <c r="S278" s="78"/>
      <c r="T278" s="79">
        <f t="shared" si="167"/>
        <v>6.26571897211591</v>
      </c>
      <c r="U278" s="78"/>
      <c r="V278" s="78"/>
      <c r="W278" s="80">
        <f t="shared" si="162"/>
        <v>3195.75164024057</v>
      </c>
      <c r="X278" s="81">
        <f t="shared" si="168"/>
        <v>80.5160552214325</v>
      </c>
      <c r="Y278" s="81"/>
      <c r="Z278" s="81"/>
      <c r="AA278" s="81">
        <f t="shared" si="158"/>
        <v>80.5160552214325</v>
      </c>
      <c r="AB278" s="90">
        <v>7.19</v>
      </c>
      <c r="AC278" s="78">
        <f t="shared" si="163"/>
        <v>578.9104370421</v>
      </c>
      <c r="AD278" s="78">
        <f t="shared" si="164"/>
        <v>3774.66207728267</v>
      </c>
      <c r="AE278" s="78">
        <f t="shared" si="159"/>
        <v>929.337922717332</v>
      </c>
    </row>
    <row r="279" customFormat="1" spans="1:31">
      <c r="A279" s="18"/>
      <c r="B279" s="19"/>
      <c r="C279" s="20">
        <v>240305000035</v>
      </c>
      <c r="D279" s="21">
        <v>45364</v>
      </c>
      <c r="E279" s="21" t="s">
        <v>37</v>
      </c>
      <c r="F279" s="19">
        <v>13635229849</v>
      </c>
      <c r="G279" s="19" t="s">
        <v>127</v>
      </c>
      <c r="H279" s="19">
        <v>7.5</v>
      </c>
      <c r="I279" s="46"/>
      <c r="J279" s="54">
        <v>80534</v>
      </c>
      <c r="K279" s="55"/>
      <c r="L279" s="50">
        <f>SUM(J279/M279)</f>
        <v>1489.9907493062</v>
      </c>
      <c r="M279" s="52">
        <v>54.05</v>
      </c>
      <c r="N279" s="45">
        <v>7.19</v>
      </c>
      <c r="O279" s="46">
        <f>SUM(M279*N279)</f>
        <v>388.6195</v>
      </c>
      <c r="P279" s="48"/>
      <c r="Q279" s="48"/>
      <c r="R279" s="78">
        <f t="shared" si="166"/>
        <v>250.483187534172</v>
      </c>
      <c r="S279" s="78"/>
      <c r="T279" s="79">
        <f t="shared" si="167"/>
        <v>0.492072170585019</v>
      </c>
      <c r="U279" s="78"/>
      <c r="V279" s="78"/>
      <c r="W279" s="80">
        <f t="shared" si="162"/>
        <v>250.975259704757</v>
      </c>
      <c r="X279" s="81">
        <f t="shared" si="168"/>
        <v>6.32325041006014</v>
      </c>
      <c r="Y279" s="81"/>
      <c r="Z279" s="81"/>
      <c r="AA279" s="81">
        <f t="shared" si="158"/>
        <v>6.32325041006014</v>
      </c>
      <c r="AB279" s="90">
        <v>7.19</v>
      </c>
      <c r="AC279" s="78">
        <f t="shared" si="163"/>
        <v>45.4641704483324</v>
      </c>
      <c r="AD279" s="78">
        <f t="shared" si="164"/>
        <v>296.439430153089</v>
      </c>
      <c r="AE279" s="78">
        <f t="shared" si="159"/>
        <v>92.1800698469109</v>
      </c>
    </row>
    <row r="280" customFormat="1" spans="1:31">
      <c r="A280" s="18"/>
      <c r="B280" s="19"/>
      <c r="C280" s="20">
        <v>240306000005</v>
      </c>
      <c r="D280" s="21">
        <v>45364</v>
      </c>
      <c r="E280" s="21" t="s">
        <v>37</v>
      </c>
      <c r="F280" s="19" t="s">
        <v>38</v>
      </c>
      <c r="G280" s="19" t="s">
        <v>248</v>
      </c>
      <c r="H280" s="19">
        <v>39</v>
      </c>
      <c r="I280" s="92">
        <v>1918</v>
      </c>
      <c r="J280" s="104"/>
      <c r="K280" s="55"/>
      <c r="L280" s="104"/>
      <c r="M280" s="44"/>
      <c r="N280" s="45"/>
      <c r="O280" s="46">
        <f>SUBTOTAL(9,I280)</f>
        <v>1918</v>
      </c>
      <c r="P280" s="48"/>
      <c r="Q280" s="48"/>
      <c r="R280" s="78">
        <f t="shared" si="166"/>
        <v>1302.51257517769</v>
      </c>
      <c r="S280" s="78"/>
      <c r="T280" s="79">
        <f t="shared" si="167"/>
        <v>2.5587752870421</v>
      </c>
      <c r="U280" s="78">
        <f>SUM(30+40)</f>
        <v>70</v>
      </c>
      <c r="V280" s="78"/>
      <c r="W280" s="80">
        <f t="shared" si="162"/>
        <v>1375.07135046473</v>
      </c>
      <c r="X280" s="81">
        <f t="shared" si="168"/>
        <v>32.8809021323127</v>
      </c>
      <c r="Y280" s="81"/>
      <c r="Z280" s="81"/>
      <c r="AA280" s="81">
        <f t="shared" si="158"/>
        <v>32.8809021323127</v>
      </c>
      <c r="AB280" s="90">
        <v>7.19</v>
      </c>
      <c r="AC280" s="78">
        <f t="shared" si="163"/>
        <v>236.413686331329</v>
      </c>
      <c r="AD280" s="78">
        <f t="shared" si="164"/>
        <v>1611.48503679606</v>
      </c>
      <c r="AE280" s="78">
        <f t="shared" si="159"/>
        <v>306.51496320394</v>
      </c>
    </row>
    <row r="281" customFormat="1" spans="1:31">
      <c r="A281" s="18"/>
      <c r="B281" s="19"/>
      <c r="C281" s="20">
        <v>240306000009</v>
      </c>
      <c r="D281" s="21">
        <v>45364</v>
      </c>
      <c r="E281" s="21" t="s">
        <v>41</v>
      </c>
      <c r="F281" s="19" t="s">
        <v>42</v>
      </c>
      <c r="G281" s="19" t="s">
        <v>61</v>
      </c>
      <c r="H281" s="19">
        <v>0.97</v>
      </c>
      <c r="I281" s="41">
        <v>51</v>
      </c>
      <c r="J281" s="42"/>
      <c r="K281" s="43"/>
      <c r="L281" s="42"/>
      <c r="M281" s="44"/>
      <c r="N281" s="45"/>
      <c r="O281" s="46">
        <f t="shared" ref="O281:O284" si="169">SUM(I281)</f>
        <v>51</v>
      </c>
      <c r="P281" s="48"/>
      <c r="Q281" s="48"/>
      <c r="R281" s="78">
        <f t="shared" si="166"/>
        <v>32.3958255877529</v>
      </c>
      <c r="S281" s="78"/>
      <c r="T281" s="79">
        <f t="shared" si="167"/>
        <v>0.0636413340623291</v>
      </c>
      <c r="U281" s="78"/>
      <c r="V281" s="78"/>
      <c r="W281" s="80">
        <f t="shared" si="162"/>
        <v>32.4594669218152</v>
      </c>
      <c r="X281" s="81">
        <f t="shared" si="168"/>
        <v>0.817807053034445</v>
      </c>
      <c r="Y281" s="81"/>
      <c r="Z281" s="81"/>
      <c r="AA281" s="81">
        <f t="shared" si="158"/>
        <v>0.817807053034445</v>
      </c>
      <c r="AB281" s="90">
        <v>7.19</v>
      </c>
      <c r="AC281" s="78">
        <f t="shared" si="163"/>
        <v>5.88003271131766</v>
      </c>
      <c r="AD281" s="78">
        <f t="shared" si="164"/>
        <v>38.3394996331329</v>
      </c>
      <c r="AE281" s="78">
        <f t="shared" si="159"/>
        <v>12.6605003668671</v>
      </c>
    </row>
    <row r="282" customFormat="1" spans="1:31">
      <c r="A282" s="18"/>
      <c r="B282" s="19"/>
      <c r="C282" s="20">
        <v>240306000013</v>
      </c>
      <c r="D282" s="21">
        <v>45364</v>
      </c>
      <c r="E282" s="21" t="s">
        <v>47</v>
      </c>
      <c r="F282" s="19" t="s">
        <v>48</v>
      </c>
      <c r="G282" s="19" t="s">
        <v>249</v>
      </c>
      <c r="H282" s="19">
        <v>24</v>
      </c>
      <c r="I282" s="41">
        <v>1016</v>
      </c>
      <c r="J282" s="42"/>
      <c r="K282" s="43"/>
      <c r="L282" s="42"/>
      <c r="M282" s="44"/>
      <c r="N282" s="45"/>
      <c r="O282" s="46">
        <f t="shared" si="169"/>
        <v>1016</v>
      </c>
      <c r="P282" s="48"/>
      <c r="Q282" s="48"/>
      <c r="R282" s="78">
        <f t="shared" si="166"/>
        <v>801.546200109349</v>
      </c>
      <c r="S282" s="78"/>
      <c r="T282" s="79">
        <f t="shared" si="167"/>
        <v>1.57463094587206</v>
      </c>
      <c r="U282" s="78"/>
      <c r="V282" s="78"/>
      <c r="W282" s="80">
        <f t="shared" si="162"/>
        <v>803.120831055221</v>
      </c>
      <c r="X282" s="81">
        <f t="shared" si="168"/>
        <v>20.2344013121925</v>
      </c>
      <c r="Y282" s="81"/>
      <c r="Z282" s="81"/>
      <c r="AA282" s="81">
        <f t="shared" si="158"/>
        <v>20.2344013121925</v>
      </c>
      <c r="AB282" s="90">
        <v>7.19</v>
      </c>
      <c r="AC282" s="78">
        <f t="shared" si="163"/>
        <v>145.485345434664</v>
      </c>
      <c r="AD282" s="78">
        <f t="shared" si="164"/>
        <v>948.606176489885</v>
      </c>
      <c r="AE282" s="78">
        <f t="shared" si="159"/>
        <v>67.3938235101149</v>
      </c>
    </row>
    <row r="283" customFormat="1" spans="1:31">
      <c r="A283" s="18"/>
      <c r="B283" s="19"/>
      <c r="C283" s="20">
        <v>240306000014</v>
      </c>
      <c r="D283" s="21">
        <v>45364</v>
      </c>
      <c r="E283" s="21" t="s">
        <v>44</v>
      </c>
      <c r="F283" s="19" t="s">
        <v>45</v>
      </c>
      <c r="G283" s="19" t="s">
        <v>84</v>
      </c>
      <c r="H283" s="19">
        <v>1</v>
      </c>
      <c r="I283" s="41">
        <v>90</v>
      </c>
      <c r="J283" s="42"/>
      <c r="K283" s="43"/>
      <c r="L283" s="42"/>
      <c r="M283" s="44"/>
      <c r="N283" s="45"/>
      <c r="O283" s="46">
        <f t="shared" si="169"/>
        <v>90</v>
      </c>
      <c r="P283" s="48"/>
      <c r="Q283" s="48"/>
      <c r="R283" s="78">
        <f t="shared" si="166"/>
        <v>33.3977583378896</v>
      </c>
      <c r="S283" s="78"/>
      <c r="T283" s="79">
        <f t="shared" si="167"/>
        <v>0.0656096227446692</v>
      </c>
      <c r="U283" s="78"/>
      <c r="V283" s="78"/>
      <c r="W283" s="80">
        <f t="shared" si="162"/>
        <v>33.4633679606342</v>
      </c>
      <c r="X283" s="81">
        <f t="shared" si="168"/>
        <v>0.843100054674686</v>
      </c>
      <c r="Y283" s="81"/>
      <c r="Z283" s="81"/>
      <c r="AA283" s="81">
        <f t="shared" si="158"/>
        <v>0.843100054674686</v>
      </c>
      <c r="AB283" s="90">
        <v>7.19</v>
      </c>
      <c r="AC283" s="78">
        <f t="shared" si="163"/>
        <v>6.06188939311099</v>
      </c>
      <c r="AD283" s="78">
        <f t="shared" si="164"/>
        <v>39.5252573537452</v>
      </c>
      <c r="AE283" s="78">
        <f t="shared" si="159"/>
        <v>50.4747426462548</v>
      </c>
    </row>
    <row r="284" customFormat="1" spans="1:31">
      <c r="A284" s="18"/>
      <c r="B284" s="19"/>
      <c r="C284" s="20">
        <v>240306000017</v>
      </c>
      <c r="D284" s="21">
        <v>45364</v>
      </c>
      <c r="E284" s="21" t="s">
        <v>37</v>
      </c>
      <c r="F284" s="19" t="s">
        <v>38</v>
      </c>
      <c r="G284" s="19" t="s">
        <v>250</v>
      </c>
      <c r="H284" s="19">
        <v>13</v>
      </c>
      <c r="I284" s="41">
        <v>578</v>
      </c>
      <c r="J284" s="42"/>
      <c r="K284" s="43"/>
      <c r="L284" s="42"/>
      <c r="M284" s="44"/>
      <c r="N284" s="45"/>
      <c r="O284" s="46">
        <f t="shared" si="169"/>
        <v>578</v>
      </c>
      <c r="P284" s="48"/>
      <c r="Q284" s="48"/>
      <c r="R284" s="78">
        <f t="shared" si="166"/>
        <v>434.170858392564</v>
      </c>
      <c r="S284" s="78"/>
      <c r="T284" s="79">
        <f t="shared" si="167"/>
        <v>0.8529250956807</v>
      </c>
      <c r="U284" s="78"/>
      <c r="V284" s="78"/>
      <c r="W284" s="80">
        <f t="shared" si="162"/>
        <v>435.023783488245</v>
      </c>
      <c r="X284" s="81">
        <f t="shared" si="168"/>
        <v>10.9603007107709</v>
      </c>
      <c r="Y284" s="81"/>
      <c r="Z284" s="81"/>
      <c r="AA284" s="81">
        <f t="shared" si="158"/>
        <v>10.9603007107709</v>
      </c>
      <c r="AB284" s="90">
        <v>7.19</v>
      </c>
      <c r="AC284" s="78">
        <f t="shared" si="163"/>
        <v>78.8045621104429</v>
      </c>
      <c r="AD284" s="78">
        <f t="shared" si="164"/>
        <v>513.828345598688</v>
      </c>
      <c r="AE284" s="78">
        <f t="shared" si="159"/>
        <v>64.1716544013123</v>
      </c>
    </row>
    <row r="285" customFormat="1" spans="1:31">
      <c r="A285" s="18"/>
      <c r="B285" s="19"/>
      <c r="C285" s="20">
        <v>240306000026</v>
      </c>
      <c r="D285" s="21">
        <v>45364</v>
      </c>
      <c r="E285" s="21" t="s">
        <v>37</v>
      </c>
      <c r="F285" s="19">
        <v>13635229849</v>
      </c>
      <c r="G285" s="19" t="s">
        <v>127</v>
      </c>
      <c r="H285" s="19">
        <v>3</v>
      </c>
      <c r="I285" s="46"/>
      <c r="J285" s="54">
        <v>34121</v>
      </c>
      <c r="K285" s="55"/>
      <c r="L285" s="50">
        <f t="shared" ref="L285:L289" si="170">SUM(J285/M285)</f>
        <v>1490</v>
      </c>
      <c r="M285" s="52">
        <v>22.9</v>
      </c>
      <c r="N285" s="45">
        <v>7.19</v>
      </c>
      <c r="O285" s="46">
        <f t="shared" ref="O285:O289" si="171">SUM(M285*N285)</f>
        <v>164.651</v>
      </c>
      <c r="P285" s="48"/>
      <c r="Q285" s="48"/>
      <c r="R285" s="78">
        <f t="shared" si="166"/>
        <v>100.193275013669</v>
      </c>
      <c r="S285" s="78"/>
      <c r="T285" s="79">
        <f t="shared" si="167"/>
        <v>0.196828868234008</v>
      </c>
      <c r="U285" s="78"/>
      <c r="V285" s="78"/>
      <c r="W285" s="80">
        <f t="shared" si="162"/>
        <v>100.390103881903</v>
      </c>
      <c r="X285" s="81">
        <f t="shared" si="168"/>
        <v>2.52930016402406</v>
      </c>
      <c r="Y285" s="81"/>
      <c r="Z285" s="81"/>
      <c r="AA285" s="81">
        <f t="shared" si="158"/>
        <v>2.52930016402406</v>
      </c>
      <c r="AB285" s="90">
        <v>7.19</v>
      </c>
      <c r="AC285" s="78">
        <f t="shared" si="163"/>
        <v>18.185668179333</v>
      </c>
      <c r="AD285" s="78">
        <f t="shared" si="164"/>
        <v>118.575772061236</v>
      </c>
      <c r="AE285" s="78">
        <f t="shared" si="159"/>
        <v>46.0752279387644</v>
      </c>
    </row>
    <row r="286" customFormat="1" spans="1:31">
      <c r="A286" s="18"/>
      <c r="B286" s="19"/>
      <c r="C286" s="20">
        <v>240307000001</v>
      </c>
      <c r="D286" s="21">
        <v>45364</v>
      </c>
      <c r="E286" s="21" t="s">
        <v>41</v>
      </c>
      <c r="F286" s="19" t="s">
        <v>42</v>
      </c>
      <c r="G286" s="19" t="s">
        <v>151</v>
      </c>
      <c r="H286" s="19">
        <v>3</v>
      </c>
      <c r="I286" s="46"/>
      <c r="J286" s="54">
        <v>32480</v>
      </c>
      <c r="K286" s="55"/>
      <c r="L286" s="50">
        <f t="shared" si="170"/>
        <v>1600</v>
      </c>
      <c r="M286" s="52">
        <v>20.3</v>
      </c>
      <c r="N286" s="45">
        <v>7.19</v>
      </c>
      <c r="O286" s="46">
        <f t="shared" si="171"/>
        <v>145.957</v>
      </c>
      <c r="P286" s="48"/>
      <c r="Q286" s="48"/>
      <c r="R286" s="78">
        <f t="shared" si="166"/>
        <v>100.193275013669</v>
      </c>
      <c r="S286" s="78"/>
      <c r="T286" s="79">
        <f t="shared" si="167"/>
        <v>0.196828868234008</v>
      </c>
      <c r="U286" s="78"/>
      <c r="V286" s="78"/>
      <c r="W286" s="80">
        <f t="shared" si="162"/>
        <v>100.390103881903</v>
      </c>
      <c r="X286" s="81">
        <f t="shared" si="168"/>
        <v>2.52930016402406</v>
      </c>
      <c r="Y286" s="81"/>
      <c r="Z286" s="81"/>
      <c r="AA286" s="81">
        <f t="shared" si="158"/>
        <v>2.52930016402406</v>
      </c>
      <c r="AB286" s="90">
        <v>7.19</v>
      </c>
      <c r="AC286" s="78">
        <f t="shared" si="163"/>
        <v>18.185668179333</v>
      </c>
      <c r="AD286" s="78">
        <f t="shared" si="164"/>
        <v>118.575772061236</v>
      </c>
      <c r="AE286" s="78">
        <f t="shared" si="159"/>
        <v>27.3812279387644</v>
      </c>
    </row>
    <row r="287" customFormat="1" spans="1:31">
      <c r="A287" s="18"/>
      <c r="B287" s="19"/>
      <c r="C287" s="20">
        <v>240307000003</v>
      </c>
      <c r="D287" s="21">
        <v>45364</v>
      </c>
      <c r="E287" s="21" t="s">
        <v>41</v>
      </c>
      <c r="F287" s="19" t="s">
        <v>42</v>
      </c>
      <c r="G287" s="19" t="s">
        <v>251</v>
      </c>
      <c r="H287" s="19">
        <v>196</v>
      </c>
      <c r="I287" s="41">
        <v>11172</v>
      </c>
      <c r="J287" s="42"/>
      <c r="K287" s="43"/>
      <c r="L287" s="42"/>
      <c r="M287" s="44"/>
      <c r="N287" s="45"/>
      <c r="O287" s="46">
        <f>SUM(I287)</f>
        <v>11172</v>
      </c>
      <c r="P287" s="48"/>
      <c r="Q287" s="48"/>
      <c r="R287" s="78">
        <f t="shared" si="166"/>
        <v>6545.96063422635</v>
      </c>
      <c r="S287" s="78"/>
      <c r="T287" s="79">
        <f t="shared" si="167"/>
        <v>12.8594860579552</v>
      </c>
      <c r="U287" s="78"/>
      <c r="V287" s="78"/>
      <c r="W287" s="80">
        <f t="shared" si="162"/>
        <v>6558.82012028431</v>
      </c>
      <c r="X287" s="81">
        <f t="shared" si="168"/>
        <v>165.247610716238</v>
      </c>
      <c r="Y287" s="81"/>
      <c r="Z287" s="81"/>
      <c r="AA287" s="81">
        <f t="shared" si="158"/>
        <v>165.247610716238</v>
      </c>
      <c r="AB287" s="90">
        <v>7.19</v>
      </c>
      <c r="AC287" s="78">
        <f t="shared" si="163"/>
        <v>1188.13032104975</v>
      </c>
      <c r="AD287" s="78">
        <f t="shared" si="164"/>
        <v>7746.95044133406</v>
      </c>
      <c r="AE287" s="78">
        <f t="shared" si="159"/>
        <v>3425.04955866594</v>
      </c>
    </row>
    <row r="288" customFormat="1" spans="1:31">
      <c r="A288" s="18"/>
      <c r="B288" s="19"/>
      <c r="C288" s="20">
        <v>240307000004</v>
      </c>
      <c r="D288" s="21">
        <v>45364</v>
      </c>
      <c r="E288" s="21" t="s">
        <v>41</v>
      </c>
      <c r="F288" s="19" t="s">
        <v>42</v>
      </c>
      <c r="G288" s="19" t="s">
        <v>60</v>
      </c>
      <c r="H288" s="19">
        <v>28.5</v>
      </c>
      <c r="I288" s="46"/>
      <c r="J288" s="54">
        <v>489744</v>
      </c>
      <c r="K288" s="55"/>
      <c r="L288" s="50">
        <f>SUM(J288/M288)</f>
        <v>1600</v>
      </c>
      <c r="M288" s="52">
        <v>306.09</v>
      </c>
      <c r="N288" s="45">
        <v>7.19</v>
      </c>
      <c r="O288" s="46">
        <f>SUM(M288*N288)</f>
        <v>2200.7871</v>
      </c>
      <c r="P288" s="48"/>
      <c r="Q288" s="48"/>
      <c r="R288" s="78">
        <f t="shared" si="166"/>
        <v>951.836112629852</v>
      </c>
      <c r="S288" s="78"/>
      <c r="T288" s="79">
        <f t="shared" si="167"/>
        <v>1.86987424822307</v>
      </c>
      <c r="U288" s="78"/>
      <c r="V288" s="79">
        <v>83</v>
      </c>
      <c r="W288" s="80">
        <f t="shared" si="162"/>
        <v>1036.70598687808</v>
      </c>
      <c r="X288" s="81">
        <f t="shared" si="168"/>
        <v>24.0283515582285</v>
      </c>
      <c r="Y288" s="81"/>
      <c r="Z288" s="81"/>
      <c r="AA288" s="81">
        <f t="shared" si="158"/>
        <v>24.0283515582285</v>
      </c>
      <c r="AB288" s="90">
        <v>7.19</v>
      </c>
      <c r="AC288" s="78">
        <f t="shared" si="163"/>
        <v>172.763847703663</v>
      </c>
      <c r="AD288" s="78">
        <f t="shared" si="164"/>
        <v>1209.46983458174</v>
      </c>
      <c r="AE288" s="78">
        <f t="shared" si="159"/>
        <v>991.317265418262</v>
      </c>
    </row>
    <row r="289" customFormat="1" spans="1:31">
      <c r="A289" s="18"/>
      <c r="B289" s="19"/>
      <c r="C289" s="20">
        <v>240307000005</v>
      </c>
      <c r="D289" s="21">
        <v>45364</v>
      </c>
      <c r="E289" s="21" t="s">
        <v>47</v>
      </c>
      <c r="F289" s="19" t="s">
        <v>48</v>
      </c>
      <c r="G289" s="19" t="s">
        <v>140</v>
      </c>
      <c r="H289" s="19">
        <v>11.5</v>
      </c>
      <c r="I289" s="49"/>
      <c r="J289" s="50">
        <v>114176</v>
      </c>
      <c r="K289" s="51"/>
      <c r="L289" s="50">
        <f t="shared" si="170"/>
        <v>1603.37031315826</v>
      </c>
      <c r="M289" s="52">
        <v>71.21</v>
      </c>
      <c r="N289" s="45">
        <v>7.19</v>
      </c>
      <c r="O289" s="46">
        <f t="shared" si="171"/>
        <v>511.9999</v>
      </c>
      <c r="P289" s="48"/>
      <c r="Q289" s="48"/>
      <c r="R289" s="78">
        <f t="shared" si="166"/>
        <v>384.07422088573</v>
      </c>
      <c r="S289" s="78"/>
      <c r="T289" s="79">
        <f t="shared" si="167"/>
        <v>0.754510661563696</v>
      </c>
      <c r="U289" s="78"/>
      <c r="V289" s="78"/>
      <c r="W289" s="80">
        <f t="shared" si="162"/>
        <v>384.828731547294</v>
      </c>
      <c r="X289" s="81">
        <f t="shared" si="168"/>
        <v>9.69565062875889</v>
      </c>
      <c r="Y289" s="81"/>
      <c r="Z289" s="81"/>
      <c r="AA289" s="81">
        <f t="shared" si="158"/>
        <v>9.69565062875889</v>
      </c>
      <c r="AB289" s="90">
        <v>7.19</v>
      </c>
      <c r="AC289" s="78">
        <f t="shared" si="163"/>
        <v>69.7117280207764</v>
      </c>
      <c r="AD289" s="78">
        <f t="shared" si="164"/>
        <v>454.54045956807</v>
      </c>
      <c r="AE289" s="78">
        <f t="shared" si="159"/>
        <v>57.45944043193</v>
      </c>
    </row>
    <row r="290" customFormat="1" spans="1:31">
      <c r="A290" s="18"/>
      <c r="B290" s="19"/>
      <c r="C290" s="20">
        <v>240307000007</v>
      </c>
      <c r="D290" s="21">
        <v>45364</v>
      </c>
      <c r="E290" s="21" t="s">
        <v>47</v>
      </c>
      <c r="F290" s="19" t="s">
        <v>48</v>
      </c>
      <c r="G290" s="19" t="s">
        <v>213</v>
      </c>
      <c r="H290" s="19">
        <v>43</v>
      </c>
      <c r="I290" s="41">
        <v>1814</v>
      </c>
      <c r="J290" s="42"/>
      <c r="K290" s="43"/>
      <c r="L290" s="42"/>
      <c r="M290" s="44"/>
      <c r="N290" s="45"/>
      <c r="O290" s="46">
        <f t="shared" ref="O290:O294" si="172">SUM(I290)</f>
        <v>1814</v>
      </c>
      <c r="P290" s="48"/>
      <c r="Q290" s="48"/>
      <c r="R290" s="78">
        <f t="shared" si="166"/>
        <v>1436.10360852925</v>
      </c>
      <c r="S290" s="78"/>
      <c r="T290" s="79">
        <f t="shared" si="167"/>
        <v>2.82121377802078</v>
      </c>
      <c r="U290" s="78"/>
      <c r="V290" s="78"/>
      <c r="W290" s="80">
        <f t="shared" si="162"/>
        <v>1438.92482230727</v>
      </c>
      <c r="X290" s="81">
        <f t="shared" si="168"/>
        <v>36.2533023510115</v>
      </c>
      <c r="Y290" s="81"/>
      <c r="Z290" s="81"/>
      <c r="AA290" s="81">
        <f t="shared" si="158"/>
        <v>36.2533023510115</v>
      </c>
      <c r="AB290" s="90">
        <v>7.19</v>
      </c>
      <c r="AC290" s="78">
        <f t="shared" si="163"/>
        <v>260.661243903773</v>
      </c>
      <c r="AD290" s="78">
        <f t="shared" si="164"/>
        <v>1699.58606621104</v>
      </c>
      <c r="AE290" s="78">
        <f t="shared" si="159"/>
        <v>114.413933788956</v>
      </c>
    </row>
    <row r="291" customFormat="1" spans="1:31">
      <c r="A291" s="18"/>
      <c r="B291" s="19"/>
      <c r="C291" s="20">
        <v>240307000009</v>
      </c>
      <c r="D291" s="21">
        <v>45364</v>
      </c>
      <c r="E291" s="21" t="s">
        <v>44</v>
      </c>
      <c r="F291" s="19" t="s">
        <v>45</v>
      </c>
      <c r="G291" s="19" t="s">
        <v>122</v>
      </c>
      <c r="H291" s="19">
        <v>8</v>
      </c>
      <c r="I291" s="49"/>
      <c r="J291" s="50">
        <v>59408</v>
      </c>
      <c r="K291" s="91"/>
      <c r="L291" s="50">
        <f>SUM(J291/M291)</f>
        <v>1136.12545419774</v>
      </c>
      <c r="M291" s="52">
        <v>52.29</v>
      </c>
      <c r="N291" s="45">
        <v>7.19</v>
      </c>
      <c r="O291" s="46">
        <f t="shared" ref="O291:O297" si="173">SUM(M291*N291)</f>
        <v>375.9651</v>
      </c>
      <c r="P291" s="48"/>
      <c r="Q291" s="48"/>
      <c r="R291" s="78">
        <f t="shared" si="166"/>
        <v>267.182066703116</v>
      </c>
      <c r="S291" s="78"/>
      <c r="T291" s="79">
        <f t="shared" si="167"/>
        <v>0.524876981957354</v>
      </c>
      <c r="U291" s="78"/>
      <c r="V291" s="78"/>
      <c r="W291" s="80">
        <f t="shared" si="162"/>
        <v>267.706943685074</v>
      </c>
      <c r="X291" s="81">
        <f t="shared" si="168"/>
        <v>6.74480043739749</v>
      </c>
      <c r="Y291" s="81"/>
      <c r="Z291" s="81"/>
      <c r="AA291" s="81">
        <f t="shared" si="158"/>
        <v>6.74480043739749</v>
      </c>
      <c r="AB291" s="90">
        <v>7.19</v>
      </c>
      <c r="AC291" s="78">
        <f t="shared" si="163"/>
        <v>48.4951151448879</v>
      </c>
      <c r="AD291" s="78">
        <f t="shared" si="164"/>
        <v>316.202058829962</v>
      </c>
      <c r="AE291" s="78">
        <f t="shared" si="159"/>
        <v>59.7630411700383</v>
      </c>
    </row>
    <row r="292" customFormat="1" spans="1:31">
      <c r="A292" s="18"/>
      <c r="B292" s="19"/>
      <c r="C292" s="20">
        <v>240307000010</v>
      </c>
      <c r="D292" s="21">
        <v>45364</v>
      </c>
      <c r="E292" s="21" t="s">
        <v>44</v>
      </c>
      <c r="F292" s="19" t="s">
        <v>45</v>
      </c>
      <c r="G292" s="19" t="s">
        <v>252</v>
      </c>
      <c r="H292" s="19">
        <v>0.93</v>
      </c>
      <c r="I292" s="46"/>
      <c r="J292" s="54">
        <v>12025</v>
      </c>
      <c r="K292" s="55"/>
      <c r="L292" s="50">
        <f>SUM(J292/M292)</f>
        <v>1522.15189873418</v>
      </c>
      <c r="M292" s="52">
        <v>7.9</v>
      </c>
      <c r="N292" s="45">
        <v>7.19</v>
      </c>
      <c r="O292" s="46">
        <f t="shared" si="173"/>
        <v>56.801</v>
      </c>
      <c r="P292" s="48"/>
      <c r="Q292" s="48"/>
      <c r="R292" s="78">
        <f t="shared" si="166"/>
        <v>31.0599152542373</v>
      </c>
      <c r="S292" s="78"/>
      <c r="T292" s="79">
        <f t="shared" si="167"/>
        <v>0.0610169491525424</v>
      </c>
      <c r="U292" s="78"/>
      <c r="V292" s="78"/>
      <c r="W292" s="80">
        <f t="shared" si="162"/>
        <v>31.1209322033898</v>
      </c>
      <c r="X292" s="81">
        <f t="shared" si="168"/>
        <v>0.784083050847458</v>
      </c>
      <c r="Y292" s="81"/>
      <c r="Z292" s="81"/>
      <c r="AA292" s="81">
        <f t="shared" si="158"/>
        <v>0.784083050847458</v>
      </c>
      <c r="AB292" s="90">
        <v>7.19</v>
      </c>
      <c r="AC292" s="78">
        <f t="shared" si="163"/>
        <v>5.63755713559322</v>
      </c>
      <c r="AD292" s="78">
        <f t="shared" si="164"/>
        <v>36.7584893389831</v>
      </c>
      <c r="AE292" s="78">
        <f t="shared" si="159"/>
        <v>20.0425106610169</v>
      </c>
    </row>
    <row r="293" customFormat="1" spans="1:31">
      <c r="A293" s="18"/>
      <c r="B293" s="19"/>
      <c r="C293" s="20">
        <v>240307000011</v>
      </c>
      <c r="D293" s="21">
        <v>45364</v>
      </c>
      <c r="E293" s="21" t="s">
        <v>47</v>
      </c>
      <c r="F293" s="19" t="s">
        <v>48</v>
      </c>
      <c r="G293" s="19" t="s">
        <v>213</v>
      </c>
      <c r="H293" s="19">
        <v>45.5</v>
      </c>
      <c r="I293" s="41">
        <v>2100</v>
      </c>
      <c r="J293" s="42"/>
      <c r="K293" s="43"/>
      <c r="L293" s="42"/>
      <c r="M293" s="44"/>
      <c r="N293" s="45"/>
      <c r="O293" s="46">
        <f t="shared" si="172"/>
        <v>2100</v>
      </c>
      <c r="P293" s="48"/>
      <c r="Q293" s="48"/>
      <c r="R293" s="78">
        <f t="shared" si="166"/>
        <v>1519.59800437397</v>
      </c>
      <c r="S293" s="78"/>
      <c r="T293" s="79">
        <f t="shared" si="167"/>
        <v>2.98523783488245</v>
      </c>
      <c r="U293" s="78"/>
      <c r="V293" s="78"/>
      <c r="W293" s="80">
        <f t="shared" si="162"/>
        <v>1522.58324220886</v>
      </c>
      <c r="X293" s="81">
        <f t="shared" si="168"/>
        <v>38.3610524876982</v>
      </c>
      <c r="Y293" s="81"/>
      <c r="Z293" s="81"/>
      <c r="AA293" s="81">
        <f t="shared" si="158"/>
        <v>38.3610524876982</v>
      </c>
      <c r="AB293" s="90">
        <v>7.19</v>
      </c>
      <c r="AC293" s="78">
        <f t="shared" si="163"/>
        <v>275.81596738655</v>
      </c>
      <c r="AD293" s="78">
        <f t="shared" si="164"/>
        <v>1798.39920959541</v>
      </c>
      <c r="AE293" s="78">
        <f t="shared" si="159"/>
        <v>301.600790404593</v>
      </c>
    </row>
    <row r="294" customFormat="1" spans="1:31">
      <c r="A294" s="18"/>
      <c r="B294" s="19"/>
      <c r="C294" s="22">
        <v>240307000013</v>
      </c>
      <c r="D294" s="23">
        <v>45364</v>
      </c>
      <c r="E294" s="21" t="s">
        <v>44</v>
      </c>
      <c r="F294" s="24" t="s">
        <v>45</v>
      </c>
      <c r="G294" s="24" t="s">
        <v>253</v>
      </c>
      <c r="H294" s="24">
        <v>2</v>
      </c>
      <c r="I294" s="41">
        <v>97</v>
      </c>
      <c r="J294" s="53"/>
      <c r="K294" s="51"/>
      <c r="L294" s="53"/>
      <c r="M294" s="44"/>
      <c r="N294" s="45"/>
      <c r="O294" s="46">
        <f t="shared" si="172"/>
        <v>97</v>
      </c>
      <c r="P294" s="48"/>
      <c r="Q294" s="48"/>
      <c r="R294" s="78">
        <f t="shared" si="166"/>
        <v>66.7955166757791</v>
      </c>
      <c r="S294" s="78"/>
      <c r="T294" s="79">
        <f t="shared" si="167"/>
        <v>0.131219245489338</v>
      </c>
      <c r="U294" s="78"/>
      <c r="V294" s="78"/>
      <c r="W294" s="80">
        <f t="shared" si="162"/>
        <v>66.9267359212684</v>
      </c>
      <c r="X294" s="81">
        <f t="shared" si="168"/>
        <v>1.68620010934937</v>
      </c>
      <c r="Y294" s="81"/>
      <c r="Z294" s="81"/>
      <c r="AA294" s="81">
        <f t="shared" si="158"/>
        <v>1.68620010934937</v>
      </c>
      <c r="AB294" s="90">
        <v>7.19</v>
      </c>
      <c r="AC294" s="78">
        <f t="shared" si="163"/>
        <v>12.123778786222</v>
      </c>
      <c r="AD294" s="78">
        <f t="shared" si="164"/>
        <v>79.0505147074904</v>
      </c>
      <c r="AE294" s="78">
        <f t="shared" si="159"/>
        <v>17.9494852925096</v>
      </c>
    </row>
    <row r="295" customFormat="1" spans="1:31">
      <c r="A295" s="18"/>
      <c r="B295" s="19"/>
      <c r="C295" s="20">
        <v>240307000015</v>
      </c>
      <c r="D295" s="21">
        <v>45364</v>
      </c>
      <c r="E295" s="21" t="s">
        <v>44</v>
      </c>
      <c r="F295" s="19" t="s">
        <v>254</v>
      </c>
      <c r="G295" s="19" t="s">
        <v>255</v>
      </c>
      <c r="H295" s="19">
        <v>2</v>
      </c>
      <c r="I295" s="46"/>
      <c r="J295" s="54">
        <v>19255.5</v>
      </c>
      <c r="K295" s="55"/>
      <c r="L295" s="50">
        <f>SUM(J295/M295)</f>
        <v>1405.51094890511</v>
      </c>
      <c r="M295" s="52">
        <v>13.7</v>
      </c>
      <c r="N295" s="45">
        <v>7.19</v>
      </c>
      <c r="O295" s="46">
        <f t="shared" si="173"/>
        <v>98.503</v>
      </c>
      <c r="P295" s="48"/>
      <c r="Q295" s="48"/>
      <c r="R295" s="78">
        <f t="shared" si="166"/>
        <v>66.7955166757791</v>
      </c>
      <c r="S295" s="78"/>
      <c r="T295" s="79">
        <f t="shared" si="167"/>
        <v>0.131219245489338</v>
      </c>
      <c r="U295" s="78"/>
      <c r="V295" s="78"/>
      <c r="W295" s="80">
        <f t="shared" si="162"/>
        <v>66.9267359212684</v>
      </c>
      <c r="X295" s="81">
        <f t="shared" si="168"/>
        <v>1.68620010934937</v>
      </c>
      <c r="Y295" s="81"/>
      <c r="Z295" s="81"/>
      <c r="AA295" s="81">
        <f t="shared" si="158"/>
        <v>1.68620010934937</v>
      </c>
      <c r="AB295" s="90">
        <v>7.19</v>
      </c>
      <c r="AC295" s="78">
        <f t="shared" si="163"/>
        <v>12.123778786222</v>
      </c>
      <c r="AD295" s="78">
        <f t="shared" si="164"/>
        <v>79.0505147074904</v>
      </c>
      <c r="AE295" s="78">
        <f t="shared" si="159"/>
        <v>19.4524852925096</v>
      </c>
    </row>
    <row r="296" customFormat="1" spans="1:31">
      <c r="A296" s="18"/>
      <c r="B296" s="19"/>
      <c r="C296" s="20">
        <v>240307000016</v>
      </c>
      <c r="D296" s="21">
        <v>45364</v>
      </c>
      <c r="E296" s="21" t="s">
        <v>41</v>
      </c>
      <c r="F296" s="19" t="s">
        <v>42</v>
      </c>
      <c r="G296" s="19" t="s">
        <v>151</v>
      </c>
      <c r="H296" s="19">
        <v>2.5</v>
      </c>
      <c r="I296" s="46"/>
      <c r="J296" s="54">
        <v>27200</v>
      </c>
      <c r="K296" s="55"/>
      <c r="L296" s="50">
        <f>SUM(J296/M296)</f>
        <v>1600</v>
      </c>
      <c r="M296" s="52">
        <v>17</v>
      </c>
      <c r="N296" s="45">
        <v>7.19</v>
      </c>
      <c r="O296" s="46">
        <f t="shared" si="173"/>
        <v>122.23</v>
      </c>
      <c r="P296" s="48"/>
      <c r="Q296" s="48"/>
      <c r="R296" s="78">
        <f t="shared" si="166"/>
        <v>83.4943958447239</v>
      </c>
      <c r="S296" s="78"/>
      <c r="T296" s="79">
        <f t="shared" si="167"/>
        <v>0.164024056861673</v>
      </c>
      <c r="U296" s="78"/>
      <c r="V296" s="78"/>
      <c r="W296" s="80">
        <f t="shared" si="162"/>
        <v>83.6584199015856</v>
      </c>
      <c r="X296" s="81">
        <f t="shared" si="168"/>
        <v>2.10775013668671</v>
      </c>
      <c r="Y296" s="81"/>
      <c r="Z296" s="81"/>
      <c r="AA296" s="81">
        <f t="shared" si="158"/>
        <v>2.10775013668671</v>
      </c>
      <c r="AB296" s="90">
        <v>7.19</v>
      </c>
      <c r="AC296" s="78">
        <f t="shared" si="163"/>
        <v>15.1547234827775</v>
      </c>
      <c r="AD296" s="78">
        <f t="shared" si="164"/>
        <v>98.813143384363</v>
      </c>
      <c r="AE296" s="78">
        <f t="shared" si="159"/>
        <v>23.416856615637</v>
      </c>
    </row>
    <row r="297" customFormat="1" spans="1:31">
      <c r="A297" s="18"/>
      <c r="B297" s="19"/>
      <c r="C297" s="20">
        <v>240307000017</v>
      </c>
      <c r="D297" s="21">
        <v>45364</v>
      </c>
      <c r="E297" s="21" t="s">
        <v>44</v>
      </c>
      <c r="F297" s="19" t="s">
        <v>254</v>
      </c>
      <c r="G297" s="19" t="s">
        <v>255</v>
      </c>
      <c r="H297" s="19">
        <v>3.5</v>
      </c>
      <c r="I297" s="46"/>
      <c r="J297" s="54">
        <v>33693</v>
      </c>
      <c r="K297" s="55"/>
      <c r="L297" s="50">
        <f>SUM(J297/M297)</f>
        <v>1650</v>
      </c>
      <c r="M297" s="52">
        <v>20.42</v>
      </c>
      <c r="N297" s="45">
        <v>7.19</v>
      </c>
      <c r="O297" s="46">
        <f t="shared" si="173"/>
        <v>146.8198</v>
      </c>
      <c r="P297" s="48"/>
      <c r="Q297" s="48"/>
      <c r="R297" s="78">
        <f t="shared" si="166"/>
        <v>116.892154182613</v>
      </c>
      <c r="S297" s="78"/>
      <c r="T297" s="79">
        <f t="shared" si="167"/>
        <v>0.229633679606342</v>
      </c>
      <c r="U297" s="78"/>
      <c r="V297" s="78"/>
      <c r="W297" s="80">
        <f t="shared" si="162"/>
        <v>117.12178786222</v>
      </c>
      <c r="X297" s="81">
        <f t="shared" si="168"/>
        <v>2.9508501913614</v>
      </c>
      <c r="Y297" s="81"/>
      <c r="Z297" s="81"/>
      <c r="AA297" s="81">
        <f t="shared" si="158"/>
        <v>2.9508501913614</v>
      </c>
      <c r="AB297" s="90">
        <v>7.19</v>
      </c>
      <c r="AC297" s="78">
        <f t="shared" si="163"/>
        <v>21.2166128758885</v>
      </c>
      <c r="AD297" s="78">
        <f t="shared" si="164"/>
        <v>138.338400738108</v>
      </c>
      <c r="AE297" s="78">
        <f t="shared" si="159"/>
        <v>8.48139926189174</v>
      </c>
    </row>
    <row r="298" customFormat="1" spans="1:31">
      <c r="A298" s="18"/>
      <c r="B298" s="19"/>
      <c r="C298" s="20">
        <v>240307000026</v>
      </c>
      <c r="D298" s="21">
        <v>45364</v>
      </c>
      <c r="E298" s="21" t="s">
        <v>47</v>
      </c>
      <c r="F298" s="19" t="s">
        <v>48</v>
      </c>
      <c r="G298" s="19" t="s">
        <v>256</v>
      </c>
      <c r="H298" s="19">
        <v>92</v>
      </c>
      <c r="I298" s="41">
        <v>4188</v>
      </c>
      <c r="J298" s="42"/>
      <c r="K298" s="43"/>
      <c r="L298" s="42"/>
      <c r="M298" s="44"/>
      <c r="N298" s="45"/>
      <c r="O298" s="46">
        <f t="shared" ref="O298:O301" si="174">SUM(I298)</f>
        <v>4188</v>
      </c>
      <c r="P298" s="48"/>
      <c r="Q298" s="48"/>
      <c r="R298" s="78">
        <f t="shared" si="166"/>
        <v>3072.59376708584</v>
      </c>
      <c r="S298" s="78"/>
      <c r="T298" s="79">
        <f t="shared" si="167"/>
        <v>6.03608529250957</v>
      </c>
      <c r="U298" s="78"/>
      <c r="V298" s="78"/>
      <c r="W298" s="80">
        <f t="shared" si="162"/>
        <v>3078.62985237835</v>
      </c>
      <c r="X298" s="81">
        <f t="shared" si="168"/>
        <v>77.5652050300711</v>
      </c>
      <c r="Y298" s="81"/>
      <c r="Z298" s="81"/>
      <c r="AA298" s="81">
        <f t="shared" si="158"/>
        <v>77.5652050300711</v>
      </c>
      <c r="AB298" s="90">
        <v>7.19</v>
      </c>
      <c r="AC298" s="78">
        <f t="shared" si="163"/>
        <v>557.693824166211</v>
      </c>
      <c r="AD298" s="78">
        <f t="shared" si="164"/>
        <v>3636.32367654456</v>
      </c>
      <c r="AE298" s="78">
        <f t="shared" si="159"/>
        <v>551.67632345544</v>
      </c>
    </row>
    <row r="299" customFormat="1" spans="1:31">
      <c r="A299" s="18"/>
      <c r="B299" s="19"/>
      <c r="C299" s="20">
        <v>240307000027</v>
      </c>
      <c r="D299" s="21">
        <v>45364</v>
      </c>
      <c r="E299" s="21" t="s">
        <v>37</v>
      </c>
      <c r="F299" s="19" t="s">
        <v>38</v>
      </c>
      <c r="G299" s="19" t="s">
        <v>257</v>
      </c>
      <c r="H299" s="19">
        <v>118</v>
      </c>
      <c r="I299" s="41">
        <v>5428</v>
      </c>
      <c r="J299" s="53"/>
      <c r="K299" s="51"/>
      <c r="L299" s="53"/>
      <c r="M299" s="44"/>
      <c r="N299" s="45"/>
      <c r="O299" s="46">
        <f t="shared" si="174"/>
        <v>5428</v>
      </c>
      <c r="P299" s="48"/>
      <c r="Q299" s="48"/>
      <c r="R299" s="78">
        <f t="shared" si="166"/>
        <v>3940.93548387097</v>
      </c>
      <c r="S299" s="78"/>
      <c r="T299" s="79">
        <f t="shared" si="167"/>
        <v>7.74193548387097</v>
      </c>
      <c r="U299" s="78"/>
      <c r="V299" s="78"/>
      <c r="W299" s="80">
        <f t="shared" si="162"/>
        <v>3948.67741935484</v>
      </c>
      <c r="X299" s="81">
        <f t="shared" si="168"/>
        <v>99.4858064516129</v>
      </c>
      <c r="Y299" s="81"/>
      <c r="Z299" s="81"/>
      <c r="AA299" s="81">
        <f t="shared" si="158"/>
        <v>99.4858064516129</v>
      </c>
      <c r="AB299" s="90">
        <v>7.19</v>
      </c>
      <c r="AC299" s="78">
        <f t="shared" si="163"/>
        <v>715.302948387097</v>
      </c>
      <c r="AD299" s="78">
        <f t="shared" si="164"/>
        <v>4663.98036774193</v>
      </c>
      <c r="AE299" s="78">
        <f t="shared" si="159"/>
        <v>764.019632258065</v>
      </c>
    </row>
    <row r="300" customFormat="1" spans="1:31">
      <c r="A300" s="18"/>
      <c r="B300" s="19"/>
      <c r="C300" s="20">
        <v>240307000028</v>
      </c>
      <c r="D300" s="21">
        <v>45364</v>
      </c>
      <c r="E300" s="21" t="s">
        <v>37</v>
      </c>
      <c r="F300" s="19" t="s">
        <v>38</v>
      </c>
      <c r="G300" s="19" t="s">
        <v>258</v>
      </c>
      <c r="H300" s="19">
        <v>6.5</v>
      </c>
      <c r="I300" s="41">
        <v>292</v>
      </c>
      <c r="J300" s="42"/>
      <c r="K300" s="43"/>
      <c r="L300" s="42"/>
      <c r="M300" s="44"/>
      <c r="N300" s="45"/>
      <c r="O300" s="46">
        <f t="shared" si="174"/>
        <v>292</v>
      </c>
      <c r="P300" s="48"/>
      <c r="Q300" s="48"/>
      <c r="R300" s="78">
        <f t="shared" si="166"/>
        <v>217.085429196282</v>
      </c>
      <c r="S300" s="78"/>
      <c r="T300" s="79">
        <f t="shared" si="167"/>
        <v>0.42646254784035</v>
      </c>
      <c r="U300" s="78"/>
      <c r="V300" s="78"/>
      <c r="W300" s="80">
        <f t="shared" si="162"/>
        <v>217.511891744122</v>
      </c>
      <c r="X300" s="81">
        <f t="shared" si="168"/>
        <v>5.48015035538546</v>
      </c>
      <c r="Y300" s="81"/>
      <c r="Z300" s="81"/>
      <c r="AA300" s="81">
        <f t="shared" si="158"/>
        <v>5.48015035538546</v>
      </c>
      <c r="AB300" s="90">
        <v>7.19</v>
      </c>
      <c r="AC300" s="78">
        <f t="shared" si="163"/>
        <v>39.4022810552214</v>
      </c>
      <c r="AD300" s="78">
        <f t="shared" si="164"/>
        <v>256.914172799344</v>
      </c>
      <c r="AE300" s="78">
        <f t="shared" si="159"/>
        <v>35.0858272006561</v>
      </c>
    </row>
    <row r="301" customFormat="1" spans="1:31">
      <c r="A301" s="18"/>
      <c r="B301" s="19"/>
      <c r="C301" s="20">
        <v>240307000029</v>
      </c>
      <c r="D301" s="21">
        <v>45364</v>
      </c>
      <c r="E301" s="21" t="s">
        <v>37</v>
      </c>
      <c r="F301" s="19" t="s">
        <v>38</v>
      </c>
      <c r="G301" s="19" t="s">
        <v>259</v>
      </c>
      <c r="H301" s="19">
        <v>1.5</v>
      </c>
      <c r="I301" s="41">
        <v>82.5</v>
      </c>
      <c r="J301" s="42"/>
      <c r="K301" s="43"/>
      <c r="L301" s="42"/>
      <c r="M301" s="44"/>
      <c r="N301" s="45"/>
      <c r="O301" s="46">
        <f t="shared" si="174"/>
        <v>82.5</v>
      </c>
      <c r="P301" s="48"/>
      <c r="Q301" s="48"/>
      <c r="R301" s="78">
        <f t="shared" si="166"/>
        <v>50.0966375068343</v>
      </c>
      <c r="S301" s="78"/>
      <c r="T301" s="79">
        <f t="shared" si="167"/>
        <v>0.0984144341170038</v>
      </c>
      <c r="U301" s="78"/>
      <c r="V301" s="78"/>
      <c r="W301" s="80">
        <f t="shared" si="162"/>
        <v>50.1950519409513</v>
      </c>
      <c r="X301" s="81">
        <f t="shared" si="168"/>
        <v>1.26465008201203</v>
      </c>
      <c r="Y301" s="81"/>
      <c r="Z301" s="81"/>
      <c r="AA301" s="81">
        <f t="shared" si="158"/>
        <v>1.26465008201203</v>
      </c>
      <c r="AB301" s="90">
        <v>7.19</v>
      </c>
      <c r="AC301" s="78">
        <f t="shared" si="163"/>
        <v>9.09283408966648</v>
      </c>
      <c r="AD301" s="78">
        <f t="shared" si="164"/>
        <v>59.2878860306178</v>
      </c>
      <c r="AE301" s="78">
        <f t="shared" si="159"/>
        <v>23.2121139693822</v>
      </c>
    </row>
    <row r="302" customFormat="1" spans="1:31">
      <c r="A302" s="18"/>
      <c r="B302" s="19"/>
      <c r="C302" s="20">
        <v>240307000036</v>
      </c>
      <c r="D302" s="21">
        <v>45364</v>
      </c>
      <c r="E302" s="21" t="s">
        <v>44</v>
      </c>
      <c r="F302" s="19" t="s">
        <v>45</v>
      </c>
      <c r="G302" s="19" t="s">
        <v>158</v>
      </c>
      <c r="H302" s="19">
        <v>14.5</v>
      </c>
      <c r="I302" s="49"/>
      <c r="J302" s="50">
        <v>143612</v>
      </c>
      <c r="K302" s="51"/>
      <c r="L302" s="50">
        <f t="shared" ref="L302:L305" si="175">SUM(J302/M302)</f>
        <v>1603.52836087539</v>
      </c>
      <c r="M302" s="52">
        <v>89.56</v>
      </c>
      <c r="N302" s="45">
        <v>7.19</v>
      </c>
      <c r="O302" s="46">
        <f t="shared" ref="O302:O305" si="176">SUM(M302*N302)</f>
        <v>643.9364</v>
      </c>
      <c r="P302" s="48"/>
      <c r="Q302" s="48"/>
      <c r="R302" s="78">
        <f t="shared" si="166"/>
        <v>484.267495899399</v>
      </c>
      <c r="S302" s="78"/>
      <c r="T302" s="79">
        <f t="shared" si="167"/>
        <v>0.951339529797704</v>
      </c>
      <c r="U302" s="78"/>
      <c r="V302" s="78"/>
      <c r="W302" s="80">
        <f t="shared" si="162"/>
        <v>485.218835429196</v>
      </c>
      <c r="X302" s="81">
        <f t="shared" si="168"/>
        <v>12.2249507927829</v>
      </c>
      <c r="Y302" s="81"/>
      <c r="Z302" s="81"/>
      <c r="AA302" s="81">
        <f t="shared" si="158"/>
        <v>12.2249507927829</v>
      </c>
      <c r="AB302" s="90">
        <v>7.19</v>
      </c>
      <c r="AC302" s="78">
        <f t="shared" si="163"/>
        <v>87.8973962001094</v>
      </c>
      <c r="AD302" s="78">
        <f t="shared" si="164"/>
        <v>573.116231629306</v>
      </c>
      <c r="AE302" s="78">
        <f t="shared" si="159"/>
        <v>70.8201683706944</v>
      </c>
    </row>
    <row r="303" customFormat="1" spans="1:31">
      <c r="A303" s="18"/>
      <c r="B303" s="19"/>
      <c r="C303" s="20">
        <v>240307000038</v>
      </c>
      <c r="D303" s="21">
        <v>45364</v>
      </c>
      <c r="E303" s="21" t="s">
        <v>44</v>
      </c>
      <c r="F303" s="19" t="s">
        <v>45</v>
      </c>
      <c r="G303" s="19" t="s">
        <v>231</v>
      </c>
      <c r="H303" s="19">
        <v>18</v>
      </c>
      <c r="I303" s="49"/>
      <c r="J303" s="50">
        <v>202038</v>
      </c>
      <c r="K303" s="51"/>
      <c r="L303" s="50">
        <f t="shared" si="175"/>
        <v>1603.47619047619</v>
      </c>
      <c r="M303" s="52">
        <v>126</v>
      </c>
      <c r="N303" s="45">
        <v>7.19</v>
      </c>
      <c r="O303" s="46">
        <f t="shared" si="176"/>
        <v>905.94</v>
      </c>
      <c r="P303" s="48"/>
      <c r="Q303" s="48"/>
      <c r="R303" s="78">
        <f t="shared" si="166"/>
        <v>601.159650082012</v>
      </c>
      <c r="S303" s="78"/>
      <c r="T303" s="79">
        <f t="shared" si="167"/>
        <v>1.18097320940405</v>
      </c>
      <c r="U303" s="78"/>
      <c r="V303" s="78"/>
      <c r="W303" s="80">
        <f t="shared" si="162"/>
        <v>602.340623291416</v>
      </c>
      <c r="X303" s="81">
        <f t="shared" si="168"/>
        <v>15.1758009841443</v>
      </c>
      <c r="Y303" s="81"/>
      <c r="Z303" s="81"/>
      <c r="AA303" s="81">
        <f t="shared" ref="AA303:AA324" si="177">SUM(X303:Z303)</f>
        <v>15.1758009841443</v>
      </c>
      <c r="AB303" s="90">
        <v>7.19</v>
      </c>
      <c r="AC303" s="78">
        <f t="shared" si="163"/>
        <v>109.114009075998</v>
      </c>
      <c r="AD303" s="78">
        <f t="shared" si="164"/>
        <v>711.454632367414</v>
      </c>
      <c r="AE303" s="78">
        <f t="shared" ref="AE303:AE324" si="178">SUM(O303-AD303)</f>
        <v>194.485367632586</v>
      </c>
    </row>
    <row r="304" customFormat="1" spans="1:31">
      <c r="A304" s="18"/>
      <c r="B304" s="19"/>
      <c r="C304" s="20">
        <v>240307000041</v>
      </c>
      <c r="D304" s="21">
        <v>45364</v>
      </c>
      <c r="E304" s="21" t="s">
        <v>85</v>
      </c>
      <c r="F304" s="19" t="s">
        <v>260</v>
      </c>
      <c r="G304" s="19" t="s">
        <v>261</v>
      </c>
      <c r="H304" s="19">
        <v>23.5</v>
      </c>
      <c r="I304" s="46"/>
      <c r="J304" s="54">
        <v>293000</v>
      </c>
      <c r="K304" s="55"/>
      <c r="L304" s="50">
        <f t="shared" si="175"/>
        <v>1956.98637456586</v>
      </c>
      <c r="M304" s="52">
        <v>149.72</v>
      </c>
      <c r="N304" s="45">
        <v>7.19</v>
      </c>
      <c r="O304" s="46">
        <f t="shared" si="176"/>
        <v>1076.4868</v>
      </c>
      <c r="P304" s="48"/>
      <c r="Q304" s="48"/>
      <c r="R304" s="78">
        <f t="shared" si="166"/>
        <v>784.847320940405</v>
      </c>
      <c r="S304" s="78"/>
      <c r="T304" s="79">
        <f t="shared" si="167"/>
        <v>1.54182613449973</v>
      </c>
      <c r="U304" s="78"/>
      <c r="V304" s="78"/>
      <c r="W304" s="80">
        <f t="shared" ref="W304:W324" si="179">SUM(R304:V304)</f>
        <v>786.389147074904</v>
      </c>
      <c r="X304" s="81">
        <f t="shared" si="168"/>
        <v>19.8128512848551</v>
      </c>
      <c r="Y304" s="81"/>
      <c r="Z304" s="81"/>
      <c r="AA304" s="81">
        <f t="shared" si="177"/>
        <v>19.8128512848551</v>
      </c>
      <c r="AB304" s="90">
        <v>7.19</v>
      </c>
      <c r="AC304" s="78">
        <f t="shared" ref="AC304:AC324" si="180">SUM(AA304*AB304)</f>
        <v>142.454400738108</v>
      </c>
      <c r="AD304" s="78">
        <f t="shared" ref="AD304:AD324" si="181">SUM(W304+AC304)</f>
        <v>928.843547813012</v>
      </c>
      <c r="AE304" s="78">
        <f t="shared" si="178"/>
        <v>147.643252186987</v>
      </c>
    </row>
    <row r="305" customFormat="1" spans="1:31">
      <c r="A305" s="18"/>
      <c r="B305" s="19"/>
      <c r="C305" s="20">
        <v>240307000042</v>
      </c>
      <c r="D305" s="21">
        <v>45364</v>
      </c>
      <c r="E305" s="21" t="s">
        <v>44</v>
      </c>
      <c r="F305" s="19" t="s">
        <v>45</v>
      </c>
      <c r="G305" s="19" t="s">
        <v>231</v>
      </c>
      <c r="H305" s="19">
        <v>104</v>
      </c>
      <c r="I305" s="49"/>
      <c r="J305" s="50">
        <v>1090024</v>
      </c>
      <c r="K305" s="51"/>
      <c r="L305" s="50">
        <f t="shared" si="175"/>
        <v>1603.37731491696</v>
      </c>
      <c r="M305" s="52">
        <v>679.83</v>
      </c>
      <c r="N305" s="45">
        <v>7.19</v>
      </c>
      <c r="O305" s="46">
        <f t="shared" si="176"/>
        <v>4887.9777</v>
      </c>
      <c r="P305" s="48"/>
      <c r="Q305" s="48"/>
      <c r="R305" s="78">
        <f t="shared" si="166"/>
        <v>3473.36686714051</v>
      </c>
      <c r="S305" s="78"/>
      <c r="T305" s="79">
        <f t="shared" si="167"/>
        <v>6.8234007654456</v>
      </c>
      <c r="U305" s="78"/>
      <c r="V305" s="78"/>
      <c r="W305" s="80">
        <f t="shared" si="179"/>
        <v>3480.19026790596</v>
      </c>
      <c r="X305" s="81">
        <f t="shared" si="168"/>
        <v>87.6824056861673</v>
      </c>
      <c r="Y305" s="81"/>
      <c r="Z305" s="81"/>
      <c r="AA305" s="81">
        <f t="shared" si="177"/>
        <v>87.6824056861673</v>
      </c>
      <c r="AB305" s="90">
        <v>7.19</v>
      </c>
      <c r="AC305" s="78">
        <f t="shared" si="180"/>
        <v>630.436496883543</v>
      </c>
      <c r="AD305" s="78">
        <f t="shared" si="181"/>
        <v>4110.6267647895</v>
      </c>
      <c r="AE305" s="78">
        <f t="shared" si="178"/>
        <v>777.350935210498</v>
      </c>
    </row>
    <row r="306" customFormat="1" spans="1:31">
      <c r="A306" s="18"/>
      <c r="B306" s="19"/>
      <c r="C306" s="20">
        <v>240308000001</v>
      </c>
      <c r="D306" s="21">
        <v>45364</v>
      </c>
      <c r="E306" s="21" t="s">
        <v>47</v>
      </c>
      <c r="F306" s="19" t="s">
        <v>128</v>
      </c>
      <c r="G306" s="19" t="s">
        <v>129</v>
      </c>
      <c r="H306" s="19">
        <v>27</v>
      </c>
      <c r="I306" s="41">
        <v>1278</v>
      </c>
      <c r="J306" s="42"/>
      <c r="K306" s="43"/>
      <c r="L306" s="42"/>
      <c r="M306" s="44"/>
      <c r="N306" s="45"/>
      <c r="O306" s="46">
        <f t="shared" ref="O306:O312" si="182">SUM(I306)</f>
        <v>1278</v>
      </c>
      <c r="P306" s="48"/>
      <c r="Q306" s="48"/>
      <c r="R306" s="78">
        <f t="shared" ref="R306:R324" si="183">SUM(61084.5/1829)*H306</f>
        <v>901.739475123018</v>
      </c>
      <c r="S306" s="78"/>
      <c r="T306" s="79">
        <f t="shared" ref="T306:T324" si="184">SUM(120/1829)*H306</f>
        <v>1.77145981410607</v>
      </c>
      <c r="U306" s="78"/>
      <c r="V306" s="78"/>
      <c r="W306" s="80">
        <f t="shared" si="179"/>
        <v>903.510934937124</v>
      </c>
      <c r="X306" s="81">
        <f t="shared" ref="X306:X324" si="185">SUM(1542.03/1829)*H306</f>
        <v>22.7637014762165</v>
      </c>
      <c r="Y306" s="81"/>
      <c r="Z306" s="81"/>
      <c r="AA306" s="81">
        <f t="shared" si="177"/>
        <v>22.7637014762165</v>
      </c>
      <c r="AB306" s="90">
        <v>7.19</v>
      </c>
      <c r="AC306" s="78">
        <f t="shared" si="180"/>
        <v>163.671013613997</v>
      </c>
      <c r="AD306" s="78">
        <f t="shared" si="181"/>
        <v>1067.18194855112</v>
      </c>
      <c r="AE306" s="78">
        <f t="shared" si="178"/>
        <v>210.818051448879</v>
      </c>
    </row>
    <row r="307" customFormat="1" spans="1:31">
      <c r="A307" s="18"/>
      <c r="B307" s="19"/>
      <c r="C307" s="20">
        <v>240308000004</v>
      </c>
      <c r="D307" s="21">
        <v>45364</v>
      </c>
      <c r="E307" s="21" t="s">
        <v>37</v>
      </c>
      <c r="F307" s="19" t="s">
        <v>38</v>
      </c>
      <c r="G307" s="19" t="s">
        <v>262</v>
      </c>
      <c r="H307" s="19">
        <v>61</v>
      </c>
      <c r="I307" s="41">
        <v>2829</v>
      </c>
      <c r="J307" s="42"/>
      <c r="K307" s="43"/>
      <c r="L307" s="42"/>
      <c r="M307" s="44"/>
      <c r="N307" s="45"/>
      <c r="O307" s="46">
        <f t="shared" si="182"/>
        <v>2829</v>
      </c>
      <c r="P307" s="48"/>
      <c r="Q307" s="48"/>
      <c r="R307" s="78">
        <f t="shared" si="183"/>
        <v>2037.26325861126</v>
      </c>
      <c r="S307" s="78"/>
      <c r="T307" s="79">
        <f t="shared" si="184"/>
        <v>4.00218698742482</v>
      </c>
      <c r="U307" s="78"/>
      <c r="V307" s="78"/>
      <c r="W307" s="80">
        <f t="shared" si="179"/>
        <v>2041.26544559869</v>
      </c>
      <c r="X307" s="81">
        <f t="shared" si="185"/>
        <v>51.4291033351558</v>
      </c>
      <c r="Y307" s="81"/>
      <c r="Z307" s="81"/>
      <c r="AA307" s="81">
        <f t="shared" si="177"/>
        <v>51.4291033351558</v>
      </c>
      <c r="AB307" s="90">
        <v>7.19</v>
      </c>
      <c r="AC307" s="78">
        <f t="shared" si="180"/>
        <v>369.77525297977</v>
      </c>
      <c r="AD307" s="78">
        <f t="shared" si="181"/>
        <v>2411.04069857846</v>
      </c>
      <c r="AE307" s="78">
        <f t="shared" si="178"/>
        <v>417.959301421542</v>
      </c>
    </row>
    <row r="308" customFormat="1" spans="1:31">
      <c r="A308" s="18"/>
      <c r="B308" s="19"/>
      <c r="C308" s="20">
        <v>240308000005</v>
      </c>
      <c r="D308" s="21">
        <v>45364</v>
      </c>
      <c r="E308" s="21" t="s">
        <v>41</v>
      </c>
      <c r="F308" s="19" t="s">
        <v>42</v>
      </c>
      <c r="G308" s="19" t="s">
        <v>60</v>
      </c>
      <c r="H308" s="19">
        <v>45.5</v>
      </c>
      <c r="I308" s="46"/>
      <c r="J308" s="54">
        <v>728000</v>
      </c>
      <c r="K308" s="55"/>
      <c r="L308" s="50">
        <f>SUM(J308/M308)</f>
        <v>1600</v>
      </c>
      <c r="M308" s="52">
        <v>455</v>
      </c>
      <c r="N308" s="45">
        <v>7.19</v>
      </c>
      <c r="O308" s="46">
        <f>SUM(M308*N308)</f>
        <v>3271.45</v>
      </c>
      <c r="P308" s="48"/>
      <c r="Q308" s="48"/>
      <c r="R308" s="78">
        <f t="shared" si="183"/>
        <v>1519.59800437397</v>
      </c>
      <c r="S308" s="78"/>
      <c r="T308" s="79">
        <f t="shared" si="184"/>
        <v>2.98523783488245</v>
      </c>
      <c r="U308" s="78"/>
      <c r="V308" s="79">
        <v>65</v>
      </c>
      <c r="W308" s="80">
        <f t="shared" si="179"/>
        <v>1587.58324220886</v>
      </c>
      <c r="X308" s="81">
        <f t="shared" si="185"/>
        <v>38.3610524876982</v>
      </c>
      <c r="Y308" s="81"/>
      <c r="Z308" s="81"/>
      <c r="AA308" s="81">
        <f t="shared" si="177"/>
        <v>38.3610524876982</v>
      </c>
      <c r="AB308" s="90">
        <v>7.19</v>
      </c>
      <c r="AC308" s="78">
        <f t="shared" si="180"/>
        <v>275.81596738655</v>
      </c>
      <c r="AD308" s="78">
        <f t="shared" si="181"/>
        <v>1863.39920959541</v>
      </c>
      <c r="AE308" s="78">
        <f t="shared" si="178"/>
        <v>1408.05079040459</v>
      </c>
    </row>
    <row r="309" customFormat="1" spans="1:31">
      <c r="A309" s="18"/>
      <c r="B309" s="19"/>
      <c r="C309" s="20">
        <v>240308000006</v>
      </c>
      <c r="D309" s="21">
        <v>45364</v>
      </c>
      <c r="E309" s="21" t="s">
        <v>47</v>
      </c>
      <c r="F309" s="19" t="s">
        <v>48</v>
      </c>
      <c r="G309" s="19" t="s">
        <v>137</v>
      </c>
      <c r="H309" s="19">
        <v>11</v>
      </c>
      <c r="I309" s="41">
        <v>490</v>
      </c>
      <c r="J309" s="42"/>
      <c r="K309" s="43"/>
      <c r="L309" s="42"/>
      <c r="M309" s="44"/>
      <c r="N309" s="45"/>
      <c r="O309" s="46">
        <f t="shared" si="182"/>
        <v>490</v>
      </c>
      <c r="P309" s="48"/>
      <c r="Q309" s="48"/>
      <c r="R309" s="78">
        <f t="shared" si="183"/>
        <v>367.375341716785</v>
      </c>
      <c r="S309" s="78"/>
      <c r="T309" s="79">
        <f t="shared" si="184"/>
        <v>0.721705850191361</v>
      </c>
      <c r="U309" s="78"/>
      <c r="V309" s="78"/>
      <c r="W309" s="80">
        <f t="shared" si="179"/>
        <v>368.097047566976</v>
      </c>
      <c r="X309" s="81">
        <f t="shared" si="185"/>
        <v>9.27410060142154</v>
      </c>
      <c r="Y309" s="81"/>
      <c r="Z309" s="81"/>
      <c r="AA309" s="81">
        <f t="shared" si="177"/>
        <v>9.27410060142154</v>
      </c>
      <c r="AB309" s="90">
        <v>7.19</v>
      </c>
      <c r="AC309" s="78">
        <f t="shared" si="180"/>
        <v>66.6807833242209</v>
      </c>
      <c r="AD309" s="78">
        <f t="shared" si="181"/>
        <v>434.777830891197</v>
      </c>
      <c r="AE309" s="78">
        <f t="shared" si="178"/>
        <v>55.2221691088026</v>
      </c>
    </row>
    <row r="310" customFormat="1" spans="1:31">
      <c r="A310" s="18"/>
      <c r="B310" s="19"/>
      <c r="C310" s="20">
        <v>240308000009</v>
      </c>
      <c r="D310" s="21">
        <v>45364</v>
      </c>
      <c r="E310" s="21" t="s">
        <v>44</v>
      </c>
      <c r="F310" s="19" t="s">
        <v>45</v>
      </c>
      <c r="G310" s="19" t="s">
        <v>164</v>
      </c>
      <c r="H310" s="19">
        <v>3.5</v>
      </c>
      <c r="I310" s="41">
        <v>175</v>
      </c>
      <c r="J310" s="53"/>
      <c r="K310" s="51"/>
      <c r="L310" s="53"/>
      <c r="M310" s="44"/>
      <c r="N310" s="45"/>
      <c r="O310" s="46">
        <f t="shared" si="182"/>
        <v>175</v>
      </c>
      <c r="P310" s="48"/>
      <c r="Q310" s="48"/>
      <c r="R310" s="78">
        <f t="shared" si="183"/>
        <v>116.892154182613</v>
      </c>
      <c r="S310" s="78"/>
      <c r="T310" s="79">
        <f t="shared" si="184"/>
        <v>0.229633679606342</v>
      </c>
      <c r="U310" s="78"/>
      <c r="V310" s="78"/>
      <c r="W310" s="80">
        <f t="shared" si="179"/>
        <v>117.12178786222</v>
      </c>
      <c r="X310" s="81">
        <f t="shared" si="185"/>
        <v>2.9508501913614</v>
      </c>
      <c r="Y310" s="81"/>
      <c r="Z310" s="81"/>
      <c r="AA310" s="81">
        <f t="shared" si="177"/>
        <v>2.9508501913614</v>
      </c>
      <c r="AB310" s="90">
        <v>7.19</v>
      </c>
      <c r="AC310" s="78">
        <f t="shared" si="180"/>
        <v>21.2166128758885</v>
      </c>
      <c r="AD310" s="78">
        <f t="shared" si="181"/>
        <v>138.338400738108</v>
      </c>
      <c r="AE310" s="78">
        <f t="shared" si="178"/>
        <v>36.6615992618918</v>
      </c>
    </row>
    <row r="311" customFormat="1" spans="1:31">
      <c r="A311" s="18"/>
      <c r="B311" s="19"/>
      <c r="C311" s="20">
        <v>240308000018</v>
      </c>
      <c r="D311" s="21">
        <v>45364</v>
      </c>
      <c r="E311" s="21" t="s">
        <v>44</v>
      </c>
      <c r="F311" s="19" t="s">
        <v>45</v>
      </c>
      <c r="G311" s="19" t="s">
        <v>263</v>
      </c>
      <c r="H311" s="19">
        <v>16</v>
      </c>
      <c r="I311" s="41">
        <v>836</v>
      </c>
      <c r="J311" s="53"/>
      <c r="K311" s="51"/>
      <c r="L311" s="53"/>
      <c r="M311" s="44"/>
      <c r="N311" s="45"/>
      <c r="O311" s="46">
        <f t="shared" si="182"/>
        <v>836</v>
      </c>
      <c r="P311" s="48"/>
      <c r="Q311" s="48"/>
      <c r="R311" s="78">
        <f t="shared" si="183"/>
        <v>534.364133406233</v>
      </c>
      <c r="S311" s="78"/>
      <c r="T311" s="79">
        <f t="shared" si="184"/>
        <v>1.04975396391471</v>
      </c>
      <c r="U311" s="78">
        <v>30</v>
      </c>
      <c r="V311" s="78"/>
      <c r="W311" s="80">
        <f t="shared" si="179"/>
        <v>565.413887370148</v>
      </c>
      <c r="X311" s="81">
        <f t="shared" si="185"/>
        <v>13.489600874795</v>
      </c>
      <c r="Y311" s="81"/>
      <c r="Z311" s="81"/>
      <c r="AA311" s="81">
        <f t="shared" si="177"/>
        <v>13.489600874795</v>
      </c>
      <c r="AB311" s="90">
        <v>7.19</v>
      </c>
      <c r="AC311" s="78">
        <f t="shared" si="180"/>
        <v>96.9902302897758</v>
      </c>
      <c r="AD311" s="78">
        <f t="shared" si="181"/>
        <v>662.404117659923</v>
      </c>
      <c r="AE311" s="78">
        <f t="shared" si="178"/>
        <v>173.595882340077</v>
      </c>
    </row>
    <row r="312" customFormat="1" spans="1:31">
      <c r="A312" s="18"/>
      <c r="B312" s="19"/>
      <c r="C312" s="20">
        <v>240308000020</v>
      </c>
      <c r="D312" s="21">
        <v>45364</v>
      </c>
      <c r="E312" s="21" t="s">
        <v>70</v>
      </c>
      <c r="F312" s="19" t="s">
        <v>70</v>
      </c>
      <c r="G312" s="19" t="s">
        <v>264</v>
      </c>
      <c r="H312" s="19">
        <v>56</v>
      </c>
      <c r="I312" s="41">
        <v>2360</v>
      </c>
      <c r="J312" s="53"/>
      <c r="K312" s="51"/>
      <c r="L312" s="53"/>
      <c r="M312" s="44"/>
      <c r="N312" s="45"/>
      <c r="O312" s="46">
        <f t="shared" si="182"/>
        <v>2360</v>
      </c>
      <c r="P312" s="48"/>
      <c r="Q312" s="48"/>
      <c r="R312" s="78">
        <f t="shared" si="183"/>
        <v>1870.27446692182</v>
      </c>
      <c r="S312" s="78"/>
      <c r="T312" s="79">
        <f t="shared" si="184"/>
        <v>3.67413887370148</v>
      </c>
      <c r="U312" s="78"/>
      <c r="V312" s="78"/>
      <c r="W312" s="80">
        <f t="shared" si="179"/>
        <v>1873.94860579552</v>
      </c>
      <c r="X312" s="81">
        <f t="shared" si="185"/>
        <v>47.2136030617824</v>
      </c>
      <c r="Y312" s="81"/>
      <c r="Z312" s="81"/>
      <c r="AA312" s="81">
        <f t="shared" si="177"/>
        <v>47.2136030617824</v>
      </c>
      <c r="AB312" s="90">
        <v>7.19</v>
      </c>
      <c r="AC312" s="78">
        <f t="shared" si="180"/>
        <v>339.465806014215</v>
      </c>
      <c r="AD312" s="78">
        <f t="shared" si="181"/>
        <v>2213.41441180973</v>
      </c>
      <c r="AE312" s="78">
        <f t="shared" si="178"/>
        <v>146.585588190268</v>
      </c>
    </row>
    <row r="313" customFormat="1" spans="1:31">
      <c r="A313" s="18"/>
      <c r="B313" s="19"/>
      <c r="C313" s="20">
        <v>240308000023</v>
      </c>
      <c r="D313" s="21">
        <v>45364</v>
      </c>
      <c r="E313" s="21" t="s">
        <v>44</v>
      </c>
      <c r="F313" s="19" t="s">
        <v>45</v>
      </c>
      <c r="G313" s="19" t="s">
        <v>133</v>
      </c>
      <c r="H313" s="19">
        <v>4.5</v>
      </c>
      <c r="I313" s="49"/>
      <c r="J313" s="50">
        <v>36450</v>
      </c>
      <c r="K313" s="91"/>
      <c r="L313" s="50">
        <f t="shared" ref="L313:L318" si="186">SUM(J313/M313)</f>
        <v>1294.38920454545</v>
      </c>
      <c r="M313" s="52">
        <v>28.16</v>
      </c>
      <c r="N313" s="45">
        <v>7.19</v>
      </c>
      <c r="O313" s="46">
        <f t="shared" ref="O313:O318" si="187">SUM(M313*N313)</f>
        <v>202.4704</v>
      </c>
      <c r="P313" s="48"/>
      <c r="Q313" s="48"/>
      <c r="R313" s="78">
        <f t="shared" si="183"/>
        <v>150.289912520503</v>
      </c>
      <c r="S313" s="78"/>
      <c r="T313" s="79">
        <f t="shared" si="184"/>
        <v>0.295243302351011</v>
      </c>
      <c r="U313" s="78"/>
      <c r="V313" s="78"/>
      <c r="W313" s="80">
        <f t="shared" si="179"/>
        <v>150.585155822854</v>
      </c>
      <c r="X313" s="81">
        <f t="shared" si="185"/>
        <v>3.79395024603609</v>
      </c>
      <c r="Y313" s="81"/>
      <c r="Z313" s="81"/>
      <c r="AA313" s="81">
        <f t="shared" si="177"/>
        <v>3.79395024603609</v>
      </c>
      <c r="AB313" s="90">
        <v>7.19</v>
      </c>
      <c r="AC313" s="78">
        <f t="shared" si="180"/>
        <v>27.2785022689995</v>
      </c>
      <c r="AD313" s="78">
        <f t="shared" si="181"/>
        <v>177.863658091853</v>
      </c>
      <c r="AE313" s="78">
        <f t="shared" si="178"/>
        <v>24.6067419081465</v>
      </c>
    </row>
    <row r="314" customFormat="1" spans="1:31">
      <c r="A314" s="18"/>
      <c r="B314" s="19"/>
      <c r="C314" s="20">
        <v>240308000025</v>
      </c>
      <c r="D314" s="21">
        <v>45364</v>
      </c>
      <c r="E314" s="21" t="s">
        <v>41</v>
      </c>
      <c r="F314" s="19" t="s">
        <v>42</v>
      </c>
      <c r="G314" s="19" t="s">
        <v>73</v>
      </c>
      <c r="H314" s="19">
        <v>4</v>
      </c>
      <c r="I314" s="41">
        <v>230.4</v>
      </c>
      <c r="J314" s="42"/>
      <c r="K314" s="43"/>
      <c r="L314" s="42"/>
      <c r="M314" s="44"/>
      <c r="N314" s="45"/>
      <c r="O314" s="46">
        <f>SUM(I314)</f>
        <v>230.4</v>
      </c>
      <c r="P314" s="48"/>
      <c r="Q314" s="48"/>
      <c r="R314" s="78">
        <f t="shared" si="183"/>
        <v>133.591033351558</v>
      </c>
      <c r="S314" s="78"/>
      <c r="T314" s="79">
        <f t="shared" si="184"/>
        <v>0.262438490978677</v>
      </c>
      <c r="U314" s="78"/>
      <c r="V314" s="78"/>
      <c r="W314" s="80">
        <f t="shared" si="179"/>
        <v>133.853471842537</v>
      </c>
      <c r="X314" s="81">
        <f t="shared" si="185"/>
        <v>3.37240021869874</v>
      </c>
      <c r="Y314" s="81"/>
      <c r="Z314" s="81"/>
      <c r="AA314" s="81">
        <f t="shared" si="177"/>
        <v>3.37240021869874</v>
      </c>
      <c r="AB314" s="90">
        <v>7.19</v>
      </c>
      <c r="AC314" s="78">
        <f t="shared" si="180"/>
        <v>24.247557572444</v>
      </c>
      <c r="AD314" s="78">
        <f t="shared" si="181"/>
        <v>158.101029414981</v>
      </c>
      <c r="AE314" s="78">
        <f t="shared" si="178"/>
        <v>72.2989705850192</v>
      </c>
    </row>
    <row r="315" customFormat="1" spans="1:31">
      <c r="A315" s="18"/>
      <c r="B315" s="19"/>
      <c r="C315" s="20">
        <v>240308000027</v>
      </c>
      <c r="D315" s="21">
        <v>45364</v>
      </c>
      <c r="E315" s="21" t="s">
        <v>44</v>
      </c>
      <c r="F315" s="19" t="s">
        <v>45</v>
      </c>
      <c r="G315" s="19" t="s">
        <v>265</v>
      </c>
      <c r="H315" s="19">
        <v>1.5</v>
      </c>
      <c r="I315" s="49"/>
      <c r="J315" s="50">
        <v>16390.5</v>
      </c>
      <c r="K315" s="51"/>
      <c r="L315" s="50">
        <f t="shared" si="186"/>
        <v>1603.76712328767</v>
      </c>
      <c r="M315" s="52">
        <v>10.22</v>
      </c>
      <c r="N315" s="45">
        <v>7.19</v>
      </c>
      <c r="O315" s="46">
        <f t="shared" si="187"/>
        <v>73.4818</v>
      </c>
      <c r="P315" s="48"/>
      <c r="Q315" s="48"/>
      <c r="R315" s="78">
        <f t="shared" si="183"/>
        <v>50.0966375068343</v>
      </c>
      <c r="S315" s="78"/>
      <c r="T315" s="79">
        <f t="shared" si="184"/>
        <v>0.0984144341170038</v>
      </c>
      <c r="U315" s="78"/>
      <c r="V315" s="78"/>
      <c r="W315" s="80">
        <f t="shared" si="179"/>
        <v>50.1950519409513</v>
      </c>
      <c r="X315" s="81">
        <f t="shared" si="185"/>
        <v>1.26465008201203</v>
      </c>
      <c r="Y315" s="81"/>
      <c r="Z315" s="81"/>
      <c r="AA315" s="81">
        <f t="shared" si="177"/>
        <v>1.26465008201203</v>
      </c>
      <c r="AB315" s="90">
        <v>7.19</v>
      </c>
      <c r="AC315" s="78">
        <f t="shared" si="180"/>
        <v>9.09283408966648</v>
      </c>
      <c r="AD315" s="78">
        <f t="shared" si="181"/>
        <v>59.2878860306178</v>
      </c>
      <c r="AE315" s="78">
        <f t="shared" si="178"/>
        <v>14.1939139693822</v>
      </c>
    </row>
    <row r="316" customFormat="1" spans="1:31">
      <c r="A316" s="18"/>
      <c r="B316" s="19"/>
      <c r="C316" s="22">
        <v>240308000033</v>
      </c>
      <c r="D316" s="23">
        <v>45364</v>
      </c>
      <c r="E316" s="21" t="s">
        <v>44</v>
      </c>
      <c r="F316" s="24" t="s">
        <v>45</v>
      </c>
      <c r="G316" s="24" t="s">
        <v>133</v>
      </c>
      <c r="H316" s="24">
        <v>1.5</v>
      </c>
      <c r="I316" s="49"/>
      <c r="J316" s="50">
        <v>16200</v>
      </c>
      <c r="K316" s="91"/>
      <c r="L316" s="50">
        <f t="shared" si="186"/>
        <v>1294.96402877698</v>
      </c>
      <c r="M316" s="52">
        <v>12.51</v>
      </c>
      <c r="N316" s="45">
        <v>7.19</v>
      </c>
      <c r="O316" s="46">
        <f t="shared" si="187"/>
        <v>89.9469</v>
      </c>
      <c r="P316" s="48"/>
      <c r="Q316" s="48"/>
      <c r="R316" s="78">
        <f t="shared" si="183"/>
        <v>50.0966375068343</v>
      </c>
      <c r="S316" s="78"/>
      <c r="T316" s="79">
        <f t="shared" si="184"/>
        <v>0.0984144341170038</v>
      </c>
      <c r="U316" s="78"/>
      <c r="V316" s="79">
        <v>13</v>
      </c>
      <c r="W316" s="80">
        <f t="shared" si="179"/>
        <v>63.1950519409513</v>
      </c>
      <c r="X316" s="81">
        <f t="shared" si="185"/>
        <v>1.26465008201203</v>
      </c>
      <c r="Y316" s="81"/>
      <c r="Z316" s="81"/>
      <c r="AA316" s="81">
        <f t="shared" si="177"/>
        <v>1.26465008201203</v>
      </c>
      <c r="AB316" s="90">
        <v>7.19</v>
      </c>
      <c r="AC316" s="78">
        <f t="shared" si="180"/>
        <v>9.09283408966648</v>
      </c>
      <c r="AD316" s="78">
        <f t="shared" si="181"/>
        <v>72.2878860306178</v>
      </c>
      <c r="AE316" s="78">
        <f t="shared" si="178"/>
        <v>17.6590139693822</v>
      </c>
    </row>
    <row r="317" customFormat="1" spans="1:31">
      <c r="A317" s="18"/>
      <c r="B317" s="19"/>
      <c r="C317" s="20">
        <v>240308000034</v>
      </c>
      <c r="D317" s="21">
        <v>45364</v>
      </c>
      <c r="E317" s="21" t="s">
        <v>44</v>
      </c>
      <c r="F317" s="19" t="s">
        <v>45</v>
      </c>
      <c r="G317" s="19" t="s">
        <v>132</v>
      </c>
      <c r="H317" s="19">
        <v>18.5</v>
      </c>
      <c r="I317" s="49"/>
      <c r="J317" s="50">
        <v>207613</v>
      </c>
      <c r="K317" s="51"/>
      <c r="L317" s="50">
        <f t="shared" si="186"/>
        <v>1603.43682421996</v>
      </c>
      <c r="M317" s="52">
        <v>129.48</v>
      </c>
      <c r="N317" s="45">
        <v>7.19</v>
      </c>
      <c r="O317" s="46">
        <f t="shared" si="187"/>
        <v>930.9612</v>
      </c>
      <c r="P317" s="48"/>
      <c r="Q317" s="48"/>
      <c r="R317" s="78">
        <f t="shared" si="183"/>
        <v>617.858529250957</v>
      </c>
      <c r="S317" s="78"/>
      <c r="T317" s="79">
        <f t="shared" si="184"/>
        <v>1.21377802077638</v>
      </c>
      <c r="U317" s="78"/>
      <c r="V317" s="78"/>
      <c r="W317" s="80">
        <f t="shared" si="179"/>
        <v>619.072307271733</v>
      </c>
      <c r="X317" s="81">
        <f t="shared" si="185"/>
        <v>15.5973510114817</v>
      </c>
      <c r="Y317" s="81"/>
      <c r="Z317" s="81"/>
      <c r="AA317" s="81">
        <f t="shared" si="177"/>
        <v>15.5973510114817</v>
      </c>
      <c r="AB317" s="90">
        <v>7.19</v>
      </c>
      <c r="AC317" s="78">
        <f t="shared" si="180"/>
        <v>112.144953772553</v>
      </c>
      <c r="AD317" s="78">
        <f t="shared" si="181"/>
        <v>731.217261044286</v>
      </c>
      <c r="AE317" s="78">
        <f t="shared" si="178"/>
        <v>199.743938955713</v>
      </c>
    </row>
    <row r="318" customFormat="1" spans="1:31">
      <c r="A318" s="18"/>
      <c r="B318" s="19"/>
      <c r="C318" s="20">
        <v>240308000035</v>
      </c>
      <c r="D318" s="21">
        <v>45364</v>
      </c>
      <c r="E318" s="21" t="s">
        <v>37</v>
      </c>
      <c r="F318" s="19" t="s">
        <v>38</v>
      </c>
      <c r="G318" s="19" t="s">
        <v>266</v>
      </c>
      <c r="H318" s="19">
        <v>0.78</v>
      </c>
      <c r="I318" s="46"/>
      <c r="J318" s="54">
        <v>11715</v>
      </c>
      <c r="K318" s="55"/>
      <c r="L318" s="50">
        <f t="shared" si="186"/>
        <v>1650</v>
      </c>
      <c r="M318" s="52">
        <v>7.1</v>
      </c>
      <c r="N318" s="45">
        <v>7.19</v>
      </c>
      <c r="O318" s="46">
        <f t="shared" si="187"/>
        <v>51.049</v>
      </c>
      <c r="P318" s="48"/>
      <c r="Q318" s="48"/>
      <c r="R318" s="78">
        <f t="shared" si="183"/>
        <v>26.0502515035539</v>
      </c>
      <c r="S318" s="78"/>
      <c r="T318" s="79">
        <f t="shared" si="184"/>
        <v>0.051175505740842</v>
      </c>
      <c r="U318" s="78"/>
      <c r="V318" s="78"/>
      <c r="W318" s="80">
        <f t="shared" si="179"/>
        <v>26.1014270092947</v>
      </c>
      <c r="X318" s="81">
        <f t="shared" si="185"/>
        <v>0.657618042646255</v>
      </c>
      <c r="Y318" s="81"/>
      <c r="Z318" s="81"/>
      <c r="AA318" s="81">
        <f t="shared" si="177"/>
        <v>0.657618042646255</v>
      </c>
      <c r="AB318" s="90">
        <v>7.19</v>
      </c>
      <c r="AC318" s="78">
        <f t="shared" si="180"/>
        <v>4.72827372662657</v>
      </c>
      <c r="AD318" s="78">
        <f t="shared" si="181"/>
        <v>30.8297007359213</v>
      </c>
      <c r="AE318" s="78">
        <f t="shared" si="178"/>
        <v>20.2192992640787</v>
      </c>
    </row>
    <row r="319" customFormat="1" spans="1:31">
      <c r="A319" s="18"/>
      <c r="B319" s="19"/>
      <c r="C319" s="20">
        <v>240308000039</v>
      </c>
      <c r="D319" s="21">
        <v>45364</v>
      </c>
      <c r="E319" s="21" t="s">
        <v>41</v>
      </c>
      <c r="F319" s="19" t="s">
        <v>42</v>
      </c>
      <c r="G319" s="19" t="s">
        <v>251</v>
      </c>
      <c r="H319" s="19">
        <v>13.5</v>
      </c>
      <c r="I319" s="41">
        <v>798</v>
      </c>
      <c r="J319" s="42"/>
      <c r="K319" s="43"/>
      <c r="L319" s="42"/>
      <c r="M319" s="44"/>
      <c r="N319" s="45"/>
      <c r="O319" s="46">
        <f t="shared" ref="O319:O323" si="188">SUM(I319)</f>
        <v>798</v>
      </c>
      <c r="P319" s="48"/>
      <c r="Q319" s="48"/>
      <c r="R319" s="78">
        <f t="shared" si="183"/>
        <v>450.869737561509</v>
      </c>
      <c r="S319" s="78"/>
      <c r="T319" s="79">
        <f t="shared" si="184"/>
        <v>0.885729907053034</v>
      </c>
      <c r="U319" s="78"/>
      <c r="V319" s="78"/>
      <c r="W319" s="80">
        <f t="shared" si="179"/>
        <v>451.755467468562</v>
      </c>
      <c r="X319" s="81">
        <f t="shared" si="185"/>
        <v>11.3818507381083</v>
      </c>
      <c r="Y319" s="81"/>
      <c r="Z319" s="81"/>
      <c r="AA319" s="81">
        <f t="shared" si="177"/>
        <v>11.3818507381083</v>
      </c>
      <c r="AB319" s="90">
        <v>7.19</v>
      </c>
      <c r="AC319" s="78">
        <f t="shared" si="180"/>
        <v>81.8355068069984</v>
      </c>
      <c r="AD319" s="78">
        <f t="shared" si="181"/>
        <v>533.59097427556</v>
      </c>
      <c r="AE319" s="78">
        <f t="shared" si="178"/>
        <v>264.40902572444</v>
      </c>
    </row>
    <row r="320" customFormat="1" spans="1:31">
      <c r="A320" s="18"/>
      <c r="B320" s="19"/>
      <c r="C320" s="20">
        <v>240308000042</v>
      </c>
      <c r="D320" s="21">
        <v>45364</v>
      </c>
      <c r="E320" s="21" t="s">
        <v>44</v>
      </c>
      <c r="F320" s="19" t="s">
        <v>45</v>
      </c>
      <c r="G320" s="19" t="s">
        <v>100</v>
      </c>
      <c r="H320" s="19">
        <v>34</v>
      </c>
      <c r="I320" s="49"/>
      <c r="J320" s="50">
        <v>356354</v>
      </c>
      <c r="K320" s="51"/>
      <c r="L320" s="50">
        <f t="shared" ref="L320:L327" si="189">SUM(J320/M320)</f>
        <v>1603.39257592801</v>
      </c>
      <c r="M320" s="52">
        <v>222.25</v>
      </c>
      <c r="N320" s="45">
        <v>7.19</v>
      </c>
      <c r="O320" s="46">
        <f t="shared" ref="O320:O327" si="190">SUM(M320*N320)</f>
        <v>1597.9775</v>
      </c>
      <c r="P320" s="48"/>
      <c r="Q320" s="48"/>
      <c r="R320" s="78">
        <f t="shared" si="183"/>
        <v>1135.52378348824</v>
      </c>
      <c r="S320" s="78"/>
      <c r="T320" s="79">
        <f t="shared" si="184"/>
        <v>2.23072717331875</v>
      </c>
      <c r="U320" s="78"/>
      <c r="V320" s="78"/>
      <c r="W320" s="80">
        <f t="shared" si="179"/>
        <v>1137.75451066156</v>
      </c>
      <c r="X320" s="81">
        <f t="shared" si="185"/>
        <v>28.6654018589393</v>
      </c>
      <c r="Y320" s="81"/>
      <c r="Z320" s="81"/>
      <c r="AA320" s="81">
        <f t="shared" si="177"/>
        <v>28.6654018589393</v>
      </c>
      <c r="AB320" s="90">
        <v>7.19</v>
      </c>
      <c r="AC320" s="78">
        <f t="shared" si="180"/>
        <v>206.104239365774</v>
      </c>
      <c r="AD320" s="78">
        <f t="shared" si="181"/>
        <v>1343.85875002734</v>
      </c>
      <c r="AE320" s="78">
        <f t="shared" si="178"/>
        <v>254.118749972663</v>
      </c>
    </row>
    <row r="321" customFormat="1" spans="1:31">
      <c r="A321" s="18"/>
      <c r="B321" s="19"/>
      <c r="C321" s="20">
        <v>240308000043</v>
      </c>
      <c r="D321" s="21">
        <v>45364</v>
      </c>
      <c r="E321" s="21" t="s">
        <v>44</v>
      </c>
      <c r="F321" s="19" t="s">
        <v>45</v>
      </c>
      <c r="G321" s="19" t="s">
        <v>226</v>
      </c>
      <c r="H321" s="19">
        <v>41.5</v>
      </c>
      <c r="I321" s="41">
        <v>1950.5</v>
      </c>
      <c r="J321" s="53"/>
      <c r="K321" s="51"/>
      <c r="L321" s="53"/>
      <c r="M321" s="44"/>
      <c r="N321" s="45"/>
      <c r="O321" s="46">
        <f t="shared" si="188"/>
        <v>1950.5</v>
      </c>
      <c r="P321" s="48"/>
      <c r="Q321" s="48"/>
      <c r="R321" s="78">
        <f t="shared" si="183"/>
        <v>1386.00697102242</v>
      </c>
      <c r="S321" s="78"/>
      <c r="T321" s="79">
        <f t="shared" si="184"/>
        <v>2.72279934390377</v>
      </c>
      <c r="U321" s="78"/>
      <c r="V321" s="78"/>
      <c r="W321" s="80">
        <f t="shared" si="179"/>
        <v>1388.72977036632</v>
      </c>
      <c r="X321" s="81">
        <f t="shared" si="185"/>
        <v>34.9886522689995</v>
      </c>
      <c r="Y321" s="81"/>
      <c r="Z321" s="81"/>
      <c r="AA321" s="81">
        <f t="shared" si="177"/>
        <v>34.9886522689995</v>
      </c>
      <c r="AB321" s="90">
        <v>7.19</v>
      </c>
      <c r="AC321" s="78">
        <f t="shared" si="180"/>
        <v>251.568409814106</v>
      </c>
      <c r="AD321" s="78">
        <f t="shared" si="181"/>
        <v>1640.29818018043</v>
      </c>
      <c r="AE321" s="78">
        <f t="shared" ref="AE321:AE363" si="191">SUM(O321-AD321)</f>
        <v>310.201819819574</v>
      </c>
    </row>
    <row r="322" customFormat="1" spans="1:31">
      <c r="A322" s="18"/>
      <c r="B322" s="19"/>
      <c r="C322" s="20">
        <v>240308000044</v>
      </c>
      <c r="D322" s="21">
        <v>45364</v>
      </c>
      <c r="E322" s="21" t="s">
        <v>44</v>
      </c>
      <c r="F322" s="19" t="s">
        <v>45</v>
      </c>
      <c r="G322" s="19" t="s">
        <v>267</v>
      </c>
      <c r="H322" s="19">
        <v>4</v>
      </c>
      <c r="I322" s="49"/>
      <c r="J322" s="50">
        <v>40140</v>
      </c>
      <c r="K322" s="51"/>
      <c r="L322" s="50">
        <f t="shared" si="189"/>
        <v>1603.67558929285</v>
      </c>
      <c r="M322" s="52">
        <v>25.03</v>
      </c>
      <c r="N322" s="45">
        <v>7.19</v>
      </c>
      <c r="O322" s="46">
        <f t="shared" si="190"/>
        <v>179.9657</v>
      </c>
      <c r="P322" s="48"/>
      <c r="Q322" s="48"/>
      <c r="R322" s="78">
        <f t="shared" si="183"/>
        <v>133.591033351558</v>
      </c>
      <c r="S322" s="78"/>
      <c r="T322" s="79">
        <f t="shared" si="184"/>
        <v>0.262438490978677</v>
      </c>
      <c r="U322" s="78"/>
      <c r="V322" s="78"/>
      <c r="W322" s="80">
        <f t="shared" si="179"/>
        <v>133.853471842537</v>
      </c>
      <c r="X322" s="81">
        <f t="shared" si="185"/>
        <v>3.37240021869874</v>
      </c>
      <c r="Y322" s="81"/>
      <c r="Z322" s="81"/>
      <c r="AA322" s="81">
        <f t="shared" si="177"/>
        <v>3.37240021869874</v>
      </c>
      <c r="AB322" s="90">
        <v>7.19</v>
      </c>
      <c r="AC322" s="78">
        <f t="shared" si="180"/>
        <v>24.247557572444</v>
      </c>
      <c r="AD322" s="78">
        <f t="shared" si="181"/>
        <v>158.101029414981</v>
      </c>
      <c r="AE322" s="78">
        <f t="shared" si="191"/>
        <v>21.8646705850192</v>
      </c>
    </row>
    <row r="323" customFormat="1" spans="1:31">
      <c r="A323" s="18"/>
      <c r="B323" s="19"/>
      <c r="C323" s="20">
        <v>240309000001</v>
      </c>
      <c r="D323" s="21">
        <v>45364</v>
      </c>
      <c r="E323" s="21" t="s">
        <v>70</v>
      </c>
      <c r="F323" s="19" t="s">
        <v>70</v>
      </c>
      <c r="G323" s="19" t="s">
        <v>268</v>
      </c>
      <c r="H323" s="19">
        <v>9</v>
      </c>
      <c r="I323" s="41">
        <v>522</v>
      </c>
      <c r="J323" s="42"/>
      <c r="K323" s="43"/>
      <c r="L323" s="42"/>
      <c r="M323" s="44"/>
      <c r="N323" s="45"/>
      <c r="O323" s="46">
        <f t="shared" si="188"/>
        <v>522</v>
      </c>
      <c r="P323" s="48"/>
      <c r="Q323" s="48"/>
      <c r="R323" s="78">
        <f t="shared" si="183"/>
        <v>300.579825041006</v>
      </c>
      <c r="S323" s="78"/>
      <c r="T323" s="79">
        <f t="shared" si="184"/>
        <v>0.590486604702023</v>
      </c>
      <c r="U323" s="78"/>
      <c r="V323" s="78"/>
      <c r="W323" s="80">
        <f t="shared" ref="W323:W363" si="192">SUM(R323:V323)</f>
        <v>301.170311645708</v>
      </c>
      <c r="X323" s="81">
        <f t="shared" si="185"/>
        <v>7.58790049207217</v>
      </c>
      <c r="Y323" s="81"/>
      <c r="Z323" s="81"/>
      <c r="AA323" s="81">
        <f t="shared" si="177"/>
        <v>7.58790049207217</v>
      </c>
      <c r="AB323" s="90">
        <v>7.19</v>
      </c>
      <c r="AC323" s="78">
        <f t="shared" si="180"/>
        <v>54.5570045379989</v>
      </c>
      <c r="AD323" s="78">
        <f t="shared" ref="AD323:AD363" si="193">SUM(W323+AC323)</f>
        <v>355.727316183707</v>
      </c>
      <c r="AE323" s="78">
        <f t="shared" si="191"/>
        <v>166.272683816293</v>
      </c>
    </row>
    <row r="324" customFormat="1" spans="1:31">
      <c r="A324" s="18"/>
      <c r="B324" s="19"/>
      <c r="C324" s="20">
        <v>240309000005</v>
      </c>
      <c r="D324" s="21">
        <v>45364</v>
      </c>
      <c r="E324" s="21" t="s">
        <v>70</v>
      </c>
      <c r="F324" s="19" t="s">
        <v>95</v>
      </c>
      <c r="G324" s="19" t="s">
        <v>96</v>
      </c>
      <c r="H324" s="19">
        <v>407</v>
      </c>
      <c r="I324" s="46"/>
      <c r="J324" s="54">
        <v>3844000</v>
      </c>
      <c r="K324" s="55"/>
      <c r="L324" s="50">
        <f t="shared" si="189"/>
        <v>1600</v>
      </c>
      <c r="M324" s="52">
        <v>2402.5</v>
      </c>
      <c r="N324" s="45">
        <v>7.19</v>
      </c>
      <c r="O324" s="46">
        <f t="shared" si="190"/>
        <v>17273.975</v>
      </c>
      <c r="P324" s="58"/>
      <c r="Q324" s="58"/>
      <c r="R324" s="78">
        <f t="shared" si="183"/>
        <v>13592.887643521</v>
      </c>
      <c r="S324" s="78"/>
      <c r="T324" s="79">
        <f t="shared" si="184"/>
        <v>26.7031164570804</v>
      </c>
      <c r="U324" s="79">
        <v>230</v>
      </c>
      <c r="V324" s="78"/>
      <c r="W324" s="80">
        <f t="shared" si="192"/>
        <v>13849.5907599781</v>
      </c>
      <c r="X324" s="81">
        <f t="shared" si="185"/>
        <v>343.141722252597</v>
      </c>
      <c r="Y324" s="81"/>
      <c r="Z324" s="81"/>
      <c r="AA324" s="81">
        <f t="shared" ref="AA324:AA363" si="194">SUM(X324:Z324)</f>
        <v>343.141722252597</v>
      </c>
      <c r="AB324" s="90">
        <v>7.19</v>
      </c>
      <c r="AC324" s="78">
        <f t="shared" ref="AC324:AC363" si="195">SUM(AA324*AB324)</f>
        <v>2467.18898299617</v>
      </c>
      <c r="AD324" s="78">
        <f t="shared" si="193"/>
        <v>16316.7797429743</v>
      </c>
      <c r="AE324" s="78">
        <f t="shared" si="191"/>
        <v>957.195257025696</v>
      </c>
    </row>
    <row r="325" customFormat="1" spans="1:31">
      <c r="A325" s="18" t="s">
        <v>269</v>
      </c>
      <c r="B325" s="19" t="s">
        <v>270</v>
      </c>
      <c r="C325" s="20">
        <v>240304000009</v>
      </c>
      <c r="D325" s="21">
        <v>45364</v>
      </c>
      <c r="E325" s="21" t="s">
        <v>51</v>
      </c>
      <c r="F325" s="19" t="s">
        <v>52</v>
      </c>
      <c r="G325" s="19" t="s">
        <v>271</v>
      </c>
      <c r="H325" s="19">
        <v>19.5</v>
      </c>
      <c r="I325" s="49"/>
      <c r="J325" s="50">
        <v>241326</v>
      </c>
      <c r="K325" s="51"/>
      <c r="L325" s="50">
        <f t="shared" si="189"/>
        <v>1474.01661373076</v>
      </c>
      <c r="M325" s="52">
        <v>163.72</v>
      </c>
      <c r="N325" s="45">
        <v>7.19</v>
      </c>
      <c r="O325" s="46">
        <f t="shared" si="190"/>
        <v>1177.1468</v>
      </c>
      <c r="P325" s="47">
        <f>SUM(O325:O363)</f>
        <v>72898.5743281</v>
      </c>
      <c r="Q325" s="47" t="s">
        <v>40</v>
      </c>
      <c r="R325" s="78">
        <f>SUM(58239.7/1399)*H325</f>
        <v>811.775661186562</v>
      </c>
      <c r="S325" s="78"/>
      <c r="T325" s="79">
        <f>SUM(120/1399)*H325</f>
        <v>1.67262330235883</v>
      </c>
      <c r="U325" s="78"/>
      <c r="V325" s="78"/>
      <c r="W325" s="80">
        <f t="shared" si="192"/>
        <v>813.448284488921</v>
      </c>
      <c r="X325" s="81">
        <f>SUM(1095.01/1399)*H325</f>
        <v>15.2628270192995</v>
      </c>
      <c r="Y325" s="81"/>
      <c r="Z325" s="81"/>
      <c r="AA325" s="81">
        <f t="shared" si="194"/>
        <v>15.2628270192995</v>
      </c>
      <c r="AB325" s="90">
        <v>7.19</v>
      </c>
      <c r="AC325" s="78">
        <f t="shared" si="195"/>
        <v>109.739726268763</v>
      </c>
      <c r="AD325" s="78">
        <f t="shared" si="193"/>
        <v>923.188010757684</v>
      </c>
      <c r="AE325" s="78">
        <f t="shared" si="191"/>
        <v>253.958789242316</v>
      </c>
    </row>
    <row r="326" customFormat="1" spans="1:31">
      <c r="A326" s="18"/>
      <c r="B326" s="19"/>
      <c r="C326" s="20">
        <v>240304000011</v>
      </c>
      <c r="D326" s="21">
        <v>45364</v>
      </c>
      <c r="E326" s="21" t="s">
        <v>51</v>
      </c>
      <c r="F326" s="19" t="s">
        <v>52</v>
      </c>
      <c r="G326" s="19" t="s">
        <v>271</v>
      </c>
      <c r="H326" s="19">
        <v>17.5</v>
      </c>
      <c r="I326" s="49"/>
      <c r="J326" s="50">
        <v>216726</v>
      </c>
      <c r="K326" s="51"/>
      <c r="L326" s="50">
        <f t="shared" si="189"/>
        <v>1474.02570903897</v>
      </c>
      <c r="M326" s="52">
        <v>147.03</v>
      </c>
      <c r="N326" s="45">
        <v>7.19</v>
      </c>
      <c r="O326" s="46">
        <f t="shared" si="190"/>
        <v>1057.1457</v>
      </c>
      <c r="P326" s="48"/>
      <c r="Q326" s="48"/>
      <c r="R326" s="78">
        <f t="shared" ref="R326:R363" si="196">SUM(58239.7/1399)*H326</f>
        <v>728.516619013581</v>
      </c>
      <c r="S326" s="78"/>
      <c r="T326" s="79">
        <f t="shared" ref="T326:T363" si="197">SUM(120/1399)*H326</f>
        <v>1.50107219442459</v>
      </c>
      <c r="U326" s="78"/>
      <c r="V326" s="78"/>
      <c r="W326" s="80">
        <f t="shared" si="192"/>
        <v>730.017691208006</v>
      </c>
      <c r="X326" s="81">
        <f t="shared" ref="X326:X363" si="198">SUM(1095.01/1399)*H326</f>
        <v>13.6974088634739</v>
      </c>
      <c r="Y326" s="81"/>
      <c r="Z326" s="81"/>
      <c r="AA326" s="81">
        <f t="shared" si="194"/>
        <v>13.6974088634739</v>
      </c>
      <c r="AB326" s="90">
        <v>7.19</v>
      </c>
      <c r="AC326" s="78">
        <f t="shared" si="195"/>
        <v>98.4843697283774</v>
      </c>
      <c r="AD326" s="78">
        <f t="shared" si="193"/>
        <v>828.502060936383</v>
      </c>
      <c r="AE326" s="78">
        <f t="shared" si="191"/>
        <v>228.643639063617</v>
      </c>
    </row>
    <row r="327" customFormat="1" spans="1:31">
      <c r="A327" s="18"/>
      <c r="B327" s="19"/>
      <c r="C327" s="20">
        <v>240304000014</v>
      </c>
      <c r="D327" s="21">
        <v>45364</v>
      </c>
      <c r="E327" s="21" t="s">
        <v>44</v>
      </c>
      <c r="F327" s="19" t="s">
        <v>45</v>
      </c>
      <c r="G327" s="19" t="s">
        <v>272</v>
      </c>
      <c r="H327" s="19">
        <v>88</v>
      </c>
      <c r="I327" s="49"/>
      <c r="J327" s="50">
        <v>836303.5</v>
      </c>
      <c r="K327" s="91"/>
      <c r="L327" s="50">
        <f t="shared" si="189"/>
        <v>1315.79084000692</v>
      </c>
      <c r="M327" s="52">
        <v>635.59</v>
      </c>
      <c r="N327" s="45">
        <v>7.19</v>
      </c>
      <c r="O327" s="46">
        <f t="shared" si="190"/>
        <v>4569.8921</v>
      </c>
      <c r="P327" s="48"/>
      <c r="Q327" s="48"/>
      <c r="R327" s="78">
        <f t="shared" si="196"/>
        <v>3663.39785561115</v>
      </c>
      <c r="S327" s="78"/>
      <c r="T327" s="79">
        <f t="shared" si="197"/>
        <v>7.5482487491065</v>
      </c>
      <c r="U327" s="79">
        <v>182.7</v>
      </c>
      <c r="V327" s="78"/>
      <c r="W327" s="80">
        <f t="shared" si="192"/>
        <v>3853.64610436026</v>
      </c>
      <c r="X327" s="81">
        <f t="shared" si="198"/>
        <v>68.8783988563259</v>
      </c>
      <c r="Y327" s="81"/>
      <c r="Z327" s="81"/>
      <c r="AA327" s="81">
        <f t="shared" si="194"/>
        <v>68.8783988563259</v>
      </c>
      <c r="AB327" s="90">
        <v>7.19</v>
      </c>
      <c r="AC327" s="78">
        <f t="shared" si="195"/>
        <v>495.235687776984</v>
      </c>
      <c r="AD327" s="78">
        <f t="shared" si="193"/>
        <v>4348.88179213724</v>
      </c>
      <c r="AE327" s="78">
        <f t="shared" si="191"/>
        <v>221.01030786276</v>
      </c>
    </row>
    <row r="328" customFormat="1" spans="1:31">
      <c r="A328" s="18"/>
      <c r="B328" s="19"/>
      <c r="C328" s="20">
        <v>240304000017</v>
      </c>
      <c r="D328" s="21">
        <v>45364</v>
      </c>
      <c r="E328" s="21" t="s">
        <v>51</v>
      </c>
      <c r="F328" s="19" t="s">
        <v>52</v>
      </c>
      <c r="G328" s="19" t="s">
        <v>273</v>
      </c>
      <c r="H328" s="19">
        <v>6</v>
      </c>
      <c r="I328" s="41">
        <v>375</v>
      </c>
      <c r="J328" s="42"/>
      <c r="K328" s="43"/>
      <c r="L328" s="42"/>
      <c r="M328" s="44"/>
      <c r="N328" s="45"/>
      <c r="O328" s="46">
        <f t="shared" ref="O328:O342" si="199">SUM(I328)</f>
        <v>375</v>
      </c>
      <c r="P328" s="48"/>
      <c r="Q328" s="48"/>
      <c r="R328" s="78">
        <f t="shared" si="196"/>
        <v>249.777126518942</v>
      </c>
      <c r="S328" s="78"/>
      <c r="T328" s="79">
        <f t="shared" si="197"/>
        <v>0.514653323802716</v>
      </c>
      <c r="U328" s="78"/>
      <c r="V328" s="78"/>
      <c r="W328" s="80">
        <f t="shared" si="192"/>
        <v>250.291779842745</v>
      </c>
      <c r="X328" s="81">
        <f t="shared" si="198"/>
        <v>4.69625446747677</v>
      </c>
      <c r="Y328" s="81"/>
      <c r="Z328" s="81"/>
      <c r="AA328" s="81">
        <f t="shared" si="194"/>
        <v>4.69625446747677</v>
      </c>
      <c r="AB328" s="90">
        <v>7.19</v>
      </c>
      <c r="AC328" s="78">
        <f t="shared" si="195"/>
        <v>33.766069621158</v>
      </c>
      <c r="AD328" s="78">
        <f t="shared" si="193"/>
        <v>284.057849463903</v>
      </c>
      <c r="AE328" s="78">
        <f t="shared" si="191"/>
        <v>90.9421505360972</v>
      </c>
    </row>
    <row r="329" customFormat="1" spans="1:31">
      <c r="A329" s="18"/>
      <c r="B329" s="19"/>
      <c r="C329" s="20">
        <v>240304000031</v>
      </c>
      <c r="D329" s="21">
        <v>45364</v>
      </c>
      <c r="E329" s="21" t="s">
        <v>44</v>
      </c>
      <c r="F329" s="19" t="s">
        <v>45</v>
      </c>
      <c r="G329" s="19" t="s">
        <v>274</v>
      </c>
      <c r="H329" s="19">
        <v>8.5</v>
      </c>
      <c r="I329" s="41">
        <v>493</v>
      </c>
      <c r="J329" s="42"/>
      <c r="K329" s="43"/>
      <c r="L329" s="42"/>
      <c r="M329" s="44"/>
      <c r="N329" s="45"/>
      <c r="O329" s="46">
        <f t="shared" si="199"/>
        <v>493</v>
      </c>
      <c r="P329" s="48"/>
      <c r="Q329" s="48"/>
      <c r="R329" s="78">
        <f t="shared" si="196"/>
        <v>353.850929235168</v>
      </c>
      <c r="S329" s="78"/>
      <c r="T329" s="79">
        <f t="shared" si="197"/>
        <v>0.729092208720515</v>
      </c>
      <c r="U329" s="78"/>
      <c r="V329" s="78"/>
      <c r="W329" s="80">
        <f t="shared" si="192"/>
        <v>354.580021443888</v>
      </c>
      <c r="X329" s="81">
        <f t="shared" si="198"/>
        <v>6.65302716225876</v>
      </c>
      <c r="Y329" s="81"/>
      <c r="Z329" s="81"/>
      <c r="AA329" s="81">
        <f t="shared" si="194"/>
        <v>6.65302716225876</v>
      </c>
      <c r="AB329" s="90">
        <v>7.19</v>
      </c>
      <c r="AC329" s="78">
        <f t="shared" si="195"/>
        <v>47.8352652966405</v>
      </c>
      <c r="AD329" s="78">
        <f t="shared" si="193"/>
        <v>402.415286740529</v>
      </c>
      <c r="AE329" s="78">
        <f t="shared" si="191"/>
        <v>90.5847132594711</v>
      </c>
    </row>
    <row r="330" customFormat="1" spans="1:31">
      <c r="A330" s="18"/>
      <c r="B330" s="19"/>
      <c r="C330" s="20">
        <v>240304000035</v>
      </c>
      <c r="D330" s="21">
        <v>45364</v>
      </c>
      <c r="E330" s="21" t="s">
        <v>37</v>
      </c>
      <c r="F330" s="19" t="s">
        <v>38</v>
      </c>
      <c r="G330" s="19" t="s">
        <v>39</v>
      </c>
      <c r="H330" s="19">
        <v>2</v>
      </c>
      <c r="I330" s="41">
        <v>116.4</v>
      </c>
      <c r="J330" s="53"/>
      <c r="K330" s="51"/>
      <c r="L330" s="53"/>
      <c r="M330" s="44"/>
      <c r="N330" s="45"/>
      <c r="O330" s="46">
        <f t="shared" si="199"/>
        <v>116.4</v>
      </c>
      <c r="P330" s="48"/>
      <c r="Q330" s="48"/>
      <c r="R330" s="78">
        <f t="shared" si="196"/>
        <v>83.2590421729807</v>
      </c>
      <c r="S330" s="78"/>
      <c r="T330" s="79">
        <f t="shared" si="197"/>
        <v>0.171551107934239</v>
      </c>
      <c r="U330" s="78"/>
      <c r="V330" s="78"/>
      <c r="W330" s="80">
        <f t="shared" si="192"/>
        <v>83.4305932809149</v>
      </c>
      <c r="X330" s="81">
        <f t="shared" si="198"/>
        <v>1.56541815582559</v>
      </c>
      <c r="Y330" s="81"/>
      <c r="Z330" s="81"/>
      <c r="AA330" s="81">
        <f t="shared" si="194"/>
        <v>1.56541815582559</v>
      </c>
      <c r="AB330" s="90">
        <v>7.19</v>
      </c>
      <c r="AC330" s="78">
        <f t="shared" si="195"/>
        <v>11.255356540386</v>
      </c>
      <c r="AD330" s="78">
        <f t="shared" si="193"/>
        <v>94.6859498213009</v>
      </c>
      <c r="AE330" s="78">
        <f t="shared" si="191"/>
        <v>21.7140501786991</v>
      </c>
    </row>
    <row r="331" customFormat="1" spans="1:31">
      <c r="A331" s="18"/>
      <c r="B331" s="19"/>
      <c r="C331" s="20">
        <v>240304000036</v>
      </c>
      <c r="D331" s="21">
        <v>45364</v>
      </c>
      <c r="E331" s="21" t="s">
        <v>51</v>
      </c>
      <c r="F331" s="19" t="s">
        <v>52</v>
      </c>
      <c r="G331" s="19" t="s">
        <v>275</v>
      </c>
      <c r="H331" s="19">
        <v>5.5</v>
      </c>
      <c r="I331" s="41">
        <v>412.3</v>
      </c>
      <c r="J331" s="42"/>
      <c r="K331" s="43"/>
      <c r="L331" s="42"/>
      <c r="M331" s="44"/>
      <c r="N331" s="45"/>
      <c r="O331" s="46">
        <f t="shared" si="199"/>
        <v>412.3</v>
      </c>
      <c r="P331" s="48"/>
      <c r="Q331" s="48"/>
      <c r="R331" s="78">
        <f t="shared" si="196"/>
        <v>228.962365975697</v>
      </c>
      <c r="S331" s="78"/>
      <c r="T331" s="79">
        <f t="shared" si="197"/>
        <v>0.471765546819157</v>
      </c>
      <c r="U331" s="78"/>
      <c r="V331" s="78"/>
      <c r="W331" s="80">
        <f t="shared" si="192"/>
        <v>229.434131522516</v>
      </c>
      <c r="X331" s="81">
        <f t="shared" si="198"/>
        <v>4.30489992852037</v>
      </c>
      <c r="Y331" s="81"/>
      <c r="Z331" s="81"/>
      <c r="AA331" s="81">
        <f t="shared" si="194"/>
        <v>4.30489992852037</v>
      </c>
      <c r="AB331" s="90">
        <v>7.19</v>
      </c>
      <c r="AC331" s="78">
        <f t="shared" si="195"/>
        <v>30.9522304860615</v>
      </c>
      <c r="AD331" s="78">
        <f t="shared" si="193"/>
        <v>260.386362008578</v>
      </c>
      <c r="AE331" s="78">
        <f t="shared" si="191"/>
        <v>151.913637991422</v>
      </c>
    </row>
    <row r="332" customFormat="1" spans="1:31">
      <c r="A332" s="18"/>
      <c r="B332" s="19"/>
      <c r="C332" s="20">
        <v>240304000043</v>
      </c>
      <c r="D332" s="21">
        <v>45364</v>
      </c>
      <c r="E332" s="21" t="s">
        <v>47</v>
      </c>
      <c r="F332" s="19" t="s">
        <v>48</v>
      </c>
      <c r="G332" s="19" t="s">
        <v>224</v>
      </c>
      <c r="H332" s="19">
        <v>5.5</v>
      </c>
      <c r="I332" s="41">
        <v>412.3</v>
      </c>
      <c r="J332" s="42"/>
      <c r="K332" s="43"/>
      <c r="L332" s="42"/>
      <c r="M332" s="44"/>
      <c r="N332" s="45"/>
      <c r="O332" s="46">
        <f t="shared" si="199"/>
        <v>412.3</v>
      </c>
      <c r="P332" s="48"/>
      <c r="Q332" s="48"/>
      <c r="R332" s="78">
        <f t="shared" si="196"/>
        <v>228.962365975697</v>
      </c>
      <c r="S332" s="78"/>
      <c r="T332" s="79">
        <f t="shared" si="197"/>
        <v>0.471765546819157</v>
      </c>
      <c r="U332" s="78"/>
      <c r="V332" s="78"/>
      <c r="W332" s="80">
        <f t="shared" si="192"/>
        <v>229.434131522516</v>
      </c>
      <c r="X332" s="81">
        <f t="shared" si="198"/>
        <v>4.30489992852037</v>
      </c>
      <c r="Y332" s="81"/>
      <c r="Z332" s="81"/>
      <c r="AA332" s="81">
        <f t="shared" si="194"/>
        <v>4.30489992852037</v>
      </c>
      <c r="AB332" s="90">
        <v>7.19</v>
      </c>
      <c r="AC332" s="78">
        <f t="shared" si="195"/>
        <v>30.9522304860615</v>
      </c>
      <c r="AD332" s="78">
        <f t="shared" si="193"/>
        <v>260.386362008578</v>
      </c>
      <c r="AE332" s="78">
        <f t="shared" si="191"/>
        <v>151.913637991422</v>
      </c>
    </row>
    <row r="333" customFormat="1" spans="1:31">
      <c r="A333" s="18"/>
      <c r="B333" s="19"/>
      <c r="C333" s="20">
        <v>240304000052</v>
      </c>
      <c r="D333" s="21">
        <v>45364</v>
      </c>
      <c r="E333" s="21" t="s">
        <v>47</v>
      </c>
      <c r="F333" s="19" t="s">
        <v>48</v>
      </c>
      <c r="G333" s="19" t="s">
        <v>276</v>
      </c>
      <c r="H333" s="19">
        <v>14.5</v>
      </c>
      <c r="I333" s="41">
        <v>772.8</v>
      </c>
      <c r="J333" s="42"/>
      <c r="K333" s="43"/>
      <c r="L333" s="42"/>
      <c r="M333" s="44"/>
      <c r="N333" s="45"/>
      <c r="O333" s="46">
        <f t="shared" si="199"/>
        <v>772.8</v>
      </c>
      <c r="P333" s="48"/>
      <c r="Q333" s="48"/>
      <c r="R333" s="78">
        <f t="shared" si="196"/>
        <v>603.62805575411</v>
      </c>
      <c r="S333" s="78"/>
      <c r="T333" s="79">
        <f t="shared" si="197"/>
        <v>1.24374553252323</v>
      </c>
      <c r="U333" s="78"/>
      <c r="V333" s="78"/>
      <c r="W333" s="80">
        <f t="shared" si="192"/>
        <v>604.871801286633</v>
      </c>
      <c r="X333" s="81">
        <f t="shared" si="198"/>
        <v>11.3492816297355</v>
      </c>
      <c r="Y333" s="81"/>
      <c r="Z333" s="81"/>
      <c r="AA333" s="81">
        <f t="shared" si="194"/>
        <v>11.3492816297355</v>
      </c>
      <c r="AB333" s="90">
        <v>7.19</v>
      </c>
      <c r="AC333" s="78">
        <f t="shared" si="195"/>
        <v>81.6013349177984</v>
      </c>
      <c r="AD333" s="78">
        <f t="shared" si="193"/>
        <v>686.473136204432</v>
      </c>
      <c r="AE333" s="78">
        <f t="shared" si="191"/>
        <v>86.3268637955682</v>
      </c>
    </row>
    <row r="334" customFormat="1" spans="1:31">
      <c r="A334" s="18"/>
      <c r="B334" s="19"/>
      <c r="C334" s="20">
        <v>240305000002</v>
      </c>
      <c r="D334" s="21">
        <v>45364</v>
      </c>
      <c r="E334" s="21" t="s">
        <v>41</v>
      </c>
      <c r="F334" s="19" t="s">
        <v>42</v>
      </c>
      <c r="G334" s="19" t="s">
        <v>62</v>
      </c>
      <c r="H334" s="19">
        <v>0.77</v>
      </c>
      <c r="I334" s="41">
        <v>61</v>
      </c>
      <c r="J334" s="42"/>
      <c r="K334" s="43"/>
      <c r="L334" s="42"/>
      <c r="M334" s="44"/>
      <c r="N334" s="45"/>
      <c r="O334" s="46">
        <f t="shared" si="199"/>
        <v>61</v>
      </c>
      <c r="P334" s="48"/>
      <c r="Q334" s="48"/>
      <c r="R334" s="78">
        <f t="shared" si="196"/>
        <v>32.0547312365976</v>
      </c>
      <c r="S334" s="78"/>
      <c r="T334" s="79">
        <f t="shared" si="197"/>
        <v>0.0660471765546819</v>
      </c>
      <c r="U334" s="78"/>
      <c r="V334" s="78"/>
      <c r="W334" s="80">
        <f t="shared" si="192"/>
        <v>32.1207784131523</v>
      </c>
      <c r="X334" s="81">
        <f t="shared" si="198"/>
        <v>0.602685989992852</v>
      </c>
      <c r="Y334" s="81"/>
      <c r="Z334" s="81"/>
      <c r="AA334" s="81">
        <f t="shared" si="194"/>
        <v>0.602685989992852</v>
      </c>
      <c r="AB334" s="90">
        <v>7.19</v>
      </c>
      <c r="AC334" s="78">
        <f t="shared" si="195"/>
        <v>4.33331226804861</v>
      </c>
      <c r="AD334" s="78">
        <f t="shared" si="193"/>
        <v>36.4540906812009</v>
      </c>
      <c r="AE334" s="78">
        <f t="shared" si="191"/>
        <v>24.5459093187991</v>
      </c>
    </row>
    <row r="335" customFormat="1" spans="1:31">
      <c r="A335" s="18"/>
      <c r="B335" s="19"/>
      <c r="C335" s="20">
        <v>240306000002</v>
      </c>
      <c r="D335" s="21">
        <v>45364</v>
      </c>
      <c r="E335" s="21" t="s">
        <v>70</v>
      </c>
      <c r="F335" s="19" t="s">
        <v>70</v>
      </c>
      <c r="G335" s="19" t="s">
        <v>277</v>
      </c>
      <c r="H335" s="19">
        <v>9</v>
      </c>
      <c r="I335" s="41">
        <v>482.4</v>
      </c>
      <c r="J335" s="53"/>
      <c r="K335" s="51"/>
      <c r="L335" s="53"/>
      <c r="M335" s="44"/>
      <c r="N335" s="45"/>
      <c r="O335" s="46">
        <f t="shared" si="199"/>
        <v>482.4</v>
      </c>
      <c r="P335" s="48"/>
      <c r="Q335" s="48"/>
      <c r="R335" s="78">
        <f t="shared" si="196"/>
        <v>374.665689778413</v>
      </c>
      <c r="S335" s="78"/>
      <c r="T335" s="79">
        <f t="shared" si="197"/>
        <v>0.771979985704074</v>
      </c>
      <c r="U335" s="78"/>
      <c r="V335" s="78"/>
      <c r="W335" s="80">
        <f t="shared" si="192"/>
        <v>375.437669764117</v>
      </c>
      <c r="X335" s="81">
        <f t="shared" si="198"/>
        <v>7.04438170121515</v>
      </c>
      <c r="Y335" s="81"/>
      <c r="Z335" s="81"/>
      <c r="AA335" s="81">
        <f t="shared" si="194"/>
        <v>7.04438170121515</v>
      </c>
      <c r="AB335" s="90">
        <v>7.19</v>
      </c>
      <c r="AC335" s="78">
        <f t="shared" si="195"/>
        <v>50.649104431737</v>
      </c>
      <c r="AD335" s="78">
        <f t="shared" si="193"/>
        <v>426.086774195854</v>
      </c>
      <c r="AE335" s="78">
        <f t="shared" si="191"/>
        <v>56.3132258041458</v>
      </c>
    </row>
    <row r="336" customFormat="1" spans="1:31">
      <c r="A336" s="18"/>
      <c r="B336" s="19"/>
      <c r="C336" s="20">
        <v>240306000004</v>
      </c>
      <c r="D336" s="21">
        <v>45364</v>
      </c>
      <c r="E336" s="21" t="s">
        <v>47</v>
      </c>
      <c r="F336" s="19" t="s">
        <v>278</v>
      </c>
      <c r="G336" s="19" t="s">
        <v>279</v>
      </c>
      <c r="H336" s="19">
        <v>6</v>
      </c>
      <c r="I336" s="41">
        <v>324</v>
      </c>
      <c r="J336" s="42"/>
      <c r="K336" s="43"/>
      <c r="L336" s="42"/>
      <c r="M336" s="44"/>
      <c r="N336" s="45"/>
      <c r="O336" s="46">
        <f t="shared" si="199"/>
        <v>324</v>
      </c>
      <c r="P336" s="48"/>
      <c r="Q336" s="48"/>
      <c r="R336" s="78">
        <f t="shared" si="196"/>
        <v>249.777126518942</v>
      </c>
      <c r="S336" s="78"/>
      <c r="T336" s="79">
        <f t="shared" si="197"/>
        <v>0.514653323802716</v>
      </c>
      <c r="U336" s="78"/>
      <c r="V336" s="78"/>
      <c r="W336" s="80">
        <f t="shared" si="192"/>
        <v>250.291779842745</v>
      </c>
      <c r="X336" s="81">
        <f t="shared" si="198"/>
        <v>4.69625446747677</v>
      </c>
      <c r="Y336" s="81"/>
      <c r="Z336" s="81"/>
      <c r="AA336" s="81">
        <f t="shared" si="194"/>
        <v>4.69625446747677</v>
      </c>
      <c r="AB336" s="90">
        <v>7.19</v>
      </c>
      <c r="AC336" s="78">
        <f t="shared" si="195"/>
        <v>33.766069621158</v>
      </c>
      <c r="AD336" s="78">
        <f t="shared" si="193"/>
        <v>284.057849463903</v>
      </c>
      <c r="AE336" s="78">
        <f t="shared" si="191"/>
        <v>39.9421505360972</v>
      </c>
    </row>
    <row r="337" customFormat="1" spans="1:31">
      <c r="A337" s="18"/>
      <c r="B337" s="19"/>
      <c r="C337" s="20">
        <v>240306000006</v>
      </c>
      <c r="D337" s="21">
        <v>45364</v>
      </c>
      <c r="E337" s="21" t="s">
        <v>41</v>
      </c>
      <c r="F337" s="19" t="s">
        <v>42</v>
      </c>
      <c r="G337" s="19" t="s">
        <v>123</v>
      </c>
      <c r="H337" s="19">
        <v>4</v>
      </c>
      <c r="I337" s="41">
        <v>343</v>
      </c>
      <c r="J337" s="42"/>
      <c r="K337" s="43"/>
      <c r="L337" s="42"/>
      <c r="M337" s="44"/>
      <c r="N337" s="45"/>
      <c r="O337" s="46">
        <f t="shared" si="199"/>
        <v>343</v>
      </c>
      <c r="P337" s="48"/>
      <c r="Q337" s="48"/>
      <c r="R337" s="78">
        <f t="shared" si="196"/>
        <v>166.518084345961</v>
      </c>
      <c r="S337" s="78"/>
      <c r="T337" s="79">
        <f t="shared" si="197"/>
        <v>0.343102215868478</v>
      </c>
      <c r="U337" s="78"/>
      <c r="V337" s="78"/>
      <c r="W337" s="80">
        <f t="shared" si="192"/>
        <v>166.86118656183</v>
      </c>
      <c r="X337" s="81">
        <f t="shared" si="198"/>
        <v>3.13083631165118</v>
      </c>
      <c r="Y337" s="81"/>
      <c r="Z337" s="81"/>
      <c r="AA337" s="81">
        <f t="shared" si="194"/>
        <v>3.13083631165118</v>
      </c>
      <c r="AB337" s="90">
        <v>7.19</v>
      </c>
      <c r="AC337" s="78">
        <f t="shared" si="195"/>
        <v>22.510713080772</v>
      </c>
      <c r="AD337" s="78">
        <f t="shared" si="193"/>
        <v>189.371899642602</v>
      </c>
      <c r="AE337" s="78">
        <f t="shared" si="191"/>
        <v>153.628100357398</v>
      </c>
    </row>
    <row r="338" customFormat="1" spans="1:31">
      <c r="A338" s="18"/>
      <c r="B338" s="19"/>
      <c r="C338" s="20">
        <v>240306000008</v>
      </c>
      <c r="D338" s="21">
        <v>45364</v>
      </c>
      <c r="E338" s="21" t="s">
        <v>37</v>
      </c>
      <c r="F338" s="19" t="s">
        <v>38</v>
      </c>
      <c r="G338" s="19" t="s">
        <v>280</v>
      </c>
      <c r="H338" s="19">
        <v>2.5</v>
      </c>
      <c r="I338" s="41">
        <v>162</v>
      </c>
      <c r="J338" s="42"/>
      <c r="K338" s="43"/>
      <c r="L338" s="42"/>
      <c r="M338" s="44"/>
      <c r="N338" s="45"/>
      <c r="O338" s="46">
        <f t="shared" si="199"/>
        <v>162</v>
      </c>
      <c r="P338" s="48"/>
      <c r="Q338" s="48"/>
      <c r="R338" s="78">
        <f t="shared" si="196"/>
        <v>104.073802716226</v>
      </c>
      <c r="S338" s="78"/>
      <c r="T338" s="79">
        <f t="shared" si="197"/>
        <v>0.214438884917798</v>
      </c>
      <c r="U338" s="78"/>
      <c r="V338" s="78"/>
      <c r="W338" s="80">
        <f t="shared" si="192"/>
        <v>104.288241601144</v>
      </c>
      <c r="X338" s="81">
        <f t="shared" si="198"/>
        <v>1.95677269478199</v>
      </c>
      <c r="Y338" s="81"/>
      <c r="Z338" s="81"/>
      <c r="AA338" s="81">
        <f t="shared" si="194"/>
        <v>1.95677269478199</v>
      </c>
      <c r="AB338" s="90">
        <v>7.19</v>
      </c>
      <c r="AC338" s="78">
        <f t="shared" si="195"/>
        <v>14.0691956754825</v>
      </c>
      <c r="AD338" s="78">
        <f t="shared" si="193"/>
        <v>118.357437276626</v>
      </c>
      <c r="AE338" s="78">
        <f t="shared" si="191"/>
        <v>43.6425627233738</v>
      </c>
    </row>
    <row r="339" customFormat="1" spans="1:31">
      <c r="A339" s="18"/>
      <c r="B339" s="19"/>
      <c r="C339" s="20">
        <v>240306000011</v>
      </c>
      <c r="D339" s="21">
        <v>45364</v>
      </c>
      <c r="E339" s="21" t="s">
        <v>37</v>
      </c>
      <c r="F339" s="19" t="s">
        <v>38</v>
      </c>
      <c r="G339" s="19" t="s">
        <v>281</v>
      </c>
      <c r="H339" s="19">
        <v>1.5</v>
      </c>
      <c r="I339" s="41">
        <v>88.2</v>
      </c>
      <c r="J339" s="53"/>
      <c r="K339" s="51"/>
      <c r="L339" s="53"/>
      <c r="M339" s="44"/>
      <c r="N339" s="45"/>
      <c r="O339" s="46">
        <f t="shared" si="199"/>
        <v>88.2</v>
      </c>
      <c r="P339" s="48"/>
      <c r="Q339" s="48"/>
      <c r="R339" s="78">
        <f t="shared" si="196"/>
        <v>62.4442816297355</v>
      </c>
      <c r="S339" s="78"/>
      <c r="T339" s="79">
        <f t="shared" si="197"/>
        <v>0.128663330950679</v>
      </c>
      <c r="U339" s="78"/>
      <c r="V339" s="78"/>
      <c r="W339" s="80">
        <f t="shared" si="192"/>
        <v>62.5729449606862</v>
      </c>
      <c r="X339" s="81">
        <f t="shared" si="198"/>
        <v>1.17406361686919</v>
      </c>
      <c r="Y339" s="81"/>
      <c r="Z339" s="81"/>
      <c r="AA339" s="81">
        <f t="shared" si="194"/>
        <v>1.17406361686919</v>
      </c>
      <c r="AB339" s="90">
        <v>7.19</v>
      </c>
      <c r="AC339" s="78">
        <f t="shared" si="195"/>
        <v>8.44151740528949</v>
      </c>
      <c r="AD339" s="78">
        <f t="shared" si="193"/>
        <v>71.0144623659757</v>
      </c>
      <c r="AE339" s="78">
        <f t="shared" si="191"/>
        <v>17.1855376340243</v>
      </c>
    </row>
    <row r="340" customFormat="1" spans="1:31">
      <c r="A340" s="18"/>
      <c r="B340" s="19"/>
      <c r="C340" s="20">
        <v>240306000012</v>
      </c>
      <c r="D340" s="21">
        <v>45364</v>
      </c>
      <c r="E340" s="21" t="s">
        <v>44</v>
      </c>
      <c r="F340" s="19" t="s">
        <v>45</v>
      </c>
      <c r="G340" s="19" t="s">
        <v>282</v>
      </c>
      <c r="H340" s="19">
        <v>3</v>
      </c>
      <c r="I340" s="41">
        <v>320</v>
      </c>
      <c r="J340" s="42"/>
      <c r="K340" s="43"/>
      <c r="L340" s="42"/>
      <c r="M340" s="44"/>
      <c r="N340" s="45"/>
      <c r="O340" s="46">
        <f t="shared" si="199"/>
        <v>320</v>
      </c>
      <c r="P340" s="48"/>
      <c r="Q340" s="48"/>
      <c r="R340" s="78">
        <f t="shared" si="196"/>
        <v>124.888563259471</v>
      </c>
      <c r="S340" s="78"/>
      <c r="T340" s="79">
        <f t="shared" si="197"/>
        <v>0.257326661901358</v>
      </c>
      <c r="U340" s="78"/>
      <c r="V340" s="78"/>
      <c r="W340" s="80">
        <f t="shared" si="192"/>
        <v>125.145889921372</v>
      </c>
      <c r="X340" s="81">
        <f t="shared" si="198"/>
        <v>2.34812723373838</v>
      </c>
      <c r="Y340" s="81"/>
      <c r="Z340" s="81"/>
      <c r="AA340" s="81">
        <f t="shared" si="194"/>
        <v>2.34812723373838</v>
      </c>
      <c r="AB340" s="90">
        <v>7.19</v>
      </c>
      <c r="AC340" s="78">
        <f t="shared" si="195"/>
        <v>16.883034810579</v>
      </c>
      <c r="AD340" s="78">
        <f t="shared" si="193"/>
        <v>142.028924731951</v>
      </c>
      <c r="AE340" s="78">
        <f t="shared" si="191"/>
        <v>177.971075268049</v>
      </c>
    </row>
    <row r="341" customFormat="1" spans="1:31">
      <c r="A341" s="18"/>
      <c r="B341" s="19"/>
      <c r="C341" s="20">
        <v>240306000015</v>
      </c>
      <c r="D341" s="21">
        <v>45364</v>
      </c>
      <c r="E341" s="21" t="s">
        <v>47</v>
      </c>
      <c r="F341" s="19" t="s">
        <v>48</v>
      </c>
      <c r="G341" s="19" t="s">
        <v>283</v>
      </c>
      <c r="H341" s="19">
        <v>23.5</v>
      </c>
      <c r="I341" s="41">
        <v>1198.5</v>
      </c>
      <c r="J341" s="42"/>
      <c r="K341" s="43"/>
      <c r="L341" s="42"/>
      <c r="M341" s="44"/>
      <c r="N341" s="45"/>
      <c r="O341" s="46">
        <f t="shared" si="199"/>
        <v>1198.5</v>
      </c>
      <c r="P341" s="48"/>
      <c r="Q341" s="48"/>
      <c r="R341" s="78">
        <f t="shared" si="196"/>
        <v>978.293745532523</v>
      </c>
      <c r="S341" s="78"/>
      <c r="T341" s="79">
        <f t="shared" si="197"/>
        <v>2.01572551822731</v>
      </c>
      <c r="U341" s="78"/>
      <c r="V341" s="78"/>
      <c r="W341" s="80">
        <f t="shared" si="192"/>
        <v>980.309471050751</v>
      </c>
      <c r="X341" s="81">
        <f t="shared" si="198"/>
        <v>18.3936633309507</v>
      </c>
      <c r="Y341" s="81"/>
      <c r="Z341" s="81"/>
      <c r="AA341" s="81">
        <f t="shared" si="194"/>
        <v>18.3936633309507</v>
      </c>
      <c r="AB341" s="90">
        <v>7.19</v>
      </c>
      <c r="AC341" s="78">
        <f t="shared" si="195"/>
        <v>132.250439349535</v>
      </c>
      <c r="AD341" s="78">
        <f t="shared" si="193"/>
        <v>1112.55991040029</v>
      </c>
      <c r="AE341" s="78">
        <f t="shared" si="191"/>
        <v>85.9400895997142</v>
      </c>
    </row>
    <row r="342" customFormat="1" spans="1:31">
      <c r="A342" s="18"/>
      <c r="B342" s="19"/>
      <c r="C342" s="20">
        <v>240306000018</v>
      </c>
      <c r="D342" s="21">
        <v>45364</v>
      </c>
      <c r="E342" s="21" t="s">
        <v>47</v>
      </c>
      <c r="F342" s="19" t="s">
        <v>48</v>
      </c>
      <c r="G342" s="19" t="s">
        <v>284</v>
      </c>
      <c r="H342" s="19">
        <v>2.5</v>
      </c>
      <c r="I342" s="41">
        <v>145</v>
      </c>
      <c r="J342" s="42"/>
      <c r="K342" s="43"/>
      <c r="L342" s="42"/>
      <c r="M342" s="44"/>
      <c r="N342" s="45"/>
      <c r="O342" s="46">
        <f t="shared" si="199"/>
        <v>145</v>
      </c>
      <c r="P342" s="48"/>
      <c r="Q342" s="48"/>
      <c r="R342" s="78">
        <f t="shared" si="196"/>
        <v>104.073802716226</v>
      </c>
      <c r="S342" s="78"/>
      <c r="T342" s="79">
        <f t="shared" si="197"/>
        <v>0.214438884917798</v>
      </c>
      <c r="U342" s="78"/>
      <c r="V342" s="78"/>
      <c r="W342" s="80">
        <f t="shared" si="192"/>
        <v>104.288241601144</v>
      </c>
      <c r="X342" s="81">
        <f t="shared" si="198"/>
        <v>1.95677269478199</v>
      </c>
      <c r="Y342" s="81"/>
      <c r="Z342" s="81"/>
      <c r="AA342" s="81">
        <f t="shared" si="194"/>
        <v>1.95677269478199</v>
      </c>
      <c r="AB342" s="90">
        <v>7.19</v>
      </c>
      <c r="AC342" s="78">
        <f t="shared" si="195"/>
        <v>14.0691956754825</v>
      </c>
      <c r="AD342" s="78">
        <f t="shared" si="193"/>
        <v>118.357437276626</v>
      </c>
      <c r="AE342" s="78">
        <f t="shared" si="191"/>
        <v>26.6425627233738</v>
      </c>
    </row>
    <row r="343" customFormat="1" spans="1:31">
      <c r="A343" s="18"/>
      <c r="B343" s="19"/>
      <c r="C343" s="20">
        <v>240306000020</v>
      </c>
      <c r="D343" s="21">
        <v>45364</v>
      </c>
      <c r="E343" s="21" t="s">
        <v>47</v>
      </c>
      <c r="F343" s="19" t="s">
        <v>48</v>
      </c>
      <c r="G343" s="19" t="s">
        <v>285</v>
      </c>
      <c r="H343" s="19">
        <v>0.32</v>
      </c>
      <c r="I343" s="41"/>
      <c r="J343" s="42">
        <v>12240</v>
      </c>
      <c r="K343" s="106"/>
      <c r="L343" s="50">
        <f t="shared" ref="L343:L345" si="200">SUM(J343/M343)</f>
        <v>1467.62589928058</v>
      </c>
      <c r="M343" s="52">
        <v>8.34</v>
      </c>
      <c r="N343" s="45">
        <v>7.19</v>
      </c>
      <c r="O343" s="46">
        <f t="shared" ref="O343:O345" si="201">SUM(M343*N343)</f>
        <v>59.9646</v>
      </c>
      <c r="P343" s="48"/>
      <c r="Q343" s="48"/>
      <c r="R343" s="78">
        <f t="shared" si="196"/>
        <v>13.3214467476769</v>
      </c>
      <c r="S343" s="78"/>
      <c r="T343" s="79">
        <f t="shared" si="197"/>
        <v>0.0274481772694782</v>
      </c>
      <c r="U343" s="78"/>
      <c r="V343" s="78"/>
      <c r="W343" s="80">
        <f t="shared" si="192"/>
        <v>13.3488949249464</v>
      </c>
      <c r="X343" s="81">
        <f t="shared" si="198"/>
        <v>0.250466904932094</v>
      </c>
      <c r="Y343" s="81"/>
      <c r="Z343" s="81"/>
      <c r="AA343" s="81">
        <f t="shared" si="194"/>
        <v>0.250466904932094</v>
      </c>
      <c r="AB343" s="90">
        <v>7.19</v>
      </c>
      <c r="AC343" s="78">
        <f t="shared" si="195"/>
        <v>1.80085704646176</v>
      </c>
      <c r="AD343" s="78">
        <f t="shared" si="193"/>
        <v>15.1497519714081</v>
      </c>
      <c r="AE343" s="78">
        <f t="shared" si="191"/>
        <v>44.8148480285918</v>
      </c>
    </row>
    <row r="344" customFormat="1" spans="1:31">
      <c r="A344" s="18"/>
      <c r="B344" s="19"/>
      <c r="C344" s="20">
        <v>240306000021</v>
      </c>
      <c r="D344" s="21">
        <v>45364</v>
      </c>
      <c r="E344" s="21" t="s">
        <v>44</v>
      </c>
      <c r="F344" s="19" t="s">
        <v>45</v>
      </c>
      <c r="G344" s="19" t="s">
        <v>286</v>
      </c>
      <c r="H344" s="19">
        <v>93.5</v>
      </c>
      <c r="I344" s="49"/>
      <c r="J344" s="50">
        <v>1037850</v>
      </c>
      <c r="K344" s="91"/>
      <c r="L344" s="50">
        <f t="shared" si="200"/>
        <v>1330.15059275873</v>
      </c>
      <c r="M344" s="52">
        <v>780.25</v>
      </c>
      <c r="N344" s="45">
        <v>7.19</v>
      </c>
      <c r="O344" s="46">
        <f t="shared" si="201"/>
        <v>5609.9975</v>
      </c>
      <c r="P344" s="48"/>
      <c r="Q344" s="48"/>
      <c r="R344" s="78">
        <f t="shared" si="196"/>
        <v>3892.36022158685</v>
      </c>
      <c r="S344" s="78"/>
      <c r="T344" s="79">
        <f t="shared" si="197"/>
        <v>8.02001429592566</v>
      </c>
      <c r="U344" s="78"/>
      <c r="V344" s="78"/>
      <c r="W344" s="80">
        <f t="shared" si="192"/>
        <v>3900.38023588277</v>
      </c>
      <c r="X344" s="81">
        <f t="shared" si="198"/>
        <v>73.1832987848463</v>
      </c>
      <c r="Y344" s="81"/>
      <c r="Z344" s="81"/>
      <c r="AA344" s="81">
        <f t="shared" si="194"/>
        <v>73.1832987848463</v>
      </c>
      <c r="AB344" s="90">
        <v>7.19</v>
      </c>
      <c r="AC344" s="78">
        <f t="shared" si="195"/>
        <v>526.187918263045</v>
      </c>
      <c r="AD344" s="78">
        <f t="shared" si="193"/>
        <v>4426.56815414582</v>
      </c>
      <c r="AE344" s="78">
        <f t="shared" si="191"/>
        <v>1183.42934585418</v>
      </c>
    </row>
    <row r="345" customFormat="1" spans="1:31">
      <c r="A345" s="18"/>
      <c r="B345" s="19"/>
      <c r="C345" s="20">
        <v>240306000024</v>
      </c>
      <c r="D345" s="21">
        <v>45364</v>
      </c>
      <c r="E345" s="21" t="s">
        <v>70</v>
      </c>
      <c r="F345" s="19" t="s">
        <v>287</v>
      </c>
      <c r="G345" s="19" t="s">
        <v>288</v>
      </c>
      <c r="H345" s="19">
        <v>42.5</v>
      </c>
      <c r="I345" s="46"/>
      <c r="J345" s="54">
        <v>990000</v>
      </c>
      <c r="K345" s="55"/>
      <c r="L345" s="50">
        <f t="shared" si="200"/>
        <v>1650.49514854456</v>
      </c>
      <c r="M345" s="52">
        <v>599.82</v>
      </c>
      <c r="N345" s="45">
        <v>7.19</v>
      </c>
      <c r="O345" s="46">
        <f t="shared" si="201"/>
        <v>4312.7058</v>
      </c>
      <c r="P345" s="48"/>
      <c r="Q345" s="48"/>
      <c r="R345" s="78">
        <f t="shared" si="196"/>
        <v>1769.25464617584</v>
      </c>
      <c r="S345" s="78"/>
      <c r="T345" s="79">
        <f t="shared" si="197"/>
        <v>3.64546104360257</v>
      </c>
      <c r="U345" s="78"/>
      <c r="V345" s="78"/>
      <c r="W345" s="80">
        <f t="shared" si="192"/>
        <v>1772.90010721944</v>
      </c>
      <c r="X345" s="81">
        <f t="shared" si="198"/>
        <v>33.2651358112938</v>
      </c>
      <c r="Y345" s="81"/>
      <c r="Z345" s="81"/>
      <c r="AA345" s="81">
        <f t="shared" si="194"/>
        <v>33.2651358112938</v>
      </c>
      <c r="AB345" s="90">
        <v>7.19</v>
      </c>
      <c r="AC345" s="78">
        <f t="shared" si="195"/>
        <v>239.176326483202</v>
      </c>
      <c r="AD345" s="78">
        <f t="shared" si="193"/>
        <v>2012.07643370264</v>
      </c>
      <c r="AE345" s="78">
        <f t="shared" si="191"/>
        <v>2300.62936629735</v>
      </c>
    </row>
    <row r="346" customFormat="1" spans="1:31">
      <c r="A346" s="18"/>
      <c r="B346" s="19"/>
      <c r="C346" s="22">
        <v>240307000006</v>
      </c>
      <c r="D346" s="23">
        <v>45364</v>
      </c>
      <c r="E346" s="21" t="s">
        <v>47</v>
      </c>
      <c r="F346" s="24" t="s">
        <v>48</v>
      </c>
      <c r="G346" s="24" t="s">
        <v>289</v>
      </c>
      <c r="H346" s="24">
        <v>1.5</v>
      </c>
      <c r="I346" s="41">
        <v>99</v>
      </c>
      <c r="J346" s="42"/>
      <c r="K346" s="43"/>
      <c r="L346" s="42"/>
      <c r="M346" s="44"/>
      <c r="N346" s="45"/>
      <c r="O346" s="46">
        <f t="shared" ref="O346:O350" si="202">SUM(I346)</f>
        <v>99</v>
      </c>
      <c r="P346" s="48"/>
      <c r="Q346" s="48"/>
      <c r="R346" s="78">
        <f t="shared" si="196"/>
        <v>62.4442816297355</v>
      </c>
      <c r="S346" s="78"/>
      <c r="T346" s="79">
        <f t="shared" si="197"/>
        <v>0.128663330950679</v>
      </c>
      <c r="U346" s="78"/>
      <c r="V346" s="78"/>
      <c r="W346" s="80">
        <f t="shared" si="192"/>
        <v>62.5729449606862</v>
      </c>
      <c r="X346" s="81">
        <f t="shared" si="198"/>
        <v>1.17406361686919</v>
      </c>
      <c r="Y346" s="81"/>
      <c r="Z346" s="81"/>
      <c r="AA346" s="81">
        <f t="shared" si="194"/>
        <v>1.17406361686919</v>
      </c>
      <c r="AB346" s="90">
        <v>7.19</v>
      </c>
      <c r="AC346" s="78">
        <f t="shared" si="195"/>
        <v>8.44151740528949</v>
      </c>
      <c r="AD346" s="78">
        <f t="shared" si="193"/>
        <v>71.0144623659757</v>
      </c>
      <c r="AE346" s="78">
        <f t="shared" si="191"/>
        <v>27.9855376340243</v>
      </c>
    </row>
    <row r="347" customFormat="1" spans="1:31">
      <c r="A347" s="18"/>
      <c r="B347" s="19"/>
      <c r="C347" s="20">
        <v>240307000008</v>
      </c>
      <c r="D347" s="21">
        <v>45364</v>
      </c>
      <c r="E347" s="21" t="s">
        <v>44</v>
      </c>
      <c r="F347" s="19" t="s">
        <v>45</v>
      </c>
      <c r="G347" s="19" t="s">
        <v>290</v>
      </c>
      <c r="H347" s="19">
        <v>8.5</v>
      </c>
      <c r="I347" s="41">
        <v>572</v>
      </c>
      <c r="J347" s="42"/>
      <c r="K347" s="43"/>
      <c r="L347" s="42"/>
      <c r="M347" s="44"/>
      <c r="N347" s="45"/>
      <c r="O347" s="46">
        <f t="shared" si="202"/>
        <v>572</v>
      </c>
      <c r="P347" s="48"/>
      <c r="Q347" s="48"/>
      <c r="R347" s="78">
        <f t="shared" si="196"/>
        <v>353.850929235168</v>
      </c>
      <c r="S347" s="78"/>
      <c r="T347" s="79">
        <f t="shared" si="197"/>
        <v>0.729092208720515</v>
      </c>
      <c r="U347" s="78"/>
      <c r="V347" s="78"/>
      <c r="W347" s="80">
        <f t="shared" si="192"/>
        <v>354.580021443888</v>
      </c>
      <c r="X347" s="81">
        <f t="shared" si="198"/>
        <v>6.65302716225876</v>
      </c>
      <c r="Y347" s="81"/>
      <c r="Z347" s="81"/>
      <c r="AA347" s="81">
        <f t="shared" si="194"/>
        <v>6.65302716225876</v>
      </c>
      <c r="AB347" s="90">
        <v>7.19</v>
      </c>
      <c r="AC347" s="78">
        <f t="shared" si="195"/>
        <v>47.8352652966405</v>
      </c>
      <c r="AD347" s="78">
        <f t="shared" si="193"/>
        <v>402.415286740529</v>
      </c>
      <c r="AE347" s="78">
        <f t="shared" si="191"/>
        <v>169.584713259471</v>
      </c>
    </row>
    <row r="348" customFormat="1" spans="1:31">
      <c r="A348" s="18"/>
      <c r="B348" s="19"/>
      <c r="C348" s="20">
        <v>240307000014</v>
      </c>
      <c r="D348" s="21">
        <v>45364</v>
      </c>
      <c r="E348" s="21" t="s">
        <v>44</v>
      </c>
      <c r="F348" s="19" t="s">
        <v>45</v>
      </c>
      <c r="G348" s="19" t="s">
        <v>107</v>
      </c>
      <c r="H348" s="19">
        <v>0.63</v>
      </c>
      <c r="I348" s="41">
        <v>75</v>
      </c>
      <c r="J348" s="42"/>
      <c r="K348" s="43"/>
      <c r="L348" s="42"/>
      <c r="M348" s="44"/>
      <c r="N348" s="45"/>
      <c r="O348" s="46">
        <f t="shared" si="202"/>
        <v>75</v>
      </c>
      <c r="P348" s="48"/>
      <c r="Q348" s="48"/>
      <c r="R348" s="78">
        <f t="shared" si="196"/>
        <v>26.2265982844889</v>
      </c>
      <c r="S348" s="78"/>
      <c r="T348" s="79">
        <f t="shared" si="197"/>
        <v>0.0540385989992852</v>
      </c>
      <c r="U348" s="78"/>
      <c r="V348" s="78"/>
      <c r="W348" s="80">
        <f t="shared" si="192"/>
        <v>26.2806368834882</v>
      </c>
      <c r="X348" s="81">
        <f t="shared" si="198"/>
        <v>0.493106719085061</v>
      </c>
      <c r="Y348" s="81"/>
      <c r="Z348" s="81"/>
      <c r="AA348" s="81">
        <f t="shared" si="194"/>
        <v>0.493106719085061</v>
      </c>
      <c r="AB348" s="90">
        <v>7.19</v>
      </c>
      <c r="AC348" s="78">
        <f t="shared" si="195"/>
        <v>3.54543731022159</v>
      </c>
      <c r="AD348" s="78">
        <f t="shared" si="193"/>
        <v>29.8260741937098</v>
      </c>
      <c r="AE348" s="78">
        <f t="shared" si="191"/>
        <v>45.1739258062902</v>
      </c>
    </row>
    <row r="349" customFormat="1" spans="1:31">
      <c r="A349" s="18"/>
      <c r="B349" s="19"/>
      <c r="C349" s="20">
        <v>240307000018</v>
      </c>
      <c r="D349" s="21">
        <v>45364</v>
      </c>
      <c r="E349" s="21" t="s">
        <v>47</v>
      </c>
      <c r="F349" s="19" t="s">
        <v>48</v>
      </c>
      <c r="G349" s="19" t="s">
        <v>291</v>
      </c>
      <c r="H349" s="19">
        <v>21.5</v>
      </c>
      <c r="I349" s="41">
        <v>1223.4</v>
      </c>
      <c r="J349" s="42"/>
      <c r="K349" s="43"/>
      <c r="L349" s="42"/>
      <c r="M349" s="44"/>
      <c r="N349" s="45"/>
      <c r="O349" s="46">
        <f t="shared" si="202"/>
        <v>1223.4</v>
      </c>
      <c r="P349" s="48"/>
      <c r="Q349" s="48"/>
      <c r="R349" s="78">
        <f t="shared" si="196"/>
        <v>895.034703359543</v>
      </c>
      <c r="S349" s="78"/>
      <c r="T349" s="79">
        <f t="shared" si="197"/>
        <v>1.84417441029307</v>
      </c>
      <c r="U349" s="78"/>
      <c r="V349" s="78"/>
      <c r="W349" s="80">
        <f t="shared" si="192"/>
        <v>896.878877769836</v>
      </c>
      <c r="X349" s="81">
        <f t="shared" si="198"/>
        <v>16.8282451751251</v>
      </c>
      <c r="Y349" s="81"/>
      <c r="Z349" s="81"/>
      <c r="AA349" s="81">
        <f t="shared" si="194"/>
        <v>16.8282451751251</v>
      </c>
      <c r="AB349" s="90">
        <v>7.19</v>
      </c>
      <c r="AC349" s="78">
        <f t="shared" si="195"/>
        <v>120.995082809149</v>
      </c>
      <c r="AD349" s="78">
        <f t="shared" si="193"/>
        <v>1017.87396057898</v>
      </c>
      <c r="AE349" s="78">
        <f t="shared" si="191"/>
        <v>205.526039421015</v>
      </c>
    </row>
    <row r="350" customFormat="1" spans="1:31">
      <c r="A350" s="18"/>
      <c r="B350" s="19"/>
      <c r="C350" s="20">
        <v>240307000020</v>
      </c>
      <c r="D350" s="21">
        <v>45364</v>
      </c>
      <c r="E350" s="21" t="s">
        <v>44</v>
      </c>
      <c r="F350" s="19" t="s">
        <v>45</v>
      </c>
      <c r="G350" s="19" t="s">
        <v>122</v>
      </c>
      <c r="H350" s="19">
        <v>0.56</v>
      </c>
      <c r="I350" s="41">
        <v>60</v>
      </c>
      <c r="J350" s="42"/>
      <c r="K350" s="43"/>
      <c r="L350" s="42"/>
      <c r="M350" s="44"/>
      <c r="N350" s="45"/>
      <c r="O350" s="46">
        <f t="shared" si="202"/>
        <v>60</v>
      </c>
      <c r="P350" s="48"/>
      <c r="Q350" s="48"/>
      <c r="R350" s="78">
        <f t="shared" si="196"/>
        <v>23.3125318084346</v>
      </c>
      <c r="S350" s="78"/>
      <c r="T350" s="79">
        <f t="shared" si="197"/>
        <v>0.0480343102215869</v>
      </c>
      <c r="U350" s="78"/>
      <c r="V350" s="78"/>
      <c r="W350" s="80">
        <f t="shared" si="192"/>
        <v>23.3605661186562</v>
      </c>
      <c r="X350" s="81">
        <f t="shared" si="198"/>
        <v>0.438317083631165</v>
      </c>
      <c r="Y350" s="81"/>
      <c r="Z350" s="81"/>
      <c r="AA350" s="81">
        <f t="shared" si="194"/>
        <v>0.438317083631165</v>
      </c>
      <c r="AB350" s="90">
        <v>7.19</v>
      </c>
      <c r="AC350" s="78">
        <f t="shared" si="195"/>
        <v>3.15149983130808</v>
      </c>
      <c r="AD350" s="78">
        <f t="shared" si="193"/>
        <v>26.5120659499643</v>
      </c>
      <c r="AE350" s="78">
        <f t="shared" si="191"/>
        <v>33.4879340500357</v>
      </c>
    </row>
    <row r="351" customFormat="1" spans="1:31">
      <c r="A351" s="18"/>
      <c r="B351" s="19"/>
      <c r="C351" s="20">
        <v>240307000023</v>
      </c>
      <c r="D351" s="21">
        <v>45364</v>
      </c>
      <c r="E351" s="21" t="s">
        <v>37</v>
      </c>
      <c r="F351" s="19" t="s">
        <v>38</v>
      </c>
      <c r="G351" s="19" t="s">
        <v>292</v>
      </c>
      <c r="H351" s="19">
        <v>16.5</v>
      </c>
      <c r="I351" s="46"/>
      <c r="J351" s="54">
        <v>217197</v>
      </c>
      <c r="K351" s="55"/>
      <c r="L351" s="50">
        <f>SUM(J351/M351)</f>
        <v>1489.99804417905</v>
      </c>
      <c r="M351" s="52">
        <v>145.76999</v>
      </c>
      <c r="N351" s="45">
        <v>7.19</v>
      </c>
      <c r="O351" s="46">
        <f>SUM(M351*N351)</f>
        <v>1048.0862281</v>
      </c>
      <c r="P351" s="48"/>
      <c r="Q351" s="48"/>
      <c r="R351" s="78">
        <f t="shared" si="196"/>
        <v>686.887097927091</v>
      </c>
      <c r="S351" s="78"/>
      <c r="T351" s="79">
        <f t="shared" si="197"/>
        <v>1.41529664045747</v>
      </c>
      <c r="U351" s="78">
        <v>30</v>
      </c>
      <c r="V351" s="78"/>
      <c r="W351" s="80">
        <f t="shared" si="192"/>
        <v>718.302394567548</v>
      </c>
      <c r="X351" s="81">
        <f t="shared" si="198"/>
        <v>12.9146997855611</v>
      </c>
      <c r="Y351" s="81"/>
      <c r="Z351" s="81"/>
      <c r="AA351" s="81">
        <f t="shared" si="194"/>
        <v>12.9146997855611</v>
      </c>
      <c r="AB351" s="90">
        <v>7.19</v>
      </c>
      <c r="AC351" s="78">
        <f t="shared" si="195"/>
        <v>92.8566914581844</v>
      </c>
      <c r="AD351" s="78">
        <f t="shared" si="193"/>
        <v>811.159086025733</v>
      </c>
      <c r="AE351" s="78">
        <f t="shared" si="191"/>
        <v>236.927142074267</v>
      </c>
    </row>
    <row r="352" customFormat="1" spans="1:31">
      <c r="A352" s="18"/>
      <c r="B352" s="19"/>
      <c r="C352" s="20">
        <v>240307000024</v>
      </c>
      <c r="D352" s="21">
        <v>45364</v>
      </c>
      <c r="E352" s="21" t="s">
        <v>70</v>
      </c>
      <c r="F352" s="19" t="s">
        <v>70</v>
      </c>
      <c r="G352" s="19" t="s">
        <v>293</v>
      </c>
      <c r="H352" s="19">
        <v>10</v>
      </c>
      <c r="I352" s="41">
        <v>708.4</v>
      </c>
      <c r="J352" s="53"/>
      <c r="K352" s="51"/>
      <c r="L352" s="53"/>
      <c r="M352" s="44"/>
      <c r="N352" s="45"/>
      <c r="O352" s="46">
        <f t="shared" ref="O352:O367" si="203">SUM(I352)</f>
        <v>708.4</v>
      </c>
      <c r="P352" s="48"/>
      <c r="Q352" s="48"/>
      <c r="R352" s="78">
        <f t="shared" si="196"/>
        <v>416.295210864903</v>
      </c>
      <c r="S352" s="78"/>
      <c r="T352" s="79">
        <f t="shared" si="197"/>
        <v>0.857755539671194</v>
      </c>
      <c r="U352" s="78"/>
      <c r="V352" s="78"/>
      <c r="W352" s="80">
        <f t="shared" si="192"/>
        <v>417.152966404575</v>
      </c>
      <c r="X352" s="81">
        <f t="shared" si="198"/>
        <v>7.82709077912795</v>
      </c>
      <c r="Y352" s="81"/>
      <c r="Z352" s="81"/>
      <c r="AA352" s="81">
        <f t="shared" si="194"/>
        <v>7.82709077912795</v>
      </c>
      <c r="AB352" s="90">
        <v>7.19</v>
      </c>
      <c r="AC352" s="78">
        <f t="shared" si="195"/>
        <v>56.27678270193</v>
      </c>
      <c r="AD352" s="78">
        <f t="shared" si="193"/>
        <v>473.429749106505</v>
      </c>
      <c r="AE352" s="78">
        <f t="shared" si="191"/>
        <v>234.970250893495</v>
      </c>
    </row>
    <row r="353" customFormat="1" spans="1:31">
      <c r="A353" s="18"/>
      <c r="B353" s="19"/>
      <c r="C353" s="20">
        <v>240307000040</v>
      </c>
      <c r="D353" s="21">
        <v>45364</v>
      </c>
      <c r="E353" s="21" t="s">
        <v>44</v>
      </c>
      <c r="F353" s="19" t="s">
        <v>45</v>
      </c>
      <c r="G353" s="19" t="s">
        <v>286</v>
      </c>
      <c r="H353" s="19">
        <v>7.5</v>
      </c>
      <c r="I353" s="49"/>
      <c r="J353" s="42">
        <v>72150</v>
      </c>
      <c r="K353" s="43"/>
      <c r="L353" s="50">
        <f>SUM(J353/M353)</f>
        <v>1330.19911504425</v>
      </c>
      <c r="M353" s="52">
        <v>54.24</v>
      </c>
      <c r="N353" s="45">
        <v>7.19</v>
      </c>
      <c r="O353" s="46">
        <f>SUM(M353*N353)</f>
        <v>389.9856</v>
      </c>
      <c r="P353" s="48"/>
      <c r="Q353" s="48"/>
      <c r="R353" s="78">
        <f t="shared" si="196"/>
        <v>312.221408148678</v>
      </c>
      <c r="S353" s="78"/>
      <c r="T353" s="79">
        <f t="shared" si="197"/>
        <v>0.643316654753395</v>
      </c>
      <c r="U353" s="78"/>
      <c r="V353" s="78"/>
      <c r="W353" s="80">
        <f t="shared" si="192"/>
        <v>312.864724803431</v>
      </c>
      <c r="X353" s="81">
        <f t="shared" si="198"/>
        <v>5.87031808434596</v>
      </c>
      <c r="Y353" s="81"/>
      <c r="Z353" s="81"/>
      <c r="AA353" s="81">
        <f t="shared" si="194"/>
        <v>5.87031808434596</v>
      </c>
      <c r="AB353" s="90">
        <v>7.19</v>
      </c>
      <c r="AC353" s="78">
        <f t="shared" si="195"/>
        <v>42.2075870264475</v>
      </c>
      <c r="AD353" s="78">
        <f t="shared" si="193"/>
        <v>355.072311829878</v>
      </c>
      <c r="AE353" s="78">
        <f t="shared" si="191"/>
        <v>34.9132881701215</v>
      </c>
    </row>
    <row r="354" customFormat="1" spans="1:31">
      <c r="A354" s="18"/>
      <c r="B354" s="19"/>
      <c r="C354" s="20">
        <v>240307000043</v>
      </c>
      <c r="D354" s="21">
        <v>45364</v>
      </c>
      <c r="E354" s="21" t="s">
        <v>37</v>
      </c>
      <c r="F354" s="19" t="s">
        <v>38</v>
      </c>
      <c r="G354" s="19" t="s">
        <v>194</v>
      </c>
      <c r="H354" s="19">
        <v>2.5</v>
      </c>
      <c r="I354" s="41">
        <v>257.95</v>
      </c>
      <c r="J354" s="53"/>
      <c r="K354" s="51"/>
      <c r="L354" s="53"/>
      <c r="M354" s="44"/>
      <c r="N354" s="45"/>
      <c r="O354" s="46">
        <f t="shared" si="203"/>
        <v>257.95</v>
      </c>
      <c r="P354" s="48"/>
      <c r="Q354" s="48"/>
      <c r="R354" s="78">
        <f t="shared" si="196"/>
        <v>104.073802716226</v>
      </c>
      <c r="S354" s="78"/>
      <c r="T354" s="79">
        <f t="shared" si="197"/>
        <v>0.214438884917798</v>
      </c>
      <c r="U354" s="78"/>
      <c r="V354" s="78"/>
      <c r="W354" s="80">
        <f t="shared" si="192"/>
        <v>104.288241601144</v>
      </c>
      <c r="X354" s="81">
        <f t="shared" si="198"/>
        <v>1.95677269478199</v>
      </c>
      <c r="Y354" s="81"/>
      <c r="Z354" s="81"/>
      <c r="AA354" s="81">
        <f t="shared" si="194"/>
        <v>1.95677269478199</v>
      </c>
      <c r="AB354" s="90">
        <v>7.19</v>
      </c>
      <c r="AC354" s="78">
        <f t="shared" si="195"/>
        <v>14.0691956754825</v>
      </c>
      <c r="AD354" s="78">
        <f t="shared" si="193"/>
        <v>118.357437276626</v>
      </c>
      <c r="AE354" s="78">
        <f t="shared" si="191"/>
        <v>139.592562723374</v>
      </c>
    </row>
    <row r="355" customFormat="1" spans="1:31">
      <c r="A355" s="18"/>
      <c r="B355" s="19"/>
      <c r="C355" s="20">
        <v>240307000044</v>
      </c>
      <c r="D355" s="21">
        <v>45364</v>
      </c>
      <c r="E355" s="21" t="s">
        <v>51</v>
      </c>
      <c r="F355" s="19" t="s">
        <v>52</v>
      </c>
      <c r="G355" s="19" t="s">
        <v>294</v>
      </c>
      <c r="H355" s="19">
        <v>1</v>
      </c>
      <c r="I355" s="41">
        <v>83</v>
      </c>
      <c r="J355" s="42"/>
      <c r="K355" s="43"/>
      <c r="L355" s="42"/>
      <c r="M355" s="44"/>
      <c r="N355" s="45"/>
      <c r="O355" s="46">
        <f t="shared" si="203"/>
        <v>83</v>
      </c>
      <c r="P355" s="48"/>
      <c r="Q355" s="48"/>
      <c r="R355" s="78">
        <f t="shared" si="196"/>
        <v>41.6295210864903</v>
      </c>
      <c r="S355" s="78"/>
      <c r="T355" s="79">
        <f t="shared" si="197"/>
        <v>0.0857755539671194</v>
      </c>
      <c r="U355" s="78"/>
      <c r="V355" s="78"/>
      <c r="W355" s="80">
        <f t="shared" si="192"/>
        <v>41.7152966404575</v>
      </c>
      <c r="X355" s="81">
        <f t="shared" si="198"/>
        <v>0.782709077912795</v>
      </c>
      <c r="Y355" s="81"/>
      <c r="Z355" s="81"/>
      <c r="AA355" s="81">
        <f t="shared" si="194"/>
        <v>0.782709077912795</v>
      </c>
      <c r="AB355" s="90">
        <v>7.19</v>
      </c>
      <c r="AC355" s="78">
        <f t="shared" si="195"/>
        <v>5.627678270193</v>
      </c>
      <c r="AD355" s="78">
        <f t="shared" si="193"/>
        <v>47.3429749106505</v>
      </c>
      <c r="AE355" s="78">
        <f t="shared" si="191"/>
        <v>35.6570250893495</v>
      </c>
    </row>
    <row r="356" customFormat="1" spans="1:31">
      <c r="A356" s="18"/>
      <c r="B356" s="19"/>
      <c r="C356" s="20">
        <v>240308000010</v>
      </c>
      <c r="D356" s="21">
        <v>45364</v>
      </c>
      <c r="E356" s="21" t="s">
        <v>44</v>
      </c>
      <c r="F356" s="19" t="s">
        <v>45</v>
      </c>
      <c r="G356" s="19" t="s">
        <v>164</v>
      </c>
      <c r="H356" s="19">
        <v>9</v>
      </c>
      <c r="I356" s="41">
        <v>742.5</v>
      </c>
      <c r="J356" s="53"/>
      <c r="K356" s="51"/>
      <c r="L356" s="53"/>
      <c r="M356" s="44"/>
      <c r="N356" s="45"/>
      <c r="O356" s="46">
        <f t="shared" si="203"/>
        <v>742.5</v>
      </c>
      <c r="P356" s="48"/>
      <c r="Q356" s="48"/>
      <c r="R356" s="78">
        <f t="shared" si="196"/>
        <v>374.665689778413</v>
      </c>
      <c r="S356" s="78"/>
      <c r="T356" s="79">
        <f t="shared" si="197"/>
        <v>0.771979985704074</v>
      </c>
      <c r="U356" s="78"/>
      <c r="V356" s="78"/>
      <c r="W356" s="80">
        <f t="shared" si="192"/>
        <v>375.437669764117</v>
      </c>
      <c r="X356" s="81">
        <f t="shared" si="198"/>
        <v>7.04438170121515</v>
      </c>
      <c r="Y356" s="81"/>
      <c r="Z356" s="81"/>
      <c r="AA356" s="81">
        <f t="shared" si="194"/>
        <v>7.04438170121515</v>
      </c>
      <c r="AB356" s="90">
        <v>7.19</v>
      </c>
      <c r="AC356" s="78">
        <f t="shared" si="195"/>
        <v>50.649104431737</v>
      </c>
      <c r="AD356" s="78">
        <f t="shared" si="193"/>
        <v>426.086774195854</v>
      </c>
      <c r="AE356" s="78">
        <f t="shared" si="191"/>
        <v>316.413225804146</v>
      </c>
    </row>
    <row r="357" customFormat="1" spans="1:31">
      <c r="A357" s="18"/>
      <c r="B357" s="19"/>
      <c r="C357" s="20">
        <v>240308000014</v>
      </c>
      <c r="D357" s="21">
        <v>45364</v>
      </c>
      <c r="E357" s="21" t="s">
        <v>70</v>
      </c>
      <c r="F357" s="19" t="s">
        <v>70</v>
      </c>
      <c r="G357" s="19" t="s">
        <v>71</v>
      </c>
      <c r="H357" s="19">
        <v>125</v>
      </c>
      <c r="I357" s="41">
        <v>5965.5</v>
      </c>
      <c r="J357" s="53"/>
      <c r="K357" s="51"/>
      <c r="L357" s="53"/>
      <c r="M357" s="44"/>
      <c r="N357" s="45"/>
      <c r="O357" s="46">
        <f t="shared" si="203"/>
        <v>5965.5</v>
      </c>
      <c r="P357" s="48"/>
      <c r="Q357" s="48"/>
      <c r="R357" s="78">
        <f t="shared" si="196"/>
        <v>5203.69013581129</v>
      </c>
      <c r="S357" s="78"/>
      <c r="T357" s="79">
        <f t="shared" si="197"/>
        <v>10.7219442458899</v>
      </c>
      <c r="U357" s="78"/>
      <c r="V357" s="78"/>
      <c r="W357" s="80">
        <f t="shared" si="192"/>
        <v>5214.41208005718</v>
      </c>
      <c r="X357" s="81">
        <f t="shared" si="198"/>
        <v>97.8386347390994</v>
      </c>
      <c r="Y357" s="81"/>
      <c r="Z357" s="81"/>
      <c r="AA357" s="81">
        <f t="shared" si="194"/>
        <v>97.8386347390994</v>
      </c>
      <c r="AB357" s="90">
        <v>7.19</v>
      </c>
      <c r="AC357" s="78">
        <f t="shared" si="195"/>
        <v>703.459783774125</v>
      </c>
      <c r="AD357" s="78">
        <f t="shared" si="193"/>
        <v>5917.87186383131</v>
      </c>
      <c r="AE357" s="78">
        <f t="shared" si="191"/>
        <v>47.6281361686915</v>
      </c>
    </row>
    <row r="358" customFormat="1" spans="1:31">
      <c r="A358" s="18"/>
      <c r="B358" s="19"/>
      <c r="C358" s="20">
        <v>240308000019</v>
      </c>
      <c r="D358" s="21">
        <v>45364</v>
      </c>
      <c r="E358" s="21" t="s">
        <v>70</v>
      </c>
      <c r="F358" s="19" t="s">
        <v>295</v>
      </c>
      <c r="G358" s="19" t="s">
        <v>296</v>
      </c>
      <c r="H358" s="19">
        <v>11</v>
      </c>
      <c r="I358" s="41">
        <v>686</v>
      </c>
      <c r="J358" s="53"/>
      <c r="K358" s="51"/>
      <c r="L358" s="50"/>
      <c r="M358" s="44"/>
      <c r="N358" s="45"/>
      <c r="O358" s="46">
        <f t="shared" si="203"/>
        <v>686</v>
      </c>
      <c r="P358" s="48"/>
      <c r="Q358" s="48"/>
      <c r="R358" s="78">
        <f t="shared" si="196"/>
        <v>457.924731951394</v>
      </c>
      <c r="S358" s="78"/>
      <c r="T358" s="79">
        <f t="shared" si="197"/>
        <v>0.943531093638313</v>
      </c>
      <c r="U358" s="78"/>
      <c r="V358" s="78"/>
      <c r="W358" s="80">
        <f t="shared" si="192"/>
        <v>458.868263045032</v>
      </c>
      <c r="X358" s="81">
        <f t="shared" si="198"/>
        <v>8.60979985704074</v>
      </c>
      <c r="Y358" s="81"/>
      <c r="Z358" s="81"/>
      <c r="AA358" s="81">
        <f t="shared" si="194"/>
        <v>8.60979985704074</v>
      </c>
      <c r="AB358" s="90">
        <v>7.19</v>
      </c>
      <c r="AC358" s="78">
        <f t="shared" si="195"/>
        <v>61.9044609721229</v>
      </c>
      <c r="AD358" s="78">
        <f t="shared" si="193"/>
        <v>520.772724017155</v>
      </c>
      <c r="AE358" s="78">
        <f t="shared" si="191"/>
        <v>165.227275982845</v>
      </c>
    </row>
    <row r="359" customFormat="1" spans="1:31">
      <c r="A359" s="18"/>
      <c r="B359" s="19"/>
      <c r="C359" s="20">
        <v>240308000024</v>
      </c>
      <c r="D359" s="21">
        <v>45364</v>
      </c>
      <c r="E359" s="21" t="s">
        <v>70</v>
      </c>
      <c r="F359" s="19" t="s">
        <v>70</v>
      </c>
      <c r="G359" s="19" t="s">
        <v>116</v>
      </c>
      <c r="H359" s="19">
        <v>248</v>
      </c>
      <c r="I359" s="49">
        <v>12648</v>
      </c>
      <c r="J359" s="53"/>
      <c r="K359" s="51"/>
      <c r="L359" s="53"/>
      <c r="M359" s="44"/>
      <c r="N359" s="45"/>
      <c r="O359" s="46">
        <f t="shared" si="203"/>
        <v>12648</v>
      </c>
      <c r="P359" s="48"/>
      <c r="Q359" s="48"/>
      <c r="R359" s="78">
        <f t="shared" si="196"/>
        <v>10324.1212294496</v>
      </c>
      <c r="S359" s="78"/>
      <c r="T359" s="79">
        <f t="shared" si="197"/>
        <v>21.2723373838456</v>
      </c>
      <c r="U359" s="78"/>
      <c r="V359" s="78"/>
      <c r="W359" s="80">
        <f t="shared" si="192"/>
        <v>10345.3935668335</v>
      </c>
      <c r="X359" s="81">
        <f t="shared" si="198"/>
        <v>194.111851322373</v>
      </c>
      <c r="Y359" s="81"/>
      <c r="Z359" s="81"/>
      <c r="AA359" s="81">
        <f t="shared" si="194"/>
        <v>194.111851322373</v>
      </c>
      <c r="AB359" s="90">
        <v>7.19</v>
      </c>
      <c r="AC359" s="78">
        <f t="shared" si="195"/>
        <v>1395.66421100786</v>
      </c>
      <c r="AD359" s="78">
        <f t="shared" si="193"/>
        <v>11741.0577778413</v>
      </c>
      <c r="AE359" s="78">
        <f t="shared" si="191"/>
        <v>906.942222158685</v>
      </c>
    </row>
    <row r="360" customFormat="1" spans="1:31">
      <c r="A360" s="18"/>
      <c r="B360" s="19"/>
      <c r="C360" s="20">
        <v>240308000028</v>
      </c>
      <c r="D360" s="21">
        <v>45364</v>
      </c>
      <c r="E360" s="21" t="s">
        <v>41</v>
      </c>
      <c r="F360" s="19" t="s">
        <v>42</v>
      </c>
      <c r="G360" s="19" t="s">
        <v>58</v>
      </c>
      <c r="H360" s="19">
        <v>5.5</v>
      </c>
      <c r="I360" s="41">
        <v>353</v>
      </c>
      <c r="J360" s="42"/>
      <c r="K360" s="43"/>
      <c r="L360" s="42"/>
      <c r="M360" s="44"/>
      <c r="N360" s="45"/>
      <c r="O360" s="46">
        <f t="shared" si="203"/>
        <v>353</v>
      </c>
      <c r="P360" s="48"/>
      <c r="Q360" s="48"/>
      <c r="R360" s="78">
        <f t="shared" si="196"/>
        <v>228.962365975697</v>
      </c>
      <c r="S360" s="78"/>
      <c r="T360" s="79">
        <f t="shared" si="197"/>
        <v>0.471765546819157</v>
      </c>
      <c r="U360" s="78"/>
      <c r="V360" s="78"/>
      <c r="W360" s="80">
        <f t="shared" si="192"/>
        <v>229.434131522516</v>
      </c>
      <c r="X360" s="81">
        <f t="shared" si="198"/>
        <v>4.30489992852037</v>
      </c>
      <c r="Y360" s="81"/>
      <c r="Z360" s="81"/>
      <c r="AA360" s="81">
        <f t="shared" si="194"/>
        <v>4.30489992852037</v>
      </c>
      <c r="AB360" s="90">
        <v>7.19</v>
      </c>
      <c r="AC360" s="78">
        <f t="shared" si="195"/>
        <v>30.9522304860615</v>
      </c>
      <c r="AD360" s="78">
        <f t="shared" si="193"/>
        <v>260.386362008578</v>
      </c>
      <c r="AE360" s="78">
        <f t="shared" ref="AE360:AE374" si="204">SUM(O360-AD360)</f>
        <v>92.6136379914225</v>
      </c>
    </row>
    <row r="361" customFormat="1" spans="1:31">
      <c r="A361" s="18"/>
      <c r="B361" s="19"/>
      <c r="C361" s="20">
        <v>240308000031</v>
      </c>
      <c r="D361" s="21">
        <v>45364</v>
      </c>
      <c r="E361" s="21" t="s">
        <v>41</v>
      </c>
      <c r="F361" s="19" t="s">
        <v>42</v>
      </c>
      <c r="G361" s="19" t="s">
        <v>62</v>
      </c>
      <c r="H361" s="19">
        <v>1.5</v>
      </c>
      <c r="I361" s="41">
        <v>188</v>
      </c>
      <c r="J361" s="42"/>
      <c r="K361" s="43"/>
      <c r="L361" s="42"/>
      <c r="M361" s="44"/>
      <c r="N361" s="45"/>
      <c r="O361" s="46">
        <f t="shared" si="203"/>
        <v>188</v>
      </c>
      <c r="P361" s="48"/>
      <c r="Q361" s="48"/>
      <c r="R361" s="78">
        <f t="shared" si="196"/>
        <v>62.4442816297355</v>
      </c>
      <c r="S361" s="78"/>
      <c r="T361" s="79">
        <f t="shared" si="197"/>
        <v>0.128663330950679</v>
      </c>
      <c r="U361" s="78"/>
      <c r="V361" s="78"/>
      <c r="W361" s="80">
        <f t="shared" si="192"/>
        <v>62.5729449606862</v>
      </c>
      <c r="X361" s="81">
        <f t="shared" si="198"/>
        <v>1.17406361686919</v>
      </c>
      <c r="Y361" s="81"/>
      <c r="Z361" s="81"/>
      <c r="AA361" s="81">
        <f t="shared" si="194"/>
        <v>1.17406361686919</v>
      </c>
      <c r="AB361" s="90">
        <v>7.19</v>
      </c>
      <c r="AC361" s="78">
        <f t="shared" si="195"/>
        <v>8.44151740528949</v>
      </c>
      <c r="AD361" s="78">
        <f t="shared" ref="AD361:AD374" si="205">SUM(W361+AC361)</f>
        <v>71.0144623659757</v>
      </c>
      <c r="AE361" s="78">
        <f t="shared" si="204"/>
        <v>116.985537634024</v>
      </c>
    </row>
    <row r="362" customFormat="1" spans="1:31">
      <c r="A362" s="18"/>
      <c r="B362" s="19"/>
      <c r="C362" s="20">
        <v>240309000002</v>
      </c>
      <c r="D362" s="21">
        <v>45364</v>
      </c>
      <c r="E362" s="21" t="s">
        <v>70</v>
      </c>
      <c r="F362" s="19" t="s">
        <v>70</v>
      </c>
      <c r="G362" s="19" t="s">
        <v>74</v>
      </c>
      <c r="H362" s="19">
        <v>569</v>
      </c>
      <c r="I362" s="57">
        <v>25036</v>
      </c>
      <c r="J362" s="53"/>
      <c r="K362" s="51"/>
      <c r="L362" s="53"/>
      <c r="M362" s="44"/>
      <c r="N362" s="45"/>
      <c r="O362" s="46">
        <f t="shared" si="203"/>
        <v>25036</v>
      </c>
      <c r="P362" s="48"/>
      <c r="Q362" s="48"/>
      <c r="R362" s="78">
        <f t="shared" si="196"/>
        <v>23687.197498213</v>
      </c>
      <c r="S362" s="78"/>
      <c r="T362" s="79">
        <f t="shared" si="197"/>
        <v>48.8062902072909</v>
      </c>
      <c r="U362" s="78"/>
      <c r="V362" s="78"/>
      <c r="W362" s="80">
        <f t="shared" si="192"/>
        <v>23736.0037884203</v>
      </c>
      <c r="X362" s="81">
        <f t="shared" si="198"/>
        <v>445.36146533238</v>
      </c>
      <c r="Y362" s="81"/>
      <c r="Z362" s="81"/>
      <c r="AA362" s="81">
        <f t="shared" si="194"/>
        <v>445.36146533238</v>
      </c>
      <c r="AB362" s="90">
        <v>7.19</v>
      </c>
      <c r="AC362" s="78">
        <f t="shared" ref="AC362:AC374" si="206">SUM(AA362*AB362)</f>
        <v>3202.14893573981</v>
      </c>
      <c r="AD362" s="78">
        <f t="shared" si="205"/>
        <v>26938.1527241601</v>
      </c>
      <c r="AE362" s="78">
        <f t="shared" si="204"/>
        <v>-1902.15272416011</v>
      </c>
    </row>
    <row r="363" customFormat="1" spans="1:31">
      <c r="A363" s="18"/>
      <c r="B363" s="19"/>
      <c r="C363" s="20">
        <v>240309000003</v>
      </c>
      <c r="D363" s="21">
        <v>45364</v>
      </c>
      <c r="E363" s="21" t="s">
        <v>37</v>
      </c>
      <c r="F363" s="19" t="s">
        <v>38</v>
      </c>
      <c r="G363" s="19" t="s">
        <v>239</v>
      </c>
      <c r="H363" s="19">
        <v>4.5</v>
      </c>
      <c r="I363" s="41">
        <v>270</v>
      </c>
      <c r="J363" s="42"/>
      <c r="K363" s="43"/>
      <c r="L363" s="42"/>
      <c r="M363" s="44"/>
      <c r="N363" s="45"/>
      <c r="O363" s="46">
        <f t="shared" si="203"/>
        <v>270</v>
      </c>
      <c r="P363" s="58"/>
      <c r="Q363" s="58"/>
      <c r="R363" s="78">
        <f t="shared" si="196"/>
        <v>187.332844889207</v>
      </c>
      <c r="S363" s="78"/>
      <c r="T363" s="79">
        <f t="shared" si="197"/>
        <v>0.385989992852037</v>
      </c>
      <c r="U363" s="78"/>
      <c r="V363" s="78"/>
      <c r="W363" s="80">
        <f t="shared" ref="W363:W374" si="207">SUM(R363:V363)</f>
        <v>187.718834882059</v>
      </c>
      <c r="X363" s="81">
        <f t="shared" si="198"/>
        <v>3.52219085060758</v>
      </c>
      <c r="Y363" s="81"/>
      <c r="Z363" s="81"/>
      <c r="AA363" s="81">
        <f t="shared" ref="AA363:AA374" si="208">SUM(X363:Z363)</f>
        <v>3.52219085060758</v>
      </c>
      <c r="AB363" s="90">
        <v>7.19</v>
      </c>
      <c r="AC363" s="78">
        <f t="shared" si="206"/>
        <v>25.3245522158685</v>
      </c>
      <c r="AD363" s="78">
        <f t="shared" si="205"/>
        <v>213.043387097927</v>
      </c>
      <c r="AE363" s="78">
        <f t="shared" si="204"/>
        <v>56.9566129020729</v>
      </c>
    </row>
    <row r="364" customFormat="1" spans="1:31">
      <c r="A364" s="18" t="s">
        <v>297</v>
      </c>
      <c r="B364" s="19" t="s">
        <v>298</v>
      </c>
      <c r="C364" s="20">
        <v>240308000022</v>
      </c>
      <c r="D364" s="21">
        <v>45365</v>
      </c>
      <c r="E364" s="21" t="s">
        <v>47</v>
      </c>
      <c r="F364" s="19" t="s">
        <v>48</v>
      </c>
      <c r="G364" s="19" t="s">
        <v>299</v>
      </c>
      <c r="H364" s="19">
        <v>5.5</v>
      </c>
      <c r="I364" s="41">
        <v>852.5</v>
      </c>
      <c r="J364" s="42"/>
      <c r="K364" s="43"/>
      <c r="L364" s="42"/>
      <c r="M364" s="44"/>
      <c r="N364" s="45"/>
      <c r="O364" s="46">
        <f t="shared" si="203"/>
        <v>852.5</v>
      </c>
      <c r="P364" s="47">
        <f>SUM(O364:O374)</f>
        <v>5599.4881</v>
      </c>
      <c r="Q364" s="47" t="s">
        <v>78</v>
      </c>
      <c r="R364" s="78">
        <f>SUM(2200/32)*H364</f>
        <v>378.125</v>
      </c>
      <c r="S364" s="78"/>
      <c r="T364" s="79">
        <f>SUM(63.81/32)*H364</f>
        <v>10.96734375</v>
      </c>
      <c r="U364" s="78"/>
      <c r="V364" s="78"/>
      <c r="W364" s="80">
        <f t="shared" si="207"/>
        <v>389.09234375</v>
      </c>
      <c r="X364" s="81">
        <f>SUM(43.43/32)*H364</f>
        <v>7.46453125</v>
      </c>
      <c r="Y364" s="81"/>
      <c r="Z364" s="81"/>
      <c r="AA364" s="81">
        <f t="shared" si="208"/>
        <v>7.46453125</v>
      </c>
      <c r="AB364" s="90">
        <v>7.19</v>
      </c>
      <c r="AC364" s="78">
        <f t="shared" si="206"/>
        <v>53.6699796875</v>
      </c>
      <c r="AD364" s="78">
        <f t="shared" si="205"/>
        <v>442.7623234375</v>
      </c>
      <c r="AE364" s="78">
        <f t="shared" si="204"/>
        <v>409.7376765625</v>
      </c>
    </row>
    <row r="365" customFormat="1" spans="1:31">
      <c r="A365" s="18"/>
      <c r="B365" s="19"/>
      <c r="C365" s="20">
        <v>240311000014</v>
      </c>
      <c r="D365" s="21">
        <v>45365</v>
      </c>
      <c r="E365" s="21" t="s">
        <v>41</v>
      </c>
      <c r="F365" s="19" t="s">
        <v>42</v>
      </c>
      <c r="G365" s="19" t="s">
        <v>80</v>
      </c>
      <c r="H365" s="19">
        <v>4</v>
      </c>
      <c r="I365" s="41">
        <v>500</v>
      </c>
      <c r="J365" s="42"/>
      <c r="K365" s="43"/>
      <c r="L365" s="42"/>
      <c r="M365" s="44"/>
      <c r="N365" s="45"/>
      <c r="O365" s="46">
        <f t="shared" si="203"/>
        <v>500</v>
      </c>
      <c r="P365" s="48"/>
      <c r="Q365" s="48"/>
      <c r="R365" s="78">
        <f t="shared" ref="R365:R374" si="209">SUM(2200/32)*H365</f>
        <v>275</v>
      </c>
      <c r="S365" s="78"/>
      <c r="T365" s="79">
        <f t="shared" ref="T365:T374" si="210">SUM(63.81/32)*H365</f>
        <v>7.97625</v>
      </c>
      <c r="U365" s="78"/>
      <c r="V365" s="78"/>
      <c r="W365" s="80">
        <f t="shared" si="207"/>
        <v>282.97625</v>
      </c>
      <c r="X365" s="81">
        <f t="shared" ref="X365:X374" si="211">SUM(43.43/32)*H365</f>
        <v>5.42875</v>
      </c>
      <c r="Y365" s="81"/>
      <c r="Z365" s="81"/>
      <c r="AA365" s="81">
        <f t="shared" si="208"/>
        <v>5.42875</v>
      </c>
      <c r="AB365" s="90">
        <v>7.19</v>
      </c>
      <c r="AC365" s="78">
        <f t="shared" si="206"/>
        <v>39.0327125</v>
      </c>
      <c r="AD365" s="78">
        <f t="shared" si="205"/>
        <v>322.0089625</v>
      </c>
      <c r="AE365" s="78">
        <f t="shared" si="204"/>
        <v>177.9910375</v>
      </c>
    </row>
    <row r="366" customFormat="1" spans="1:31">
      <c r="A366" s="18"/>
      <c r="B366" s="19"/>
      <c r="C366" s="20">
        <v>240311000023</v>
      </c>
      <c r="D366" s="21">
        <v>45365</v>
      </c>
      <c r="E366" s="21" t="s">
        <v>47</v>
      </c>
      <c r="F366" s="19" t="s">
        <v>48</v>
      </c>
      <c r="G366" s="19" t="s">
        <v>137</v>
      </c>
      <c r="H366" s="19">
        <v>10.5</v>
      </c>
      <c r="I366" s="41">
        <v>1207.5</v>
      </c>
      <c r="J366" s="42"/>
      <c r="K366" s="43"/>
      <c r="L366" s="42"/>
      <c r="M366" s="44"/>
      <c r="N366" s="45"/>
      <c r="O366" s="46">
        <f t="shared" si="203"/>
        <v>1207.5</v>
      </c>
      <c r="P366" s="48"/>
      <c r="Q366" s="48"/>
      <c r="R366" s="78">
        <f t="shared" si="209"/>
        <v>721.875</v>
      </c>
      <c r="S366" s="78"/>
      <c r="T366" s="79">
        <f t="shared" si="210"/>
        <v>20.93765625</v>
      </c>
      <c r="U366" s="78"/>
      <c r="V366" s="78"/>
      <c r="W366" s="80">
        <f t="shared" si="207"/>
        <v>742.81265625</v>
      </c>
      <c r="X366" s="81">
        <f t="shared" si="211"/>
        <v>14.25046875</v>
      </c>
      <c r="Y366" s="81"/>
      <c r="Z366" s="81"/>
      <c r="AA366" s="81">
        <f t="shared" si="208"/>
        <v>14.25046875</v>
      </c>
      <c r="AB366" s="90">
        <v>7.19</v>
      </c>
      <c r="AC366" s="78">
        <f t="shared" si="206"/>
        <v>102.4608703125</v>
      </c>
      <c r="AD366" s="78">
        <f t="shared" si="205"/>
        <v>845.2735265625</v>
      </c>
      <c r="AE366" s="78">
        <f t="shared" si="204"/>
        <v>362.2264734375</v>
      </c>
    </row>
    <row r="367" customFormat="1" spans="1:31">
      <c r="A367" s="18"/>
      <c r="B367" s="19"/>
      <c r="C367" s="20">
        <v>240311000027</v>
      </c>
      <c r="D367" s="21">
        <v>45365</v>
      </c>
      <c r="E367" s="21" t="s">
        <v>47</v>
      </c>
      <c r="F367" s="19" t="s">
        <v>48</v>
      </c>
      <c r="G367" s="19" t="s">
        <v>81</v>
      </c>
      <c r="H367" s="19">
        <v>4</v>
      </c>
      <c r="I367" s="41">
        <v>480</v>
      </c>
      <c r="J367" s="42"/>
      <c r="K367" s="43"/>
      <c r="L367" s="42"/>
      <c r="M367" s="44"/>
      <c r="N367" s="45"/>
      <c r="O367" s="46">
        <f t="shared" si="203"/>
        <v>480</v>
      </c>
      <c r="P367" s="48"/>
      <c r="Q367" s="48"/>
      <c r="R367" s="78">
        <f t="shared" si="209"/>
        <v>275</v>
      </c>
      <c r="S367" s="78"/>
      <c r="T367" s="79">
        <f t="shared" si="210"/>
        <v>7.97625</v>
      </c>
      <c r="U367" s="78"/>
      <c r="V367" s="78"/>
      <c r="W367" s="80">
        <f t="shared" si="207"/>
        <v>282.97625</v>
      </c>
      <c r="X367" s="81">
        <f t="shared" si="211"/>
        <v>5.42875</v>
      </c>
      <c r="Y367" s="81"/>
      <c r="Z367" s="81"/>
      <c r="AA367" s="81">
        <f t="shared" si="208"/>
        <v>5.42875</v>
      </c>
      <c r="AB367" s="90">
        <v>7.19</v>
      </c>
      <c r="AC367" s="78">
        <f t="shared" si="206"/>
        <v>39.0327125</v>
      </c>
      <c r="AD367" s="78">
        <f t="shared" si="205"/>
        <v>322.0089625</v>
      </c>
      <c r="AE367" s="78">
        <f t="shared" si="204"/>
        <v>157.9910375</v>
      </c>
    </row>
    <row r="368" customFormat="1" spans="1:31">
      <c r="A368" s="18"/>
      <c r="B368" s="19"/>
      <c r="C368" s="20">
        <v>240311000043</v>
      </c>
      <c r="D368" s="21">
        <v>45365</v>
      </c>
      <c r="E368" s="21" t="s">
        <v>44</v>
      </c>
      <c r="F368" s="19" t="s">
        <v>45</v>
      </c>
      <c r="G368" s="19" t="s">
        <v>265</v>
      </c>
      <c r="H368" s="19">
        <v>1.5</v>
      </c>
      <c r="I368" s="49"/>
      <c r="J368" s="50">
        <v>38467.5</v>
      </c>
      <c r="K368" s="51"/>
      <c r="L368" s="50">
        <f>SUM(J368/M368)</f>
        <v>1603.48061692372</v>
      </c>
      <c r="M368" s="52">
        <v>23.99</v>
      </c>
      <c r="N368" s="45">
        <v>7.19</v>
      </c>
      <c r="O368" s="46">
        <f>SUM(M368*N368)</f>
        <v>172.4881</v>
      </c>
      <c r="P368" s="48"/>
      <c r="Q368" s="48"/>
      <c r="R368" s="78">
        <f t="shared" si="209"/>
        <v>103.125</v>
      </c>
      <c r="S368" s="78"/>
      <c r="T368" s="79">
        <f t="shared" si="210"/>
        <v>2.99109375</v>
      </c>
      <c r="U368" s="78"/>
      <c r="V368" s="78"/>
      <c r="W368" s="80">
        <f t="shared" si="207"/>
        <v>106.11609375</v>
      </c>
      <c r="X368" s="81">
        <f t="shared" si="211"/>
        <v>2.03578125</v>
      </c>
      <c r="Y368" s="81"/>
      <c r="Z368" s="81"/>
      <c r="AA368" s="81">
        <f t="shared" si="208"/>
        <v>2.03578125</v>
      </c>
      <c r="AB368" s="90">
        <v>7.19</v>
      </c>
      <c r="AC368" s="78">
        <f t="shared" si="206"/>
        <v>14.6372671875</v>
      </c>
      <c r="AD368" s="78">
        <f t="shared" si="205"/>
        <v>120.7533609375</v>
      </c>
      <c r="AE368" s="78">
        <f t="shared" si="204"/>
        <v>51.7347390625</v>
      </c>
    </row>
    <row r="369" customFormat="1" spans="1:31">
      <c r="A369" s="18"/>
      <c r="B369" s="19"/>
      <c r="C369" s="20">
        <v>240311000050</v>
      </c>
      <c r="D369" s="21">
        <v>45365</v>
      </c>
      <c r="E369" s="21" t="s">
        <v>37</v>
      </c>
      <c r="F369" s="19" t="s">
        <v>38</v>
      </c>
      <c r="G369" s="19" t="s">
        <v>300</v>
      </c>
      <c r="H369" s="19">
        <v>0.28</v>
      </c>
      <c r="I369" s="41">
        <v>120</v>
      </c>
      <c r="J369" s="53"/>
      <c r="K369" s="51"/>
      <c r="L369" s="53"/>
      <c r="M369" s="44"/>
      <c r="N369" s="45"/>
      <c r="O369" s="46">
        <f t="shared" ref="O369:O379" si="212">SUM(I369)</f>
        <v>120</v>
      </c>
      <c r="P369" s="48"/>
      <c r="Q369" s="48"/>
      <c r="R369" s="78">
        <f t="shared" si="209"/>
        <v>19.25</v>
      </c>
      <c r="S369" s="78"/>
      <c r="T369" s="79">
        <f t="shared" si="210"/>
        <v>0.5583375</v>
      </c>
      <c r="U369" s="78"/>
      <c r="V369" s="78"/>
      <c r="W369" s="80">
        <f t="shared" si="207"/>
        <v>19.8083375</v>
      </c>
      <c r="X369" s="81">
        <f t="shared" si="211"/>
        <v>0.3800125</v>
      </c>
      <c r="Y369" s="81"/>
      <c r="Z369" s="81"/>
      <c r="AA369" s="81">
        <f t="shared" si="208"/>
        <v>0.3800125</v>
      </c>
      <c r="AB369" s="90">
        <v>7.19</v>
      </c>
      <c r="AC369" s="78">
        <f t="shared" si="206"/>
        <v>2.732289875</v>
      </c>
      <c r="AD369" s="78">
        <f t="shared" si="205"/>
        <v>22.540627375</v>
      </c>
      <c r="AE369" s="78">
        <f t="shared" si="204"/>
        <v>97.459372625</v>
      </c>
    </row>
    <row r="370" customFormat="1" spans="1:31">
      <c r="A370" s="18"/>
      <c r="B370" s="19"/>
      <c r="C370" s="20">
        <v>240311000051</v>
      </c>
      <c r="D370" s="21">
        <v>45365</v>
      </c>
      <c r="E370" s="21" t="s">
        <v>44</v>
      </c>
      <c r="F370" s="19" t="s">
        <v>45</v>
      </c>
      <c r="G370" s="19" t="s">
        <v>290</v>
      </c>
      <c r="H370" s="19">
        <v>0.37</v>
      </c>
      <c r="I370" s="41">
        <v>80</v>
      </c>
      <c r="J370" s="42"/>
      <c r="K370" s="43"/>
      <c r="L370" s="42"/>
      <c r="M370" s="44"/>
      <c r="N370" s="45"/>
      <c r="O370" s="46">
        <f t="shared" si="212"/>
        <v>80</v>
      </c>
      <c r="P370" s="48"/>
      <c r="Q370" s="48"/>
      <c r="R370" s="78">
        <f t="shared" si="209"/>
        <v>25.4375</v>
      </c>
      <c r="S370" s="78"/>
      <c r="T370" s="79">
        <f t="shared" si="210"/>
        <v>0.737803125</v>
      </c>
      <c r="U370" s="78"/>
      <c r="V370" s="78"/>
      <c r="W370" s="80">
        <f t="shared" si="207"/>
        <v>26.175303125</v>
      </c>
      <c r="X370" s="81">
        <f t="shared" si="211"/>
        <v>0.502159375</v>
      </c>
      <c r="Y370" s="81"/>
      <c r="Z370" s="81"/>
      <c r="AA370" s="81">
        <f t="shared" si="208"/>
        <v>0.502159375</v>
      </c>
      <c r="AB370" s="90">
        <v>7.19</v>
      </c>
      <c r="AC370" s="78">
        <f t="shared" si="206"/>
        <v>3.61052590625</v>
      </c>
      <c r="AD370" s="78">
        <f t="shared" si="205"/>
        <v>29.78582903125</v>
      </c>
      <c r="AE370" s="78">
        <f t="shared" si="204"/>
        <v>50.21417096875</v>
      </c>
    </row>
    <row r="371" customFormat="1" spans="1:31">
      <c r="A371" s="18"/>
      <c r="B371" s="19"/>
      <c r="C371" s="20">
        <v>240311000054</v>
      </c>
      <c r="D371" s="21">
        <v>45365</v>
      </c>
      <c r="E371" s="21" t="s">
        <v>70</v>
      </c>
      <c r="F371" s="19" t="s">
        <v>182</v>
      </c>
      <c r="G371" s="19" t="s">
        <v>183</v>
      </c>
      <c r="H371" s="19">
        <v>10</v>
      </c>
      <c r="I371" s="41">
        <v>1200</v>
      </c>
      <c r="J371" s="42"/>
      <c r="K371" s="43"/>
      <c r="L371" s="42"/>
      <c r="M371" s="44"/>
      <c r="N371" s="45"/>
      <c r="O371" s="46">
        <f t="shared" si="212"/>
        <v>1200</v>
      </c>
      <c r="P371" s="48"/>
      <c r="Q371" s="48"/>
      <c r="R371" s="78">
        <f t="shared" si="209"/>
        <v>687.5</v>
      </c>
      <c r="S371" s="78"/>
      <c r="T371" s="79">
        <f t="shared" si="210"/>
        <v>19.940625</v>
      </c>
      <c r="U371" s="78"/>
      <c r="V371" s="78"/>
      <c r="W371" s="80">
        <f t="shared" si="207"/>
        <v>707.440625</v>
      </c>
      <c r="X371" s="81">
        <f t="shared" si="211"/>
        <v>13.571875</v>
      </c>
      <c r="Y371" s="81"/>
      <c r="Z371" s="81"/>
      <c r="AA371" s="81">
        <f t="shared" si="208"/>
        <v>13.571875</v>
      </c>
      <c r="AB371" s="90">
        <v>7.19</v>
      </c>
      <c r="AC371" s="78">
        <f t="shared" si="206"/>
        <v>97.58178125</v>
      </c>
      <c r="AD371" s="78">
        <f t="shared" si="205"/>
        <v>805.02240625</v>
      </c>
      <c r="AE371" s="78">
        <f t="shared" si="204"/>
        <v>394.97759375</v>
      </c>
    </row>
    <row r="372" customFormat="1" spans="1:31">
      <c r="A372" s="18"/>
      <c r="B372" s="19"/>
      <c r="C372" s="20">
        <v>240312000006</v>
      </c>
      <c r="D372" s="21">
        <v>45365</v>
      </c>
      <c r="E372" s="21" t="s">
        <v>41</v>
      </c>
      <c r="F372" s="19" t="s">
        <v>42</v>
      </c>
      <c r="G372" s="19" t="s">
        <v>301</v>
      </c>
      <c r="H372" s="19">
        <v>2.5</v>
      </c>
      <c r="I372" s="41">
        <v>287</v>
      </c>
      <c r="J372" s="42"/>
      <c r="K372" s="43"/>
      <c r="L372" s="42"/>
      <c r="M372" s="44"/>
      <c r="N372" s="45"/>
      <c r="O372" s="46">
        <f t="shared" si="212"/>
        <v>287</v>
      </c>
      <c r="P372" s="48"/>
      <c r="Q372" s="48"/>
      <c r="R372" s="78">
        <f t="shared" si="209"/>
        <v>171.875</v>
      </c>
      <c r="S372" s="78"/>
      <c r="T372" s="79">
        <f t="shared" si="210"/>
        <v>4.98515625</v>
      </c>
      <c r="U372" s="78"/>
      <c r="V372" s="78"/>
      <c r="W372" s="80">
        <f t="shared" si="207"/>
        <v>176.86015625</v>
      </c>
      <c r="X372" s="81">
        <f t="shared" si="211"/>
        <v>3.39296875</v>
      </c>
      <c r="Y372" s="81"/>
      <c r="Z372" s="81"/>
      <c r="AA372" s="81">
        <f t="shared" si="208"/>
        <v>3.39296875</v>
      </c>
      <c r="AB372" s="90">
        <v>7.19</v>
      </c>
      <c r="AC372" s="78">
        <f t="shared" si="206"/>
        <v>24.3954453125</v>
      </c>
      <c r="AD372" s="78">
        <f t="shared" si="205"/>
        <v>201.2556015625</v>
      </c>
      <c r="AE372" s="78">
        <f t="shared" si="204"/>
        <v>85.7443984375</v>
      </c>
    </row>
    <row r="373" customFormat="1" spans="1:31">
      <c r="A373" s="18"/>
      <c r="B373" s="19"/>
      <c r="C373" s="20">
        <v>240312000009</v>
      </c>
      <c r="D373" s="21">
        <v>45365</v>
      </c>
      <c r="E373" s="21" t="s">
        <v>47</v>
      </c>
      <c r="F373" s="19" t="s">
        <v>48</v>
      </c>
      <c r="G373" s="19" t="s">
        <v>302</v>
      </c>
      <c r="H373" s="19">
        <v>3</v>
      </c>
      <c r="I373" s="41">
        <v>450</v>
      </c>
      <c r="J373" s="42"/>
      <c r="K373" s="43"/>
      <c r="L373" s="42"/>
      <c r="M373" s="44"/>
      <c r="N373" s="45"/>
      <c r="O373" s="46">
        <f t="shared" si="212"/>
        <v>450</v>
      </c>
      <c r="P373" s="48"/>
      <c r="Q373" s="48"/>
      <c r="R373" s="78">
        <f t="shared" si="209"/>
        <v>206.25</v>
      </c>
      <c r="S373" s="78"/>
      <c r="T373" s="79">
        <f t="shared" si="210"/>
        <v>5.9821875</v>
      </c>
      <c r="U373" s="78"/>
      <c r="V373" s="78"/>
      <c r="W373" s="80">
        <f t="shared" si="207"/>
        <v>212.2321875</v>
      </c>
      <c r="X373" s="81">
        <f t="shared" si="211"/>
        <v>4.0715625</v>
      </c>
      <c r="Y373" s="81"/>
      <c r="Z373" s="81"/>
      <c r="AA373" s="81">
        <f t="shared" si="208"/>
        <v>4.0715625</v>
      </c>
      <c r="AB373" s="90">
        <v>7.19</v>
      </c>
      <c r="AC373" s="78">
        <f t="shared" si="206"/>
        <v>29.274534375</v>
      </c>
      <c r="AD373" s="78">
        <f t="shared" si="205"/>
        <v>241.506721875</v>
      </c>
      <c r="AE373" s="78">
        <f t="shared" ref="AE373:AE382" si="213">SUM(O373-AD373)</f>
        <v>208.493278125</v>
      </c>
    </row>
    <row r="374" customFormat="1" spans="1:31">
      <c r="A374" s="18"/>
      <c r="B374" s="19"/>
      <c r="C374" s="20">
        <v>240312000028</v>
      </c>
      <c r="D374" s="21">
        <v>45365</v>
      </c>
      <c r="E374" s="21" t="s">
        <v>37</v>
      </c>
      <c r="F374" s="19" t="s">
        <v>38</v>
      </c>
      <c r="G374" s="19" t="s">
        <v>303</v>
      </c>
      <c r="H374" s="19">
        <v>0.76</v>
      </c>
      <c r="I374" s="41">
        <v>250</v>
      </c>
      <c r="J374" s="53"/>
      <c r="K374" s="51"/>
      <c r="L374" s="53"/>
      <c r="M374" s="44"/>
      <c r="N374" s="45"/>
      <c r="O374" s="46">
        <f t="shared" si="212"/>
        <v>250</v>
      </c>
      <c r="P374" s="58"/>
      <c r="Q374" s="58"/>
      <c r="R374" s="78">
        <f t="shared" si="209"/>
        <v>52.25</v>
      </c>
      <c r="S374" s="78"/>
      <c r="T374" s="79">
        <f t="shared" si="210"/>
        <v>1.5154875</v>
      </c>
      <c r="U374" s="78"/>
      <c r="V374" s="78"/>
      <c r="W374" s="80">
        <f t="shared" si="207"/>
        <v>53.7654875</v>
      </c>
      <c r="X374" s="81">
        <f t="shared" si="211"/>
        <v>1.0314625</v>
      </c>
      <c r="Y374" s="81"/>
      <c r="Z374" s="81"/>
      <c r="AA374" s="81">
        <f t="shared" si="208"/>
        <v>1.0314625</v>
      </c>
      <c r="AB374" s="90">
        <v>7.19</v>
      </c>
      <c r="AC374" s="78">
        <f t="shared" ref="AC374:AC383" si="214">SUM(AA374*AB374)</f>
        <v>7.416215375</v>
      </c>
      <c r="AD374" s="78">
        <f t="shared" ref="AD374:AD383" si="215">SUM(W374+AC374)</f>
        <v>61.181702875</v>
      </c>
      <c r="AE374" s="78">
        <f t="shared" si="213"/>
        <v>188.818297125</v>
      </c>
    </row>
    <row r="375" customFormat="1" spans="1:31">
      <c r="A375" s="18" t="s">
        <v>304</v>
      </c>
      <c r="B375" s="19" t="s">
        <v>305</v>
      </c>
      <c r="C375" s="20">
        <v>240311000016</v>
      </c>
      <c r="D375" s="21">
        <v>45366</v>
      </c>
      <c r="E375" s="21" t="s">
        <v>47</v>
      </c>
      <c r="F375" s="19" t="s">
        <v>48</v>
      </c>
      <c r="G375" s="19" t="s">
        <v>306</v>
      </c>
      <c r="H375" s="19">
        <v>7</v>
      </c>
      <c r="I375" s="41">
        <v>840</v>
      </c>
      <c r="J375" s="42"/>
      <c r="K375" s="43"/>
      <c r="L375" s="42"/>
      <c r="M375" s="44"/>
      <c r="N375" s="45"/>
      <c r="O375" s="46">
        <f t="shared" si="212"/>
        <v>840</v>
      </c>
      <c r="P375" s="47">
        <f>SUM(O375:O381)</f>
        <v>8244.011</v>
      </c>
      <c r="Q375" s="47" t="s">
        <v>78</v>
      </c>
      <c r="R375" s="78">
        <f>SUM(37400/539)*H375</f>
        <v>485.714285714286</v>
      </c>
      <c r="S375" s="78"/>
      <c r="T375" s="79">
        <f>SUM(68.81/539)*H375</f>
        <v>0.893636363636364</v>
      </c>
      <c r="U375" s="78"/>
      <c r="V375" s="79">
        <v>35</v>
      </c>
      <c r="W375" s="80">
        <f t="shared" ref="W375:W382" si="216">SUM(R375:V375)</f>
        <v>521.607922077922</v>
      </c>
      <c r="X375" s="81">
        <f>SUM(611.96/539)*H375</f>
        <v>7.94753246753247</v>
      </c>
      <c r="Y375" s="81"/>
      <c r="Z375" s="81"/>
      <c r="AA375" s="81">
        <f t="shared" ref="AA375:AA382" si="217">SUM(X375:Z375)</f>
        <v>7.94753246753247</v>
      </c>
      <c r="AB375" s="90">
        <v>7.19</v>
      </c>
      <c r="AC375" s="78">
        <f t="shared" si="214"/>
        <v>57.1427584415585</v>
      </c>
      <c r="AD375" s="78">
        <f t="shared" si="215"/>
        <v>578.750680519481</v>
      </c>
      <c r="AE375" s="78">
        <f t="shared" si="213"/>
        <v>261.249319480519</v>
      </c>
    </row>
    <row r="376" customFormat="1" spans="1:31">
      <c r="A376" s="18"/>
      <c r="B376" s="19"/>
      <c r="C376" s="20">
        <v>240312000016</v>
      </c>
      <c r="D376" s="21">
        <v>45366</v>
      </c>
      <c r="E376" s="21" t="s">
        <v>44</v>
      </c>
      <c r="F376" s="19" t="s">
        <v>45</v>
      </c>
      <c r="G376" s="19" t="s">
        <v>307</v>
      </c>
      <c r="H376" s="19">
        <v>41.5</v>
      </c>
      <c r="I376" s="41">
        <v>5810</v>
      </c>
      <c r="J376" s="53"/>
      <c r="K376" s="51"/>
      <c r="L376" s="53"/>
      <c r="M376" s="44"/>
      <c r="N376" s="45"/>
      <c r="O376" s="46">
        <f t="shared" si="212"/>
        <v>5810</v>
      </c>
      <c r="P376" s="48"/>
      <c r="Q376" s="48"/>
      <c r="R376" s="78">
        <f t="shared" ref="R376:R382" si="218">SUM(37400/539)*H376</f>
        <v>2879.59183673469</v>
      </c>
      <c r="S376" s="78"/>
      <c r="T376" s="79">
        <f t="shared" ref="T376:T382" si="219">SUM(68.81/539)*H376</f>
        <v>5.29798701298701</v>
      </c>
      <c r="U376" s="78"/>
      <c r="V376" s="78"/>
      <c r="W376" s="80">
        <f t="shared" si="216"/>
        <v>2884.88982374768</v>
      </c>
      <c r="X376" s="81">
        <f t="shared" ref="X376:X382" si="220">SUM(611.96/539)*H376</f>
        <v>47.1175139146568</v>
      </c>
      <c r="Y376" s="81"/>
      <c r="Z376" s="81"/>
      <c r="AA376" s="81">
        <f t="shared" si="217"/>
        <v>47.1175139146568</v>
      </c>
      <c r="AB376" s="90">
        <v>7.19</v>
      </c>
      <c r="AC376" s="78">
        <f t="shared" si="214"/>
        <v>338.774925046382</v>
      </c>
      <c r="AD376" s="78">
        <f t="shared" si="215"/>
        <v>3223.66474879406</v>
      </c>
      <c r="AE376" s="78">
        <f t="shared" si="213"/>
        <v>2586.33525120594</v>
      </c>
    </row>
    <row r="377" customFormat="1" spans="1:31">
      <c r="A377" s="18"/>
      <c r="B377" s="19"/>
      <c r="C377" s="20">
        <v>240312000017</v>
      </c>
      <c r="D377" s="21">
        <v>45366</v>
      </c>
      <c r="E377" s="21" t="s">
        <v>41</v>
      </c>
      <c r="F377" s="19" t="s">
        <v>42</v>
      </c>
      <c r="G377" s="19" t="s">
        <v>80</v>
      </c>
      <c r="H377" s="19">
        <v>1.5</v>
      </c>
      <c r="I377" s="41">
        <v>180</v>
      </c>
      <c r="J377" s="42"/>
      <c r="K377" s="43"/>
      <c r="L377" s="42"/>
      <c r="M377" s="44"/>
      <c r="N377" s="45"/>
      <c r="O377" s="46">
        <f t="shared" si="212"/>
        <v>180</v>
      </c>
      <c r="P377" s="48"/>
      <c r="Q377" s="48"/>
      <c r="R377" s="78">
        <f t="shared" si="218"/>
        <v>104.081632653061</v>
      </c>
      <c r="S377" s="78"/>
      <c r="T377" s="79">
        <f t="shared" si="219"/>
        <v>0.191493506493506</v>
      </c>
      <c r="U377" s="78"/>
      <c r="V377" s="78"/>
      <c r="W377" s="80">
        <f t="shared" si="216"/>
        <v>104.273126159555</v>
      </c>
      <c r="X377" s="81">
        <f t="shared" si="220"/>
        <v>1.7030426716141</v>
      </c>
      <c r="Y377" s="81"/>
      <c r="Z377" s="81"/>
      <c r="AA377" s="81">
        <f t="shared" si="217"/>
        <v>1.7030426716141</v>
      </c>
      <c r="AB377" s="90">
        <v>7.19</v>
      </c>
      <c r="AC377" s="78">
        <f t="shared" si="214"/>
        <v>12.2448768089054</v>
      </c>
      <c r="AD377" s="78">
        <f t="shared" si="215"/>
        <v>116.51800296846</v>
      </c>
      <c r="AE377" s="78">
        <f t="shared" si="213"/>
        <v>63.4819970315396</v>
      </c>
    </row>
    <row r="378" customFormat="1" spans="1:31">
      <c r="A378" s="18"/>
      <c r="B378" s="19"/>
      <c r="C378" s="20">
        <v>240312000032</v>
      </c>
      <c r="D378" s="21">
        <v>45366</v>
      </c>
      <c r="E378" s="21" t="s">
        <v>70</v>
      </c>
      <c r="F378" s="19" t="s">
        <v>70</v>
      </c>
      <c r="G378" s="19" t="s">
        <v>71</v>
      </c>
      <c r="H378" s="19">
        <v>5.5</v>
      </c>
      <c r="I378" s="41">
        <v>632.5</v>
      </c>
      <c r="J378" s="53"/>
      <c r="K378" s="51"/>
      <c r="L378" s="53"/>
      <c r="M378" s="44"/>
      <c r="N378" s="45"/>
      <c r="O378" s="46">
        <f t="shared" si="212"/>
        <v>632.5</v>
      </c>
      <c r="P378" s="48"/>
      <c r="Q378" s="48"/>
      <c r="R378" s="78">
        <f t="shared" si="218"/>
        <v>381.632653061224</v>
      </c>
      <c r="S378" s="78"/>
      <c r="T378" s="79">
        <f t="shared" si="219"/>
        <v>0.702142857142857</v>
      </c>
      <c r="U378" s="78"/>
      <c r="V378" s="78"/>
      <c r="W378" s="80">
        <f t="shared" si="216"/>
        <v>382.334795918367</v>
      </c>
      <c r="X378" s="81">
        <f t="shared" si="220"/>
        <v>6.24448979591837</v>
      </c>
      <c r="Y378" s="81"/>
      <c r="Z378" s="81"/>
      <c r="AA378" s="81">
        <f t="shared" si="217"/>
        <v>6.24448979591837</v>
      </c>
      <c r="AB378" s="90">
        <v>7.19</v>
      </c>
      <c r="AC378" s="78">
        <f t="shared" si="214"/>
        <v>44.8978816326531</v>
      </c>
      <c r="AD378" s="78">
        <f t="shared" si="215"/>
        <v>427.23267755102</v>
      </c>
      <c r="AE378" s="78">
        <f t="shared" si="213"/>
        <v>205.26732244898</v>
      </c>
    </row>
    <row r="379" customFormat="1" spans="1:31">
      <c r="A379" s="18"/>
      <c r="B379" s="19"/>
      <c r="C379" s="20">
        <v>240313000002</v>
      </c>
      <c r="D379" s="21">
        <v>45366</v>
      </c>
      <c r="E379" s="21" t="s">
        <v>70</v>
      </c>
      <c r="F379" s="19" t="s">
        <v>182</v>
      </c>
      <c r="G379" s="19" t="s">
        <v>183</v>
      </c>
      <c r="H379" s="19">
        <v>4.5</v>
      </c>
      <c r="I379" s="41">
        <v>540</v>
      </c>
      <c r="J379" s="42"/>
      <c r="K379" s="43"/>
      <c r="L379" s="42"/>
      <c r="M379" s="44"/>
      <c r="N379" s="45"/>
      <c r="O379" s="46">
        <f t="shared" si="212"/>
        <v>540</v>
      </c>
      <c r="P379" s="48"/>
      <c r="Q379" s="48"/>
      <c r="R379" s="78">
        <f t="shared" si="218"/>
        <v>312.244897959184</v>
      </c>
      <c r="S379" s="78"/>
      <c r="T379" s="79">
        <f t="shared" si="219"/>
        <v>0.574480519480519</v>
      </c>
      <c r="U379" s="78"/>
      <c r="V379" s="78"/>
      <c r="W379" s="80">
        <f t="shared" si="216"/>
        <v>312.819378478664</v>
      </c>
      <c r="X379" s="81">
        <f t="shared" si="220"/>
        <v>5.1091280148423</v>
      </c>
      <c r="Y379" s="81"/>
      <c r="Z379" s="81"/>
      <c r="AA379" s="81">
        <f t="shared" si="217"/>
        <v>5.1091280148423</v>
      </c>
      <c r="AB379" s="90">
        <v>7.19</v>
      </c>
      <c r="AC379" s="78">
        <f t="shared" si="214"/>
        <v>36.7346304267161</v>
      </c>
      <c r="AD379" s="78">
        <f t="shared" si="215"/>
        <v>349.55400890538</v>
      </c>
      <c r="AE379" s="78">
        <f t="shared" si="213"/>
        <v>190.44599109462</v>
      </c>
    </row>
    <row r="380" customFormat="1" spans="1:31">
      <c r="A380" s="18"/>
      <c r="B380" s="19"/>
      <c r="C380" s="20">
        <v>240313000003</v>
      </c>
      <c r="D380" s="21">
        <v>45366</v>
      </c>
      <c r="E380" s="21" t="s">
        <v>37</v>
      </c>
      <c r="F380" s="19">
        <v>13635229849</v>
      </c>
      <c r="G380" s="19" t="s">
        <v>127</v>
      </c>
      <c r="H380" s="19">
        <v>0.11</v>
      </c>
      <c r="I380" s="46"/>
      <c r="J380" s="54">
        <v>25181</v>
      </c>
      <c r="K380" s="55"/>
      <c r="L380" s="50">
        <f>SUM(J380/M380)</f>
        <v>1490</v>
      </c>
      <c r="M380" s="52">
        <v>16.9</v>
      </c>
      <c r="N380" s="45">
        <v>7.19</v>
      </c>
      <c r="O380" s="46">
        <f>SUM(M380*N380)</f>
        <v>121.511</v>
      </c>
      <c r="P380" s="48"/>
      <c r="Q380" s="48"/>
      <c r="R380" s="78">
        <f t="shared" si="218"/>
        <v>7.63265306122449</v>
      </c>
      <c r="S380" s="78"/>
      <c r="T380" s="79">
        <f t="shared" si="219"/>
        <v>0.0140428571428571</v>
      </c>
      <c r="U380" s="78"/>
      <c r="V380" s="78"/>
      <c r="W380" s="80">
        <f t="shared" si="216"/>
        <v>7.64669591836735</v>
      </c>
      <c r="X380" s="81">
        <f t="shared" si="220"/>
        <v>0.124889795918367</v>
      </c>
      <c r="Y380" s="81"/>
      <c r="Z380" s="81"/>
      <c r="AA380" s="81">
        <f t="shared" si="217"/>
        <v>0.124889795918367</v>
      </c>
      <c r="AB380" s="90">
        <v>7.19</v>
      </c>
      <c r="AC380" s="78">
        <f t="shared" si="214"/>
        <v>0.897957632653059</v>
      </c>
      <c r="AD380" s="78">
        <f t="shared" si="215"/>
        <v>8.54465355102041</v>
      </c>
      <c r="AE380" s="78">
        <f t="shared" si="213"/>
        <v>112.96634644898</v>
      </c>
    </row>
    <row r="381" customFormat="1" spans="1:31">
      <c r="A381" s="18"/>
      <c r="B381" s="19"/>
      <c r="C381" s="20">
        <v>240313000007</v>
      </c>
      <c r="D381" s="21">
        <v>45366</v>
      </c>
      <c r="E381" s="21" t="s">
        <v>41</v>
      </c>
      <c r="F381" s="19" t="s">
        <v>42</v>
      </c>
      <c r="G381" s="19" t="s">
        <v>80</v>
      </c>
      <c r="H381" s="19">
        <v>0.34</v>
      </c>
      <c r="I381" s="41">
        <v>120</v>
      </c>
      <c r="J381" s="42"/>
      <c r="K381" s="43"/>
      <c r="L381" s="42"/>
      <c r="M381" s="44"/>
      <c r="N381" s="45"/>
      <c r="O381" s="46">
        <f t="shared" ref="O381:O395" si="221">SUM(I381)</f>
        <v>120</v>
      </c>
      <c r="P381" s="58"/>
      <c r="Q381" s="58"/>
      <c r="R381" s="78">
        <f t="shared" si="218"/>
        <v>23.5918367346939</v>
      </c>
      <c r="S381" s="78"/>
      <c r="T381" s="79">
        <f t="shared" si="219"/>
        <v>0.0434051948051948</v>
      </c>
      <c r="U381" s="78"/>
      <c r="V381" s="78"/>
      <c r="W381" s="80">
        <f t="shared" si="216"/>
        <v>23.6352419294991</v>
      </c>
      <c r="X381" s="81">
        <f t="shared" si="220"/>
        <v>0.386023005565863</v>
      </c>
      <c r="Y381" s="81"/>
      <c r="Z381" s="81"/>
      <c r="AA381" s="81">
        <f t="shared" si="217"/>
        <v>0.386023005565863</v>
      </c>
      <c r="AB381" s="90">
        <v>7.19</v>
      </c>
      <c r="AC381" s="78">
        <f t="shared" si="214"/>
        <v>2.77550541001855</v>
      </c>
      <c r="AD381" s="78">
        <f t="shared" ref="AD381:AD390" si="222">SUM(W381+AC381)</f>
        <v>26.4107473395177</v>
      </c>
      <c r="AE381" s="78">
        <f t="shared" ref="AE381:AE390" si="223">SUM(O381-AD381)</f>
        <v>93.5892526604823</v>
      </c>
    </row>
    <row r="382" customFormat="1" spans="1:31">
      <c r="A382" s="18" t="s">
        <v>308</v>
      </c>
      <c r="B382" s="19" t="s">
        <v>309</v>
      </c>
      <c r="C382" s="20">
        <v>240313000034</v>
      </c>
      <c r="D382" s="21">
        <v>45368</v>
      </c>
      <c r="E382" s="21" t="s">
        <v>70</v>
      </c>
      <c r="F382" s="97" t="s">
        <v>95</v>
      </c>
      <c r="G382" s="97" t="s">
        <v>96</v>
      </c>
      <c r="H382" s="97">
        <v>478.5</v>
      </c>
      <c r="I382" s="98"/>
      <c r="J382" s="99">
        <v>12788077.5</v>
      </c>
      <c r="K382" s="100"/>
      <c r="L382" s="50">
        <f>SUM(J382/M382)</f>
        <v>1650.00008515745</v>
      </c>
      <c r="M382" s="52">
        <v>7750.3496</v>
      </c>
      <c r="N382" s="107">
        <v>7.19</v>
      </c>
      <c r="O382" s="46">
        <f>SUM(M382*N382)</f>
        <v>55725.013624</v>
      </c>
      <c r="P382" s="108">
        <f>SUM(O382)</f>
        <v>55725.013624</v>
      </c>
      <c r="Q382" s="109" t="s">
        <v>78</v>
      </c>
      <c r="R382" s="78">
        <f t="shared" si="218"/>
        <v>33202.0408163265</v>
      </c>
      <c r="S382" s="108"/>
      <c r="T382" s="79">
        <f t="shared" si="219"/>
        <v>61.0864285714286</v>
      </c>
      <c r="U382" s="108"/>
      <c r="V382" s="108"/>
      <c r="W382" s="80">
        <f t="shared" ref="W382:W390" si="224">SUM(R382:V382)</f>
        <v>33263.1272448979</v>
      </c>
      <c r="X382" s="81">
        <f t="shared" si="220"/>
        <v>543.270612244898</v>
      </c>
      <c r="Y382" s="110"/>
      <c r="Z382" s="110"/>
      <c r="AA382" s="81">
        <f t="shared" ref="AA382:AA390" si="225">SUM(X382:Z382)</f>
        <v>543.270612244898</v>
      </c>
      <c r="AB382" s="90">
        <v>7.19</v>
      </c>
      <c r="AC382" s="78">
        <f t="shared" ref="AC382:AC390" si="226">SUM(AA382*AB382)</f>
        <v>3906.11570204082</v>
      </c>
      <c r="AD382" s="78">
        <f t="shared" si="222"/>
        <v>37169.2429469387</v>
      </c>
      <c r="AE382" s="78">
        <f t="shared" si="223"/>
        <v>18555.7706770613</v>
      </c>
    </row>
    <row r="383" customFormat="1" spans="1:31">
      <c r="A383" s="18" t="s">
        <v>310</v>
      </c>
      <c r="B383" s="19" t="s">
        <v>311</v>
      </c>
      <c r="C383" s="20">
        <v>240312000036</v>
      </c>
      <c r="D383" s="21">
        <v>45368</v>
      </c>
      <c r="E383" s="21" t="s">
        <v>70</v>
      </c>
      <c r="F383" s="19" t="s">
        <v>70</v>
      </c>
      <c r="G383" s="19" t="s">
        <v>187</v>
      </c>
      <c r="H383" s="19">
        <v>1.5</v>
      </c>
      <c r="I383" s="41">
        <v>180</v>
      </c>
      <c r="J383" s="53"/>
      <c r="K383" s="51"/>
      <c r="L383" s="53"/>
      <c r="M383" s="44"/>
      <c r="N383" s="45"/>
      <c r="O383" s="46">
        <f t="shared" si="221"/>
        <v>180</v>
      </c>
      <c r="P383" s="47">
        <f>SUM(O383:O390)</f>
        <v>3917.469</v>
      </c>
      <c r="Q383" s="47" t="s">
        <v>78</v>
      </c>
      <c r="R383" s="78">
        <f>SUM(2200/32)*H383</f>
        <v>103.125</v>
      </c>
      <c r="S383" s="78"/>
      <c r="T383" s="79">
        <f>SUM(68.81/32)*H383</f>
        <v>3.22546875</v>
      </c>
      <c r="U383" s="78"/>
      <c r="V383" s="78"/>
      <c r="W383" s="80">
        <f t="shared" si="224"/>
        <v>106.35046875</v>
      </c>
      <c r="X383" s="81">
        <f>SUM(52.12/32)*H383</f>
        <v>2.443125</v>
      </c>
      <c r="Y383" s="81"/>
      <c r="Z383" s="81"/>
      <c r="AA383" s="81">
        <f t="shared" si="225"/>
        <v>2.443125</v>
      </c>
      <c r="AB383" s="90">
        <v>7.19</v>
      </c>
      <c r="AC383" s="78">
        <f t="shared" si="226"/>
        <v>17.56606875</v>
      </c>
      <c r="AD383" s="78">
        <f t="shared" si="222"/>
        <v>123.9165375</v>
      </c>
      <c r="AE383" s="78">
        <f t="shared" si="223"/>
        <v>56.0834625</v>
      </c>
    </row>
    <row r="384" customFormat="1" spans="1:31">
      <c r="A384" s="18"/>
      <c r="B384" s="19"/>
      <c r="C384" s="20">
        <v>240313000001</v>
      </c>
      <c r="D384" s="21">
        <v>45368</v>
      </c>
      <c r="E384" s="21" t="s">
        <v>70</v>
      </c>
      <c r="F384" s="19" t="s">
        <v>182</v>
      </c>
      <c r="G384" s="19" t="s">
        <v>183</v>
      </c>
      <c r="H384" s="19">
        <v>2.5</v>
      </c>
      <c r="I384" s="41">
        <v>300</v>
      </c>
      <c r="J384" s="42"/>
      <c r="K384" s="43"/>
      <c r="L384" s="42"/>
      <c r="M384" s="44"/>
      <c r="N384" s="45"/>
      <c r="O384" s="46">
        <f t="shared" si="221"/>
        <v>300</v>
      </c>
      <c r="P384" s="48"/>
      <c r="Q384" s="48"/>
      <c r="R384" s="78">
        <f t="shared" ref="R384:R390" si="227">SUM(2200/32)*H384</f>
        <v>171.875</v>
      </c>
      <c r="S384" s="78"/>
      <c r="T384" s="79">
        <f t="shared" ref="T384:T390" si="228">SUM(68.81/32)*H384</f>
        <v>5.37578125</v>
      </c>
      <c r="U384" s="78"/>
      <c r="V384" s="78"/>
      <c r="W384" s="80">
        <f t="shared" si="224"/>
        <v>177.25078125</v>
      </c>
      <c r="X384" s="81">
        <f t="shared" ref="X384:X390" si="229">SUM(52.12/32)*H384</f>
        <v>4.071875</v>
      </c>
      <c r="Y384" s="81"/>
      <c r="Z384" s="81"/>
      <c r="AA384" s="81">
        <f t="shared" si="225"/>
        <v>4.071875</v>
      </c>
      <c r="AB384" s="90">
        <v>7.19</v>
      </c>
      <c r="AC384" s="78">
        <f t="shared" si="226"/>
        <v>29.27678125</v>
      </c>
      <c r="AD384" s="78">
        <f t="shared" si="222"/>
        <v>206.5275625</v>
      </c>
      <c r="AE384" s="78">
        <f t="shared" si="223"/>
        <v>93.4724375</v>
      </c>
    </row>
    <row r="385" customFormat="1" spans="1:31">
      <c r="A385" s="18"/>
      <c r="B385" s="19"/>
      <c r="C385" s="20">
        <v>240313000011</v>
      </c>
      <c r="D385" s="21">
        <v>45368</v>
      </c>
      <c r="E385" s="21" t="s">
        <v>47</v>
      </c>
      <c r="F385" s="19" t="s">
        <v>48</v>
      </c>
      <c r="G385" s="19" t="s">
        <v>137</v>
      </c>
      <c r="H385" s="19">
        <v>2.5</v>
      </c>
      <c r="I385" s="41">
        <v>287.5</v>
      </c>
      <c r="J385" s="42"/>
      <c r="K385" s="43"/>
      <c r="L385" s="42"/>
      <c r="M385" s="44"/>
      <c r="N385" s="45"/>
      <c r="O385" s="46">
        <f t="shared" si="221"/>
        <v>287.5</v>
      </c>
      <c r="P385" s="48"/>
      <c r="Q385" s="48"/>
      <c r="R385" s="78">
        <f t="shared" si="227"/>
        <v>171.875</v>
      </c>
      <c r="S385" s="78"/>
      <c r="T385" s="79">
        <f t="shared" si="228"/>
        <v>5.37578125</v>
      </c>
      <c r="U385" s="78"/>
      <c r="V385" s="78"/>
      <c r="W385" s="80">
        <f t="shared" si="224"/>
        <v>177.25078125</v>
      </c>
      <c r="X385" s="81">
        <f t="shared" si="229"/>
        <v>4.071875</v>
      </c>
      <c r="Y385" s="81"/>
      <c r="Z385" s="81"/>
      <c r="AA385" s="81">
        <f t="shared" si="225"/>
        <v>4.071875</v>
      </c>
      <c r="AB385" s="90">
        <v>7.19</v>
      </c>
      <c r="AC385" s="78">
        <f t="shared" si="226"/>
        <v>29.27678125</v>
      </c>
      <c r="AD385" s="78">
        <f t="shared" si="222"/>
        <v>206.5275625</v>
      </c>
      <c r="AE385" s="78">
        <f t="shared" si="223"/>
        <v>80.9724375</v>
      </c>
    </row>
    <row r="386" customFormat="1" spans="1:31">
      <c r="A386" s="18"/>
      <c r="B386" s="19"/>
      <c r="C386" s="20">
        <v>240314000002</v>
      </c>
      <c r="D386" s="21">
        <v>45368</v>
      </c>
      <c r="E386" s="21" t="s">
        <v>41</v>
      </c>
      <c r="F386" s="19" t="s">
        <v>42</v>
      </c>
      <c r="G386" s="19" t="s">
        <v>80</v>
      </c>
      <c r="H386" s="19">
        <v>0.36</v>
      </c>
      <c r="I386" s="41">
        <v>120</v>
      </c>
      <c r="J386" s="42"/>
      <c r="K386" s="43"/>
      <c r="L386" s="42"/>
      <c r="M386" s="44"/>
      <c r="N386" s="45"/>
      <c r="O386" s="46">
        <f t="shared" si="221"/>
        <v>120</v>
      </c>
      <c r="P386" s="48"/>
      <c r="Q386" s="48"/>
      <c r="R386" s="78">
        <f t="shared" si="227"/>
        <v>24.75</v>
      </c>
      <c r="S386" s="78"/>
      <c r="T386" s="79">
        <f t="shared" si="228"/>
        <v>0.7741125</v>
      </c>
      <c r="U386" s="78"/>
      <c r="V386" s="78"/>
      <c r="W386" s="80">
        <f t="shared" si="224"/>
        <v>25.5241125</v>
      </c>
      <c r="X386" s="81">
        <f t="shared" si="229"/>
        <v>0.58635</v>
      </c>
      <c r="Y386" s="81"/>
      <c r="Z386" s="81"/>
      <c r="AA386" s="81">
        <f t="shared" si="225"/>
        <v>0.58635</v>
      </c>
      <c r="AB386" s="90">
        <v>7.19</v>
      </c>
      <c r="AC386" s="78">
        <f t="shared" si="226"/>
        <v>4.2158565</v>
      </c>
      <c r="AD386" s="78">
        <f t="shared" si="222"/>
        <v>29.739969</v>
      </c>
      <c r="AE386" s="78">
        <f t="shared" si="223"/>
        <v>90.260031</v>
      </c>
    </row>
    <row r="387" customFormat="1" spans="1:31">
      <c r="A387" s="18"/>
      <c r="B387" s="19"/>
      <c r="C387" s="20">
        <v>240314000005</v>
      </c>
      <c r="D387" s="21">
        <v>45368</v>
      </c>
      <c r="E387" s="21" t="s">
        <v>37</v>
      </c>
      <c r="F387" s="19" t="s">
        <v>38</v>
      </c>
      <c r="G387" s="19" t="s">
        <v>312</v>
      </c>
      <c r="H387" s="19">
        <v>6.5</v>
      </c>
      <c r="I387" s="41">
        <v>780</v>
      </c>
      <c r="J387" s="42"/>
      <c r="K387" s="43"/>
      <c r="L387" s="42"/>
      <c r="M387" s="44"/>
      <c r="N387" s="45"/>
      <c r="O387" s="46">
        <f t="shared" si="221"/>
        <v>780</v>
      </c>
      <c r="P387" s="48"/>
      <c r="Q387" s="48"/>
      <c r="R387" s="78">
        <f t="shared" si="227"/>
        <v>446.875</v>
      </c>
      <c r="S387" s="78"/>
      <c r="T387" s="79">
        <f t="shared" si="228"/>
        <v>13.97703125</v>
      </c>
      <c r="U387" s="78"/>
      <c r="V387" s="78"/>
      <c r="W387" s="80">
        <f t="shared" si="224"/>
        <v>460.85203125</v>
      </c>
      <c r="X387" s="81">
        <f t="shared" si="229"/>
        <v>10.586875</v>
      </c>
      <c r="Y387" s="81"/>
      <c r="Z387" s="81"/>
      <c r="AA387" s="81">
        <f t="shared" si="225"/>
        <v>10.586875</v>
      </c>
      <c r="AB387" s="90">
        <v>7.19</v>
      </c>
      <c r="AC387" s="78">
        <f t="shared" si="226"/>
        <v>76.11963125</v>
      </c>
      <c r="AD387" s="78">
        <f t="shared" si="222"/>
        <v>536.9716625</v>
      </c>
      <c r="AE387" s="78">
        <f t="shared" si="223"/>
        <v>243.0283375</v>
      </c>
    </row>
    <row r="388" customFormat="1" spans="1:31">
      <c r="A388" s="18"/>
      <c r="B388" s="19"/>
      <c r="C388" s="20">
        <v>240314000031</v>
      </c>
      <c r="D388" s="21">
        <v>45368</v>
      </c>
      <c r="E388" s="21" t="s">
        <v>70</v>
      </c>
      <c r="F388" s="19" t="s">
        <v>70</v>
      </c>
      <c r="G388" s="19" t="s">
        <v>313</v>
      </c>
      <c r="H388" s="19">
        <v>4</v>
      </c>
      <c r="I388" s="41">
        <v>560</v>
      </c>
      <c r="J388" s="53"/>
      <c r="K388" s="51"/>
      <c r="L388" s="53"/>
      <c r="M388" s="44"/>
      <c r="N388" s="45"/>
      <c r="O388" s="46">
        <f t="shared" si="221"/>
        <v>560</v>
      </c>
      <c r="P388" s="48"/>
      <c r="Q388" s="48"/>
      <c r="R388" s="78">
        <f t="shared" si="227"/>
        <v>275</v>
      </c>
      <c r="S388" s="78"/>
      <c r="T388" s="79">
        <f t="shared" si="228"/>
        <v>8.60125</v>
      </c>
      <c r="U388" s="78"/>
      <c r="V388" s="78"/>
      <c r="W388" s="80">
        <f t="shared" si="224"/>
        <v>283.60125</v>
      </c>
      <c r="X388" s="81">
        <f t="shared" si="229"/>
        <v>6.515</v>
      </c>
      <c r="Y388" s="81"/>
      <c r="Z388" s="81"/>
      <c r="AA388" s="81">
        <f t="shared" si="225"/>
        <v>6.515</v>
      </c>
      <c r="AB388" s="90">
        <v>7.19</v>
      </c>
      <c r="AC388" s="78">
        <f t="shared" si="226"/>
        <v>46.84285</v>
      </c>
      <c r="AD388" s="78">
        <f t="shared" si="222"/>
        <v>330.4441</v>
      </c>
      <c r="AE388" s="78">
        <f t="shared" si="223"/>
        <v>229.5559</v>
      </c>
    </row>
    <row r="389" customFormat="1" spans="1:31">
      <c r="A389" s="18"/>
      <c r="B389" s="19"/>
      <c r="C389" s="20">
        <v>240314000037</v>
      </c>
      <c r="D389" s="21">
        <v>45368</v>
      </c>
      <c r="E389" s="21" t="s">
        <v>70</v>
      </c>
      <c r="F389" s="19" t="s">
        <v>70</v>
      </c>
      <c r="G389" s="19" t="s">
        <v>314</v>
      </c>
      <c r="H389" s="19">
        <v>4.5</v>
      </c>
      <c r="I389" s="57"/>
      <c r="J389" s="50">
        <v>111240</v>
      </c>
      <c r="K389" s="51"/>
      <c r="L389" s="53"/>
      <c r="M389" s="52">
        <v>75.1</v>
      </c>
      <c r="N389" s="104">
        <v>7.19</v>
      </c>
      <c r="O389" s="113">
        <v>539.969</v>
      </c>
      <c r="P389" s="48"/>
      <c r="Q389" s="48"/>
      <c r="R389" s="78">
        <f t="shared" si="227"/>
        <v>309.375</v>
      </c>
      <c r="S389" s="78"/>
      <c r="T389" s="79">
        <f t="shared" si="228"/>
        <v>9.67640625</v>
      </c>
      <c r="U389" s="78"/>
      <c r="V389" s="78"/>
      <c r="W389" s="80">
        <f t="shared" si="224"/>
        <v>319.05140625</v>
      </c>
      <c r="X389" s="81">
        <f t="shared" si="229"/>
        <v>7.329375</v>
      </c>
      <c r="Y389" s="81"/>
      <c r="Z389" s="81"/>
      <c r="AA389" s="81">
        <f t="shared" si="225"/>
        <v>7.329375</v>
      </c>
      <c r="AB389" s="90">
        <v>7.19</v>
      </c>
      <c r="AC389" s="78">
        <f t="shared" si="226"/>
        <v>52.69820625</v>
      </c>
      <c r="AD389" s="78">
        <f t="shared" ref="AD389:AD423" si="230">SUM(W389+AC389)</f>
        <v>371.7496125</v>
      </c>
      <c r="AE389" s="78">
        <f t="shared" si="223"/>
        <v>168.2193875</v>
      </c>
    </row>
    <row r="390" customFormat="1" spans="1:31">
      <c r="A390" s="18"/>
      <c r="B390" s="19"/>
      <c r="C390" s="20">
        <v>240315000021</v>
      </c>
      <c r="D390" s="21">
        <v>45368</v>
      </c>
      <c r="E390" s="21" t="s">
        <v>70</v>
      </c>
      <c r="F390" s="19" t="s">
        <v>70</v>
      </c>
      <c r="G390" s="19" t="s">
        <v>315</v>
      </c>
      <c r="H390" s="19">
        <v>10</v>
      </c>
      <c r="I390" s="41">
        <v>1150</v>
      </c>
      <c r="J390" s="53"/>
      <c r="K390" s="51"/>
      <c r="L390" s="53"/>
      <c r="M390" s="44"/>
      <c r="N390" s="45"/>
      <c r="O390" s="46">
        <f t="shared" si="221"/>
        <v>1150</v>
      </c>
      <c r="P390" s="58"/>
      <c r="Q390" s="58"/>
      <c r="R390" s="78">
        <f t="shared" si="227"/>
        <v>687.5</v>
      </c>
      <c r="S390" s="78"/>
      <c r="T390" s="79">
        <f t="shared" si="228"/>
        <v>21.503125</v>
      </c>
      <c r="U390" s="78"/>
      <c r="V390" s="78"/>
      <c r="W390" s="80">
        <f t="shared" ref="W390:W416" si="231">SUM(R390:V390)</f>
        <v>709.003125</v>
      </c>
      <c r="X390" s="81">
        <f t="shared" si="229"/>
        <v>16.2875</v>
      </c>
      <c r="Y390" s="81"/>
      <c r="Z390" s="81"/>
      <c r="AA390" s="81">
        <f t="shared" ref="AA390:AA416" si="232">SUM(X390:Z390)</f>
        <v>16.2875</v>
      </c>
      <c r="AB390" s="90">
        <v>7.19</v>
      </c>
      <c r="AC390" s="78">
        <f t="shared" ref="AC390:AC423" si="233">SUM(AA390*AB390)</f>
        <v>117.107125</v>
      </c>
      <c r="AD390" s="78">
        <f t="shared" si="230"/>
        <v>826.11025</v>
      </c>
      <c r="AE390" s="78">
        <f t="shared" ref="AE390:AE422" si="234">SUM(O390-AD390)</f>
        <v>323.88975</v>
      </c>
    </row>
    <row r="391" customFormat="1" spans="1:31">
      <c r="A391" s="111" t="s">
        <v>316</v>
      </c>
      <c r="B391" s="112" t="s">
        <v>317</v>
      </c>
      <c r="C391" s="20">
        <v>240308000011</v>
      </c>
      <c r="D391" s="21">
        <v>45369</v>
      </c>
      <c r="E391" s="21" t="s">
        <v>47</v>
      </c>
      <c r="F391" s="112" t="s">
        <v>48</v>
      </c>
      <c r="G391" s="112" t="s">
        <v>318</v>
      </c>
      <c r="H391" s="112">
        <v>16</v>
      </c>
      <c r="I391" s="41">
        <v>853</v>
      </c>
      <c r="J391" s="114"/>
      <c r="K391" s="115"/>
      <c r="L391" s="114"/>
      <c r="M391" s="116"/>
      <c r="N391" s="117"/>
      <c r="O391" s="113">
        <f t="shared" si="221"/>
        <v>853</v>
      </c>
      <c r="P391" s="118">
        <f>SUM(O391:O416)</f>
        <v>59484.5934</v>
      </c>
      <c r="Q391" s="118" t="s">
        <v>40</v>
      </c>
      <c r="R391" s="78">
        <f>SUM(49125/1210)*H391</f>
        <v>649.586776859504</v>
      </c>
      <c r="S391" s="78"/>
      <c r="T391" s="79">
        <f>SUM(130/1210)*H391</f>
        <v>1.71900826446281</v>
      </c>
      <c r="U391" s="78"/>
      <c r="V391" s="78"/>
      <c r="W391" s="80">
        <f t="shared" si="231"/>
        <v>651.305785123967</v>
      </c>
      <c r="X391" s="81">
        <f>SUM(919.52/1210)*H391</f>
        <v>12.1589421487603</v>
      </c>
      <c r="Y391" s="81"/>
      <c r="Z391" s="81"/>
      <c r="AA391" s="81">
        <f t="shared" si="232"/>
        <v>12.1589421487603</v>
      </c>
      <c r="AB391" s="90">
        <v>7.19</v>
      </c>
      <c r="AC391" s="78">
        <f t="shared" si="233"/>
        <v>87.4227940495868</v>
      </c>
      <c r="AD391" s="78">
        <f t="shared" si="230"/>
        <v>738.728579173554</v>
      </c>
      <c r="AE391" s="78">
        <f t="shared" si="234"/>
        <v>114.271420826446</v>
      </c>
    </row>
    <row r="392" customFormat="1" spans="1:31">
      <c r="A392" s="111"/>
      <c r="B392" s="112"/>
      <c r="C392" s="20">
        <v>240308000012</v>
      </c>
      <c r="D392" s="21">
        <v>45369</v>
      </c>
      <c r="E392" s="21" t="s">
        <v>47</v>
      </c>
      <c r="F392" s="112" t="s">
        <v>48</v>
      </c>
      <c r="G392" s="112" t="s">
        <v>81</v>
      </c>
      <c r="H392" s="112">
        <v>0.28</v>
      </c>
      <c r="I392" s="41">
        <v>67.2</v>
      </c>
      <c r="J392" s="114"/>
      <c r="K392" s="115"/>
      <c r="L392" s="114"/>
      <c r="M392" s="116"/>
      <c r="N392" s="117"/>
      <c r="O392" s="113">
        <f t="shared" si="221"/>
        <v>67.2</v>
      </c>
      <c r="P392" s="119"/>
      <c r="Q392" s="119"/>
      <c r="R392" s="78">
        <f t="shared" ref="R392:R416" si="235">SUM(49125/1210)*H392</f>
        <v>11.3677685950413</v>
      </c>
      <c r="S392" s="78"/>
      <c r="T392" s="79">
        <f t="shared" ref="T392:T416" si="236">SUM(130/1210)*H392</f>
        <v>0.0300826446280992</v>
      </c>
      <c r="U392" s="78"/>
      <c r="V392" s="78"/>
      <c r="W392" s="80">
        <f t="shared" si="231"/>
        <v>11.3978512396694</v>
      </c>
      <c r="X392" s="81">
        <f t="shared" ref="X392:X416" si="237">SUM(919.52/1210)*H392</f>
        <v>0.212781487603306</v>
      </c>
      <c r="Y392" s="81"/>
      <c r="Z392" s="81"/>
      <c r="AA392" s="81">
        <f t="shared" si="232"/>
        <v>0.212781487603306</v>
      </c>
      <c r="AB392" s="90">
        <v>7.19</v>
      </c>
      <c r="AC392" s="78">
        <f t="shared" si="233"/>
        <v>1.52989889586777</v>
      </c>
      <c r="AD392" s="78">
        <f t="shared" si="230"/>
        <v>12.9277501355372</v>
      </c>
      <c r="AE392" s="78">
        <f t="shared" si="234"/>
        <v>54.2722498644628</v>
      </c>
    </row>
    <row r="393" customFormat="1" spans="1:31">
      <c r="A393" s="111"/>
      <c r="B393" s="112"/>
      <c r="C393" s="20">
        <v>240308000013</v>
      </c>
      <c r="D393" s="21">
        <v>45369</v>
      </c>
      <c r="E393" s="21" t="s">
        <v>47</v>
      </c>
      <c r="F393" s="112" t="s">
        <v>48</v>
      </c>
      <c r="G393" s="112" t="s">
        <v>134</v>
      </c>
      <c r="H393" s="112">
        <v>0.7</v>
      </c>
      <c r="I393" s="41">
        <v>63.6</v>
      </c>
      <c r="J393" s="114"/>
      <c r="K393" s="115"/>
      <c r="L393" s="114"/>
      <c r="M393" s="116"/>
      <c r="N393" s="117"/>
      <c r="O393" s="113">
        <f t="shared" si="221"/>
        <v>63.6</v>
      </c>
      <c r="P393" s="119"/>
      <c r="Q393" s="119"/>
      <c r="R393" s="78">
        <f t="shared" si="235"/>
        <v>28.4194214876033</v>
      </c>
      <c r="S393" s="78"/>
      <c r="T393" s="79">
        <f t="shared" si="236"/>
        <v>0.0752066115702479</v>
      </c>
      <c r="U393" s="78"/>
      <c r="V393" s="78"/>
      <c r="W393" s="80">
        <f t="shared" si="231"/>
        <v>28.4946280991735</v>
      </c>
      <c r="X393" s="81">
        <f t="shared" si="237"/>
        <v>0.531953719008264</v>
      </c>
      <c r="Y393" s="81"/>
      <c r="Z393" s="81"/>
      <c r="AA393" s="81">
        <f t="shared" si="232"/>
        <v>0.531953719008264</v>
      </c>
      <c r="AB393" s="90">
        <v>7.19</v>
      </c>
      <c r="AC393" s="78">
        <f t="shared" si="233"/>
        <v>3.82474723966942</v>
      </c>
      <c r="AD393" s="78">
        <f t="shared" si="230"/>
        <v>32.319375338843</v>
      </c>
      <c r="AE393" s="78">
        <f t="shared" si="234"/>
        <v>31.280624661157</v>
      </c>
    </row>
    <row r="394" customFormat="1" spans="1:31">
      <c r="A394" s="111"/>
      <c r="B394" s="112"/>
      <c r="C394" s="20">
        <v>240308000021</v>
      </c>
      <c r="D394" s="21">
        <v>45369</v>
      </c>
      <c r="E394" s="21" t="s">
        <v>47</v>
      </c>
      <c r="F394" s="112" t="s">
        <v>48</v>
      </c>
      <c r="G394" s="112" t="s">
        <v>319</v>
      </c>
      <c r="H394" s="112">
        <v>8.5</v>
      </c>
      <c r="I394" s="41">
        <v>456</v>
      </c>
      <c r="J394" s="114"/>
      <c r="K394" s="115"/>
      <c r="L394" s="114"/>
      <c r="M394" s="116"/>
      <c r="N394" s="117"/>
      <c r="O394" s="113">
        <f t="shared" si="221"/>
        <v>456</v>
      </c>
      <c r="P394" s="119"/>
      <c r="Q394" s="119"/>
      <c r="R394" s="78">
        <f t="shared" si="235"/>
        <v>345.092975206612</v>
      </c>
      <c r="S394" s="78"/>
      <c r="T394" s="79">
        <f t="shared" si="236"/>
        <v>0.913223140495868</v>
      </c>
      <c r="U394" s="78"/>
      <c r="V394" s="78"/>
      <c r="W394" s="80">
        <f t="shared" si="231"/>
        <v>346.006198347107</v>
      </c>
      <c r="X394" s="81">
        <f t="shared" si="237"/>
        <v>6.45943801652893</v>
      </c>
      <c r="Y394" s="81"/>
      <c r="Z394" s="81"/>
      <c r="AA394" s="81">
        <f t="shared" si="232"/>
        <v>6.45943801652893</v>
      </c>
      <c r="AB394" s="90">
        <v>7.19</v>
      </c>
      <c r="AC394" s="78">
        <f t="shared" si="233"/>
        <v>46.443359338843</v>
      </c>
      <c r="AD394" s="78">
        <f t="shared" si="230"/>
        <v>392.44955768595</v>
      </c>
      <c r="AE394" s="78">
        <f t="shared" si="234"/>
        <v>63.55044231405</v>
      </c>
    </row>
    <row r="395" customFormat="1" spans="1:31">
      <c r="A395" s="111"/>
      <c r="B395" s="112"/>
      <c r="C395" s="20">
        <v>240311000003</v>
      </c>
      <c r="D395" s="21">
        <v>45369</v>
      </c>
      <c r="E395" s="21" t="s">
        <v>37</v>
      </c>
      <c r="F395" s="112" t="s">
        <v>38</v>
      </c>
      <c r="G395" s="112" t="s">
        <v>320</v>
      </c>
      <c r="H395" s="112">
        <v>29</v>
      </c>
      <c r="I395" s="41">
        <v>1575</v>
      </c>
      <c r="J395" s="120"/>
      <c r="K395" s="121"/>
      <c r="L395" s="120"/>
      <c r="M395" s="116"/>
      <c r="N395" s="117"/>
      <c r="O395" s="113">
        <f t="shared" si="221"/>
        <v>1575</v>
      </c>
      <c r="P395" s="119"/>
      <c r="Q395" s="119"/>
      <c r="R395" s="78">
        <f t="shared" si="235"/>
        <v>1177.37603305785</v>
      </c>
      <c r="S395" s="78"/>
      <c r="T395" s="79">
        <f t="shared" si="236"/>
        <v>3.11570247933884</v>
      </c>
      <c r="U395" s="78"/>
      <c r="V395" s="78"/>
      <c r="W395" s="80">
        <f t="shared" si="231"/>
        <v>1180.49173553719</v>
      </c>
      <c r="X395" s="81">
        <f t="shared" si="237"/>
        <v>22.0380826446281</v>
      </c>
      <c r="Y395" s="81"/>
      <c r="Z395" s="81"/>
      <c r="AA395" s="81">
        <f t="shared" si="232"/>
        <v>22.0380826446281</v>
      </c>
      <c r="AB395" s="90">
        <v>7.19</v>
      </c>
      <c r="AC395" s="78">
        <f t="shared" si="233"/>
        <v>158.453814214876</v>
      </c>
      <c r="AD395" s="78">
        <f t="shared" si="230"/>
        <v>1338.94554975207</v>
      </c>
      <c r="AE395" s="78">
        <f t="shared" si="234"/>
        <v>236.05445024793</v>
      </c>
    </row>
    <row r="396" customFormat="1" spans="1:31">
      <c r="A396" s="111"/>
      <c r="B396" s="112"/>
      <c r="C396" s="20">
        <v>240311000006</v>
      </c>
      <c r="D396" s="21">
        <v>45369</v>
      </c>
      <c r="E396" s="21" t="s">
        <v>41</v>
      </c>
      <c r="F396" s="112" t="s">
        <v>42</v>
      </c>
      <c r="G396" s="112" t="s">
        <v>151</v>
      </c>
      <c r="H396" s="112">
        <v>1.5</v>
      </c>
      <c r="I396" s="46"/>
      <c r="J396" s="122">
        <v>16419</v>
      </c>
      <c r="K396" s="123"/>
      <c r="L396" s="50">
        <f>SUM(J396/M396)</f>
        <v>1489.92740471869</v>
      </c>
      <c r="M396" s="124">
        <v>11.02</v>
      </c>
      <c r="N396" s="117">
        <v>7.19</v>
      </c>
      <c r="O396" s="113">
        <f>SUM(M396*N396)</f>
        <v>79.2338</v>
      </c>
      <c r="P396" s="119"/>
      <c r="Q396" s="119"/>
      <c r="R396" s="78">
        <f t="shared" si="235"/>
        <v>60.8987603305785</v>
      </c>
      <c r="S396" s="78"/>
      <c r="T396" s="79">
        <f t="shared" si="236"/>
        <v>0.161157024793388</v>
      </c>
      <c r="U396" s="78"/>
      <c r="V396" s="78"/>
      <c r="W396" s="80">
        <f t="shared" si="231"/>
        <v>61.0599173553719</v>
      </c>
      <c r="X396" s="81">
        <f t="shared" si="237"/>
        <v>1.13990082644628</v>
      </c>
      <c r="Y396" s="81"/>
      <c r="Z396" s="81"/>
      <c r="AA396" s="81">
        <f t="shared" si="232"/>
        <v>1.13990082644628</v>
      </c>
      <c r="AB396" s="90">
        <v>7.19</v>
      </c>
      <c r="AC396" s="78">
        <f t="shared" si="233"/>
        <v>8.19588694214876</v>
      </c>
      <c r="AD396" s="78">
        <f t="shared" si="230"/>
        <v>69.2558042975207</v>
      </c>
      <c r="AE396" s="78">
        <f t="shared" si="234"/>
        <v>9.97799570247935</v>
      </c>
    </row>
    <row r="397" customFormat="1" spans="1:31">
      <c r="A397" s="111"/>
      <c r="B397" s="112"/>
      <c r="C397" s="20">
        <v>240311000007</v>
      </c>
      <c r="D397" s="21">
        <v>45369</v>
      </c>
      <c r="E397" s="21" t="s">
        <v>37</v>
      </c>
      <c r="F397" s="112" t="s">
        <v>38</v>
      </c>
      <c r="G397" s="112" t="s">
        <v>321</v>
      </c>
      <c r="H397" s="112">
        <v>6.5</v>
      </c>
      <c r="I397" s="41">
        <v>420.6</v>
      </c>
      <c r="J397" s="114"/>
      <c r="K397" s="115"/>
      <c r="L397" s="114"/>
      <c r="M397" s="116"/>
      <c r="N397" s="117"/>
      <c r="O397" s="113">
        <f t="shared" ref="O397:O408" si="238">SUM(I397)</f>
        <v>420.6</v>
      </c>
      <c r="P397" s="119"/>
      <c r="Q397" s="119"/>
      <c r="R397" s="78">
        <f t="shared" si="235"/>
        <v>263.894628099174</v>
      </c>
      <c r="S397" s="78"/>
      <c r="T397" s="79">
        <f t="shared" si="236"/>
        <v>0.698347107438017</v>
      </c>
      <c r="U397" s="78"/>
      <c r="V397" s="78"/>
      <c r="W397" s="80">
        <f t="shared" si="231"/>
        <v>264.592975206612</v>
      </c>
      <c r="X397" s="81">
        <f t="shared" si="237"/>
        <v>4.93957024793388</v>
      </c>
      <c r="Y397" s="81"/>
      <c r="Z397" s="81"/>
      <c r="AA397" s="81">
        <f t="shared" si="232"/>
        <v>4.93957024793388</v>
      </c>
      <c r="AB397" s="90">
        <v>7.19</v>
      </c>
      <c r="AC397" s="78">
        <f t="shared" si="233"/>
        <v>35.5155100826446</v>
      </c>
      <c r="AD397" s="78">
        <f t="shared" si="230"/>
        <v>300.108485289256</v>
      </c>
      <c r="AE397" s="78">
        <f t="shared" si="234"/>
        <v>120.491514710744</v>
      </c>
    </row>
    <row r="398" customFormat="1" spans="1:31">
      <c r="A398" s="111"/>
      <c r="B398" s="112"/>
      <c r="C398" s="20">
        <v>240311000008</v>
      </c>
      <c r="D398" s="21">
        <v>45369</v>
      </c>
      <c r="E398" s="21" t="s">
        <v>41</v>
      </c>
      <c r="F398" s="112" t="s">
        <v>42</v>
      </c>
      <c r="G398" s="112" t="s">
        <v>322</v>
      </c>
      <c r="H398" s="112">
        <v>12</v>
      </c>
      <c r="I398" s="41">
        <v>751</v>
      </c>
      <c r="J398" s="114"/>
      <c r="K398" s="115"/>
      <c r="L398" s="114"/>
      <c r="M398" s="116"/>
      <c r="N398" s="117"/>
      <c r="O398" s="113">
        <f t="shared" si="238"/>
        <v>751</v>
      </c>
      <c r="P398" s="119"/>
      <c r="Q398" s="119"/>
      <c r="R398" s="78">
        <f t="shared" si="235"/>
        <v>487.190082644628</v>
      </c>
      <c r="S398" s="78"/>
      <c r="T398" s="79">
        <f t="shared" si="236"/>
        <v>1.28925619834711</v>
      </c>
      <c r="U398" s="78"/>
      <c r="V398" s="78"/>
      <c r="W398" s="80">
        <f t="shared" si="231"/>
        <v>488.479338842975</v>
      </c>
      <c r="X398" s="81">
        <f t="shared" si="237"/>
        <v>9.11920661157025</v>
      </c>
      <c r="Y398" s="81"/>
      <c r="Z398" s="81"/>
      <c r="AA398" s="81">
        <f t="shared" si="232"/>
        <v>9.11920661157025</v>
      </c>
      <c r="AB398" s="90">
        <v>7.19</v>
      </c>
      <c r="AC398" s="78">
        <f t="shared" si="233"/>
        <v>65.5670955371901</v>
      </c>
      <c r="AD398" s="78">
        <f t="shared" si="230"/>
        <v>554.046434380165</v>
      </c>
      <c r="AE398" s="78">
        <f t="shared" si="234"/>
        <v>196.953565619835</v>
      </c>
    </row>
    <row r="399" customFormat="1" spans="1:31">
      <c r="A399" s="111"/>
      <c r="B399" s="112"/>
      <c r="C399" s="20">
        <v>240311000017</v>
      </c>
      <c r="D399" s="21">
        <v>45369</v>
      </c>
      <c r="E399" s="21" t="s">
        <v>41</v>
      </c>
      <c r="F399" s="112" t="s">
        <v>42</v>
      </c>
      <c r="G399" s="112" t="s">
        <v>323</v>
      </c>
      <c r="H399" s="112">
        <v>8.5</v>
      </c>
      <c r="I399" s="41">
        <v>639</v>
      </c>
      <c r="J399" s="114"/>
      <c r="K399" s="115"/>
      <c r="L399" s="114"/>
      <c r="M399" s="116"/>
      <c r="N399" s="117"/>
      <c r="O399" s="113">
        <f t="shared" si="238"/>
        <v>639</v>
      </c>
      <c r="P399" s="119"/>
      <c r="Q399" s="119"/>
      <c r="R399" s="78">
        <f t="shared" si="235"/>
        <v>345.092975206612</v>
      </c>
      <c r="S399" s="78"/>
      <c r="T399" s="79">
        <f t="shared" si="236"/>
        <v>0.913223140495868</v>
      </c>
      <c r="U399" s="78"/>
      <c r="V399" s="78"/>
      <c r="W399" s="80">
        <f t="shared" si="231"/>
        <v>346.006198347107</v>
      </c>
      <c r="X399" s="81">
        <f t="shared" si="237"/>
        <v>6.45943801652893</v>
      </c>
      <c r="Y399" s="81"/>
      <c r="Z399" s="81"/>
      <c r="AA399" s="81">
        <f t="shared" si="232"/>
        <v>6.45943801652893</v>
      </c>
      <c r="AB399" s="90">
        <v>7.19</v>
      </c>
      <c r="AC399" s="78">
        <f t="shared" si="233"/>
        <v>46.443359338843</v>
      </c>
      <c r="AD399" s="78">
        <f t="shared" si="230"/>
        <v>392.44955768595</v>
      </c>
      <c r="AE399" s="78">
        <f t="shared" si="234"/>
        <v>246.55044231405</v>
      </c>
    </row>
    <row r="400" customFormat="1" spans="1:31">
      <c r="A400" s="111"/>
      <c r="B400" s="112"/>
      <c r="C400" s="20">
        <v>240311000018</v>
      </c>
      <c r="D400" s="21">
        <v>45369</v>
      </c>
      <c r="E400" s="21" t="s">
        <v>47</v>
      </c>
      <c r="F400" s="112" t="s">
        <v>48</v>
      </c>
      <c r="G400" s="112" t="s">
        <v>324</v>
      </c>
      <c r="H400" s="112">
        <v>3</v>
      </c>
      <c r="I400" s="41">
        <v>194.4</v>
      </c>
      <c r="J400" s="114"/>
      <c r="K400" s="115"/>
      <c r="L400" s="114"/>
      <c r="M400" s="116"/>
      <c r="N400" s="117"/>
      <c r="O400" s="113">
        <f t="shared" si="238"/>
        <v>194.4</v>
      </c>
      <c r="P400" s="119"/>
      <c r="Q400" s="119"/>
      <c r="R400" s="78">
        <f t="shared" si="235"/>
        <v>121.797520661157</v>
      </c>
      <c r="S400" s="78"/>
      <c r="T400" s="79">
        <f t="shared" si="236"/>
        <v>0.322314049586777</v>
      </c>
      <c r="U400" s="78"/>
      <c r="V400" s="78"/>
      <c r="W400" s="80">
        <f t="shared" si="231"/>
        <v>122.119834710744</v>
      </c>
      <c r="X400" s="81">
        <f t="shared" si="237"/>
        <v>2.27980165289256</v>
      </c>
      <c r="Y400" s="81"/>
      <c r="Z400" s="81"/>
      <c r="AA400" s="81">
        <f t="shared" si="232"/>
        <v>2.27980165289256</v>
      </c>
      <c r="AB400" s="90">
        <v>7.19</v>
      </c>
      <c r="AC400" s="78">
        <f t="shared" si="233"/>
        <v>16.3917738842975</v>
      </c>
      <c r="AD400" s="78">
        <f t="shared" si="230"/>
        <v>138.511608595041</v>
      </c>
      <c r="AE400" s="78">
        <f t="shared" si="234"/>
        <v>55.8883914049587</v>
      </c>
    </row>
    <row r="401" customFormat="1" spans="1:31">
      <c r="A401" s="111"/>
      <c r="B401" s="112"/>
      <c r="C401" s="20">
        <v>240311000022</v>
      </c>
      <c r="D401" s="21">
        <v>45369</v>
      </c>
      <c r="E401" s="21" t="s">
        <v>44</v>
      </c>
      <c r="F401" s="112" t="s">
        <v>45</v>
      </c>
      <c r="G401" s="112" t="s">
        <v>325</v>
      </c>
      <c r="H401" s="112">
        <v>3.5</v>
      </c>
      <c r="I401" s="41">
        <v>226.2</v>
      </c>
      <c r="J401" s="120"/>
      <c r="K401" s="121"/>
      <c r="L401" s="120"/>
      <c r="M401" s="116"/>
      <c r="N401" s="117"/>
      <c r="O401" s="113">
        <f t="shared" si="238"/>
        <v>226.2</v>
      </c>
      <c r="P401" s="119"/>
      <c r="Q401" s="119"/>
      <c r="R401" s="78">
        <f t="shared" si="235"/>
        <v>142.097107438017</v>
      </c>
      <c r="S401" s="78"/>
      <c r="T401" s="79">
        <f t="shared" si="236"/>
        <v>0.37603305785124</v>
      </c>
      <c r="U401" s="78"/>
      <c r="V401" s="78"/>
      <c r="W401" s="80">
        <f t="shared" si="231"/>
        <v>142.473140495868</v>
      </c>
      <c r="X401" s="81">
        <f t="shared" si="237"/>
        <v>2.65976859504132</v>
      </c>
      <c r="Y401" s="81"/>
      <c r="Z401" s="81"/>
      <c r="AA401" s="81">
        <f t="shared" si="232"/>
        <v>2.65976859504132</v>
      </c>
      <c r="AB401" s="90">
        <v>7.19</v>
      </c>
      <c r="AC401" s="78">
        <f t="shared" si="233"/>
        <v>19.1237361983471</v>
      </c>
      <c r="AD401" s="78">
        <f t="shared" si="230"/>
        <v>161.596876694215</v>
      </c>
      <c r="AE401" s="78">
        <f t="shared" si="234"/>
        <v>64.6031233057851</v>
      </c>
    </row>
    <row r="402" customFormat="1" spans="1:31">
      <c r="A402" s="111"/>
      <c r="B402" s="112"/>
      <c r="C402" s="20">
        <v>240311000025</v>
      </c>
      <c r="D402" s="21">
        <v>45369</v>
      </c>
      <c r="E402" s="21" t="s">
        <v>44</v>
      </c>
      <c r="F402" s="112" t="s">
        <v>45</v>
      </c>
      <c r="G402" s="112" t="s">
        <v>102</v>
      </c>
      <c r="H402" s="112">
        <v>1.5</v>
      </c>
      <c r="I402" s="41">
        <v>109.2</v>
      </c>
      <c r="J402" s="114"/>
      <c r="K402" s="115"/>
      <c r="L402" s="114"/>
      <c r="M402" s="116"/>
      <c r="N402" s="117"/>
      <c r="O402" s="113">
        <f t="shared" si="238"/>
        <v>109.2</v>
      </c>
      <c r="P402" s="119"/>
      <c r="Q402" s="119"/>
      <c r="R402" s="78">
        <f t="shared" si="235"/>
        <v>60.8987603305785</v>
      </c>
      <c r="S402" s="78"/>
      <c r="T402" s="79">
        <f t="shared" si="236"/>
        <v>0.161157024793388</v>
      </c>
      <c r="U402" s="78"/>
      <c r="V402" s="78"/>
      <c r="W402" s="80">
        <f t="shared" si="231"/>
        <v>61.0599173553719</v>
      </c>
      <c r="X402" s="81">
        <f t="shared" si="237"/>
        <v>1.13990082644628</v>
      </c>
      <c r="Y402" s="81"/>
      <c r="Z402" s="81"/>
      <c r="AA402" s="81">
        <f t="shared" si="232"/>
        <v>1.13990082644628</v>
      </c>
      <c r="AB402" s="90">
        <v>7.19</v>
      </c>
      <c r="AC402" s="78">
        <f t="shared" si="233"/>
        <v>8.19588694214876</v>
      </c>
      <c r="AD402" s="78">
        <f t="shared" si="230"/>
        <v>69.2558042975207</v>
      </c>
      <c r="AE402" s="78">
        <f t="shared" si="234"/>
        <v>39.9441957024793</v>
      </c>
    </row>
    <row r="403" customFormat="1" spans="1:31">
      <c r="A403" s="111"/>
      <c r="B403" s="112"/>
      <c r="C403" s="20">
        <v>240311000030</v>
      </c>
      <c r="D403" s="21">
        <v>45369</v>
      </c>
      <c r="E403" s="21" t="s">
        <v>44</v>
      </c>
      <c r="F403" s="112" t="s">
        <v>45</v>
      </c>
      <c r="G403" s="112" t="s">
        <v>102</v>
      </c>
      <c r="H403" s="112">
        <v>2.5</v>
      </c>
      <c r="I403" s="41">
        <v>153.6</v>
      </c>
      <c r="J403" s="114"/>
      <c r="K403" s="115"/>
      <c r="L403" s="114"/>
      <c r="M403" s="116"/>
      <c r="N403" s="117"/>
      <c r="O403" s="113">
        <f t="shared" si="238"/>
        <v>153.6</v>
      </c>
      <c r="P403" s="119"/>
      <c r="Q403" s="119"/>
      <c r="R403" s="78">
        <f t="shared" si="235"/>
        <v>101.497933884298</v>
      </c>
      <c r="S403" s="78"/>
      <c r="T403" s="79">
        <f t="shared" si="236"/>
        <v>0.268595041322314</v>
      </c>
      <c r="U403" s="78"/>
      <c r="V403" s="78"/>
      <c r="W403" s="80">
        <f t="shared" si="231"/>
        <v>101.76652892562</v>
      </c>
      <c r="X403" s="81">
        <f t="shared" si="237"/>
        <v>1.8998347107438</v>
      </c>
      <c r="Y403" s="81"/>
      <c r="Z403" s="81"/>
      <c r="AA403" s="81">
        <f t="shared" si="232"/>
        <v>1.8998347107438</v>
      </c>
      <c r="AB403" s="90">
        <v>7.19</v>
      </c>
      <c r="AC403" s="78">
        <f t="shared" si="233"/>
        <v>13.6598115702479</v>
      </c>
      <c r="AD403" s="78">
        <f t="shared" si="230"/>
        <v>115.426340495868</v>
      </c>
      <c r="AE403" s="78">
        <f t="shared" si="234"/>
        <v>38.1736595041322</v>
      </c>
    </row>
    <row r="404" customFormat="1" spans="1:31">
      <c r="A404" s="111"/>
      <c r="B404" s="112"/>
      <c r="C404" s="20">
        <v>240311000031</v>
      </c>
      <c r="D404" s="21">
        <v>45369</v>
      </c>
      <c r="E404" s="21" t="s">
        <v>44</v>
      </c>
      <c r="F404" s="112" t="s">
        <v>45</v>
      </c>
      <c r="G404" s="112" t="s">
        <v>178</v>
      </c>
      <c r="H404" s="112">
        <v>2</v>
      </c>
      <c r="I404" s="41">
        <v>90</v>
      </c>
      <c r="J404" s="120"/>
      <c r="K404" s="121"/>
      <c r="L404" s="120"/>
      <c r="M404" s="116"/>
      <c r="N404" s="117"/>
      <c r="O404" s="113">
        <f t="shared" si="238"/>
        <v>90</v>
      </c>
      <c r="P404" s="119"/>
      <c r="Q404" s="119"/>
      <c r="R404" s="78">
        <f t="shared" si="235"/>
        <v>81.198347107438</v>
      </c>
      <c r="S404" s="78"/>
      <c r="T404" s="79">
        <f t="shared" si="236"/>
        <v>0.214876033057851</v>
      </c>
      <c r="U404" s="78"/>
      <c r="V404" s="78"/>
      <c r="W404" s="80">
        <f t="shared" si="231"/>
        <v>81.4132231404959</v>
      </c>
      <c r="X404" s="81">
        <f t="shared" si="237"/>
        <v>1.51986776859504</v>
      </c>
      <c r="Y404" s="81"/>
      <c r="Z404" s="81"/>
      <c r="AA404" s="81">
        <f t="shared" si="232"/>
        <v>1.51986776859504</v>
      </c>
      <c r="AB404" s="90">
        <v>7.19</v>
      </c>
      <c r="AC404" s="78">
        <f t="shared" si="233"/>
        <v>10.9278492561983</v>
      </c>
      <c r="AD404" s="78">
        <f t="shared" si="230"/>
        <v>92.3410723966942</v>
      </c>
      <c r="AE404" s="78">
        <f t="shared" si="234"/>
        <v>-2.3410723966942</v>
      </c>
    </row>
    <row r="405" customFormat="1" spans="1:31">
      <c r="A405" s="111"/>
      <c r="B405" s="112"/>
      <c r="C405" s="20">
        <v>240311000033</v>
      </c>
      <c r="D405" s="21">
        <v>45369</v>
      </c>
      <c r="E405" s="21" t="s">
        <v>47</v>
      </c>
      <c r="F405" s="112" t="s">
        <v>48</v>
      </c>
      <c r="G405" s="112" t="s">
        <v>326</v>
      </c>
      <c r="H405" s="112">
        <v>5</v>
      </c>
      <c r="I405" s="41">
        <v>253</v>
      </c>
      <c r="J405" s="114"/>
      <c r="K405" s="115"/>
      <c r="L405" s="114"/>
      <c r="M405" s="116"/>
      <c r="N405" s="117"/>
      <c r="O405" s="113">
        <f t="shared" si="238"/>
        <v>253</v>
      </c>
      <c r="P405" s="119"/>
      <c r="Q405" s="119"/>
      <c r="R405" s="78">
        <f t="shared" si="235"/>
        <v>202.995867768595</v>
      </c>
      <c r="S405" s="78"/>
      <c r="T405" s="79">
        <f t="shared" si="236"/>
        <v>0.537190082644628</v>
      </c>
      <c r="U405" s="78"/>
      <c r="V405" s="78"/>
      <c r="W405" s="80">
        <f t="shared" si="231"/>
        <v>203.53305785124</v>
      </c>
      <c r="X405" s="81">
        <f t="shared" si="237"/>
        <v>3.7996694214876</v>
      </c>
      <c r="Y405" s="81"/>
      <c r="Z405" s="81"/>
      <c r="AA405" s="81">
        <f t="shared" si="232"/>
        <v>3.7996694214876</v>
      </c>
      <c r="AB405" s="90">
        <v>7.19</v>
      </c>
      <c r="AC405" s="78">
        <f t="shared" si="233"/>
        <v>27.3196231404959</v>
      </c>
      <c r="AD405" s="78">
        <f t="shared" si="230"/>
        <v>230.852680991736</v>
      </c>
      <c r="AE405" s="78">
        <f t="shared" si="234"/>
        <v>22.1473190082645</v>
      </c>
    </row>
    <row r="406" customFormat="1" spans="1:31">
      <c r="A406" s="111"/>
      <c r="B406" s="112"/>
      <c r="C406" s="20">
        <v>240311000048</v>
      </c>
      <c r="D406" s="21">
        <v>45369</v>
      </c>
      <c r="E406" s="21" t="s">
        <v>41</v>
      </c>
      <c r="F406" s="112" t="s">
        <v>42</v>
      </c>
      <c r="G406" s="112" t="s">
        <v>327</v>
      </c>
      <c r="H406" s="112">
        <v>0.4</v>
      </c>
      <c r="I406" s="41">
        <v>74</v>
      </c>
      <c r="J406" s="114"/>
      <c r="K406" s="115"/>
      <c r="L406" s="114"/>
      <c r="M406" s="116"/>
      <c r="N406" s="117"/>
      <c r="O406" s="113">
        <f t="shared" si="238"/>
        <v>74</v>
      </c>
      <c r="P406" s="119"/>
      <c r="Q406" s="119"/>
      <c r="R406" s="78">
        <f t="shared" si="235"/>
        <v>16.2396694214876</v>
      </c>
      <c r="S406" s="78"/>
      <c r="T406" s="79">
        <f t="shared" si="236"/>
        <v>0.0429752066115703</v>
      </c>
      <c r="U406" s="78"/>
      <c r="V406" s="78"/>
      <c r="W406" s="80">
        <f t="shared" si="231"/>
        <v>16.2826446280992</v>
      </c>
      <c r="X406" s="81">
        <f t="shared" si="237"/>
        <v>0.303973553719008</v>
      </c>
      <c r="Y406" s="81"/>
      <c r="Z406" s="81"/>
      <c r="AA406" s="81">
        <f t="shared" si="232"/>
        <v>0.303973553719008</v>
      </c>
      <c r="AB406" s="90">
        <v>7.19</v>
      </c>
      <c r="AC406" s="78">
        <f t="shared" si="233"/>
        <v>2.18556985123967</v>
      </c>
      <c r="AD406" s="78">
        <f t="shared" si="230"/>
        <v>18.4682144793388</v>
      </c>
      <c r="AE406" s="78">
        <f t="shared" si="234"/>
        <v>55.5317855206612</v>
      </c>
    </row>
    <row r="407" customFormat="1" spans="1:31">
      <c r="A407" s="111"/>
      <c r="B407" s="112"/>
      <c r="C407" s="20">
        <v>240311000049</v>
      </c>
      <c r="D407" s="21">
        <v>45369</v>
      </c>
      <c r="E407" s="21" t="s">
        <v>51</v>
      </c>
      <c r="F407" s="112" t="s">
        <v>65</v>
      </c>
      <c r="G407" s="112" t="s">
        <v>328</v>
      </c>
      <c r="H407" s="112">
        <v>0.9</v>
      </c>
      <c r="I407" s="41">
        <v>70.8</v>
      </c>
      <c r="J407" s="114"/>
      <c r="K407" s="115"/>
      <c r="L407" s="114"/>
      <c r="M407" s="116"/>
      <c r="N407" s="117"/>
      <c r="O407" s="113">
        <f t="shared" si="238"/>
        <v>70.8</v>
      </c>
      <c r="P407" s="119"/>
      <c r="Q407" s="119"/>
      <c r="R407" s="78">
        <f t="shared" si="235"/>
        <v>36.5392561983471</v>
      </c>
      <c r="S407" s="78"/>
      <c r="T407" s="79">
        <f t="shared" si="236"/>
        <v>0.0966942148760331</v>
      </c>
      <c r="U407" s="78"/>
      <c r="V407" s="78"/>
      <c r="W407" s="80">
        <f t="shared" si="231"/>
        <v>36.6359504132231</v>
      </c>
      <c r="X407" s="81">
        <f t="shared" si="237"/>
        <v>0.683940495867769</v>
      </c>
      <c r="Y407" s="81"/>
      <c r="Z407" s="81"/>
      <c r="AA407" s="81">
        <f t="shared" si="232"/>
        <v>0.683940495867769</v>
      </c>
      <c r="AB407" s="90">
        <v>7.19</v>
      </c>
      <c r="AC407" s="78">
        <f t="shared" si="233"/>
        <v>4.91753216528926</v>
      </c>
      <c r="AD407" s="78">
        <f t="shared" si="230"/>
        <v>41.5534825785124</v>
      </c>
      <c r="AE407" s="78">
        <f t="shared" si="234"/>
        <v>29.2465174214876</v>
      </c>
    </row>
    <row r="408" customFormat="1" spans="1:31">
      <c r="A408" s="111"/>
      <c r="B408" s="112"/>
      <c r="C408" s="20">
        <v>240311000053</v>
      </c>
      <c r="D408" s="21">
        <v>45369</v>
      </c>
      <c r="E408" s="21" t="s">
        <v>44</v>
      </c>
      <c r="F408" s="112" t="s">
        <v>45</v>
      </c>
      <c r="G408" s="112" t="s">
        <v>329</v>
      </c>
      <c r="H408" s="112">
        <v>7</v>
      </c>
      <c r="I408" s="41">
        <v>580</v>
      </c>
      <c r="J408" s="114"/>
      <c r="K408" s="115"/>
      <c r="L408" s="114"/>
      <c r="M408" s="116"/>
      <c r="N408" s="117"/>
      <c r="O408" s="113">
        <f t="shared" si="238"/>
        <v>580</v>
      </c>
      <c r="P408" s="119"/>
      <c r="Q408" s="119"/>
      <c r="R408" s="78">
        <f t="shared" si="235"/>
        <v>284.194214876033</v>
      </c>
      <c r="S408" s="78"/>
      <c r="T408" s="79">
        <f t="shared" si="236"/>
        <v>0.752066115702479</v>
      </c>
      <c r="U408" s="78"/>
      <c r="V408" s="78"/>
      <c r="W408" s="80">
        <f t="shared" si="231"/>
        <v>284.946280991735</v>
      </c>
      <c r="X408" s="81">
        <f t="shared" si="237"/>
        <v>5.31953719008264</v>
      </c>
      <c r="Y408" s="81"/>
      <c r="Z408" s="81"/>
      <c r="AA408" s="81">
        <f t="shared" si="232"/>
        <v>5.31953719008264</v>
      </c>
      <c r="AB408" s="90">
        <v>7.19</v>
      </c>
      <c r="AC408" s="78">
        <f t="shared" si="233"/>
        <v>38.2474723966942</v>
      </c>
      <c r="AD408" s="78">
        <f t="shared" si="230"/>
        <v>323.19375338843</v>
      </c>
      <c r="AE408" s="78">
        <f t="shared" si="234"/>
        <v>256.80624661157</v>
      </c>
    </row>
    <row r="409" customFormat="1" spans="1:31">
      <c r="A409" s="111"/>
      <c r="B409" s="112"/>
      <c r="C409" s="20">
        <v>240312000008</v>
      </c>
      <c r="D409" s="21">
        <v>45369</v>
      </c>
      <c r="E409" s="21" t="s">
        <v>44</v>
      </c>
      <c r="F409" s="112" t="s">
        <v>45</v>
      </c>
      <c r="G409" s="112" t="s">
        <v>330</v>
      </c>
      <c r="H409" s="112">
        <v>43.5</v>
      </c>
      <c r="I409" s="49"/>
      <c r="J409" s="125">
        <v>445875</v>
      </c>
      <c r="K409" s="121"/>
      <c r="L409" s="50">
        <f>SUM(J409/M409)</f>
        <v>1473.96694214876</v>
      </c>
      <c r="M409" s="124">
        <v>302.5</v>
      </c>
      <c r="N409" s="117">
        <v>7.19</v>
      </c>
      <c r="O409" s="113">
        <f>SUM(M409*N409)</f>
        <v>2174.975</v>
      </c>
      <c r="P409" s="119"/>
      <c r="Q409" s="119"/>
      <c r="R409" s="78">
        <f t="shared" si="235"/>
        <v>1766.06404958678</v>
      </c>
      <c r="S409" s="78"/>
      <c r="T409" s="79">
        <f t="shared" si="236"/>
        <v>4.67355371900826</v>
      </c>
      <c r="U409" s="78"/>
      <c r="V409" s="78"/>
      <c r="W409" s="80">
        <f t="shared" si="231"/>
        <v>1770.73760330578</v>
      </c>
      <c r="X409" s="81">
        <f t="shared" si="237"/>
        <v>33.0571239669422</v>
      </c>
      <c r="Y409" s="81"/>
      <c r="Z409" s="81"/>
      <c r="AA409" s="81">
        <f t="shared" si="232"/>
        <v>33.0571239669422</v>
      </c>
      <c r="AB409" s="90">
        <v>7.19</v>
      </c>
      <c r="AC409" s="78">
        <f t="shared" si="233"/>
        <v>237.680721322314</v>
      </c>
      <c r="AD409" s="78">
        <f t="shared" si="230"/>
        <v>2008.4183246281</v>
      </c>
      <c r="AE409" s="78">
        <f t="shared" si="234"/>
        <v>166.556675371901</v>
      </c>
    </row>
    <row r="410" customFormat="1" spans="1:31">
      <c r="A410" s="111"/>
      <c r="B410" s="112"/>
      <c r="C410" s="20">
        <v>240312000010</v>
      </c>
      <c r="D410" s="21">
        <v>45369</v>
      </c>
      <c r="E410" s="21" t="s">
        <v>47</v>
      </c>
      <c r="F410" s="112" t="s">
        <v>48</v>
      </c>
      <c r="G410" s="112" t="s">
        <v>203</v>
      </c>
      <c r="H410" s="112">
        <v>7</v>
      </c>
      <c r="I410" s="41">
        <v>402</v>
      </c>
      <c r="J410" s="114"/>
      <c r="K410" s="115"/>
      <c r="L410" s="114"/>
      <c r="M410" s="116"/>
      <c r="N410" s="117"/>
      <c r="O410" s="113">
        <f t="shared" ref="O410:O413" si="239">SUM(I410)</f>
        <v>402</v>
      </c>
      <c r="P410" s="119"/>
      <c r="Q410" s="119"/>
      <c r="R410" s="78">
        <f t="shared" si="235"/>
        <v>284.194214876033</v>
      </c>
      <c r="S410" s="78"/>
      <c r="T410" s="79">
        <f t="shared" si="236"/>
        <v>0.752066115702479</v>
      </c>
      <c r="U410" s="78"/>
      <c r="V410" s="78"/>
      <c r="W410" s="80">
        <f t="shared" si="231"/>
        <v>284.946280991735</v>
      </c>
      <c r="X410" s="81">
        <f t="shared" si="237"/>
        <v>5.31953719008264</v>
      </c>
      <c r="Y410" s="81"/>
      <c r="Z410" s="81"/>
      <c r="AA410" s="81">
        <f t="shared" si="232"/>
        <v>5.31953719008264</v>
      </c>
      <c r="AB410" s="90">
        <v>7.19</v>
      </c>
      <c r="AC410" s="78">
        <f t="shared" si="233"/>
        <v>38.2474723966942</v>
      </c>
      <c r="AD410" s="78">
        <f t="shared" si="230"/>
        <v>323.19375338843</v>
      </c>
      <c r="AE410" s="78">
        <f t="shared" si="234"/>
        <v>78.8062466115703</v>
      </c>
    </row>
    <row r="411" customFormat="1" spans="1:31">
      <c r="A411" s="111"/>
      <c r="B411" s="112"/>
      <c r="C411" s="20">
        <v>240312000013</v>
      </c>
      <c r="D411" s="21">
        <v>45369</v>
      </c>
      <c r="E411" s="21" t="s">
        <v>47</v>
      </c>
      <c r="F411" s="112" t="s">
        <v>48</v>
      </c>
      <c r="G411" s="112" t="s">
        <v>331</v>
      </c>
      <c r="H411" s="112">
        <v>14</v>
      </c>
      <c r="I411" s="41">
        <v>929.6</v>
      </c>
      <c r="J411" s="114"/>
      <c r="K411" s="115"/>
      <c r="L411" s="114"/>
      <c r="M411" s="116"/>
      <c r="N411" s="117"/>
      <c r="O411" s="113">
        <f t="shared" si="239"/>
        <v>929.6</v>
      </c>
      <c r="P411" s="119"/>
      <c r="Q411" s="119"/>
      <c r="R411" s="78">
        <f t="shared" si="235"/>
        <v>568.388429752066</v>
      </c>
      <c r="S411" s="78"/>
      <c r="T411" s="79">
        <f t="shared" si="236"/>
        <v>1.50413223140496</v>
      </c>
      <c r="U411" s="78"/>
      <c r="V411" s="78"/>
      <c r="W411" s="80">
        <f t="shared" si="231"/>
        <v>569.892561983471</v>
      </c>
      <c r="X411" s="81">
        <f t="shared" si="237"/>
        <v>10.6390743801653</v>
      </c>
      <c r="Y411" s="81"/>
      <c r="Z411" s="81"/>
      <c r="AA411" s="81">
        <f t="shared" si="232"/>
        <v>10.6390743801653</v>
      </c>
      <c r="AB411" s="90">
        <v>7.19</v>
      </c>
      <c r="AC411" s="78">
        <f t="shared" si="233"/>
        <v>76.4949447933884</v>
      </c>
      <c r="AD411" s="78">
        <f t="shared" si="230"/>
        <v>646.387506776859</v>
      </c>
      <c r="AE411" s="78">
        <f t="shared" si="234"/>
        <v>283.212493223141</v>
      </c>
    </row>
    <row r="412" customFormat="1" spans="1:31">
      <c r="A412" s="111"/>
      <c r="B412" s="112"/>
      <c r="C412" s="20">
        <v>240312000018</v>
      </c>
      <c r="D412" s="21">
        <v>45369</v>
      </c>
      <c r="E412" s="21" t="s">
        <v>47</v>
      </c>
      <c r="F412" s="112" t="s">
        <v>48</v>
      </c>
      <c r="G412" s="112" t="s">
        <v>299</v>
      </c>
      <c r="H412" s="112">
        <v>4</v>
      </c>
      <c r="I412" s="41">
        <v>446.4</v>
      </c>
      <c r="J412" s="114"/>
      <c r="K412" s="115"/>
      <c r="L412" s="114"/>
      <c r="M412" s="116"/>
      <c r="N412" s="117"/>
      <c r="O412" s="113">
        <f t="shared" si="239"/>
        <v>446.4</v>
      </c>
      <c r="P412" s="119"/>
      <c r="Q412" s="119"/>
      <c r="R412" s="78">
        <f t="shared" si="235"/>
        <v>162.396694214876</v>
      </c>
      <c r="S412" s="78"/>
      <c r="T412" s="79">
        <f t="shared" si="236"/>
        <v>0.429752066115702</v>
      </c>
      <c r="U412" s="78"/>
      <c r="V412" s="78"/>
      <c r="W412" s="80">
        <f t="shared" si="231"/>
        <v>162.826446280992</v>
      </c>
      <c r="X412" s="81">
        <f t="shared" si="237"/>
        <v>3.03973553719008</v>
      </c>
      <c r="Y412" s="81"/>
      <c r="Z412" s="81"/>
      <c r="AA412" s="81">
        <f t="shared" si="232"/>
        <v>3.03973553719008</v>
      </c>
      <c r="AB412" s="90">
        <v>7.19</v>
      </c>
      <c r="AC412" s="78">
        <f t="shared" si="233"/>
        <v>21.8556985123967</v>
      </c>
      <c r="AD412" s="78">
        <f t="shared" si="230"/>
        <v>184.682144793388</v>
      </c>
      <c r="AE412" s="78">
        <f t="shared" si="234"/>
        <v>261.717855206612</v>
      </c>
    </row>
    <row r="413" customFormat="1" spans="1:31">
      <c r="A413" s="111"/>
      <c r="B413" s="112"/>
      <c r="C413" s="20">
        <v>240312000022</v>
      </c>
      <c r="D413" s="21">
        <v>45369</v>
      </c>
      <c r="E413" s="21" t="s">
        <v>70</v>
      </c>
      <c r="F413" s="112" t="s">
        <v>70</v>
      </c>
      <c r="G413" s="112" t="s">
        <v>71</v>
      </c>
      <c r="H413" s="112">
        <v>464.5</v>
      </c>
      <c r="I413" s="41">
        <v>22102</v>
      </c>
      <c r="J413" s="120"/>
      <c r="K413" s="121"/>
      <c r="L413" s="120"/>
      <c r="M413" s="116"/>
      <c r="N413" s="117"/>
      <c r="O413" s="113">
        <f t="shared" si="239"/>
        <v>22102</v>
      </c>
      <c r="P413" s="119"/>
      <c r="Q413" s="119"/>
      <c r="R413" s="78">
        <f t="shared" si="235"/>
        <v>18858.3161157025</v>
      </c>
      <c r="S413" s="78"/>
      <c r="T413" s="79">
        <f t="shared" si="236"/>
        <v>49.904958677686</v>
      </c>
      <c r="U413" s="78"/>
      <c r="V413" s="78"/>
      <c r="W413" s="80">
        <f t="shared" si="231"/>
        <v>18908.2210743802</v>
      </c>
      <c r="X413" s="81">
        <f t="shared" si="237"/>
        <v>352.989289256198</v>
      </c>
      <c r="Y413" s="81"/>
      <c r="Z413" s="81"/>
      <c r="AA413" s="81">
        <f t="shared" si="232"/>
        <v>352.989289256198</v>
      </c>
      <c r="AB413" s="90">
        <v>7.19</v>
      </c>
      <c r="AC413" s="78">
        <f t="shared" si="233"/>
        <v>2537.99298975207</v>
      </c>
      <c r="AD413" s="78">
        <f t="shared" si="230"/>
        <v>21446.2140641322</v>
      </c>
      <c r="AE413" s="78">
        <f t="shared" si="234"/>
        <v>655.785935867771</v>
      </c>
    </row>
    <row r="414" customFormat="1" spans="1:31">
      <c r="A414" s="111"/>
      <c r="B414" s="112"/>
      <c r="C414" s="20">
        <v>240312000030</v>
      </c>
      <c r="D414" s="21">
        <v>45369</v>
      </c>
      <c r="E414" s="21" t="s">
        <v>41</v>
      </c>
      <c r="F414" s="112" t="s">
        <v>42</v>
      </c>
      <c r="G414" s="112" t="s">
        <v>332</v>
      </c>
      <c r="H414" s="112">
        <v>12</v>
      </c>
      <c r="I414" s="46"/>
      <c r="J414" s="122">
        <v>173026</v>
      </c>
      <c r="K414" s="123"/>
      <c r="L414" s="50">
        <f>SUM(J414/M414)</f>
        <v>1795.99335686112</v>
      </c>
      <c r="M414" s="124">
        <v>96.34</v>
      </c>
      <c r="N414" s="117">
        <v>7.19</v>
      </c>
      <c r="O414" s="113">
        <f>SUM(M414*N414)</f>
        <v>692.6846</v>
      </c>
      <c r="P414" s="119"/>
      <c r="Q414" s="119"/>
      <c r="R414" s="78">
        <f t="shared" si="235"/>
        <v>487.190082644628</v>
      </c>
      <c r="S414" s="78"/>
      <c r="T414" s="79">
        <f t="shared" si="236"/>
        <v>1.28925619834711</v>
      </c>
      <c r="U414" s="78"/>
      <c r="V414" s="78"/>
      <c r="W414" s="80">
        <f t="shared" si="231"/>
        <v>488.479338842975</v>
      </c>
      <c r="X414" s="81">
        <f t="shared" si="237"/>
        <v>9.11920661157025</v>
      </c>
      <c r="Y414" s="81"/>
      <c r="Z414" s="81"/>
      <c r="AA414" s="81">
        <f t="shared" si="232"/>
        <v>9.11920661157025</v>
      </c>
      <c r="AB414" s="90">
        <v>7.19</v>
      </c>
      <c r="AC414" s="78">
        <f t="shared" si="233"/>
        <v>65.5670955371901</v>
      </c>
      <c r="AD414" s="78">
        <f t="shared" si="230"/>
        <v>554.046434380165</v>
      </c>
      <c r="AE414" s="78">
        <f t="shared" si="234"/>
        <v>138.638165619835</v>
      </c>
    </row>
    <row r="415" customFormat="1" spans="1:31">
      <c r="A415" s="111"/>
      <c r="B415" s="112"/>
      <c r="C415" s="20">
        <v>240312000034</v>
      </c>
      <c r="D415" s="21">
        <v>45369</v>
      </c>
      <c r="E415" s="21" t="s">
        <v>70</v>
      </c>
      <c r="F415" s="112" t="s">
        <v>70</v>
      </c>
      <c r="G415" s="112" t="s">
        <v>74</v>
      </c>
      <c r="H415" s="112">
        <v>577.5</v>
      </c>
      <c r="I415" s="57">
        <v>25987.5</v>
      </c>
      <c r="J415" s="120"/>
      <c r="K415" s="121"/>
      <c r="L415" s="120"/>
      <c r="M415" s="116"/>
      <c r="N415" s="117"/>
      <c r="O415" s="113">
        <f t="shared" ref="O415:O417" si="240">SUM(I415)</f>
        <v>25987.5</v>
      </c>
      <c r="P415" s="119"/>
      <c r="Q415" s="119"/>
      <c r="R415" s="78">
        <f t="shared" si="235"/>
        <v>23446.0227272727</v>
      </c>
      <c r="S415" s="78"/>
      <c r="T415" s="79">
        <f t="shared" si="236"/>
        <v>62.0454545454545</v>
      </c>
      <c r="U415" s="78"/>
      <c r="V415" s="78"/>
      <c r="W415" s="80">
        <f t="shared" ref="W415:W423" si="241">SUM(R415:V415)</f>
        <v>23508.0681818182</v>
      </c>
      <c r="X415" s="81">
        <f t="shared" si="237"/>
        <v>438.861818181818</v>
      </c>
      <c r="Y415" s="81"/>
      <c r="Z415" s="81"/>
      <c r="AA415" s="81">
        <f t="shared" si="232"/>
        <v>438.861818181818</v>
      </c>
      <c r="AB415" s="90">
        <v>7.19</v>
      </c>
      <c r="AC415" s="78">
        <f t="shared" si="233"/>
        <v>3155.41647272727</v>
      </c>
      <c r="AD415" s="78">
        <f t="shared" si="230"/>
        <v>26663.4846545455</v>
      </c>
      <c r="AE415" s="78">
        <f t="shared" si="234"/>
        <v>-675.984654545453</v>
      </c>
    </row>
    <row r="416" customFormat="1" spans="1:31">
      <c r="A416" s="111"/>
      <c r="B416" s="112"/>
      <c r="C416" s="20">
        <v>240313000010</v>
      </c>
      <c r="D416" s="21">
        <v>45369</v>
      </c>
      <c r="E416" s="21" t="s">
        <v>47</v>
      </c>
      <c r="F416" s="112" t="s">
        <v>48</v>
      </c>
      <c r="G416" s="112" t="s">
        <v>137</v>
      </c>
      <c r="H416" s="112">
        <v>1.5</v>
      </c>
      <c r="I416" s="41">
        <v>93.6</v>
      </c>
      <c r="J416" s="114"/>
      <c r="K416" s="115"/>
      <c r="L416" s="114"/>
      <c r="M416" s="116"/>
      <c r="N416" s="117"/>
      <c r="O416" s="113">
        <f t="shared" si="240"/>
        <v>93.6</v>
      </c>
      <c r="P416" s="126"/>
      <c r="Q416" s="126"/>
      <c r="R416" s="78">
        <f t="shared" si="235"/>
        <v>60.8987603305785</v>
      </c>
      <c r="S416" s="78"/>
      <c r="T416" s="79">
        <f t="shared" si="236"/>
        <v>0.161157024793388</v>
      </c>
      <c r="U416" s="78"/>
      <c r="V416" s="78"/>
      <c r="W416" s="80">
        <f t="shared" si="241"/>
        <v>61.0599173553719</v>
      </c>
      <c r="X416" s="81">
        <f t="shared" si="237"/>
        <v>1.13990082644628</v>
      </c>
      <c r="Y416" s="81"/>
      <c r="Z416" s="81"/>
      <c r="AA416" s="81">
        <f t="shared" si="232"/>
        <v>1.13990082644628</v>
      </c>
      <c r="AB416" s="90">
        <v>7.19</v>
      </c>
      <c r="AC416" s="78">
        <f t="shared" si="233"/>
        <v>8.19588694214876</v>
      </c>
      <c r="AD416" s="78">
        <f t="shared" si="230"/>
        <v>69.2558042975207</v>
      </c>
      <c r="AE416" s="78">
        <f t="shared" si="234"/>
        <v>24.3441957024793</v>
      </c>
    </row>
    <row r="417" customFormat="1" spans="1:31">
      <c r="A417" s="18" t="s">
        <v>333</v>
      </c>
      <c r="B417" s="19" t="s">
        <v>334</v>
      </c>
      <c r="C417" s="20">
        <v>231214000021</v>
      </c>
      <c r="D417" s="21">
        <v>45362</v>
      </c>
      <c r="E417" s="21" t="s">
        <v>70</v>
      </c>
      <c r="F417" s="19" t="s">
        <v>70</v>
      </c>
      <c r="G417" s="19" t="s">
        <v>205</v>
      </c>
      <c r="H417" s="19">
        <v>1.4353</v>
      </c>
      <c r="I417" s="41">
        <v>3275.2</v>
      </c>
      <c r="J417" s="53"/>
      <c r="K417" s="51"/>
      <c r="L417" s="53"/>
      <c r="M417" s="44"/>
      <c r="N417" s="45"/>
      <c r="O417" s="46">
        <f t="shared" si="240"/>
        <v>3275.2</v>
      </c>
      <c r="P417" s="46">
        <f t="shared" ref="P417:P422" si="242">SUM(O417)</f>
        <v>3275.2</v>
      </c>
      <c r="Q417" s="108" t="s">
        <v>335</v>
      </c>
      <c r="R417" s="127">
        <v>1317.6</v>
      </c>
      <c r="S417" s="127"/>
      <c r="T417" s="108">
        <v>90.21</v>
      </c>
      <c r="U417" s="127"/>
      <c r="V417" s="127"/>
      <c r="W417" s="80">
        <f t="shared" si="241"/>
        <v>1407.81</v>
      </c>
      <c r="X417" s="110"/>
      <c r="Y417" s="110"/>
      <c r="Z417" s="110"/>
      <c r="AA417" s="110">
        <f t="shared" ref="AA417:AA423" si="243">SUM(X417:Z417)</f>
        <v>0</v>
      </c>
      <c r="AB417" s="90">
        <v>7.19</v>
      </c>
      <c r="AC417" s="78">
        <f t="shared" si="233"/>
        <v>0</v>
      </c>
      <c r="AD417" s="78">
        <f t="shared" si="230"/>
        <v>1407.81</v>
      </c>
      <c r="AE417" s="78">
        <f t="shared" si="234"/>
        <v>1867.39</v>
      </c>
    </row>
    <row r="418" customFormat="1" spans="1:31">
      <c r="A418" s="18" t="s">
        <v>333</v>
      </c>
      <c r="B418" s="19" t="s">
        <v>336</v>
      </c>
      <c r="C418" s="20">
        <v>231225000037</v>
      </c>
      <c r="D418" s="21">
        <v>45362</v>
      </c>
      <c r="E418" s="21" t="s">
        <v>41</v>
      </c>
      <c r="F418" s="19" t="s">
        <v>42</v>
      </c>
      <c r="G418" s="19" t="s">
        <v>139</v>
      </c>
      <c r="H418" s="19">
        <v>0.4871</v>
      </c>
      <c r="I418" s="46"/>
      <c r="J418" s="54">
        <v>481600</v>
      </c>
      <c r="K418" s="55"/>
      <c r="L418" s="50">
        <f t="shared" ref="L418:L422" si="244">SUM(J418/M418)</f>
        <v>1600</v>
      </c>
      <c r="M418" s="52">
        <v>301</v>
      </c>
      <c r="N418" s="45">
        <v>7.19</v>
      </c>
      <c r="O418" s="46">
        <f t="shared" ref="O418:O422" si="245">SUM(M418*N418)</f>
        <v>2164.19</v>
      </c>
      <c r="P418" s="46">
        <f t="shared" si="242"/>
        <v>2164.19</v>
      </c>
      <c r="Q418" s="108" t="s">
        <v>335</v>
      </c>
      <c r="R418" s="127">
        <v>782.3</v>
      </c>
      <c r="S418" s="127"/>
      <c r="T418" s="108">
        <v>214.78</v>
      </c>
      <c r="U418" s="127"/>
      <c r="V418" s="127"/>
      <c r="W418" s="80">
        <f t="shared" si="241"/>
        <v>997.08</v>
      </c>
      <c r="X418" s="110"/>
      <c r="Y418" s="110"/>
      <c r="Z418" s="110"/>
      <c r="AA418" s="110">
        <f t="shared" si="243"/>
        <v>0</v>
      </c>
      <c r="AB418" s="90">
        <v>7.19</v>
      </c>
      <c r="AC418" s="78">
        <f t="shared" si="233"/>
        <v>0</v>
      </c>
      <c r="AD418" s="78">
        <f t="shared" si="230"/>
        <v>997.08</v>
      </c>
      <c r="AE418" s="78">
        <f t="shared" si="234"/>
        <v>1167.11</v>
      </c>
    </row>
    <row r="419" customFormat="1" spans="1:31">
      <c r="A419" s="18" t="s">
        <v>333</v>
      </c>
      <c r="B419" s="19" t="s">
        <v>337</v>
      </c>
      <c r="C419" s="20">
        <v>240305000015</v>
      </c>
      <c r="D419" s="21">
        <v>45362</v>
      </c>
      <c r="E419" s="21" t="s">
        <v>37</v>
      </c>
      <c r="F419" s="19" t="s">
        <v>38</v>
      </c>
      <c r="G419" s="19" t="s">
        <v>338</v>
      </c>
      <c r="H419" s="19">
        <v>2.3662</v>
      </c>
      <c r="I419" s="92">
        <v>4853</v>
      </c>
      <c r="J419" s="54"/>
      <c r="K419" s="93"/>
      <c r="L419" s="54"/>
      <c r="M419" s="44"/>
      <c r="N419" s="45"/>
      <c r="O419" s="46">
        <f t="shared" ref="O419:O428" si="246">SUM(I419)</f>
        <v>4853</v>
      </c>
      <c r="P419" s="46">
        <f t="shared" si="242"/>
        <v>4853</v>
      </c>
      <c r="Q419" s="108" t="s">
        <v>335</v>
      </c>
      <c r="R419" s="127">
        <v>3800</v>
      </c>
      <c r="S419" s="127"/>
      <c r="T419" s="108">
        <v>0</v>
      </c>
      <c r="U419" s="127"/>
      <c r="V419" s="127"/>
      <c r="W419" s="80">
        <f t="shared" si="241"/>
        <v>3800</v>
      </c>
      <c r="X419" s="110"/>
      <c r="Y419" s="110"/>
      <c r="Z419" s="110"/>
      <c r="AA419" s="110">
        <f t="shared" si="243"/>
        <v>0</v>
      </c>
      <c r="AB419" s="90">
        <v>7.19</v>
      </c>
      <c r="AC419" s="78">
        <f t="shared" si="233"/>
        <v>0</v>
      </c>
      <c r="AD419" s="78">
        <f t="shared" si="230"/>
        <v>3800</v>
      </c>
      <c r="AE419" s="78">
        <f t="shared" si="234"/>
        <v>1053</v>
      </c>
    </row>
    <row r="420" customFormat="1" spans="1:31">
      <c r="A420" s="18" t="s">
        <v>339</v>
      </c>
      <c r="B420" s="19" t="s">
        <v>340</v>
      </c>
      <c r="C420" s="20">
        <v>231226000018</v>
      </c>
      <c r="D420" s="21">
        <v>45370</v>
      </c>
      <c r="E420" s="21" t="s">
        <v>44</v>
      </c>
      <c r="F420" s="19" t="s">
        <v>45</v>
      </c>
      <c r="G420" s="19" t="s">
        <v>100</v>
      </c>
      <c r="H420" s="19">
        <v>1.0475</v>
      </c>
      <c r="I420" s="41">
        <v>3303.5</v>
      </c>
      <c r="J420" s="42"/>
      <c r="K420" s="43"/>
      <c r="L420" s="42"/>
      <c r="M420" s="44"/>
      <c r="N420" s="45"/>
      <c r="O420" s="46">
        <f t="shared" si="246"/>
        <v>3303.5</v>
      </c>
      <c r="P420" s="46">
        <f t="shared" si="242"/>
        <v>3303.5</v>
      </c>
      <c r="Q420" s="108" t="s">
        <v>335</v>
      </c>
      <c r="R420" s="127">
        <v>1739.44</v>
      </c>
      <c r="S420" s="127"/>
      <c r="T420" s="108">
        <v>134</v>
      </c>
      <c r="U420" s="127"/>
      <c r="V420" s="127"/>
      <c r="W420" s="80">
        <f t="shared" si="241"/>
        <v>1873.44</v>
      </c>
      <c r="X420" s="110">
        <f>SUM(391.48/2.7796)*H420</f>
        <v>147.530328104763</v>
      </c>
      <c r="Y420" s="110"/>
      <c r="Z420" s="110"/>
      <c r="AA420" s="110">
        <f t="shared" si="243"/>
        <v>147.530328104763</v>
      </c>
      <c r="AB420" s="90">
        <v>7.19</v>
      </c>
      <c r="AC420" s="78">
        <f t="shared" si="233"/>
        <v>1060.74305907325</v>
      </c>
      <c r="AD420" s="78">
        <f t="shared" si="230"/>
        <v>2934.18305907325</v>
      </c>
      <c r="AE420" s="78">
        <f t="shared" si="234"/>
        <v>369.316940926752</v>
      </c>
    </row>
    <row r="421" customFormat="1" spans="1:31">
      <c r="A421" s="18" t="s">
        <v>339</v>
      </c>
      <c r="B421" s="19" t="s">
        <v>341</v>
      </c>
      <c r="C421" s="20">
        <v>240104000015</v>
      </c>
      <c r="D421" s="21">
        <v>45370</v>
      </c>
      <c r="E421" s="21" t="s">
        <v>44</v>
      </c>
      <c r="F421" s="19" t="s">
        <v>45</v>
      </c>
      <c r="G421" s="19" t="s">
        <v>342</v>
      </c>
      <c r="H421" s="19">
        <v>0.8213</v>
      </c>
      <c r="I421" s="49"/>
      <c r="J421" s="50">
        <v>720736</v>
      </c>
      <c r="K421" s="51"/>
      <c r="L421" s="50">
        <f t="shared" si="244"/>
        <v>1603.3814598118</v>
      </c>
      <c r="M421" s="52">
        <v>449.51</v>
      </c>
      <c r="N421" s="45">
        <v>7.19</v>
      </c>
      <c r="O421" s="113">
        <f t="shared" si="245"/>
        <v>3231.9769</v>
      </c>
      <c r="P421" s="46">
        <f t="shared" si="242"/>
        <v>3231.9769</v>
      </c>
      <c r="Q421" s="108" t="s">
        <v>335</v>
      </c>
      <c r="R421" s="127">
        <v>1222.02</v>
      </c>
      <c r="S421" s="127"/>
      <c r="T421" s="108">
        <v>75.15</v>
      </c>
      <c r="U421" s="127"/>
      <c r="V421" s="127"/>
      <c r="W421" s="80">
        <f t="shared" si="241"/>
        <v>1297.17</v>
      </c>
      <c r="X421" s="110">
        <f>SUM(391.48/2.7796)*H421</f>
        <v>115.672227658656</v>
      </c>
      <c r="Y421" s="110"/>
      <c r="Z421" s="110"/>
      <c r="AA421" s="110">
        <f t="shared" si="243"/>
        <v>115.672227658656</v>
      </c>
      <c r="AB421" s="90">
        <v>7.19</v>
      </c>
      <c r="AC421" s="78">
        <f t="shared" si="233"/>
        <v>831.683316865736</v>
      </c>
      <c r="AD421" s="78">
        <f t="shared" si="230"/>
        <v>2128.85331686574</v>
      </c>
      <c r="AE421" s="78">
        <f t="shared" si="234"/>
        <v>1103.12358313426</v>
      </c>
    </row>
    <row r="422" customFormat="1" spans="1:31">
      <c r="A422" s="18" t="s">
        <v>339</v>
      </c>
      <c r="B422" s="19" t="s">
        <v>343</v>
      </c>
      <c r="C422" s="20">
        <v>240311000044</v>
      </c>
      <c r="D422" s="21">
        <v>45370</v>
      </c>
      <c r="E422" s="21" t="s">
        <v>44</v>
      </c>
      <c r="F422" s="19" t="s">
        <v>45</v>
      </c>
      <c r="G422" s="19" t="s">
        <v>231</v>
      </c>
      <c r="H422" s="19">
        <v>0.9108</v>
      </c>
      <c r="I422" s="49"/>
      <c r="J422" s="50">
        <v>786380</v>
      </c>
      <c r="K422" s="51"/>
      <c r="L422" s="50">
        <f t="shared" si="244"/>
        <v>1473.974246031</v>
      </c>
      <c r="M422" s="52">
        <v>533.51</v>
      </c>
      <c r="N422" s="45">
        <v>7.19</v>
      </c>
      <c r="O422" s="113">
        <f t="shared" si="245"/>
        <v>3835.9369</v>
      </c>
      <c r="P422" s="46">
        <f t="shared" si="242"/>
        <v>3835.9369</v>
      </c>
      <c r="Q422" s="108" t="s">
        <v>335</v>
      </c>
      <c r="R422" s="127">
        <v>1458.25</v>
      </c>
      <c r="S422" s="127"/>
      <c r="T422" s="108"/>
      <c r="U422" s="127"/>
      <c r="V422" s="127"/>
      <c r="W422" s="80">
        <f t="shared" si="241"/>
        <v>1458.25</v>
      </c>
      <c r="X422" s="110">
        <f>SUM(391.48/2.7796)*H422</f>
        <v>128.277444236581</v>
      </c>
      <c r="Y422" s="110"/>
      <c r="Z422" s="110"/>
      <c r="AA422" s="110">
        <f t="shared" si="243"/>
        <v>128.277444236581</v>
      </c>
      <c r="AB422" s="90">
        <v>7.19</v>
      </c>
      <c r="AC422" s="78">
        <f t="shared" si="233"/>
        <v>922.314824061016</v>
      </c>
      <c r="AD422" s="78">
        <f t="shared" si="230"/>
        <v>2380.56482406102</v>
      </c>
      <c r="AE422" s="78">
        <f t="shared" si="234"/>
        <v>1455.37207593898</v>
      </c>
    </row>
    <row r="423" customFormat="1" spans="1:31">
      <c r="A423" s="18" t="s">
        <v>344</v>
      </c>
      <c r="B423" s="19" t="s">
        <v>345</v>
      </c>
      <c r="C423" s="20">
        <v>231215000033</v>
      </c>
      <c r="D423" s="21">
        <v>45370</v>
      </c>
      <c r="E423" s="21" t="s">
        <v>41</v>
      </c>
      <c r="F423" s="19" t="s">
        <v>42</v>
      </c>
      <c r="G423" s="19" t="s">
        <v>346</v>
      </c>
      <c r="H423" s="19">
        <v>17.6773</v>
      </c>
      <c r="I423" s="92">
        <v>31860</v>
      </c>
      <c r="J423" s="54"/>
      <c r="K423" s="93"/>
      <c r="L423" s="54"/>
      <c r="M423" s="44"/>
      <c r="N423" s="45"/>
      <c r="O423" s="46">
        <f t="shared" si="246"/>
        <v>31860</v>
      </c>
      <c r="P423" s="47">
        <f>SUM(O423:O424)</f>
        <v>46494</v>
      </c>
      <c r="Q423" s="47" t="s">
        <v>335</v>
      </c>
      <c r="R423" s="47">
        <v>41433.19</v>
      </c>
      <c r="S423" s="47"/>
      <c r="T423" s="47"/>
      <c r="U423" s="47"/>
      <c r="V423" s="47"/>
      <c r="W423" s="128">
        <f t="shared" si="241"/>
        <v>41433.19</v>
      </c>
      <c r="X423" s="100"/>
      <c r="Y423" s="100"/>
      <c r="Z423" s="100"/>
      <c r="AA423" s="131">
        <f t="shared" si="243"/>
        <v>0</v>
      </c>
      <c r="AB423" s="132">
        <v>7.19</v>
      </c>
      <c r="AC423" s="133">
        <f t="shared" si="233"/>
        <v>0</v>
      </c>
      <c r="AD423" s="133">
        <f t="shared" si="230"/>
        <v>41433.19</v>
      </c>
      <c r="AE423" s="47">
        <f>SUM(P423-AD423)</f>
        <v>5060.81</v>
      </c>
    </row>
    <row r="424" customFormat="1" spans="1:31">
      <c r="A424" s="18"/>
      <c r="B424" s="19"/>
      <c r="C424" s="20">
        <v>240119000041</v>
      </c>
      <c r="D424" s="21">
        <v>45370</v>
      </c>
      <c r="E424" s="21" t="s">
        <v>41</v>
      </c>
      <c r="F424" s="19" t="s">
        <v>42</v>
      </c>
      <c r="G424" s="19" t="s">
        <v>346</v>
      </c>
      <c r="H424" s="19">
        <v>8.12</v>
      </c>
      <c r="I424" s="41">
        <v>14634</v>
      </c>
      <c r="J424" s="42"/>
      <c r="K424" s="43"/>
      <c r="L424" s="42"/>
      <c r="M424" s="44"/>
      <c r="N424" s="45"/>
      <c r="O424" s="46">
        <f t="shared" si="246"/>
        <v>14634</v>
      </c>
      <c r="P424" s="58"/>
      <c r="Q424" s="58"/>
      <c r="R424" s="58"/>
      <c r="S424" s="58"/>
      <c r="T424" s="58"/>
      <c r="U424" s="58"/>
      <c r="V424" s="58"/>
      <c r="W424" s="129"/>
      <c r="X424" s="130"/>
      <c r="Y424" s="130"/>
      <c r="Z424" s="130"/>
      <c r="AA424" s="134"/>
      <c r="AB424" s="135"/>
      <c r="AC424" s="136"/>
      <c r="AD424" s="136"/>
      <c r="AE424" s="58"/>
    </row>
    <row r="425" customFormat="1" spans="1:31">
      <c r="A425" s="18" t="s">
        <v>347</v>
      </c>
      <c r="B425" s="19" t="s">
        <v>348</v>
      </c>
      <c r="C425" s="20">
        <v>240119000005</v>
      </c>
      <c r="D425" s="21">
        <v>45370</v>
      </c>
      <c r="E425" s="21" t="s">
        <v>41</v>
      </c>
      <c r="F425" s="19" t="s">
        <v>42</v>
      </c>
      <c r="G425" s="19" t="s">
        <v>73</v>
      </c>
      <c r="H425" s="19">
        <v>14.7987</v>
      </c>
      <c r="I425" s="41">
        <v>26640</v>
      </c>
      <c r="J425" s="50"/>
      <c r="K425" s="91"/>
      <c r="L425" s="50"/>
      <c r="M425" s="44"/>
      <c r="N425" s="45"/>
      <c r="O425" s="46">
        <f t="shared" si="246"/>
        <v>26640</v>
      </c>
      <c r="P425" s="47">
        <f>SUM(O425:O426)</f>
        <v>26964</v>
      </c>
      <c r="Q425" s="47" t="s">
        <v>335</v>
      </c>
      <c r="R425" s="47">
        <v>24046.27</v>
      </c>
      <c r="S425" s="47"/>
      <c r="T425" s="47"/>
      <c r="U425" s="47"/>
      <c r="V425" s="47"/>
      <c r="W425" s="128">
        <f>SUM(R425:V425)</f>
        <v>24046.27</v>
      </c>
      <c r="X425" s="100"/>
      <c r="Y425" s="100"/>
      <c r="Z425" s="100"/>
      <c r="AA425" s="131">
        <f>SUM(X425:Z425)</f>
        <v>0</v>
      </c>
      <c r="AB425" s="132">
        <v>7.19</v>
      </c>
      <c r="AC425" s="133">
        <f>SUM(AA425*AB425)</f>
        <v>0</v>
      </c>
      <c r="AD425" s="133">
        <f>SUM(W425+AC425)</f>
        <v>24046.27</v>
      </c>
      <c r="AE425" s="47">
        <f>SUM(O425-AD425)</f>
        <v>2593.73</v>
      </c>
    </row>
    <row r="426" customFormat="1" spans="1:31">
      <c r="A426" s="18"/>
      <c r="B426" s="19"/>
      <c r="C426" s="20">
        <v>240226000037</v>
      </c>
      <c r="D426" s="21">
        <v>45370</v>
      </c>
      <c r="E426" s="21" t="s">
        <v>41</v>
      </c>
      <c r="F426" s="19" t="s">
        <v>42</v>
      </c>
      <c r="G426" s="19" t="s">
        <v>73</v>
      </c>
      <c r="H426" s="19">
        <v>0.1742</v>
      </c>
      <c r="I426" s="41">
        <v>324</v>
      </c>
      <c r="J426" s="53"/>
      <c r="K426" s="51"/>
      <c r="L426" s="53"/>
      <c r="M426" s="44"/>
      <c r="N426" s="45"/>
      <c r="O426" s="46">
        <f t="shared" si="246"/>
        <v>324</v>
      </c>
      <c r="P426" s="58"/>
      <c r="Q426" s="58"/>
      <c r="R426" s="58"/>
      <c r="S426" s="58"/>
      <c r="T426" s="58"/>
      <c r="U426" s="58"/>
      <c r="V426" s="58"/>
      <c r="W426" s="129"/>
      <c r="X426" s="130"/>
      <c r="Y426" s="130"/>
      <c r="Z426" s="130"/>
      <c r="AA426" s="134"/>
      <c r="AB426" s="135"/>
      <c r="AC426" s="136"/>
      <c r="AD426" s="136"/>
      <c r="AE426" s="58"/>
    </row>
    <row r="427" customFormat="1" spans="1:31">
      <c r="A427" s="18" t="s">
        <v>349</v>
      </c>
      <c r="B427" s="19" t="s">
        <v>350</v>
      </c>
      <c r="C427" s="20">
        <v>240116000012</v>
      </c>
      <c r="D427" s="21">
        <v>45370</v>
      </c>
      <c r="E427" s="21" t="s">
        <v>41</v>
      </c>
      <c r="F427" s="19" t="s">
        <v>42</v>
      </c>
      <c r="G427" s="19" t="s">
        <v>351</v>
      </c>
      <c r="H427" s="19">
        <v>11.8166</v>
      </c>
      <c r="I427" s="41">
        <v>24130</v>
      </c>
      <c r="J427" s="53"/>
      <c r="K427" s="51"/>
      <c r="L427" s="53"/>
      <c r="M427" s="44"/>
      <c r="N427" s="45"/>
      <c r="O427" s="46">
        <f t="shared" si="246"/>
        <v>24130</v>
      </c>
      <c r="P427" s="78">
        <f>SUM(O427)</f>
        <v>24130</v>
      </c>
      <c r="Q427" s="103" t="s">
        <v>335</v>
      </c>
      <c r="R427" s="78">
        <v>18977.45</v>
      </c>
      <c r="S427" s="78"/>
      <c r="T427" s="78"/>
      <c r="U427" s="78"/>
      <c r="V427" s="78"/>
      <c r="W427" s="80">
        <f t="shared" ref="W427:W458" si="247">SUM(R427:V427)</f>
        <v>18977.45</v>
      </c>
      <c r="X427" s="81"/>
      <c r="Y427" s="81"/>
      <c r="Z427" s="81"/>
      <c r="AA427" s="110">
        <f t="shared" ref="AA427:AA458" si="248">SUM(X427:Z427)</f>
        <v>0</v>
      </c>
      <c r="AB427" s="90">
        <v>7.19</v>
      </c>
      <c r="AC427" s="78">
        <f t="shared" ref="AC427:AC442" si="249">SUM(AA427*AB427)</f>
        <v>0</v>
      </c>
      <c r="AD427" s="78">
        <f t="shared" ref="AD427:AD458" si="250">SUM(W427+AC427)</f>
        <v>18977.45</v>
      </c>
      <c r="AE427" s="78">
        <f t="shared" ref="AE427:AE458" si="251">SUM(O427-AD427)</f>
        <v>5152.55</v>
      </c>
    </row>
    <row r="428" customFormat="1" spans="1:31">
      <c r="A428" s="18" t="s">
        <v>352</v>
      </c>
      <c r="B428" s="19" t="s">
        <v>353</v>
      </c>
      <c r="C428" s="20">
        <v>240304000042</v>
      </c>
      <c r="D428" s="21">
        <v>45371</v>
      </c>
      <c r="E428" s="21" t="s">
        <v>51</v>
      </c>
      <c r="F428" s="19" t="s">
        <v>65</v>
      </c>
      <c r="G428" s="19" t="s">
        <v>328</v>
      </c>
      <c r="H428" s="19">
        <v>3.5</v>
      </c>
      <c r="I428" s="41">
        <v>199</v>
      </c>
      <c r="J428" s="42"/>
      <c r="K428" s="43"/>
      <c r="L428" s="42"/>
      <c r="M428" s="44"/>
      <c r="N428" s="45"/>
      <c r="O428" s="46">
        <f t="shared" si="246"/>
        <v>199</v>
      </c>
      <c r="P428" s="47">
        <f>SUM(O428:O536)</f>
        <v>260179.0168</v>
      </c>
      <c r="Q428" s="47" t="s">
        <v>40</v>
      </c>
      <c r="R428" s="78">
        <f>SUM(184418/5456)*H428</f>
        <v>118.303335777126</v>
      </c>
      <c r="S428" s="78"/>
      <c r="T428" s="79">
        <f>SUM(259/5456)*H428</f>
        <v>0.166147360703812</v>
      </c>
      <c r="U428" s="78"/>
      <c r="V428" s="78"/>
      <c r="W428" s="80">
        <f t="shared" si="247"/>
        <v>118.46948313783</v>
      </c>
      <c r="X428" s="81">
        <f>SUM(4305.02/5456)*H428</f>
        <v>2.76165139296188</v>
      </c>
      <c r="Y428" s="81"/>
      <c r="Z428" s="81"/>
      <c r="AA428" s="110">
        <f t="shared" si="248"/>
        <v>2.76165139296188</v>
      </c>
      <c r="AB428" s="90">
        <v>7.19</v>
      </c>
      <c r="AC428" s="78">
        <f t="shared" si="249"/>
        <v>19.8562735153959</v>
      </c>
      <c r="AD428" s="78">
        <f t="shared" si="250"/>
        <v>138.325756653226</v>
      </c>
      <c r="AE428" s="78">
        <f t="shared" si="251"/>
        <v>60.6742433467742</v>
      </c>
    </row>
    <row r="429" customFormat="1" spans="1:31">
      <c r="A429" s="18"/>
      <c r="B429" s="19"/>
      <c r="C429" s="20">
        <v>240306000001</v>
      </c>
      <c r="D429" s="21">
        <v>45371</v>
      </c>
      <c r="E429" s="21" t="s">
        <v>85</v>
      </c>
      <c r="F429" s="19" t="s">
        <v>165</v>
      </c>
      <c r="G429" s="19" t="s">
        <v>166</v>
      </c>
      <c r="H429" s="19">
        <v>48</v>
      </c>
      <c r="I429" s="46"/>
      <c r="J429" s="104"/>
      <c r="K429" s="93">
        <v>413</v>
      </c>
      <c r="L429" s="50">
        <f>SUM(J429/M429)</f>
        <v>0</v>
      </c>
      <c r="M429" s="52">
        <v>413</v>
      </c>
      <c r="N429" s="45">
        <v>7.19</v>
      </c>
      <c r="O429" s="46">
        <f>SUM(M429*N429)</f>
        <v>2969.47</v>
      </c>
      <c r="P429" s="48"/>
      <c r="Q429" s="48"/>
      <c r="R429" s="78">
        <f t="shared" ref="R429:R460" si="252">SUM(184418/5456)*H429</f>
        <v>1622.44574780059</v>
      </c>
      <c r="S429" s="78"/>
      <c r="T429" s="79">
        <f t="shared" ref="T429:T460" si="253">SUM(259/5456)*H429</f>
        <v>2.27859237536657</v>
      </c>
      <c r="U429" s="78"/>
      <c r="V429" s="78"/>
      <c r="W429" s="80">
        <f t="shared" si="247"/>
        <v>1624.72434017595</v>
      </c>
      <c r="X429" s="81">
        <f t="shared" ref="X429:X460" si="254">SUM(4305.02/5456)*H429</f>
        <v>37.8740762463343</v>
      </c>
      <c r="Y429" s="81"/>
      <c r="Z429" s="81"/>
      <c r="AA429" s="110">
        <f t="shared" si="248"/>
        <v>37.8740762463343</v>
      </c>
      <c r="AB429" s="90">
        <v>7.19</v>
      </c>
      <c r="AC429" s="78">
        <f t="shared" si="249"/>
        <v>272.314608211144</v>
      </c>
      <c r="AD429" s="78">
        <f t="shared" si="250"/>
        <v>1897.0389483871</v>
      </c>
      <c r="AE429" s="78">
        <f t="shared" si="251"/>
        <v>1072.4310516129</v>
      </c>
    </row>
    <row r="430" customFormat="1" spans="1:31">
      <c r="A430" s="18"/>
      <c r="B430" s="19"/>
      <c r="C430" s="20">
        <v>240306000007</v>
      </c>
      <c r="D430" s="21">
        <v>45371</v>
      </c>
      <c r="E430" s="21" t="s">
        <v>41</v>
      </c>
      <c r="F430" s="19" t="s">
        <v>42</v>
      </c>
      <c r="G430" s="19" t="s">
        <v>139</v>
      </c>
      <c r="H430" s="19">
        <v>16.5</v>
      </c>
      <c r="I430" s="46"/>
      <c r="J430" s="54">
        <v>213913.2</v>
      </c>
      <c r="K430" s="55"/>
      <c r="L430" s="50">
        <f>SUM(J430/M430)</f>
        <v>1618.59261501211</v>
      </c>
      <c r="M430" s="52">
        <v>132.16</v>
      </c>
      <c r="N430" s="45">
        <v>7.19</v>
      </c>
      <c r="O430" s="46">
        <f>SUM(M430*N430)</f>
        <v>950.2304</v>
      </c>
      <c r="P430" s="48"/>
      <c r="Q430" s="48"/>
      <c r="R430" s="78">
        <f t="shared" si="252"/>
        <v>557.715725806452</v>
      </c>
      <c r="S430" s="78"/>
      <c r="T430" s="79">
        <f t="shared" si="253"/>
        <v>0.783266129032258</v>
      </c>
      <c r="U430" s="78"/>
      <c r="V430" s="78"/>
      <c r="W430" s="80">
        <f t="shared" si="247"/>
        <v>558.498991935484</v>
      </c>
      <c r="X430" s="81">
        <f t="shared" si="254"/>
        <v>13.0192137096774</v>
      </c>
      <c r="Y430" s="81"/>
      <c r="Z430" s="81"/>
      <c r="AA430" s="110">
        <f t="shared" si="248"/>
        <v>13.0192137096774</v>
      </c>
      <c r="AB430" s="90">
        <v>7.19</v>
      </c>
      <c r="AC430" s="78">
        <f t="shared" si="249"/>
        <v>93.6081465725807</v>
      </c>
      <c r="AD430" s="78">
        <f t="shared" si="250"/>
        <v>652.107138508065</v>
      </c>
      <c r="AE430" s="78">
        <f t="shared" si="251"/>
        <v>298.123261491935</v>
      </c>
    </row>
    <row r="431" customFormat="1" spans="1:31">
      <c r="A431" s="18"/>
      <c r="B431" s="19"/>
      <c r="C431" s="20">
        <v>240307000033</v>
      </c>
      <c r="D431" s="21">
        <v>45371</v>
      </c>
      <c r="E431" s="21" t="s">
        <v>47</v>
      </c>
      <c r="F431" s="19" t="s">
        <v>48</v>
      </c>
      <c r="G431" s="19" t="s">
        <v>167</v>
      </c>
      <c r="H431" s="19">
        <v>241</v>
      </c>
      <c r="I431" s="41">
        <v>10604</v>
      </c>
      <c r="J431" s="53"/>
      <c r="K431" s="51"/>
      <c r="L431" s="53"/>
      <c r="M431" s="44"/>
      <c r="N431" s="45"/>
      <c r="O431" s="46">
        <f t="shared" ref="O431:O434" si="255">SUM(I431)</f>
        <v>10604</v>
      </c>
      <c r="P431" s="48"/>
      <c r="Q431" s="48"/>
      <c r="R431" s="78">
        <f t="shared" si="252"/>
        <v>8146.02969208211</v>
      </c>
      <c r="S431" s="78"/>
      <c r="T431" s="79">
        <f t="shared" si="253"/>
        <v>11.4404325513196</v>
      </c>
      <c r="U431" s="78"/>
      <c r="V431" s="78"/>
      <c r="W431" s="80">
        <f t="shared" si="247"/>
        <v>8157.47012463343</v>
      </c>
      <c r="X431" s="81">
        <f t="shared" si="254"/>
        <v>190.159424486804</v>
      </c>
      <c r="Y431" s="81"/>
      <c r="Z431" s="81"/>
      <c r="AA431" s="110">
        <f t="shared" si="248"/>
        <v>190.159424486804</v>
      </c>
      <c r="AB431" s="90">
        <v>7.19</v>
      </c>
      <c r="AC431" s="78">
        <f t="shared" si="249"/>
        <v>1367.24626206012</v>
      </c>
      <c r="AD431" s="78">
        <f t="shared" si="250"/>
        <v>9524.71638669355</v>
      </c>
      <c r="AE431" s="78">
        <f t="shared" si="251"/>
        <v>1079.28361330645</v>
      </c>
    </row>
    <row r="432" customFormat="1" spans="1:31">
      <c r="A432" s="18"/>
      <c r="B432" s="19"/>
      <c r="C432" s="20">
        <v>240307000037</v>
      </c>
      <c r="D432" s="21">
        <v>45371</v>
      </c>
      <c r="E432" s="21" t="s">
        <v>37</v>
      </c>
      <c r="F432" s="19" t="s">
        <v>38</v>
      </c>
      <c r="G432" s="19" t="s">
        <v>354</v>
      </c>
      <c r="H432" s="19">
        <v>41.5</v>
      </c>
      <c r="I432" s="41">
        <v>1784.5</v>
      </c>
      <c r="J432" s="53"/>
      <c r="K432" s="51"/>
      <c r="L432" s="53"/>
      <c r="M432" s="44"/>
      <c r="N432" s="45"/>
      <c r="O432" s="46">
        <f t="shared" si="255"/>
        <v>1784.5</v>
      </c>
      <c r="P432" s="48"/>
      <c r="Q432" s="48"/>
      <c r="R432" s="78">
        <f t="shared" si="252"/>
        <v>1402.73955278592</v>
      </c>
      <c r="S432" s="78"/>
      <c r="T432" s="79">
        <f t="shared" si="253"/>
        <v>1.97003299120235</v>
      </c>
      <c r="U432" s="78"/>
      <c r="V432" s="78"/>
      <c r="W432" s="80">
        <f t="shared" si="247"/>
        <v>1404.70958577713</v>
      </c>
      <c r="X432" s="81">
        <f t="shared" si="254"/>
        <v>32.7452950879765</v>
      </c>
      <c r="Y432" s="81"/>
      <c r="Z432" s="81"/>
      <c r="AA432" s="110">
        <f t="shared" si="248"/>
        <v>32.7452950879765</v>
      </c>
      <c r="AB432" s="90">
        <v>7.19</v>
      </c>
      <c r="AC432" s="78">
        <f t="shared" si="249"/>
        <v>235.438671682551</v>
      </c>
      <c r="AD432" s="78">
        <f t="shared" si="250"/>
        <v>1640.14825745968</v>
      </c>
      <c r="AE432" s="78">
        <f t="shared" si="251"/>
        <v>144.351742540322</v>
      </c>
    </row>
    <row r="433" customFormat="1" spans="1:31">
      <c r="A433" s="18"/>
      <c r="B433" s="19"/>
      <c r="C433" s="20">
        <v>240308000015</v>
      </c>
      <c r="D433" s="21">
        <v>45371</v>
      </c>
      <c r="E433" s="21" t="s">
        <v>37</v>
      </c>
      <c r="F433" s="19" t="s">
        <v>38</v>
      </c>
      <c r="G433" s="19" t="s">
        <v>354</v>
      </c>
      <c r="H433" s="19">
        <v>2</v>
      </c>
      <c r="I433" s="41">
        <v>86</v>
      </c>
      <c r="J433" s="53"/>
      <c r="K433" s="51"/>
      <c r="L433" s="53"/>
      <c r="M433" s="44"/>
      <c r="N433" s="45"/>
      <c r="O433" s="46">
        <f t="shared" si="255"/>
        <v>86</v>
      </c>
      <c r="P433" s="48"/>
      <c r="Q433" s="48"/>
      <c r="R433" s="78">
        <f t="shared" si="252"/>
        <v>67.6019061583578</v>
      </c>
      <c r="S433" s="78"/>
      <c r="T433" s="79">
        <f t="shared" si="253"/>
        <v>0.094941348973607</v>
      </c>
      <c r="U433" s="78"/>
      <c r="V433" s="78"/>
      <c r="W433" s="80">
        <f t="shared" si="247"/>
        <v>67.6968475073314</v>
      </c>
      <c r="X433" s="81">
        <f t="shared" si="254"/>
        <v>1.57808651026393</v>
      </c>
      <c r="Y433" s="81"/>
      <c r="Z433" s="81"/>
      <c r="AA433" s="110">
        <f t="shared" si="248"/>
        <v>1.57808651026393</v>
      </c>
      <c r="AB433" s="90">
        <v>7.19</v>
      </c>
      <c r="AC433" s="78">
        <f t="shared" si="249"/>
        <v>11.3464420087977</v>
      </c>
      <c r="AD433" s="78">
        <f t="shared" si="250"/>
        <v>79.043289516129</v>
      </c>
      <c r="AE433" s="78">
        <f t="shared" si="251"/>
        <v>6.95671048387096</v>
      </c>
    </row>
    <row r="434" customFormat="1" spans="1:31">
      <c r="A434" s="18"/>
      <c r="B434" s="19"/>
      <c r="C434" s="20">
        <v>240308000016</v>
      </c>
      <c r="D434" s="21">
        <v>45371</v>
      </c>
      <c r="E434" s="21" t="s">
        <v>37</v>
      </c>
      <c r="F434" s="19" t="s">
        <v>38</v>
      </c>
      <c r="G434" s="19" t="s">
        <v>355</v>
      </c>
      <c r="H434" s="19">
        <v>9</v>
      </c>
      <c r="I434" s="41">
        <v>426</v>
      </c>
      <c r="J434" s="42"/>
      <c r="K434" s="43"/>
      <c r="L434" s="42"/>
      <c r="M434" s="44"/>
      <c r="N434" s="45"/>
      <c r="O434" s="46">
        <f t="shared" si="255"/>
        <v>426</v>
      </c>
      <c r="P434" s="48"/>
      <c r="Q434" s="48"/>
      <c r="R434" s="78">
        <f t="shared" si="252"/>
        <v>304.20857771261</v>
      </c>
      <c r="S434" s="78"/>
      <c r="T434" s="79">
        <f t="shared" si="253"/>
        <v>0.427236070381232</v>
      </c>
      <c r="U434" s="78"/>
      <c r="V434" s="78"/>
      <c r="W434" s="80">
        <f t="shared" si="247"/>
        <v>304.635813782991</v>
      </c>
      <c r="X434" s="81">
        <f t="shared" si="254"/>
        <v>7.10138929618768</v>
      </c>
      <c r="Y434" s="81"/>
      <c r="Z434" s="81"/>
      <c r="AA434" s="110">
        <f t="shared" si="248"/>
        <v>7.10138929618768</v>
      </c>
      <c r="AB434" s="90">
        <v>7.19</v>
      </c>
      <c r="AC434" s="78">
        <f t="shared" si="249"/>
        <v>51.0589890395895</v>
      </c>
      <c r="AD434" s="78">
        <f t="shared" si="250"/>
        <v>355.694802822581</v>
      </c>
      <c r="AE434" s="78">
        <f t="shared" si="251"/>
        <v>70.3051971774193</v>
      </c>
    </row>
    <row r="435" customFormat="1" spans="1:31">
      <c r="A435" s="18"/>
      <c r="B435" s="19"/>
      <c r="C435" s="20">
        <v>240308000017</v>
      </c>
      <c r="D435" s="21">
        <v>45371</v>
      </c>
      <c r="E435" s="21" t="s">
        <v>44</v>
      </c>
      <c r="F435" s="19" t="s">
        <v>45</v>
      </c>
      <c r="G435" s="19" t="s">
        <v>124</v>
      </c>
      <c r="H435" s="19">
        <v>17.5</v>
      </c>
      <c r="I435" s="49"/>
      <c r="J435" s="50">
        <v>161437.5</v>
      </c>
      <c r="K435" s="51"/>
      <c r="L435" s="50">
        <f>SUM(J435/M435)</f>
        <v>1474.04583637692</v>
      </c>
      <c r="M435" s="52">
        <v>109.52</v>
      </c>
      <c r="N435" s="45">
        <v>7.19</v>
      </c>
      <c r="O435" s="46">
        <f>SUM(M435*N435)</f>
        <v>787.4488</v>
      </c>
      <c r="P435" s="48"/>
      <c r="Q435" s="48"/>
      <c r="R435" s="78">
        <f t="shared" si="252"/>
        <v>591.516678885631</v>
      </c>
      <c r="S435" s="78"/>
      <c r="T435" s="79">
        <f t="shared" si="253"/>
        <v>0.830736803519062</v>
      </c>
      <c r="U435" s="78"/>
      <c r="V435" s="78"/>
      <c r="W435" s="80">
        <f t="shared" si="247"/>
        <v>592.34741568915</v>
      </c>
      <c r="X435" s="81">
        <f t="shared" si="254"/>
        <v>13.8082569648094</v>
      </c>
      <c r="Y435" s="81"/>
      <c r="Z435" s="81"/>
      <c r="AA435" s="110">
        <f t="shared" si="248"/>
        <v>13.8082569648094</v>
      </c>
      <c r="AB435" s="90">
        <v>7.19</v>
      </c>
      <c r="AC435" s="78">
        <f t="shared" si="249"/>
        <v>99.2813675769795</v>
      </c>
      <c r="AD435" s="78">
        <f t="shared" si="250"/>
        <v>691.628783266129</v>
      </c>
      <c r="AE435" s="78">
        <f t="shared" si="251"/>
        <v>95.8200167338709</v>
      </c>
    </row>
    <row r="436" customFormat="1" spans="1:31">
      <c r="A436" s="18"/>
      <c r="B436" s="19"/>
      <c r="C436" s="20">
        <v>240308000026</v>
      </c>
      <c r="D436" s="21">
        <v>45371</v>
      </c>
      <c r="E436" s="21" t="s">
        <v>37</v>
      </c>
      <c r="F436" s="19" t="s">
        <v>38</v>
      </c>
      <c r="G436" s="19" t="s">
        <v>356</v>
      </c>
      <c r="H436" s="19">
        <v>34</v>
      </c>
      <c r="I436" s="46"/>
      <c r="J436" s="54">
        <v>346262</v>
      </c>
      <c r="K436" s="55"/>
      <c r="L436" s="50">
        <f>SUM(J436/M436)</f>
        <v>1490.00387280003</v>
      </c>
      <c r="M436" s="52">
        <v>232.39</v>
      </c>
      <c r="N436" s="45">
        <v>7.19</v>
      </c>
      <c r="O436" s="46">
        <f>SUM(M436*N436)</f>
        <v>1670.8841</v>
      </c>
      <c r="P436" s="48"/>
      <c r="Q436" s="48"/>
      <c r="R436" s="78">
        <f t="shared" si="252"/>
        <v>1149.23240469208</v>
      </c>
      <c r="S436" s="78"/>
      <c r="T436" s="79">
        <f t="shared" si="253"/>
        <v>1.61400293255132</v>
      </c>
      <c r="U436" s="78"/>
      <c r="V436" s="78"/>
      <c r="W436" s="80">
        <f t="shared" si="247"/>
        <v>1150.84640762463</v>
      </c>
      <c r="X436" s="81">
        <f t="shared" si="254"/>
        <v>26.8274706744868</v>
      </c>
      <c r="Y436" s="81"/>
      <c r="Z436" s="81"/>
      <c r="AA436" s="110">
        <f t="shared" si="248"/>
        <v>26.8274706744868</v>
      </c>
      <c r="AB436" s="90">
        <v>7.19</v>
      </c>
      <c r="AC436" s="78">
        <f t="shared" si="249"/>
        <v>192.88951414956</v>
      </c>
      <c r="AD436" s="78">
        <f t="shared" si="250"/>
        <v>1343.73592177419</v>
      </c>
      <c r="AE436" s="78">
        <f t="shared" si="251"/>
        <v>327.148178225806</v>
      </c>
    </row>
    <row r="437" customFormat="1" spans="1:31">
      <c r="A437" s="18"/>
      <c r="B437" s="19"/>
      <c r="C437" s="20">
        <v>240308000032</v>
      </c>
      <c r="D437" s="21">
        <v>45371</v>
      </c>
      <c r="E437" s="21" t="s">
        <v>51</v>
      </c>
      <c r="F437" s="19" t="s">
        <v>52</v>
      </c>
      <c r="G437" s="19" t="s">
        <v>357</v>
      </c>
      <c r="H437" s="19">
        <v>0.68</v>
      </c>
      <c r="I437" s="41">
        <v>59</v>
      </c>
      <c r="J437" s="42"/>
      <c r="K437" s="43"/>
      <c r="L437" s="42"/>
      <c r="M437" s="44"/>
      <c r="N437" s="45"/>
      <c r="O437" s="46">
        <f t="shared" ref="O437:O445" si="256">SUM(I437)</f>
        <v>59</v>
      </c>
      <c r="P437" s="48"/>
      <c r="Q437" s="48"/>
      <c r="R437" s="78">
        <f t="shared" si="252"/>
        <v>22.9846480938416</v>
      </c>
      <c r="S437" s="78"/>
      <c r="T437" s="79">
        <f t="shared" si="253"/>
        <v>0.0322800586510264</v>
      </c>
      <c r="U437" s="78"/>
      <c r="V437" s="78"/>
      <c r="W437" s="80">
        <f t="shared" si="247"/>
        <v>23.0169281524927</v>
      </c>
      <c r="X437" s="81">
        <f t="shared" si="254"/>
        <v>0.536549413489736</v>
      </c>
      <c r="Y437" s="81"/>
      <c r="Z437" s="81"/>
      <c r="AA437" s="110">
        <f t="shared" si="248"/>
        <v>0.536549413489736</v>
      </c>
      <c r="AB437" s="90">
        <v>7.19</v>
      </c>
      <c r="AC437" s="78">
        <f t="shared" si="249"/>
        <v>3.8577902829912</v>
      </c>
      <c r="AD437" s="78">
        <f t="shared" si="250"/>
        <v>26.8747184354839</v>
      </c>
      <c r="AE437" s="78">
        <f t="shared" si="251"/>
        <v>32.1252815645161</v>
      </c>
    </row>
    <row r="438" customFormat="1" spans="1:31">
      <c r="A438" s="18"/>
      <c r="B438" s="19"/>
      <c r="C438" s="20">
        <v>240308000037</v>
      </c>
      <c r="D438" s="21">
        <v>45371</v>
      </c>
      <c r="E438" s="21" t="s">
        <v>41</v>
      </c>
      <c r="F438" s="19" t="s">
        <v>42</v>
      </c>
      <c r="G438" s="19" t="s">
        <v>358</v>
      </c>
      <c r="H438" s="19">
        <v>19</v>
      </c>
      <c r="I438" s="41">
        <v>855</v>
      </c>
      <c r="J438" s="42"/>
      <c r="K438" s="43"/>
      <c r="L438" s="42"/>
      <c r="M438" s="44"/>
      <c r="N438" s="45"/>
      <c r="O438" s="46">
        <f t="shared" si="256"/>
        <v>855</v>
      </c>
      <c r="P438" s="48"/>
      <c r="Q438" s="48"/>
      <c r="R438" s="78">
        <f t="shared" si="252"/>
        <v>642.218108504399</v>
      </c>
      <c r="S438" s="78"/>
      <c r="T438" s="79">
        <f t="shared" si="253"/>
        <v>0.901942815249267</v>
      </c>
      <c r="U438" s="78"/>
      <c r="V438" s="78"/>
      <c r="W438" s="80">
        <f t="shared" si="247"/>
        <v>643.120051319648</v>
      </c>
      <c r="X438" s="81">
        <f t="shared" si="254"/>
        <v>14.9918218475073</v>
      </c>
      <c r="Y438" s="81"/>
      <c r="Z438" s="81"/>
      <c r="AA438" s="110">
        <f t="shared" si="248"/>
        <v>14.9918218475073</v>
      </c>
      <c r="AB438" s="90">
        <v>7.19</v>
      </c>
      <c r="AC438" s="78">
        <f t="shared" si="249"/>
        <v>107.791199083578</v>
      </c>
      <c r="AD438" s="78">
        <f t="shared" si="250"/>
        <v>750.911250403226</v>
      </c>
      <c r="AE438" s="78">
        <f t="shared" si="251"/>
        <v>104.088749596774</v>
      </c>
    </row>
    <row r="439" customFormat="1" spans="1:31">
      <c r="A439" s="18"/>
      <c r="B439" s="19"/>
      <c r="C439" s="20">
        <v>240308000040</v>
      </c>
      <c r="D439" s="21">
        <v>45371</v>
      </c>
      <c r="E439" s="21" t="s">
        <v>51</v>
      </c>
      <c r="F439" s="19" t="s">
        <v>52</v>
      </c>
      <c r="G439" s="19" t="s">
        <v>359</v>
      </c>
      <c r="H439" s="19">
        <v>11.5</v>
      </c>
      <c r="I439" s="41">
        <v>690</v>
      </c>
      <c r="J439" s="42"/>
      <c r="K439" s="43"/>
      <c r="L439" s="42"/>
      <c r="M439" s="44"/>
      <c r="N439" s="45"/>
      <c r="O439" s="46">
        <f t="shared" si="256"/>
        <v>690</v>
      </c>
      <c r="P439" s="48"/>
      <c r="Q439" s="48"/>
      <c r="R439" s="78">
        <f t="shared" si="252"/>
        <v>388.710960410557</v>
      </c>
      <c r="S439" s="78"/>
      <c r="T439" s="79">
        <f t="shared" si="253"/>
        <v>0.54591275659824</v>
      </c>
      <c r="U439" s="78"/>
      <c r="V439" s="78"/>
      <c r="W439" s="80">
        <f t="shared" si="247"/>
        <v>389.256873167155</v>
      </c>
      <c r="X439" s="81">
        <f t="shared" si="254"/>
        <v>9.0739974340176</v>
      </c>
      <c r="Y439" s="81"/>
      <c r="Z439" s="81"/>
      <c r="AA439" s="110">
        <f t="shared" si="248"/>
        <v>9.0739974340176</v>
      </c>
      <c r="AB439" s="90">
        <v>7.19</v>
      </c>
      <c r="AC439" s="78">
        <f t="shared" si="249"/>
        <v>65.2420415505865</v>
      </c>
      <c r="AD439" s="78">
        <f t="shared" si="250"/>
        <v>454.498914717742</v>
      </c>
      <c r="AE439" s="78">
        <f t="shared" si="251"/>
        <v>235.501085282258</v>
      </c>
    </row>
    <row r="440" customFormat="1" spans="1:31">
      <c r="A440" s="18"/>
      <c r="B440" s="19"/>
      <c r="C440" s="20">
        <v>240308000046</v>
      </c>
      <c r="D440" s="21">
        <v>45371</v>
      </c>
      <c r="E440" s="21" t="s">
        <v>47</v>
      </c>
      <c r="F440" s="19" t="s">
        <v>128</v>
      </c>
      <c r="G440" s="19" t="s">
        <v>129</v>
      </c>
      <c r="H440" s="19">
        <v>13.5</v>
      </c>
      <c r="I440" s="41">
        <v>681</v>
      </c>
      <c r="J440" s="42"/>
      <c r="K440" s="43"/>
      <c r="L440" s="42"/>
      <c r="M440" s="44"/>
      <c r="N440" s="45"/>
      <c r="O440" s="46">
        <f t="shared" si="256"/>
        <v>681</v>
      </c>
      <c r="P440" s="48"/>
      <c r="Q440" s="48"/>
      <c r="R440" s="78">
        <f t="shared" si="252"/>
        <v>456.312866568915</v>
      </c>
      <c r="S440" s="78"/>
      <c r="T440" s="79">
        <f t="shared" si="253"/>
        <v>0.640854105571848</v>
      </c>
      <c r="U440" s="78"/>
      <c r="V440" s="78"/>
      <c r="W440" s="80">
        <f t="shared" si="247"/>
        <v>456.953720674487</v>
      </c>
      <c r="X440" s="81">
        <f t="shared" si="254"/>
        <v>10.6520839442815</v>
      </c>
      <c r="Y440" s="81"/>
      <c r="Z440" s="81"/>
      <c r="AA440" s="110">
        <f t="shared" si="248"/>
        <v>10.6520839442815</v>
      </c>
      <c r="AB440" s="90">
        <v>7.19</v>
      </c>
      <c r="AC440" s="78">
        <f t="shared" si="249"/>
        <v>76.5884835593842</v>
      </c>
      <c r="AD440" s="78">
        <f t="shared" si="250"/>
        <v>533.542204233871</v>
      </c>
      <c r="AE440" s="78">
        <f t="shared" si="251"/>
        <v>147.457795766129</v>
      </c>
    </row>
    <row r="441" customFormat="1" spans="1:31">
      <c r="A441" s="18"/>
      <c r="B441" s="19"/>
      <c r="C441" s="20">
        <v>240311000002</v>
      </c>
      <c r="D441" s="21">
        <v>45371</v>
      </c>
      <c r="E441" s="21" t="s">
        <v>41</v>
      </c>
      <c r="F441" s="19" t="s">
        <v>42</v>
      </c>
      <c r="G441" s="19" t="s">
        <v>61</v>
      </c>
      <c r="H441" s="19">
        <v>58</v>
      </c>
      <c r="I441" s="41">
        <v>4912.5</v>
      </c>
      <c r="J441" s="53"/>
      <c r="K441" s="51"/>
      <c r="L441" s="53"/>
      <c r="M441" s="44"/>
      <c r="N441" s="45"/>
      <c r="O441" s="46">
        <f t="shared" si="256"/>
        <v>4912.5</v>
      </c>
      <c r="P441" s="48"/>
      <c r="Q441" s="48"/>
      <c r="R441" s="78">
        <f t="shared" si="252"/>
        <v>1960.45527859238</v>
      </c>
      <c r="S441" s="78"/>
      <c r="T441" s="79">
        <f t="shared" si="253"/>
        <v>2.7532991202346</v>
      </c>
      <c r="U441" s="78"/>
      <c r="V441" s="78"/>
      <c r="W441" s="80">
        <f t="shared" si="247"/>
        <v>1963.20857771261</v>
      </c>
      <c r="X441" s="81">
        <f t="shared" si="254"/>
        <v>45.764508797654</v>
      </c>
      <c r="Y441" s="81"/>
      <c r="Z441" s="81"/>
      <c r="AA441" s="110">
        <f t="shared" si="248"/>
        <v>45.764508797654</v>
      </c>
      <c r="AB441" s="90">
        <v>7.19</v>
      </c>
      <c r="AC441" s="78">
        <f t="shared" si="249"/>
        <v>329.046818255132</v>
      </c>
      <c r="AD441" s="78">
        <f t="shared" si="250"/>
        <v>2292.25539596774</v>
      </c>
      <c r="AE441" s="78">
        <f t="shared" si="251"/>
        <v>2620.24460403226</v>
      </c>
    </row>
    <row r="442" customFormat="1" spans="1:31">
      <c r="A442" s="18"/>
      <c r="B442" s="19"/>
      <c r="C442" s="20">
        <v>240311000004</v>
      </c>
      <c r="D442" s="21">
        <v>45371</v>
      </c>
      <c r="E442" s="21" t="s">
        <v>41</v>
      </c>
      <c r="F442" s="19" t="s">
        <v>42</v>
      </c>
      <c r="G442" s="19" t="s">
        <v>62</v>
      </c>
      <c r="H442" s="19">
        <v>0.68</v>
      </c>
      <c r="I442" s="41">
        <v>65</v>
      </c>
      <c r="J442" s="42"/>
      <c r="K442" s="43"/>
      <c r="L442" s="42"/>
      <c r="M442" s="44"/>
      <c r="N442" s="45"/>
      <c r="O442" s="46">
        <f t="shared" si="256"/>
        <v>65</v>
      </c>
      <c r="P442" s="48"/>
      <c r="Q442" s="48"/>
      <c r="R442" s="78">
        <f t="shared" si="252"/>
        <v>22.9846480938416</v>
      </c>
      <c r="S442" s="78"/>
      <c r="T442" s="79">
        <f t="shared" si="253"/>
        <v>0.0322800586510264</v>
      </c>
      <c r="U442" s="78"/>
      <c r="V442" s="78"/>
      <c r="W442" s="80">
        <f t="shared" si="247"/>
        <v>23.0169281524927</v>
      </c>
      <c r="X442" s="81">
        <f t="shared" si="254"/>
        <v>0.536549413489736</v>
      </c>
      <c r="Y442" s="81"/>
      <c r="Z442" s="81"/>
      <c r="AA442" s="110">
        <f t="shared" si="248"/>
        <v>0.536549413489736</v>
      </c>
      <c r="AB442" s="90">
        <v>7.19</v>
      </c>
      <c r="AC442" s="78">
        <f t="shared" si="249"/>
        <v>3.8577902829912</v>
      </c>
      <c r="AD442" s="78">
        <f t="shared" si="250"/>
        <v>26.8747184354839</v>
      </c>
      <c r="AE442" s="78">
        <f t="shared" si="251"/>
        <v>38.1252815645161</v>
      </c>
    </row>
    <row r="443" customFormat="1" spans="1:31">
      <c r="A443" s="18"/>
      <c r="B443" s="19"/>
      <c r="C443" s="20">
        <v>240311000005</v>
      </c>
      <c r="D443" s="21">
        <v>45371</v>
      </c>
      <c r="E443" s="21" t="s">
        <v>37</v>
      </c>
      <c r="F443" s="19" t="s">
        <v>38</v>
      </c>
      <c r="G443" s="19" t="s">
        <v>39</v>
      </c>
      <c r="H443" s="19">
        <v>0.76</v>
      </c>
      <c r="I443" s="41">
        <v>53</v>
      </c>
      <c r="J443" s="53"/>
      <c r="K443" s="51"/>
      <c r="L443" s="53"/>
      <c r="M443" s="44"/>
      <c r="N443" s="45"/>
      <c r="O443" s="46">
        <f t="shared" si="256"/>
        <v>53</v>
      </c>
      <c r="P443" s="48"/>
      <c r="Q443" s="48"/>
      <c r="R443" s="78">
        <f t="shared" si="252"/>
        <v>25.688724340176</v>
      </c>
      <c r="S443" s="78"/>
      <c r="T443" s="79">
        <f t="shared" si="253"/>
        <v>0.0360777126099707</v>
      </c>
      <c r="U443" s="78"/>
      <c r="V443" s="78"/>
      <c r="W443" s="80">
        <f t="shared" si="247"/>
        <v>25.7248020527859</v>
      </c>
      <c r="X443" s="81">
        <f t="shared" si="254"/>
        <v>0.599672873900293</v>
      </c>
      <c r="Y443" s="81"/>
      <c r="Z443" s="81"/>
      <c r="AA443" s="110">
        <f t="shared" si="248"/>
        <v>0.599672873900293</v>
      </c>
      <c r="AB443" s="90">
        <v>7.19</v>
      </c>
      <c r="AC443" s="78">
        <f t="shared" ref="AC428:AC459" si="257">SUM(AA443*AB443)</f>
        <v>4.31164796334311</v>
      </c>
      <c r="AD443" s="78">
        <f t="shared" si="250"/>
        <v>30.036450016129</v>
      </c>
      <c r="AE443" s="78">
        <f t="shared" si="251"/>
        <v>22.963549983871</v>
      </c>
    </row>
    <row r="444" customFormat="1" spans="1:31">
      <c r="A444" s="18"/>
      <c r="B444" s="19"/>
      <c r="C444" s="20">
        <v>240311000010</v>
      </c>
      <c r="D444" s="21">
        <v>45371</v>
      </c>
      <c r="E444" s="21" t="s">
        <v>37</v>
      </c>
      <c r="F444" s="19" t="s">
        <v>38</v>
      </c>
      <c r="G444" s="19" t="s">
        <v>159</v>
      </c>
      <c r="H444" s="19">
        <v>1</v>
      </c>
      <c r="I444" s="41">
        <v>54</v>
      </c>
      <c r="J444" s="53"/>
      <c r="K444" s="51"/>
      <c r="L444" s="53"/>
      <c r="M444" s="44"/>
      <c r="N444" s="45"/>
      <c r="O444" s="46">
        <f t="shared" si="256"/>
        <v>54</v>
      </c>
      <c r="P444" s="48"/>
      <c r="Q444" s="48"/>
      <c r="R444" s="78">
        <f t="shared" si="252"/>
        <v>33.8009530791789</v>
      </c>
      <c r="S444" s="78"/>
      <c r="T444" s="79">
        <f t="shared" si="253"/>
        <v>0.0474706744868035</v>
      </c>
      <c r="U444" s="78"/>
      <c r="V444" s="78"/>
      <c r="W444" s="80">
        <f t="shared" si="247"/>
        <v>33.8484237536657</v>
      </c>
      <c r="X444" s="81">
        <f t="shared" si="254"/>
        <v>0.789043255131965</v>
      </c>
      <c r="Y444" s="81"/>
      <c r="Z444" s="81"/>
      <c r="AA444" s="110">
        <f t="shared" si="248"/>
        <v>0.789043255131965</v>
      </c>
      <c r="AB444" s="90">
        <v>7.19</v>
      </c>
      <c r="AC444" s="78">
        <f t="shared" si="257"/>
        <v>5.67322100439883</v>
      </c>
      <c r="AD444" s="78">
        <f t="shared" si="250"/>
        <v>39.5216447580645</v>
      </c>
      <c r="AE444" s="78">
        <f t="shared" si="251"/>
        <v>14.4783552419355</v>
      </c>
    </row>
    <row r="445" customFormat="1" spans="1:31">
      <c r="A445" s="18"/>
      <c r="B445" s="19"/>
      <c r="C445" s="20">
        <v>240311000011</v>
      </c>
      <c r="D445" s="21">
        <v>45371</v>
      </c>
      <c r="E445" s="21" t="s">
        <v>47</v>
      </c>
      <c r="F445" s="19" t="s">
        <v>48</v>
      </c>
      <c r="G445" s="19" t="s">
        <v>360</v>
      </c>
      <c r="H445" s="19">
        <v>24</v>
      </c>
      <c r="I445" s="41">
        <v>1008</v>
      </c>
      <c r="J445" s="42"/>
      <c r="K445" s="43"/>
      <c r="L445" s="42"/>
      <c r="M445" s="44"/>
      <c r="N445" s="45"/>
      <c r="O445" s="46">
        <f t="shared" si="256"/>
        <v>1008</v>
      </c>
      <c r="P445" s="48"/>
      <c r="Q445" s="48"/>
      <c r="R445" s="78">
        <f t="shared" si="252"/>
        <v>811.222873900293</v>
      </c>
      <c r="S445" s="78"/>
      <c r="T445" s="79">
        <f t="shared" si="253"/>
        <v>1.13929618768328</v>
      </c>
      <c r="U445" s="78"/>
      <c r="V445" s="78"/>
      <c r="W445" s="80">
        <f t="shared" si="247"/>
        <v>812.362170087977</v>
      </c>
      <c r="X445" s="81">
        <f t="shared" si="254"/>
        <v>18.9370381231672</v>
      </c>
      <c r="Y445" s="81"/>
      <c r="Z445" s="81"/>
      <c r="AA445" s="110">
        <f t="shared" si="248"/>
        <v>18.9370381231672</v>
      </c>
      <c r="AB445" s="90">
        <v>7.19</v>
      </c>
      <c r="AC445" s="78">
        <f t="shared" si="257"/>
        <v>136.157304105572</v>
      </c>
      <c r="AD445" s="78">
        <f t="shared" si="250"/>
        <v>948.519474193548</v>
      </c>
      <c r="AE445" s="78">
        <f t="shared" si="251"/>
        <v>59.4805258064516</v>
      </c>
    </row>
    <row r="446" customFormat="1" spans="1:31">
      <c r="A446" s="18"/>
      <c r="B446" s="19"/>
      <c r="C446" s="20">
        <v>240311000012</v>
      </c>
      <c r="D446" s="21">
        <v>45371</v>
      </c>
      <c r="E446" s="21" t="s">
        <v>44</v>
      </c>
      <c r="F446" s="19" t="s">
        <v>45</v>
      </c>
      <c r="G446" s="19" t="s">
        <v>122</v>
      </c>
      <c r="H446" s="19">
        <v>33</v>
      </c>
      <c r="I446" s="49"/>
      <c r="J446" s="50">
        <v>260700</v>
      </c>
      <c r="K446" s="91"/>
      <c r="L446" s="50">
        <f t="shared" ref="L446:L448" si="258">SUM(J446/M446)</f>
        <v>1136.04671431062</v>
      </c>
      <c r="M446" s="52">
        <v>229.48</v>
      </c>
      <c r="N446" s="45">
        <v>7.19</v>
      </c>
      <c r="O446" s="46">
        <f t="shared" ref="O446:O448" si="259">SUM(M446*N446)</f>
        <v>1649.9612</v>
      </c>
      <c r="P446" s="48"/>
      <c r="Q446" s="48"/>
      <c r="R446" s="78">
        <f t="shared" si="252"/>
        <v>1115.4314516129</v>
      </c>
      <c r="S446" s="78"/>
      <c r="T446" s="79">
        <f t="shared" si="253"/>
        <v>1.56653225806452</v>
      </c>
      <c r="U446" s="78"/>
      <c r="V446" s="78"/>
      <c r="W446" s="80">
        <f t="shared" si="247"/>
        <v>1116.99798387097</v>
      </c>
      <c r="X446" s="81">
        <f t="shared" si="254"/>
        <v>26.0384274193548</v>
      </c>
      <c r="Y446" s="81"/>
      <c r="Z446" s="81"/>
      <c r="AA446" s="110">
        <f t="shared" si="248"/>
        <v>26.0384274193548</v>
      </c>
      <c r="AB446" s="90">
        <v>7.19</v>
      </c>
      <c r="AC446" s="78">
        <f t="shared" si="257"/>
        <v>187.216293145161</v>
      </c>
      <c r="AD446" s="78">
        <f t="shared" si="250"/>
        <v>1304.21427701613</v>
      </c>
      <c r="AE446" s="78">
        <f t="shared" si="251"/>
        <v>345.74692298387</v>
      </c>
    </row>
    <row r="447" customFormat="1" spans="1:31">
      <c r="A447" s="18"/>
      <c r="B447" s="19"/>
      <c r="C447" s="20">
        <v>240311000013</v>
      </c>
      <c r="D447" s="21">
        <v>45371</v>
      </c>
      <c r="E447" s="21" t="s">
        <v>44</v>
      </c>
      <c r="F447" s="19" t="s">
        <v>45</v>
      </c>
      <c r="G447" s="19" t="s">
        <v>122</v>
      </c>
      <c r="H447" s="19">
        <v>166</v>
      </c>
      <c r="I447" s="49"/>
      <c r="J447" s="50">
        <v>1333520</v>
      </c>
      <c r="K447" s="51"/>
      <c r="L447" s="50">
        <f t="shared" si="258"/>
        <v>1136.02249009669</v>
      </c>
      <c r="M447" s="52">
        <v>1173.85</v>
      </c>
      <c r="N447" s="45">
        <v>7.19</v>
      </c>
      <c r="O447" s="46">
        <f t="shared" si="259"/>
        <v>8439.9815</v>
      </c>
      <c r="P447" s="48"/>
      <c r="Q447" s="48"/>
      <c r="R447" s="78">
        <f t="shared" si="252"/>
        <v>5610.9582111437</v>
      </c>
      <c r="S447" s="78"/>
      <c r="T447" s="79">
        <f t="shared" si="253"/>
        <v>7.88013196480938</v>
      </c>
      <c r="U447" s="78">
        <f>SUM(80+60)</f>
        <v>140</v>
      </c>
      <c r="V447" s="78"/>
      <c r="W447" s="80">
        <f t="shared" si="247"/>
        <v>5758.8383431085</v>
      </c>
      <c r="X447" s="81">
        <f t="shared" si="254"/>
        <v>130.981180351906</v>
      </c>
      <c r="Y447" s="81"/>
      <c r="Z447" s="81"/>
      <c r="AA447" s="110">
        <f t="shared" si="248"/>
        <v>130.981180351906</v>
      </c>
      <c r="AB447" s="90">
        <v>7.19</v>
      </c>
      <c r="AC447" s="78">
        <f t="shared" si="257"/>
        <v>941.754686730205</v>
      </c>
      <c r="AD447" s="78">
        <f t="shared" si="250"/>
        <v>6700.59302983871</v>
      </c>
      <c r="AE447" s="78">
        <f t="shared" si="251"/>
        <v>1739.38847016129</v>
      </c>
    </row>
    <row r="448" customFormat="1" spans="1:31">
      <c r="A448" s="18"/>
      <c r="B448" s="19"/>
      <c r="C448" s="20">
        <v>240311000020</v>
      </c>
      <c r="D448" s="21">
        <v>45371</v>
      </c>
      <c r="E448" s="21" t="s">
        <v>41</v>
      </c>
      <c r="F448" s="19" t="s">
        <v>42</v>
      </c>
      <c r="G448" s="19" t="s">
        <v>151</v>
      </c>
      <c r="H448" s="19">
        <v>3</v>
      </c>
      <c r="I448" s="46"/>
      <c r="J448" s="54">
        <v>30247</v>
      </c>
      <c r="K448" s="55"/>
      <c r="L448" s="50">
        <f t="shared" si="258"/>
        <v>1490</v>
      </c>
      <c r="M448" s="52">
        <v>20.3</v>
      </c>
      <c r="N448" s="45">
        <v>7.19</v>
      </c>
      <c r="O448" s="46">
        <f t="shared" si="259"/>
        <v>145.957</v>
      </c>
      <c r="P448" s="48"/>
      <c r="Q448" s="48"/>
      <c r="R448" s="78">
        <f t="shared" si="252"/>
        <v>101.402859237537</v>
      </c>
      <c r="S448" s="78"/>
      <c r="T448" s="79">
        <f t="shared" si="253"/>
        <v>0.142412023460411</v>
      </c>
      <c r="U448" s="78"/>
      <c r="V448" s="78"/>
      <c r="W448" s="80">
        <f t="shared" si="247"/>
        <v>101.545271260997</v>
      </c>
      <c r="X448" s="81">
        <f t="shared" si="254"/>
        <v>2.36712976539589</v>
      </c>
      <c r="Y448" s="81"/>
      <c r="Z448" s="81"/>
      <c r="AA448" s="110">
        <f t="shared" si="248"/>
        <v>2.36712976539589</v>
      </c>
      <c r="AB448" s="90">
        <v>7.19</v>
      </c>
      <c r="AC448" s="78">
        <f t="shared" si="257"/>
        <v>17.0196630131965</v>
      </c>
      <c r="AD448" s="78">
        <f t="shared" si="250"/>
        <v>118.564934274194</v>
      </c>
      <c r="AE448" s="78">
        <f t="shared" si="251"/>
        <v>27.3920657258064</v>
      </c>
    </row>
    <row r="449" customFormat="1" spans="1:31">
      <c r="A449" s="18"/>
      <c r="B449" s="19"/>
      <c r="C449" s="22">
        <v>240311000021</v>
      </c>
      <c r="D449" s="23">
        <v>45371</v>
      </c>
      <c r="E449" s="21" t="s">
        <v>47</v>
      </c>
      <c r="F449" s="24" t="s">
        <v>48</v>
      </c>
      <c r="G449" s="24" t="s">
        <v>324</v>
      </c>
      <c r="H449" s="24">
        <v>4</v>
      </c>
      <c r="I449" s="57">
        <v>227</v>
      </c>
      <c r="J449" s="50"/>
      <c r="K449" s="91"/>
      <c r="L449" s="50"/>
      <c r="M449" s="44"/>
      <c r="N449" s="45"/>
      <c r="O449" s="46">
        <f t="shared" ref="O449:O465" si="260">SUM(I449)</f>
        <v>227</v>
      </c>
      <c r="P449" s="48"/>
      <c r="Q449" s="48"/>
      <c r="R449" s="78">
        <f t="shared" si="252"/>
        <v>135.203812316716</v>
      </c>
      <c r="S449" s="78"/>
      <c r="T449" s="79">
        <f t="shared" si="253"/>
        <v>0.189882697947214</v>
      </c>
      <c r="U449" s="78"/>
      <c r="V449" s="78"/>
      <c r="W449" s="80">
        <f t="shared" si="247"/>
        <v>135.393695014663</v>
      </c>
      <c r="X449" s="81">
        <f t="shared" si="254"/>
        <v>3.15617302052786</v>
      </c>
      <c r="Y449" s="81"/>
      <c r="Z449" s="81"/>
      <c r="AA449" s="110">
        <f t="shared" si="248"/>
        <v>3.15617302052786</v>
      </c>
      <c r="AB449" s="90">
        <v>7.19</v>
      </c>
      <c r="AC449" s="78">
        <f t="shared" si="257"/>
        <v>22.6928840175953</v>
      </c>
      <c r="AD449" s="78">
        <f t="shared" si="250"/>
        <v>158.086579032258</v>
      </c>
      <c r="AE449" s="78">
        <f t="shared" si="251"/>
        <v>68.913420967742</v>
      </c>
    </row>
    <row r="450" customFormat="1" spans="1:31">
      <c r="A450" s="18"/>
      <c r="B450" s="19"/>
      <c r="C450" s="20">
        <v>240311000024</v>
      </c>
      <c r="D450" s="21">
        <v>45371</v>
      </c>
      <c r="E450" s="21" t="s">
        <v>47</v>
      </c>
      <c r="F450" s="19" t="s">
        <v>48</v>
      </c>
      <c r="G450" s="19" t="s">
        <v>361</v>
      </c>
      <c r="H450" s="19">
        <v>1.5</v>
      </c>
      <c r="I450" s="41">
        <v>87</v>
      </c>
      <c r="J450" s="42"/>
      <c r="K450" s="43"/>
      <c r="L450" s="42"/>
      <c r="M450" s="44"/>
      <c r="N450" s="45"/>
      <c r="O450" s="46">
        <f t="shared" si="260"/>
        <v>87</v>
      </c>
      <c r="P450" s="48"/>
      <c r="Q450" s="48"/>
      <c r="R450" s="78">
        <f t="shared" si="252"/>
        <v>50.7014296187683</v>
      </c>
      <c r="S450" s="78"/>
      <c r="T450" s="79">
        <f t="shared" si="253"/>
        <v>0.0712060117302053</v>
      </c>
      <c r="U450" s="78"/>
      <c r="V450" s="78"/>
      <c r="W450" s="80">
        <f t="shared" si="247"/>
        <v>50.7726356304985</v>
      </c>
      <c r="X450" s="81">
        <f t="shared" si="254"/>
        <v>1.18356488269795</v>
      </c>
      <c r="Y450" s="81"/>
      <c r="Z450" s="81"/>
      <c r="AA450" s="110">
        <f t="shared" si="248"/>
        <v>1.18356488269795</v>
      </c>
      <c r="AB450" s="90">
        <v>7.19</v>
      </c>
      <c r="AC450" s="78">
        <f t="shared" si="257"/>
        <v>8.50983150659824</v>
      </c>
      <c r="AD450" s="78">
        <f t="shared" si="250"/>
        <v>59.2824671370968</v>
      </c>
      <c r="AE450" s="78">
        <f t="shared" si="251"/>
        <v>27.7175328629032</v>
      </c>
    </row>
    <row r="451" customFormat="1" spans="1:31">
      <c r="A451" s="18"/>
      <c r="B451" s="19"/>
      <c r="C451" s="20">
        <v>240311000026</v>
      </c>
      <c r="D451" s="21">
        <v>45371</v>
      </c>
      <c r="E451" s="21" t="s">
        <v>47</v>
      </c>
      <c r="F451" s="19" t="s">
        <v>48</v>
      </c>
      <c r="G451" s="19" t="s">
        <v>362</v>
      </c>
      <c r="H451" s="19">
        <v>0.53</v>
      </c>
      <c r="I451" s="41">
        <v>53</v>
      </c>
      <c r="J451" s="42"/>
      <c r="K451" s="43"/>
      <c r="L451" s="42"/>
      <c r="M451" s="44"/>
      <c r="N451" s="45"/>
      <c r="O451" s="46">
        <f t="shared" si="260"/>
        <v>53</v>
      </c>
      <c r="P451" s="48"/>
      <c r="Q451" s="48"/>
      <c r="R451" s="78">
        <f t="shared" si="252"/>
        <v>17.9145051319648</v>
      </c>
      <c r="S451" s="78"/>
      <c r="T451" s="79">
        <f t="shared" si="253"/>
        <v>0.0251594574780059</v>
      </c>
      <c r="U451" s="78"/>
      <c r="V451" s="78"/>
      <c r="W451" s="80">
        <f t="shared" si="247"/>
        <v>17.9396645894428</v>
      </c>
      <c r="X451" s="81">
        <f t="shared" si="254"/>
        <v>0.418192925219941</v>
      </c>
      <c r="Y451" s="81"/>
      <c r="Z451" s="81"/>
      <c r="AA451" s="110">
        <f t="shared" si="248"/>
        <v>0.418192925219941</v>
      </c>
      <c r="AB451" s="90">
        <v>7.19</v>
      </c>
      <c r="AC451" s="78">
        <f t="shared" si="257"/>
        <v>3.00680713233138</v>
      </c>
      <c r="AD451" s="78">
        <f t="shared" si="250"/>
        <v>20.9464717217742</v>
      </c>
      <c r="AE451" s="78">
        <f t="shared" si="251"/>
        <v>32.0535282782258</v>
      </c>
    </row>
    <row r="452" customFormat="1" spans="1:31">
      <c r="A452" s="18"/>
      <c r="B452" s="19"/>
      <c r="C452" s="20">
        <v>240311000028</v>
      </c>
      <c r="D452" s="21">
        <v>45371</v>
      </c>
      <c r="E452" s="21" t="s">
        <v>44</v>
      </c>
      <c r="F452" s="19" t="s">
        <v>45</v>
      </c>
      <c r="G452" s="19" t="s">
        <v>102</v>
      </c>
      <c r="H452" s="19">
        <v>2</v>
      </c>
      <c r="I452" s="41">
        <v>103</v>
      </c>
      <c r="J452" s="42"/>
      <c r="K452" s="43"/>
      <c r="L452" s="42"/>
      <c r="M452" s="44"/>
      <c r="N452" s="45"/>
      <c r="O452" s="46">
        <f t="shared" si="260"/>
        <v>103</v>
      </c>
      <c r="P452" s="48"/>
      <c r="Q452" s="48"/>
      <c r="R452" s="78">
        <f t="shared" si="252"/>
        <v>67.6019061583578</v>
      </c>
      <c r="S452" s="78"/>
      <c r="T452" s="79">
        <f t="shared" si="253"/>
        <v>0.094941348973607</v>
      </c>
      <c r="U452" s="78"/>
      <c r="V452" s="78"/>
      <c r="W452" s="80">
        <f t="shared" si="247"/>
        <v>67.6968475073314</v>
      </c>
      <c r="X452" s="81">
        <f t="shared" si="254"/>
        <v>1.57808651026393</v>
      </c>
      <c r="Y452" s="81"/>
      <c r="Z452" s="81"/>
      <c r="AA452" s="110">
        <f t="shared" si="248"/>
        <v>1.57808651026393</v>
      </c>
      <c r="AB452" s="90">
        <v>7.19</v>
      </c>
      <c r="AC452" s="78">
        <f t="shared" si="257"/>
        <v>11.3464420087977</v>
      </c>
      <c r="AD452" s="78">
        <f t="shared" si="250"/>
        <v>79.043289516129</v>
      </c>
      <c r="AE452" s="78">
        <f t="shared" si="251"/>
        <v>23.956710483871</v>
      </c>
    </row>
    <row r="453" customFormat="1" spans="1:31">
      <c r="A453" s="18"/>
      <c r="B453" s="19"/>
      <c r="C453" s="20">
        <v>240311000029</v>
      </c>
      <c r="D453" s="21">
        <v>45371</v>
      </c>
      <c r="E453" s="21" t="s">
        <v>37</v>
      </c>
      <c r="F453" s="19" t="s">
        <v>38</v>
      </c>
      <c r="G453" s="19" t="s">
        <v>39</v>
      </c>
      <c r="H453" s="19">
        <v>0.62</v>
      </c>
      <c r="I453" s="41">
        <v>53</v>
      </c>
      <c r="J453" s="53"/>
      <c r="K453" s="51"/>
      <c r="L453" s="53"/>
      <c r="M453" s="44"/>
      <c r="N453" s="45"/>
      <c r="O453" s="46">
        <f t="shared" si="260"/>
        <v>53</v>
      </c>
      <c r="P453" s="48"/>
      <c r="Q453" s="48"/>
      <c r="R453" s="78">
        <f t="shared" si="252"/>
        <v>20.9565909090909</v>
      </c>
      <c r="S453" s="78"/>
      <c r="T453" s="79">
        <f t="shared" si="253"/>
        <v>0.0294318181818182</v>
      </c>
      <c r="U453" s="78"/>
      <c r="V453" s="78"/>
      <c r="W453" s="80">
        <f t="shared" si="247"/>
        <v>20.9860227272727</v>
      </c>
      <c r="X453" s="81">
        <f t="shared" si="254"/>
        <v>0.489206818181818</v>
      </c>
      <c r="Y453" s="81"/>
      <c r="Z453" s="81"/>
      <c r="AA453" s="110">
        <f t="shared" si="248"/>
        <v>0.489206818181818</v>
      </c>
      <c r="AB453" s="90">
        <v>7.19</v>
      </c>
      <c r="AC453" s="78">
        <f t="shared" si="257"/>
        <v>3.51739702272727</v>
      </c>
      <c r="AD453" s="78">
        <f t="shared" si="250"/>
        <v>24.50341975</v>
      </c>
      <c r="AE453" s="78">
        <f t="shared" si="251"/>
        <v>28.49658025</v>
      </c>
    </row>
    <row r="454" customFormat="1" spans="1:31">
      <c r="A454" s="18"/>
      <c r="B454" s="19"/>
      <c r="C454" s="20">
        <v>240311000032</v>
      </c>
      <c r="D454" s="21">
        <v>45371</v>
      </c>
      <c r="E454" s="21" t="s">
        <v>51</v>
      </c>
      <c r="F454" s="19" t="s">
        <v>65</v>
      </c>
      <c r="G454" s="19" t="s">
        <v>67</v>
      </c>
      <c r="H454" s="19">
        <v>2.5</v>
      </c>
      <c r="I454" s="41">
        <v>171.6</v>
      </c>
      <c r="J454" s="42"/>
      <c r="K454" s="43"/>
      <c r="L454" s="42"/>
      <c r="M454" s="44"/>
      <c r="N454" s="45"/>
      <c r="O454" s="46">
        <f t="shared" si="260"/>
        <v>171.6</v>
      </c>
      <c r="P454" s="48"/>
      <c r="Q454" s="48"/>
      <c r="R454" s="78">
        <f t="shared" si="252"/>
        <v>84.5023826979472</v>
      </c>
      <c r="S454" s="78"/>
      <c r="T454" s="79">
        <f t="shared" si="253"/>
        <v>0.118676686217009</v>
      </c>
      <c r="U454" s="78"/>
      <c r="V454" s="78"/>
      <c r="W454" s="80">
        <f t="shared" si="247"/>
        <v>84.6210593841642</v>
      </c>
      <c r="X454" s="81">
        <f t="shared" si="254"/>
        <v>1.97260813782991</v>
      </c>
      <c r="Y454" s="81"/>
      <c r="Z454" s="81"/>
      <c r="AA454" s="110">
        <f t="shared" si="248"/>
        <v>1.97260813782991</v>
      </c>
      <c r="AB454" s="90">
        <v>7.19</v>
      </c>
      <c r="AC454" s="78">
        <f t="shared" si="257"/>
        <v>14.1830525109971</v>
      </c>
      <c r="AD454" s="78">
        <f t="shared" si="250"/>
        <v>98.8041118951613</v>
      </c>
      <c r="AE454" s="78">
        <f t="shared" si="251"/>
        <v>72.7958881048387</v>
      </c>
    </row>
    <row r="455" customFormat="1" spans="1:31">
      <c r="A455" s="18"/>
      <c r="B455" s="19"/>
      <c r="C455" s="20">
        <v>240311000034</v>
      </c>
      <c r="D455" s="21">
        <v>45371</v>
      </c>
      <c r="E455" s="21" t="s">
        <v>70</v>
      </c>
      <c r="F455" s="19" t="s">
        <v>70</v>
      </c>
      <c r="G455" s="19" t="s">
        <v>315</v>
      </c>
      <c r="H455" s="19">
        <v>30.5</v>
      </c>
      <c r="I455" s="41">
        <v>1380.5</v>
      </c>
      <c r="J455" s="53"/>
      <c r="K455" s="51"/>
      <c r="L455" s="53"/>
      <c r="M455" s="44"/>
      <c r="N455" s="45"/>
      <c r="O455" s="46">
        <f t="shared" si="260"/>
        <v>1380.5</v>
      </c>
      <c r="P455" s="48"/>
      <c r="Q455" s="48"/>
      <c r="R455" s="78">
        <f t="shared" si="252"/>
        <v>1030.92906891496</v>
      </c>
      <c r="S455" s="78"/>
      <c r="T455" s="79">
        <f t="shared" si="253"/>
        <v>1.44785557184751</v>
      </c>
      <c r="U455" s="78"/>
      <c r="V455" s="78"/>
      <c r="W455" s="80">
        <f t="shared" si="247"/>
        <v>1032.3769244868</v>
      </c>
      <c r="X455" s="81">
        <f t="shared" si="254"/>
        <v>24.0658192815249</v>
      </c>
      <c r="Y455" s="81"/>
      <c r="Z455" s="81"/>
      <c r="AA455" s="110">
        <f t="shared" si="248"/>
        <v>24.0658192815249</v>
      </c>
      <c r="AB455" s="90">
        <v>7.19</v>
      </c>
      <c r="AC455" s="78">
        <f t="shared" si="257"/>
        <v>173.033240634164</v>
      </c>
      <c r="AD455" s="78">
        <f t="shared" si="250"/>
        <v>1205.41016512097</v>
      </c>
      <c r="AE455" s="78">
        <f t="shared" si="251"/>
        <v>175.08983487903</v>
      </c>
    </row>
    <row r="456" customFormat="1" spans="1:31">
      <c r="A456" s="18"/>
      <c r="B456" s="19"/>
      <c r="C456" s="20">
        <v>240311000035</v>
      </c>
      <c r="D456" s="21">
        <v>45371</v>
      </c>
      <c r="E456" s="21" t="s">
        <v>51</v>
      </c>
      <c r="F456" s="19" t="s">
        <v>52</v>
      </c>
      <c r="G456" s="19" t="s">
        <v>363</v>
      </c>
      <c r="H456" s="19">
        <v>9</v>
      </c>
      <c r="I456" s="41">
        <v>483</v>
      </c>
      <c r="J456" s="42"/>
      <c r="K456" s="43"/>
      <c r="L456" s="42"/>
      <c r="M456" s="44"/>
      <c r="N456" s="45"/>
      <c r="O456" s="46">
        <f t="shared" si="260"/>
        <v>483</v>
      </c>
      <c r="P456" s="48"/>
      <c r="Q456" s="48"/>
      <c r="R456" s="78">
        <f t="shared" si="252"/>
        <v>304.20857771261</v>
      </c>
      <c r="S456" s="78"/>
      <c r="T456" s="79">
        <f t="shared" si="253"/>
        <v>0.427236070381232</v>
      </c>
      <c r="U456" s="78"/>
      <c r="V456" s="78"/>
      <c r="W456" s="80">
        <f t="shared" si="247"/>
        <v>304.635813782991</v>
      </c>
      <c r="X456" s="81">
        <f t="shared" si="254"/>
        <v>7.10138929618768</v>
      </c>
      <c r="Y456" s="81"/>
      <c r="Z456" s="81"/>
      <c r="AA456" s="110">
        <f t="shared" si="248"/>
        <v>7.10138929618768</v>
      </c>
      <c r="AB456" s="90">
        <v>7.19</v>
      </c>
      <c r="AC456" s="78">
        <f t="shared" si="257"/>
        <v>51.0589890395895</v>
      </c>
      <c r="AD456" s="78">
        <f t="shared" si="250"/>
        <v>355.694802822581</v>
      </c>
      <c r="AE456" s="78">
        <f t="shared" si="251"/>
        <v>127.305197177419</v>
      </c>
    </row>
    <row r="457" customFormat="1" spans="1:31">
      <c r="A457" s="18"/>
      <c r="B457" s="19"/>
      <c r="C457" s="20">
        <v>240311000036</v>
      </c>
      <c r="D457" s="21">
        <v>45371</v>
      </c>
      <c r="E457" s="21" t="s">
        <v>47</v>
      </c>
      <c r="F457" s="19" t="s">
        <v>48</v>
      </c>
      <c r="G457" s="19" t="s">
        <v>169</v>
      </c>
      <c r="H457" s="19">
        <v>101</v>
      </c>
      <c r="I457" s="41">
        <v>4242</v>
      </c>
      <c r="J457" s="53"/>
      <c r="K457" s="51"/>
      <c r="L457" s="53"/>
      <c r="M457" s="44"/>
      <c r="N457" s="45"/>
      <c r="O457" s="46">
        <f t="shared" si="260"/>
        <v>4242</v>
      </c>
      <c r="P457" s="48"/>
      <c r="Q457" s="48"/>
      <c r="R457" s="78">
        <f t="shared" si="252"/>
        <v>3413.89626099707</v>
      </c>
      <c r="S457" s="78"/>
      <c r="T457" s="79">
        <f t="shared" si="253"/>
        <v>4.79453812316716</v>
      </c>
      <c r="U457" s="78"/>
      <c r="V457" s="78"/>
      <c r="W457" s="80">
        <f t="shared" si="247"/>
        <v>3418.69079912023</v>
      </c>
      <c r="X457" s="81">
        <f t="shared" si="254"/>
        <v>79.6933687683285</v>
      </c>
      <c r="Y457" s="81"/>
      <c r="Z457" s="81"/>
      <c r="AA457" s="110">
        <f t="shared" si="248"/>
        <v>79.6933687683285</v>
      </c>
      <c r="AB457" s="90">
        <v>7.19</v>
      </c>
      <c r="AC457" s="78">
        <f t="shared" si="257"/>
        <v>572.995321444282</v>
      </c>
      <c r="AD457" s="78">
        <f t="shared" si="250"/>
        <v>3991.68612056452</v>
      </c>
      <c r="AE457" s="78">
        <f t="shared" si="251"/>
        <v>250.31387943548</v>
      </c>
    </row>
    <row r="458" customFormat="1" spans="1:31">
      <c r="A458" s="18"/>
      <c r="B458" s="19"/>
      <c r="C458" s="20">
        <v>240311000039</v>
      </c>
      <c r="D458" s="21">
        <v>45371</v>
      </c>
      <c r="E458" s="21" t="s">
        <v>47</v>
      </c>
      <c r="F458" s="19" t="s">
        <v>175</v>
      </c>
      <c r="G458" s="19" t="s">
        <v>167</v>
      </c>
      <c r="H458" s="19">
        <v>3.5</v>
      </c>
      <c r="I458" s="41">
        <v>157.5</v>
      </c>
      <c r="J458" s="42"/>
      <c r="K458" s="43"/>
      <c r="L458" s="42"/>
      <c r="M458" s="44"/>
      <c r="N458" s="45"/>
      <c r="O458" s="46">
        <f t="shared" si="260"/>
        <v>157.5</v>
      </c>
      <c r="P458" s="48"/>
      <c r="Q458" s="48"/>
      <c r="R458" s="78">
        <f t="shared" si="252"/>
        <v>118.303335777126</v>
      </c>
      <c r="S458" s="78"/>
      <c r="T458" s="79">
        <f t="shared" si="253"/>
        <v>0.166147360703812</v>
      </c>
      <c r="U458" s="78"/>
      <c r="V458" s="78"/>
      <c r="W458" s="80">
        <f t="shared" si="247"/>
        <v>118.46948313783</v>
      </c>
      <c r="X458" s="81">
        <f t="shared" si="254"/>
        <v>2.76165139296188</v>
      </c>
      <c r="Y458" s="81"/>
      <c r="Z458" s="81"/>
      <c r="AA458" s="110">
        <f t="shared" si="248"/>
        <v>2.76165139296188</v>
      </c>
      <c r="AB458" s="90">
        <v>7.19</v>
      </c>
      <c r="AC458" s="78">
        <f t="shared" si="257"/>
        <v>19.8562735153959</v>
      </c>
      <c r="AD458" s="78">
        <f t="shared" si="250"/>
        <v>138.325756653226</v>
      </c>
      <c r="AE458" s="78">
        <f t="shared" si="251"/>
        <v>19.174243346774</v>
      </c>
    </row>
    <row r="459" customFormat="1" spans="1:31">
      <c r="A459" s="18"/>
      <c r="B459" s="19"/>
      <c r="C459" s="20">
        <v>240311000040</v>
      </c>
      <c r="D459" s="21">
        <v>45371</v>
      </c>
      <c r="E459" s="21" t="s">
        <v>47</v>
      </c>
      <c r="F459" s="19" t="s">
        <v>48</v>
      </c>
      <c r="G459" s="19" t="s">
        <v>362</v>
      </c>
      <c r="H459" s="19">
        <v>1.5</v>
      </c>
      <c r="I459" s="41">
        <v>78</v>
      </c>
      <c r="J459" s="42"/>
      <c r="K459" s="43"/>
      <c r="L459" s="42"/>
      <c r="M459" s="44"/>
      <c r="N459" s="45"/>
      <c r="O459" s="46">
        <f t="shared" si="260"/>
        <v>78</v>
      </c>
      <c r="P459" s="48"/>
      <c r="Q459" s="48"/>
      <c r="R459" s="78">
        <f t="shared" si="252"/>
        <v>50.7014296187683</v>
      </c>
      <c r="S459" s="78"/>
      <c r="T459" s="79">
        <f t="shared" si="253"/>
        <v>0.0712060117302053</v>
      </c>
      <c r="U459" s="78"/>
      <c r="V459" s="78"/>
      <c r="W459" s="80">
        <f t="shared" ref="W459:W490" si="261">SUM(R459:V459)</f>
        <v>50.7726356304985</v>
      </c>
      <c r="X459" s="81">
        <f t="shared" si="254"/>
        <v>1.18356488269795</v>
      </c>
      <c r="Y459" s="81"/>
      <c r="Z459" s="81"/>
      <c r="AA459" s="110">
        <f t="shared" ref="AA459:AA490" si="262">SUM(X459:Z459)</f>
        <v>1.18356488269795</v>
      </c>
      <c r="AB459" s="90">
        <v>7.19</v>
      </c>
      <c r="AC459" s="78">
        <f t="shared" si="257"/>
        <v>8.50983150659824</v>
      </c>
      <c r="AD459" s="78">
        <f t="shared" ref="AD459:AD490" si="263">SUM(W459+AC459)</f>
        <v>59.2824671370968</v>
      </c>
      <c r="AE459" s="78">
        <f t="shared" ref="AE459:AE490" si="264">SUM(O459-AD459)</f>
        <v>18.7175328629032</v>
      </c>
    </row>
    <row r="460" customFormat="1" spans="1:31">
      <c r="A460" s="18"/>
      <c r="B460" s="19"/>
      <c r="C460" s="20">
        <v>240311000041</v>
      </c>
      <c r="D460" s="21">
        <v>45371</v>
      </c>
      <c r="E460" s="21" t="s">
        <v>37</v>
      </c>
      <c r="F460" s="19" t="s">
        <v>38</v>
      </c>
      <c r="G460" s="19" t="s">
        <v>300</v>
      </c>
      <c r="H460" s="19">
        <v>6</v>
      </c>
      <c r="I460" s="41">
        <v>551.5</v>
      </c>
      <c r="J460" s="53"/>
      <c r="K460" s="51"/>
      <c r="L460" s="53"/>
      <c r="M460" s="44"/>
      <c r="N460" s="45"/>
      <c r="O460" s="46">
        <f t="shared" si="260"/>
        <v>551.5</v>
      </c>
      <c r="P460" s="48"/>
      <c r="Q460" s="48"/>
      <c r="R460" s="78">
        <f t="shared" si="252"/>
        <v>202.805718475073</v>
      </c>
      <c r="S460" s="78"/>
      <c r="T460" s="79">
        <f t="shared" si="253"/>
        <v>0.284824046920821</v>
      </c>
      <c r="U460" s="78"/>
      <c r="V460" s="78"/>
      <c r="W460" s="80">
        <f t="shared" si="261"/>
        <v>203.090542521994</v>
      </c>
      <c r="X460" s="81">
        <f t="shared" si="254"/>
        <v>4.73425953079179</v>
      </c>
      <c r="Y460" s="81"/>
      <c r="Z460" s="81"/>
      <c r="AA460" s="110">
        <f t="shared" si="262"/>
        <v>4.73425953079179</v>
      </c>
      <c r="AB460" s="90">
        <v>7.19</v>
      </c>
      <c r="AC460" s="78">
        <f t="shared" ref="AC460:AC491" si="265">SUM(AA460*AB460)</f>
        <v>34.039326026393</v>
      </c>
      <c r="AD460" s="78">
        <f t="shared" si="263"/>
        <v>237.129868548387</v>
      </c>
      <c r="AE460" s="78">
        <f t="shared" si="264"/>
        <v>314.370131451613</v>
      </c>
    </row>
    <row r="461" customFormat="1" spans="1:31">
      <c r="A461" s="18"/>
      <c r="B461" s="19"/>
      <c r="C461" s="20">
        <v>240311000045</v>
      </c>
      <c r="D461" s="21">
        <v>45371</v>
      </c>
      <c r="E461" s="21" t="s">
        <v>70</v>
      </c>
      <c r="F461" s="19" t="s">
        <v>70</v>
      </c>
      <c r="G461" s="19" t="s">
        <v>314</v>
      </c>
      <c r="H461" s="19">
        <v>107</v>
      </c>
      <c r="I461" s="57"/>
      <c r="J461" s="50">
        <v>1102100</v>
      </c>
      <c r="K461" s="51"/>
      <c r="L461" s="53"/>
      <c r="M461" s="52">
        <v>744.08</v>
      </c>
      <c r="N461" s="104">
        <v>7.19</v>
      </c>
      <c r="O461" s="113">
        <f>SUM(M461*N461)</f>
        <v>5349.9352</v>
      </c>
      <c r="P461" s="48"/>
      <c r="Q461" s="48"/>
      <c r="R461" s="78">
        <f t="shared" ref="R461:R492" si="266">SUM(184418/5456)*H461</f>
        <v>3616.70197947214</v>
      </c>
      <c r="S461" s="78"/>
      <c r="T461" s="79">
        <f t="shared" ref="T461:T492" si="267">SUM(259/5456)*H461</f>
        <v>5.07936217008798</v>
      </c>
      <c r="U461" s="78"/>
      <c r="V461" s="78"/>
      <c r="W461" s="80">
        <f t="shared" si="261"/>
        <v>3621.78134164223</v>
      </c>
      <c r="X461" s="81">
        <f t="shared" ref="X461:X492" si="268">SUM(4305.02/5456)*H461</f>
        <v>84.4276282991202</v>
      </c>
      <c r="Y461" s="81"/>
      <c r="Z461" s="81"/>
      <c r="AA461" s="110">
        <f t="shared" si="262"/>
        <v>84.4276282991202</v>
      </c>
      <c r="AB461" s="90">
        <v>7.19</v>
      </c>
      <c r="AC461" s="78">
        <f t="shared" si="265"/>
        <v>607.034647470675</v>
      </c>
      <c r="AD461" s="78">
        <f t="shared" si="263"/>
        <v>4228.8159891129</v>
      </c>
      <c r="AE461" s="78">
        <f t="shared" si="264"/>
        <v>1121.1192108871</v>
      </c>
    </row>
    <row r="462" customFormat="1" spans="1:31">
      <c r="A462" s="18"/>
      <c r="B462" s="19"/>
      <c r="C462" s="20">
        <v>240311000046</v>
      </c>
      <c r="D462" s="21">
        <v>45371</v>
      </c>
      <c r="E462" s="21" t="s">
        <v>37</v>
      </c>
      <c r="F462" s="19" t="s">
        <v>38</v>
      </c>
      <c r="G462" s="19" t="s">
        <v>39</v>
      </c>
      <c r="H462" s="19">
        <v>2</v>
      </c>
      <c r="I462" s="41">
        <v>103</v>
      </c>
      <c r="J462" s="53"/>
      <c r="K462" s="51"/>
      <c r="L462" s="53"/>
      <c r="M462" s="44"/>
      <c r="N462" s="45"/>
      <c r="O462" s="46">
        <f t="shared" si="260"/>
        <v>103</v>
      </c>
      <c r="P462" s="48"/>
      <c r="Q462" s="48"/>
      <c r="R462" s="78">
        <f t="shared" si="266"/>
        <v>67.6019061583578</v>
      </c>
      <c r="S462" s="78"/>
      <c r="T462" s="79">
        <f t="shared" si="267"/>
        <v>0.094941348973607</v>
      </c>
      <c r="U462" s="78"/>
      <c r="V462" s="78"/>
      <c r="W462" s="80">
        <f t="shared" si="261"/>
        <v>67.6968475073314</v>
      </c>
      <c r="X462" s="81">
        <f t="shared" si="268"/>
        <v>1.57808651026393</v>
      </c>
      <c r="Y462" s="81"/>
      <c r="Z462" s="81"/>
      <c r="AA462" s="110">
        <f t="shared" si="262"/>
        <v>1.57808651026393</v>
      </c>
      <c r="AB462" s="90">
        <v>7.19</v>
      </c>
      <c r="AC462" s="78">
        <f t="shared" si="265"/>
        <v>11.3464420087977</v>
      </c>
      <c r="AD462" s="78">
        <f t="shared" si="263"/>
        <v>79.043289516129</v>
      </c>
      <c r="AE462" s="78">
        <f t="shared" si="264"/>
        <v>23.956710483871</v>
      </c>
    </row>
    <row r="463" customFormat="1" spans="1:31">
      <c r="A463" s="18"/>
      <c r="B463" s="19"/>
      <c r="C463" s="20">
        <v>240311000047</v>
      </c>
      <c r="D463" s="21">
        <v>45371</v>
      </c>
      <c r="E463" s="21" t="s">
        <v>47</v>
      </c>
      <c r="F463" s="19" t="s">
        <v>48</v>
      </c>
      <c r="G463" s="19" t="s">
        <v>364</v>
      </c>
      <c r="H463" s="19">
        <v>2.5</v>
      </c>
      <c r="I463" s="41">
        <v>120.5</v>
      </c>
      <c r="J463" s="42"/>
      <c r="K463" s="43"/>
      <c r="L463" s="42"/>
      <c r="M463" s="44"/>
      <c r="N463" s="45"/>
      <c r="O463" s="46">
        <f t="shared" si="260"/>
        <v>120.5</v>
      </c>
      <c r="P463" s="48"/>
      <c r="Q463" s="48"/>
      <c r="R463" s="78">
        <f t="shared" si="266"/>
        <v>84.5023826979472</v>
      </c>
      <c r="S463" s="78"/>
      <c r="T463" s="79">
        <f t="shared" si="267"/>
        <v>0.118676686217009</v>
      </c>
      <c r="U463" s="78"/>
      <c r="V463" s="78"/>
      <c r="W463" s="80">
        <f t="shared" si="261"/>
        <v>84.6210593841642</v>
      </c>
      <c r="X463" s="81">
        <f t="shared" si="268"/>
        <v>1.97260813782991</v>
      </c>
      <c r="Y463" s="81"/>
      <c r="Z463" s="81"/>
      <c r="AA463" s="110">
        <f t="shared" si="262"/>
        <v>1.97260813782991</v>
      </c>
      <c r="AB463" s="90">
        <v>7.19</v>
      </c>
      <c r="AC463" s="78">
        <f t="shared" si="265"/>
        <v>14.1830525109971</v>
      </c>
      <c r="AD463" s="78">
        <f t="shared" si="263"/>
        <v>98.8041118951613</v>
      </c>
      <c r="AE463" s="78">
        <f t="shared" si="264"/>
        <v>21.6958881048387</v>
      </c>
    </row>
    <row r="464" customFormat="1" spans="1:31">
      <c r="A464" s="18"/>
      <c r="B464" s="19"/>
      <c r="C464" s="20">
        <v>240311000052</v>
      </c>
      <c r="D464" s="21">
        <v>45371</v>
      </c>
      <c r="E464" s="21" t="s">
        <v>37</v>
      </c>
      <c r="F464" s="19" t="s">
        <v>38</v>
      </c>
      <c r="G464" s="19" t="s">
        <v>39</v>
      </c>
      <c r="H464" s="19">
        <v>0.38</v>
      </c>
      <c r="I464" s="41">
        <v>53</v>
      </c>
      <c r="J464" s="53"/>
      <c r="K464" s="51"/>
      <c r="L464" s="53"/>
      <c r="M464" s="44"/>
      <c r="N464" s="45"/>
      <c r="O464" s="46">
        <f t="shared" si="260"/>
        <v>53</v>
      </c>
      <c r="P464" s="48"/>
      <c r="Q464" s="48"/>
      <c r="R464" s="78">
        <f t="shared" si="266"/>
        <v>12.844362170088</v>
      </c>
      <c r="S464" s="78"/>
      <c r="T464" s="79">
        <f t="shared" si="267"/>
        <v>0.0180388563049853</v>
      </c>
      <c r="U464" s="78"/>
      <c r="V464" s="78"/>
      <c r="W464" s="80">
        <f t="shared" si="261"/>
        <v>12.862401026393</v>
      </c>
      <c r="X464" s="81">
        <f t="shared" si="268"/>
        <v>0.299836436950147</v>
      </c>
      <c r="Y464" s="81"/>
      <c r="Z464" s="81"/>
      <c r="AA464" s="110">
        <f t="shared" si="262"/>
        <v>0.299836436950147</v>
      </c>
      <c r="AB464" s="90">
        <v>7.19</v>
      </c>
      <c r="AC464" s="78">
        <f t="shared" si="265"/>
        <v>2.15582398167155</v>
      </c>
      <c r="AD464" s="78">
        <f t="shared" si="263"/>
        <v>15.0182250080645</v>
      </c>
      <c r="AE464" s="78">
        <f t="shared" si="264"/>
        <v>37.9817749919355</v>
      </c>
    </row>
    <row r="465" customFormat="1" spans="1:31">
      <c r="A465" s="18"/>
      <c r="B465" s="19"/>
      <c r="C465" s="20">
        <v>240312000001</v>
      </c>
      <c r="D465" s="21">
        <v>45371</v>
      </c>
      <c r="E465" s="21" t="s">
        <v>41</v>
      </c>
      <c r="F465" s="19" t="s">
        <v>42</v>
      </c>
      <c r="G465" s="19" t="s">
        <v>365</v>
      </c>
      <c r="H465" s="19">
        <v>72.5</v>
      </c>
      <c r="I465" s="41">
        <v>3390</v>
      </c>
      <c r="J465" s="42"/>
      <c r="K465" s="43"/>
      <c r="L465" s="42"/>
      <c r="M465" s="44"/>
      <c r="N465" s="45"/>
      <c r="O465" s="46">
        <f t="shared" si="260"/>
        <v>3390</v>
      </c>
      <c r="P465" s="48"/>
      <c r="Q465" s="48"/>
      <c r="R465" s="78">
        <f t="shared" si="266"/>
        <v>2450.56909824047</v>
      </c>
      <c r="S465" s="78"/>
      <c r="T465" s="79">
        <f t="shared" si="267"/>
        <v>3.44162390029325</v>
      </c>
      <c r="U465" s="78"/>
      <c r="V465" s="78"/>
      <c r="W465" s="80">
        <f t="shared" si="261"/>
        <v>2454.01072214076</v>
      </c>
      <c r="X465" s="81">
        <f t="shared" si="268"/>
        <v>57.2056359970675</v>
      </c>
      <c r="Y465" s="81"/>
      <c r="Z465" s="81"/>
      <c r="AA465" s="110">
        <f t="shared" si="262"/>
        <v>57.2056359970675</v>
      </c>
      <c r="AB465" s="90">
        <v>7.19</v>
      </c>
      <c r="AC465" s="78">
        <f t="shared" si="265"/>
        <v>411.308522818915</v>
      </c>
      <c r="AD465" s="78">
        <f t="shared" si="263"/>
        <v>2865.31924495968</v>
      </c>
      <c r="AE465" s="78">
        <f t="shared" si="264"/>
        <v>524.68075504032</v>
      </c>
    </row>
    <row r="466" customFormat="1" spans="1:31">
      <c r="A466" s="18"/>
      <c r="B466" s="19"/>
      <c r="C466" s="20">
        <v>240312000002</v>
      </c>
      <c r="D466" s="21">
        <v>45371</v>
      </c>
      <c r="E466" s="21" t="s">
        <v>41</v>
      </c>
      <c r="F466" s="19" t="s">
        <v>42</v>
      </c>
      <c r="G466" s="19" t="s">
        <v>151</v>
      </c>
      <c r="H466" s="19">
        <v>0.52</v>
      </c>
      <c r="I466" s="46"/>
      <c r="J466" s="54">
        <v>11205</v>
      </c>
      <c r="K466" s="55"/>
      <c r="L466" s="50">
        <f>SUM(J466/M466)</f>
        <v>1490.02659574468</v>
      </c>
      <c r="M466" s="52">
        <v>7.52</v>
      </c>
      <c r="N466" s="45">
        <v>7.19</v>
      </c>
      <c r="O466" s="46">
        <f>SUM(M466*N466)</f>
        <v>54.0688</v>
      </c>
      <c r="P466" s="48"/>
      <c r="Q466" s="48"/>
      <c r="R466" s="78">
        <f t="shared" si="266"/>
        <v>17.576495601173</v>
      </c>
      <c r="S466" s="78"/>
      <c r="T466" s="79">
        <f t="shared" si="267"/>
        <v>0.0246847507331378</v>
      </c>
      <c r="U466" s="78"/>
      <c r="V466" s="78"/>
      <c r="W466" s="80">
        <f t="shared" si="261"/>
        <v>17.6011803519062</v>
      </c>
      <c r="X466" s="81">
        <f t="shared" si="268"/>
        <v>0.410302492668622</v>
      </c>
      <c r="Y466" s="81"/>
      <c r="Z466" s="81"/>
      <c r="AA466" s="110">
        <f t="shared" si="262"/>
        <v>0.410302492668622</v>
      </c>
      <c r="AB466" s="90">
        <v>7.19</v>
      </c>
      <c r="AC466" s="78">
        <f t="shared" si="265"/>
        <v>2.95007492228739</v>
      </c>
      <c r="AD466" s="78">
        <f t="shared" si="263"/>
        <v>20.5512552741936</v>
      </c>
      <c r="AE466" s="78">
        <f t="shared" si="264"/>
        <v>33.5175447258064</v>
      </c>
    </row>
    <row r="467" customFormat="1" spans="1:31">
      <c r="A467" s="18"/>
      <c r="B467" s="19"/>
      <c r="C467" s="20">
        <v>240312000003</v>
      </c>
      <c r="D467" s="21">
        <v>45371</v>
      </c>
      <c r="E467" s="21" t="s">
        <v>41</v>
      </c>
      <c r="F467" s="19" t="s">
        <v>42</v>
      </c>
      <c r="G467" s="19" t="s">
        <v>123</v>
      </c>
      <c r="H467" s="19">
        <v>3</v>
      </c>
      <c r="I467" s="41">
        <v>144</v>
      </c>
      <c r="J467" s="53"/>
      <c r="K467" s="51"/>
      <c r="L467" s="53"/>
      <c r="M467" s="44"/>
      <c r="N467" s="45"/>
      <c r="O467" s="46">
        <f t="shared" ref="O467:O474" si="269">SUM(I467)</f>
        <v>144</v>
      </c>
      <c r="P467" s="48"/>
      <c r="Q467" s="48"/>
      <c r="R467" s="78">
        <f t="shared" si="266"/>
        <v>101.402859237537</v>
      </c>
      <c r="S467" s="78"/>
      <c r="T467" s="79">
        <f t="shared" si="267"/>
        <v>0.142412023460411</v>
      </c>
      <c r="U467" s="78"/>
      <c r="V467" s="78"/>
      <c r="W467" s="80">
        <f t="shared" si="261"/>
        <v>101.545271260997</v>
      </c>
      <c r="X467" s="81">
        <f t="shared" si="268"/>
        <v>2.36712976539589</v>
      </c>
      <c r="Y467" s="81"/>
      <c r="Z467" s="81"/>
      <c r="AA467" s="110">
        <f t="shared" si="262"/>
        <v>2.36712976539589</v>
      </c>
      <c r="AB467" s="90">
        <v>7.19</v>
      </c>
      <c r="AC467" s="78">
        <f t="shared" si="265"/>
        <v>17.0196630131965</v>
      </c>
      <c r="AD467" s="78">
        <f t="shared" si="263"/>
        <v>118.564934274194</v>
      </c>
      <c r="AE467" s="78">
        <f t="shared" si="264"/>
        <v>25.435065725806</v>
      </c>
    </row>
    <row r="468" customFormat="1" spans="1:31">
      <c r="A468" s="18"/>
      <c r="B468" s="19"/>
      <c r="C468" s="20">
        <v>240312000004</v>
      </c>
      <c r="D468" s="21">
        <v>45371</v>
      </c>
      <c r="E468" s="21" t="s">
        <v>41</v>
      </c>
      <c r="F468" s="19" t="s">
        <v>42</v>
      </c>
      <c r="G468" s="19" t="s">
        <v>123</v>
      </c>
      <c r="H468" s="19">
        <v>21</v>
      </c>
      <c r="I468" s="41">
        <v>1008</v>
      </c>
      <c r="J468" s="53"/>
      <c r="K468" s="51"/>
      <c r="L468" s="53"/>
      <c r="M468" s="44"/>
      <c r="N468" s="45"/>
      <c r="O468" s="46">
        <f t="shared" si="269"/>
        <v>1008</v>
      </c>
      <c r="P468" s="48"/>
      <c r="Q468" s="48"/>
      <c r="R468" s="78">
        <f t="shared" si="266"/>
        <v>709.820014662757</v>
      </c>
      <c r="S468" s="78"/>
      <c r="T468" s="79">
        <f t="shared" si="267"/>
        <v>0.996884164222874</v>
      </c>
      <c r="U468" s="78"/>
      <c r="V468" s="78"/>
      <c r="W468" s="80">
        <f t="shared" si="261"/>
        <v>710.816898826979</v>
      </c>
      <c r="X468" s="81">
        <f t="shared" si="268"/>
        <v>16.5699083577713</v>
      </c>
      <c r="Y468" s="81"/>
      <c r="Z468" s="81"/>
      <c r="AA468" s="110">
        <f t="shared" si="262"/>
        <v>16.5699083577713</v>
      </c>
      <c r="AB468" s="90">
        <v>7.19</v>
      </c>
      <c r="AC468" s="78">
        <f t="shared" si="265"/>
        <v>119.137641092375</v>
      </c>
      <c r="AD468" s="78">
        <f t="shared" si="263"/>
        <v>829.954539919355</v>
      </c>
      <c r="AE468" s="78">
        <f t="shared" si="264"/>
        <v>178.045460080645</v>
      </c>
    </row>
    <row r="469" customFormat="1" spans="1:31">
      <c r="A469" s="18"/>
      <c r="B469" s="19"/>
      <c r="C469" s="20">
        <v>240312000005</v>
      </c>
      <c r="D469" s="21">
        <v>45371</v>
      </c>
      <c r="E469" s="21" t="s">
        <v>41</v>
      </c>
      <c r="F469" s="19" t="s">
        <v>42</v>
      </c>
      <c r="G469" s="19" t="s">
        <v>123</v>
      </c>
      <c r="H469" s="19">
        <v>71</v>
      </c>
      <c r="I469" s="41">
        <v>3708</v>
      </c>
      <c r="J469" s="53"/>
      <c r="K469" s="51"/>
      <c r="L469" s="53"/>
      <c r="M469" s="44"/>
      <c r="N469" s="45"/>
      <c r="O469" s="46">
        <f t="shared" si="269"/>
        <v>3708</v>
      </c>
      <c r="P469" s="48"/>
      <c r="Q469" s="48"/>
      <c r="R469" s="78">
        <f t="shared" si="266"/>
        <v>2399.8676686217</v>
      </c>
      <c r="S469" s="78"/>
      <c r="T469" s="79">
        <f t="shared" si="267"/>
        <v>3.37041788856305</v>
      </c>
      <c r="U469" s="78"/>
      <c r="V469" s="78"/>
      <c r="W469" s="80">
        <f t="shared" si="261"/>
        <v>2403.23808651026</v>
      </c>
      <c r="X469" s="81">
        <f t="shared" si="268"/>
        <v>56.0220711143695</v>
      </c>
      <c r="Y469" s="81"/>
      <c r="Z469" s="81"/>
      <c r="AA469" s="110">
        <f t="shared" si="262"/>
        <v>56.0220711143695</v>
      </c>
      <c r="AB469" s="90">
        <v>7.19</v>
      </c>
      <c r="AC469" s="78">
        <f t="shared" si="265"/>
        <v>402.798691312317</v>
      </c>
      <c r="AD469" s="78">
        <f t="shared" si="263"/>
        <v>2806.03677782258</v>
      </c>
      <c r="AE469" s="78">
        <f t="shared" si="264"/>
        <v>901.96322217742</v>
      </c>
    </row>
    <row r="470" customFormat="1" spans="1:31">
      <c r="A470" s="18"/>
      <c r="B470" s="19"/>
      <c r="C470" s="20">
        <v>240312000007</v>
      </c>
      <c r="D470" s="21">
        <v>45371</v>
      </c>
      <c r="E470" s="21" t="s">
        <v>37</v>
      </c>
      <c r="F470" s="19" t="s">
        <v>38</v>
      </c>
      <c r="G470" s="19" t="s">
        <v>281</v>
      </c>
      <c r="H470" s="19">
        <v>112.5</v>
      </c>
      <c r="I470" s="41">
        <v>5126.5</v>
      </c>
      <c r="J470" s="53"/>
      <c r="K470" s="51"/>
      <c r="L470" s="53"/>
      <c r="M470" s="44"/>
      <c r="N470" s="45"/>
      <c r="O470" s="46">
        <f t="shared" si="269"/>
        <v>5126.5</v>
      </c>
      <c r="P470" s="48"/>
      <c r="Q470" s="48"/>
      <c r="R470" s="78">
        <f t="shared" si="266"/>
        <v>3802.60722140762</v>
      </c>
      <c r="S470" s="78"/>
      <c r="T470" s="79">
        <f t="shared" si="267"/>
        <v>5.3404508797654</v>
      </c>
      <c r="U470" s="78"/>
      <c r="V470" s="78"/>
      <c r="W470" s="80">
        <f t="shared" si="261"/>
        <v>3807.94767228739</v>
      </c>
      <c r="X470" s="81">
        <f t="shared" si="268"/>
        <v>88.7673662023461</v>
      </c>
      <c r="Y470" s="81"/>
      <c r="Z470" s="81"/>
      <c r="AA470" s="110">
        <f t="shared" si="262"/>
        <v>88.7673662023461</v>
      </c>
      <c r="AB470" s="90">
        <v>7.19</v>
      </c>
      <c r="AC470" s="78">
        <f t="shared" si="265"/>
        <v>638.237362994868</v>
      </c>
      <c r="AD470" s="78">
        <f t="shared" si="263"/>
        <v>4446.18503528226</v>
      </c>
      <c r="AE470" s="78">
        <f t="shared" si="264"/>
        <v>680.31496471774</v>
      </c>
    </row>
    <row r="471" customFormat="1" spans="1:31">
      <c r="A471" s="18"/>
      <c r="B471" s="19"/>
      <c r="C471" s="22">
        <v>240312000011</v>
      </c>
      <c r="D471" s="23">
        <v>45371</v>
      </c>
      <c r="E471" s="21" t="s">
        <v>44</v>
      </c>
      <c r="F471" s="24" t="s">
        <v>45</v>
      </c>
      <c r="G471" s="24" t="s">
        <v>366</v>
      </c>
      <c r="H471" s="24">
        <v>94.5</v>
      </c>
      <c r="I471" s="41">
        <v>4441.5</v>
      </c>
      <c r="J471" s="53"/>
      <c r="K471" s="51"/>
      <c r="L471" s="53"/>
      <c r="M471" s="44"/>
      <c r="N471" s="45"/>
      <c r="O471" s="46">
        <f t="shared" si="269"/>
        <v>4441.5</v>
      </c>
      <c r="P471" s="48"/>
      <c r="Q471" s="48"/>
      <c r="R471" s="78">
        <f t="shared" si="266"/>
        <v>3194.19006598241</v>
      </c>
      <c r="S471" s="78"/>
      <c r="T471" s="79">
        <f t="shared" si="267"/>
        <v>4.48597873900293</v>
      </c>
      <c r="U471" s="78"/>
      <c r="V471" s="78"/>
      <c r="W471" s="80">
        <f t="shared" si="261"/>
        <v>3198.67604472141</v>
      </c>
      <c r="X471" s="81">
        <f t="shared" si="268"/>
        <v>74.5645876099707</v>
      </c>
      <c r="Y471" s="81"/>
      <c r="Z471" s="81"/>
      <c r="AA471" s="110">
        <f t="shared" si="262"/>
        <v>74.5645876099707</v>
      </c>
      <c r="AB471" s="90">
        <v>7.19</v>
      </c>
      <c r="AC471" s="78">
        <f t="shared" si="265"/>
        <v>536.119384915689</v>
      </c>
      <c r="AD471" s="78">
        <f t="shared" si="263"/>
        <v>3734.7954296371</v>
      </c>
      <c r="AE471" s="78">
        <f t="shared" si="264"/>
        <v>706.7045703629</v>
      </c>
    </row>
    <row r="472" customFormat="1" spans="1:31">
      <c r="A472" s="18"/>
      <c r="B472" s="19"/>
      <c r="C472" s="20">
        <v>240312000012</v>
      </c>
      <c r="D472" s="21">
        <v>45371</v>
      </c>
      <c r="E472" s="21" t="s">
        <v>44</v>
      </c>
      <c r="F472" s="19" t="s">
        <v>45</v>
      </c>
      <c r="G472" s="19" t="s">
        <v>178</v>
      </c>
      <c r="H472" s="19">
        <v>0.84</v>
      </c>
      <c r="I472" s="41">
        <v>45</v>
      </c>
      <c r="J472" s="53"/>
      <c r="K472" s="51"/>
      <c r="L472" s="53"/>
      <c r="M472" s="44"/>
      <c r="N472" s="45"/>
      <c r="O472" s="46">
        <f t="shared" si="269"/>
        <v>45</v>
      </c>
      <c r="P472" s="48"/>
      <c r="Q472" s="48"/>
      <c r="R472" s="78">
        <f t="shared" si="266"/>
        <v>28.3928005865103</v>
      </c>
      <c r="S472" s="78"/>
      <c r="T472" s="79">
        <f t="shared" si="267"/>
        <v>0.039875366568915</v>
      </c>
      <c r="U472" s="78"/>
      <c r="V472" s="78"/>
      <c r="W472" s="80">
        <f t="shared" si="261"/>
        <v>28.4326759530792</v>
      </c>
      <c r="X472" s="81">
        <f t="shared" si="268"/>
        <v>0.66279633431085</v>
      </c>
      <c r="Y472" s="81"/>
      <c r="Z472" s="81"/>
      <c r="AA472" s="110">
        <f t="shared" si="262"/>
        <v>0.66279633431085</v>
      </c>
      <c r="AB472" s="90">
        <v>7.19</v>
      </c>
      <c r="AC472" s="78">
        <f t="shared" si="265"/>
        <v>4.76550564369502</v>
      </c>
      <c r="AD472" s="78">
        <f t="shared" si="263"/>
        <v>33.1981815967742</v>
      </c>
      <c r="AE472" s="78">
        <f t="shared" si="264"/>
        <v>11.8018184032258</v>
      </c>
    </row>
    <row r="473" customFormat="1" spans="1:31">
      <c r="A473" s="18"/>
      <c r="B473" s="19"/>
      <c r="C473" s="20">
        <v>240312000014</v>
      </c>
      <c r="D473" s="21">
        <v>45371</v>
      </c>
      <c r="E473" s="21" t="s">
        <v>44</v>
      </c>
      <c r="F473" s="19" t="s">
        <v>45</v>
      </c>
      <c r="G473" s="19" t="s">
        <v>158</v>
      </c>
      <c r="H473" s="19">
        <v>6</v>
      </c>
      <c r="I473" s="41">
        <v>288</v>
      </c>
      <c r="J473" s="42"/>
      <c r="K473" s="43"/>
      <c r="L473" s="42"/>
      <c r="M473" s="44"/>
      <c r="N473" s="45"/>
      <c r="O473" s="46">
        <f t="shared" si="269"/>
        <v>288</v>
      </c>
      <c r="P473" s="48"/>
      <c r="Q473" s="48"/>
      <c r="R473" s="78">
        <f t="shared" si="266"/>
        <v>202.805718475073</v>
      </c>
      <c r="S473" s="78"/>
      <c r="T473" s="79">
        <f t="shared" si="267"/>
        <v>0.284824046920821</v>
      </c>
      <c r="U473" s="78"/>
      <c r="V473" s="78"/>
      <c r="W473" s="80">
        <f t="shared" si="261"/>
        <v>203.090542521994</v>
      </c>
      <c r="X473" s="81">
        <f t="shared" si="268"/>
        <v>4.73425953079179</v>
      </c>
      <c r="Y473" s="81"/>
      <c r="Z473" s="81"/>
      <c r="AA473" s="110">
        <f t="shared" si="262"/>
        <v>4.73425953079179</v>
      </c>
      <c r="AB473" s="90">
        <v>7.19</v>
      </c>
      <c r="AC473" s="78">
        <f t="shared" si="265"/>
        <v>34.039326026393</v>
      </c>
      <c r="AD473" s="78">
        <f t="shared" si="263"/>
        <v>237.129868548387</v>
      </c>
      <c r="AE473" s="78">
        <f t="shared" si="264"/>
        <v>50.870131451613</v>
      </c>
    </row>
    <row r="474" customFormat="1" spans="1:31">
      <c r="A474" s="18"/>
      <c r="B474" s="19"/>
      <c r="C474" s="20">
        <v>240312000019</v>
      </c>
      <c r="D474" s="21">
        <v>45371</v>
      </c>
      <c r="E474" s="21" t="s">
        <v>70</v>
      </c>
      <c r="F474" s="19" t="s">
        <v>70</v>
      </c>
      <c r="G474" s="19" t="s">
        <v>367</v>
      </c>
      <c r="H474" s="19">
        <v>127</v>
      </c>
      <c r="I474" s="41">
        <v>5723</v>
      </c>
      <c r="J474" s="53"/>
      <c r="K474" s="51"/>
      <c r="L474" s="53"/>
      <c r="M474" s="44"/>
      <c r="N474" s="45"/>
      <c r="O474" s="46">
        <f t="shared" si="269"/>
        <v>5723</v>
      </c>
      <c r="P474" s="48"/>
      <c r="Q474" s="48"/>
      <c r="R474" s="78">
        <f t="shared" si="266"/>
        <v>4292.72104105572</v>
      </c>
      <c r="S474" s="78"/>
      <c r="T474" s="79">
        <f t="shared" si="267"/>
        <v>6.02877565982405</v>
      </c>
      <c r="U474" s="78"/>
      <c r="V474" s="78"/>
      <c r="W474" s="80">
        <f t="shared" si="261"/>
        <v>4298.74981671554</v>
      </c>
      <c r="X474" s="81">
        <f t="shared" si="268"/>
        <v>100.20849340176</v>
      </c>
      <c r="Y474" s="81"/>
      <c r="Z474" s="81"/>
      <c r="AA474" s="110">
        <f t="shared" si="262"/>
        <v>100.20849340176</v>
      </c>
      <c r="AB474" s="90">
        <v>7.19</v>
      </c>
      <c r="AC474" s="78">
        <f t="shared" si="265"/>
        <v>720.499067558651</v>
      </c>
      <c r="AD474" s="78">
        <f t="shared" si="263"/>
        <v>5019.24888427419</v>
      </c>
      <c r="AE474" s="78">
        <f t="shared" si="264"/>
        <v>703.75111572581</v>
      </c>
    </row>
    <row r="475" customFormat="1" spans="1:31">
      <c r="A475" s="18"/>
      <c r="B475" s="19"/>
      <c r="C475" s="20">
        <v>240312000020</v>
      </c>
      <c r="D475" s="21">
        <v>45371</v>
      </c>
      <c r="E475" s="21" t="s">
        <v>41</v>
      </c>
      <c r="F475" s="19" t="s">
        <v>42</v>
      </c>
      <c r="G475" s="19" t="s">
        <v>332</v>
      </c>
      <c r="H475" s="19">
        <v>53</v>
      </c>
      <c r="I475" s="46"/>
      <c r="J475" s="54">
        <v>601774</v>
      </c>
      <c r="K475" s="55"/>
      <c r="L475" s="50">
        <f>SUM(J475/M475)</f>
        <v>1796.55481251493</v>
      </c>
      <c r="M475" s="52">
        <v>334.96</v>
      </c>
      <c r="N475" s="45">
        <v>7.19</v>
      </c>
      <c r="O475" s="46">
        <f>SUM(M475*N475)</f>
        <v>2408.3624</v>
      </c>
      <c r="P475" s="48"/>
      <c r="Q475" s="48"/>
      <c r="R475" s="78">
        <f t="shared" si="266"/>
        <v>1791.45051319648</v>
      </c>
      <c r="S475" s="78"/>
      <c r="T475" s="79">
        <f t="shared" si="267"/>
        <v>2.51594574780059</v>
      </c>
      <c r="U475" s="78"/>
      <c r="V475" s="78"/>
      <c r="W475" s="80">
        <f t="shared" si="261"/>
        <v>1793.96645894428</v>
      </c>
      <c r="X475" s="81">
        <f t="shared" si="268"/>
        <v>41.8192925219941</v>
      </c>
      <c r="Y475" s="81"/>
      <c r="Z475" s="81"/>
      <c r="AA475" s="110">
        <f t="shared" si="262"/>
        <v>41.8192925219941</v>
      </c>
      <c r="AB475" s="90">
        <v>7.19</v>
      </c>
      <c r="AC475" s="78">
        <f t="shared" si="265"/>
        <v>300.680713233138</v>
      </c>
      <c r="AD475" s="78">
        <f t="shared" si="263"/>
        <v>2094.64717217742</v>
      </c>
      <c r="AE475" s="78">
        <f t="shared" si="264"/>
        <v>313.71522782258</v>
      </c>
    </row>
    <row r="476" customFormat="1" spans="1:31">
      <c r="A476" s="18"/>
      <c r="B476" s="19"/>
      <c r="C476" s="20">
        <v>240312000021</v>
      </c>
      <c r="D476" s="21">
        <v>45371</v>
      </c>
      <c r="E476" s="21" t="s">
        <v>41</v>
      </c>
      <c r="F476" s="19" t="s">
        <v>42</v>
      </c>
      <c r="G476" s="19" t="s">
        <v>62</v>
      </c>
      <c r="H476" s="19">
        <v>2</v>
      </c>
      <c r="I476" s="41">
        <v>103</v>
      </c>
      <c r="J476" s="42"/>
      <c r="K476" s="43"/>
      <c r="L476" s="42"/>
      <c r="M476" s="44"/>
      <c r="N476" s="45"/>
      <c r="O476" s="46">
        <f t="shared" ref="O476:O479" si="270">SUM(I476)</f>
        <v>103</v>
      </c>
      <c r="P476" s="48"/>
      <c r="Q476" s="48"/>
      <c r="R476" s="78">
        <f t="shared" si="266"/>
        <v>67.6019061583578</v>
      </c>
      <c r="S476" s="78"/>
      <c r="T476" s="79">
        <f t="shared" si="267"/>
        <v>0.094941348973607</v>
      </c>
      <c r="U476" s="78"/>
      <c r="V476" s="78"/>
      <c r="W476" s="80">
        <f t="shared" si="261"/>
        <v>67.6968475073314</v>
      </c>
      <c r="X476" s="81">
        <f t="shared" si="268"/>
        <v>1.57808651026393</v>
      </c>
      <c r="Y476" s="81"/>
      <c r="Z476" s="81"/>
      <c r="AA476" s="110">
        <f t="shared" si="262"/>
        <v>1.57808651026393</v>
      </c>
      <c r="AB476" s="90">
        <v>7.19</v>
      </c>
      <c r="AC476" s="78">
        <f t="shared" si="265"/>
        <v>11.3464420087977</v>
      </c>
      <c r="AD476" s="78">
        <f t="shared" si="263"/>
        <v>79.043289516129</v>
      </c>
      <c r="AE476" s="78">
        <f t="shared" si="264"/>
        <v>23.956710483871</v>
      </c>
    </row>
    <row r="477" customFormat="1" spans="1:31">
      <c r="A477" s="18"/>
      <c r="B477" s="19"/>
      <c r="C477" s="20">
        <v>240312000023</v>
      </c>
      <c r="D477" s="21">
        <v>45371</v>
      </c>
      <c r="E477" s="21" t="s">
        <v>37</v>
      </c>
      <c r="F477" s="19" t="s">
        <v>38</v>
      </c>
      <c r="G477" s="19" t="s">
        <v>125</v>
      </c>
      <c r="H477" s="19">
        <v>36.5</v>
      </c>
      <c r="I477" s="41">
        <v>1843</v>
      </c>
      <c r="J477" s="53"/>
      <c r="K477" s="51"/>
      <c r="L477" s="53"/>
      <c r="M477" s="44"/>
      <c r="N477" s="45"/>
      <c r="O477" s="46">
        <f t="shared" si="270"/>
        <v>1843</v>
      </c>
      <c r="P477" s="48"/>
      <c r="Q477" s="48"/>
      <c r="R477" s="78">
        <f t="shared" si="266"/>
        <v>1233.73478739003</v>
      </c>
      <c r="S477" s="78"/>
      <c r="T477" s="79">
        <f t="shared" si="267"/>
        <v>1.73267961876833</v>
      </c>
      <c r="U477" s="78"/>
      <c r="V477" s="79">
        <v>68</v>
      </c>
      <c r="W477" s="80">
        <f t="shared" si="261"/>
        <v>1303.4674670088</v>
      </c>
      <c r="X477" s="81">
        <f t="shared" si="268"/>
        <v>28.8000788123167</v>
      </c>
      <c r="Y477" s="81"/>
      <c r="Z477" s="81"/>
      <c r="AA477" s="110">
        <f t="shared" si="262"/>
        <v>28.8000788123167</v>
      </c>
      <c r="AB477" s="90">
        <v>7.19</v>
      </c>
      <c r="AC477" s="78">
        <f t="shared" si="265"/>
        <v>207.072566660557</v>
      </c>
      <c r="AD477" s="78">
        <f t="shared" si="263"/>
        <v>1510.54003366935</v>
      </c>
      <c r="AE477" s="78">
        <f t="shared" si="264"/>
        <v>332.45996633065</v>
      </c>
    </row>
    <row r="478" customFormat="1" spans="1:31">
      <c r="A478" s="18"/>
      <c r="B478" s="19"/>
      <c r="C478" s="20">
        <v>240312000025</v>
      </c>
      <c r="D478" s="21">
        <v>45371</v>
      </c>
      <c r="E478" s="21" t="s">
        <v>37</v>
      </c>
      <c r="F478" s="19" t="s">
        <v>38</v>
      </c>
      <c r="G478" s="19" t="s">
        <v>303</v>
      </c>
      <c r="H478" s="19">
        <v>47</v>
      </c>
      <c r="I478" s="41">
        <v>2303</v>
      </c>
      <c r="J478" s="53"/>
      <c r="K478" s="51"/>
      <c r="L478" s="53"/>
      <c r="M478" s="44"/>
      <c r="N478" s="45"/>
      <c r="O478" s="46">
        <f t="shared" si="270"/>
        <v>2303</v>
      </c>
      <c r="P478" s="48"/>
      <c r="Q478" s="48"/>
      <c r="R478" s="78">
        <f t="shared" si="266"/>
        <v>1588.64479472141</v>
      </c>
      <c r="S478" s="78"/>
      <c r="T478" s="79">
        <f t="shared" si="267"/>
        <v>2.23112170087977</v>
      </c>
      <c r="U478" s="78">
        <v>70</v>
      </c>
      <c r="V478" s="78"/>
      <c r="W478" s="80">
        <f t="shared" si="261"/>
        <v>1660.87591642229</v>
      </c>
      <c r="X478" s="81">
        <f t="shared" si="268"/>
        <v>37.0850329912024</v>
      </c>
      <c r="Y478" s="81"/>
      <c r="Z478" s="81"/>
      <c r="AA478" s="110">
        <f t="shared" si="262"/>
        <v>37.0850329912024</v>
      </c>
      <c r="AB478" s="90">
        <v>7.19</v>
      </c>
      <c r="AC478" s="78">
        <f t="shared" si="265"/>
        <v>266.641387206745</v>
      </c>
      <c r="AD478" s="78">
        <f t="shared" si="263"/>
        <v>1927.51730362903</v>
      </c>
      <c r="AE478" s="78">
        <f t="shared" si="264"/>
        <v>375.48269637097</v>
      </c>
    </row>
    <row r="479" customFormat="1" spans="1:31">
      <c r="A479" s="18"/>
      <c r="B479" s="19"/>
      <c r="C479" s="20">
        <v>240312000027</v>
      </c>
      <c r="D479" s="21">
        <v>45371</v>
      </c>
      <c r="E479" s="21" t="s">
        <v>47</v>
      </c>
      <c r="F479" s="19" t="s">
        <v>48</v>
      </c>
      <c r="G479" s="19" t="s">
        <v>368</v>
      </c>
      <c r="H479" s="19">
        <v>2.5</v>
      </c>
      <c r="I479" s="41">
        <v>208</v>
      </c>
      <c r="J479" s="42"/>
      <c r="K479" s="43"/>
      <c r="L479" s="42"/>
      <c r="M479" s="44"/>
      <c r="N479" s="45"/>
      <c r="O479" s="46">
        <f t="shared" si="270"/>
        <v>208</v>
      </c>
      <c r="P479" s="48"/>
      <c r="Q479" s="48"/>
      <c r="R479" s="78">
        <f t="shared" si="266"/>
        <v>84.5023826979472</v>
      </c>
      <c r="S479" s="78"/>
      <c r="T479" s="79">
        <f t="shared" si="267"/>
        <v>0.118676686217009</v>
      </c>
      <c r="U479" s="78"/>
      <c r="V479" s="78"/>
      <c r="W479" s="80">
        <f t="shared" si="261"/>
        <v>84.6210593841642</v>
      </c>
      <c r="X479" s="81">
        <f t="shared" si="268"/>
        <v>1.97260813782991</v>
      </c>
      <c r="Y479" s="81">
        <v>11.12</v>
      </c>
      <c r="Z479" s="81"/>
      <c r="AA479" s="110">
        <f t="shared" si="262"/>
        <v>13.0926081378299</v>
      </c>
      <c r="AB479" s="90">
        <v>7.19</v>
      </c>
      <c r="AC479" s="78">
        <f t="shared" si="265"/>
        <v>94.1358525109971</v>
      </c>
      <c r="AD479" s="78">
        <f t="shared" si="263"/>
        <v>178.756911895161</v>
      </c>
      <c r="AE479" s="78">
        <f t="shared" si="264"/>
        <v>29.243088104839</v>
      </c>
    </row>
    <row r="480" customFormat="1" spans="1:31">
      <c r="A480" s="18"/>
      <c r="B480" s="19"/>
      <c r="C480" s="20">
        <v>240312000029</v>
      </c>
      <c r="D480" s="21">
        <v>45371</v>
      </c>
      <c r="E480" s="21" t="s">
        <v>44</v>
      </c>
      <c r="F480" s="19" t="s">
        <v>45</v>
      </c>
      <c r="G480" s="19" t="s">
        <v>330</v>
      </c>
      <c r="H480" s="19">
        <v>10.5</v>
      </c>
      <c r="I480" s="49"/>
      <c r="J480" s="50">
        <v>90405</v>
      </c>
      <c r="K480" s="51"/>
      <c r="L480" s="50">
        <f>SUM(J480/M480)</f>
        <v>1474.07467797163</v>
      </c>
      <c r="M480" s="52">
        <v>61.33</v>
      </c>
      <c r="N480" s="45">
        <v>7.19</v>
      </c>
      <c r="O480" s="46">
        <f>SUM(M480*N480)</f>
        <v>440.9627</v>
      </c>
      <c r="P480" s="48"/>
      <c r="Q480" s="48"/>
      <c r="R480" s="78">
        <f t="shared" si="266"/>
        <v>354.910007331378</v>
      </c>
      <c r="S480" s="78"/>
      <c r="T480" s="79">
        <f t="shared" si="267"/>
        <v>0.498442082111437</v>
      </c>
      <c r="U480" s="78"/>
      <c r="V480" s="78"/>
      <c r="W480" s="80">
        <f t="shared" si="261"/>
        <v>355.40844941349</v>
      </c>
      <c r="X480" s="81">
        <f t="shared" si="268"/>
        <v>8.28495417888563</v>
      </c>
      <c r="Y480" s="81"/>
      <c r="Z480" s="81"/>
      <c r="AA480" s="110">
        <f t="shared" si="262"/>
        <v>8.28495417888563</v>
      </c>
      <c r="AB480" s="90">
        <v>7.19</v>
      </c>
      <c r="AC480" s="78">
        <f t="shared" si="265"/>
        <v>59.5688205461877</v>
      </c>
      <c r="AD480" s="78">
        <f t="shared" si="263"/>
        <v>414.977269959677</v>
      </c>
      <c r="AE480" s="78">
        <f t="shared" si="264"/>
        <v>25.985430040323</v>
      </c>
    </row>
    <row r="481" customFormat="1" spans="1:31">
      <c r="A481" s="18"/>
      <c r="B481" s="19"/>
      <c r="C481" s="20">
        <v>240312000031</v>
      </c>
      <c r="D481" s="21">
        <v>45371</v>
      </c>
      <c r="E481" s="21" t="s">
        <v>70</v>
      </c>
      <c r="F481" s="19" t="s">
        <v>70</v>
      </c>
      <c r="G481" s="19" t="s">
        <v>367</v>
      </c>
      <c r="H481" s="19">
        <v>43.5</v>
      </c>
      <c r="I481" s="41">
        <v>2436</v>
      </c>
      <c r="J481" s="53"/>
      <c r="K481" s="51"/>
      <c r="L481" s="53"/>
      <c r="M481" s="44"/>
      <c r="N481" s="45"/>
      <c r="O481" s="46">
        <f t="shared" ref="O481:O486" si="271">SUM(I481)</f>
        <v>2436</v>
      </c>
      <c r="P481" s="48"/>
      <c r="Q481" s="48"/>
      <c r="R481" s="78">
        <f t="shared" si="266"/>
        <v>1470.34145894428</v>
      </c>
      <c r="S481" s="78"/>
      <c r="T481" s="79">
        <f t="shared" si="267"/>
        <v>2.06497434017595</v>
      </c>
      <c r="U481" s="78"/>
      <c r="V481" s="78"/>
      <c r="W481" s="80">
        <f t="shared" si="261"/>
        <v>1472.40643328446</v>
      </c>
      <c r="X481" s="81">
        <f t="shared" si="268"/>
        <v>34.3233815982405</v>
      </c>
      <c r="Y481" s="81"/>
      <c r="Z481" s="81"/>
      <c r="AA481" s="110">
        <f t="shared" si="262"/>
        <v>34.3233815982405</v>
      </c>
      <c r="AB481" s="90">
        <v>7.19</v>
      </c>
      <c r="AC481" s="78">
        <f t="shared" si="265"/>
        <v>246.785113691349</v>
      </c>
      <c r="AD481" s="78">
        <f t="shared" si="263"/>
        <v>1719.19154697581</v>
      </c>
      <c r="AE481" s="78">
        <f t="shared" si="264"/>
        <v>716.80845302419</v>
      </c>
    </row>
    <row r="482" customFormat="1" spans="1:31">
      <c r="A482" s="18"/>
      <c r="B482" s="19"/>
      <c r="C482" s="20">
        <v>240312000033</v>
      </c>
      <c r="D482" s="21">
        <v>45371</v>
      </c>
      <c r="E482" s="21" t="s">
        <v>44</v>
      </c>
      <c r="F482" s="19" t="s">
        <v>45</v>
      </c>
      <c r="G482" s="19" t="s">
        <v>122</v>
      </c>
      <c r="H482" s="19">
        <v>8</v>
      </c>
      <c r="I482" s="49"/>
      <c r="J482" s="50">
        <v>63200</v>
      </c>
      <c r="K482" s="91"/>
      <c r="L482" s="50">
        <f>SUM(J482/M482)</f>
        <v>1136.07765594104</v>
      </c>
      <c r="M482" s="52">
        <v>55.63</v>
      </c>
      <c r="N482" s="45">
        <v>7.19</v>
      </c>
      <c r="O482" s="46">
        <f>SUM(M482*N482)</f>
        <v>399.9797</v>
      </c>
      <c r="P482" s="48"/>
      <c r="Q482" s="48"/>
      <c r="R482" s="78">
        <f t="shared" si="266"/>
        <v>270.407624633431</v>
      </c>
      <c r="S482" s="78"/>
      <c r="T482" s="79">
        <f t="shared" si="267"/>
        <v>0.379765395894428</v>
      </c>
      <c r="U482" s="78"/>
      <c r="V482" s="78"/>
      <c r="W482" s="80">
        <f t="shared" si="261"/>
        <v>270.787390029326</v>
      </c>
      <c r="X482" s="81">
        <f t="shared" si="268"/>
        <v>6.31234604105572</v>
      </c>
      <c r="Y482" s="81"/>
      <c r="Z482" s="81"/>
      <c r="AA482" s="110">
        <f t="shared" si="262"/>
        <v>6.31234604105572</v>
      </c>
      <c r="AB482" s="90">
        <v>7.19</v>
      </c>
      <c r="AC482" s="78">
        <f t="shared" si="265"/>
        <v>45.3857680351906</v>
      </c>
      <c r="AD482" s="78">
        <f t="shared" si="263"/>
        <v>316.173158064516</v>
      </c>
      <c r="AE482" s="78">
        <f t="shared" si="264"/>
        <v>83.806541935484</v>
      </c>
    </row>
    <row r="483" customFormat="1" spans="1:31">
      <c r="A483" s="18"/>
      <c r="B483" s="19"/>
      <c r="C483" s="20">
        <v>240312000037</v>
      </c>
      <c r="D483" s="21">
        <v>45371</v>
      </c>
      <c r="E483" s="21" t="s">
        <v>70</v>
      </c>
      <c r="F483" s="19" t="s">
        <v>70</v>
      </c>
      <c r="G483" s="19" t="s">
        <v>369</v>
      </c>
      <c r="H483" s="19">
        <v>4.5</v>
      </c>
      <c r="I483" s="41">
        <v>228</v>
      </c>
      <c r="J483" s="53"/>
      <c r="K483" s="51"/>
      <c r="L483" s="53"/>
      <c r="M483" s="44"/>
      <c r="N483" s="45"/>
      <c r="O483" s="46">
        <f t="shared" si="271"/>
        <v>228</v>
      </c>
      <c r="P483" s="48"/>
      <c r="Q483" s="48"/>
      <c r="R483" s="78">
        <f t="shared" si="266"/>
        <v>152.104288856305</v>
      </c>
      <c r="S483" s="78"/>
      <c r="T483" s="79">
        <f t="shared" si="267"/>
        <v>0.213618035190616</v>
      </c>
      <c r="U483" s="78"/>
      <c r="V483" s="78"/>
      <c r="W483" s="80">
        <f t="shared" si="261"/>
        <v>152.317906891496</v>
      </c>
      <c r="X483" s="81">
        <f t="shared" si="268"/>
        <v>3.55069464809384</v>
      </c>
      <c r="Y483" s="81"/>
      <c r="Z483" s="81"/>
      <c r="AA483" s="110">
        <f t="shared" si="262"/>
        <v>3.55069464809384</v>
      </c>
      <c r="AB483" s="90">
        <v>7.19</v>
      </c>
      <c r="AC483" s="78">
        <f t="shared" si="265"/>
        <v>25.5294945197947</v>
      </c>
      <c r="AD483" s="78">
        <f t="shared" si="263"/>
        <v>177.84740141129</v>
      </c>
      <c r="AE483" s="78">
        <f t="shared" si="264"/>
        <v>50.15259858871</v>
      </c>
    </row>
    <row r="484" customFormat="1" spans="1:31">
      <c r="A484" s="18"/>
      <c r="B484" s="19"/>
      <c r="C484" s="20">
        <v>240312000038</v>
      </c>
      <c r="D484" s="21">
        <v>45371</v>
      </c>
      <c r="E484" s="21" t="s">
        <v>70</v>
      </c>
      <c r="F484" s="19" t="s">
        <v>70</v>
      </c>
      <c r="G484" s="19" t="s">
        <v>370</v>
      </c>
      <c r="H484" s="19">
        <v>0.39</v>
      </c>
      <c r="I484" s="41">
        <v>53</v>
      </c>
      <c r="J484" s="53"/>
      <c r="K484" s="51"/>
      <c r="L484" s="53"/>
      <c r="M484" s="44"/>
      <c r="N484" s="45"/>
      <c r="O484" s="46">
        <f t="shared" si="271"/>
        <v>53</v>
      </c>
      <c r="P484" s="48"/>
      <c r="Q484" s="48"/>
      <c r="R484" s="78">
        <f t="shared" si="266"/>
        <v>13.1823717008798</v>
      </c>
      <c r="S484" s="78"/>
      <c r="T484" s="79">
        <f t="shared" si="267"/>
        <v>0.0185135630498534</v>
      </c>
      <c r="U484" s="78"/>
      <c r="V484" s="78"/>
      <c r="W484" s="80">
        <f t="shared" si="261"/>
        <v>13.2008852639296</v>
      </c>
      <c r="X484" s="81">
        <f t="shared" si="268"/>
        <v>0.307726869501466</v>
      </c>
      <c r="Y484" s="81"/>
      <c r="Z484" s="81"/>
      <c r="AA484" s="110">
        <f t="shared" si="262"/>
        <v>0.307726869501466</v>
      </c>
      <c r="AB484" s="90">
        <v>7.19</v>
      </c>
      <c r="AC484" s="78">
        <f t="shared" si="265"/>
        <v>2.21255619171554</v>
      </c>
      <c r="AD484" s="78">
        <f t="shared" si="263"/>
        <v>15.4134414556452</v>
      </c>
      <c r="AE484" s="78">
        <f t="shared" si="264"/>
        <v>37.5865585443548</v>
      </c>
    </row>
    <row r="485" customFormat="1" spans="1:31">
      <c r="A485" s="18"/>
      <c r="B485" s="19"/>
      <c r="C485" s="20">
        <v>240313000004</v>
      </c>
      <c r="D485" s="21">
        <v>45371</v>
      </c>
      <c r="E485" s="21" t="s">
        <v>37</v>
      </c>
      <c r="F485" s="19" t="s">
        <v>38</v>
      </c>
      <c r="G485" s="19" t="s">
        <v>371</v>
      </c>
      <c r="H485" s="19">
        <v>7</v>
      </c>
      <c r="I485" s="41">
        <v>364</v>
      </c>
      <c r="J485" s="53"/>
      <c r="K485" s="51"/>
      <c r="L485" s="53"/>
      <c r="M485" s="44"/>
      <c r="N485" s="45"/>
      <c r="O485" s="46">
        <f t="shared" si="271"/>
        <v>364</v>
      </c>
      <c r="P485" s="48"/>
      <c r="Q485" s="48"/>
      <c r="R485" s="78">
        <f t="shared" si="266"/>
        <v>236.606671554252</v>
      </c>
      <c r="S485" s="78"/>
      <c r="T485" s="79">
        <f t="shared" si="267"/>
        <v>0.332294721407625</v>
      </c>
      <c r="U485" s="78"/>
      <c r="V485" s="78"/>
      <c r="W485" s="80">
        <f t="shared" si="261"/>
        <v>236.93896627566</v>
      </c>
      <c r="X485" s="81">
        <f t="shared" si="268"/>
        <v>5.52330278592375</v>
      </c>
      <c r="Y485" s="81"/>
      <c r="Z485" s="81"/>
      <c r="AA485" s="110">
        <f t="shared" si="262"/>
        <v>5.52330278592375</v>
      </c>
      <c r="AB485" s="90">
        <v>7.19</v>
      </c>
      <c r="AC485" s="78">
        <f t="shared" si="265"/>
        <v>39.7125470307918</v>
      </c>
      <c r="AD485" s="78">
        <f t="shared" si="263"/>
        <v>276.651513306452</v>
      </c>
      <c r="AE485" s="78">
        <f t="shared" si="264"/>
        <v>87.348486693548</v>
      </c>
    </row>
    <row r="486" customFormat="1" spans="1:31">
      <c r="A486" s="18"/>
      <c r="B486" s="19"/>
      <c r="C486" s="20">
        <v>240313000005</v>
      </c>
      <c r="D486" s="21">
        <v>45371</v>
      </c>
      <c r="E486" s="21" t="s">
        <v>41</v>
      </c>
      <c r="F486" s="19" t="s">
        <v>42</v>
      </c>
      <c r="G486" s="19" t="s">
        <v>62</v>
      </c>
      <c r="H486" s="19">
        <v>219</v>
      </c>
      <c r="I486" s="41">
        <v>9855</v>
      </c>
      <c r="J486" s="42"/>
      <c r="K486" s="43"/>
      <c r="L486" s="42"/>
      <c r="M486" s="44"/>
      <c r="N486" s="45"/>
      <c r="O486" s="46">
        <f t="shared" si="271"/>
        <v>9855</v>
      </c>
      <c r="P486" s="48"/>
      <c r="Q486" s="48"/>
      <c r="R486" s="78">
        <f t="shared" si="266"/>
        <v>7402.40872434018</v>
      </c>
      <c r="S486" s="78"/>
      <c r="T486" s="79">
        <f t="shared" si="267"/>
        <v>10.39607771261</v>
      </c>
      <c r="U486" s="78"/>
      <c r="V486" s="78"/>
      <c r="W486" s="80">
        <f t="shared" si="261"/>
        <v>7412.80480205279</v>
      </c>
      <c r="X486" s="81">
        <f t="shared" si="268"/>
        <v>172.8004728739</v>
      </c>
      <c r="Y486" s="81"/>
      <c r="Z486" s="81"/>
      <c r="AA486" s="110">
        <f t="shared" si="262"/>
        <v>172.8004728739</v>
      </c>
      <c r="AB486" s="90">
        <v>7.19</v>
      </c>
      <c r="AC486" s="78">
        <f t="shared" si="265"/>
        <v>1242.43539996334</v>
      </c>
      <c r="AD486" s="78">
        <f t="shared" si="263"/>
        <v>8655.24020201613</v>
      </c>
      <c r="AE486" s="78">
        <f t="shared" si="264"/>
        <v>1199.75979798387</v>
      </c>
    </row>
    <row r="487" customFormat="1" spans="1:31">
      <c r="A487" s="18"/>
      <c r="B487" s="19"/>
      <c r="C487" s="20">
        <v>240313000006</v>
      </c>
      <c r="D487" s="21">
        <v>45371</v>
      </c>
      <c r="E487" s="21" t="s">
        <v>41</v>
      </c>
      <c r="F487" s="19" t="s">
        <v>42</v>
      </c>
      <c r="G487" s="19" t="s">
        <v>372</v>
      </c>
      <c r="H487" s="19">
        <v>33</v>
      </c>
      <c r="I487" s="49"/>
      <c r="J487" s="50">
        <v>306065</v>
      </c>
      <c r="K487" s="91"/>
      <c r="L487" s="50">
        <f>SUM(J487/M487)</f>
        <v>1474.01753034097</v>
      </c>
      <c r="M487" s="52">
        <v>207.64</v>
      </c>
      <c r="N487" s="45">
        <v>7.19</v>
      </c>
      <c r="O487" s="46">
        <f>SUM(M487*N487)</f>
        <v>1492.9316</v>
      </c>
      <c r="P487" s="48"/>
      <c r="Q487" s="48"/>
      <c r="R487" s="78">
        <f t="shared" si="266"/>
        <v>1115.4314516129</v>
      </c>
      <c r="S487" s="78"/>
      <c r="T487" s="79">
        <f t="shared" si="267"/>
        <v>1.56653225806452</v>
      </c>
      <c r="U487" s="78"/>
      <c r="V487" s="78"/>
      <c r="W487" s="80">
        <f t="shared" si="261"/>
        <v>1116.99798387097</v>
      </c>
      <c r="X487" s="81">
        <f t="shared" si="268"/>
        <v>26.0384274193548</v>
      </c>
      <c r="Y487" s="81"/>
      <c r="Z487" s="81"/>
      <c r="AA487" s="110">
        <f t="shared" si="262"/>
        <v>26.0384274193548</v>
      </c>
      <c r="AB487" s="90">
        <v>7.19</v>
      </c>
      <c r="AC487" s="78">
        <f t="shared" si="265"/>
        <v>187.216293145161</v>
      </c>
      <c r="AD487" s="78">
        <f t="shared" si="263"/>
        <v>1304.21427701613</v>
      </c>
      <c r="AE487" s="78">
        <f t="shared" si="264"/>
        <v>188.71732298387</v>
      </c>
    </row>
    <row r="488" customFormat="1" spans="1:31">
      <c r="A488" s="18"/>
      <c r="B488" s="19"/>
      <c r="C488" s="20">
        <v>240313000009</v>
      </c>
      <c r="D488" s="21">
        <v>45371</v>
      </c>
      <c r="E488" s="21" t="s">
        <v>47</v>
      </c>
      <c r="F488" s="19" t="s">
        <v>373</v>
      </c>
      <c r="G488" s="19" t="s">
        <v>374</v>
      </c>
      <c r="H488" s="19">
        <v>1231.5</v>
      </c>
      <c r="I488" s="41">
        <v>56286</v>
      </c>
      <c r="J488" s="42"/>
      <c r="K488" s="43"/>
      <c r="L488" s="42"/>
      <c r="M488" s="44"/>
      <c r="N488" s="45"/>
      <c r="O488" s="46">
        <f t="shared" ref="O488:O492" si="272">SUM(I488)</f>
        <v>56286</v>
      </c>
      <c r="P488" s="48"/>
      <c r="Q488" s="48"/>
      <c r="R488" s="78">
        <f t="shared" si="266"/>
        <v>41625.8737170088</v>
      </c>
      <c r="S488" s="78"/>
      <c r="T488" s="79">
        <f t="shared" si="267"/>
        <v>58.4601356304985</v>
      </c>
      <c r="U488" s="78"/>
      <c r="V488" s="78"/>
      <c r="W488" s="80">
        <f t="shared" si="261"/>
        <v>41684.3338526393</v>
      </c>
      <c r="X488" s="81">
        <f t="shared" si="268"/>
        <v>971.706768695015</v>
      </c>
      <c r="Y488" s="81"/>
      <c r="Z488" s="81"/>
      <c r="AA488" s="110">
        <f t="shared" si="262"/>
        <v>971.706768695015</v>
      </c>
      <c r="AB488" s="90">
        <v>7.19</v>
      </c>
      <c r="AC488" s="78">
        <f t="shared" si="265"/>
        <v>6986.57166691716</v>
      </c>
      <c r="AD488" s="78">
        <f t="shared" si="263"/>
        <v>48670.9055195565</v>
      </c>
      <c r="AE488" s="78">
        <f t="shared" si="264"/>
        <v>7615.0944804435</v>
      </c>
    </row>
    <row r="489" customFormat="1" spans="1:31">
      <c r="A489" s="18"/>
      <c r="B489" s="19"/>
      <c r="C489" s="20">
        <v>240313000013</v>
      </c>
      <c r="D489" s="21">
        <v>45371</v>
      </c>
      <c r="E489" s="21" t="s">
        <v>51</v>
      </c>
      <c r="F489" s="19" t="s">
        <v>52</v>
      </c>
      <c r="G489" s="19" t="s">
        <v>375</v>
      </c>
      <c r="H489" s="19">
        <v>1.5</v>
      </c>
      <c r="I489" s="46"/>
      <c r="J489" s="54">
        <v>28800</v>
      </c>
      <c r="K489" s="55"/>
      <c r="L489" s="50">
        <f>SUM(J489/M489)</f>
        <v>1600</v>
      </c>
      <c r="M489" s="52">
        <v>18</v>
      </c>
      <c r="N489" s="45">
        <v>7.19</v>
      </c>
      <c r="O489" s="46">
        <f>SUM(M489*N489)</f>
        <v>129.42</v>
      </c>
      <c r="P489" s="48"/>
      <c r="Q489" s="48"/>
      <c r="R489" s="78">
        <f t="shared" si="266"/>
        <v>50.7014296187683</v>
      </c>
      <c r="S489" s="78"/>
      <c r="T489" s="79">
        <f t="shared" si="267"/>
        <v>0.0712060117302053</v>
      </c>
      <c r="U489" s="78"/>
      <c r="V489" s="78"/>
      <c r="W489" s="80">
        <f t="shared" si="261"/>
        <v>50.7726356304985</v>
      </c>
      <c r="X489" s="81">
        <f t="shared" si="268"/>
        <v>1.18356488269795</v>
      </c>
      <c r="Y489" s="81"/>
      <c r="Z489" s="81"/>
      <c r="AA489" s="110">
        <f t="shared" si="262"/>
        <v>1.18356488269795</v>
      </c>
      <c r="AB489" s="90">
        <v>7.19</v>
      </c>
      <c r="AC489" s="78">
        <f t="shared" si="265"/>
        <v>8.50983150659824</v>
      </c>
      <c r="AD489" s="78">
        <f t="shared" si="263"/>
        <v>59.2824671370968</v>
      </c>
      <c r="AE489" s="78">
        <f t="shared" si="264"/>
        <v>70.1375328629032</v>
      </c>
    </row>
    <row r="490" customFormat="1" spans="1:31">
      <c r="A490" s="18"/>
      <c r="B490" s="19"/>
      <c r="C490" s="20">
        <v>240313000015</v>
      </c>
      <c r="D490" s="21">
        <v>45371</v>
      </c>
      <c r="E490" s="21" t="s">
        <v>51</v>
      </c>
      <c r="F490" s="19" t="s">
        <v>52</v>
      </c>
      <c r="G490" s="19" t="s">
        <v>357</v>
      </c>
      <c r="H490" s="19">
        <v>3</v>
      </c>
      <c r="I490" s="41">
        <v>171</v>
      </c>
      <c r="J490" s="42"/>
      <c r="K490" s="43"/>
      <c r="L490" s="42"/>
      <c r="M490" s="44"/>
      <c r="N490" s="45"/>
      <c r="O490" s="46">
        <f t="shared" si="272"/>
        <v>171</v>
      </c>
      <c r="P490" s="48"/>
      <c r="Q490" s="48"/>
      <c r="R490" s="78">
        <f t="shared" si="266"/>
        <v>101.402859237537</v>
      </c>
      <c r="S490" s="78"/>
      <c r="T490" s="79">
        <f t="shared" si="267"/>
        <v>0.142412023460411</v>
      </c>
      <c r="U490" s="78"/>
      <c r="V490" s="78"/>
      <c r="W490" s="80">
        <f t="shared" si="261"/>
        <v>101.545271260997</v>
      </c>
      <c r="X490" s="81">
        <f t="shared" si="268"/>
        <v>2.36712976539589</v>
      </c>
      <c r="Y490" s="81"/>
      <c r="Z490" s="81"/>
      <c r="AA490" s="110">
        <f t="shared" si="262"/>
        <v>2.36712976539589</v>
      </c>
      <c r="AB490" s="90">
        <v>7.19</v>
      </c>
      <c r="AC490" s="78">
        <f t="shared" si="265"/>
        <v>17.0196630131965</v>
      </c>
      <c r="AD490" s="78">
        <f t="shared" si="263"/>
        <v>118.564934274194</v>
      </c>
      <c r="AE490" s="78">
        <f t="shared" si="264"/>
        <v>52.435065725806</v>
      </c>
    </row>
    <row r="491" customFormat="1" spans="1:31">
      <c r="A491" s="18"/>
      <c r="B491" s="19"/>
      <c r="C491" s="20">
        <v>240313000016</v>
      </c>
      <c r="D491" s="21">
        <v>45371</v>
      </c>
      <c r="E491" s="21" t="s">
        <v>47</v>
      </c>
      <c r="F491" s="19" t="s">
        <v>48</v>
      </c>
      <c r="G491" s="19" t="s">
        <v>152</v>
      </c>
      <c r="H491" s="19">
        <v>14</v>
      </c>
      <c r="I491" s="41">
        <v>694</v>
      </c>
      <c r="J491" s="42"/>
      <c r="K491" s="43"/>
      <c r="L491" s="42"/>
      <c r="M491" s="44"/>
      <c r="N491" s="45"/>
      <c r="O491" s="46">
        <f t="shared" si="272"/>
        <v>694</v>
      </c>
      <c r="P491" s="48"/>
      <c r="Q491" s="48"/>
      <c r="R491" s="78">
        <f t="shared" si="266"/>
        <v>473.213343108504</v>
      </c>
      <c r="S491" s="78"/>
      <c r="T491" s="79">
        <f t="shared" si="267"/>
        <v>0.664589442815249</v>
      </c>
      <c r="U491" s="78">
        <v>30</v>
      </c>
      <c r="V491" s="78"/>
      <c r="W491" s="80">
        <f t="shared" ref="W491:W535" si="273">SUM(R491:V491)</f>
        <v>503.87793255132</v>
      </c>
      <c r="X491" s="81">
        <f t="shared" si="268"/>
        <v>11.0466055718475</v>
      </c>
      <c r="Y491" s="81"/>
      <c r="Z491" s="81"/>
      <c r="AA491" s="110">
        <f t="shared" ref="AA491:AA535" si="274">SUM(X491:Z491)</f>
        <v>11.0466055718475</v>
      </c>
      <c r="AB491" s="90">
        <v>7.19</v>
      </c>
      <c r="AC491" s="78">
        <f t="shared" si="265"/>
        <v>79.4250940615836</v>
      </c>
      <c r="AD491" s="78">
        <f t="shared" ref="AD491:AD532" si="275">SUM(W491+AC491)</f>
        <v>583.303026612903</v>
      </c>
      <c r="AE491" s="78">
        <f t="shared" ref="AE491:AE531" si="276">SUM(O491-AD491)</f>
        <v>110.696973387097</v>
      </c>
    </row>
    <row r="492" customFormat="1" spans="1:31">
      <c r="A492" s="18"/>
      <c r="B492" s="19"/>
      <c r="C492" s="20">
        <v>240313000017</v>
      </c>
      <c r="D492" s="21">
        <v>45371</v>
      </c>
      <c r="E492" s="21" t="s">
        <v>51</v>
      </c>
      <c r="F492" s="19" t="s">
        <v>52</v>
      </c>
      <c r="G492" s="19" t="s">
        <v>376</v>
      </c>
      <c r="H492" s="19">
        <v>53</v>
      </c>
      <c r="I492" s="41">
        <v>2464.5</v>
      </c>
      <c r="J492" s="53"/>
      <c r="K492" s="51"/>
      <c r="L492" s="53"/>
      <c r="M492" s="44"/>
      <c r="N492" s="45"/>
      <c r="O492" s="46">
        <f t="shared" si="272"/>
        <v>2464.5</v>
      </c>
      <c r="P492" s="48"/>
      <c r="Q492" s="48"/>
      <c r="R492" s="78">
        <f t="shared" si="266"/>
        <v>1791.45051319648</v>
      </c>
      <c r="S492" s="78"/>
      <c r="T492" s="79">
        <f t="shared" si="267"/>
        <v>2.51594574780059</v>
      </c>
      <c r="U492" s="78"/>
      <c r="V492" s="78"/>
      <c r="W492" s="80">
        <f t="shared" si="273"/>
        <v>1793.96645894428</v>
      </c>
      <c r="X492" s="81">
        <f t="shared" si="268"/>
        <v>41.8192925219941</v>
      </c>
      <c r="Y492" s="81"/>
      <c r="Z492" s="81"/>
      <c r="AA492" s="110">
        <f t="shared" si="274"/>
        <v>41.8192925219941</v>
      </c>
      <c r="AB492" s="90">
        <v>7.19</v>
      </c>
      <c r="AC492" s="78">
        <f t="shared" ref="AC492:AC533" si="277">SUM(AA492*AB492)</f>
        <v>300.680713233138</v>
      </c>
      <c r="AD492" s="78">
        <f t="shared" si="275"/>
        <v>2094.64717217742</v>
      </c>
      <c r="AE492" s="78">
        <f t="shared" si="276"/>
        <v>369.85282782258</v>
      </c>
    </row>
    <row r="493" customFormat="1" spans="1:31">
      <c r="A493" s="18"/>
      <c r="B493" s="19"/>
      <c r="C493" s="22">
        <v>240313000018</v>
      </c>
      <c r="D493" s="23">
        <v>45371</v>
      </c>
      <c r="E493" s="21" t="s">
        <v>41</v>
      </c>
      <c r="F493" s="24" t="s">
        <v>42</v>
      </c>
      <c r="G493" s="24" t="s">
        <v>373</v>
      </c>
      <c r="H493" s="24">
        <v>0.56</v>
      </c>
      <c r="I493" s="49"/>
      <c r="J493" s="50">
        <v>11205</v>
      </c>
      <c r="K493" s="51"/>
      <c r="L493" s="50">
        <f>SUM(J493/M493)</f>
        <v>1490.02659574468</v>
      </c>
      <c r="M493" s="56">
        <v>7.52</v>
      </c>
      <c r="N493" s="45">
        <v>7.19</v>
      </c>
      <c r="O493" s="46">
        <f>SUM(M493*N493)</f>
        <v>54.0688</v>
      </c>
      <c r="P493" s="48"/>
      <c r="Q493" s="48"/>
      <c r="R493" s="78">
        <f t="shared" ref="R493:R536" si="278">SUM(184418/5456)*H493</f>
        <v>18.9285337243402</v>
      </c>
      <c r="S493" s="78"/>
      <c r="T493" s="79">
        <f t="shared" ref="T493:T536" si="279">SUM(259/5456)*H493</f>
        <v>0.02658357771261</v>
      </c>
      <c r="U493" s="78"/>
      <c r="V493" s="78"/>
      <c r="W493" s="80">
        <f t="shared" si="273"/>
        <v>18.9551173020528</v>
      </c>
      <c r="X493" s="81">
        <f t="shared" ref="X493:X536" si="280">SUM(4305.02/5456)*H493</f>
        <v>0.4418642228739</v>
      </c>
      <c r="Y493" s="81"/>
      <c r="Z493" s="81"/>
      <c r="AA493" s="110">
        <f t="shared" si="274"/>
        <v>0.4418642228739</v>
      </c>
      <c r="AB493" s="90">
        <v>7.19</v>
      </c>
      <c r="AC493" s="78">
        <f t="shared" si="277"/>
        <v>3.17700376246334</v>
      </c>
      <c r="AD493" s="78">
        <f t="shared" si="275"/>
        <v>22.1321210645161</v>
      </c>
      <c r="AE493" s="78">
        <f t="shared" si="276"/>
        <v>31.9366789354839</v>
      </c>
    </row>
    <row r="494" customFormat="1" spans="1:31">
      <c r="A494" s="18"/>
      <c r="B494" s="19"/>
      <c r="C494" s="20">
        <v>240313000020</v>
      </c>
      <c r="D494" s="21">
        <v>45371</v>
      </c>
      <c r="E494" s="21" t="s">
        <v>44</v>
      </c>
      <c r="F494" s="19" t="s">
        <v>45</v>
      </c>
      <c r="G494" s="19" t="s">
        <v>377</v>
      </c>
      <c r="H494" s="19">
        <v>0.32</v>
      </c>
      <c r="I494" s="41">
        <v>45</v>
      </c>
      <c r="J494" s="53"/>
      <c r="K494" s="51"/>
      <c r="L494" s="53"/>
      <c r="M494" s="44"/>
      <c r="N494" s="45"/>
      <c r="O494" s="46">
        <f t="shared" ref="O494:O499" si="281">SUM(I494)</f>
        <v>45</v>
      </c>
      <c r="P494" s="48"/>
      <c r="Q494" s="48"/>
      <c r="R494" s="78">
        <f t="shared" si="278"/>
        <v>10.8163049853372</v>
      </c>
      <c r="S494" s="78"/>
      <c r="T494" s="79">
        <f t="shared" si="279"/>
        <v>0.0151906158357771</v>
      </c>
      <c r="U494" s="78"/>
      <c r="V494" s="78"/>
      <c r="W494" s="80">
        <f t="shared" si="273"/>
        <v>10.831495601173</v>
      </c>
      <c r="X494" s="81">
        <f t="shared" si="280"/>
        <v>0.252493841642229</v>
      </c>
      <c r="Y494" s="81"/>
      <c r="Z494" s="81"/>
      <c r="AA494" s="110">
        <f t="shared" si="274"/>
        <v>0.252493841642229</v>
      </c>
      <c r="AB494" s="90">
        <v>7.19</v>
      </c>
      <c r="AC494" s="78">
        <f t="shared" si="277"/>
        <v>1.81543072140762</v>
      </c>
      <c r="AD494" s="78">
        <f t="shared" si="275"/>
        <v>12.6469263225806</v>
      </c>
      <c r="AE494" s="78">
        <f t="shared" si="276"/>
        <v>32.3530736774194</v>
      </c>
    </row>
    <row r="495" customFormat="1" spans="1:31">
      <c r="A495" s="18"/>
      <c r="B495" s="19"/>
      <c r="C495" s="20">
        <v>240313000021</v>
      </c>
      <c r="D495" s="21">
        <v>45371</v>
      </c>
      <c r="E495" s="21" t="s">
        <v>44</v>
      </c>
      <c r="F495" s="19" t="s">
        <v>45</v>
      </c>
      <c r="G495" s="19" t="s">
        <v>377</v>
      </c>
      <c r="H495" s="19">
        <v>3.5</v>
      </c>
      <c r="I495" s="41">
        <v>157.5</v>
      </c>
      <c r="J495" s="53"/>
      <c r="K495" s="51"/>
      <c r="L495" s="53"/>
      <c r="M495" s="44"/>
      <c r="N495" s="45"/>
      <c r="O495" s="46">
        <f t="shared" si="281"/>
        <v>157.5</v>
      </c>
      <c r="P495" s="48"/>
      <c r="Q495" s="48"/>
      <c r="R495" s="78">
        <f t="shared" si="278"/>
        <v>118.303335777126</v>
      </c>
      <c r="S495" s="78"/>
      <c r="T495" s="79">
        <f t="shared" si="279"/>
        <v>0.166147360703812</v>
      </c>
      <c r="U495" s="78"/>
      <c r="V495" s="78"/>
      <c r="W495" s="80">
        <f t="shared" si="273"/>
        <v>118.46948313783</v>
      </c>
      <c r="X495" s="81">
        <f t="shared" si="280"/>
        <v>2.76165139296188</v>
      </c>
      <c r="Y495" s="81"/>
      <c r="Z495" s="81"/>
      <c r="AA495" s="110">
        <f t="shared" si="274"/>
        <v>2.76165139296188</v>
      </c>
      <c r="AB495" s="90">
        <v>7.19</v>
      </c>
      <c r="AC495" s="78">
        <f t="shared" si="277"/>
        <v>19.8562735153959</v>
      </c>
      <c r="AD495" s="78">
        <f t="shared" si="275"/>
        <v>138.325756653226</v>
      </c>
      <c r="AE495" s="78">
        <f t="shared" si="276"/>
        <v>19.1742433467742</v>
      </c>
    </row>
    <row r="496" customFormat="1" spans="1:31">
      <c r="A496" s="18"/>
      <c r="B496" s="19"/>
      <c r="C496" s="20">
        <v>240313000022</v>
      </c>
      <c r="D496" s="21">
        <v>45371</v>
      </c>
      <c r="E496" s="21" t="s">
        <v>44</v>
      </c>
      <c r="F496" s="19" t="s">
        <v>45</v>
      </c>
      <c r="G496" s="19" t="s">
        <v>377</v>
      </c>
      <c r="H496" s="19">
        <v>2.5</v>
      </c>
      <c r="I496" s="41">
        <v>112.5</v>
      </c>
      <c r="J496" s="53"/>
      <c r="K496" s="51"/>
      <c r="L496" s="53"/>
      <c r="M496" s="44"/>
      <c r="N496" s="45"/>
      <c r="O496" s="46">
        <f t="shared" si="281"/>
        <v>112.5</v>
      </c>
      <c r="P496" s="48"/>
      <c r="Q496" s="48"/>
      <c r="R496" s="78">
        <f t="shared" si="278"/>
        <v>84.5023826979472</v>
      </c>
      <c r="S496" s="78"/>
      <c r="T496" s="79">
        <f t="shared" si="279"/>
        <v>0.118676686217009</v>
      </c>
      <c r="U496" s="78"/>
      <c r="V496" s="78"/>
      <c r="W496" s="80">
        <f t="shared" si="273"/>
        <v>84.6210593841642</v>
      </c>
      <c r="X496" s="81">
        <f t="shared" si="280"/>
        <v>1.97260813782991</v>
      </c>
      <c r="Y496" s="81"/>
      <c r="Z496" s="81"/>
      <c r="AA496" s="110">
        <f t="shared" si="274"/>
        <v>1.97260813782991</v>
      </c>
      <c r="AB496" s="90">
        <v>7.19</v>
      </c>
      <c r="AC496" s="78">
        <f t="shared" si="277"/>
        <v>14.1830525109971</v>
      </c>
      <c r="AD496" s="78">
        <f t="shared" si="275"/>
        <v>98.8041118951613</v>
      </c>
      <c r="AE496" s="78">
        <f t="shared" si="276"/>
        <v>13.6958881048387</v>
      </c>
    </row>
    <row r="497" customFormat="1" spans="1:31">
      <c r="A497" s="18"/>
      <c r="B497" s="19"/>
      <c r="C497" s="20">
        <v>240313000023</v>
      </c>
      <c r="D497" s="21">
        <v>45371</v>
      </c>
      <c r="E497" s="21" t="s">
        <v>41</v>
      </c>
      <c r="F497" s="19" t="s">
        <v>42</v>
      </c>
      <c r="G497" s="19" t="s">
        <v>62</v>
      </c>
      <c r="H497" s="19">
        <v>0.84</v>
      </c>
      <c r="I497" s="41">
        <v>53</v>
      </c>
      <c r="J497" s="42"/>
      <c r="K497" s="43"/>
      <c r="L497" s="42"/>
      <c r="M497" s="44"/>
      <c r="N497" s="45"/>
      <c r="O497" s="46">
        <f t="shared" si="281"/>
        <v>53</v>
      </c>
      <c r="P497" s="48"/>
      <c r="Q497" s="48"/>
      <c r="R497" s="78">
        <f t="shared" si="278"/>
        <v>28.3928005865103</v>
      </c>
      <c r="S497" s="78"/>
      <c r="T497" s="79">
        <f t="shared" si="279"/>
        <v>0.039875366568915</v>
      </c>
      <c r="U497" s="78"/>
      <c r="V497" s="78"/>
      <c r="W497" s="80">
        <f t="shared" si="273"/>
        <v>28.4326759530792</v>
      </c>
      <c r="X497" s="81">
        <f t="shared" si="280"/>
        <v>0.66279633431085</v>
      </c>
      <c r="Y497" s="81"/>
      <c r="Z497" s="81"/>
      <c r="AA497" s="110">
        <f t="shared" si="274"/>
        <v>0.66279633431085</v>
      </c>
      <c r="AB497" s="90">
        <v>7.19</v>
      </c>
      <c r="AC497" s="78">
        <f t="shared" si="277"/>
        <v>4.76550564369502</v>
      </c>
      <c r="AD497" s="78">
        <f t="shared" si="275"/>
        <v>33.1981815967742</v>
      </c>
      <c r="AE497" s="78">
        <f t="shared" si="276"/>
        <v>19.8018184032258</v>
      </c>
    </row>
    <row r="498" customFormat="1" spans="1:31">
      <c r="A498" s="18"/>
      <c r="B498" s="19"/>
      <c r="C498" s="20">
        <v>240313000026</v>
      </c>
      <c r="D498" s="21">
        <v>45371</v>
      </c>
      <c r="E498" s="21" t="s">
        <v>47</v>
      </c>
      <c r="F498" s="19" t="s">
        <v>48</v>
      </c>
      <c r="G498" s="19" t="s">
        <v>362</v>
      </c>
      <c r="H498" s="19">
        <v>1.5</v>
      </c>
      <c r="I498" s="41">
        <v>78</v>
      </c>
      <c r="J498" s="42"/>
      <c r="K498" s="43"/>
      <c r="L498" s="42"/>
      <c r="M498" s="44"/>
      <c r="N498" s="45"/>
      <c r="O498" s="46">
        <f t="shared" si="281"/>
        <v>78</v>
      </c>
      <c r="P498" s="48"/>
      <c r="Q498" s="48"/>
      <c r="R498" s="78">
        <f t="shared" si="278"/>
        <v>50.7014296187683</v>
      </c>
      <c r="S498" s="78"/>
      <c r="T498" s="79">
        <f t="shared" si="279"/>
        <v>0.0712060117302053</v>
      </c>
      <c r="U498" s="78"/>
      <c r="V498" s="78"/>
      <c r="W498" s="80">
        <f t="shared" si="273"/>
        <v>50.7726356304985</v>
      </c>
      <c r="X498" s="81">
        <f t="shared" si="280"/>
        <v>1.18356488269795</v>
      </c>
      <c r="Y498" s="81"/>
      <c r="Z498" s="81"/>
      <c r="AA498" s="110">
        <f t="shared" si="274"/>
        <v>1.18356488269795</v>
      </c>
      <c r="AB498" s="90">
        <v>7.19</v>
      </c>
      <c r="AC498" s="78">
        <f t="shared" si="277"/>
        <v>8.50983150659824</v>
      </c>
      <c r="AD498" s="78">
        <f t="shared" si="275"/>
        <v>59.2824671370968</v>
      </c>
      <c r="AE498" s="78">
        <f t="shared" si="276"/>
        <v>18.7175328629032</v>
      </c>
    </row>
    <row r="499" customFormat="1" spans="1:31">
      <c r="A499" s="18"/>
      <c r="B499" s="19"/>
      <c r="C499" s="20">
        <v>240313000028</v>
      </c>
      <c r="D499" s="21">
        <v>45371</v>
      </c>
      <c r="E499" s="21" t="s">
        <v>70</v>
      </c>
      <c r="F499" s="19" t="s">
        <v>70</v>
      </c>
      <c r="G499" s="19" t="s">
        <v>184</v>
      </c>
      <c r="H499" s="19">
        <v>44.5</v>
      </c>
      <c r="I499" s="41">
        <v>2234</v>
      </c>
      <c r="J499" s="53"/>
      <c r="K499" s="51"/>
      <c r="L499" s="53"/>
      <c r="M499" s="44"/>
      <c r="N499" s="45"/>
      <c r="O499" s="46">
        <f t="shared" si="281"/>
        <v>2234</v>
      </c>
      <c r="P499" s="48"/>
      <c r="Q499" s="48"/>
      <c r="R499" s="78">
        <f t="shared" si="278"/>
        <v>1504.14241202346</v>
      </c>
      <c r="S499" s="78"/>
      <c r="T499" s="79">
        <f t="shared" si="279"/>
        <v>2.11244501466276</v>
      </c>
      <c r="U499" s="78"/>
      <c r="V499" s="78"/>
      <c r="W499" s="80">
        <f t="shared" si="273"/>
        <v>1506.25485703812</v>
      </c>
      <c r="X499" s="81">
        <f t="shared" si="280"/>
        <v>35.1124248533724</v>
      </c>
      <c r="Y499" s="81"/>
      <c r="Z499" s="81"/>
      <c r="AA499" s="110">
        <f t="shared" si="274"/>
        <v>35.1124248533724</v>
      </c>
      <c r="AB499" s="90">
        <v>7.19</v>
      </c>
      <c r="AC499" s="78">
        <f t="shared" si="277"/>
        <v>252.458334695748</v>
      </c>
      <c r="AD499" s="78">
        <f t="shared" si="275"/>
        <v>1758.71319173387</v>
      </c>
      <c r="AE499" s="78">
        <f t="shared" si="276"/>
        <v>475.286808266129</v>
      </c>
    </row>
    <row r="500" customFormat="1" spans="1:31">
      <c r="A500" s="18"/>
      <c r="B500" s="19"/>
      <c r="C500" s="20">
        <v>240313000029</v>
      </c>
      <c r="D500" s="21">
        <v>45371</v>
      </c>
      <c r="E500" s="21" t="s">
        <v>85</v>
      </c>
      <c r="F500" s="19" t="s">
        <v>378</v>
      </c>
      <c r="G500" s="19" t="s">
        <v>378</v>
      </c>
      <c r="H500" s="19">
        <v>3.5</v>
      </c>
      <c r="I500" s="46"/>
      <c r="J500" s="54">
        <v>37354.3</v>
      </c>
      <c r="K500" s="55"/>
      <c r="L500" s="50">
        <f>SUM(J500/M500)</f>
        <v>1490</v>
      </c>
      <c r="M500" s="56">
        <v>25.07</v>
      </c>
      <c r="N500" s="45">
        <v>7.19</v>
      </c>
      <c r="O500" s="46">
        <f t="shared" ref="O500:O504" si="282">SUM(M500*N500)</f>
        <v>180.2533</v>
      </c>
      <c r="P500" s="48"/>
      <c r="Q500" s="48"/>
      <c r="R500" s="78">
        <f t="shared" si="278"/>
        <v>118.303335777126</v>
      </c>
      <c r="S500" s="78"/>
      <c r="T500" s="79">
        <f t="shared" si="279"/>
        <v>0.166147360703812</v>
      </c>
      <c r="U500" s="78"/>
      <c r="V500" s="78"/>
      <c r="W500" s="80">
        <f t="shared" si="273"/>
        <v>118.46948313783</v>
      </c>
      <c r="X500" s="81">
        <f t="shared" si="280"/>
        <v>2.76165139296188</v>
      </c>
      <c r="Y500" s="81"/>
      <c r="Z500" s="81"/>
      <c r="AA500" s="110">
        <f t="shared" si="274"/>
        <v>2.76165139296188</v>
      </c>
      <c r="AB500" s="90">
        <v>7.19</v>
      </c>
      <c r="AC500" s="78">
        <f t="shared" si="277"/>
        <v>19.8562735153959</v>
      </c>
      <c r="AD500" s="78">
        <f t="shared" si="275"/>
        <v>138.325756653226</v>
      </c>
      <c r="AE500" s="78">
        <f t="shared" si="276"/>
        <v>41.9275433467742</v>
      </c>
    </row>
    <row r="501" customFormat="1" spans="1:31">
      <c r="A501" s="18"/>
      <c r="B501" s="19"/>
      <c r="C501" s="20">
        <v>240313000031</v>
      </c>
      <c r="D501" s="21">
        <v>45371</v>
      </c>
      <c r="E501" s="21" t="s">
        <v>51</v>
      </c>
      <c r="F501" s="19" t="s">
        <v>52</v>
      </c>
      <c r="G501" s="19" t="s">
        <v>379</v>
      </c>
      <c r="H501" s="19">
        <v>294.5</v>
      </c>
      <c r="I501" s="41">
        <v>15292</v>
      </c>
      <c r="J501" s="42"/>
      <c r="K501" s="43"/>
      <c r="L501" s="42"/>
      <c r="M501" s="44"/>
      <c r="N501" s="45"/>
      <c r="O501" s="46">
        <f t="shared" ref="O501:O505" si="283">SUM(I501)</f>
        <v>15292</v>
      </c>
      <c r="P501" s="48"/>
      <c r="Q501" s="48"/>
      <c r="R501" s="78">
        <f t="shared" si="278"/>
        <v>9954.38068181818</v>
      </c>
      <c r="S501" s="78"/>
      <c r="T501" s="79">
        <f t="shared" si="279"/>
        <v>13.9801136363636</v>
      </c>
      <c r="U501" s="78"/>
      <c r="V501" s="78"/>
      <c r="W501" s="80">
        <f t="shared" si="273"/>
        <v>9968.36079545455</v>
      </c>
      <c r="X501" s="81">
        <f t="shared" si="280"/>
        <v>232.373238636364</v>
      </c>
      <c r="Y501" s="81"/>
      <c r="Z501" s="81"/>
      <c r="AA501" s="110">
        <f t="shared" si="274"/>
        <v>232.373238636364</v>
      </c>
      <c r="AB501" s="90">
        <v>7.19</v>
      </c>
      <c r="AC501" s="78">
        <f t="shared" si="277"/>
        <v>1670.76358579545</v>
      </c>
      <c r="AD501" s="78">
        <f t="shared" si="275"/>
        <v>11639.12438125</v>
      </c>
      <c r="AE501" s="78">
        <f t="shared" si="276"/>
        <v>3652.87561875</v>
      </c>
    </row>
    <row r="502" customFormat="1" spans="1:31">
      <c r="A502" s="18"/>
      <c r="B502" s="19"/>
      <c r="C502" s="20">
        <v>240313000033</v>
      </c>
      <c r="D502" s="21">
        <v>45371</v>
      </c>
      <c r="E502" s="21" t="s">
        <v>37</v>
      </c>
      <c r="F502" s="19" t="s">
        <v>38</v>
      </c>
      <c r="G502" s="19" t="s">
        <v>380</v>
      </c>
      <c r="H502" s="19">
        <v>483</v>
      </c>
      <c r="I502" s="46"/>
      <c r="J502" s="54">
        <v>4378547.2</v>
      </c>
      <c r="K502" s="55"/>
      <c r="L502" s="50">
        <f>SUM(J502/M502)</f>
        <v>1360</v>
      </c>
      <c r="M502" s="52">
        <v>3219.52</v>
      </c>
      <c r="N502" s="45">
        <v>7.19</v>
      </c>
      <c r="O502" s="46">
        <f t="shared" si="282"/>
        <v>23148.3488</v>
      </c>
      <c r="P502" s="48"/>
      <c r="Q502" s="48"/>
      <c r="R502" s="78">
        <f t="shared" si="278"/>
        <v>16325.8603372434</v>
      </c>
      <c r="S502" s="78"/>
      <c r="T502" s="79">
        <f t="shared" si="279"/>
        <v>22.9283357771261</v>
      </c>
      <c r="U502" s="79">
        <v>280</v>
      </c>
      <c r="V502" s="78"/>
      <c r="W502" s="80">
        <f t="shared" si="273"/>
        <v>16628.7886730205</v>
      </c>
      <c r="X502" s="81">
        <f t="shared" si="280"/>
        <v>381.107892228739</v>
      </c>
      <c r="Y502" s="81"/>
      <c r="Z502" s="81"/>
      <c r="AA502" s="110">
        <f t="shared" si="274"/>
        <v>381.107892228739</v>
      </c>
      <c r="AB502" s="90">
        <v>7.19</v>
      </c>
      <c r="AC502" s="78">
        <f t="shared" si="277"/>
        <v>2740.16574512463</v>
      </c>
      <c r="AD502" s="78">
        <f t="shared" si="275"/>
        <v>19368.9544181452</v>
      </c>
      <c r="AE502" s="78">
        <f t="shared" si="276"/>
        <v>3779.39438185484</v>
      </c>
    </row>
    <row r="503" customFormat="1" spans="1:31">
      <c r="A503" s="18"/>
      <c r="B503" s="19"/>
      <c r="C503" s="20">
        <v>240313000036</v>
      </c>
      <c r="D503" s="21">
        <v>45371</v>
      </c>
      <c r="E503" s="21" t="s">
        <v>44</v>
      </c>
      <c r="F503" s="19" t="s">
        <v>45</v>
      </c>
      <c r="G503" s="19" t="s">
        <v>307</v>
      </c>
      <c r="H503" s="19">
        <v>65.5</v>
      </c>
      <c r="I503" s="41">
        <v>3080</v>
      </c>
      <c r="J503" s="53"/>
      <c r="K503" s="51"/>
      <c r="L503" s="53"/>
      <c r="M503" s="44"/>
      <c r="N503" s="45"/>
      <c r="O503" s="46">
        <f t="shared" si="283"/>
        <v>3080</v>
      </c>
      <c r="P503" s="48"/>
      <c r="Q503" s="48"/>
      <c r="R503" s="78">
        <f t="shared" si="278"/>
        <v>2213.96242668622</v>
      </c>
      <c r="S503" s="78"/>
      <c r="T503" s="79">
        <f t="shared" si="279"/>
        <v>3.10932917888563</v>
      </c>
      <c r="U503" s="78">
        <v>80</v>
      </c>
      <c r="V503" s="78"/>
      <c r="W503" s="80">
        <f t="shared" si="273"/>
        <v>2297.0717558651</v>
      </c>
      <c r="X503" s="81">
        <f t="shared" si="280"/>
        <v>51.6823332111437</v>
      </c>
      <c r="Y503" s="81"/>
      <c r="Z503" s="81"/>
      <c r="AA503" s="110">
        <f t="shared" si="274"/>
        <v>51.6823332111437</v>
      </c>
      <c r="AB503" s="90">
        <v>7.19</v>
      </c>
      <c r="AC503" s="78">
        <f t="shared" si="277"/>
        <v>371.595975788123</v>
      </c>
      <c r="AD503" s="78">
        <f t="shared" si="275"/>
        <v>2668.66773165323</v>
      </c>
      <c r="AE503" s="78">
        <f t="shared" si="276"/>
        <v>411.33226834677</v>
      </c>
    </row>
    <row r="504" customFormat="1" spans="1:31">
      <c r="A504" s="18"/>
      <c r="B504" s="19"/>
      <c r="C504" s="20">
        <v>240313000037</v>
      </c>
      <c r="D504" s="21">
        <v>45371</v>
      </c>
      <c r="E504" s="21" t="s">
        <v>85</v>
      </c>
      <c r="F504" s="19" t="s">
        <v>260</v>
      </c>
      <c r="G504" s="19" t="s">
        <v>381</v>
      </c>
      <c r="H504" s="19">
        <v>0.91</v>
      </c>
      <c r="I504" s="46"/>
      <c r="J504" s="54">
        <v>11205</v>
      </c>
      <c r="K504" s="55"/>
      <c r="L504" s="50">
        <f>SUM(J504/M504)</f>
        <v>1490.02659574468</v>
      </c>
      <c r="M504" s="52">
        <v>7.52</v>
      </c>
      <c r="N504" s="45">
        <v>7.19</v>
      </c>
      <c r="O504" s="46">
        <f t="shared" si="282"/>
        <v>54.0688</v>
      </c>
      <c r="P504" s="48"/>
      <c r="Q504" s="48"/>
      <c r="R504" s="78">
        <f t="shared" si="278"/>
        <v>30.7588673020528</v>
      </c>
      <c r="S504" s="78"/>
      <c r="T504" s="79">
        <f t="shared" si="279"/>
        <v>0.0431983137829912</v>
      </c>
      <c r="U504" s="78"/>
      <c r="V504" s="78"/>
      <c r="W504" s="80">
        <f t="shared" si="273"/>
        <v>30.8020656158358</v>
      </c>
      <c r="X504" s="81">
        <f t="shared" si="280"/>
        <v>0.718029362170088</v>
      </c>
      <c r="Y504" s="81"/>
      <c r="Z504" s="81"/>
      <c r="AA504" s="110">
        <f t="shared" si="274"/>
        <v>0.718029362170088</v>
      </c>
      <c r="AB504" s="90">
        <v>7.19</v>
      </c>
      <c r="AC504" s="78">
        <f t="shared" si="277"/>
        <v>5.16263111400293</v>
      </c>
      <c r="AD504" s="78">
        <f t="shared" si="275"/>
        <v>35.9646967298387</v>
      </c>
      <c r="AE504" s="78">
        <f t="shared" si="276"/>
        <v>18.1041032701613</v>
      </c>
    </row>
    <row r="505" customFormat="1" spans="1:31">
      <c r="A505" s="18"/>
      <c r="B505" s="19"/>
      <c r="C505" s="20">
        <v>240314000003</v>
      </c>
      <c r="D505" s="21">
        <v>45371</v>
      </c>
      <c r="E505" s="21" t="s">
        <v>37</v>
      </c>
      <c r="F505" s="19" t="s">
        <v>38</v>
      </c>
      <c r="G505" s="19" t="s">
        <v>39</v>
      </c>
      <c r="H505" s="19">
        <v>8.5</v>
      </c>
      <c r="I505" s="41">
        <v>405.5</v>
      </c>
      <c r="J505" s="53"/>
      <c r="K505" s="51"/>
      <c r="L505" s="53"/>
      <c r="M505" s="44"/>
      <c r="N505" s="45"/>
      <c r="O505" s="46">
        <f t="shared" si="283"/>
        <v>405.5</v>
      </c>
      <c r="P505" s="48"/>
      <c r="Q505" s="48"/>
      <c r="R505" s="78">
        <f t="shared" si="278"/>
        <v>287.308101173021</v>
      </c>
      <c r="S505" s="78"/>
      <c r="T505" s="79">
        <f t="shared" si="279"/>
        <v>0.40350073313783</v>
      </c>
      <c r="U505" s="78"/>
      <c r="V505" s="78"/>
      <c r="W505" s="80">
        <f t="shared" si="273"/>
        <v>287.711601906158</v>
      </c>
      <c r="X505" s="81">
        <f t="shared" si="280"/>
        <v>6.7068676686217</v>
      </c>
      <c r="Y505" s="81"/>
      <c r="Z505" s="81"/>
      <c r="AA505" s="110">
        <f t="shared" si="274"/>
        <v>6.7068676686217</v>
      </c>
      <c r="AB505" s="90">
        <v>7.19</v>
      </c>
      <c r="AC505" s="78">
        <f t="shared" si="277"/>
        <v>48.22237853739</v>
      </c>
      <c r="AD505" s="78">
        <f t="shared" si="275"/>
        <v>335.933980443548</v>
      </c>
      <c r="AE505" s="78">
        <f t="shared" si="276"/>
        <v>69.566019556452</v>
      </c>
    </row>
    <row r="506" customFormat="1" spans="1:31">
      <c r="A506" s="18"/>
      <c r="B506" s="19"/>
      <c r="C506" s="20">
        <v>240314000004</v>
      </c>
      <c r="D506" s="21">
        <v>45371</v>
      </c>
      <c r="E506" s="21" t="s">
        <v>37</v>
      </c>
      <c r="F506" s="19" t="s">
        <v>38</v>
      </c>
      <c r="G506" s="19" t="s">
        <v>150</v>
      </c>
      <c r="H506" s="19">
        <v>17</v>
      </c>
      <c r="I506" s="46"/>
      <c r="J506" s="104"/>
      <c r="K506" s="93">
        <v>107.44</v>
      </c>
      <c r="L506" s="50"/>
      <c r="M506" s="52">
        <v>107.44</v>
      </c>
      <c r="N506" s="45">
        <v>7.19</v>
      </c>
      <c r="O506" s="46">
        <f>SUM(M506*N506)</f>
        <v>772.4936</v>
      </c>
      <c r="P506" s="48"/>
      <c r="Q506" s="48"/>
      <c r="R506" s="78">
        <f t="shared" si="278"/>
        <v>574.616202346041</v>
      </c>
      <c r="S506" s="78"/>
      <c r="T506" s="79">
        <f t="shared" si="279"/>
        <v>0.80700146627566</v>
      </c>
      <c r="U506" s="78"/>
      <c r="V506" s="78"/>
      <c r="W506" s="80">
        <f t="shared" si="273"/>
        <v>575.423203812317</v>
      </c>
      <c r="X506" s="81">
        <f t="shared" si="280"/>
        <v>13.4137353372434</v>
      </c>
      <c r="Y506" s="81"/>
      <c r="Z506" s="81"/>
      <c r="AA506" s="110">
        <f t="shared" si="274"/>
        <v>13.4137353372434</v>
      </c>
      <c r="AB506" s="90">
        <v>7.19</v>
      </c>
      <c r="AC506" s="78">
        <f t="shared" si="277"/>
        <v>96.4447570747801</v>
      </c>
      <c r="AD506" s="78">
        <f t="shared" si="275"/>
        <v>671.867960887097</v>
      </c>
      <c r="AE506" s="78">
        <f t="shared" si="276"/>
        <v>100.625639112903</v>
      </c>
    </row>
    <row r="507" customFormat="1" spans="1:31">
      <c r="A507" s="18"/>
      <c r="B507" s="19"/>
      <c r="C507" s="20">
        <v>240314000006</v>
      </c>
      <c r="D507" s="21">
        <v>45371</v>
      </c>
      <c r="E507" s="21" t="s">
        <v>47</v>
      </c>
      <c r="F507" s="19" t="s">
        <v>175</v>
      </c>
      <c r="G507" s="19" t="s">
        <v>167</v>
      </c>
      <c r="H507" s="19">
        <v>0.3</v>
      </c>
      <c r="I507" s="41">
        <v>45</v>
      </c>
      <c r="J507" s="42"/>
      <c r="K507" s="43"/>
      <c r="L507" s="42"/>
      <c r="M507" s="44"/>
      <c r="N507" s="45"/>
      <c r="O507" s="46">
        <f t="shared" ref="O507:O510" si="284">SUM(I507)</f>
        <v>45</v>
      </c>
      <c r="P507" s="48"/>
      <c r="Q507" s="48"/>
      <c r="R507" s="78">
        <f t="shared" si="278"/>
        <v>10.1402859237537</v>
      </c>
      <c r="S507" s="78"/>
      <c r="T507" s="79">
        <f t="shared" si="279"/>
        <v>0.0142412023460411</v>
      </c>
      <c r="U507" s="78"/>
      <c r="V507" s="78"/>
      <c r="W507" s="80">
        <f t="shared" si="273"/>
        <v>10.1545271260997</v>
      </c>
      <c r="X507" s="81">
        <f t="shared" si="280"/>
        <v>0.236712976539589</v>
      </c>
      <c r="Y507" s="81"/>
      <c r="Z507" s="81"/>
      <c r="AA507" s="110">
        <f t="shared" si="274"/>
        <v>0.236712976539589</v>
      </c>
      <c r="AB507" s="90">
        <v>7.19</v>
      </c>
      <c r="AC507" s="78">
        <f t="shared" si="277"/>
        <v>1.70196630131965</v>
      </c>
      <c r="AD507" s="78">
        <f t="shared" si="275"/>
        <v>11.8564934274194</v>
      </c>
      <c r="AE507" s="78">
        <f t="shared" si="276"/>
        <v>33.1435065725806</v>
      </c>
    </row>
    <row r="508" customFormat="1" spans="1:31">
      <c r="A508" s="18"/>
      <c r="B508" s="19"/>
      <c r="C508" s="20">
        <v>240314000007</v>
      </c>
      <c r="D508" s="21">
        <v>45371</v>
      </c>
      <c r="E508" s="21" t="s">
        <v>44</v>
      </c>
      <c r="F508" s="19" t="s">
        <v>45</v>
      </c>
      <c r="G508" s="19" t="s">
        <v>107</v>
      </c>
      <c r="H508" s="19">
        <v>7</v>
      </c>
      <c r="I508" s="41">
        <v>374.5</v>
      </c>
      <c r="J508" s="42"/>
      <c r="K508" s="43"/>
      <c r="L508" s="42"/>
      <c r="M508" s="44"/>
      <c r="N508" s="45"/>
      <c r="O508" s="46">
        <f t="shared" si="284"/>
        <v>374.5</v>
      </c>
      <c r="P508" s="48"/>
      <c r="Q508" s="48"/>
      <c r="R508" s="78">
        <f t="shared" si="278"/>
        <v>236.606671554252</v>
      </c>
      <c r="S508" s="78"/>
      <c r="T508" s="79">
        <f t="shared" si="279"/>
        <v>0.332294721407625</v>
      </c>
      <c r="U508" s="78"/>
      <c r="V508" s="78"/>
      <c r="W508" s="80">
        <f t="shared" si="273"/>
        <v>236.93896627566</v>
      </c>
      <c r="X508" s="81">
        <f t="shared" si="280"/>
        <v>5.52330278592375</v>
      </c>
      <c r="Y508" s="81"/>
      <c r="Z508" s="81"/>
      <c r="AA508" s="110">
        <f t="shared" si="274"/>
        <v>5.52330278592375</v>
      </c>
      <c r="AB508" s="90">
        <v>7.19</v>
      </c>
      <c r="AC508" s="78">
        <f t="shared" si="277"/>
        <v>39.7125470307918</v>
      </c>
      <c r="AD508" s="78">
        <f t="shared" si="275"/>
        <v>276.651513306452</v>
      </c>
      <c r="AE508" s="78">
        <f t="shared" si="276"/>
        <v>97.8484866935484</v>
      </c>
    </row>
    <row r="509" customFormat="1" spans="1:31">
      <c r="A509" s="18"/>
      <c r="B509" s="19"/>
      <c r="C509" s="20">
        <v>240314000012</v>
      </c>
      <c r="D509" s="21">
        <v>45371</v>
      </c>
      <c r="E509" s="21" t="s">
        <v>47</v>
      </c>
      <c r="F509" s="19" t="s">
        <v>48</v>
      </c>
      <c r="G509" s="19" t="s">
        <v>318</v>
      </c>
      <c r="H509" s="19">
        <v>0.26</v>
      </c>
      <c r="I509" s="41">
        <v>26.5</v>
      </c>
      <c r="J509" s="42"/>
      <c r="K509" s="43"/>
      <c r="L509" s="42"/>
      <c r="M509" s="44"/>
      <c r="N509" s="45"/>
      <c r="O509" s="46">
        <f t="shared" si="284"/>
        <v>26.5</v>
      </c>
      <c r="P509" s="48"/>
      <c r="Q509" s="48"/>
      <c r="R509" s="78">
        <f t="shared" si="278"/>
        <v>8.78824780058651</v>
      </c>
      <c r="S509" s="78"/>
      <c r="T509" s="79">
        <f t="shared" si="279"/>
        <v>0.0123423753665689</v>
      </c>
      <c r="U509" s="78"/>
      <c r="V509" s="78"/>
      <c r="W509" s="80">
        <f t="shared" si="273"/>
        <v>8.80059017595308</v>
      </c>
      <c r="X509" s="81">
        <f t="shared" si="280"/>
        <v>0.205151246334311</v>
      </c>
      <c r="Y509" s="81"/>
      <c r="Z509" s="81"/>
      <c r="AA509" s="110">
        <f t="shared" si="274"/>
        <v>0.205151246334311</v>
      </c>
      <c r="AB509" s="90">
        <v>7.19</v>
      </c>
      <c r="AC509" s="78">
        <f t="shared" si="277"/>
        <v>1.4750374611437</v>
      </c>
      <c r="AD509" s="78">
        <f t="shared" si="275"/>
        <v>10.2756276370968</v>
      </c>
      <c r="AE509" s="78">
        <f t="shared" si="276"/>
        <v>16.2243723629032</v>
      </c>
    </row>
    <row r="510" customFormat="1" spans="1:31">
      <c r="A510" s="18"/>
      <c r="B510" s="19"/>
      <c r="C510" s="20">
        <v>240314000015</v>
      </c>
      <c r="D510" s="21">
        <v>45371</v>
      </c>
      <c r="E510" s="21" t="s">
        <v>47</v>
      </c>
      <c r="F510" s="19" t="s">
        <v>48</v>
      </c>
      <c r="G510" s="19" t="s">
        <v>382</v>
      </c>
      <c r="H510" s="19">
        <v>7</v>
      </c>
      <c r="I510" s="41">
        <v>377</v>
      </c>
      <c r="J510" s="42"/>
      <c r="K510" s="43"/>
      <c r="L510" s="42"/>
      <c r="M510" s="44"/>
      <c r="N510" s="45"/>
      <c r="O510" s="46">
        <f t="shared" si="284"/>
        <v>377</v>
      </c>
      <c r="P510" s="48"/>
      <c r="Q510" s="48"/>
      <c r="R510" s="78">
        <f t="shared" si="278"/>
        <v>236.606671554252</v>
      </c>
      <c r="S510" s="78"/>
      <c r="T510" s="79">
        <f t="shared" si="279"/>
        <v>0.332294721407625</v>
      </c>
      <c r="U510" s="78"/>
      <c r="V510" s="78"/>
      <c r="W510" s="80">
        <f t="shared" si="273"/>
        <v>236.93896627566</v>
      </c>
      <c r="X510" s="81">
        <f t="shared" si="280"/>
        <v>5.52330278592375</v>
      </c>
      <c r="Y510" s="81"/>
      <c r="Z510" s="81"/>
      <c r="AA510" s="110">
        <f t="shared" si="274"/>
        <v>5.52330278592375</v>
      </c>
      <c r="AB510" s="90">
        <v>7.19</v>
      </c>
      <c r="AC510" s="78">
        <f t="shared" si="277"/>
        <v>39.7125470307918</v>
      </c>
      <c r="AD510" s="78">
        <f t="shared" si="275"/>
        <v>276.651513306452</v>
      </c>
      <c r="AE510" s="78">
        <f t="shared" si="276"/>
        <v>100.348486693548</v>
      </c>
    </row>
    <row r="511" customFormat="1" spans="1:31">
      <c r="A511" s="18"/>
      <c r="B511" s="19"/>
      <c r="C511" s="20">
        <v>240314000016</v>
      </c>
      <c r="D511" s="21">
        <v>45371</v>
      </c>
      <c r="E511" s="21" t="s">
        <v>44</v>
      </c>
      <c r="F511" s="19" t="s">
        <v>45</v>
      </c>
      <c r="G511" s="19" t="s">
        <v>132</v>
      </c>
      <c r="H511" s="19">
        <v>41.5</v>
      </c>
      <c r="I511" s="49"/>
      <c r="J511" s="50">
        <v>341752.5</v>
      </c>
      <c r="K511" s="51"/>
      <c r="L511" s="50">
        <f t="shared" ref="L511:L516" si="285">SUM(J511/M511)</f>
        <v>1315.79909906441</v>
      </c>
      <c r="M511" s="52">
        <v>259.73</v>
      </c>
      <c r="N511" s="45">
        <v>7.19</v>
      </c>
      <c r="O511" s="46">
        <f t="shared" ref="O511:O516" si="286">SUM(M511*N511)</f>
        <v>1867.4587</v>
      </c>
      <c r="P511" s="48"/>
      <c r="Q511" s="48"/>
      <c r="R511" s="78">
        <f t="shared" si="278"/>
        <v>1402.73955278592</v>
      </c>
      <c r="S511" s="78"/>
      <c r="T511" s="79">
        <f t="shared" si="279"/>
        <v>1.97003299120235</v>
      </c>
      <c r="U511" s="78"/>
      <c r="V511" s="78"/>
      <c r="W511" s="80">
        <f t="shared" si="273"/>
        <v>1404.70958577713</v>
      </c>
      <c r="X511" s="81">
        <f t="shared" si="280"/>
        <v>32.7452950879765</v>
      </c>
      <c r="Y511" s="81"/>
      <c r="Z511" s="81"/>
      <c r="AA511" s="110">
        <f t="shared" si="274"/>
        <v>32.7452950879765</v>
      </c>
      <c r="AB511" s="90">
        <v>7.19</v>
      </c>
      <c r="AC511" s="78">
        <f t="shared" si="277"/>
        <v>235.438671682551</v>
      </c>
      <c r="AD511" s="78">
        <f t="shared" si="275"/>
        <v>1640.14825745968</v>
      </c>
      <c r="AE511" s="78">
        <f t="shared" si="276"/>
        <v>227.310442540322</v>
      </c>
    </row>
    <row r="512" customFormat="1" spans="1:31">
      <c r="A512" s="18"/>
      <c r="B512" s="19"/>
      <c r="C512" s="20">
        <v>240314000019</v>
      </c>
      <c r="D512" s="21">
        <v>45371</v>
      </c>
      <c r="E512" s="21" t="s">
        <v>44</v>
      </c>
      <c r="F512" s="19" t="s">
        <v>45</v>
      </c>
      <c r="G512" s="19" t="s">
        <v>101</v>
      </c>
      <c r="H512" s="19">
        <v>1.5</v>
      </c>
      <c r="I512" s="46"/>
      <c r="J512" s="54">
        <v>23691</v>
      </c>
      <c r="K512" s="55"/>
      <c r="L512" s="50">
        <f t="shared" si="285"/>
        <v>1490</v>
      </c>
      <c r="M512" s="52">
        <v>15.9</v>
      </c>
      <c r="N512" s="104">
        <v>7.19</v>
      </c>
      <c r="O512" s="46">
        <f t="shared" si="286"/>
        <v>114.321</v>
      </c>
      <c r="P512" s="48"/>
      <c r="Q512" s="48"/>
      <c r="R512" s="78">
        <f t="shared" si="278"/>
        <v>50.7014296187683</v>
      </c>
      <c r="S512" s="78"/>
      <c r="T512" s="79">
        <f t="shared" si="279"/>
        <v>0.0712060117302053</v>
      </c>
      <c r="U512" s="78"/>
      <c r="V512" s="78"/>
      <c r="W512" s="80">
        <f t="shared" si="273"/>
        <v>50.7726356304985</v>
      </c>
      <c r="X512" s="81">
        <f t="shared" si="280"/>
        <v>1.18356488269795</v>
      </c>
      <c r="Y512" s="81"/>
      <c r="Z512" s="81"/>
      <c r="AA512" s="110">
        <f t="shared" si="274"/>
        <v>1.18356488269795</v>
      </c>
      <c r="AB512" s="90">
        <v>7.19</v>
      </c>
      <c r="AC512" s="78">
        <f t="shared" si="277"/>
        <v>8.50983150659824</v>
      </c>
      <c r="AD512" s="78">
        <f t="shared" si="275"/>
        <v>59.2824671370968</v>
      </c>
      <c r="AE512" s="78">
        <f t="shared" si="276"/>
        <v>55.0385328629032</v>
      </c>
    </row>
    <row r="513" customFormat="1" spans="1:31">
      <c r="A513" s="18"/>
      <c r="B513" s="19"/>
      <c r="C513" s="20">
        <v>240314000020</v>
      </c>
      <c r="D513" s="21">
        <v>45371</v>
      </c>
      <c r="E513" s="21" t="s">
        <v>44</v>
      </c>
      <c r="F513" s="19" t="s">
        <v>45</v>
      </c>
      <c r="G513" s="19" t="s">
        <v>113</v>
      </c>
      <c r="H513" s="19">
        <v>12.5</v>
      </c>
      <c r="I513" s="41">
        <v>562.5</v>
      </c>
      <c r="J513" s="42"/>
      <c r="K513" s="43"/>
      <c r="L513" s="42"/>
      <c r="M513" s="44"/>
      <c r="N513" s="45"/>
      <c r="O513" s="46">
        <f t="shared" ref="O513:O519" si="287">SUM(I513)</f>
        <v>562.5</v>
      </c>
      <c r="P513" s="48"/>
      <c r="Q513" s="48"/>
      <c r="R513" s="78">
        <f t="shared" si="278"/>
        <v>422.511913489736</v>
      </c>
      <c r="S513" s="78"/>
      <c r="T513" s="79">
        <f t="shared" si="279"/>
        <v>0.593383431085044</v>
      </c>
      <c r="U513" s="78"/>
      <c r="V513" s="78"/>
      <c r="W513" s="80">
        <f t="shared" si="273"/>
        <v>423.105296920821</v>
      </c>
      <c r="X513" s="81">
        <f t="shared" si="280"/>
        <v>9.86304068914956</v>
      </c>
      <c r="Y513" s="81"/>
      <c r="Z513" s="81"/>
      <c r="AA513" s="110">
        <f t="shared" si="274"/>
        <v>9.86304068914956</v>
      </c>
      <c r="AB513" s="90">
        <v>7.19</v>
      </c>
      <c r="AC513" s="78">
        <f t="shared" si="277"/>
        <v>70.9152625549854</v>
      </c>
      <c r="AD513" s="78">
        <f t="shared" si="275"/>
        <v>494.020559475807</v>
      </c>
      <c r="AE513" s="78">
        <f t="shared" si="276"/>
        <v>68.4794405241935</v>
      </c>
    </row>
    <row r="514" customFormat="1" spans="1:31">
      <c r="A514" s="18"/>
      <c r="B514" s="19"/>
      <c r="C514" s="20">
        <v>240314000021</v>
      </c>
      <c r="D514" s="21">
        <v>45371</v>
      </c>
      <c r="E514" s="21" t="s">
        <v>44</v>
      </c>
      <c r="F514" s="19" t="s">
        <v>45</v>
      </c>
      <c r="G514" s="19" t="s">
        <v>383</v>
      </c>
      <c r="H514" s="19">
        <v>91</v>
      </c>
      <c r="I514" s="49"/>
      <c r="J514" s="50">
        <v>796250</v>
      </c>
      <c r="K514" s="91"/>
      <c r="L514" s="50">
        <f t="shared" si="285"/>
        <v>1258.25669226636</v>
      </c>
      <c r="M514" s="52">
        <v>632.82</v>
      </c>
      <c r="N514" s="45">
        <v>7.19</v>
      </c>
      <c r="O514" s="46">
        <f t="shared" si="286"/>
        <v>4549.9758</v>
      </c>
      <c r="P514" s="48"/>
      <c r="Q514" s="48"/>
      <c r="R514" s="78">
        <f t="shared" si="278"/>
        <v>3075.88673020528</v>
      </c>
      <c r="S514" s="78"/>
      <c r="T514" s="79">
        <f t="shared" si="279"/>
        <v>4.31983137829912</v>
      </c>
      <c r="U514" s="78"/>
      <c r="V514" s="78"/>
      <c r="W514" s="80">
        <f t="shared" si="273"/>
        <v>3080.20656158358</v>
      </c>
      <c r="X514" s="81">
        <f t="shared" si="280"/>
        <v>71.8029362170088</v>
      </c>
      <c r="Y514" s="81"/>
      <c r="Z514" s="81"/>
      <c r="AA514" s="110">
        <f t="shared" si="274"/>
        <v>71.8029362170088</v>
      </c>
      <c r="AB514" s="90">
        <v>7.19</v>
      </c>
      <c r="AC514" s="78">
        <f t="shared" si="277"/>
        <v>516.263111400293</v>
      </c>
      <c r="AD514" s="78">
        <f t="shared" si="275"/>
        <v>3596.46967298387</v>
      </c>
      <c r="AE514" s="78">
        <f t="shared" si="276"/>
        <v>953.506127016129</v>
      </c>
    </row>
    <row r="515" customFormat="1" spans="1:31">
      <c r="A515" s="18"/>
      <c r="B515" s="19"/>
      <c r="C515" s="22">
        <v>240314000022</v>
      </c>
      <c r="D515" s="23">
        <v>45371</v>
      </c>
      <c r="E515" s="21" t="s">
        <v>44</v>
      </c>
      <c r="F515" s="24" t="s">
        <v>45</v>
      </c>
      <c r="G515" s="24" t="s">
        <v>384</v>
      </c>
      <c r="H515" s="24">
        <v>0.3</v>
      </c>
      <c r="I515" s="49"/>
      <c r="J515" s="50">
        <v>12095</v>
      </c>
      <c r="K515" s="51"/>
      <c r="L515" s="50">
        <f t="shared" si="285"/>
        <v>1475</v>
      </c>
      <c r="M515" s="52">
        <v>8.2</v>
      </c>
      <c r="N515" s="45">
        <v>7.19</v>
      </c>
      <c r="O515" s="46">
        <f t="shared" si="286"/>
        <v>58.958</v>
      </c>
      <c r="P515" s="48"/>
      <c r="Q515" s="48"/>
      <c r="R515" s="78">
        <f t="shared" si="278"/>
        <v>10.1402859237537</v>
      </c>
      <c r="S515" s="78"/>
      <c r="T515" s="79">
        <f t="shared" si="279"/>
        <v>0.0142412023460411</v>
      </c>
      <c r="U515" s="78"/>
      <c r="V515" s="78"/>
      <c r="W515" s="80">
        <f t="shared" si="273"/>
        <v>10.1545271260997</v>
      </c>
      <c r="X515" s="81">
        <f t="shared" si="280"/>
        <v>0.236712976539589</v>
      </c>
      <c r="Y515" s="81"/>
      <c r="Z515" s="81"/>
      <c r="AA515" s="110">
        <f t="shared" si="274"/>
        <v>0.236712976539589</v>
      </c>
      <c r="AB515" s="90">
        <v>7.19</v>
      </c>
      <c r="AC515" s="78">
        <f t="shared" si="277"/>
        <v>1.70196630131965</v>
      </c>
      <c r="AD515" s="78">
        <f t="shared" si="275"/>
        <v>11.8564934274194</v>
      </c>
      <c r="AE515" s="78">
        <f t="shared" si="276"/>
        <v>47.1015065725806</v>
      </c>
    </row>
    <row r="516" customFormat="1" spans="1:31">
      <c r="A516" s="18"/>
      <c r="B516" s="19"/>
      <c r="C516" s="20">
        <v>240314000023</v>
      </c>
      <c r="D516" s="21">
        <v>45371</v>
      </c>
      <c r="E516" s="21" t="s">
        <v>44</v>
      </c>
      <c r="F516" s="19" t="s">
        <v>45</v>
      </c>
      <c r="G516" s="19" t="s">
        <v>385</v>
      </c>
      <c r="H516" s="19">
        <v>4.5</v>
      </c>
      <c r="I516" s="49"/>
      <c r="J516" s="50">
        <v>46740</v>
      </c>
      <c r="K516" s="91"/>
      <c r="L516" s="50">
        <f t="shared" si="285"/>
        <v>1473.98297067171</v>
      </c>
      <c r="M516" s="52">
        <v>31.71</v>
      </c>
      <c r="N516" s="45">
        <v>7.19</v>
      </c>
      <c r="O516" s="46">
        <f t="shared" si="286"/>
        <v>227.9949</v>
      </c>
      <c r="P516" s="48"/>
      <c r="Q516" s="48"/>
      <c r="R516" s="78">
        <f t="shared" si="278"/>
        <v>152.104288856305</v>
      </c>
      <c r="S516" s="78"/>
      <c r="T516" s="79">
        <f t="shared" si="279"/>
        <v>0.213618035190616</v>
      </c>
      <c r="U516" s="78"/>
      <c r="V516" s="78"/>
      <c r="W516" s="80">
        <f t="shared" si="273"/>
        <v>152.317906891496</v>
      </c>
      <c r="X516" s="81">
        <f t="shared" si="280"/>
        <v>3.55069464809384</v>
      </c>
      <c r="Y516" s="81"/>
      <c r="Z516" s="81"/>
      <c r="AA516" s="110">
        <f t="shared" si="274"/>
        <v>3.55069464809384</v>
      </c>
      <c r="AB516" s="90">
        <v>7.19</v>
      </c>
      <c r="AC516" s="78">
        <f t="shared" si="277"/>
        <v>25.5294945197947</v>
      </c>
      <c r="AD516" s="78">
        <f t="shared" si="275"/>
        <v>177.84740141129</v>
      </c>
      <c r="AE516" s="78">
        <f t="shared" si="276"/>
        <v>50.1474985887097</v>
      </c>
    </row>
    <row r="517" customFormat="1" spans="1:31">
      <c r="A517" s="18"/>
      <c r="B517" s="19"/>
      <c r="C517" s="20">
        <v>240314000024</v>
      </c>
      <c r="D517" s="21">
        <v>45371</v>
      </c>
      <c r="E517" s="21" t="s">
        <v>44</v>
      </c>
      <c r="F517" s="19" t="s">
        <v>45</v>
      </c>
      <c r="G517" s="19" t="s">
        <v>153</v>
      </c>
      <c r="H517" s="19">
        <v>112</v>
      </c>
      <c r="I517" s="41">
        <v>5949.5</v>
      </c>
      <c r="J517" s="53"/>
      <c r="K517" s="51"/>
      <c r="L517" s="53"/>
      <c r="M517" s="44"/>
      <c r="N517" s="45"/>
      <c r="O517" s="46">
        <f t="shared" si="287"/>
        <v>5949.5</v>
      </c>
      <c r="P517" s="48"/>
      <c r="Q517" s="48"/>
      <c r="R517" s="78">
        <f t="shared" si="278"/>
        <v>3785.70674486804</v>
      </c>
      <c r="S517" s="78"/>
      <c r="T517" s="79">
        <f t="shared" si="279"/>
        <v>5.31671554252199</v>
      </c>
      <c r="U517" s="79">
        <v>80</v>
      </c>
      <c r="V517" s="78"/>
      <c r="W517" s="80">
        <f t="shared" si="273"/>
        <v>3871.02346041056</v>
      </c>
      <c r="X517" s="81">
        <f t="shared" si="280"/>
        <v>88.3728445747801</v>
      </c>
      <c r="Y517" s="81"/>
      <c r="Z517" s="81"/>
      <c r="AA517" s="110">
        <f t="shared" si="274"/>
        <v>88.3728445747801</v>
      </c>
      <c r="AB517" s="90">
        <v>7.19</v>
      </c>
      <c r="AC517" s="78">
        <f t="shared" si="277"/>
        <v>635.400752492669</v>
      </c>
      <c r="AD517" s="78">
        <f t="shared" si="275"/>
        <v>4506.42421290323</v>
      </c>
      <c r="AE517" s="78">
        <f t="shared" si="276"/>
        <v>1443.07578709677</v>
      </c>
    </row>
    <row r="518" customFormat="1" spans="1:31">
      <c r="A518" s="18"/>
      <c r="B518" s="19"/>
      <c r="C518" s="20">
        <v>240314000028</v>
      </c>
      <c r="D518" s="21">
        <v>45371</v>
      </c>
      <c r="E518" s="21" t="s">
        <v>47</v>
      </c>
      <c r="F518" s="19" t="s">
        <v>48</v>
      </c>
      <c r="G518" s="19" t="s">
        <v>386</v>
      </c>
      <c r="H518" s="19">
        <v>2.5</v>
      </c>
      <c r="I518" s="41">
        <v>193.6</v>
      </c>
      <c r="J518" s="42"/>
      <c r="K518" s="43"/>
      <c r="L518" s="42"/>
      <c r="M518" s="44"/>
      <c r="N518" s="45"/>
      <c r="O518" s="46">
        <f t="shared" si="287"/>
        <v>193.6</v>
      </c>
      <c r="P518" s="48"/>
      <c r="Q518" s="48"/>
      <c r="R518" s="78">
        <f t="shared" si="278"/>
        <v>84.5023826979472</v>
      </c>
      <c r="S518" s="78"/>
      <c r="T518" s="79">
        <f t="shared" si="279"/>
        <v>0.118676686217009</v>
      </c>
      <c r="U518" s="78"/>
      <c r="V518" s="78"/>
      <c r="W518" s="80">
        <f t="shared" si="273"/>
        <v>84.6210593841642</v>
      </c>
      <c r="X518" s="81">
        <f t="shared" si="280"/>
        <v>1.97260813782991</v>
      </c>
      <c r="Y518" s="81">
        <v>5.56</v>
      </c>
      <c r="Z518" s="81"/>
      <c r="AA518" s="110">
        <f t="shared" si="274"/>
        <v>7.53260813782991</v>
      </c>
      <c r="AB518" s="90">
        <v>7.19</v>
      </c>
      <c r="AC518" s="78">
        <f t="shared" si="277"/>
        <v>54.1594525109971</v>
      </c>
      <c r="AD518" s="78">
        <f t="shared" si="275"/>
        <v>138.780511895161</v>
      </c>
      <c r="AE518" s="78">
        <f t="shared" si="276"/>
        <v>54.8194881048387</v>
      </c>
    </row>
    <row r="519" customFormat="1" spans="1:31">
      <c r="A519" s="18"/>
      <c r="B519" s="19"/>
      <c r="C519" s="20">
        <v>240314000032</v>
      </c>
      <c r="D519" s="21">
        <v>45371</v>
      </c>
      <c r="E519" s="21" t="s">
        <v>70</v>
      </c>
      <c r="F519" s="19" t="s">
        <v>70</v>
      </c>
      <c r="G519" s="19" t="s">
        <v>142</v>
      </c>
      <c r="H519" s="19">
        <v>6.5</v>
      </c>
      <c r="I519" s="41">
        <v>387.5</v>
      </c>
      <c r="J519" s="53"/>
      <c r="K519" s="51"/>
      <c r="L519" s="53"/>
      <c r="M519" s="44"/>
      <c r="N519" s="45"/>
      <c r="O519" s="46">
        <f t="shared" si="287"/>
        <v>387.5</v>
      </c>
      <c r="P519" s="48"/>
      <c r="Q519" s="48"/>
      <c r="R519" s="78">
        <f t="shared" si="278"/>
        <v>219.706195014663</v>
      </c>
      <c r="S519" s="78"/>
      <c r="T519" s="79">
        <f t="shared" si="279"/>
        <v>0.308559384164223</v>
      </c>
      <c r="U519" s="78"/>
      <c r="V519" s="78"/>
      <c r="W519" s="80">
        <f t="shared" si="273"/>
        <v>220.014754398827</v>
      </c>
      <c r="X519" s="81">
        <f t="shared" si="280"/>
        <v>5.12878115835777</v>
      </c>
      <c r="Y519" s="81"/>
      <c r="Z519" s="81"/>
      <c r="AA519" s="110">
        <f t="shared" si="274"/>
        <v>5.12878115835777</v>
      </c>
      <c r="AB519" s="90">
        <v>7.19</v>
      </c>
      <c r="AC519" s="78">
        <f t="shared" si="277"/>
        <v>36.8759365285924</v>
      </c>
      <c r="AD519" s="78">
        <f t="shared" si="275"/>
        <v>256.890690927419</v>
      </c>
      <c r="AE519" s="78">
        <f t="shared" si="276"/>
        <v>130.609309072581</v>
      </c>
    </row>
    <row r="520" customFormat="1" spans="1:31">
      <c r="A520" s="18"/>
      <c r="B520" s="19"/>
      <c r="C520" s="20">
        <v>240314000039</v>
      </c>
      <c r="D520" s="21">
        <v>45371</v>
      </c>
      <c r="E520" s="21" t="s">
        <v>41</v>
      </c>
      <c r="F520" s="19" t="s">
        <v>42</v>
      </c>
      <c r="G520" s="19" t="s">
        <v>139</v>
      </c>
      <c r="H520" s="19">
        <v>1.5</v>
      </c>
      <c r="I520" s="46"/>
      <c r="J520" s="54">
        <v>16450</v>
      </c>
      <c r="K520" s="55"/>
      <c r="L520" s="50">
        <f>SUM(J520/M520)</f>
        <v>1490.03623188406</v>
      </c>
      <c r="M520" s="52">
        <v>11.04</v>
      </c>
      <c r="N520" s="45">
        <v>7.19</v>
      </c>
      <c r="O520" s="46">
        <f>SUM(M520*N520)</f>
        <v>79.3776</v>
      </c>
      <c r="P520" s="48"/>
      <c r="Q520" s="48"/>
      <c r="R520" s="78">
        <f t="shared" si="278"/>
        <v>50.7014296187683</v>
      </c>
      <c r="S520" s="78"/>
      <c r="T520" s="79">
        <f t="shared" si="279"/>
        <v>0.0712060117302053</v>
      </c>
      <c r="U520" s="78"/>
      <c r="V520" s="78"/>
      <c r="W520" s="80">
        <f t="shared" si="273"/>
        <v>50.7726356304985</v>
      </c>
      <c r="X520" s="81">
        <f t="shared" si="280"/>
        <v>1.18356488269795</v>
      </c>
      <c r="Y520" s="81"/>
      <c r="Z520" s="81"/>
      <c r="AA520" s="110">
        <f t="shared" si="274"/>
        <v>1.18356488269795</v>
      </c>
      <c r="AB520" s="90">
        <v>7.19</v>
      </c>
      <c r="AC520" s="78">
        <f t="shared" si="277"/>
        <v>8.50983150659824</v>
      </c>
      <c r="AD520" s="78">
        <f t="shared" si="275"/>
        <v>59.2824671370968</v>
      </c>
      <c r="AE520" s="78">
        <f t="shared" si="276"/>
        <v>20.0951328629032</v>
      </c>
    </row>
    <row r="521" customFormat="1" spans="1:31">
      <c r="A521" s="18"/>
      <c r="B521" s="19"/>
      <c r="C521" s="20">
        <v>240314000040</v>
      </c>
      <c r="D521" s="21">
        <v>45371</v>
      </c>
      <c r="E521" s="21" t="s">
        <v>70</v>
      </c>
      <c r="F521" s="19" t="s">
        <v>70</v>
      </c>
      <c r="G521" s="19" t="s">
        <v>142</v>
      </c>
      <c r="H521" s="19">
        <v>49</v>
      </c>
      <c r="I521" s="41">
        <v>2305</v>
      </c>
      <c r="J521" s="53"/>
      <c r="K521" s="51"/>
      <c r="L521" s="53"/>
      <c r="M521" s="44"/>
      <c r="N521" s="45"/>
      <c r="O521" s="46">
        <f t="shared" ref="O521:O523" si="288">SUM(I521)</f>
        <v>2305</v>
      </c>
      <c r="P521" s="48"/>
      <c r="Q521" s="48"/>
      <c r="R521" s="78">
        <f t="shared" si="278"/>
        <v>1656.24670087977</v>
      </c>
      <c r="S521" s="78"/>
      <c r="T521" s="79">
        <f t="shared" si="279"/>
        <v>2.32606304985337</v>
      </c>
      <c r="U521" s="78"/>
      <c r="V521" s="78"/>
      <c r="W521" s="80">
        <f t="shared" si="273"/>
        <v>1658.57276392962</v>
      </c>
      <c r="X521" s="81">
        <f t="shared" si="280"/>
        <v>38.6631195014663</v>
      </c>
      <c r="Y521" s="81"/>
      <c r="Z521" s="81"/>
      <c r="AA521" s="110">
        <f t="shared" si="274"/>
        <v>38.6631195014663</v>
      </c>
      <c r="AB521" s="90">
        <v>7.19</v>
      </c>
      <c r="AC521" s="78">
        <f t="shared" si="277"/>
        <v>277.987829215543</v>
      </c>
      <c r="AD521" s="78">
        <f t="shared" si="275"/>
        <v>1936.56059314516</v>
      </c>
      <c r="AE521" s="78">
        <f t="shared" si="276"/>
        <v>368.439406854838</v>
      </c>
    </row>
    <row r="522" customFormat="1" spans="1:31">
      <c r="A522" s="18"/>
      <c r="B522" s="19"/>
      <c r="C522" s="20">
        <v>240315000007</v>
      </c>
      <c r="D522" s="21">
        <v>45371</v>
      </c>
      <c r="E522" s="21" t="s">
        <v>41</v>
      </c>
      <c r="F522" s="19" t="s">
        <v>42</v>
      </c>
      <c r="G522" s="19" t="s">
        <v>62</v>
      </c>
      <c r="H522" s="19">
        <v>1.5</v>
      </c>
      <c r="I522" s="41">
        <v>94</v>
      </c>
      <c r="J522" s="53"/>
      <c r="K522" s="51"/>
      <c r="L522" s="53"/>
      <c r="M522" s="44"/>
      <c r="N522" s="45"/>
      <c r="O522" s="46">
        <f t="shared" si="288"/>
        <v>94</v>
      </c>
      <c r="P522" s="48"/>
      <c r="Q522" s="48"/>
      <c r="R522" s="78">
        <f t="shared" si="278"/>
        <v>50.7014296187683</v>
      </c>
      <c r="S522" s="78"/>
      <c r="T522" s="79">
        <f t="shared" si="279"/>
        <v>0.0712060117302053</v>
      </c>
      <c r="U522" s="78"/>
      <c r="V522" s="78"/>
      <c r="W522" s="80">
        <f t="shared" si="273"/>
        <v>50.7726356304985</v>
      </c>
      <c r="X522" s="81">
        <f t="shared" si="280"/>
        <v>1.18356488269795</v>
      </c>
      <c r="Y522" s="81"/>
      <c r="Z522" s="81"/>
      <c r="AA522" s="110">
        <f t="shared" si="274"/>
        <v>1.18356488269795</v>
      </c>
      <c r="AB522" s="90">
        <v>7.19</v>
      </c>
      <c r="AC522" s="78">
        <f t="shared" si="277"/>
        <v>8.50983150659824</v>
      </c>
      <c r="AD522" s="78">
        <f t="shared" si="275"/>
        <v>59.2824671370968</v>
      </c>
      <c r="AE522" s="78">
        <f t="shared" si="276"/>
        <v>34.7175328629032</v>
      </c>
    </row>
    <row r="523" customFormat="1" spans="1:31">
      <c r="A523" s="18"/>
      <c r="B523" s="19"/>
      <c r="C523" s="20">
        <v>240315000012</v>
      </c>
      <c r="D523" s="21">
        <v>45371</v>
      </c>
      <c r="E523" s="21" t="s">
        <v>44</v>
      </c>
      <c r="F523" s="19" t="s">
        <v>45</v>
      </c>
      <c r="G523" s="19" t="s">
        <v>84</v>
      </c>
      <c r="H523" s="19">
        <v>0.41</v>
      </c>
      <c r="I523" s="41">
        <v>53</v>
      </c>
      <c r="J523" s="42"/>
      <c r="K523" s="43"/>
      <c r="L523" s="42"/>
      <c r="M523" s="44"/>
      <c r="N523" s="45"/>
      <c r="O523" s="46">
        <f t="shared" si="288"/>
        <v>53</v>
      </c>
      <c r="P523" s="48"/>
      <c r="Q523" s="48"/>
      <c r="R523" s="78">
        <f t="shared" si="278"/>
        <v>13.8583907624633</v>
      </c>
      <c r="S523" s="78"/>
      <c r="T523" s="79">
        <f t="shared" si="279"/>
        <v>0.0194629765395894</v>
      </c>
      <c r="U523" s="78"/>
      <c r="V523" s="78"/>
      <c r="W523" s="80">
        <f t="shared" si="273"/>
        <v>13.8778537390029</v>
      </c>
      <c r="X523" s="81">
        <f t="shared" si="280"/>
        <v>0.323507734604106</v>
      </c>
      <c r="Y523" s="81"/>
      <c r="Z523" s="81"/>
      <c r="AA523" s="110">
        <f t="shared" si="274"/>
        <v>0.323507734604106</v>
      </c>
      <c r="AB523" s="90">
        <v>7.19</v>
      </c>
      <c r="AC523" s="78">
        <f t="shared" si="277"/>
        <v>2.32602061180352</v>
      </c>
      <c r="AD523" s="78">
        <f t="shared" si="275"/>
        <v>16.2038743508065</v>
      </c>
      <c r="AE523" s="78">
        <f t="shared" si="276"/>
        <v>36.7961256491935</v>
      </c>
    </row>
    <row r="524" customFormat="1" spans="1:31">
      <c r="A524" s="18"/>
      <c r="B524" s="19"/>
      <c r="C524" s="20">
        <v>240315000014</v>
      </c>
      <c r="D524" s="21">
        <v>45371</v>
      </c>
      <c r="E524" s="21" t="s">
        <v>51</v>
      </c>
      <c r="F524" s="19" t="s">
        <v>52</v>
      </c>
      <c r="G524" s="19" t="s">
        <v>387</v>
      </c>
      <c r="H524" s="19">
        <v>93.5</v>
      </c>
      <c r="I524" s="46"/>
      <c r="J524" s="54">
        <v>990000</v>
      </c>
      <c r="K524" s="55"/>
      <c r="L524" s="50">
        <f t="shared" ref="L524:L530" si="289">SUM(J524/M524)</f>
        <v>1650</v>
      </c>
      <c r="M524" s="52">
        <v>600</v>
      </c>
      <c r="N524" s="45">
        <v>7.19</v>
      </c>
      <c r="O524" s="46">
        <f t="shared" ref="O524:O530" si="290">SUM(M524*N524)</f>
        <v>4314</v>
      </c>
      <c r="P524" s="48"/>
      <c r="Q524" s="48"/>
      <c r="R524" s="78">
        <f t="shared" si="278"/>
        <v>3160.38911290323</v>
      </c>
      <c r="S524" s="78"/>
      <c r="T524" s="79">
        <f t="shared" si="279"/>
        <v>4.43850806451613</v>
      </c>
      <c r="U524" s="78"/>
      <c r="V524" s="78"/>
      <c r="W524" s="80">
        <f t="shared" si="273"/>
        <v>3164.82762096774</v>
      </c>
      <c r="X524" s="81">
        <f t="shared" si="280"/>
        <v>73.7755443548387</v>
      </c>
      <c r="Y524" s="81"/>
      <c r="Z524" s="81"/>
      <c r="AA524" s="110">
        <f t="shared" si="274"/>
        <v>73.7755443548387</v>
      </c>
      <c r="AB524" s="90">
        <v>7.19</v>
      </c>
      <c r="AC524" s="78">
        <f t="shared" si="277"/>
        <v>530.44616391129</v>
      </c>
      <c r="AD524" s="78">
        <f t="shared" si="275"/>
        <v>3695.27378487903</v>
      </c>
      <c r="AE524" s="78">
        <f t="shared" si="276"/>
        <v>618.726215120967</v>
      </c>
    </row>
    <row r="525" customFormat="1" spans="1:31">
      <c r="A525" s="18"/>
      <c r="B525" s="19"/>
      <c r="C525" s="20">
        <v>240315000016</v>
      </c>
      <c r="D525" s="21">
        <v>45371</v>
      </c>
      <c r="E525" s="21" t="s">
        <v>70</v>
      </c>
      <c r="F525" s="19" t="s">
        <v>70</v>
      </c>
      <c r="G525" s="19" t="s">
        <v>367</v>
      </c>
      <c r="H525" s="19">
        <v>2</v>
      </c>
      <c r="I525" s="41">
        <v>103</v>
      </c>
      <c r="J525" s="53"/>
      <c r="K525" s="51"/>
      <c r="L525" s="53"/>
      <c r="M525" s="44"/>
      <c r="N525" s="45"/>
      <c r="O525" s="46">
        <f t="shared" ref="O525:O528" si="291">SUM(I525)</f>
        <v>103</v>
      </c>
      <c r="P525" s="48"/>
      <c r="Q525" s="48"/>
      <c r="R525" s="78">
        <f t="shared" si="278"/>
        <v>67.6019061583578</v>
      </c>
      <c r="S525" s="78"/>
      <c r="T525" s="79">
        <f t="shared" si="279"/>
        <v>0.094941348973607</v>
      </c>
      <c r="U525" s="78"/>
      <c r="V525" s="78"/>
      <c r="W525" s="80">
        <f t="shared" si="273"/>
        <v>67.6968475073314</v>
      </c>
      <c r="X525" s="81">
        <f t="shared" si="280"/>
        <v>1.57808651026393</v>
      </c>
      <c r="Y525" s="81"/>
      <c r="Z525" s="81"/>
      <c r="AA525" s="110">
        <f t="shared" si="274"/>
        <v>1.57808651026393</v>
      </c>
      <c r="AB525" s="90">
        <v>7.19</v>
      </c>
      <c r="AC525" s="78">
        <f t="shared" si="277"/>
        <v>11.3464420087977</v>
      </c>
      <c r="AD525" s="78">
        <f t="shared" si="275"/>
        <v>79.043289516129</v>
      </c>
      <c r="AE525" s="78">
        <f t="shared" si="276"/>
        <v>23.956710483871</v>
      </c>
    </row>
    <row r="526" customFormat="1" spans="1:31">
      <c r="A526" s="18"/>
      <c r="B526" s="19"/>
      <c r="C526" s="20">
        <v>240315000019</v>
      </c>
      <c r="D526" s="21">
        <v>45371</v>
      </c>
      <c r="E526" s="21" t="s">
        <v>44</v>
      </c>
      <c r="F526" s="19" t="s">
        <v>45</v>
      </c>
      <c r="G526" s="19" t="s">
        <v>383</v>
      </c>
      <c r="H526" s="19">
        <v>127.5</v>
      </c>
      <c r="I526" s="49"/>
      <c r="J526" s="50">
        <v>1115625</v>
      </c>
      <c r="K526" s="91"/>
      <c r="L526" s="50">
        <f t="shared" si="289"/>
        <v>1258.26152666246</v>
      </c>
      <c r="M526" s="52">
        <v>886.64</v>
      </c>
      <c r="N526" s="45">
        <v>7.19</v>
      </c>
      <c r="O526" s="46">
        <f t="shared" si="290"/>
        <v>6374.9416</v>
      </c>
      <c r="P526" s="48"/>
      <c r="Q526" s="48"/>
      <c r="R526" s="78">
        <f t="shared" si="278"/>
        <v>4309.62151759531</v>
      </c>
      <c r="S526" s="78"/>
      <c r="T526" s="79">
        <f t="shared" si="279"/>
        <v>6.05251099706745</v>
      </c>
      <c r="U526" s="78"/>
      <c r="V526" s="78"/>
      <c r="W526" s="80">
        <f t="shared" si="273"/>
        <v>4315.67402859238</v>
      </c>
      <c r="X526" s="81">
        <f t="shared" si="280"/>
        <v>100.603015029326</v>
      </c>
      <c r="Y526" s="81"/>
      <c r="Z526" s="81"/>
      <c r="AA526" s="110">
        <f t="shared" si="274"/>
        <v>100.603015029326</v>
      </c>
      <c r="AB526" s="90">
        <v>7.19</v>
      </c>
      <c r="AC526" s="78">
        <f t="shared" si="277"/>
        <v>723.335678060851</v>
      </c>
      <c r="AD526" s="78">
        <f t="shared" si="275"/>
        <v>5039.00970665323</v>
      </c>
      <c r="AE526" s="78">
        <f t="shared" si="276"/>
        <v>1335.93189334677</v>
      </c>
    </row>
    <row r="527" customFormat="1" spans="1:31">
      <c r="A527" s="18"/>
      <c r="B527" s="19"/>
      <c r="C527" s="20">
        <v>240315000022</v>
      </c>
      <c r="D527" s="21">
        <v>45371</v>
      </c>
      <c r="E527" s="21" t="s">
        <v>70</v>
      </c>
      <c r="F527" s="19" t="s">
        <v>70</v>
      </c>
      <c r="G527" s="19" t="s">
        <v>315</v>
      </c>
      <c r="H527" s="19">
        <v>9.5</v>
      </c>
      <c r="I527" s="41">
        <v>452.5</v>
      </c>
      <c r="J527" s="53"/>
      <c r="K527" s="51"/>
      <c r="L527" s="53"/>
      <c r="M527" s="44"/>
      <c r="N527" s="45"/>
      <c r="O527" s="46">
        <f t="shared" si="291"/>
        <v>452.5</v>
      </c>
      <c r="P527" s="48"/>
      <c r="Q527" s="48"/>
      <c r="R527" s="78">
        <f t="shared" si="278"/>
        <v>321.109054252199</v>
      </c>
      <c r="S527" s="78"/>
      <c r="T527" s="79">
        <f t="shared" si="279"/>
        <v>0.450971407624633</v>
      </c>
      <c r="U527" s="78"/>
      <c r="V527" s="78"/>
      <c r="W527" s="80">
        <f t="shared" si="273"/>
        <v>321.560025659824</v>
      </c>
      <c r="X527" s="81">
        <f t="shared" si="280"/>
        <v>7.49591092375367</v>
      </c>
      <c r="Y527" s="81"/>
      <c r="Z527" s="81"/>
      <c r="AA527" s="110">
        <f t="shared" si="274"/>
        <v>7.49591092375367</v>
      </c>
      <c r="AB527" s="90">
        <v>7.19</v>
      </c>
      <c r="AC527" s="78">
        <f t="shared" si="277"/>
        <v>53.8955995417889</v>
      </c>
      <c r="AD527" s="78">
        <f t="shared" si="275"/>
        <v>375.455625201613</v>
      </c>
      <c r="AE527" s="78">
        <f t="shared" si="276"/>
        <v>77.044374798387</v>
      </c>
    </row>
    <row r="528" customFormat="1" spans="1:31">
      <c r="A528" s="18"/>
      <c r="B528" s="19"/>
      <c r="C528" s="20">
        <v>240315000024</v>
      </c>
      <c r="D528" s="21">
        <v>45371</v>
      </c>
      <c r="E528" s="21" t="s">
        <v>37</v>
      </c>
      <c r="F528" s="19" t="s">
        <v>38</v>
      </c>
      <c r="G528" s="19" t="s">
        <v>388</v>
      </c>
      <c r="H528" s="19">
        <v>397</v>
      </c>
      <c r="I528" s="41">
        <v>17446</v>
      </c>
      <c r="J528" s="42"/>
      <c r="K528" s="43"/>
      <c r="L528" s="42"/>
      <c r="M528" s="44"/>
      <c r="N528" s="45"/>
      <c r="O528" s="46">
        <f t="shared" si="291"/>
        <v>17446</v>
      </c>
      <c r="P528" s="48"/>
      <c r="Q528" s="48"/>
      <c r="R528" s="78">
        <f t="shared" si="278"/>
        <v>13418.978372434</v>
      </c>
      <c r="S528" s="78"/>
      <c r="T528" s="79">
        <f t="shared" si="279"/>
        <v>18.845857771261</v>
      </c>
      <c r="U528" s="78"/>
      <c r="V528" s="78"/>
      <c r="W528" s="80">
        <f t="shared" si="273"/>
        <v>13437.8242302053</v>
      </c>
      <c r="X528" s="81">
        <f t="shared" si="280"/>
        <v>313.25017228739</v>
      </c>
      <c r="Y528" s="81"/>
      <c r="Z528" s="81"/>
      <c r="AA528" s="110">
        <f t="shared" si="274"/>
        <v>313.25017228739</v>
      </c>
      <c r="AB528" s="90">
        <v>7.19</v>
      </c>
      <c r="AC528" s="78">
        <f t="shared" si="277"/>
        <v>2252.26873874633</v>
      </c>
      <c r="AD528" s="78">
        <f t="shared" si="275"/>
        <v>15690.0929689516</v>
      </c>
      <c r="AE528" s="78">
        <f t="shared" si="276"/>
        <v>1755.90703104838</v>
      </c>
    </row>
    <row r="529" customFormat="1" spans="1:31">
      <c r="A529" s="18"/>
      <c r="B529" s="19"/>
      <c r="C529" s="20">
        <v>240315000025</v>
      </c>
      <c r="D529" s="21">
        <v>45371</v>
      </c>
      <c r="E529" s="21" t="s">
        <v>44</v>
      </c>
      <c r="F529" s="19" t="s">
        <v>45</v>
      </c>
      <c r="G529" s="19" t="s">
        <v>133</v>
      </c>
      <c r="H529" s="19">
        <v>7.5</v>
      </c>
      <c r="I529" s="49"/>
      <c r="J529" s="50">
        <v>71910</v>
      </c>
      <c r="K529" s="91"/>
      <c r="L529" s="50">
        <f t="shared" si="289"/>
        <v>1294.27645788337</v>
      </c>
      <c r="M529" s="52">
        <v>55.56</v>
      </c>
      <c r="N529" s="45">
        <v>7.19</v>
      </c>
      <c r="O529" s="46">
        <f t="shared" si="290"/>
        <v>399.4764</v>
      </c>
      <c r="P529" s="48"/>
      <c r="Q529" s="48"/>
      <c r="R529" s="78">
        <f t="shared" si="278"/>
        <v>253.507148093842</v>
      </c>
      <c r="S529" s="78"/>
      <c r="T529" s="79">
        <f t="shared" si="279"/>
        <v>0.356030058651026</v>
      </c>
      <c r="U529" s="78">
        <v>40</v>
      </c>
      <c r="V529" s="78"/>
      <c r="W529" s="80">
        <f t="shared" si="273"/>
        <v>293.863178152493</v>
      </c>
      <c r="X529" s="81">
        <f t="shared" si="280"/>
        <v>5.91782441348974</v>
      </c>
      <c r="Y529" s="81"/>
      <c r="Z529" s="81"/>
      <c r="AA529" s="110">
        <f t="shared" si="274"/>
        <v>5.91782441348974</v>
      </c>
      <c r="AB529" s="90">
        <v>7.19</v>
      </c>
      <c r="AC529" s="78">
        <f t="shared" si="277"/>
        <v>42.5491575329912</v>
      </c>
      <c r="AD529" s="78">
        <f t="shared" si="275"/>
        <v>336.412335685484</v>
      </c>
      <c r="AE529" s="78">
        <f t="shared" si="276"/>
        <v>63.0640643145161</v>
      </c>
    </row>
    <row r="530" customFormat="1" spans="1:31">
      <c r="A530" s="18"/>
      <c r="B530" s="19"/>
      <c r="C530" s="20">
        <v>240315000029</v>
      </c>
      <c r="D530" s="21">
        <v>45371</v>
      </c>
      <c r="E530" s="21" t="s">
        <v>47</v>
      </c>
      <c r="F530" s="19" t="s">
        <v>48</v>
      </c>
      <c r="G530" s="19" t="s">
        <v>389</v>
      </c>
      <c r="H530" s="19">
        <v>14</v>
      </c>
      <c r="I530" s="49"/>
      <c r="J530" s="50">
        <v>129198</v>
      </c>
      <c r="K530" s="51"/>
      <c r="L530" s="50">
        <f t="shared" si="289"/>
        <v>1315.79590589673</v>
      </c>
      <c r="M530" s="52">
        <v>98.19</v>
      </c>
      <c r="N530" s="45">
        <v>7.19</v>
      </c>
      <c r="O530" s="46">
        <f t="shared" si="290"/>
        <v>705.9861</v>
      </c>
      <c r="P530" s="48"/>
      <c r="Q530" s="48"/>
      <c r="R530" s="78">
        <f t="shared" si="278"/>
        <v>473.213343108504</v>
      </c>
      <c r="S530" s="78"/>
      <c r="T530" s="79">
        <f t="shared" si="279"/>
        <v>0.664589442815249</v>
      </c>
      <c r="U530" s="78"/>
      <c r="V530" s="78"/>
      <c r="W530" s="80">
        <f t="shared" si="273"/>
        <v>473.87793255132</v>
      </c>
      <c r="X530" s="81">
        <f t="shared" si="280"/>
        <v>11.0466055718475</v>
      </c>
      <c r="Y530" s="81"/>
      <c r="Z530" s="81"/>
      <c r="AA530" s="110">
        <f t="shared" si="274"/>
        <v>11.0466055718475</v>
      </c>
      <c r="AB530" s="90">
        <v>7.19</v>
      </c>
      <c r="AC530" s="78">
        <f t="shared" si="277"/>
        <v>79.4250940615836</v>
      </c>
      <c r="AD530" s="78">
        <f t="shared" si="275"/>
        <v>553.303026612903</v>
      </c>
      <c r="AE530" s="78">
        <f t="shared" si="276"/>
        <v>152.683073387097</v>
      </c>
    </row>
    <row r="531" customFormat="1" spans="1:31">
      <c r="A531" s="18"/>
      <c r="B531" s="19"/>
      <c r="C531" s="20">
        <v>240315000031</v>
      </c>
      <c r="D531" s="21">
        <v>45371</v>
      </c>
      <c r="E531" s="21" t="s">
        <v>41</v>
      </c>
      <c r="F531" s="19" t="s">
        <v>42</v>
      </c>
      <c r="G531" s="19" t="s">
        <v>62</v>
      </c>
      <c r="H531" s="19">
        <v>0.1</v>
      </c>
      <c r="I531" s="41">
        <v>53</v>
      </c>
      <c r="J531" s="42"/>
      <c r="K531" s="43"/>
      <c r="L531" s="42"/>
      <c r="M531" s="44"/>
      <c r="N531" s="45"/>
      <c r="O531" s="46">
        <f t="shared" ref="O531:O539" si="292">SUM(I531)</f>
        <v>53</v>
      </c>
      <c r="P531" s="48"/>
      <c r="Q531" s="48"/>
      <c r="R531" s="78">
        <f t="shared" si="278"/>
        <v>3.38009530791789</v>
      </c>
      <c r="S531" s="78"/>
      <c r="T531" s="79">
        <f t="shared" si="279"/>
        <v>0.00474706744868035</v>
      </c>
      <c r="U531" s="78"/>
      <c r="V531" s="78"/>
      <c r="W531" s="80">
        <f t="shared" si="273"/>
        <v>3.38484237536657</v>
      </c>
      <c r="X531" s="81">
        <f t="shared" si="280"/>
        <v>0.0789043255131965</v>
      </c>
      <c r="Y531" s="81"/>
      <c r="Z531" s="81"/>
      <c r="AA531" s="110">
        <f t="shared" si="274"/>
        <v>0.0789043255131965</v>
      </c>
      <c r="AB531" s="90">
        <v>7.19</v>
      </c>
      <c r="AC531" s="78">
        <f t="shared" si="277"/>
        <v>0.567322100439883</v>
      </c>
      <c r="AD531" s="78">
        <f t="shared" si="275"/>
        <v>3.95216447580645</v>
      </c>
      <c r="AE531" s="78">
        <f t="shared" si="276"/>
        <v>49.0478355241935</v>
      </c>
    </row>
    <row r="532" customFormat="1" spans="1:31">
      <c r="A532" s="18"/>
      <c r="B532" s="19"/>
      <c r="C532" s="20">
        <v>240315000032</v>
      </c>
      <c r="D532" s="21">
        <v>45371</v>
      </c>
      <c r="E532" s="21" t="s">
        <v>47</v>
      </c>
      <c r="F532" s="19" t="s">
        <v>175</v>
      </c>
      <c r="G532" s="19" t="s">
        <v>167</v>
      </c>
      <c r="H532" s="19">
        <v>9</v>
      </c>
      <c r="I532" s="41">
        <v>405</v>
      </c>
      <c r="J532" s="42"/>
      <c r="K532" s="43"/>
      <c r="L532" s="42"/>
      <c r="M532" s="44"/>
      <c r="N532" s="45"/>
      <c r="O532" s="46">
        <f t="shared" si="292"/>
        <v>405</v>
      </c>
      <c r="P532" s="48"/>
      <c r="Q532" s="48"/>
      <c r="R532" s="78">
        <f t="shared" si="278"/>
        <v>304.20857771261</v>
      </c>
      <c r="S532" s="78"/>
      <c r="T532" s="79">
        <f t="shared" si="279"/>
        <v>0.427236070381232</v>
      </c>
      <c r="U532" s="78"/>
      <c r="V532" s="78"/>
      <c r="W532" s="80">
        <f t="shared" si="273"/>
        <v>304.635813782991</v>
      </c>
      <c r="X532" s="81">
        <f t="shared" si="280"/>
        <v>7.10138929618768</v>
      </c>
      <c r="Y532" s="81"/>
      <c r="Z532" s="81"/>
      <c r="AA532" s="110">
        <f t="shared" si="274"/>
        <v>7.10138929618768</v>
      </c>
      <c r="AB532" s="90">
        <v>7.19</v>
      </c>
      <c r="AC532" s="78">
        <f t="shared" si="277"/>
        <v>51.0589890395895</v>
      </c>
      <c r="AD532" s="78">
        <f t="shared" si="275"/>
        <v>355.694802822581</v>
      </c>
      <c r="AE532" s="78">
        <f t="shared" ref="AE532:AE542" si="293">SUM(O532-AD532)</f>
        <v>49.3051971774193</v>
      </c>
    </row>
    <row r="533" customFormat="1" spans="1:31">
      <c r="A533" s="18"/>
      <c r="B533" s="19"/>
      <c r="C533" s="20">
        <v>240315000034</v>
      </c>
      <c r="D533" s="21">
        <v>45371</v>
      </c>
      <c r="E533" s="21" t="s">
        <v>51</v>
      </c>
      <c r="F533" s="19" t="s">
        <v>52</v>
      </c>
      <c r="G533" s="19" t="s">
        <v>390</v>
      </c>
      <c r="H533" s="19">
        <v>32</v>
      </c>
      <c r="I533" s="41">
        <v>1539</v>
      </c>
      <c r="J533" s="42"/>
      <c r="K533" s="43"/>
      <c r="L533" s="42"/>
      <c r="M533" s="44"/>
      <c r="N533" s="45"/>
      <c r="O533" s="46">
        <f t="shared" si="292"/>
        <v>1539</v>
      </c>
      <c r="P533" s="48"/>
      <c r="Q533" s="48"/>
      <c r="R533" s="78">
        <f t="shared" si="278"/>
        <v>1081.63049853372</v>
      </c>
      <c r="S533" s="78"/>
      <c r="T533" s="79">
        <f t="shared" si="279"/>
        <v>1.51906158357771</v>
      </c>
      <c r="U533" s="78"/>
      <c r="V533" s="79">
        <v>147</v>
      </c>
      <c r="W533" s="80">
        <f t="shared" si="273"/>
        <v>1230.1495601173</v>
      </c>
      <c r="X533" s="81">
        <f t="shared" si="280"/>
        <v>25.2493841642229</v>
      </c>
      <c r="Y533" s="81"/>
      <c r="Z533" s="81"/>
      <c r="AA533" s="110">
        <f t="shared" si="274"/>
        <v>25.2493841642229</v>
      </c>
      <c r="AB533" s="90">
        <v>7.19</v>
      </c>
      <c r="AC533" s="78">
        <f t="shared" si="277"/>
        <v>181.543072140762</v>
      </c>
      <c r="AD533" s="78">
        <f t="shared" ref="AD533:AD542" si="294">SUM(W533+AC533)</f>
        <v>1411.69263225806</v>
      </c>
      <c r="AE533" s="78">
        <f t="shared" si="293"/>
        <v>127.307367741935</v>
      </c>
    </row>
    <row r="534" customFormat="1" spans="1:31">
      <c r="A534" s="18"/>
      <c r="B534" s="19"/>
      <c r="C534" s="20">
        <v>240315000038</v>
      </c>
      <c r="D534" s="21">
        <v>45371</v>
      </c>
      <c r="E534" s="21" t="s">
        <v>41</v>
      </c>
      <c r="F534" s="19" t="s">
        <v>42</v>
      </c>
      <c r="G534" s="19" t="s">
        <v>73</v>
      </c>
      <c r="H534" s="19">
        <v>26</v>
      </c>
      <c r="I534" s="41">
        <v>1248</v>
      </c>
      <c r="J534" s="53"/>
      <c r="K534" s="51"/>
      <c r="L534" s="53"/>
      <c r="M534" s="44"/>
      <c r="N534" s="45"/>
      <c r="O534" s="46">
        <f t="shared" si="292"/>
        <v>1248</v>
      </c>
      <c r="P534" s="48"/>
      <c r="Q534" s="48"/>
      <c r="R534" s="78">
        <f t="shared" si="278"/>
        <v>878.824780058651</v>
      </c>
      <c r="S534" s="78"/>
      <c r="T534" s="79">
        <f t="shared" si="279"/>
        <v>1.23423753665689</v>
      </c>
      <c r="U534" s="78"/>
      <c r="V534" s="78"/>
      <c r="W534" s="80">
        <f t="shared" si="273"/>
        <v>880.059017595308</v>
      </c>
      <c r="X534" s="81">
        <f t="shared" si="280"/>
        <v>20.5151246334311</v>
      </c>
      <c r="Y534" s="81"/>
      <c r="Z534" s="81"/>
      <c r="AA534" s="110">
        <f t="shared" si="274"/>
        <v>20.5151246334311</v>
      </c>
      <c r="AB534" s="90">
        <v>7.19</v>
      </c>
      <c r="AC534" s="78">
        <f t="shared" ref="AC534:AC542" si="295">SUM(AA534*AB534)</f>
        <v>147.50374611437</v>
      </c>
      <c r="AD534" s="78">
        <f t="shared" si="294"/>
        <v>1027.56276370968</v>
      </c>
      <c r="AE534" s="78">
        <f t="shared" si="293"/>
        <v>220.437236290323</v>
      </c>
    </row>
    <row r="535" customFormat="1" spans="1:31">
      <c r="A535" s="18"/>
      <c r="B535" s="19"/>
      <c r="C535" s="20">
        <v>240315000040</v>
      </c>
      <c r="D535" s="21">
        <v>45371</v>
      </c>
      <c r="E535" s="21" t="s">
        <v>41</v>
      </c>
      <c r="F535" s="19" t="s">
        <v>42</v>
      </c>
      <c r="G535" s="19" t="s">
        <v>391</v>
      </c>
      <c r="H535" s="19">
        <v>125</v>
      </c>
      <c r="I535" s="41">
        <v>6450</v>
      </c>
      <c r="J535" s="42"/>
      <c r="K535" s="43"/>
      <c r="L535" s="42"/>
      <c r="M535" s="44"/>
      <c r="N535" s="45"/>
      <c r="O535" s="46">
        <f t="shared" si="292"/>
        <v>6450</v>
      </c>
      <c r="P535" s="48"/>
      <c r="Q535" s="48"/>
      <c r="R535" s="78">
        <f t="shared" si="278"/>
        <v>4225.11913489736</v>
      </c>
      <c r="S535" s="78"/>
      <c r="T535" s="79">
        <f t="shared" si="279"/>
        <v>5.93383431085044</v>
      </c>
      <c r="U535" s="78">
        <f>SUM(140+140)</f>
        <v>280</v>
      </c>
      <c r="V535" s="78"/>
      <c r="W535" s="80">
        <f t="shared" si="273"/>
        <v>4511.05296920821</v>
      </c>
      <c r="X535" s="81">
        <f t="shared" si="280"/>
        <v>98.6304068914956</v>
      </c>
      <c r="Y535" s="81"/>
      <c r="Z535" s="81"/>
      <c r="AA535" s="110">
        <f t="shared" si="274"/>
        <v>98.6304068914956</v>
      </c>
      <c r="AB535" s="90">
        <v>7.19</v>
      </c>
      <c r="AC535" s="78">
        <f t="shared" si="295"/>
        <v>709.152625549853</v>
      </c>
      <c r="AD535" s="78">
        <f t="shared" si="294"/>
        <v>5220.20559475806</v>
      </c>
      <c r="AE535" s="78">
        <f t="shared" si="293"/>
        <v>1229.79440524194</v>
      </c>
    </row>
    <row r="536" customFormat="1" spans="1:31">
      <c r="A536" s="18"/>
      <c r="B536" s="19"/>
      <c r="C536" s="20">
        <v>240315000045</v>
      </c>
      <c r="D536" s="21">
        <v>45371</v>
      </c>
      <c r="E536" s="21" t="s">
        <v>37</v>
      </c>
      <c r="F536" s="19" t="s">
        <v>145</v>
      </c>
      <c r="G536" s="19" t="s">
        <v>392</v>
      </c>
      <c r="H536" s="19">
        <v>12.5</v>
      </c>
      <c r="I536" s="41">
        <v>642.5</v>
      </c>
      <c r="J536" s="42"/>
      <c r="K536" s="43"/>
      <c r="L536" s="42"/>
      <c r="M536" s="44"/>
      <c r="N536" s="45"/>
      <c r="O536" s="46">
        <f t="shared" si="292"/>
        <v>642.5</v>
      </c>
      <c r="P536" s="58"/>
      <c r="Q536" s="58"/>
      <c r="R536" s="78">
        <f t="shared" si="278"/>
        <v>422.511913489736</v>
      </c>
      <c r="S536" s="78"/>
      <c r="T536" s="79">
        <f t="shared" si="279"/>
        <v>0.593383431085044</v>
      </c>
      <c r="U536" s="78">
        <v>80</v>
      </c>
      <c r="V536" s="78"/>
      <c r="W536" s="80">
        <f t="shared" ref="W536:W542" si="296">SUM(R536:V536)</f>
        <v>503.105296920821</v>
      </c>
      <c r="X536" s="81">
        <f t="shared" si="280"/>
        <v>9.86304068914956</v>
      </c>
      <c r="Y536" s="81"/>
      <c r="Z536" s="81"/>
      <c r="AA536" s="110">
        <f t="shared" ref="AA536:AA542" si="297">SUM(X536:Z536)</f>
        <v>9.86304068914956</v>
      </c>
      <c r="AB536" s="90">
        <v>7.19</v>
      </c>
      <c r="AC536" s="78">
        <f t="shared" si="295"/>
        <v>70.9152625549854</v>
      </c>
      <c r="AD536" s="78">
        <f t="shared" si="294"/>
        <v>574.020559475807</v>
      </c>
      <c r="AE536" s="78">
        <f t="shared" si="293"/>
        <v>68.4794405241935</v>
      </c>
    </row>
    <row r="537" customFormat="1" spans="1:31">
      <c r="A537" s="18" t="s">
        <v>393</v>
      </c>
      <c r="B537" s="19" t="s">
        <v>394</v>
      </c>
      <c r="C537" s="20">
        <v>240314000013</v>
      </c>
      <c r="D537" s="21">
        <v>45371</v>
      </c>
      <c r="E537" s="21" t="s">
        <v>47</v>
      </c>
      <c r="F537" s="19" t="s">
        <v>48</v>
      </c>
      <c r="G537" s="19" t="s">
        <v>81</v>
      </c>
      <c r="H537" s="19">
        <v>24</v>
      </c>
      <c r="I537" s="41">
        <v>2880</v>
      </c>
      <c r="J537" s="42"/>
      <c r="K537" s="43"/>
      <c r="L537" s="42"/>
      <c r="M537" s="44"/>
      <c r="N537" s="45"/>
      <c r="O537" s="46">
        <f t="shared" si="292"/>
        <v>2880</v>
      </c>
      <c r="P537" s="47">
        <f>SUM(O537:O542)</f>
        <v>10531.37898562</v>
      </c>
      <c r="Q537" s="47" t="s">
        <v>78</v>
      </c>
      <c r="R537" s="78">
        <f t="shared" ref="R537:R542" si="298">SUM(4400/87)*H537</f>
        <v>1213.79310344828</v>
      </c>
      <c r="S537" s="78"/>
      <c r="T537" s="79">
        <f t="shared" ref="T537:T542" si="299">SUM(58.81/87)*H537</f>
        <v>16.2234482758621</v>
      </c>
      <c r="U537" s="78"/>
      <c r="V537" s="78"/>
      <c r="W537" s="80">
        <f t="shared" si="296"/>
        <v>1230.01655172414</v>
      </c>
      <c r="X537" s="81">
        <f t="shared" ref="X537:X542" si="300">SUM(167.29/87)*H537</f>
        <v>46.1489655172414</v>
      </c>
      <c r="Y537" s="81"/>
      <c r="Z537" s="81"/>
      <c r="AA537" s="110">
        <f t="shared" si="297"/>
        <v>46.1489655172414</v>
      </c>
      <c r="AB537" s="90">
        <v>7.19</v>
      </c>
      <c r="AC537" s="78">
        <f t="shared" si="295"/>
        <v>331.811062068966</v>
      </c>
      <c r="AD537" s="78">
        <f t="shared" si="294"/>
        <v>1561.8276137931</v>
      </c>
      <c r="AE537" s="78">
        <f t="shared" si="293"/>
        <v>1318.1723862069</v>
      </c>
    </row>
    <row r="538" customFormat="1" spans="1:31">
      <c r="A538" s="18"/>
      <c r="B538" s="19"/>
      <c r="C538" s="20">
        <v>240314000038</v>
      </c>
      <c r="D538" s="21">
        <v>45371</v>
      </c>
      <c r="E538" s="21" t="s">
        <v>37</v>
      </c>
      <c r="F538" s="19" t="s">
        <v>38</v>
      </c>
      <c r="G538" s="19" t="s">
        <v>395</v>
      </c>
      <c r="H538" s="19">
        <v>0.96</v>
      </c>
      <c r="I538" s="41">
        <v>120</v>
      </c>
      <c r="J538" s="42"/>
      <c r="K538" s="43"/>
      <c r="L538" s="42"/>
      <c r="M538" s="44"/>
      <c r="N538" s="45"/>
      <c r="O538" s="46">
        <f t="shared" si="292"/>
        <v>120</v>
      </c>
      <c r="P538" s="48"/>
      <c r="Q538" s="48"/>
      <c r="R538" s="78">
        <f t="shared" si="298"/>
        <v>48.551724137931</v>
      </c>
      <c r="S538" s="78"/>
      <c r="T538" s="79">
        <f t="shared" si="299"/>
        <v>0.648937931034483</v>
      </c>
      <c r="U538" s="78"/>
      <c r="V538" s="78"/>
      <c r="W538" s="80">
        <f t="shared" si="296"/>
        <v>49.2006620689655</v>
      </c>
      <c r="X538" s="81">
        <f t="shared" si="300"/>
        <v>1.84595862068965</v>
      </c>
      <c r="Y538" s="81"/>
      <c r="Z538" s="81"/>
      <c r="AA538" s="110">
        <f t="shared" si="297"/>
        <v>1.84595862068965</v>
      </c>
      <c r="AB538" s="90">
        <v>7.19</v>
      </c>
      <c r="AC538" s="78">
        <f t="shared" si="295"/>
        <v>13.2724424827586</v>
      </c>
      <c r="AD538" s="78">
        <f t="shared" si="294"/>
        <v>62.4731045517241</v>
      </c>
      <c r="AE538" s="78">
        <f t="shared" si="293"/>
        <v>57.5268954482759</v>
      </c>
    </row>
    <row r="539" customFormat="1" spans="1:31">
      <c r="A539" s="18"/>
      <c r="B539" s="19"/>
      <c r="C539" s="20">
        <v>240315000002</v>
      </c>
      <c r="D539" s="21">
        <v>45371</v>
      </c>
      <c r="E539" s="21" t="s">
        <v>41</v>
      </c>
      <c r="F539" s="19" t="s">
        <v>42</v>
      </c>
      <c r="G539" s="19" t="s">
        <v>80</v>
      </c>
      <c r="H539" s="19">
        <v>0.2</v>
      </c>
      <c r="I539" s="41">
        <v>120</v>
      </c>
      <c r="J539" s="42"/>
      <c r="K539" s="43"/>
      <c r="L539" s="42"/>
      <c r="M539" s="44"/>
      <c r="N539" s="45"/>
      <c r="O539" s="46">
        <f t="shared" si="292"/>
        <v>120</v>
      </c>
      <c r="P539" s="48"/>
      <c r="Q539" s="48"/>
      <c r="R539" s="78">
        <f t="shared" si="298"/>
        <v>10.1149425287356</v>
      </c>
      <c r="S539" s="78"/>
      <c r="T539" s="79">
        <f t="shared" si="299"/>
        <v>0.135195402298851</v>
      </c>
      <c r="U539" s="78"/>
      <c r="V539" s="78"/>
      <c r="W539" s="80">
        <f t="shared" si="296"/>
        <v>10.2501379310345</v>
      </c>
      <c r="X539" s="81">
        <f t="shared" si="300"/>
        <v>0.384574712643678</v>
      </c>
      <c r="Y539" s="81"/>
      <c r="Z539" s="81"/>
      <c r="AA539" s="110">
        <f t="shared" si="297"/>
        <v>0.384574712643678</v>
      </c>
      <c r="AB539" s="90">
        <v>7.19</v>
      </c>
      <c r="AC539" s="78">
        <f t="shared" si="295"/>
        <v>2.76509218390805</v>
      </c>
      <c r="AD539" s="78">
        <f t="shared" si="294"/>
        <v>13.0152301149425</v>
      </c>
      <c r="AE539" s="78">
        <f t="shared" si="293"/>
        <v>106.984769885057</v>
      </c>
    </row>
    <row r="540" customFormat="1" spans="1:31">
      <c r="A540" s="18"/>
      <c r="B540" s="19"/>
      <c r="C540" s="20">
        <v>240315000004</v>
      </c>
      <c r="D540" s="21">
        <v>45371</v>
      </c>
      <c r="E540" s="21" t="s">
        <v>44</v>
      </c>
      <c r="F540" s="19" t="s">
        <v>45</v>
      </c>
      <c r="G540" s="19" t="s">
        <v>396</v>
      </c>
      <c r="H540" s="19">
        <v>2.5</v>
      </c>
      <c r="I540" s="46"/>
      <c r="J540" s="54">
        <v>60330</v>
      </c>
      <c r="K540" s="55"/>
      <c r="L540" s="50">
        <f>SUM(J540/M540)</f>
        <v>1489.99760385268</v>
      </c>
      <c r="M540" s="52">
        <v>40.489998</v>
      </c>
      <c r="N540" s="45">
        <v>7.19</v>
      </c>
      <c r="O540" s="46">
        <f>SUM(M540*N540)</f>
        <v>291.12308562</v>
      </c>
      <c r="P540" s="48"/>
      <c r="Q540" s="48"/>
      <c r="R540" s="78">
        <f t="shared" si="298"/>
        <v>126.436781609195</v>
      </c>
      <c r="S540" s="78"/>
      <c r="T540" s="79">
        <f t="shared" si="299"/>
        <v>1.68994252873563</v>
      </c>
      <c r="U540" s="78"/>
      <c r="V540" s="78"/>
      <c r="W540" s="80">
        <f t="shared" si="296"/>
        <v>128.126724137931</v>
      </c>
      <c r="X540" s="81">
        <f t="shared" si="300"/>
        <v>4.80718390804598</v>
      </c>
      <c r="Y540" s="81"/>
      <c r="Z540" s="81"/>
      <c r="AA540" s="110">
        <f t="shared" si="297"/>
        <v>4.80718390804598</v>
      </c>
      <c r="AB540" s="90">
        <v>7.19</v>
      </c>
      <c r="AC540" s="78">
        <f t="shared" si="295"/>
        <v>34.5636522988506</v>
      </c>
      <c r="AD540" s="78">
        <f t="shared" si="294"/>
        <v>162.690376436782</v>
      </c>
      <c r="AE540" s="78">
        <f t="shared" si="293"/>
        <v>128.432709183218</v>
      </c>
    </row>
    <row r="541" customFormat="1" spans="1:31">
      <c r="A541" s="18"/>
      <c r="B541" s="19"/>
      <c r="C541" s="20">
        <v>240315000023</v>
      </c>
      <c r="D541" s="21">
        <v>45371</v>
      </c>
      <c r="E541" s="21" t="s">
        <v>41</v>
      </c>
      <c r="F541" s="19" t="s">
        <v>42</v>
      </c>
      <c r="G541" s="19" t="s">
        <v>80</v>
      </c>
      <c r="H541" s="19">
        <v>0.48</v>
      </c>
      <c r="I541" s="41">
        <v>120</v>
      </c>
      <c r="J541" s="42"/>
      <c r="K541" s="43"/>
      <c r="L541" s="42"/>
      <c r="M541" s="44"/>
      <c r="N541" s="45"/>
      <c r="O541" s="46">
        <f t="shared" ref="O541:O546" si="301">SUM(I541)</f>
        <v>120</v>
      </c>
      <c r="P541" s="48"/>
      <c r="Q541" s="48"/>
      <c r="R541" s="78">
        <f t="shared" si="298"/>
        <v>24.2758620689655</v>
      </c>
      <c r="S541" s="78"/>
      <c r="T541" s="79">
        <f t="shared" si="299"/>
        <v>0.324468965517241</v>
      </c>
      <c r="U541" s="78"/>
      <c r="V541" s="78"/>
      <c r="W541" s="80">
        <f t="shared" ref="W541:W567" si="302">SUM(R541:V541)</f>
        <v>24.6003310344828</v>
      </c>
      <c r="X541" s="81">
        <f t="shared" si="300"/>
        <v>0.922979310344827</v>
      </c>
      <c r="Y541" s="81"/>
      <c r="Z541" s="81"/>
      <c r="AA541" s="110">
        <f t="shared" si="297"/>
        <v>0.922979310344827</v>
      </c>
      <c r="AB541" s="90">
        <v>7.19</v>
      </c>
      <c r="AC541" s="78">
        <f t="shared" si="295"/>
        <v>6.63622124137931</v>
      </c>
      <c r="AD541" s="78">
        <f t="shared" si="294"/>
        <v>31.2365522758621</v>
      </c>
      <c r="AE541" s="78">
        <f t="shared" ref="AE541:AE567" si="303">SUM(O541-AD541)</f>
        <v>88.7634477241379</v>
      </c>
    </row>
    <row r="542" customFormat="1" spans="1:31">
      <c r="A542" s="18"/>
      <c r="B542" s="19"/>
      <c r="C542" s="20">
        <v>240317000001</v>
      </c>
      <c r="D542" s="21">
        <v>45371</v>
      </c>
      <c r="E542" s="21" t="s">
        <v>70</v>
      </c>
      <c r="F542" s="19" t="s">
        <v>95</v>
      </c>
      <c r="G542" s="19" t="s">
        <v>96</v>
      </c>
      <c r="H542" s="19">
        <v>59.5</v>
      </c>
      <c r="I542" s="46"/>
      <c r="J542" s="54">
        <v>1450679</v>
      </c>
      <c r="K542" s="55"/>
      <c r="L542" s="50">
        <f>SUM(J542/M542)</f>
        <v>1490.00010271053</v>
      </c>
      <c r="M542" s="52">
        <v>973.61</v>
      </c>
      <c r="N542" s="45">
        <v>7.19</v>
      </c>
      <c r="O542" s="46">
        <f>SUM(M542*N542)</f>
        <v>7000.2559</v>
      </c>
      <c r="P542" s="58"/>
      <c r="Q542" s="58"/>
      <c r="R542" s="78">
        <f t="shared" si="298"/>
        <v>3009.19540229885</v>
      </c>
      <c r="S542" s="78"/>
      <c r="T542" s="79">
        <f t="shared" si="299"/>
        <v>40.2206321839081</v>
      </c>
      <c r="U542" s="78"/>
      <c r="V542" s="78"/>
      <c r="W542" s="80">
        <f t="shared" si="302"/>
        <v>3049.41603448276</v>
      </c>
      <c r="X542" s="81">
        <f t="shared" si="300"/>
        <v>114.410977011494</v>
      </c>
      <c r="Y542" s="81"/>
      <c r="Z542" s="81"/>
      <c r="AA542" s="110">
        <f t="shared" ref="AA542:AA567" si="304">SUM(X542:Z542)</f>
        <v>114.410977011494</v>
      </c>
      <c r="AB542" s="90">
        <v>7.19</v>
      </c>
      <c r="AC542" s="78">
        <f t="shared" ref="AC542:AC567" si="305">SUM(AA542*AB542)</f>
        <v>822.614924712644</v>
      </c>
      <c r="AD542" s="78">
        <f t="shared" ref="AD542:AD567" si="306">SUM(W542+AC542)</f>
        <v>3872.0309591954</v>
      </c>
      <c r="AE542" s="78">
        <f t="shared" si="303"/>
        <v>3128.2249408046</v>
      </c>
    </row>
    <row r="543" customFormat="1" spans="1:31">
      <c r="A543" s="18" t="s">
        <v>397</v>
      </c>
      <c r="B543" s="19" t="s">
        <v>398</v>
      </c>
      <c r="C543" s="20">
        <v>240308000002</v>
      </c>
      <c r="D543" s="21">
        <v>45371</v>
      </c>
      <c r="E543" s="21" t="s">
        <v>47</v>
      </c>
      <c r="F543" s="19" t="s">
        <v>128</v>
      </c>
      <c r="G543" s="19" t="s">
        <v>129</v>
      </c>
      <c r="H543" s="19">
        <v>21</v>
      </c>
      <c r="I543" s="41">
        <v>1482.6</v>
      </c>
      <c r="J543" s="42"/>
      <c r="K543" s="43"/>
      <c r="L543" s="42"/>
      <c r="M543" s="44"/>
      <c r="N543" s="45"/>
      <c r="O543" s="46">
        <f t="shared" si="301"/>
        <v>1482.6</v>
      </c>
      <c r="P543" s="47">
        <f>SUM(O543:O567)</f>
        <v>87803.3556</v>
      </c>
      <c r="Q543" s="47" t="s">
        <v>40</v>
      </c>
      <c r="R543" s="78">
        <f>SUM(63555/1510)*H543</f>
        <v>883.877483443709</v>
      </c>
      <c r="S543" s="78"/>
      <c r="T543" s="79">
        <f>SUM(120/1510)*H543</f>
        <v>1.66887417218543</v>
      </c>
      <c r="U543" s="78"/>
      <c r="V543" s="78"/>
      <c r="W543" s="80">
        <f t="shared" si="302"/>
        <v>885.546357615894</v>
      </c>
      <c r="X543" s="81">
        <f>SUM(1662.73/1510)*H543</f>
        <v>23.124059602649</v>
      </c>
      <c r="Y543" s="81"/>
      <c r="Z543" s="81"/>
      <c r="AA543" s="110">
        <f t="shared" si="304"/>
        <v>23.124059602649</v>
      </c>
      <c r="AB543" s="90">
        <v>7.19</v>
      </c>
      <c r="AC543" s="78">
        <f t="shared" si="305"/>
        <v>166.261988543046</v>
      </c>
      <c r="AD543" s="78">
        <f t="shared" si="306"/>
        <v>1051.80834615894</v>
      </c>
      <c r="AE543" s="78">
        <f t="shared" si="303"/>
        <v>430.79165384106</v>
      </c>
    </row>
    <row r="544" customFormat="1" spans="1:31">
      <c r="A544" s="18"/>
      <c r="B544" s="19"/>
      <c r="C544" s="20">
        <v>240311000037</v>
      </c>
      <c r="D544" s="21">
        <v>45371</v>
      </c>
      <c r="E544" s="21" t="s">
        <v>44</v>
      </c>
      <c r="F544" s="19" t="s">
        <v>45</v>
      </c>
      <c r="G544" s="19" t="s">
        <v>178</v>
      </c>
      <c r="H544" s="19">
        <v>17</v>
      </c>
      <c r="I544" s="41">
        <v>884</v>
      </c>
      <c r="J544" s="53"/>
      <c r="K544" s="51"/>
      <c r="L544" s="53"/>
      <c r="M544" s="44"/>
      <c r="N544" s="45"/>
      <c r="O544" s="46">
        <f t="shared" si="301"/>
        <v>884</v>
      </c>
      <c r="P544" s="48"/>
      <c r="Q544" s="48"/>
      <c r="R544" s="78">
        <f t="shared" ref="R544:R567" si="307">SUM(63555/1510)*H544</f>
        <v>715.519867549669</v>
      </c>
      <c r="S544" s="78"/>
      <c r="T544" s="79">
        <f t="shared" ref="T544:T567" si="308">SUM(120/1510)*H544</f>
        <v>1.35099337748344</v>
      </c>
      <c r="U544" s="78"/>
      <c r="V544" s="78"/>
      <c r="W544" s="80">
        <f t="shared" si="302"/>
        <v>716.870860927152</v>
      </c>
      <c r="X544" s="81">
        <f t="shared" ref="X544:X567" si="309">SUM(1662.73/1510)*H544</f>
        <v>18.7194768211921</v>
      </c>
      <c r="Y544" s="81"/>
      <c r="Z544" s="81"/>
      <c r="AA544" s="110">
        <f t="shared" si="304"/>
        <v>18.7194768211921</v>
      </c>
      <c r="AB544" s="90">
        <v>7.19</v>
      </c>
      <c r="AC544" s="78">
        <f t="shared" si="305"/>
        <v>134.593038344371</v>
      </c>
      <c r="AD544" s="78">
        <f t="shared" si="306"/>
        <v>851.463899271523</v>
      </c>
      <c r="AE544" s="78">
        <f t="shared" si="303"/>
        <v>32.536100728477</v>
      </c>
    </row>
    <row r="545" customFormat="1" spans="1:31">
      <c r="A545" s="18"/>
      <c r="B545" s="19"/>
      <c r="C545" s="20">
        <v>240312000015</v>
      </c>
      <c r="D545" s="21">
        <v>45371</v>
      </c>
      <c r="E545" s="21" t="s">
        <v>44</v>
      </c>
      <c r="F545" s="19" t="s">
        <v>45</v>
      </c>
      <c r="G545" s="19" t="s">
        <v>307</v>
      </c>
      <c r="H545" s="19">
        <v>106.5</v>
      </c>
      <c r="I545" s="41">
        <v>5742</v>
      </c>
      <c r="J545" s="53"/>
      <c r="K545" s="51"/>
      <c r="L545" s="53"/>
      <c r="M545" s="44"/>
      <c r="N545" s="45"/>
      <c r="O545" s="46">
        <f t="shared" si="301"/>
        <v>5742</v>
      </c>
      <c r="P545" s="48"/>
      <c r="Q545" s="48"/>
      <c r="R545" s="78">
        <f t="shared" si="307"/>
        <v>4482.52152317881</v>
      </c>
      <c r="S545" s="78"/>
      <c r="T545" s="79">
        <f t="shared" si="308"/>
        <v>8.4635761589404</v>
      </c>
      <c r="U545" s="78">
        <v>30</v>
      </c>
      <c r="V545" s="78"/>
      <c r="W545" s="80">
        <f t="shared" si="302"/>
        <v>4520.98509933775</v>
      </c>
      <c r="X545" s="81">
        <f t="shared" si="309"/>
        <v>117.272016556291</v>
      </c>
      <c r="Y545" s="81"/>
      <c r="Z545" s="81"/>
      <c r="AA545" s="110">
        <f t="shared" si="304"/>
        <v>117.272016556291</v>
      </c>
      <c r="AB545" s="90">
        <v>7.19</v>
      </c>
      <c r="AC545" s="78">
        <f t="shared" si="305"/>
        <v>843.185799039735</v>
      </c>
      <c r="AD545" s="78">
        <f t="shared" si="306"/>
        <v>5364.17089837748</v>
      </c>
      <c r="AE545" s="78">
        <f t="shared" si="303"/>
        <v>377.82910162252</v>
      </c>
    </row>
    <row r="546" customFormat="1" spans="1:31">
      <c r="A546" s="18"/>
      <c r="B546" s="19"/>
      <c r="C546" s="20">
        <v>240312000024</v>
      </c>
      <c r="D546" s="21">
        <v>45371</v>
      </c>
      <c r="E546" s="21" t="s">
        <v>37</v>
      </c>
      <c r="F546" s="19" t="s">
        <v>38</v>
      </c>
      <c r="G546" s="19" t="s">
        <v>173</v>
      </c>
      <c r="H546" s="19">
        <v>285</v>
      </c>
      <c r="I546" s="41">
        <v>18240</v>
      </c>
      <c r="J546" s="53"/>
      <c r="K546" s="51"/>
      <c r="L546" s="53"/>
      <c r="M546" s="44"/>
      <c r="N546" s="45"/>
      <c r="O546" s="46">
        <f t="shared" si="301"/>
        <v>18240</v>
      </c>
      <c r="P546" s="48"/>
      <c r="Q546" s="48"/>
      <c r="R546" s="78">
        <f t="shared" si="307"/>
        <v>11995.4801324503</v>
      </c>
      <c r="S546" s="78"/>
      <c r="T546" s="79">
        <f t="shared" si="308"/>
        <v>22.6490066225166</v>
      </c>
      <c r="U546" s="78"/>
      <c r="V546" s="78"/>
      <c r="W546" s="80">
        <f t="shared" si="302"/>
        <v>12018.1291390728</v>
      </c>
      <c r="X546" s="81">
        <f t="shared" si="309"/>
        <v>313.826523178808</v>
      </c>
      <c r="Y546" s="81"/>
      <c r="Z546" s="81"/>
      <c r="AA546" s="110">
        <f t="shared" si="304"/>
        <v>313.826523178808</v>
      </c>
      <c r="AB546" s="90">
        <v>7.19</v>
      </c>
      <c r="AC546" s="78">
        <f t="shared" si="305"/>
        <v>2256.41270165563</v>
      </c>
      <c r="AD546" s="78">
        <f t="shared" si="306"/>
        <v>14274.5418407285</v>
      </c>
      <c r="AE546" s="78">
        <f t="shared" si="303"/>
        <v>3965.4581592715</v>
      </c>
    </row>
    <row r="547" customFormat="1" spans="1:31">
      <c r="A547" s="18"/>
      <c r="B547" s="19"/>
      <c r="C547" s="20">
        <v>240312000026</v>
      </c>
      <c r="D547" s="21">
        <v>45371</v>
      </c>
      <c r="E547" s="21" t="s">
        <v>44</v>
      </c>
      <c r="F547" s="19" t="s">
        <v>399</v>
      </c>
      <c r="G547" s="19" t="s">
        <v>400</v>
      </c>
      <c r="H547" s="19">
        <v>23.5</v>
      </c>
      <c r="I547" s="92">
        <v>1322.5</v>
      </c>
      <c r="J547" s="104"/>
      <c r="K547" s="55"/>
      <c r="L547" s="50"/>
      <c r="M547" s="44"/>
      <c r="N547" s="45"/>
      <c r="O547" s="46">
        <f>SUBTOTAL(9,I547)</f>
        <v>1322.5</v>
      </c>
      <c r="P547" s="48"/>
      <c r="Q547" s="48"/>
      <c r="R547" s="78">
        <f t="shared" si="307"/>
        <v>989.100993377483</v>
      </c>
      <c r="S547" s="78"/>
      <c r="T547" s="79">
        <f t="shared" si="308"/>
        <v>1.86754966887417</v>
      </c>
      <c r="U547" s="78">
        <v>30</v>
      </c>
      <c r="V547" s="78"/>
      <c r="W547" s="80">
        <f t="shared" si="302"/>
        <v>1020.96854304636</v>
      </c>
      <c r="X547" s="81">
        <f t="shared" si="309"/>
        <v>25.8769238410596</v>
      </c>
      <c r="Y547" s="81"/>
      <c r="Z547" s="81"/>
      <c r="AA547" s="110">
        <f t="shared" si="304"/>
        <v>25.8769238410596</v>
      </c>
      <c r="AB547" s="90">
        <v>7.19</v>
      </c>
      <c r="AC547" s="78">
        <f t="shared" si="305"/>
        <v>186.055082417219</v>
      </c>
      <c r="AD547" s="78">
        <f t="shared" si="306"/>
        <v>1207.02362546358</v>
      </c>
      <c r="AE547" s="78">
        <f t="shared" si="303"/>
        <v>115.47637453642</v>
      </c>
    </row>
    <row r="548" customFormat="1" spans="1:31">
      <c r="A548" s="18"/>
      <c r="B548" s="19"/>
      <c r="C548" s="20">
        <v>240313000012</v>
      </c>
      <c r="D548" s="21">
        <v>45371</v>
      </c>
      <c r="E548" s="21" t="s">
        <v>47</v>
      </c>
      <c r="F548" s="19" t="s">
        <v>48</v>
      </c>
      <c r="G548" s="19" t="s">
        <v>401</v>
      </c>
      <c r="H548" s="19">
        <v>12</v>
      </c>
      <c r="I548" s="41">
        <v>770.4</v>
      </c>
      <c r="J548" s="53"/>
      <c r="K548" s="51"/>
      <c r="L548" s="53"/>
      <c r="M548" s="44"/>
      <c r="N548" s="45"/>
      <c r="O548" s="46">
        <f t="shared" ref="O548:O553" si="310">SUM(I548)</f>
        <v>770.4</v>
      </c>
      <c r="P548" s="48"/>
      <c r="Q548" s="48"/>
      <c r="R548" s="78">
        <f t="shared" si="307"/>
        <v>505.072847682119</v>
      </c>
      <c r="S548" s="78"/>
      <c r="T548" s="79">
        <f t="shared" si="308"/>
        <v>0.95364238410596</v>
      </c>
      <c r="U548" s="78"/>
      <c r="V548" s="78"/>
      <c r="W548" s="80">
        <f t="shared" si="302"/>
        <v>506.026490066225</v>
      </c>
      <c r="X548" s="81">
        <f t="shared" si="309"/>
        <v>13.2137483443709</v>
      </c>
      <c r="Y548" s="81"/>
      <c r="Z548" s="81"/>
      <c r="AA548" s="110">
        <f t="shared" si="304"/>
        <v>13.2137483443709</v>
      </c>
      <c r="AB548" s="90">
        <v>7.19</v>
      </c>
      <c r="AC548" s="78">
        <f t="shared" si="305"/>
        <v>95.0068505960265</v>
      </c>
      <c r="AD548" s="78">
        <f t="shared" si="306"/>
        <v>601.033340662252</v>
      </c>
      <c r="AE548" s="78">
        <f t="shared" si="303"/>
        <v>169.366659337748</v>
      </c>
    </row>
    <row r="549" customFormat="1" spans="1:31">
      <c r="A549" s="18"/>
      <c r="B549" s="19"/>
      <c r="C549" s="20">
        <v>240313000019</v>
      </c>
      <c r="D549" s="21">
        <v>45371</v>
      </c>
      <c r="E549" s="21" t="s">
        <v>44</v>
      </c>
      <c r="F549" s="19" t="s">
        <v>45</v>
      </c>
      <c r="G549" s="19" t="s">
        <v>377</v>
      </c>
      <c r="H549" s="19">
        <v>0.58</v>
      </c>
      <c r="I549" s="41">
        <v>65</v>
      </c>
      <c r="J549" s="53"/>
      <c r="K549" s="51"/>
      <c r="L549" s="53"/>
      <c r="M549" s="44"/>
      <c r="N549" s="45"/>
      <c r="O549" s="46">
        <f t="shared" si="310"/>
        <v>65</v>
      </c>
      <c r="P549" s="48"/>
      <c r="Q549" s="48"/>
      <c r="R549" s="78">
        <f t="shared" si="307"/>
        <v>24.4118543046358</v>
      </c>
      <c r="S549" s="78"/>
      <c r="T549" s="79">
        <f t="shared" si="308"/>
        <v>0.0460927152317881</v>
      </c>
      <c r="U549" s="78"/>
      <c r="V549" s="78"/>
      <c r="W549" s="80">
        <f t="shared" si="302"/>
        <v>24.4579470198675</v>
      </c>
      <c r="X549" s="81">
        <f t="shared" si="309"/>
        <v>0.638664503311258</v>
      </c>
      <c r="Y549" s="81"/>
      <c r="Z549" s="81"/>
      <c r="AA549" s="110">
        <f t="shared" si="304"/>
        <v>0.638664503311258</v>
      </c>
      <c r="AB549" s="90">
        <v>7.19</v>
      </c>
      <c r="AC549" s="78">
        <f t="shared" si="305"/>
        <v>4.59199777880795</v>
      </c>
      <c r="AD549" s="78">
        <f t="shared" si="306"/>
        <v>29.0499447986755</v>
      </c>
      <c r="AE549" s="78">
        <f t="shared" si="303"/>
        <v>35.9500552013245</v>
      </c>
    </row>
    <row r="550" customFormat="1" spans="1:31">
      <c r="A550" s="18"/>
      <c r="B550" s="19"/>
      <c r="C550" s="20">
        <v>240314000008</v>
      </c>
      <c r="D550" s="21">
        <v>45371</v>
      </c>
      <c r="E550" s="21" t="s">
        <v>44</v>
      </c>
      <c r="F550" s="19" t="s">
        <v>45</v>
      </c>
      <c r="G550" s="19" t="s">
        <v>158</v>
      </c>
      <c r="H550" s="19">
        <v>13.5</v>
      </c>
      <c r="I550" s="41">
        <v>756</v>
      </c>
      <c r="J550" s="53"/>
      <c r="K550" s="51"/>
      <c r="L550" s="53"/>
      <c r="M550" s="44"/>
      <c r="N550" s="45"/>
      <c r="O550" s="46">
        <f t="shared" si="310"/>
        <v>756</v>
      </c>
      <c r="P550" s="48"/>
      <c r="Q550" s="48"/>
      <c r="R550" s="78">
        <f t="shared" si="307"/>
        <v>568.206953642384</v>
      </c>
      <c r="S550" s="78"/>
      <c r="T550" s="79">
        <f t="shared" si="308"/>
        <v>1.07284768211921</v>
      </c>
      <c r="U550" s="78"/>
      <c r="V550" s="78"/>
      <c r="W550" s="80">
        <f t="shared" si="302"/>
        <v>569.279801324503</v>
      </c>
      <c r="X550" s="81">
        <f t="shared" si="309"/>
        <v>14.8654668874172</v>
      </c>
      <c r="Y550" s="81"/>
      <c r="Z550" s="81"/>
      <c r="AA550" s="110">
        <f t="shared" si="304"/>
        <v>14.8654668874172</v>
      </c>
      <c r="AB550" s="90">
        <v>7.19</v>
      </c>
      <c r="AC550" s="78">
        <f t="shared" si="305"/>
        <v>106.88270692053</v>
      </c>
      <c r="AD550" s="78">
        <f t="shared" si="306"/>
        <v>676.162508245033</v>
      </c>
      <c r="AE550" s="78">
        <f t="shared" si="303"/>
        <v>79.837491754967</v>
      </c>
    </row>
    <row r="551" customFormat="1" spans="1:31">
      <c r="A551" s="18"/>
      <c r="B551" s="19"/>
      <c r="C551" s="20">
        <v>240314000009</v>
      </c>
      <c r="D551" s="21">
        <v>45371</v>
      </c>
      <c r="E551" s="21" t="s">
        <v>44</v>
      </c>
      <c r="F551" s="19" t="s">
        <v>45</v>
      </c>
      <c r="G551" s="19" t="s">
        <v>402</v>
      </c>
      <c r="H551" s="19">
        <v>0.94</v>
      </c>
      <c r="I551" s="41">
        <v>94.4</v>
      </c>
      <c r="J551" s="53"/>
      <c r="K551" s="51"/>
      <c r="L551" s="53"/>
      <c r="M551" s="44"/>
      <c r="N551" s="45"/>
      <c r="O551" s="46">
        <f t="shared" si="310"/>
        <v>94.4</v>
      </c>
      <c r="P551" s="48"/>
      <c r="Q551" s="48"/>
      <c r="R551" s="78">
        <f t="shared" si="307"/>
        <v>39.5640397350993</v>
      </c>
      <c r="S551" s="78"/>
      <c r="T551" s="79">
        <f t="shared" si="308"/>
        <v>0.0747019867549669</v>
      </c>
      <c r="U551" s="78"/>
      <c r="V551" s="78"/>
      <c r="W551" s="80">
        <f t="shared" si="302"/>
        <v>39.6387417218543</v>
      </c>
      <c r="X551" s="81">
        <f t="shared" si="309"/>
        <v>1.03507695364238</v>
      </c>
      <c r="Y551" s="81"/>
      <c r="Z551" s="81"/>
      <c r="AA551" s="110">
        <f t="shared" si="304"/>
        <v>1.03507695364238</v>
      </c>
      <c r="AB551" s="90">
        <v>7.19</v>
      </c>
      <c r="AC551" s="78">
        <f t="shared" si="305"/>
        <v>7.44220329668874</v>
      </c>
      <c r="AD551" s="78">
        <f t="shared" si="306"/>
        <v>47.080945018543</v>
      </c>
      <c r="AE551" s="78">
        <f t="shared" si="303"/>
        <v>47.319054981457</v>
      </c>
    </row>
    <row r="552" customFormat="1" spans="1:31">
      <c r="A552" s="18"/>
      <c r="B552" s="19"/>
      <c r="C552" s="20">
        <v>240314000010</v>
      </c>
      <c r="D552" s="21">
        <v>45371</v>
      </c>
      <c r="E552" s="21" t="s">
        <v>44</v>
      </c>
      <c r="F552" s="19" t="s">
        <v>45</v>
      </c>
      <c r="G552" s="19" t="s">
        <v>226</v>
      </c>
      <c r="H552" s="19">
        <v>9.5</v>
      </c>
      <c r="I552" s="41">
        <v>660</v>
      </c>
      <c r="J552" s="53"/>
      <c r="K552" s="51"/>
      <c r="L552" s="53"/>
      <c r="M552" s="44"/>
      <c r="N552" s="45"/>
      <c r="O552" s="46">
        <f t="shared" si="310"/>
        <v>660</v>
      </c>
      <c r="P552" s="48"/>
      <c r="Q552" s="48"/>
      <c r="R552" s="78">
        <f t="shared" si="307"/>
        <v>399.849337748344</v>
      </c>
      <c r="S552" s="78"/>
      <c r="T552" s="79">
        <f t="shared" si="308"/>
        <v>0.754966887417219</v>
      </c>
      <c r="U552" s="78"/>
      <c r="V552" s="78"/>
      <c r="W552" s="80">
        <f t="shared" si="302"/>
        <v>400.604304635762</v>
      </c>
      <c r="X552" s="81">
        <f t="shared" si="309"/>
        <v>10.4608841059603</v>
      </c>
      <c r="Y552" s="81"/>
      <c r="Z552" s="81"/>
      <c r="AA552" s="110">
        <f t="shared" si="304"/>
        <v>10.4608841059603</v>
      </c>
      <c r="AB552" s="90">
        <v>7.19</v>
      </c>
      <c r="AC552" s="78">
        <f t="shared" si="305"/>
        <v>75.2137567218543</v>
      </c>
      <c r="AD552" s="78">
        <f t="shared" si="306"/>
        <v>475.818061357616</v>
      </c>
      <c r="AE552" s="78">
        <f t="shared" si="303"/>
        <v>184.181938642384</v>
      </c>
    </row>
    <row r="553" customFormat="1" spans="1:31">
      <c r="A553" s="18"/>
      <c r="B553" s="19"/>
      <c r="C553" s="20">
        <v>240314000011</v>
      </c>
      <c r="D553" s="21">
        <v>45371</v>
      </c>
      <c r="E553" s="21" t="s">
        <v>44</v>
      </c>
      <c r="F553" s="19" t="s">
        <v>45</v>
      </c>
      <c r="G553" s="19" t="s">
        <v>403</v>
      </c>
      <c r="H553" s="19">
        <v>6.5</v>
      </c>
      <c r="I553" s="41">
        <v>350</v>
      </c>
      <c r="J553" s="53"/>
      <c r="K553" s="51"/>
      <c r="L553" s="53"/>
      <c r="M553" s="44"/>
      <c r="N553" s="45"/>
      <c r="O553" s="46">
        <f t="shared" si="310"/>
        <v>350</v>
      </c>
      <c r="P553" s="48"/>
      <c r="Q553" s="48"/>
      <c r="R553" s="78">
        <f t="shared" si="307"/>
        <v>273.581125827815</v>
      </c>
      <c r="S553" s="78"/>
      <c r="T553" s="79">
        <f t="shared" si="308"/>
        <v>0.516556291390728</v>
      </c>
      <c r="U553" s="78"/>
      <c r="V553" s="78"/>
      <c r="W553" s="80">
        <f t="shared" si="302"/>
        <v>274.097682119205</v>
      </c>
      <c r="X553" s="81">
        <f t="shared" si="309"/>
        <v>7.15744701986755</v>
      </c>
      <c r="Y553" s="81"/>
      <c r="Z553" s="81"/>
      <c r="AA553" s="110">
        <f t="shared" si="304"/>
        <v>7.15744701986755</v>
      </c>
      <c r="AB553" s="90">
        <v>7.19</v>
      </c>
      <c r="AC553" s="78">
        <f t="shared" si="305"/>
        <v>51.4620440728477</v>
      </c>
      <c r="AD553" s="78">
        <f t="shared" si="306"/>
        <v>325.559726192053</v>
      </c>
      <c r="AE553" s="78">
        <f t="shared" si="303"/>
        <v>24.440273807947</v>
      </c>
    </row>
    <row r="554" customFormat="1" spans="1:31">
      <c r="A554" s="18"/>
      <c r="B554" s="19"/>
      <c r="C554" s="20">
        <v>240314000017</v>
      </c>
      <c r="D554" s="21">
        <v>45371</v>
      </c>
      <c r="E554" s="21" t="s">
        <v>37</v>
      </c>
      <c r="F554" s="19" t="s">
        <v>38</v>
      </c>
      <c r="G554" s="19" t="s">
        <v>404</v>
      </c>
      <c r="H554" s="19">
        <v>103.5</v>
      </c>
      <c r="I554" s="46"/>
      <c r="J554" s="54">
        <v>1061613</v>
      </c>
      <c r="K554" s="93"/>
      <c r="L554" s="50">
        <f>SUM(J554/M554)</f>
        <v>1350</v>
      </c>
      <c r="M554" s="52">
        <v>786.38</v>
      </c>
      <c r="N554" s="45">
        <v>7.19</v>
      </c>
      <c r="O554" s="46">
        <f>SUM(M554*N554)</f>
        <v>5654.0722</v>
      </c>
      <c r="P554" s="48"/>
      <c r="Q554" s="48"/>
      <c r="R554" s="78">
        <f t="shared" si="307"/>
        <v>4356.25331125828</v>
      </c>
      <c r="S554" s="78"/>
      <c r="T554" s="79">
        <f t="shared" si="308"/>
        <v>8.22516556291391</v>
      </c>
      <c r="U554" s="78"/>
      <c r="V554" s="78"/>
      <c r="W554" s="80">
        <f t="shared" si="302"/>
        <v>4364.47847682119</v>
      </c>
      <c r="X554" s="81">
        <f t="shared" si="309"/>
        <v>113.968579470199</v>
      </c>
      <c r="Y554" s="81"/>
      <c r="Z554" s="81"/>
      <c r="AA554" s="110">
        <f t="shared" si="304"/>
        <v>113.968579470199</v>
      </c>
      <c r="AB554" s="90">
        <v>7.19</v>
      </c>
      <c r="AC554" s="78">
        <f t="shared" si="305"/>
        <v>819.434086390729</v>
      </c>
      <c r="AD554" s="78">
        <f t="shared" si="306"/>
        <v>5183.91256321192</v>
      </c>
      <c r="AE554" s="78">
        <f t="shared" si="303"/>
        <v>470.159636788079</v>
      </c>
    </row>
    <row r="555" customFormat="1" spans="1:31">
      <c r="A555" s="18"/>
      <c r="B555" s="19"/>
      <c r="C555" s="20">
        <v>240314000018</v>
      </c>
      <c r="D555" s="21">
        <v>45371</v>
      </c>
      <c r="E555" s="21" t="s">
        <v>44</v>
      </c>
      <c r="F555" s="19" t="s">
        <v>45</v>
      </c>
      <c r="G555" s="19" t="s">
        <v>405</v>
      </c>
      <c r="H555" s="19">
        <v>10.5</v>
      </c>
      <c r="I555" s="41">
        <v>675</v>
      </c>
      <c r="J555" s="53"/>
      <c r="K555" s="51"/>
      <c r="L555" s="53"/>
      <c r="M555" s="44"/>
      <c r="N555" s="45"/>
      <c r="O555" s="46">
        <f t="shared" ref="O555:O564" si="311">SUM(I555)</f>
        <v>675</v>
      </c>
      <c r="P555" s="48"/>
      <c r="Q555" s="48"/>
      <c r="R555" s="78">
        <f t="shared" si="307"/>
        <v>441.938741721854</v>
      </c>
      <c r="S555" s="78"/>
      <c r="T555" s="79">
        <f t="shared" si="308"/>
        <v>0.834437086092715</v>
      </c>
      <c r="U555" s="78"/>
      <c r="V555" s="78"/>
      <c r="W555" s="80">
        <f t="shared" si="302"/>
        <v>442.773178807947</v>
      </c>
      <c r="X555" s="81">
        <f t="shared" si="309"/>
        <v>11.5620298013245</v>
      </c>
      <c r="Y555" s="81"/>
      <c r="Z555" s="81"/>
      <c r="AA555" s="110">
        <f t="shared" si="304"/>
        <v>11.5620298013245</v>
      </c>
      <c r="AB555" s="90">
        <v>7.19</v>
      </c>
      <c r="AC555" s="78">
        <f t="shared" si="305"/>
        <v>83.1309942715232</v>
      </c>
      <c r="AD555" s="78">
        <f t="shared" si="306"/>
        <v>525.90417307947</v>
      </c>
      <c r="AE555" s="78">
        <f t="shared" si="303"/>
        <v>149.09582692053</v>
      </c>
    </row>
    <row r="556" customFormat="1" spans="1:31">
      <c r="A556" s="18"/>
      <c r="B556" s="19"/>
      <c r="C556" s="20">
        <v>240314000025</v>
      </c>
      <c r="D556" s="21">
        <v>45371</v>
      </c>
      <c r="E556" s="21" t="s">
        <v>70</v>
      </c>
      <c r="F556" s="19" t="s">
        <v>70</v>
      </c>
      <c r="G556" s="19" t="s">
        <v>315</v>
      </c>
      <c r="H556" s="19">
        <v>14.5</v>
      </c>
      <c r="I556" s="41">
        <v>812</v>
      </c>
      <c r="J556" s="53"/>
      <c r="K556" s="51"/>
      <c r="L556" s="53"/>
      <c r="M556" s="44"/>
      <c r="N556" s="45"/>
      <c r="O556" s="46">
        <f t="shared" si="311"/>
        <v>812</v>
      </c>
      <c r="P556" s="48"/>
      <c r="Q556" s="48"/>
      <c r="R556" s="78">
        <f t="shared" si="307"/>
        <v>610.296357615894</v>
      </c>
      <c r="S556" s="78"/>
      <c r="T556" s="79">
        <f t="shared" si="308"/>
        <v>1.1523178807947</v>
      </c>
      <c r="U556" s="78"/>
      <c r="V556" s="78"/>
      <c r="W556" s="80">
        <f t="shared" si="302"/>
        <v>611.448675496689</v>
      </c>
      <c r="X556" s="81">
        <f t="shared" si="309"/>
        <v>15.9666125827815</v>
      </c>
      <c r="Y556" s="81"/>
      <c r="Z556" s="81"/>
      <c r="AA556" s="110">
        <f t="shared" si="304"/>
        <v>15.9666125827815</v>
      </c>
      <c r="AB556" s="90">
        <v>7.19</v>
      </c>
      <c r="AC556" s="78">
        <f t="shared" si="305"/>
        <v>114.799944470199</v>
      </c>
      <c r="AD556" s="78">
        <f t="shared" si="306"/>
        <v>726.248619966887</v>
      </c>
      <c r="AE556" s="78">
        <f t="shared" si="303"/>
        <v>85.751380033113</v>
      </c>
    </row>
    <row r="557" customFormat="1" spans="1:31">
      <c r="A557" s="18"/>
      <c r="B557" s="19"/>
      <c r="C557" s="20">
        <v>240314000035</v>
      </c>
      <c r="D557" s="21">
        <v>45371</v>
      </c>
      <c r="E557" s="21" t="s">
        <v>47</v>
      </c>
      <c r="F557" s="19" t="s">
        <v>48</v>
      </c>
      <c r="G557" s="19" t="s">
        <v>406</v>
      </c>
      <c r="H557" s="19">
        <v>8.5</v>
      </c>
      <c r="I557" s="41">
        <v>833</v>
      </c>
      <c r="J557" s="53"/>
      <c r="K557" s="51"/>
      <c r="L557" s="53"/>
      <c r="M557" s="44"/>
      <c r="N557" s="45"/>
      <c r="O557" s="46">
        <f t="shared" si="311"/>
        <v>833</v>
      </c>
      <c r="P557" s="48"/>
      <c r="Q557" s="48"/>
      <c r="R557" s="78">
        <f t="shared" si="307"/>
        <v>357.759933774834</v>
      </c>
      <c r="S557" s="78"/>
      <c r="T557" s="79">
        <f t="shared" si="308"/>
        <v>0.675496688741722</v>
      </c>
      <c r="U557" s="78"/>
      <c r="V557" s="78"/>
      <c r="W557" s="80">
        <f t="shared" si="302"/>
        <v>358.435430463576</v>
      </c>
      <c r="X557" s="81">
        <f t="shared" si="309"/>
        <v>9.35973841059603</v>
      </c>
      <c r="Y557" s="81"/>
      <c r="Z557" s="81"/>
      <c r="AA557" s="110">
        <f t="shared" si="304"/>
        <v>9.35973841059603</v>
      </c>
      <c r="AB557" s="90">
        <v>7.19</v>
      </c>
      <c r="AC557" s="78">
        <f t="shared" si="305"/>
        <v>67.2965191721854</v>
      </c>
      <c r="AD557" s="78">
        <f t="shared" si="306"/>
        <v>425.731949635762</v>
      </c>
      <c r="AE557" s="78">
        <f t="shared" si="303"/>
        <v>407.268050364238</v>
      </c>
    </row>
    <row r="558" customFormat="1" spans="1:31">
      <c r="A558" s="18"/>
      <c r="B558" s="19"/>
      <c r="C558" s="20">
        <v>240314000036</v>
      </c>
      <c r="D558" s="21">
        <v>45371</v>
      </c>
      <c r="E558" s="21" t="s">
        <v>44</v>
      </c>
      <c r="F558" s="19" t="s">
        <v>45</v>
      </c>
      <c r="G558" s="19" t="s">
        <v>377</v>
      </c>
      <c r="H558" s="19">
        <v>16</v>
      </c>
      <c r="I558" s="41">
        <v>880</v>
      </c>
      <c r="J558" s="53"/>
      <c r="K558" s="51"/>
      <c r="L558" s="53"/>
      <c r="M558" s="44"/>
      <c r="N558" s="45"/>
      <c r="O558" s="46">
        <f t="shared" si="311"/>
        <v>880</v>
      </c>
      <c r="P558" s="48"/>
      <c r="Q558" s="48"/>
      <c r="R558" s="78">
        <f t="shared" si="307"/>
        <v>673.430463576159</v>
      </c>
      <c r="S558" s="78"/>
      <c r="T558" s="79">
        <f t="shared" si="308"/>
        <v>1.27152317880795</v>
      </c>
      <c r="U558" s="78"/>
      <c r="V558" s="78"/>
      <c r="W558" s="80">
        <f t="shared" si="302"/>
        <v>674.701986754967</v>
      </c>
      <c r="X558" s="81">
        <f t="shared" si="309"/>
        <v>17.6183311258278</v>
      </c>
      <c r="Y558" s="81"/>
      <c r="Z558" s="81"/>
      <c r="AA558" s="110">
        <f t="shared" si="304"/>
        <v>17.6183311258278</v>
      </c>
      <c r="AB558" s="90">
        <v>7.19</v>
      </c>
      <c r="AC558" s="78">
        <f t="shared" si="305"/>
        <v>126.675800794702</v>
      </c>
      <c r="AD558" s="78">
        <f t="shared" si="306"/>
        <v>801.377787549669</v>
      </c>
      <c r="AE558" s="78">
        <f t="shared" si="303"/>
        <v>78.6222124503309</v>
      </c>
    </row>
    <row r="559" customFormat="1" spans="1:31">
      <c r="A559" s="18"/>
      <c r="B559" s="19"/>
      <c r="C559" s="20">
        <v>240315000009</v>
      </c>
      <c r="D559" s="21">
        <v>45371</v>
      </c>
      <c r="E559" s="21" t="s">
        <v>44</v>
      </c>
      <c r="F559" s="19" t="s">
        <v>45</v>
      </c>
      <c r="G559" s="19" t="s">
        <v>407</v>
      </c>
      <c r="H559" s="19">
        <v>12.5</v>
      </c>
      <c r="I559" s="41">
        <v>757.2</v>
      </c>
      <c r="J559" s="53"/>
      <c r="K559" s="51"/>
      <c r="L559" s="53"/>
      <c r="M559" s="44"/>
      <c r="N559" s="45"/>
      <c r="O559" s="46">
        <f t="shared" si="311"/>
        <v>757.2</v>
      </c>
      <c r="P559" s="48"/>
      <c r="Q559" s="48"/>
      <c r="R559" s="78">
        <f t="shared" si="307"/>
        <v>526.117549668874</v>
      </c>
      <c r="S559" s="78"/>
      <c r="T559" s="79">
        <f t="shared" si="308"/>
        <v>0.993377483443709</v>
      </c>
      <c r="U559" s="78"/>
      <c r="V559" s="78"/>
      <c r="W559" s="80">
        <f t="shared" si="302"/>
        <v>527.110927152318</v>
      </c>
      <c r="X559" s="81">
        <f t="shared" si="309"/>
        <v>13.764321192053</v>
      </c>
      <c r="Y559" s="81"/>
      <c r="Z559" s="81"/>
      <c r="AA559" s="110">
        <f t="shared" si="304"/>
        <v>13.764321192053</v>
      </c>
      <c r="AB559" s="90">
        <v>7.19</v>
      </c>
      <c r="AC559" s="78">
        <f t="shared" si="305"/>
        <v>98.9654693708609</v>
      </c>
      <c r="AD559" s="78">
        <f t="shared" si="306"/>
        <v>626.076396523179</v>
      </c>
      <c r="AE559" s="78">
        <f t="shared" si="303"/>
        <v>131.123603476821</v>
      </c>
    </row>
    <row r="560" customFormat="1" spans="1:31">
      <c r="A560" s="18"/>
      <c r="B560" s="19"/>
      <c r="C560" s="20">
        <v>240315000017</v>
      </c>
      <c r="D560" s="21">
        <v>45371</v>
      </c>
      <c r="E560" s="21" t="s">
        <v>47</v>
      </c>
      <c r="F560" s="19" t="s">
        <v>373</v>
      </c>
      <c r="G560" s="19" t="s">
        <v>374</v>
      </c>
      <c r="H560" s="19">
        <v>35</v>
      </c>
      <c r="I560" s="41">
        <v>3021.7</v>
      </c>
      <c r="J560" s="42"/>
      <c r="K560" s="43"/>
      <c r="L560" s="42"/>
      <c r="M560" s="44"/>
      <c r="N560" s="45"/>
      <c r="O560" s="46">
        <f t="shared" si="311"/>
        <v>3021.7</v>
      </c>
      <c r="P560" s="48"/>
      <c r="Q560" s="48"/>
      <c r="R560" s="78">
        <f t="shared" si="307"/>
        <v>1473.12913907285</v>
      </c>
      <c r="S560" s="78"/>
      <c r="T560" s="79">
        <f t="shared" si="308"/>
        <v>2.78145695364238</v>
      </c>
      <c r="U560" s="78"/>
      <c r="V560" s="78"/>
      <c r="W560" s="80">
        <f t="shared" si="302"/>
        <v>1475.91059602649</v>
      </c>
      <c r="X560" s="81">
        <f t="shared" si="309"/>
        <v>38.5400993377483</v>
      </c>
      <c r="Y560" s="81"/>
      <c r="Z560" s="81"/>
      <c r="AA560" s="110">
        <f t="shared" si="304"/>
        <v>38.5400993377483</v>
      </c>
      <c r="AB560" s="90">
        <v>7.19</v>
      </c>
      <c r="AC560" s="78">
        <f t="shared" si="305"/>
        <v>277.103314238411</v>
      </c>
      <c r="AD560" s="78">
        <f t="shared" si="306"/>
        <v>1753.0139102649</v>
      </c>
      <c r="AE560" s="78">
        <f t="shared" si="303"/>
        <v>1268.6860897351</v>
      </c>
    </row>
    <row r="561" customFormat="1" spans="1:31">
      <c r="A561" s="18"/>
      <c r="B561" s="19"/>
      <c r="C561" s="20">
        <v>240315000026</v>
      </c>
      <c r="D561" s="21">
        <v>45371</v>
      </c>
      <c r="E561" s="21" t="s">
        <v>70</v>
      </c>
      <c r="F561" s="19" t="s">
        <v>70</v>
      </c>
      <c r="G561" s="19" t="s">
        <v>71</v>
      </c>
      <c r="H561" s="19">
        <v>133</v>
      </c>
      <c r="I561" s="41">
        <v>6218</v>
      </c>
      <c r="J561" s="53"/>
      <c r="K561" s="51"/>
      <c r="L561" s="53"/>
      <c r="M561" s="44"/>
      <c r="N561" s="45"/>
      <c r="O561" s="46">
        <f t="shared" si="311"/>
        <v>6218</v>
      </c>
      <c r="P561" s="48"/>
      <c r="Q561" s="48"/>
      <c r="R561" s="78">
        <f t="shared" si="307"/>
        <v>5597.89072847682</v>
      </c>
      <c r="S561" s="78"/>
      <c r="T561" s="79">
        <f t="shared" si="308"/>
        <v>10.5695364238411</v>
      </c>
      <c r="U561" s="78"/>
      <c r="V561" s="78"/>
      <c r="W561" s="80">
        <f t="shared" si="302"/>
        <v>5608.46026490066</v>
      </c>
      <c r="X561" s="81">
        <f t="shared" si="309"/>
        <v>146.452377483444</v>
      </c>
      <c r="Y561" s="81"/>
      <c r="Z561" s="81"/>
      <c r="AA561" s="110">
        <f t="shared" si="304"/>
        <v>146.452377483444</v>
      </c>
      <c r="AB561" s="90">
        <v>7.19</v>
      </c>
      <c r="AC561" s="78">
        <f t="shared" si="305"/>
        <v>1052.99259410596</v>
      </c>
      <c r="AD561" s="78">
        <f t="shared" si="306"/>
        <v>6661.45285900662</v>
      </c>
      <c r="AE561" s="78">
        <f t="shared" si="303"/>
        <v>-443.45285900662</v>
      </c>
    </row>
    <row r="562" customFormat="1" spans="1:31">
      <c r="A562" s="18"/>
      <c r="B562" s="19"/>
      <c r="C562" s="20">
        <v>240315000035</v>
      </c>
      <c r="D562" s="21">
        <v>45371</v>
      </c>
      <c r="E562" s="21" t="s">
        <v>70</v>
      </c>
      <c r="F562" s="19" t="s">
        <v>70</v>
      </c>
      <c r="G562" s="19" t="s">
        <v>142</v>
      </c>
      <c r="H562" s="19">
        <v>30</v>
      </c>
      <c r="I562" s="41">
        <v>1720</v>
      </c>
      <c r="J562" s="53"/>
      <c r="K562" s="51"/>
      <c r="L562" s="53"/>
      <c r="M562" s="44"/>
      <c r="N562" s="45"/>
      <c r="O562" s="46">
        <f t="shared" si="311"/>
        <v>1720</v>
      </c>
      <c r="P562" s="48"/>
      <c r="Q562" s="48"/>
      <c r="R562" s="78">
        <f t="shared" si="307"/>
        <v>1262.6821192053</v>
      </c>
      <c r="S562" s="78"/>
      <c r="T562" s="79">
        <f t="shared" si="308"/>
        <v>2.3841059602649</v>
      </c>
      <c r="U562" s="78"/>
      <c r="V562" s="78"/>
      <c r="W562" s="80">
        <f t="shared" si="302"/>
        <v>1265.06622516556</v>
      </c>
      <c r="X562" s="81">
        <f t="shared" si="309"/>
        <v>33.0343708609272</v>
      </c>
      <c r="Y562" s="81"/>
      <c r="Z562" s="81"/>
      <c r="AA562" s="110">
        <f t="shared" si="304"/>
        <v>33.0343708609272</v>
      </c>
      <c r="AB562" s="90">
        <v>7.19</v>
      </c>
      <c r="AC562" s="78">
        <f t="shared" si="305"/>
        <v>237.517126490066</v>
      </c>
      <c r="AD562" s="78">
        <f t="shared" si="306"/>
        <v>1502.58335165563</v>
      </c>
      <c r="AE562" s="78">
        <f t="shared" si="303"/>
        <v>217.41664834437</v>
      </c>
    </row>
    <row r="563" customFormat="1" spans="1:31">
      <c r="A563" s="18"/>
      <c r="B563" s="19"/>
      <c r="C563" s="20">
        <v>240315000037</v>
      </c>
      <c r="D563" s="21">
        <v>45371</v>
      </c>
      <c r="E563" s="21" t="s">
        <v>41</v>
      </c>
      <c r="F563" s="19" t="s">
        <v>42</v>
      </c>
      <c r="G563" s="19" t="s">
        <v>73</v>
      </c>
      <c r="H563" s="19">
        <v>7</v>
      </c>
      <c r="I563" s="41">
        <v>735</v>
      </c>
      <c r="J563" s="53"/>
      <c r="K563" s="51"/>
      <c r="L563" s="53"/>
      <c r="M563" s="44"/>
      <c r="N563" s="45"/>
      <c r="O563" s="46">
        <f t="shared" si="311"/>
        <v>735</v>
      </c>
      <c r="P563" s="48"/>
      <c r="Q563" s="48"/>
      <c r="R563" s="78">
        <f t="shared" si="307"/>
        <v>294.62582781457</v>
      </c>
      <c r="S563" s="78"/>
      <c r="T563" s="79">
        <f t="shared" si="308"/>
        <v>0.556291390728477</v>
      </c>
      <c r="U563" s="78"/>
      <c r="V563" s="78"/>
      <c r="W563" s="80">
        <f t="shared" si="302"/>
        <v>295.182119205298</v>
      </c>
      <c r="X563" s="81">
        <f t="shared" si="309"/>
        <v>7.70801986754967</v>
      </c>
      <c r="Y563" s="81"/>
      <c r="Z563" s="81"/>
      <c r="AA563" s="110">
        <f t="shared" si="304"/>
        <v>7.70801986754967</v>
      </c>
      <c r="AB563" s="90">
        <v>7.19</v>
      </c>
      <c r="AC563" s="78">
        <f t="shared" si="305"/>
        <v>55.4206628476821</v>
      </c>
      <c r="AD563" s="78">
        <f t="shared" si="306"/>
        <v>350.60278205298</v>
      </c>
      <c r="AE563" s="78">
        <f t="shared" si="303"/>
        <v>384.39721794702</v>
      </c>
    </row>
    <row r="564" customFormat="1" spans="1:31">
      <c r="A564" s="18"/>
      <c r="B564" s="19"/>
      <c r="C564" s="20">
        <v>240315000041</v>
      </c>
      <c r="D564" s="21">
        <v>45371</v>
      </c>
      <c r="E564" s="21" t="s">
        <v>41</v>
      </c>
      <c r="F564" s="19" t="s">
        <v>42</v>
      </c>
      <c r="G564" s="19" t="s">
        <v>391</v>
      </c>
      <c r="H564" s="19">
        <v>46</v>
      </c>
      <c r="I564" s="41">
        <v>2830</v>
      </c>
      <c r="J564" s="53"/>
      <c r="K564" s="51"/>
      <c r="L564" s="53"/>
      <c r="M564" s="44"/>
      <c r="N564" s="45"/>
      <c r="O564" s="46">
        <f t="shared" si="311"/>
        <v>2830</v>
      </c>
      <c r="P564" s="48"/>
      <c r="Q564" s="48"/>
      <c r="R564" s="78">
        <f t="shared" si="307"/>
        <v>1936.11258278146</v>
      </c>
      <c r="S564" s="78"/>
      <c r="T564" s="79">
        <f t="shared" si="308"/>
        <v>3.65562913907285</v>
      </c>
      <c r="U564" s="78">
        <v>60</v>
      </c>
      <c r="V564" s="78"/>
      <c r="W564" s="80">
        <f t="shared" si="302"/>
        <v>1999.76821192053</v>
      </c>
      <c r="X564" s="81">
        <f t="shared" si="309"/>
        <v>50.652701986755</v>
      </c>
      <c r="Y564" s="81"/>
      <c r="Z564" s="81"/>
      <c r="AA564" s="110">
        <f t="shared" si="304"/>
        <v>50.652701986755</v>
      </c>
      <c r="AB564" s="90">
        <v>7.19</v>
      </c>
      <c r="AC564" s="78">
        <f t="shared" si="305"/>
        <v>364.192927284768</v>
      </c>
      <c r="AD564" s="78">
        <f t="shared" si="306"/>
        <v>2363.9611392053</v>
      </c>
      <c r="AE564" s="78">
        <f t="shared" ref="AE564:AE576" si="312">SUM(O564-AD564)</f>
        <v>466.0388607947</v>
      </c>
    </row>
    <row r="565" customFormat="1" spans="1:31">
      <c r="A565" s="18"/>
      <c r="B565" s="19"/>
      <c r="C565" s="20">
        <v>240315000043</v>
      </c>
      <c r="D565" s="21">
        <v>45371</v>
      </c>
      <c r="E565" s="21" t="s">
        <v>44</v>
      </c>
      <c r="F565" s="19" t="s">
        <v>45</v>
      </c>
      <c r="G565" s="19" t="s">
        <v>383</v>
      </c>
      <c r="H565" s="19">
        <v>2.5</v>
      </c>
      <c r="I565" s="49"/>
      <c r="J565" s="50">
        <v>26250</v>
      </c>
      <c r="K565" s="91"/>
      <c r="L565" s="50">
        <f>SUM(J565/M565)</f>
        <v>1258.38926174497</v>
      </c>
      <c r="M565" s="52">
        <v>20.86</v>
      </c>
      <c r="N565" s="45">
        <v>7.19</v>
      </c>
      <c r="O565" s="46">
        <f>SUM(M565*N565)</f>
        <v>149.9834</v>
      </c>
      <c r="P565" s="48"/>
      <c r="Q565" s="48"/>
      <c r="R565" s="78">
        <f t="shared" si="307"/>
        <v>105.223509933775</v>
      </c>
      <c r="S565" s="78"/>
      <c r="T565" s="79">
        <f t="shared" si="308"/>
        <v>0.198675496688742</v>
      </c>
      <c r="U565" s="78"/>
      <c r="V565" s="78"/>
      <c r="W565" s="80">
        <f t="shared" si="302"/>
        <v>105.422185430464</v>
      </c>
      <c r="X565" s="81">
        <f t="shared" si="309"/>
        <v>2.7528642384106</v>
      </c>
      <c r="Y565" s="81"/>
      <c r="Z565" s="81"/>
      <c r="AA565" s="110">
        <f t="shared" si="304"/>
        <v>2.7528642384106</v>
      </c>
      <c r="AB565" s="90">
        <v>7.19</v>
      </c>
      <c r="AC565" s="78">
        <f t="shared" ref="AC565:AC576" si="313">SUM(AA565*AB565)</f>
        <v>19.7930938741722</v>
      </c>
      <c r="AD565" s="78">
        <f t="shared" si="306"/>
        <v>125.215279304636</v>
      </c>
      <c r="AE565" s="78">
        <f t="shared" si="312"/>
        <v>24.7681206953642</v>
      </c>
    </row>
    <row r="566" customFormat="1" spans="1:31">
      <c r="A566" s="18"/>
      <c r="B566" s="19"/>
      <c r="C566" s="20">
        <v>240315000046</v>
      </c>
      <c r="D566" s="21">
        <v>45371</v>
      </c>
      <c r="E566" s="21" t="s">
        <v>70</v>
      </c>
      <c r="F566" s="19" t="s">
        <v>70</v>
      </c>
      <c r="G566" s="19" t="s">
        <v>204</v>
      </c>
      <c r="H566" s="19">
        <v>121</v>
      </c>
      <c r="I566" s="41">
        <v>10943</v>
      </c>
      <c r="J566" s="53"/>
      <c r="K566" s="51"/>
      <c r="L566" s="53"/>
      <c r="M566" s="44"/>
      <c r="N566" s="45"/>
      <c r="O566" s="46">
        <f t="shared" ref="O566:O568" si="314">SUM(I566)</f>
        <v>10943</v>
      </c>
      <c r="P566" s="48"/>
      <c r="Q566" s="48"/>
      <c r="R566" s="78">
        <f t="shared" si="307"/>
        <v>5092.8178807947</v>
      </c>
      <c r="S566" s="78"/>
      <c r="T566" s="79">
        <f t="shared" si="308"/>
        <v>9.6158940397351</v>
      </c>
      <c r="U566" s="78"/>
      <c r="V566" s="78"/>
      <c r="W566" s="80">
        <f t="shared" si="302"/>
        <v>5102.43377483444</v>
      </c>
      <c r="X566" s="81">
        <f t="shared" si="309"/>
        <v>133.238629139073</v>
      </c>
      <c r="Y566" s="81"/>
      <c r="Z566" s="81"/>
      <c r="AA566" s="110">
        <f t="shared" ref="AA566:AA576" si="315">SUM(X566:Z566)</f>
        <v>133.238629139073</v>
      </c>
      <c r="AB566" s="90">
        <v>7.19</v>
      </c>
      <c r="AC566" s="78">
        <f t="shared" si="313"/>
        <v>957.985743509934</v>
      </c>
      <c r="AD566" s="78">
        <f t="shared" ref="AD566:AD576" si="316">SUM(W566+AC566)</f>
        <v>6060.41951834437</v>
      </c>
      <c r="AE566" s="78">
        <f t="shared" si="312"/>
        <v>4882.58048165563</v>
      </c>
    </row>
    <row r="567" customFormat="1" spans="1:31">
      <c r="A567" s="18"/>
      <c r="B567" s="19"/>
      <c r="C567" s="20">
        <v>240315000047</v>
      </c>
      <c r="D567" s="21">
        <v>45371</v>
      </c>
      <c r="E567" s="21" t="s">
        <v>70</v>
      </c>
      <c r="F567" s="19" t="s">
        <v>70</v>
      </c>
      <c r="G567" s="19" t="s">
        <v>74</v>
      </c>
      <c r="H567" s="19">
        <v>493.5</v>
      </c>
      <c r="I567" s="57">
        <v>22207.5</v>
      </c>
      <c r="J567" s="53"/>
      <c r="K567" s="51"/>
      <c r="L567" s="53"/>
      <c r="M567" s="44"/>
      <c r="N567" s="45"/>
      <c r="O567" s="46">
        <f t="shared" si="314"/>
        <v>22207.5</v>
      </c>
      <c r="P567" s="58"/>
      <c r="Q567" s="58"/>
      <c r="R567" s="78">
        <f t="shared" si="307"/>
        <v>20771.1208609272</v>
      </c>
      <c r="S567" s="78"/>
      <c r="T567" s="79">
        <f t="shared" si="308"/>
        <v>39.2185430463576</v>
      </c>
      <c r="U567" s="78"/>
      <c r="V567" s="78"/>
      <c r="W567" s="80">
        <f t="shared" ref="W567:W576" si="317">SUM(R567:V567)</f>
        <v>20810.3394039735</v>
      </c>
      <c r="X567" s="81">
        <f t="shared" si="309"/>
        <v>543.415400662252</v>
      </c>
      <c r="Y567" s="81"/>
      <c r="Z567" s="81"/>
      <c r="AA567" s="110">
        <f t="shared" si="315"/>
        <v>543.415400662252</v>
      </c>
      <c r="AB567" s="90">
        <v>7.19</v>
      </c>
      <c r="AC567" s="78">
        <f t="shared" si="313"/>
        <v>3907.15673076159</v>
      </c>
      <c r="AD567" s="78">
        <f t="shared" si="316"/>
        <v>24717.4961347351</v>
      </c>
      <c r="AE567" s="78">
        <f t="shared" si="312"/>
        <v>-2509.9961347351</v>
      </c>
    </row>
    <row r="568" customFormat="1" spans="1:31">
      <c r="A568" s="18" t="s">
        <v>408</v>
      </c>
      <c r="B568" s="19" t="s">
        <v>409</v>
      </c>
      <c r="C568" s="20">
        <v>240315000018</v>
      </c>
      <c r="D568" s="21">
        <v>45372</v>
      </c>
      <c r="E568" s="21" t="s">
        <v>47</v>
      </c>
      <c r="F568" s="19" t="s">
        <v>48</v>
      </c>
      <c r="G568" s="19" t="s">
        <v>410</v>
      </c>
      <c r="H568" s="19">
        <v>0.94</v>
      </c>
      <c r="I568" s="41">
        <v>380</v>
      </c>
      <c r="J568" s="42"/>
      <c r="K568" s="43"/>
      <c r="L568" s="42"/>
      <c r="M568" s="44"/>
      <c r="N568" s="45"/>
      <c r="O568" s="46">
        <f t="shared" si="314"/>
        <v>380</v>
      </c>
      <c r="P568" s="47">
        <f>SUM(O568:O576)</f>
        <v>3520.0368</v>
      </c>
      <c r="Q568" s="47" t="s">
        <v>78</v>
      </c>
      <c r="R568" s="78">
        <f>SUM(1200/23)*H568</f>
        <v>49.0434782608696</v>
      </c>
      <c r="S568" s="78"/>
      <c r="T568" s="79">
        <f>SUM(68.81/23)*H568</f>
        <v>2.8122347826087</v>
      </c>
      <c r="U568" s="78"/>
      <c r="V568" s="78"/>
      <c r="W568" s="80">
        <f t="shared" si="317"/>
        <v>51.8557130434783</v>
      </c>
      <c r="X568" s="81">
        <f>SUM(115.25/23)*H568</f>
        <v>4.71021739130435</v>
      </c>
      <c r="Y568" s="81"/>
      <c r="Z568" s="81"/>
      <c r="AA568" s="110">
        <f t="shared" si="315"/>
        <v>4.71021739130435</v>
      </c>
      <c r="AB568" s="90">
        <v>7.19</v>
      </c>
      <c r="AC568" s="78">
        <f t="shared" si="313"/>
        <v>33.8664630434783</v>
      </c>
      <c r="AD568" s="78">
        <f t="shared" si="316"/>
        <v>85.7221760869565</v>
      </c>
      <c r="AE568" s="78">
        <f t="shared" si="312"/>
        <v>294.277823913043</v>
      </c>
    </row>
    <row r="569" customFormat="1" spans="1:31">
      <c r="A569" s="18"/>
      <c r="B569" s="19"/>
      <c r="C569" s="20">
        <v>240318000001</v>
      </c>
      <c r="D569" s="21">
        <v>45372</v>
      </c>
      <c r="E569" s="21" t="s">
        <v>37</v>
      </c>
      <c r="F569" s="19" t="s">
        <v>38</v>
      </c>
      <c r="G569" s="19" t="s">
        <v>248</v>
      </c>
      <c r="H569" s="19">
        <v>6.5</v>
      </c>
      <c r="I569" s="92">
        <v>734</v>
      </c>
      <c r="J569" s="104"/>
      <c r="K569" s="55"/>
      <c r="L569" s="104"/>
      <c r="M569" s="44"/>
      <c r="N569" s="45"/>
      <c r="O569" s="46">
        <f>SUBTOTAL(9,I569)</f>
        <v>734</v>
      </c>
      <c r="P569" s="48"/>
      <c r="Q569" s="48"/>
      <c r="R569" s="78">
        <f t="shared" ref="R569:R576" si="318">SUM(1200/23)*H569</f>
        <v>339.130434782609</v>
      </c>
      <c r="S569" s="78"/>
      <c r="T569" s="79">
        <f t="shared" ref="T569:T576" si="319">SUM(68.81/23)*H569</f>
        <v>19.4463043478261</v>
      </c>
      <c r="U569" s="78"/>
      <c r="V569" s="79">
        <v>102</v>
      </c>
      <c r="W569" s="80">
        <f t="shared" si="317"/>
        <v>460.576739130435</v>
      </c>
      <c r="X569" s="81">
        <f t="shared" ref="X569:X576" si="320">SUM(115.25/23)*H569</f>
        <v>32.570652173913</v>
      </c>
      <c r="Y569" s="81"/>
      <c r="Z569" s="81"/>
      <c r="AA569" s="110">
        <f t="shared" si="315"/>
        <v>32.570652173913</v>
      </c>
      <c r="AB569" s="90">
        <v>7.19</v>
      </c>
      <c r="AC569" s="78">
        <f t="shared" si="313"/>
        <v>234.182989130435</v>
      </c>
      <c r="AD569" s="78">
        <f t="shared" si="316"/>
        <v>694.75972826087</v>
      </c>
      <c r="AE569" s="78">
        <f t="shared" si="312"/>
        <v>39.24027173913</v>
      </c>
    </row>
    <row r="570" customFormat="1" spans="1:31">
      <c r="A570" s="18"/>
      <c r="B570" s="19"/>
      <c r="C570" s="20">
        <v>240318000015</v>
      </c>
      <c r="D570" s="21">
        <v>45372</v>
      </c>
      <c r="E570" s="21" t="s">
        <v>41</v>
      </c>
      <c r="F570" s="19" t="s">
        <v>42</v>
      </c>
      <c r="G570" s="19" t="s">
        <v>411</v>
      </c>
      <c r="H570" s="19">
        <v>1.5</v>
      </c>
      <c r="I570" s="41">
        <v>172</v>
      </c>
      <c r="J570" s="42"/>
      <c r="K570" s="43"/>
      <c r="L570" s="42"/>
      <c r="M570" s="44"/>
      <c r="N570" s="45"/>
      <c r="O570" s="46">
        <f t="shared" ref="O570:O573" si="321">SUM(I570)</f>
        <v>172</v>
      </c>
      <c r="P570" s="48"/>
      <c r="Q570" s="48"/>
      <c r="R570" s="78">
        <f t="shared" si="318"/>
        <v>78.2608695652174</v>
      </c>
      <c r="S570" s="78"/>
      <c r="T570" s="79">
        <f t="shared" si="319"/>
        <v>4.48760869565217</v>
      </c>
      <c r="U570" s="78"/>
      <c r="V570" s="78"/>
      <c r="W570" s="80">
        <f t="shared" si="317"/>
        <v>82.7484782608696</v>
      </c>
      <c r="X570" s="81">
        <f t="shared" si="320"/>
        <v>7.51630434782609</v>
      </c>
      <c r="Y570" s="81"/>
      <c r="Z570" s="81"/>
      <c r="AA570" s="110">
        <f t="shared" si="315"/>
        <v>7.51630434782609</v>
      </c>
      <c r="AB570" s="90">
        <v>7.19</v>
      </c>
      <c r="AC570" s="78">
        <f t="shared" si="313"/>
        <v>54.0422282608696</v>
      </c>
      <c r="AD570" s="78">
        <f t="shared" si="316"/>
        <v>136.790706521739</v>
      </c>
      <c r="AE570" s="78">
        <f t="shared" si="312"/>
        <v>35.2092934782609</v>
      </c>
    </row>
    <row r="571" customFormat="1" spans="1:31">
      <c r="A571" s="18"/>
      <c r="B571" s="19"/>
      <c r="C571" s="20">
        <v>240318000016</v>
      </c>
      <c r="D571" s="21">
        <v>45372</v>
      </c>
      <c r="E571" s="21" t="s">
        <v>41</v>
      </c>
      <c r="F571" s="19" t="s">
        <v>42</v>
      </c>
      <c r="G571" s="19" t="s">
        <v>80</v>
      </c>
      <c r="H571" s="19">
        <v>2</v>
      </c>
      <c r="I571" s="41">
        <v>240</v>
      </c>
      <c r="J571" s="42"/>
      <c r="K571" s="43"/>
      <c r="L571" s="42"/>
      <c r="M571" s="44"/>
      <c r="N571" s="45"/>
      <c r="O571" s="46">
        <f t="shared" si="321"/>
        <v>240</v>
      </c>
      <c r="P571" s="48"/>
      <c r="Q571" s="48"/>
      <c r="R571" s="78">
        <f t="shared" si="318"/>
        <v>104.347826086957</v>
      </c>
      <c r="S571" s="78"/>
      <c r="T571" s="79">
        <f t="shared" si="319"/>
        <v>5.98347826086957</v>
      </c>
      <c r="U571" s="78"/>
      <c r="V571" s="78"/>
      <c r="W571" s="80">
        <f t="shared" si="317"/>
        <v>110.331304347826</v>
      </c>
      <c r="X571" s="81">
        <f t="shared" si="320"/>
        <v>10.0217391304348</v>
      </c>
      <c r="Y571" s="81"/>
      <c r="Z571" s="81"/>
      <c r="AA571" s="110">
        <f t="shared" si="315"/>
        <v>10.0217391304348</v>
      </c>
      <c r="AB571" s="90">
        <v>7.19</v>
      </c>
      <c r="AC571" s="78">
        <f t="shared" si="313"/>
        <v>72.0563043478261</v>
      </c>
      <c r="AD571" s="78">
        <f t="shared" si="316"/>
        <v>182.387608695652</v>
      </c>
      <c r="AE571" s="78">
        <f t="shared" si="312"/>
        <v>57.6123913043478</v>
      </c>
    </row>
    <row r="572" customFormat="1" spans="1:31">
      <c r="A572" s="18"/>
      <c r="B572" s="19"/>
      <c r="C572" s="20">
        <v>240318000027</v>
      </c>
      <c r="D572" s="21">
        <v>45372</v>
      </c>
      <c r="E572" s="21" t="s">
        <v>47</v>
      </c>
      <c r="F572" s="19" t="s">
        <v>48</v>
      </c>
      <c r="G572" s="19" t="s">
        <v>81</v>
      </c>
      <c r="H572" s="19">
        <v>8</v>
      </c>
      <c r="I572" s="41">
        <v>960</v>
      </c>
      <c r="J572" s="42"/>
      <c r="K572" s="43"/>
      <c r="L572" s="42"/>
      <c r="M572" s="44"/>
      <c r="N572" s="45"/>
      <c r="O572" s="46">
        <f t="shared" si="321"/>
        <v>960</v>
      </c>
      <c r="P572" s="48"/>
      <c r="Q572" s="48"/>
      <c r="R572" s="78">
        <f t="shared" si="318"/>
        <v>417.391304347826</v>
      </c>
      <c r="S572" s="78"/>
      <c r="T572" s="79">
        <f t="shared" si="319"/>
        <v>23.9339130434783</v>
      </c>
      <c r="U572" s="78"/>
      <c r="V572" s="78"/>
      <c r="W572" s="80">
        <f t="shared" si="317"/>
        <v>441.325217391304</v>
      </c>
      <c r="X572" s="81">
        <f t="shared" si="320"/>
        <v>40.0869565217391</v>
      </c>
      <c r="Y572" s="81"/>
      <c r="Z572" s="81"/>
      <c r="AA572" s="110">
        <f t="shared" si="315"/>
        <v>40.0869565217391</v>
      </c>
      <c r="AB572" s="90">
        <v>7.19</v>
      </c>
      <c r="AC572" s="78">
        <f t="shared" si="313"/>
        <v>288.225217391304</v>
      </c>
      <c r="AD572" s="78">
        <f t="shared" ref="AD572:AD603" si="322">SUM(W572+AC572)</f>
        <v>729.550434782609</v>
      </c>
      <c r="AE572" s="78">
        <f t="shared" si="312"/>
        <v>230.449565217391</v>
      </c>
    </row>
    <row r="573" customFormat="1" spans="1:31">
      <c r="A573" s="18"/>
      <c r="B573" s="19"/>
      <c r="C573" s="20">
        <v>240318000074</v>
      </c>
      <c r="D573" s="21">
        <v>45372</v>
      </c>
      <c r="E573" s="21" t="s">
        <v>47</v>
      </c>
      <c r="F573" s="19" t="s">
        <v>48</v>
      </c>
      <c r="G573" s="19" t="s">
        <v>81</v>
      </c>
      <c r="H573" s="19">
        <v>4.5</v>
      </c>
      <c r="I573" s="41">
        <v>540</v>
      </c>
      <c r="J573" s="42"/>
      <c r="K573" s="43"/>
      <c r="L573" s="42"/>
      <c r="M573" s="44"/>
      <c r="N573" s="45"/>
      <c r="O573" s="46">
        <f t="shared" si="321"/>
        <v>540</v>
      </c>
      <c r="P573" s="48"/>
      <c r="Q573" s="48"/>
      <c r="R573" s="78">
        <f t="shared" si="318"/>
        <v>234.782608695652</v>
      </c>
      <c r="S573" s="78"/>
      <c r="T573" s="79">
        <f t="shared" si="319"/>
        <v>13.4628260869565</v>
      </c>
      <c r="U573" s="78"/>
      <c r="V573" s="78"/>
      <c r="W573" s="80">
        <f t="shared" si="317"/>
        <v>248.245434782609</v>
      </c>
      <c r="X573" s="81">
        <f t="shared" si="320"/>
        <v>22.5489130434783</v>
      </c>
      <c r="Y573" s="81"/>
      <c r="Z573" s="81"/>
      <c r="AA573" s="110">
        <f t="shared" si="315"/>
        <v>22.5489130434783</v>
      </c>
      <c r="AB573" s="90">
        <v>7.19</v>
      </c>
      <c r="AC573" s="78">
        <f t="shared" si="313"/>
        <v>162.126684782609</v>
      </c>
      <c r="AD573" s="78">
        <f t="shared" si="322"/>
        <v>410.372119565217</v>
      </c>
      <c r="AE573" s="78">
        <f t="shared" si="312"/>
        <v>129.627880434783</v>
      </c>
    </row>
    <row r="574" customFormat="1" spans="1:31">
      <c r="A574" s="18"/>
      <c r="B574" s="19"/>
      <c r="C574" s="20">
        <v>240318000078</v>
      </c>
      <c r="D574" s="21">
        <v>45372</v>
      </c>
      <c r="E574" s="21" t="s">
        <v>47</v>
      </c>
      <c r="F574" s="19" t="s">
        <v>93</v>
      </c>
      <c r="G574" s="19" t="s">
        <v>94</v>
      </c>
      <c r="H574" s="19">
        <v>1.5</v>
      </c>
      <c r="I574" s="46"/>
      <c r="J574" s="54">
        <v>35964</v>
      </c>
      <c r="K574" s="55"/>
      <c r="L574" s="50">
        <f>SUM(J574/M574)</f>
        <v>1480</v>
      </c>
      <c r="M574" s="52">
        <v>24.3</v>
      </c>
      <c r="N574" s="45">
        <v>7.19</v>
      </c>
      <c r="O574" s="46">
        <f>SUM(M574*N574)</f>
        <v>174.717</v>
      </c>
      <c r="P574" s="48"/>
      <c r="Q574" s="48"/>
      <c r="R574" s="78">
        <f t="shared" si="318"/>
        <v>78.2608695652174</v>
      </c>
      <c r="S574" s="78"/>
      <c r="T574" s="79">
        <f t="shared" si="319"/>
        <v>4.48760869565217</v>
      </c>
      <c r="U574" s="78"/>
      <c r="V574" s="78"/>
      <c r="W574" s="80">
        <f t="shared" si="317"/>
        <v>82.7484782608696</v>
      </c>
      <c r="X574" s="81">
        <f t="shared" si="320"/>
        <v>7.51630434782609</v>
      </c>
      <c r="Y574" s="81"/>
      <c r="Z574" s="81"/>
      <c r="AA574" s="110">
        <f t="shared" si="315"/>
        <v>7.51630434782609</v>
      </c>
      <c r="AB574" s="90">
        <v>7.19</v>
      </c>
      <c r="AC574" s="78">
        <f t="shared" ref="AC574:AC605" si="323">SUM(AA574*AB574)</f>
        <v>54.0422282608696</v>
      </c>
      <c r="AD574" s="78">
        <f t="shared" si="322"/>
        <v>136.790706521739</v>
      </c>
      <c r="AE574" s="78">
        <f t="shared" si="312"/>
        <v>37.9262934782609</v>
      </c>
    </row>
    <row r="575" customFormat="1" spans="1:31">
      <c r="A575" s="18"/>
      <c r="B575" s="19"/>
      <c r="C575" s="20">
        <v>240318000079</v>
      </c>
      <c r="D575" s="21">
        <v>45372</v>
      </c>
      <c r="E575" s="21" t="s">
        <v>47</v>
      </c>
      <c r="F575" s="19" t="s">
        <v>93</v>
      </c>
      <c r="G575" s="19" t="s">
        <v>94</v>
      </c>
      <c r="H575" s="19">
        <v>0.34</v>
      </c>
      <c r="I575" s="46"/>
      <c r="J575" s="54">
        <v>30221.6</v>
      </c>
      <c r="K575" s="55"/>
      <c r="L575" s="50">
        <f>SUM(J575/M575)</f>
        <v>1480</v>
      </c>
      <c r="M575" s="52">
        <v>20.42</v>
      </c>
      <c r="N575" s="45">
        <v>7.19</v>
      </c>
      <c r="O575" s="46">
        <f>SUM(M575*N575)</f>
        <v>146.8198</v>
      </c>
      <c r="P575" s="48"/>
      <c r="Q575" s="48"/>
      <c r="R575" s="78">
        <f t="shared" si="318"/>
        <v>17.7391304347826</v>
      </c>
      <c r="S575" s="78"/>
      <c r="T575" s="79">
        <f t="shared" si="319"/>
        <v>1.01719130434783</v>
      </c>
      <c r="U575" s="78"/>
      <c r="V575" s="78"/>
      <c r="W575" s="80">
        <f t="shared" ref="W575:W606" si="324">SUM(R575:V575)</f>
        <v>18.7563217391304</v>
      </c>
      <c r="X575" s="81">
        <f t="shared" si="320"/>
        <v>1.70369565217391</v>
      </c>
      <c r="Y575" s="81"/>
      <c r="Z575" s="81"/>
      <c r="AA575" s="110">
        <f t="shared" si="315"/>
        <v>1.70369565217391</v>
      </c>
      <c r="AB575" s="90">
        <v>7.19</v>
      </c>
      <c r="AC575" s="78">
        <f t="shared" si="323"/>
        <v>12.2495717391304</v>
      </c>
      <c r="AD575" s="78">
        <f t="shared" si="322"/>
        <v>31.0058934782609</v>
      </c>
      <c r="AE575" s="78">
        <f t="shared" si="312"/>
        <v>115.813906521739</v>
      </c>
    </row>
    <row r="576" customFormat="1" spans="1:31">
      <c r="A576" s="18"/>
      <c r="B576" s="19"/>
      <c r="C576" s="20">
        <v>240319000012</v>
      </c>
      <c r="D576" s="21">
        <v>45372</v>
      </c>
      <c r="E576" s="21" t="s">
        <v>47</v>
      </c>
      <c r="F576" s="19" t="s">
        <v>48</v>
      </c>
      <c r="G576" s="19" t="s">
        <v>137</v>
      </c>
      <c r="H576" s="19">
        <v>1.5</v>
      </c>
      <c r="I576" s="41">
        <v>172.5</v>
      </c>
      <c r="J576" s="53"/>
      <c r="K576" s="51"/>
      <c r="L576" s="53"/>
      <c r="M576" s="44"/>
      <c r="N576" s="45"/>
      <c r="O576" s="46">
        <f t="shared" ref="O576:O595" si="325">SUM(I576)</f>
        <v>172.5</v>
      </c>
      <c r="P576" s="58"/>
      <c r="Q576" s="58"/>
      <c r="R576" s="78">
        <f t="shared" si="318"/>
        <v>78.2608695652174</v>
      </c>
      <c r="S576" s="78"/>
      <c r="T576" s="79">
        <f t="shared" si="319"/>
        <v>4.48760869565217</v>
      </c>
      <c r="U576" s="78"/>
      <c r="V576" s="78"/>
      <c r="W576" s="80">
        <f t="shared" si="324"/>
        <v>82.7484782608696</v>
      </c>
      <c r="X576" s="81">
        <f t="shared" si="320"/>
        <v>7.51630434782609</v>
      </c>
      <c r="Y576" s="81"/>
      <c r="Z576" s="81"/>
      <c r="AA576" s="110">
        <f t="shared" si="315"/>
        <v>7.51630434782609</v>
      </c>
      <c r="AB576" s="90">
        <v>7.19</v>
      </c>
      <c r="AC576" s="78">
        <f t="shared" si="323"/>
        <v>54.0422282608696</v>
      </c>
      <c r="AD576" s="78">
        <f t="shared" si="322"/>
        <v>136.790706521739</v>
      </c>
      <c r="AE576" s="78">
        <f t="shared" ref="AE576:AE607" si="326">SUM(O576-AD576)</f>
        <v>35.7092934782609</v>
      </c>
    </row>
    <row r="577" customFormat="1" spans="1:31">
      <c r="A577" s="18" t="s">
        <v>412</v>
      </c>
      <c r="B577" s="19" t="s">
        <v>413</v>
      </c>
      <c r="C577" s="20">
        <v>240313000025</v>
      </c>
      <c r="D577" s="21">
        <v>45373</v>
      </c>
      <c r="E577" s="21" t="s">
        <v>47</v>
      </c>
      <c r="F577" s="19" t="s">
        <v>48</v>
      </c>
      <c r="G577" s="19" t="s">
        <v>223</v>
      </c>
      <c r="H577" s="19">
        <v>11</v>
      </c>
      <c r="I577" s="41">
        <v>627.6</v>
      </c>
      <c r="J577" s="53"/>
      <c r="K577" s="51"/>
      <c r="L577" s="53"/>
      <c r="M577" s="44"/>
      <c r="N577" s="45"/>
      <c r="O577" s="46">
        <f t="shared" si="325"/>
        <v>627.6</v>
      </c>
      <c r="P577" s="47">
        <f>SUM(O577:O630)</f>
        <v>101303.4965</v>
      </c>
      <c r="Q577" s="47" t="s">
        <v>40</v>
      </c>
      <c r="R577" s="78">
        <f>SUM(70152.5/1685)*H577</f>
        <v>457.96884272997</v>
      </c>
      <c r="S577" s="78"/>
      <c r="T577" s="79">
        <f>SUM(120/1685)*H577</f>
        <v>0.783382789317507</v>
      </c>
      <c r="U577" s="78"/>
      <c r="V577" s="78"/>
      <c r="W577" s="80">
        <f t="shared" si="324"/>
        <v>458.752225519288</v>
      </c>
      <c r="X577" s="81">
        <f>SUM(2575.17/1685)*H577</f>
        <v>16.8111988130564</v>
      </c>
      <c r="Y577" s="81"/>
      <c r="Z577" s="81"/>
      <c r="AA577" s="110">
        <f t="shared" ref="AA577:AA608" si="327">SUM(X577:Z577)</f>
        <v>16.8111988130564</v>
      </c>
      <c r="AB577" s="90">
        <v>7.19</v>
      </c>
      <c r="AC577" s="78">
        <f t="shared" si="323"/>
        <v>120.872519465875</v>
      </c>
      <c r="AD577" s="78">
        <f t="shared" si="322"/>
        <v>579.624744985163</v>
      </c>
      <c r="AE577" s="78">
        <f t="shared" si="326"/>
        <v>47.9752550148368</v>
      </c>
    </row>
    <row r="578" customFormat="1" spans="1:31">
      <c r="A578" s="18"/>
      <c r="B578" s="19"/>
      <c r="C578" s="20">
        <v>240313000035</v>
      </c>
      <c r="D578" s="21">
        <v>45373</v>
      </c>
      <c r="E578" s="21" t="s">
        <v>41</v>
      </c>
      <c r="F578" s="19" t="s">
        <v>42</v>
      </c>
      <c r="G578" s="19" t="s">
        <v>414</v>
      </c>
      <c r="H578" s="19">
        <v>0.78</v>
      </c>
      <c r="I578" s="41">
        <v>169</v>
      </c>
      <c r="J578" s="53"/>
      <c r="K578" s="51"/>
      <c r="L578" s="53"/>
      <c r="M578" s="44"/>
      <c r="N578" s="45"/>
      <c r="O578" s="46">
        <f t="shared" si="325"/>
        <v>169</v>
      </c>
      <c r="P578" s="48"/>
      <c r="Q578" s="48"/>
      <c r="R578" s="78">
        <f t="shared" ref="R578:R609" si="328">SUM(70152.5/1685)*H578</f>
        <v>32.4741543026706</v>
      </c>
      <c r="S578" s="78"/>
      <c r="T578" s="79">
        <f t="shared" ref="T578:T609" si="329">SUM(120/1685)*H578</f>
        <v>0.0555489614243323</v>
      </c>
      <c r="U578" s="78"/>
      <c r="V578" s="79">
        <v>19</v>
      </c>
      <c r="W578" s="80">
        <f t="shared" si="324"/>
        <v>51.529703264095</v>
      </c>
      <c r="X578" s="81">
        <f t="shared" ref="X578:X609" si="330">SUM(2575.17/1685)*H578</f>
        <v>1.19206682492582</v>
      </c>
      <c r="Y578" s="81"/>
      <c r="Z578" s="81"/>
      <c r="AA578" s="110">
        <f t="shared" si="327"/>
        <v>1.19206682492582</v>
      </c>
      <c r="AB578" s="90">
        <v>7.19</v>
      </c>
      <c r="AC578" s="78">
        <f t="shared" si="323"/>
        <v>8.57096047121662</v>
      </c>
      <c r="AD578" s="78">
        <f t="shared" si="322"/>
        <v>60.1006637353116</v>
      </c>
      <c r="AE578" s="78">
        <f t="shared" si="326"/>
        <v>108.899336264688</v>
      </c>
    </row>
    <row r="579" customFormat="1" spans="1:31">
      <c r="A579" s="18"/>
      <c r="B579" s="19"/>
      <c r="C579" s="20">
        <v>240314000030</v>
      </c>
      <c r="D579" s="21">
        <v>45373</v>
      </c>
      <c r="E579" s="21" t="s">
        <v>47</v>
      </c>
      <c r="F579" s="19" t="s">
        <v>48</v>
      </c>
      <c r="G579" s="19" t="s">
        <v>415</v>
      </c>
      <c r="H579" s="19">
        <v>37</v>
      </c>
      <c r="I579" s="41">
        <v>2900</v>
      </c>
      <c r="J579" s="53"/>
      <c r="K579" s="51"/>
      <c r="L579" s="53"/>
      <c r="M579" s="44"/>
      <c r="N579" s="45"/>
      <c r="O579" s="46">
        <f t="shared" si="325"/>
        <v>2900</v>
      </c>
      <c r="P579" s="48"/>
      <c r="Q579" s="48"/>
      <c r="R579" s="78">
        <f t="shared" si="328"/>
        <v>1540.44065281899</v>
      </c>
      <c r="S579" s="78"/>
      <c r="T579" s="79">
        <f t="shared" si="329"/>
        <v>2.63501483679525</v>
      </c>
      <c r="U579" s="78"/>
      <c r="V579" s="78"/>
      <c r="W579" s="80">
        <f t="shared" si="324"/>
        <v>1543.07566765579</v>
      </c>
      <c r="X579" s="81">
        <f t="shared" si="330"/>
        <v>56.5467596439169</v>
      </c>
      <c r="Y579" s="81"/>
      <c r="Z579" s="81"/>
      <c r="AA579" s="110">
        <f t="shared" si="327"/>
        <v>56.5467596439169</v>
      </c>
      <c r="AB579" s="90">
        <v>7.19</v>
      </c>
      <c r="AC579" s="78">
        <f t="shared" si="323"/>
        <v>406.571201839763</v>
      </c>
      <c r="AD579" s="78">
        <f t="shared" si="322"/>
        <v>1949.64686949555</v>
      </c>
      <c r="AE579" s="78">
        <f t="shared" si="326"/>
        <v>950.353130504451</v>
      </c>
    </row>
    <row r="580" customFormat="1" spans="1:31">
      <c r="A580" s="18"/>
      <c r="B580" s="19"/>
      <c r="C580" s="20">
        <v>240315000005</v>
      </c>
      <c r="D580" s="21">
        <v>45373</v>
      </c>
      <c r="E580" s="21" t="s">
        <v>44</v>
      </c>
      <c r="F580" s="19" t="s">
        <v>45</v>
      </c>
      <c r="G580" s="19" t="s">
        <v>416</v>
      </c>
      <c r="H580" s="19">
        <v>0.37</v>
      </c>
      <c r="I580" s="41">
        <v>63.6</v>
      </c>
      <c r="J580" s="53"/>
      <c r="K580" s="51"/>
      <c r="L580" s="53"/>
      <c r="M580" s="44"/>
      <c r="N580" s="45"/>
      <c r="O580" s="46">
        <f t="shared" si="325"/>
        <v>63.6</v>
      </c>
      <c r="P580" s="48"/>
      <c r="Q580" s="48"/>
      <c r="R580" s="78">
        <f t="shared" si="328"/>
        <v>15.4044065281899</v>
      </c>
      <c r="S580" s="78"/>
      <c r="T580" s="79">
        <f t="shared" si="329"/>
        <v>0.0263501483679525</v>
      </c>
      <c r="U580" s="78"/>
      <c r="V580" s="78"/>
      <c r="W580" s="80">
        <f t="shared" si="324"/>
        <v>15.4307566765579</v>
      </c>
      <c r="X580" s="81">
        <f t="shared" si="330"/>
        <v>0.565467596439169</v>
      </c>
      <c r="Y580" s="81"/>
      <c r="Z580" s="81"/>
      <c r="AA580" s="110">
        <f t="shared" si="327"/>
        <v>0.565467596439169</v>
      </c>
      <c r="AB580" s="90">
        <v>7.19</v>
      </c>
      <c r="AC580" s="78">
        <f t="shared" si="323"/>
        <v>4.06571201839763</v>
      </c>
      <c r="AD580" s="78">
        <f t="shared" si="322"/>
        <v>19.4964686949555</v>
      </c>
      <c r="AE580" s="78">
        <f t="shared" si="326"/>
        <v>44.1035313050445</v>
      </c>
    </row>
    <row r="581" customFormat="1" spans="1:31">
      <c r="A581" s="18"/>
      <c r="B581" s="19"/>
      <c r="C581" s="20">
        <v>240315000008</v>
      </c>
      <c r="D581" s="21">
        <v>45373</v>
      </c>
      <c r="E581" s="21" t="s">
        <v>41</v>
      </c>
      <c r="F581" s="19" t="s">
        <v>42</v>
      </c>
      <c r="G581" s="19" t="s">
        <v>62</v>
      </c>
      <c r="H581" s="19">
        <v>5.5</v>
      </c>
      <c r="I581" s="41">
        <v>350</v>
      </c>
      <c r="J581" s="53"/>
      <c r="K581" s="51"/>
      <c r="L581" s="53"/>
      <c r="M581" s="44"/>
      <c r="N581" s="45"/>
      <c r="O581" s="46">
        <f t="shared" si="325"/>
        <v>350</v>
      </c>
      <c r="P581" s="48"/>
      <c r="Q581" s="48"/>
      <c r="R581" s="78">
        <f t="shared" si="328"/>
        <v>228.984421364985</v>
      </c>
      <c r="S581" s="78"/>
      <c r="T581" s="79">
        <f t="shared" si="329"/>
        <v>0.391691394658754</v>
      </c>
      <c r="U581" s="78"/>
      <c r="V581" s="78"/>
      <c r="W581" s="80">
        <f t="shared" si="324"/>
        <v>229.376112759644</v>
      </c>
      <c r="X581" s="81">
        <f t="shared" si="330"/>
        <v>8.40559940652819</v>
      </c>
      <c r="Y581" s="81"/>
      <c r="Z581" s="81"/>
      <c r="AA581" s="110">
        <f t="shared" si="327"/>
        <v>8.40559940652819</v>
      </c>
      <c r="AB581" s="90">
        <v>7.19</v>
      </c>
      <c r="AC581" s="78">
        <f t="shared" si="323"/>
        <v>60.4362597329377</v>
      </c>
      <c r="AD581" s="78">
        <f t="shared" si="322"/>
        <v>289.812372492582</v>
      </c>
      <c r="AE581" s="78">
        <f t="shared" si="326"/>
        <v>60.1876275074184</v>
      </c>
    </row>
    <row r="582" customFormat="1" spans="1:31">
      <c r="A582" s="18"/>
      <c r="B582" s="19"/>
      <c r="C582" s="20">
        <v>240315000011</v>
      </c>
      <c r="D582" s="21">
        <v>45373</v>
      </c>
      <c r="E582" s="21" t="s">
        <v>44</v>
      </c>
      <c r="F582" s="19" t="s">
        <v>45</v>
      </c>
      <c r="G582" s="19" t="s">
        <v>417</v>
      </c>
      <c r="H582" s="19">
        <v>4.5</v>
      </c>
      <c r="I582" s="41">
        <v>273.6</v>
      </c>
      <c r="J582" s="53"/>
      <c r="K582" s="51"/>
      <c r="L582" s="53"/>
      <c r="M582" s="44"/>
      <c r="N582" s="45"/>
      <c r="O582" s="46">
        <f t="shared" si="325"/>
        <v>273.6</v>
      </c>
      <c r="P582" s="48"/>
      <c r="Q582" s="48"/>
      <c r="R582" s="78">
        <f t="shared" si="328"/>
        <v>187.350890207715</v>
      </c>
      <c r="S582" s="78"/>
      <c r="T582" s="79">
        <f t="shared" si="329"/>
        <v>0.320474777448071</v>
      </c>
      <c r="U582" s="78"/>
      <c r="V582" s="78"/>
      <c r="W582" s="80">
        <f t="shared" si="324"/>
        <v>187.671364985163</v>
      </c>
      <c r="X582" s="81">
        <f t="shared" si="330"/>
        <v>6.87730860534125</v>
      </c>
      <c r="Y582" s="81"/>
      <c r="Z582" s="81"/>
      <c r="AA582" s="110">
        <f t="shared" si="327"/>
        <v>6.87730860534125</v>
      </c>
      <c r="AB582" s="90">
        <v>7.19</v>
      </c>
      <c r="AC582" s="78">
        <f t="shared" si="323"/>
        <v>49.4478488724036</v>
      </c>
      <c r="AD582" s="78">
        <f t="shared" si="322"/>
        <v>237.119213857567</v>
      </c>
      <c r="AE582" s="78">
        <f t="shared" si="326"/>
        <v>36.4807861424333</v>
      </c>
    </row>
    <row r="583" customFormat="1" spans="1:31">
      <c r="A583" s="18"/>
      <c r="B583" s="19"/>
      <c r="C583" s="20">
        <v>240315000013</v>
      </c>
      <c r="D583" s="21">
        <v>45373</v>
      </c>
      <c r="E583" s="21" t="s">
        <v>44</v>
      </c>
      <c r="F583" s="19" t="s">
        <v>45</v>
      </c>
      <c r="G583" s="19" t="s">
        <v>418</v>
      </c>
      <c r="H583" s="19">
        <v>4.5</v>
      </c>
      <c r="I583" s="41">
        <v>273.6</v>
      </c>
      <c r="J583" s="53"/>
      <c r="K583" s="51"/>
      <c r="L583" s="53"/>
      <c r="M583" s="44"/>
      <c r="N583" s="45"/>
      <c r="O583" s="46">
        <f t="shared" si="325"/>
        <v>273.6</v>
      </c>
      <c r="P583" s="48"/>
      <c r="Q583" s="48"/>
      <c r="R583" s="78">
        <f t="shared" si="328"/>
        <v>187.350890207715</v>
      </c>
      <c r="S583" s="78"/>
      <c r="T583" s="79">
        <f t="shared" si="329"/>
        <v>0.320474777448071</v>
      </c>
      <c r="U583" s="78"/>
      <c r="V583" s="78"/>
      <c r="W583" s="80">
        <f t="shared" si="324"/>
        <v>187.671364985163</v>
      </c>
      <c r="X583" s="81">
        <f t="shared" si="330"/>
        <v>6.87730860534125</v>
      </c>
      <c r="Y583" s="81"/>
      <c r="Z583" s="81"/>
      <c r="AA583" s="110">
        <f t="shared" si="327"/>
        <v>6.87730860534125</v>
      </c>
      <c r="AB583" s="90">
        <v>7.19</v>
      </c>
      <c r="AC583" s="78">
        <f t="shared" si="323"/>
        <v>49.4478488724036</v>
      </c>
      <c r="AD583" s="78">
        <f t="shared" si="322"/>
        <v>237.119213857567</v>
      </c>
      <c r="AE583" s="78">
        <f t="shared" si="326"/>
        <v>36.4807861424333</v>
      </c>
    </row>
    <row r="584" customFormat="1" spans="1:31">
      <c r="A584" s="18"/>
      <c r="B584" s="19"/>
      <c r="C584" s="20">
        <v>240315000028</v>
      </c>
      <c r="D584" s="21">
        <v>45373</v>
      </c>
      <c r="E584" s="21" t="s">
        <v>70</v>
      </c>
      <c r="F584" s="19" t="s">
        <v>70</v>
      </c>
      <c r="G584" s="19" t="s">
        <v>419</v>
      </c>
      <c r="H584" s="19">
        <v>7</v>
      </c>
      <c r="I584" s="41">
        <v>385</v>
      </c>
      <c r="J584" s="53"/>
      <c r="K584" s="51"/>
      <c r="L584" s="53"/>
      <c r="M584" s="44"/>
      <c r="N584" s="45"/>
      <c r="O584" s="46">
        <f t="shared" si="325"/>
        <v>385</v>
      </c>
      <c r="P584" s="48"/>
      <c r="Q584" s="48"/>
      <c r="R584" s="78">
        <f t="shared" si="328"/>
        <v>291.43471810089</v>
      </c>
      <c r="S584" s="78"/>
      <c r="T584" s="79">
        <f t="shared" si="329"/>
        <v>0.498516320474777</v>
      </c>
      <c r="U584" s="78"/>
      <c r="V584" s="78"/>
      <c r="W584" s="80">
        <f t="shared" si="324"/>
        <v>291.933234421365</v>
      </c>
      <c r="X584" s="81">
        <f t="shared" si="330"/>
        <v>10.6980356083086</v>
      </c>
      <c r="Y584" s="81"/>
      <c r="Z584" s="81"/>
      <c r="AA584" s="110">
        <f t="shared" si="327"/>
        <v>10.6980356083086</v>
      </c>
      <c r="AB584" s="90">
        <v>7.19</v>
      </c>
      <c r="AC584" s="78">
        <f t="shared" si="323"/>
        <v>76.9188760237389</v>
      </c>
      <c r="AD584" s="78">
        <f t="shared" si="322"/>
        <v>368.852110445104</v>
      </c>
      <c r="AE584" s="78">
        <f t="shared" si="326"/>
        <v>16.1478895548961</v>
      </c>
    </row>
    <row r="585" customFormat="1" spans="1:31">
      <c r="A585" s="18"/>
      <c r="B585" s="19"/>
      <c r="C585" s="20">
        <v>240315000033</v>
      </c>
      <c r="D585" s="21">
        <v>45373</v>
      </c>
      <c r="E585" s="21" t="s">
        <v>47</v>
      </c>
      <c r="F585" s="19" t="s">
        <v>48</v>
      </c>
      <c r="G585" s="19" t="s">
        <v>386</v>
      </c>
      <c r="H585" s="19">
        <v>14.5</v>
      </c>
      <c r="I585" s="41">
        <v>972</v>
      </c>
      <c r="J585" s="53"/>
      <c r="K585" s="51"/>
      <c r="L585" s="53"/>
      <c r="M585" s="44"/>
      <c r="N585" s="45"/>
      <c r="O585" s="46">
        <f t="shared" si="325"/>
        <v>972</v>
      </c>
      <c r="P585" s="48"/>
      <c r="Q585" s="48"/>
      <c r="R585" s="78">
        <f t="shared" si="328"/>
        <v>603.686201780415</v>
      </c>
      <c r="S585" s="78"/>
      <c r="T585" s="79">
        <f t="shared" si="329"/>
        <v>1.0326409495549</v>
      </c>
      <c r="U585" s="78"/>
      <c r="V585" s="78"/>
      <c r="W585" s="80">
        <f t="shared" si="324"/>
        <v>604.71884272997</v>
      </c>
      <c r="X585" s="81">
        <f t="shared" si="330"/>
        <v>22.1602166172107</v>
      </c>
      <c r="Y585" s="81">
        <v>8.34</v>
      </c>
      <c r="Z585" s="81"/>
      <c r="AA585" s="110">
        <f t="shared" si="327"/>
        <v>30.5002166172107</v>
      </c>
      <c r="AB585" s="90">
        <v>7.19</v>
      </c>
      <c r="AC585" s="78">
        <f t="shared" si="323"/>
        <v>219.296557477745</v>
      </c>
      <c r="AD585" s="78">
        <f t="shared" si="322"/>
        <v>824.015400207715</v>
      </c>
      <c r="AE585" s="78">
        <f t="shared" si="326"/>
        <v>147.984599792285</v>
      </c>
    </row>
    <row r="586" customFormat="1" spans="1:31">
      <c r="A586" s="18"/>
      <c r="B586" s="19"/>
      <c r="C586" s="20">
        <v>240315000039</v>
      </c>
      <c r="D586" s="21">
        <v>45373</v>
      </c>
      <c r="E586" s="21" t="s">
        <v>47</v>
      </c>
      <c r="F586" s="19" t="s">
        <v>48</v>
      </c>
      <c r="G586" s="19" t="s">
        <v>420</v>
      </c>
      <c r="H586" s="19">
        <v>297</v>
      </c>
      <c r="I586" s="41">
        <v>25595</v>
      </c>
      <c r="J586" s="53"/>
      <c r="K586" s="51"/>
      <c r="L586" s="53"/>
      <c r="M586" s="44"/>
      <c r="N586" s="45"/>
      <c r="O586" s="46">
        <f t="shared" si="325"/>
        <v>25595</v>
      </c>
      <c r="P586" s="48"/>
      <c r="Q586" s="48"/>
      <c r="R586" s="78">
        <f t="shared" si="328"/>
        <v>12365.1587537092</v>
      </c>
      <c r="S586" s="78"/>
      <c r="T586" s="79">
        <f t="shared" si="329"/>
        <v>21.1513353115727</v>
      </c>
      <c r="U586" s="78"/>
      <c r="V586" s="78"/>
      <c r="W586" s="80">
        <f t="shared" si="324"/>
        <v>12386.3100890208</v>
      </c>
      <c r="X586" s="81">
        <f t="shared" si="330"/>
        <v>453.902367952522</v>
      </c>
      <c r="Y586" s="81"/>
      <c r="Z586" s="81"/>
      <c r="AA586" s="110">
        <f t="shared" si="327"/>
        <v>453.902367952522</v>
      </c>
      <c r="AB586" s="90">
        <v>7.19</v>
      </c>
      <c r="AC586" s="78">
        <f t="shared" si="323"/>
        <v>3263.55802557863</v>
      </c>
      <c r="AD586" s="78">
        <f t="shared" si="322"/>
        <v>15649.8681145994</v>
      </c>
      <c r="AE586" s="78">
        <f t="shared" si="326"/>
        <v>9945.13188540059</v>
      </c>
    </row>
    <row r="587" customFormat="1" spans="1:31">
      <c r="A587" s="18"/>
      <c r="B587" s="19"/>
      <c r="C587" s="20">
        <v>240315000044</v>
      </c>
      <c r="D587" s="21">
        <v>45373</v>
      </c>
      <c r="E587" s="21" t="s">
        <v>47</v>
      </c>
      <c r="F587" s="19" t="s">
        <v>128</v>
      </c>
      <c r="G587" s="19" t="s">
        <v>129</v>
      </c>
      <c r="H587" s="19">
        <v>2</v>
      </c>
      <c r="I587" s="41">
        <v>142.8</v>
      </c>
      <c r="J587" s="42"/>
      <c r="K587" s="43"/>
      <c r="L587" s="42"/>
      <c r="M587" s="44"/>
      <c r="N587" s="45"/>
      <c r="O587" s="46">
        <f t="shared" si="325"/>
        <v>142.8</v>
      </c>
      <c r="P587" s="48"/>
      <c r="Q587" s="48"/>
      <c r="R587" s="78">
        <f t="shared" si="328"/>
        <v>83.2670623145401</v>
      </c>
      <c r="S587" s="78"/>
      <c r="T587" s="79">
        <f t="shared" si="329"/>
        <v>0.142433234421365</v>
      </c>
      <c r="U587" s="78"/>
      <c r="V587" s="78"/>
      <c r="W587" s="80">
        <f t="shared" si="324"/>
        <v>83.4094955489614</v>
      </c>
      <c r="X587" s="81">
        <f t="shared" si="330"/>
        <v>3.05658160237389</v>
      </c>
      <c r="Y587" s="81"/>
      <c r="Z587" s="81"/>
      <c r="AA587" s="110">
        <f t="shared" si="327"/>
        <v>3.05658160237389</v>
      </c>
      <c r="AB587" s="90">
        <v>7.19</v>
      </c>
      <c r="AC587" s="78">
        <f t="shared" si="323"/>
        <v>21.9768217210683</v>
      </c>
      <c r="AD587" s="78">
        <f t="shared" si="322"/>
        <v>105.38631727003</v>
      </c>
      <c r="AE587" s="78">
        <f t="shared" si="326"/>
        <v>37.4136827299703</v>
      </c>
    </row>
    <row r="588" customFormat="1" spans="1:31">
      <c r="A588" s="18"/>
      <c r="B588" s="19"/>
      <c r="C588" s="20">
        <v>240316000002</v>
      </c>
      <c r="D588" s="21">
        <v>45373</v>
      </c>
      <c r="E588" s="21" t="s">
        <v>51</v>
      </c>
      <c r="F588" s="19" t="s">
        <v>105</v>
      </c>
      <c r="G588" s="19" t="s">
        <v>106</v>
      </c>
      <c r="H588" s="19">
        <v>25.5</v>
      </c>
      <c r="I588" s="41">
        <v>1689.1</v>
      </c>
      <c r="J588" s="53"/>
      <c r="K588" s="51"/>
      <c r="L588" s="53"/>
      <c r="M588" s="44"/>
      <c r="N588" s="45"/>
      <c r="O588" s="46">
        <f t="shared" si="325"/>
        <v>1689.1</v>
      </c>
      <c r="P588" s="48"/>
      <c r="Q588" s="48"/>
      <c r="R588" s="78">
        <f t="shared" si="328"/>
        <v>1061.65504451039</v>
      </c>
      <c r="S588" s="78"/>
      <c r="T588" s="79">
        <f t="shared" si="329"/>
        <v>1.8160237388724</v>
      </c>
      <c r="U588" s="78"/>
      <c r="V588" s="78"/>
      <c r="W588" s="80">
        <f t="shared" si="324"/>
        <v>1063.47106824926</v>
      </c>
      <c r="X588" s="81">
        <f t="shared" si="330"/>
        <v>38.9714154302671</v>
      </c>
      <c r="Y588" s="81"/>
      <c r="Z588" s="81"/>
      <c r="AA588" s="110">
        <f t="shared" si="327"/>
        <v>38.9714154302671</v>
      </c>
      <c r="AB588" s="90">
        <v>7.19</v>
      </c>
      <c r="AC588" s="78">
        <f t="shared" si="323"/>
        <v>280.20447694362</v>
      </c>
      <c r="AD588" s="78">
        <f t="shared" si="322"/>
        <v>1343.67554519288</v>
      </c>
      <c r="AE588" s="78">
        <f t="shared" si="326"/>
        <v>345.424454807121</v>
      </c>
    </row>
    <row r="589" customFormat="1" spans="1:31">
      <c r="A589" s="18"/>
      <c r="B589" s="19"/>
      <c r="C589" s="20">
        <v>240316000006</v>
      </c>
      <c r="D589" s="21">
        <v>45373</v>
      </c>
      <c r="E589" s="21" t="s">
        <v>41</v>
      </c>
      <c r="F589" s="19" t="s">
        <v>42</v>
      </c>
      <c r="G589" s="19" t="s">
        <v>421</v>
      </c>
      <c r="H589" s="19">
        <v>4.5</v>
      </c>
      <c r="I589" s="41">
        <v>340</v>
      </c>
      <c r="J589" s="53"/>
      <c r="K589" s="51"/>
      <c r="L589" s="53"/>
      <c r="M589" s="44"/>
      <c r="N589" s="45"/>
      <c r="O589" s="46">
        <f t="shared" si="325"/>
        <v>340</v>
      </c>
      <c r="P589" s="48"/>
      <c r="Q589" s="48"/>
      <c r="R589" s="78">
        <f t="shared" si="328"/>
        <v>187.350890207715</v>
      </c>
      <c r="S589" s="78"/>
      <c r="T589" s="79">
        <f t="shared" si="329"/>
        <v>0.320474777448071</v>
      </c>
      <c r="U589" s="78"/>
      <c r="V589" s="78"/>
      <c r="W589" s="80">
        <f t="shared" si="324"/>
        <v>187.671364985163</v>
      </c>
      <c r="X589" s="81">
        <f t="shared" si="330"/>
        <v>6.87730860534125</v>
      </c>
      <c r="Y589" s="81"/>
      <c r="Z589" s="81"/>
      <c r="AA589" s="110">
        <f t="shared" si="327"/>
        <v>6.87730860534125</v>
      </c>
      <c r="AB589" s="90">
        <v>7.19</v>
      </c>
      <c r="AC589" s="78">
        <f t="shared" si="323"/>
        <v>49.4478488724036</v>
      </c>
      <c r="AD589" s="78">
        <f t="shared" si="322"/>
        <v>237.119213857567</v>
      </c>
      <c r="AE589" s="78">
        <f t="shared" si="326"/>
        <v>102.880786142433</v>
      </c>
    </row>
    <row r="590" customFormat="1" spans="1:31">
      <c r="A590" s="18"/>
      <c r="B590" s="19"/>
      <c r="C590" s="20">
        <v>240316000007</v>
      </c>
      <c r="D590" s="21">
        <v>45373</v>
      </c>
      <c r="E590" s="21" t="s">
        <v>85</v>
      </c>
      <c r="F590" s="19" t="s">
        <v>422</v>
      </c>
      <c r="G590" s="19" t="s">
        <v>423</v>
      </c>
      <c r="H590" s="19">
        <v>4</v>
      </c>
      <c r="I590" s="41">
        <v>282</v>
      </c>
      <c r="J590" s="42"/>
      <c r="K590" s="43"/>
      <c r="L590" s="50"/>
      <c r="M590" s="44"/>
      <c r="N590" s="45"/>
      <c r="O590" s="46">
        <f t="shared" si="325"/>
        <v>282</v>
      </c>
      <c r="P590" s="48"/>
      <c r="Q590" s="48"/>
      <c r="R590" s="78">
        <f t="shared" si="328"/>
        <v>166.53412462908</v>
      </c>
      <c r="S590" s="78"/>
      <c r="T590" s="79">
        <f t="shared" si="329"/>
        <v>0.28486646884273</v>
      </c>
      <c r="U590" s="78"/>
      <c r="V590" s="78"/>
      <c r="W590" s="80">
        <f t="shared" si="324"/>
        <v>166.818991097923</v>
      </c>
      <c r="X590" s="81">
        <f t="shared" si="330"/>
        <v>6.11316320474777</v>
      </c>
      <c r="Y590" s="81"/>
      <c r="Z590" s="81"/>
      <c r="AA590" s="110">
        <f t="shared" si="327"/>
        <v>6.11316320474777</v>
      </c>
      <c r="AB590" s="90">
        <v>7.19</v>
      </c>
      <c r="AC590" s="78">
        <f t="shared" si="323"/>
        <v>43.9536434421365</v>
      </c>
      <c r="AD590" s="78">
        <f t="shared" si="322"/>
        <v>210.772634540059</v>
      </c>
      <c r="AE590" s="78">
        <f t="shared" si="326"/>
        <v>71.2273654599407</v>
      </c>
    </row>
    <row r="591" customFormat="1" spans="1:31">
      <c r="A591" s="18"/>
      <c r="B591" s="19"/>
      <c r="C591" s="20">
        <v>240318000008</v>
      </c>
      <c r="D591" s="21">
        <v>45373</v>
      </c>
      <c r="E591" s="21" t="s">
        <v>37</v>
      </c>
      <c r="F591" s="19" t="s">
        <v>38</v>
      </c>
      <c r="G591" s="19" t="s">
        <v>424</v>
      </c>
      <c r="H591" s="19">
        <v>4.5</v>
      </c>
      <c r="I591" s="41">
        <v>384.3</v>
      </c>
      <c r="J591" s="53"/>
      <c r="K591" s="51"/>
      <c r="L591" s="53"/>
      <c r="M591" s="44"/>
      <c r="N591" s="45"/>
      <c r="O591" s="46">
        <f t="shared" si="325"/>
        <v>384.3</v>
      </c>
      <c r="P591" s="48"/>
      <c r="Q591" s="48"/>
      <c r="R591" s="78">
        <f t="shared" si="328"/>
        <v>187.350890207715</v>
      </c>
      <c r="S591" s="78"/>
      <c r="T591" s="79">
        <f t="shared" si="329"/>
        <v>0.320474777448071</v>
      </c>
      <c r="U591" s="78"/>
      <c r="V591" s="78"/>
      <c r="W591" s="80">
        <f t="shared" si="324"/>
        <v>187.671364985163</v>
      </c>
      <c r="X591" s="81">
        <f t="shared" si="330"/>
        <v>6.87730860534125</v>
      </c>
      <c r="Y591" s="81"/>
      <c r="Z591" s="81"/>
      <c r="AA591" s="110">
        <f t="shared" si="327"/>
        <v>6.87730860534125</v>
      </c>
      <c r="AB591" s="90">
        <v>7.19</v>
      </c>
      <c r="AC591" s="78">
        <f t="shared" si="323"/>
        <v>49.4478488724036</v>
      </c>
      <c r="AD591" s="78">
        <f t="shared" si="322"/>
        <v>237.119213857567</v>
      </c>
      <c r="AE591" s="78">
        <f t="shared" si="326"/>
        <v>147.180786142433</v>
      </c>
    </row>
    <row r="592" customFormat="1" spans="1:31">
      <c r="A592" s="18"/>
      <c r="B592" s="19"/>
      <c r="C592" s="20">
        <v>240318000009</v>
      </c>
      <c r="D592" s="21">
        <v>45373</v>
      </c>
      <c r="E592" s="21" t="s">
        <v>37</v>
      </c>
      <c r="F592" s="19" t="s">
        <v>38</v>
      </c>
      <c r="G592" s="19" t="s">
        <v>424</v>
      </c>
      <c r="H592" s="19">
        <v>25</v>
      </c>
      <c r="I592" s="41">
        <v>1660.8</v>
      </c>
      <c r="J592" s="53"/>
      <c r="K592" s="51"/>
      <c r="L592" s="53"/>
      <c r="M592" s="44"/>
      <c r="N592" s="45"/>
      <c r="O592" s="46">
        <f t="shared" si="325"/>
        <v>1660.8</v>
      </c>
      <c r="P592" s="48"/>
      <c r="Q592" s="48"/>
      <c r="R592" s="78">
        <f t="shared" si="328"/>
        <v>1040.83827893175</v>
      </c>
      <c r="S592" s="78"/>
      <c r="T592" s="79">
        <f t="shared" si="329"/>
        <v>1.78041543026706</v>
      </c>
      <c r="U592" s="78"/>
      <c r="V592" s="78"/>
      <c r="W592" s="80">
        <f t="shared" si="324"/>
        <v>1042.61869436202</v>
      </c>
      <c r="X592" s="81">
        <f t="shared" si="330"/>
        <v>38.2072700296736</v>
      </c>
      <c r="Y592" s="81"/>
      <c r="Z592" s="81"/>
      <c r="AA592" s="110">
        <f t="shared" si="327"/>
        <v>38.2072700296736</v>
      </c>
      <c r="AB592" s="90">
        <v>7.19</v>
      </c>
      <c r="AC592" s="78">
        <f t="shared" si="323"/>
        <v>274.710271513353</v>
      </c>
      <c r="AD592" s="78">
        <f t="shared" si="322"/>
        <v>1317.32896587537</v>
      </c>
      <c r="AE592" s="78">
        <f t="shared" si="326"/>
        <v>343.471034124629</v>
      </c>
    </row>
    <row r="593" customFormat="1" spans="1:31">
      <c r="A593" s="18"/>
      <c r="B593" s="19"/>
      <c r="C593" s="20">
        <v>240318000010</v>
      </c>
      <c r="D593" s="21">
        <v>45373</v>
      </c>
      <c r="E593" s="21" t="s">
        <v>41</v>
      </c>
      <c r="F593" s="19" t="s">
        <v>42</v>
      </c>
      <c r="G593" s="19" t="s">
        <v>62</v>
      </c>
      <c r="H593" s="19">
        <v>6.5</v>
      </c>
      <c r="I593" s="41">
        <v>482</v>
      </c>
      <c r="J593" s="53"/>
      <c r="K593" s="51"/>
      <c r="L593" s="53"/>
      <c r="M593" s="44"/>
      <c r="N593" s="45"/>
      <c r="O593" s="46">
        <f t="shared" si="325"/>
        <v>482</v>
      </c>
      <c r="P593" s="48"/>
      <c r="Q593" s="48"/>
      <c r="R593" s="78">
        <f t="shared" si="328"/>
        <v>270.617952522255</v>
      </c>
      <c r="S593" s="78"/>
      <c r="T593" s="79">
        <f t="shared" si="329"/>
        <v>0.462908011869436</v>
      </c>
      <c r="U593" s="78"/>
      <c r="V593" s="78"/>
      <c r="W593" s="80">
        <f t="shared" si="324"/>
        <v>271.080860534125</v>
      </c>
      <c r="X593" s="81">
        <f t="shared" si="330"/>
        <v>9.93389020771513</v>
      </c>
      <c r="Y593" s="81"/>
      <c r="Z593" s="81"/>
      <c r="AA593" s="110">
        <f t="shared" si="327"/>
        <v>9.93389020771513</v>
      </c>
      <c r="AB593" s="90">
        <v>7.19</v>
      </c>
      <c r="AC593" s="78">
        <f t="shared" si="323"/>
        <v>71.4246705934718</v>
      </c>
      <c r="AD593" s="78">
        <f t="shared" si="322"/>
        <v>342.505531127596</v>
      </c>
      <c r="AE593" s="78">
        <f t="shared" si="326"/>
        <v>139.494468872404</v>
      </c>
    </row>
    <row r="594" customFormat="1" spans="1:31">
      <c r="A594" s="18"/>
      <c r="B594" s="19"/>
      <c r="C594" s="20">
        <v>240318000012</v>
      </c>
      <c r="D594" s="21">
        <v>45373</v>
      </c>
      <c r="E594" s="21" t="s">
        <v>41</v>
      </c>
      <c r="F594" s="19" t="s">
        <v>42</v>
      </c>
      <c r="G594" s="19" t="s">
        <v>425</v>
      </c>
      <c r="H594" s="19">
        <v>0.5</v>
      </c>
      <c r="I594" s="41">
        <v>68</v>
      </c>
      <c r="J594" s="42"/>
      <c r="K594" s="43"/>
      <c r="L594" s="42"/>
      <c r="M594" s="44"/>
      <c r="N594" s="45"/>
      <c r="O594" s="46">
        <f t="shared" si="325"/>
        <v>68</v>
      </c>
      <c r="P594" s="48"/>
      <c r="Q594" s="48"/>
      <c r="R594" s="78">
        <f t="shared" si="328"/>
        <v>20.816765578635</v>
      </c>
      <c r="S594" s="78"/>
      <c r="T594" s="79">
        <f t="shared" si="329"/>
        <v>0.0356083086053412</v>
      </c>
      <c r="U594" s="78"/>
      <c r="V594" s="78"/>
      <c r="W594" s="80">
        <f t="shared" si="324"/>
        <v>20.8523738872404</v>
      </c>
      <c r="X594" s="81">
        <f t="shared" si="330"/>
        <v>0.764145400593472</v>
      </c>
      <c r="Y594" s="81"/>
      <c r="Z594" s="81"/>
      <c r="AA594" s="110">
        <f t="shared" si="327"/>
        <v>0.764145400593472</v>
      </c>
      <c r="AB594" s="90">
        <v>7.19</v>
      </c>
      <c r="AC594" s="78">
        <f t="shared" si="323"/>
        <v>5.49420543026706</v>
      </c>
      <c r="AD594" s="78">
        <f t="shared" si="322"/>
        <v>26.3465793175074</v>
      </c>
      <c r="AE594" s="78">
        <f t="shared" si="326"/>
        <v>41.6534206824926</v>
      </c>
    </row>
    <row r="595" customFormat="1" spans="1:31">
      <c r="A595" s="18"/>
      <c r="B595" s="19"/>
      <c r="C595" s="20">
        <v>240318000018</v>
      </c>
      <c r="D595" s="21">
        <v>45373</v>
      </c>
      <c r="E595" s="21" t="s">
        <v>47</v>
      </c>
      <c r="F595" s="19" t="s">
        <v>48</v>
      </c>
      <c r="G595" s="19" t="s">
        <v>426</v>
      </c>
      <c r="H595" s="19">
        <v>3</v>
      </c>
      <c r="I595" s="41">
        <v>201.6</v>
      </c>
      <c r="J595" s="53"/>
      <c r="K595" s="51"/>
      <c r="L595" s="53"/>
      <c r="M595" s="44"/>
      <c r="N595" s="45"/>
      <c r="O595" s="46">
        <f t="shared" si="325"/>
        <v>201.6</v>
      </c>
      <c r="P595" s="48"/>
      <c r="Q595" s="48"/>
      <c r="R595" s="78">
        <f t="shared" si="328"/>
        <v>124.90059347181</v>
      </c>
      <c r="S595" s="78"/>
      <c r="T595" s="79">
        <f t="shared" si="329"/>
        <v>0.213649851632047</v>
      </c>
      <c r="U595" s="78"/>
      <c r="V595" s="78"/>
      <c r="W595" s="80">
        <f t="shared" si="324"/>
        <v>125.114243323442</v>
      </c>
      <c r="X595" s="81">
        <f t="shared" si="330"/>
        <v>4.58487240356083</v>
      </c>
      <c r="Y595" s="81"/>
      <c r="Z595" s="81"/>
      <c r="AA595" s="110">
        <f t="shared" si="327"/>
        <v>4.58487240356083</v>
      </c>
      <c r="AB595" s="90">
        <v>7.19</v>
      </c>
      <c r="AC595" s="78">
        <f t="shared" si="323"/>
        <v>32.9652325816024</v>
      </c>
      <c r="AD595" s="78">
        <f t="shared" si="322"/>
        <v>158.079475905044</v>
      </c>
      <c r="AE595" s="78">
        <f t="shared" si="326"/>
        <v>43.5205240949555</v>
      </c>
    </row>
    <row r="596" customFormat="1" spans="1:31">
      <c r="A596" s="18"/>
      <c r="B596" s="19"/>
      <c r="C596" s="20">
        <v>240318000021</v>
      </c>
      <c r="D596" s="21">
        <v>45373</v>
      </c>
      <c r="E596" s="21" t="s">
        <v>44</v>
      </c>
      <c r="F596" s="19" t="s">
        <v>45</v>
      </c>
      <c r="G596" s="19" t="s">
        <v>427</v>
      </c>
      <c r="H596" s="19">
        <v>2.5</v>
      </c>
      <c r="I596" s="49"/>
      <c r="J596" s="50">
        <v>29206</v>
      </c>
      <c r="K596" s="91"/>
      <c r="L596" s="50">
        <f>SUM(J596/M596)</f>
        <v>1316.17845876521</v>
      </c>
      <c r="M596" s="52">
        <v>22.19</v>
      </c>
      <c r="N596" s="45">
        <v>7.19</v>
      </c>
      <c r="O596" s="46">
        <f>SUM(M596*N596)</f>
        <v>159.5461</v>
      </c>
      <c r="P596" s="48"/>
      <c r="Q596" s="48"/>
      <c r="R596" s="78">
        <f t="shared" si="328"/>
        <v>104.083827893175</v>
      </c>
      <c r="S596" s="78"/>
      <c r="T596" s="79">
        <f t="shared" si="329"/>
        <v>0.178041543026706</v>
      </c>
      <c r="U596" s="78"/>
      <c r="V596" s="78"/>
      <c r="W596" s="80">
        <f t="shared" si="324"/>
        <v>104.261869436202</v>
      </c>
      <c r="X596" s="81">
        <f t="shared" si="330"/>
        <v>3.82072700296736</v>
      </c>
      <c r="Y596" s="81"/>
      <c r="Z596" s="81"/>
      <c r="AA596" s="110">
        <f t="shared" si="327"/>
        <v>3.82072700296736</v>
      </c>
      <c r="AB596" s="90">
        <v>7.19</v>
      </c>
      <c r="AC596" s="78">
        <f t="shared" si="323"/>
        <v>27.4710271513353</v>
      </c>
      <c r="AD596" s="78">
        <f t="shared" si="322"/>
        <v>131.732896587537</v>
      </c>
      <c r="AE596" s="78">
        <f t="shared" si="326"/>
        <v>27.8132034124629</v>
      </c>
    </row>
    <row r="597" customFormat="1" spans="1:31">
      <c r="A597" s="18"/>
      <c r="B597" s="19"/>
      <c r="C597" s="20">
        <v>240318000022</v>
      </c>
      <c r="D597" s="21">
        <v>45373</v>
      </c>
      <c r="E597" s="21" t="s">
        <v>47</v>
      </c>
      <c r="F597" s="19" t="s">
        <v>48</v>
      </c>
      <c r="G597" s="19" t="s">
        <v>223</v>
      </c>
      <c r="H597" s="19">
        <v>12.5</v>
      </c>
      <c r="I597" s="41">
        <v>1062.5</v>
      </c>
      <c r="J597" s="53"/>
      <c r="K597" s="51"/>
      <c r="L597" s="53"/>
      <c r="M597" s="44"/>
      <c r="N597" s="45"/>
      <c r="O597" s="46">
        <f t="shared" ref="O597:O602" si="331">SUM(I597)</f>
        <v>1062.5</v>
      </c>
      <c r="P597" s="48"/>
      <c r="Q597" s="48"/>
      <c r="R597" s="78">
        <f t="shared" si="328"/>
        <v>520.419139465875</v>
      </c>
      <c r="S597" s="78"/>
      <c r="T597" s="79">
        <f t="shared" si="329"/>
        <v>0.890207715133531</v>
      </c>
      <c r="U597" s="78"/>
      <c r="V597" s="78"/>
      <c r="W597" s="80">
        <f t="shared" si="324"/>
        <v>521.309347181009</v>
      </c>
      <c r="X597" s="81">
        <f t="shared" si="330"/>
        <v>19.1036350148368</v>
      </c>
      <c r="Y597" s="81"/>
      <c r="Z597" s="81"/>
      <c r="AA597" s="110">
        <f t="shared" si="327"/>
        <v>19.1036350148368</v>
      </c>
      <c r="AB597" s="90">
        <v>7.19</v>
      </c>
      <c r="AC597" s="78">
        <f t="shared" si="323"/>
        <v>137.355135756677</v>
      </c>
      <c r="AD597" s="78">
        <f t="shared" si="322"/>
        <v>658.664482937685</v>
      </c>
      <c r="AE597" s="78">
        <f t="shared" si="326"/>
        <v>403.835517062315</v>
      </c>
    </row>
    <row r="598" customFormat="1" spans="1:31">
      <c r="A598" s="18"/>
      <c r="B598" s="19"/>
      <c r="C598" s="22">
        <v>240318000024</v>
      </c>
      <c r="D598" s="23">
        <v>45373</v>
      </c>
      <c r="E598" s="21" t="s">
        <v>47</v>
      </c>
      <c r="F598" s="24" t="s">
        <v>48</v>
      </c>
      <c r="G598" s="24" t="s">
        <v>55</v>
      </c>
      <c r="H598" s="24">
        <v>2</v>
      </c>
      <c r="I598" s="41">
        <v>149.3</v>
      </c>
      <c r="J598" s="53"/>
      <c r="K598" s="51"/>
      <c r="L598" s="53"/>
      <c r="M598" s="44"/>
      <c r="N598" s="45"/>
      <c r="O598" s="46">
        <f t="shared" si="331"/>
        <v>149.3</v>
      </c>
      <c r="P598" s="48"/>
      <c r="Q598" s="48"/>
      <c r="R598" s="78">
        <f t="shared" si="328"/>
        <v>83.2670623145401</v>
      </c>
      <c r="S598" s="78"/>
      <c r="T598" s="79">
        <f t="shared" si="329"/>
        <v>0.142433234421365</v>
      </c>
      <c r="U598" s="78"/>
      <c r="V598" s="78"/>
      <c r="W598" s="80">
        <f t="shared" si="324"/>
        <v>83.4094955489614</v>
      </c>
      <c r="X598" s="81">
        <f t="shared" si="330"/>
        <v>3.05658160237389</v>
      </c>
      <c r="Y598" s="81"/>
      <c r="Z598" s="81"/>
      <c r="AA598" s="110">
        <f t="shared" si="327"/>
        <v>3.05658160237389</v>
      </c>
      <c r="AB598" s="90">
        <v>7.19</v>
      </c>
      <c r="AC598" s="78">
        <f t="shared" si="323"/>
        <v>21.9768217210683</v>
      </c>
      <c r="AD598" s="78">
        <f t="shared" si="322"/>
        <v>105.38631727003</v>
      </c>
      <c r="AE598" s="78">
        <f t="shared" si="326"/>
        <v>43.9136827299703</v>
      </c>
    </row>
    <row r="599" customFormat="1" spans="1:31">
      <c r="A599" s="18"/>
      <c r="B599" s="19"/>
      <c r="C599" s="20">
        <v>240318000025</v>
      </c>
      <c r="D599" s="21">
        <v>45373</v>
      </c>
      <c r="E599" s="21" t="s">
        <v>44</v>
      </c>
      <c r="F599" s="19" t="s">
        <v>45</v>
      </c>
      <c r="G599" s="19" t="s">
        <v>102</v>
      </c>
      <c r="H599" s="19">
        <v>1.5</v>
      </c>
      <c r="I599" s="49"/>
      <c r="J599" s="50">
        <v>19983.6</v>
      </c>
      <c r="K599" s="51"/>
      <c r="L599" s="50">
        <f>SUM(J599/M599)</f>
        <v>1316.44268774704</v>
      </c>
      <c r="M599" s="52">
        <v>15.18</v>
      </c>
      <c r="N599" s="45">
        <v>7.19</v>
      </c>
      <c r="O599" s="46">
        <f>SUM(M599*N599)</f>
        <v>109.1442</v>
      </c>
      <c r="P599" s="48"/>
      <c r="Q599" s="48"/>
      <c r="R599" s="78">
        <f t="shared" si="328"/>
        <v>62.450296735905</v>
      </c>
      <c r="S599" s="78"/>
      <c r="T599" s="79">
        <f t="shared" si="329"/>
        <v>0.106824925816024</v>
      </c>
      <c r="U599" s="78"/>
      <c r="V599" s="78"/>
      <c r="W599" s="80">
        <f t="shared" si="324"/>
        <v>62.5571216617211</v>
      </c>
      <c r="X599" s="81">
        <f t="shared" si="330"/>
        <v>2.29243620178042</v>
      </c>
      <c r="Y599" s="81"/>
      <c r="Z599" s="81"/>
      <c r="AA599" s="110">
        <f t="shared" si="327"/>
        <v>2.29243620178042</v>
      </c>
      <c r="AB599" s="90">
        <v>7.19</v>
      </c>
      <c r="AC599" s="78">
        <f t="shared" si="323"/>
        <v>16.4826162908012</v>
      </c>
      <c r="AD599" s="78">
        <f t="shared" si="322"/>
        <v>79.0397379525222</v>
      </c>
      <c r="AE599" s="78">
        <f t="shared" si="326"/>
        <v>30.1044620474778</v>
      </c>
    </row>
    <row r="600" customFormat="1" spans="1:31">
      <c r="A600" s="18"/>
      <c r="B600" s="19"/>
      <c r="C600" s="20">
        <v>240318000026</v>
      </c>
      <c r="D600" s="21">
        <v>45373</v>
      </c>
      <c r="E600" s="21" t="s">
        <v>51</v>
      </c>
      <c r="F600" s="19" t="s">
        <v>52</v>
      </c>
      <c r="G600" s="19" t="s">
        <v>428</v>
      </c>
      <c r="H600" s="19">
        <v>2</v>
      </c>
      <c r="I600" s="41">
        <v>124.3</v>
      </c>
      <c r="J600" s="53"/>
      <c r="K600" s="51"/>
      <c r="L600" s="53"/>
      <c r="M600" s="44"/>
      <c r="N600" s="45"/>
      <c r="O600" s="46">
        <f t="shared" si="331"/>
        <v>124.3</v>
      </c>
      <c r="P600" s="48"/>
      <c r="Q600" s="48"/>
      <c r="R600" s="78">
        <f t="shared" si="328"/>
        <v>83.2670623145401</v>
      </c>
      <c r="S600" s="78"/>
      <c r="T600" s="79">
        <f t="shared" si="329"/>
        <v>0.142433234421365</v>
      </c>
      <c r="U600" s="78"/>
      <c r="V600" s="78"/>
      <c r="W600" s="80">
        <f t="shared" si="324"/>
        <v>83.4094955489614</v>
      </c>
      <c r="X600" s="81">
        <f t="shared" si="330"/>
        <v>3.05658160237389</v>
      </c>
      <c r="Y600" s="81"/>
      <c r="Z600" s="81"/>
      <c r="AA600" s="110">
        <f t="shared" si="327"/>
        <v>3.05658160237389</v>
      </c>
      <c r="AB600" s="90">
        <v>7.19</v>
      </c>
      <c r="AC600" s="78">
        <f t="shared" si="323"/>
        <v>21.9768217210683</v>
      </c>
      <c r="AD600" s="78">
        <f t="shared" si="322"/>
        <v>105.38631727003</v>
      </c>
      <c r="AE600" s="78">
        <f t="shared" si="326"/>
        <v>18.9136827299703</v>
      </c>
    </row>
    <row r="601" customFormat="1" spans="1:31">
      <c r="A601" s="18"/>
      <c r="B601" s="19"/>
      <c r="C601" s="20">
        <v>240318000028</v>
      </c>
      <c r="D601" s="21">
        <v>45373</v>
      </c>
      <c r="E601" s="21" t="s">
        <v>51</v>
      </c>
      <c r="F601" s="19" t="s">
        <v>65</v>
      </c>
      <c r="G601" s="19" t="s">
        <v>429</v>
      </c>
      <c r="H601" s="19">
        <v>2</v>
      </c>
      <c r="I601" s="41">
        <v>150</v>
      </c>
      <c r="J601" s="42"/>
      <c r="K601" s="43"/>
      <c r="L601" s="42"/>
      <c r="M601" s="44"/>
      <c r="N601" s="45"/>
      <c r="O601" s="46">
        <f t="shared" si="331"/>
        <v>150</v>
      </c>
      <c r="P601" s="48"/>
      <c r="Q601" s="48"/>
      <c r="R601" s="78">
        <f t="shared" si="328"/>
        <v>83.2670623145401</v>
      </c>
      <c r="S601" s="78"/>
      <c r="T601" s="79">
        <f t="shared" si="329"/>
        <v>0.142433234421365</v>
      </c>
      <c r="U601" s="78"/>
      <c r="V601" s="78"/>
      <c r="W601" s="80">
        <f t="shared" si="324"/>
        <v>83.4094955489614</v>
      </c>
      <c r="X601" s="81">
        <f t="shared" si="330"/>
        <v>3.05658160237389</v>
      </c>
      <c r="Y601" s="81"/>
      <c r="Z601" s="81"/>
      <c r="AA601" s="110">
        <f t="shared" si="327"/>
        <v>3.05658160237389</v>
      </c>
      <c r="AB601" s="90">
        <v>7.19</v>
      </c>
      <c r="AC601" s="78">
        <f t="shared" si="323"/>
        <v>21.9768217210683</v>
      </c>
      <c r="AD601" s="78">
        <f t="shared" si="322"/>
        <v>105.38631727003</v>
      </c>
      <c r="AE601" s="78">
        <f t="shared" si="326"/>
        <v>44.6136827299703</v>
      </c>
    </row>
    <row r="602" customFormat="1" spans="1:31">
      <c r="A602" s="18"/>
      <c r="B602" s="19"/>
      <c r="C602" s="20">
        <v>240318000029</v>
      </c>
      <c r="D602" s="21">
        <v>45373</v>
      </c>
      <c r="E602" s="21" t="s">
        <v>47</v>
      </c>
      <c r="F602" s="19" t="s">
        <v>48</v>
      </c>
      <c r="G602" s="19" t="s">
        <v>430</v>
      </c>
      <c r="H602" s="19">
        <v>8</v>
      </c>
      <c r="I602" s="41">
        <v>517</v>
      </c>
      <c r="J602" s="53"/>
      <c r="K602" s="51"/>
      <c r="L602" s="53"/>
      <c r="M602" s="44"/>
      <c r="N602" s="45"/>
      <c r="O602" s="46">
        <f t="shared" si="331"/>
        <v>517</v>
      </c>
      <c r="P602" s="48"/>
      <c r="Q602" s="48"/>
      <c r="R602" s="78">
        <f t="shared" si="328"/>
        <v>333.06824925816</v>
      </c>
      <c r="S602" s="78"/>
      <c r="T602" s="79">
        <f t="shared" si="329"/>
        <v>0.56973293768546</v>
      </c>
      <c r="U602" s="78"/>
      <c r="V602" s="78"/>
      <c r="W602" s="80">
        <f t="shared" si="324"/>
        <v>333.637982195846</v>
      </c>
      <c r="X602" s="81">
        <f t="shared" si="330"/>
        <v>12.2263264094955</v>
      </c>
      <c r="Y602" s="81"/>
      <c r="Z602" s="81"/>
      <c r="AA602" s="110">
        <f t="shared" si="327"/>
        <v>12.2263264094955</v>
      </c>
      <c r="AB602" s="90">
        <v>7.19</v>
      </c>
      <c r="AC602" s="78">
        <f t="shared" si="323"/>
        <v>87.907286884273</v>
      </c>
      <c r="AD602" s="78">
        <f t="shared" si="322"/>
        <v>421.545269080119</v>
      </c>
      <c r="AE602" s="78">
        <f t="shared" si="326"/>
        <v>95.4547309198813</v>
      </c>
    </row>
    <row r="603" customFormat="1" spans="1:31">
      <c r="A603" s="18"/>
      <c r="B603" s="19"/>
      <c r="C603" s="20">
        <v>240318000030</v>
      </c>
      <c r="D603" s="21">
        <v>45373</v>
      </c>
      <c r="E603" s="21" t="s">
        <v>44</v>
      </c>
      <c r="F603" s="19" t="s">
        <v>45</v>
      </c>
      <c r="G603" s="19" t="s">
        <v>102</v>
      </c>
      <c r="H603" s="19">
        <v>4.5</v>
      </c>
      <c r="I603" s="49"/>
      <c r="J603" s="50">
        <v>50245.25</v>
      </c>
      <c r="K603" s="51"/>
      <c r="L603" s="50">
        <f>SUM(J603/M603)</f>
        <v>1311.2017223382</v>
      </c>
      <c r="M603" s="52">
        <v>38.32</v>
      </c>
      <c r="N603" s="45">
        <v>7.19</v>
      </c>
      <c r="O603" s="46">
        <f>SUM(M603*N603)</f>
        <v>275.5208</v>
      </c>
      <c r="P603" s="48"/>
      <c r="Q603" s="48"/>
      <c r="R603" s="78">
        <f t="shared" si="328"/>
        <v>187.350890207715</v>
      </c>
      <c r="S603" s="78"/>
      <c r="T603" s="79">
        <f t="shared" si="329"/>
        <v>0.320474777448071</v>
      </c>
      <c r="U603" s="78"/>
      <c r="V603" s="78"/>
      <c r="W603" s="80">
        <f t="shared" si="324"/>
        <v>187.671364985163</v>
      </c>
      <c r="X603" s="81">
        <f t="shared" si="330"/>
        <v>6.87730860534125</v>
      </c>
      <c r="Y603" s="81"/>
      <c r="Z603" s="81"/>
      <c r="AA603" s="110">
        <f t="shared" si="327"/>
        <v>6.87730860534125</v>
      </c>
      <c r="AB603" s="90">
        <v>7.19</v>
      </c>
      <c r="AC603" s="78">
        <f t="shared" si="323"/>
        <v>49.4478488724036</v>
      </c>
      <c r="AD603" s="78">
        <f t="shared" si="322"/>
        <v>237.119213857567</v>
      </c>
      <c r="AE603" s="78">
        <f t="shared" si="326"/>
        <v>38.4015861424332</v>
      </c>
    </row>
    <row r="604" customFormat="1" spans="1:31">
      <c r="A604" s="18"/>
      <c r="B604" s="19"/>
      <c r="C604" s="20">
        <v>240318000032</v>
      </c>
      <c r="D604" s="21">
        <v>45373</v>
      </c>
      <c r="E604" s="21" t="s">
        <v>51</v>
      </c>
      <c r="F604" s="19" t="s">
        <v>65</v>
      </c>
      <c r="G604" s="19" t="s">
        <v>328</v>
      </c>
      <c r="H604" s="19">
        <v>1.5</v>
      </c>
      <c r="I604" s="41">
        <v>104</v>
      </c>
      <c r="J604" s="53"/>
      <c r="K604" s="51"/>
      <c r="L604" s="53"/>
      <c r="M604" s="44"/>
      <c r="N604" s="45"/>
      <c r="O604" s="46">
        <f t="shared" ref="O604:O607" si="332">SUM(I604)</f>
        <v>104</v>
      </c>
      <c r="P604" s="48"/>
      <c r="Q604" s="48"/>
      <c r="R604" s="78">
        <f t="shared" si="328"/>
        <v>62.450296735905</v>
      </c>
      <c r="S604" s="78"/>
      <c r="T604" s="79">
        <f t="shared" si="329"/>
        <v>0.106824925816024</v>
      </c>
      <c r="U604" s="78"/>
      <c r="V604" s="78"/>
      <c r="W604" s="80">
        <f t="shared" si="324"/>
        <v>62.5571216617211</v>
      </c>
      <c r="X604" s="81">
        <f t="shared" si="330"/>
        <v>2.29243620178042</v>
      </c>
      <c r="Y604" s="81"/>
      <c r="Z604" s="81"/>
      <c r="AA604" s="110">
        <f t="shared" si="327"/>
        <v>2.29243620178042</v>
      </c>
      <c r="AB604" s="90">
        <v>7.19</v>
      </c>
      <c r="AC604" s="78">
        <f t="shared" si="323"/>
        <v>16.4826162908012</v>
      </c>
      <c r="AD604" s="78">
        <f t="shared" ref="AD604:AD630" si="333">SUM(W604+AC604)</f>
        <v>79.0397379525222</v>
      </c>
      <c r="AE604" s="78">
        <f t="shared" si="326"/>
        <v>24.9602620474778</v>
      </c>
    </row>
    <row r="605" customFormat="1" spans="1:31">
      <c r="A605" s="18"/>
      <c r="B605" s="19"/>
      <c r="C605" s="20">
        <v>240318000035</v>
      </c>
      <c r="D605" s="21">
        <v>45373</v>
      </c>
      <c r="E605" s="21" t="s">
        <v>51</v>
      </c>
      <c r="F605" s="19" t="s">
        <v>65</v>
      </c>
      <c r="G605" s="19" t="s">
        <v>431</v>
      </c>
      <c r="H605" s="19">
        <v>27</v>
      </c>
      <c r="I605" s="41">
        <v>1431</v>
      </c>
      <c r="J605" s="53"/>
      <c r="K605" s="51"/>
      <c r="L605" s="53"/>
      <c r="M605" s="44"/>
      <c r="N605" s="45"/>
      <c r="O605" s="46">
        <f t="shared" si="332"/>
        <v>1431</v>
      </c>
      <c r="P605" s="48"/>
      <c r="Q605" s="48"/>
      <c r="R605" s="78">
        <f t="shared" si="328"/>
        <v>1124.10534124629</v>
      </c>
      <c r="S605" s="78"/>
      <c r="T605" s="79">
        <f t="shared" si="329"/>
        <v>1.92284866468843</v>
      </c>
      <c r="U605" s="78"/>
      <c r="V605" s="78"/>
      <c r="W605" s="80">
        <f t="shared" si="324"/>
        <v>1126.02818991098</v>
      </c>
      <c r="X605" s="81">
        <f t="shared" si="330"/>
        <v>41.2638516320475</v>
      </c>
      <c r="Y605" s="81"/>
      <c r="Z605" s="81"/>
      <c r="AA605" s="110">
        <f t="shared" si="327"/>
        <v>41.2638516320475</v>
      </c>
      <c r="AB605" s="90">
        <v>7.19</v>
      </c>
      <c r="AC605" s="78">
        <f t="shared" si="323"/>
        <v>296.687093234421</v>
      </c>
      <c r="AD605" s="78">
        <f t="shared" si="333"/>
        <v>1422.7152831454</v>
      </c>
      <c r="AE605" s="78">
        <f t="shared" si="326"/>
        <v>8.28471685459954</v>
      </c>
    </row>
    <row r="606" customFormat="1" spans="1:31">
      <c r="A606" s="18"/>
      <c r="B606" s="19"/>
      <c r="C606" s="20">
        <v>240318000044</v>
      </c>
      <c r="D606" s="21">
        <v>45373</v>
      </c>
      <c r="E606" s="21" t="s">
        <v>47</v>
      </c>
      <c r="F606" s="19" t="s">
        <v>48</v>
      </c>
      <c r="G606" s="19" t="s">
        <v>135</v>
      </c>
      <c r="H606" s="19">
        <v>1.5</v>
      </c>
      <c r="I606" s="41">
        <v>94.5</v>
      </c>
      <c r="J606" s="53"/>
      <c r="K606" s="51"/>
      <c r="L606" s="53"/>
      <c r="M606" s="44"/>
      <c r="N606" s="45"/>
      <c r="O606" s="46">
        <f t="shared" si="332"/>
        <v>94.5</v>
      </c>
      <c r="P606" s="48"/>
      <c r="Q606" s="48"/>
      <c r="R606" s="78">
        <f t="shared" si="328"/>
        <v>62.450296735905</v>
      </c>
      <c r="S606" s="78"/>
      <c r="T606" s="79">
        <f t="shared" si="329"/>
        <v>0.106824925816024</v>
      </c>
      <c r="U606" s="78"/>
      <c r="V606" s="78"/>
      <c r="W606" s="80">
        <f t="shared" si="324"/>
        <v>62.5571216617211</v>
      </c>
      <c r="X606" s="81">
        <f t="shared" si="330"/>
        <v>2.29243620178042</v>
      </c>
      <c r="Y606" s="81"/>
      <c r="Z606" s="81"/>
      <c r="AA606" s="110">
        <f t="shared" si="327"/>
        <v>2.29243620178042</v>
      </c>
      <c r="AB606" s="90">
        <v>7.19</v>
      </c>
      <c r="AC606" s="78">
        <f t="shared" ref="AC606:AC630" si="334">SUM(AA606*AB606)</f>
        <v>16.4826162908012</v>
      </c>
      <c r="AD606" s="78">
        <f t="shared" si="333"/>
        <v>79.0397379525222</v>
      </c>
      <c r="AE606" s="78">
        <f t="shared" si="326"/>
        <v>15.4602620474778</v>
      </c>
    </row>
    <row r="607" customFormat="1" spans="1:31">
      <c r="A607" s="18"/>
      <c r="B607" s="19"/>
      <c r="C607" s="20">
        <v>240318000046</v>
      </c>
      <c r="D607" s="21">
        <v>45373</v>
      </c>
      <c r="E607" s="21" t="s">
        <v>70</v>
      </c>
      <c r="F607" s="19" t="s">
        <v>70</v>
      </c>
      <c r="G607" s="19" t="s">
        <v>432</v>
      </c>
      <c r="H607" s="19">
        <v>45.5</v>
      </c>
      <c r="I607" s="41">
        <v>2411.5</v>
      </c>
      <c r="J607" s="53"/>
      <c r="K607" s="51"/>
      <c r="L607" s="53"/>
      <c r="M607" s="44"/>
      <c r="N607" s="45"/>
      <c r="O607" s="46">
        <f t="shared" si="332"/>
        <v>2411.5</v>
      </c>
      <c r="P607" s="48"/>
      <c r="Q607" s="48"/>
      <c r="R607" s="78">
        <f t="shared" si="328"/>
        <v>1894.32566765579</v>
      </c>
      <c r="S607" s="78"/>
      <c r="T607" s="79">
        <f t="shared" si="329"/>
        <v>3.24035608308605</v>
      </c>
      <c r="U607" s="78"/>
      <c r="V607" s="78"/>
      <c r="W607" s="80">
        <f t="shared" ref="W607:W630" si="335">SUM(R607:V607)</f>
        <v>1897.56602373887</v>
      </c>
      <c r="X607" s="81">
        <f t="shared" si="330"/>
        <v>69.5372314540059</v>
      </c>
      <c r="Y607" s="81"/>
      <c r="Z607" s="81"/>
      <c r="AA607" s="110">
        <f t="shared" si="327"/>
        <v>69.5372314540059</v>
      </c>
      <c r="AB607" s="90">
        <v>7.19</v>
      </c>
      <c r="AC607" s="78">
        <f t="shared" si="334"/>
        <v>499.972694154303</v>
      </c>
      <c r="AD607" s="78">
        <f t="shared" si="333"/>
        <v>2397.53871789318</v>
      </c>
      <c r="AE607" s="78">
        <f t="shared" si="326"/>
        <v>13.9612821068249</v>
      </c>
    </row>
    <row r="608" customFormat="1" spans="1:31">
      <c r="A608" s="18"/>
      <c r="B608" s="19"/>
      <c r="C608" s="20">
        <v>240318000049</v>
      </c>
      <c r="D608" s="21">
        <v>45373</v>
      </c>
      <c r="E608" s="21" t="s">
        <v>70</v>
      </c>
      <c r="F608" s="19" t="s">
        <v>287</v>
      </c>
      <c r="G608" s="19" t="s">
        <v>288</v>
      </c>
      <c r="H608" s="19">
        <v>19.5</v>
      </c>
      <c r="I608" s="46"/>
      <c r="J608" s="54">
        <v>455020</v>
      </c>
      <c r="K608" s="93"/>
      <c r="L608" s="50">
        <f>SUM(J608/M608)</f>
        <v>1350.00741729714</v>
      </c>
      <c r="M608" s="52">
        <v>337.05</v>
      </c>
      <c r="N608" s="45">
        <v>7.19</v>
      </c>
      <c r="O608" s="46">
        <f>SUM(M608*N608)</f>
        <v>2423.3895</v>
      </c>
      <c r="P608" s="48"/>
      <c r="Q608" s="48"/>
      <c r="R608" s="78">
        <f t="shared" si="328"/>
        <v>811.853857566766</v>
      </c>
      <c r="S608" s="78"/>
      <c r="T608" s="79">
        <f t="shared" si="329"/>
        <v>1.38872403560831</v>
      </c>
      <c r="U608" s="78"/>
      <c r="V608" s="78"/>
      <c r="W608" s="80">
        <f t="shared" si="335"/>
        <v>813.242581602374</v>
      </c>
      <c r="X608" s="81">
        <f t="shared" si="330"/>
        <v>29.8016706231454</v>
      </c>
      <c r="Y608" s="81"/>
      <c r="Z608" s="81"/>
      <c r="AA608" s="110">
        <f t="shared" si="327"/>
        <v>29.8016706231454</v>
      </c>
      <c r="AB608" s="90">
        <v>7.19</v>
      </c>
      <c r="AC608" s="78">
        <f t="shared" si="334"/>
        <v>214.274011780415</v>
      </c>
      <c r="AD608" s="78">
        <f t="shared" si="333"/>
        <v>1027.51659338279</v>
      </c>
      <c r="AE608" s="78">
        <f t="shared" ref="AE608:AE630" si="336">SUM(O608-AD608)</f>
        <v>1395.87290661721</v>
      </c>
    </row>
    <row r="609" customFormat="1" spans="1:31">
      <c r="A609" s="18"/>
      <c r="B609" s="19"/>
      <c r="C609" s="20">
        <v>240318000053</v>
      </c>
      <c r="D609" s="21">
        <v>45373</v>
      </c>
      <c r="E609" s="21" t="s">
        <v>44</v>
      </c>
      <c r="F609" s="19" t="s">
        <v>45</v>
      </c>
      <c r="G609" s="19" t="s">
        <v>433</v>
      </c>
      <c r="H609" s="19">
        <v>25</v>
      </c>
      <c r="I609" s="49"/>
      <c r="J609" s="50">
        <v>240800</v>
      </c>
      <c r="K609" s="51"/>
      <c r="L609" s="50">
        <f>SUM(J609/M609)</f>
        <v>1150.44670584301</v>
      </c>
      <c r="M609" s="52">
        <v>209.31</v>
      </c>
      <c r="N609" s="45">
        <v>7.19</v>
      </c>
      <c r="O609" s="46">
        <f>SUM(M609*N609)</f>
        <v>1504.9389</v>
      </c>
      <c r="P609" s="48"/>
      <c r="Q609" s="48"/>
      <c r="R609" s="78">
        <f t="shared" si="328"/>
        <v>1040.83827893175</v>
      </c>
      <c r="S609" s="78"/>
      <c r="T609" s="79">
        <f t="shared" si="329"/>
        <v>1.78041543026706</v>
      </c>
      <c r="U609" s="79">
        <v>130</v>
      </c>
      <c r="V609" s="78"/>
      <c r="W609" s="80">
        <f t="shared" si="335"/>
        <v>1172.61869436202</v>
      </c>
      <c r="X609" s="81">
        <f t="shared" si="330"/>
        <v>38.2072700296736</v>
      </c>
      <c r="Y609" s="81"/>
      <c r="Z609" s="81"/>
      <c r="AA609" s="110">
        <f t="shared" ref="AA609:AA630" si="337">SUM(X609:Z609)</f>
        <v>38.2072700296736</v>
      </c>
      <c r="AB609" s="90">
        <v>7.19</v>
      </c>
      <c r="AC609" s="78">
        <f t="shared" si="334"/>
        <v>274.710271513353</v>
      </c>
      <c r="AD609" s="78">
        <f t="shared" si="333"/>
        <v>1447.32896587537</v>
      </c>
      <c r="AE609" s="78">
        <f t="shared" si="336"/>
        <v>57.6099341246293</v>
      </c>
    </row>
    <row r="610" customFormat="1" spans="1:31">
      <c r="A610" s="18"/>
      <c r="B610" s="19"/>
      <c r="C610" s="20">
        <v>240318000054</v>
      </c>
      <c r="D610" s="21">
        <v>45373</v>
      </c>
      <c r="E610" s="21" t="s">
        <v>51</v>
      </c>
      <c r="F610" s="19" t="s">
        <v>52</v>
      </c>
      <c r="G610" s="19" t="s">
        <v>53</v>
      </c>
      <c r="H610" s="19">
        <v>3</v>
      </c>
      <c r="I610" s="41">
        <v>184.8</v>
      </c>
      <c r="J610" s="53"/>
      <c r="K610" s="51"/>
      <c r="L610" s="53"/>
      <c r="M610" s="44"/>
      <c r="N610" s="45"/>
      <c r="O610" s="46">
        <f t="shared" ref="O610:O615" si="338">SUM(I610)</f>
        <v>184.8</v>
      </c>
      <c r="P610" s="48"/>
      <c r="Q610" s="48"/>
      <c r="R610" s="78">
        <f t="shared" ref="R610:R630" si="339">SUM(70152.5/1685)*H610</f>
        <v>124.90059347181</v>
      </c>
      <c r="S610" s="78"/>
      <c r="T610" s="79">
        <f t="shared" ref="T610:T630" si="340">SUM(120/1685)*H610</f>
        <v>0.213649851632047</v>
      </c>
      <c r="U610" s="78"/>
      <c r="V610" s="78"/>
      <c r="W610" s="80">
        <f t="shared" si="335"/>
        <v>125.114243323442</v>
      </c>
      <c r="X610" s="81">
        <f t="shared" ref="X610:X630" si="341">SUM(2575.17/1685)*H610</f>
        <v>4.58487240356083</v>
      </c>
      <c r="Y610" s="81"/>
      <c r="Z610" s="81"/>
      <c r="AA610" s="110">
        <f t="shared" si="337"/>
        <v>4.58487240356083</v>
      </c>
      <c r="AB610" s="90">
        <v>7.19</v>
      </c>
      <c r="AC610" s="78">
        <f t="shared" si="334"/>
        <v>32.9652325816024</v>
      </c>
      <c r="AD610" s="78">
        <f t="shared" si="333"/>
        <v>158.079475905044</v>
      </c>
      <c r="AE610" s="78">
        <f t="shared" si="336"/>
        <v>26.7205240949555</v>
      </c>
    </row>
    <row r="611" customFormat="1" spans="1:31">
      <c r="A611" s="18"/>
      <c r="B611" s="19"/>
      <c r="C611" s="20">
        <v>240318000065</v>
      </c>
      <c r="D611" s="21">
        <v>45373</v>
      </c>
      <c r="E611" s="21" t="s">
        <v>70</v>
      </c>
      <c r="F611" s="19" t="s">
        <v>434</v>
      </c>
      <c r="G611" s="19" t="s">
        <v>435</v>
      </c>
      <c r="H611" s="19">
        <v>0.52</v>
      </c>
      <c r="I611" s="41">
        <v>76.8</v>
      </c>
      <c r="J611" s="53"/>
      <c r="K611" s="51"/>
      <c r="L611" s="50"/>
      <c r="M611" s="44"/>
      <c r="N611" s="45"/>
      <c r="O611" s="46">
        <f t="shared" si="338"/>
        <v>76.8</v>
      </c>
      <c r="P611" s="48"/>
      <c r="Q611" s="48"/>
      <c r="R611" s="78">
        <f t="shared" si="339"/>
        <v>21.6494362017804</v>
      </c>
      <c r="S611" s="78"/>
      <c r="T611" s="79">
        <f t="shared" si="340"/>
        <v>0.0370326409495549</v>
      </c>
      <c r="U611" s="78"/>
      <c r="V611" s="78"/>
      <c r="W611" s="80">
        <f t="shared" si="335"/>
        <v>21.68646884273</v>
      </c>
      <c r="X611" s="81">
        <f t="shared" si="341"/>
        <v>0.794711216617211</v>
      </c>
      <c r="Y611" s="81"/>
      <c r="Z611" s="81"/>
      <c r="AA611" s="110">
        <f t="shared" si="337"/>
        <v>0.794711216617211</v>
      </c>
      <c r="AB611" s="90">
        <v>7.19</v>
      </c>
      <c r="AC611" s="78">
        <f t="shared" si="334"/>
        <v>5.71397364747775</v>
      </c>
      <c r="AD611" s="78">
        <f t="shared" si="333"/>
        <v>27.4004424902077</v>
      </c>
      <c r="AE611" s="78">
        <f t="shared" si="336"/>
        <v>49.3995575097923</v>
      </c>
    </row>
    <row r="612" customFormat="1" spans="1:31">
      <c r="A612" s="18"/>
      <c r="B612" s="19"/>
      <c r="C612" s="20">
        <v>240318000066</v>
      </c>
      <c r="D612" s="21">
        <v>45373</v>
      </c>
      <c r="E612" s="21" t="s">
        <v>47</v>
      </c>
      <c r="F612" s="19" t="s">
        <v>48</v>
      </c>
      <c r="G612" s="19" t="s">
        <v>436</v>
      </c>
      <c r="H612" s="19">
        <v>2.5</v>
      </c>
      <c r="I612" s="41">
        <v>159.6</v>
      </c>
      <c r="J612" s="53"/>
      <c r="K612" s="51"/>
      <c r="L612" s="53"/>
      <c r="M612" s="44"/>
      <c r="N612" s="45"/>
      <c r="O612" s="46">
        <f t="shared" si="338"/>
        <v>159.6</v>
      </c>
      <c r="P612" s="48"/>
      <c r="Q612" s="48"/>
      <c r="R612" s="78">
        <f t="shared" si="339"/>
        <v>104.083827893175</v>
      </c>
      <c r="S612" s="78"/>
      <c r="T612" s="79">
        <f t="shared" si="340"/>
        <v>0.178041543026706</v>
      </c>
      <c r="U612" s="78"/>
      <c r="V612" s="78"/>
      <c r="W612" s="80">
        <f t="shared" si="335"/>
        <v>104.261869436202</v>
      </c>
      <c r="X612" s="81">
        <f t="shared" si="341"/>
        <v>3.82072700296736</v>
      </c>
      <c r="Y612" s="81"/>
      <c r="Z612" s="81"/>
      <c r="AA612" s="110">
        <f t="shared" si="337"/>
        <v>3.82072700296736</v>
      </c>
      <c r="AB612" s="90">
        <v>7.19</v>
      </c>
      <c r="AC612" s="78">
        <f t="shared" si="334"/>
        <v>27.4710271513353</v>
      </c>
      <c r="AD612" s="78">
        <f t="shared" si="333"/>
        <v>131.732896587537</v>
      </c>
      <c r="AE612" s="78">
        <f t="shared" si="336"/>
        <v>27.8671034124629</v>
      </c>
    </row>
    <row r="613" customFormat="1" spans="1:31">
      <c r="A613" s="18"/>
      <c r="B613" s="19"/>
      <c r="C613" s="20">
        <v>240318000068</v>
      </c>
      <c r="D613" s="21">
        <v>45373</v>
      </c>
      <c r="E613" s="21" t="s">
        <v>47</v>
      </c>
      <c r="F613" s="19" t="s">
        <v>175</v>
      </c>
      <c r="G613" s="19" t="s">
        <v>167</v>
      </c>
      <c r="H613" s="19">
        <v>4.5</v>
      </c>
      <c r="I613" s="41">
        <v>337.5</v>
      </c>
      <c r="J613" s="53"/>
      <c r="K613" s="51"/>
      <c r="L613" s="53"/>
      <c r="M613" s="44"/>
      <c r="N613" s="45"/>
      <c r="O613" s="46">
        <f t="shared" si="338"/>
        <v>337.5</v>
      </c>
      <c r="P613" s="48"/>
      <c r="Q613" s="48"/>
      <c r="R613" s="78">
        <f t="shared" si="339"/>
        <v>187.350890207715</v>
      </c>
      <c r="S613" s="78"/>
      <c r="T613" s="79">
        <f t="shared" si="340"/>
        <v>0.320474777448071</v>
      </c>
      <c r="U613" s="78"/>
      <c r="V613" s="78"/>
      <c r="W613" s="80">
        <f t="shared" si="335"/>
        <v>187.671364985163</v>
      </c>
      <c r="X613" s="81">
        <f t="shared" si="341"/>
        <v>6.87730860534125</v>
      </c>
      <c r="Y613" s="81"/>
      <c r="Z613" s="81"/>
      <c r="AA613" s="110">
        <f t="shared" si="337"/>
        <v>6.87730860534125</v>
      </c>
      <c r="AB613" s="90">
        <v>7.19</v>
      </c>
      <c r="AC613" s="78">
        <f t="shared" si="334"/>
        <v>49.4478488724036</v>
      </c>
      <c r="AD613" s="78">
        <f t="shared" si="333"/>
        <v>237.119213857567</v>
      </c>
      <c r="AE613" s="78">
        <f t="shared" si="336"/>
        <v>100.380786142433</v>
      </c>
    </row>
    <row r="614" customFormat="1" spans="1:31">
      <c r="A614" s="18"/>
      <c r="B614" s="19"/>
      <c r="C614" s="20">
        <v>240318000069</v>
      </c>
      <c r="D614" s="21">
        <v>45373</v>
      </c>
      <c r="E614" s="21" t="s">
        <v>47</v>
      </c>
      <c r="F614" s="19" t="s">
        <v>104</v>
      </c>
      <c r="G614" s="19" t="s">
        <v>104</v>
      </c>
      <c r="H614" s="19">
        <v>3</v>
      </c>
      <c r="I614" s="41">
        <v>184.8</v>
      </c>
      <c r="J614" s="42"/>
      <c r="K614" s="43"/>
      <c r="L614" s="42"/>
      <c r="M614" s="44"/>
      <c r="N614" s="45"/>
      <c r="O614" s="46">
        <f t="shared" si="338"/>
        <v>184.8</v>
      </c>
      <c r="P614" s="48"/>
      <c r="Q614" s="48"/>
      <c r="R614" s="78">
        <f t="shared" si="339"/>
        <v>124.90059347181</v>
      </c>
      <c r="S614" s="78"/>
      <c r="T614" s="79">
        <f t="shared" si="340"/>
        <v>0.213649851632047</v>
      </c>
      <c r="U614" s="78"/>
      <c r="V614" s="78"/>
      <c r="W614" s="80">
        <f t="shared" si="335"/>
        <v>125.114243323442</v>
      </c>
      <c r="X614" s="81">
        <f t="shared" si="341"/>
        <v>4.58487240356083</v>
      </c>
      <c r="Y614" s="81"/>
      <c r="Z614" s="81"/>
      <c r="AA614" s="110">
        <f t="shared" si="337"/>
        <v>4.58487240356083</v>
      </c>
      <c r="AB614" s="90">
        <v>7.19</v>
      </c>
      <c r="AC614" s="78">
        <f t="shared" si="334"/>
        <v>32.9652325816024</v>
      </c>
      <c r="AD614" s="78">
        <f t="shared" si="333"/>
        <v>158.079475905044</v>
      </c>
      <c r="AE614" s="78">
        <f t="shared" si="336"/>
        <v>26.7205240949555</v>
      </c>
    </row>
    <row r="615" customFormat="1" spans="1:31">
      <c r="A615" s="18"/>
      <c r="B615" s="19"/>
      <c r="C615" s="20">
        <v>240318000073</v>
      </c>
      <c r="D615" s="21">
        <v>45373</v>
      </c>
      <c r="E615" s="21" t="s">
        <v>44</v>
      </c>
      <c r="F615" s="19" t="s">
        <v>45</v>
      </c>
      <c r="G615" s="19" t="s">
        <v>155</v>
      </c>
      <c r="H615" s="19">
        <v>48.5</v>
      </c>
      <c r="I615" s="41">
        <v>2552</v>
      </c>
      <c r="J615" s="53"/>
      <c r="K615" s="51"/>
      <c r="L615" s="53"/>
      <c r="M615" s="44"/>
      <c r="N615" s="45"/>
      <c r="O615" s="46">
        <f t="shared" si="338"/>
        <v>2552</v>
      </c>
      <c r="P615" s="48"/>
      <c r="Q615" s="48"/>
      <c r="R615" s="78">
        <f t="shared" si="339"/>
        <v>2019.2262611276</v>
      </c>
      <c r="S615" s="78"/>
      <c r="T615" s="79">
        <f t="shared" si="340"/>
        <v>3.4540059347181</v>
      </c>
      <c r="U615" s="78"/>
      <c r="V615" s="78"/>
      <c r="W615" s="80">
        <f t="shared" si="335"/>
        <v>2022.68026706231</v>
      </c>
      <c r="X615" s="81">
        <f t="shared" si="341"/>
        <v>74.1221038575668</v>
      </c>
      <c r="Y615" s="81"/>
      <c r="Z615" s="81"/>
      <c r="AA615" s="110">
        <f t="shared" si="337"/>
        <v>74.1221038575668</v>
      </c>
      <c r="AB615" s="90">
        <v>7.19</v>
      </c>
      <c r="AC615" s="78">
        <f t="shared" si="334"/>
        <v>532.937926735905</v>
      </c>
      <c r="AD615" s="78">
        <f t="shared" si="333"/>
        <v>2555.61819379822</v>
      </c>
      <c r="AE615" s="78">
        <f t="shared" si="336"/>
        <v>-3.61819379821964</v>
      </c>
    </row>
    <row r="616" customFormat="1" spans="1:31">
      <c r="A616" s="18"/>
      <c r="B616" s="19"/>
      <c r="C616" s="20">
        <v>240319000003</v>
      </c>
      <c r="D616" s="21">
        <v>45373</v>
      </c>
      <c r="E616" s="21" t="s">
        <v>44</v>
      </c>
      <c r="F616" s="19" t="s">
        <v>45</v>
      </c>
      <c r="G616" s="19" t="s">
        <v>330</v>
      </c>
      <c r="H616" s="19">
        <v>13.5</v>
      </c>
      <c r="I616" s="49"/>
      <c r="J616" s="50">
        <v>121500</v>
      </c>
      <c r="K616" s="91"/>
      <c r="L616" s="50">
        <f>SUM(J616/M616)</f>
        <v>1294.2053685556</v>
      </c>
      <c r="M616" s="52">
        <v>93.88</v>
      </c>
      <c r="N616" s="45">
        <v>7.19</v>
      </c>
      <c r="O616" s="46">
        <f>SUM(M616*N616)</f>
        <v>674.9972</v>
      </c>
      <c r="P616" s="48"/>
      <c r="Q616" s="48"/>
      <c r="R616" s="78">
        <f t="shared" si="339"/>
        <v>562.052670623145</v>
      </c>
      <c r="S616" s="78"/>
      <c r="T616" s="79">
        <f t="shared" si="340"/>
        <v>0.961424332344214</v>
      </c>
      <c r="U616" s="78"/>
      <c r="V616" s="78"/>
      <c r="W616" s="80">
        <f t="shared" si="335"/>
        <v>563.01409495549</v>
      </c>
      <c r="X616" s="81">
        <f t="shared" si="341"/>
        <v>20.6319258160237</v>
      </c>
      <c r="Y616" s="81"/>
      <c r="Z616" s="81"/>
      <c r="AA616" s="110">
        <f t="shared" si="337"/>
        <v>20.6319258160237</v>
      </c>
      <c r="AB616" s="90">
        <v>7.19</v>
      </c>
      <c r="AC616" s="78">
        <f t="shared" si="334"/>
        <v>148.343546617211</v>
      </c>
      <c r="AD616" s="78">
        <f t="shared" si="333"/>
        <v>711.3576415727</v>
      </c>
      <c r="AE616" s="78">
        <f t="shared" si="336"/>
        <v>-36.3604415727002</v>
      </c>
    </row>
    <row r="617" customFormat="1" spans="1:31">
      <c r="A617" s="18"/>
      <c r="B617" s="19"/>
      <c r="C617" s="20">
        <v>240319000010</v>
      </c>
      <c r="D617" s="21">
        <v>45373</v>
      </c>
      <c r="E617" s="21" t="s">
        <v>47</v>
      </c>
      <c r="F617" s="19" t="s">
        <v>48</v>
      </c>
      <c r="G617" s="19" t="s">
        <v>437</v>
      </c>
      <c r="H617" s="19">
        <v>29.5</v>
      </c>
      <c r="I617" s="41">
        <v>2030</v>
      </c>
      <c r="J617" s="53"/>
      <c r="K617" s="51"/>
      <c r="L617" s="53"/>
      <c r="M617" s="44"/>
      <c r="N617" s="45"/>
      <c r="O617" s="46">
        <f t="shared" ref="O617:O621" si="342">SUM(I617)</f>
        <v>2030</v>
      </c>
      <c r="P617" s="48"/>
      <c r="Q617" s="48"/>
      <c r="R617" s="78">
        <f t="shared" si="339"/>
        <v>1228.18916913947</v>
      </c>
      <c r="S617" s="78"/>
      <c r="T617" s="79">
        <f t="shared" si="340"/>
        <v>2.10089020771513</v>
      </c>
      <c r="U617" s="78"/>
      <c r="V617" s="78"/>
      <c r="W617" s="80">
        <f t="shared" si="335"/>
        <v>1230.29005934718</v>
      </c>
      <c r="X617" s="81">
        <f t="shared" si="341"/>
        <v>45.0845786350148</v>
      </c>
      <c r="Y617" s="81"/>
      <c r="Z617" s="81"/>
      <c r="AA617" s="110">
        <f t="shared" si="337"/>
        <v>45.0845786350148</v>
      </c>
      <c r="AB617" s="90">
        <v>7.19</v>
      </c>
      <c r="AC617" s="78">
        <f t="shared" si="334"/>
        <v>324.158120385757</v>
      </c>
      <c r="AD617" s="78">
        <f t="shared" si="333"/>
        <v>1554.44817973294</v>
      </c>
      <c r="AE617" s="78">
        <f t="shared" si="336"/>
        <v>475.55182026706</v>
      </c>
    </row>
    <row r="618" customFormat="1" spans="1:31">
      <c r="A618" s="18"/>
      <c r="B618" s="19"/>
      <c r="C618" s="20">
        <v>240319000011</v>
      </c>
      <c r="D618" s="21">
        <v>45373</v>
      </c>
      <c r="E618" s="21" t="s">
        <v>47</v>
      </c>
      <c r="F618" s="19" t="s">
        <v>48</v>
      </c>
      <c r="G618" s="19" t="s">
        <v>438</v>
      </c>
      <c r="H618" s="19">
        <v>12</v>
      </c>
      <c r="I618" s="49"/>
      <c r="J618" s="50">
        <v>154488</v>
      </c>
      <c r="K618" s="91"/>
      <c r="L618" s="50">
        <f>SUM(J618/M618)</f>
        <v>1315.79933566136</v>
      </c>
      <c r="M618" s="52">
        <v>117.41</v>
      </c>
      <c r="N618" s="45">
        <v>7.19</v>
      </c>
      <c r="O618" s="46">
        <f t="shared" ref="O618:O623" si="343">SUM(M618*N618)</f>
        <v>844.1779</v>
      </c>
      <c r="P618" s="48"/>
      <c r="Q618" s="48"/>
      <c r="R618" s="78">
        <f t="shared" si="339"/>
        <v>499.60237388724</v>
      </c>
      <c r="S618" s="78"/>
      <c r="T618" s="79">
        <f t="shared" si="340"/>
        <v>0.85459940652819</v>
      </c>
      <c r="U618" s="78"/>
      <c r="V618" s="79">
        <v>72</v>
      </c>
      <c r="W618" s="80">
        <f t="shared" si="335"/>
        <v>572.456973293768</v>
      </c>
      <c r="X618" s="81">
        <f t="shared" si="341"/>
        <v>18.3394896142433</v>
      </c>
      <c r="Y618" s="81"/>
      <c r="Z618" s="81"/>
      <c r="AA618" s="110">
        <f t="shared" si="337"/>
        <v>18.3394896142433</v>
      </c>
      <c r="AB618" s="90">
        <v>7.19</v>
      </c>
      <c r="AC618" s="78">
        <f t="shared" si="334"/>
        <v>131.860930326409</v>
      </c>
      <c r="AD618" s="78">
        <f t="shared" si="333"/>
        <v>704.317903620178</v>
      </c>
      <c r="AE618" s="78">
        <f t="shared" si="336"/>
        <v>139.859996379822</v>
      </c>
    </row>
    <row r="619" customFormat="1" spans="1:31">
      <c r="A619" s="18"/>
      <c r="B619" s="19"/>
      <c r="C619" s="20">
        <v>240319000014</v>
      </c>
      <c r="D619" s="21">
        <v>45373</v>
      </c>
      <c r="E619" s="21" t="s">
        <v>70</v>
      </c>
      <c r="F619" s="19" t="s">
        <v>70</v>
      </c>
      <c r="G619" s="19" t="s">
        <v>71</v>
      </c>
      <c r="H619" s="19">
        <v>172.5</v>
      </c>
      <c r="I619" s="41">
        <v>8609.5</v>
      </c>
      <c r="J619" s="53"/>
      <c r="K619" s="51"/>
      <c r="L619" s="53"/>
      <c r="M619" s="44"/>
      <c r="N619" s="45"/>
      <c r="O619" s="46">
        <f t="shared" si="342"/>
        <v>8609.5</v>
      </c>
      <c r="P619" s="48"/>
      <c r="Q619" s="48"/>
      <c r="R619" s="78">
        <f t="shared" si="339"/>
        <v>7181.78412462908</v>
      </c>
      <c r="S619" s="78"/>
      <c r="T619" s="79">
        <f t="shared" si="340"/>
        <v>12.2848664688427</v>
      </c>
      <c r="U619" s="78"/>
      <c r="V619" s="78"/>
      <c r="W619" s="80">
        <f t="shared" si="335"/>
        <v>7194.06899109792</v>
      </c>
      <c r="X619" s="81">
        <f t="shared" si="341"/>
        <v>263.630163204748</v>
      </c>
      <c r="Y619" s="81"/>
      <c r="Z619" s="81"/>
      <c r="AA619" s="110">
        <f t="shared" si="337"/>
        <v>263.630163204748</v>
      </c>
      <c r="AB619" s="90">
        <v>7.19</v>
      </c>
      <c r="AC619" s="78">
        <f t="shared" si="334"/>
        <v>1895.50087344214</v>
      </c>
      <c r="AD619" s="78">
        <f t="shared" si="333"/>
        <v>9089.56986454006</v>
      </c>
      <c r="AE619" s="78">
        <f t="shared" si="336"/>
        <v>-480.069864540061</v>
      </c>
    </row>
    <row r="620" customFormat="1" spans="1:31">
      <c r="A620" s="18"/>
      <c r="B620" s="19"/>
      <c r="C620" s="22">
        <v>240319000017</v>
      </c>
      <c r="D620" s="23">
        <v>45373</v>
      </c>
      <c r="E620" s="21" t="s">
        <v>47</v>
      </c>
      <c r="F620" s="24" t="s">
        <v>175</v>
      </c>
      <c r="G620" s="24" t="s">
        <v>167</v>
      </c>
      <c r="H620" s="24">
        <v>20.5</v>
      </c>
      <c r="I620" s="41">
        <v>1130.5</v>
      </c>
      <c r="J620" s="53"/>
      <c r="K620" s="51"/>
      <c r="L620" s="53"/>
      <c r="M620" s="44"/>
      <c r="N620" s="45"/>
      <c r="O620" s="46">
        <f t="shared" si="342"/>
        <v>1130.5</v>
      </c>
      <c r="P620" s="48"/>
      <c r="Q620" s="48"/>
      <c r="R620" s="78">
        <f t="shared" si="339"/>
        <v>853.487388724036</v>
      </c>
      <c r="S620" s="78"/>
      <c r="T620" s="79">
        <f t="shared" si="340"/>
        <v>1.45994065281899</v>
      </c>
      <c r="U620" s="78"/>
      <c r="V620" s="78"/>
      <c r="W620" s="80">
        <f t="shared" si="335"/>
        <v>854.947329376855</v>
      </c>
      <c r="X620" s="81">
        <f t="shared" si="341"/>
        <v>31.3299614243323</v>
      </c>
      <c r="Y620" s="81"/>
      <c r="Z620" s="81"/>
      <c r="AA620" s="110">
        <f t="shared" si="337"/>
        <v>31.3299614243323</v>
      </c>
      <c r="AB620" s="90">
        <v>7.19</v>
      </c>
      <c r="AC620" s="78">
        <f t="shared" si="334"/>
        <v>225.26242264095</v>
      </c>
      <c r="AD620" s="78">
        <f t="shared" si="333"/>
        <v>1080.2097520178</v>
      </c>
      <c r="AE620" s="78">
        <f t="shared" si="336"/>
        <v>50.2902479822001</v>
      </c>
    </row>
    <row r="621" customFormat="1" spans="1:31">
      <c r="A621" s="18"/>
      <c r="B621" s="19"/>
      <c r="C621" s="20">
        <v>240319000018</v>
      </c>
      <c r="D621" s="21">
        <v>45373</v>
      </c>
      <c r="E621" s="21" t="s">
        <v>44</v>
      </c>
      <c r="F621" s="19" t="s">
        <v>45</v>
      </c>
      <c r="G621" s="19" t="s">
        <v>439</v>
      </c>
      <c r="H621" s="19">
        <v>3</v>
      </c>
      <c r="I621" s="41">
        <v>240</v>
      </c>
      <c r="J621" s="53"/>
      <c r="K621" s="51"/>
      <c r="L621" s="53"/>
      <c r="M621" s="44"/>
      <c r="N621" s="45"/>
      <c r="O621" s="46">
        <f t="shared" si="342"/>
        <v>240</v>
      </c>
      <c r="P621" s="48"/>
      <c r="Q621" s="48"/>
      <c r="R621" s="78">
        <f t="shared" si="339"/>
        <v>124.90059347181</v>
      </c>
      <c r="S621" s="78"/>
      <c r="T621" s="79">
        <f t="shared" si="340"/>
        <v>0.213649851632047</v>
      </c>
      <c r="U621" s="78"/>
      <c r="V621" s="78"/>
      <c r="W621" s="80">
        <f t="shared" si="335"/>
        <v>125.114243323442</v>
      </c>
      <c r="X621" s="81">
        <f t="shared" si="341"/>
        <v>4.58487240356083</v>
      </c>
      <c r="Y621" s="81"/>
      <c r="Z621" s="81"/>
      <c r="AA621" s="110">
        <f t="shared" si="337"/>
        <v>4.58487240356083</v>
      </c>
      <c r="AB621" s="90">
        <v>7.19</v>
      </c>
      <c r="AC621" s="78">
        <f t="shared" si="334"/>
        <v>32.9652325816024</v>
      </c>
      <c r="AD621" s="78">
        <f t="shared" si="333"/>
        <v>158.079475905044</v>
      </c>
      <c r="AE621" s="78">
        <f t="shared" si="336"/>
        <v>81.920524094956</v>
      </c>
    </row>
    <row r="622" customFormat="1" spans="1:31">
      <c r="A622" s="18"/>
      <c r="B622" s="19"/>
      <c r="C622" s="20">
        <v>240319000022</v>
      </c>
      <c r="D622" s="21">
        <v>45373</v>
      </c>
      <c r="E622" s="21" t="s">
        <v>44</v>
      </c>
      <c r="F622" s="19" t="s">
        <v>45</v>
      </c>
      <c r="G622" s="19" t="s">
        <v>231</v>
      </c>
      <c r="H622" s="19">
        <v>0.2</v>
      </c>
      <c r="I622" s="49"/>
      <c r="J622" s="50">
        <v>11946</v>
      </c>
      <c r="K622" s="91"/>
      <c r="L622" s="50">
        <f>SUM(J622/M622)</f>
        <v>1302.72628135224</v>
      </c>
      <c r="M622" s="52">
        <v>9.17</v>
      </c>
      <c r="N622" s="45">
        <v>7.19</v>
      </c>
      <c r="O622" s="46">
        <f t="shared" si="343"/>
        <v>65.9323</v>
      </c>
      <c r="P622" s="48"/>
      <c r="Q622" s="48"/>
      <c r="R622" s="78">
        <f t="shared" si="339"/>
        <v>8.32670623145401</v>
      </c>
      <c r="S622" s="78"/>
      <c r="T622" s="79">
        <f t="shared" si="340"/>
        <v>0.0142433234421365</v>
      </c>
      <c r="U622" s="78"/>
      <c r="V622" s="78"/>
      <c r="W622" s="80">
        <f t="shared" si="335"/>
        <v>8.34094955489614</v>
      </c>
      <c r="X622" s="81">
        <f t="shared" si="341"/>
        <v>0.305658160237389</v>
      </c>
      <c r="Y622" s="81"/>
      <c r="Z622" s="81"/>
      <c r="AA622" s="110">
        <f t="shared" si="337"/>
        <v>0.305658160237389</v>
      </c>
      <c r="AB622" s="90">
        <v>7.19</v>
      </c>
      <c r="AC622" s="78">
        <f t="shared" si="334"/>
        <v>2.19768217210683</v>
      </c>
      <c r="AD622" s="78">
        <f t="shared" si="333"/>
        <v>10.538631727003</v>
      </c>
      <c r="AE622" s="78">
        <f t="shared" si="336"/>
        <v>55.393668272997</v>
      </c>
    </row>
    <row r="623" customFormat="1" spans="1:31">
      <c r="A623" s="18"/>
      <c r="B623" s="19"/>
      <c r="C623" s="20">
        <v>240319000028</v>
      </c>
      <c r="D623" s="21">
        <v>45373</v>
      </c>
      <c r="E623" s="21" t="s">
        <v>85</v>
      </c>
      <c r="F623" s="19" t="s">
        <v>440</v>
      </c>
      <c r="G623" s="19" t="s">
        <v>441</v>
      </c>
      <c r="H623" s="19">
        <v>9</v>
      </c>
      <c r="I623" s="46"/>
      <c r="J623" s="54">
        <v>107892</v>
      </c>
      <c r="K623" s="93"/>
      <c r="L623" s="50">
        <f>SUM(J623/M623)</f>
        <v>1350</v>
      </c>
      <c r="M623" s="52">
        <v>79.92</v>
      </c>
      <c r="N623" s="45">
        <v>7.19</v>
      </c>
      <c r="O623" s="46">
        <f t="shared" si="343"/>
        <v>574.6248</v>
      </c>
      <c r="P623" s="48"/>
      <c r="Q623" s="48"/>
      <c r="R623" s="78">
        <f t="shared" si="339"/>
        <v>374.70178041543</v>
      </c>
      <c r="S623" s="78"/>
      <c r="T623" s="79">
        <f t="shared" si="340"/>
        <v>0.640949554896142</v>
      </c>
      <c r="U623" s="78"/>
      <c r="V623" s="78"/>
      <c r="W623" s="80">
        <f t="shared" si="335"/>
        <v>375.342729970326</v>
      </c>
      <c r="X623" s="81">
        <f t="shared" si="341"/>
        <v>13.7546172106825</v>
      </c>
      <c r="Y623" s="81"/>
      <c r="Z623" s="81"/>
      <c r="AA623" s="110">
        <f t="shared" si="337"/>
        <v>13.7546172106825</v>
      </c>
      <c r="AB623" s="90">
        <v>7.19</v>
      </c>
      <c r="AC623" s="78">
        <f t="shared" si="334"/>
        <v>98.8956977448071</v>
      </c>
      <c r="AD623" s="78">
        <f t="shared" si="333"/>
        <v>474.238427715134</v>
      </c>
      <c r="AE623" s="78">
        <f t="shared" si="336"/>
        <v>100.386372284867</v>
      </c>
    </row>
    <row r="624" customFormat="1" spans="1:31">
      <c r="A624" s="18"/>
      <c r="B624" s="19"/>
      <c r="C624" s="20">
        <v>240319000030</v>
      </c>
      <c r="D624" s="21">
        <v>45373</v>
      </c>
      <c r="E624" s="21" t="s">
        <v>70</v>
      </c>
      <c r="F624" s="19" t="s">
        <v>70</v>
      </c>
      <c r="G624" s="19" t="s">
        <v>116</v>
      </c>
      <c r="H624" s="19">
        <v>99</v>
      </c>
      <c r="I624" s="49">
        <v>4653</v>
      </c>
      <c r="J624" s="53"/>
      <c r="K624" s="51"/>
      <c r="L624" s="53"/>
      <c r="M624" s="44"/>
      <c r="N624" s="45"/>
      <c r="O624" s="46">
        <f t="shared" ref="O624:O626" si="344">SUM(I624)</f>
        <v>4653</v>
      </c>
      <c r="P624" s="48"/>
      <c r="Q624" s="48"/>
      <c r="R624" s="78">
        <f t="shared" si="339"/>
        <v>4121.71958456973</v>
      </c>
      <c r="S624" s="78"/>
      <c r="T624" s="79">
        <f t="shared" si="340"/>
        <v>7.05044510385757</v>
      </c>
      <c r="U624" s="78"/>
      <c r="V624" s="78"/>
      <c r="W624" s="80">
        <f t="shared" si="335"/>
        <v>4128.77002967359</v>
      </c>
      <c r="X624" s="81">
        <f t="shared" si="341"/>
        <v>151.300789317507</v>
      </c>
      <c r="Y624" s="81"/>
      <c r="Z624" s="81"/>
      <c r="AA624" s="110">
        <f t="shared" si="337"/>
        <v>151.300789317507</v>
      </c>
      <c r="AB624" s="90">
        <v>7.19</v>
      </c>
      <c r="AC624" s="78">
        <f t="shared" si="334"/>
        <v>1087.85267519288</v>
      </c>
      <c r="AD624" s="78">
        <f t="shared" si="333"/>
        <v>5216.62270486647</v>
      </c>
      <c r="AE624" s="78">
        <f t="shared" si="336"/>
        <v>-563.622704866469</v>
      </c>
    </row>
    <row r="625" customFormat="1" spans="1:31">
      <c r="A625" s="18"/>
      <c r="B625" s="19"/>
      <c r="C625" s="20">
        <v>240319000036</v>
      </c>
      <c r="D625" s="21">
        <v>45373</v>
      </c>
      <c r="E625" s="21" t="s">
        <v>70</v>
      </c>
      <c r="F625" s="19" t="s">
        <v>70</v>
      </c>
      <c r="G625" s="19" t="s">
        <v>74</v>
      </c>
      <c r="H625" s="19">
        <v>609.5</v>
      </c>
      <c r="I625" s="49">
        <v>28037</v>
      </c>
      <c r="J625" s="53"/>
      <c r="K625" s="51"/>
      <c r="L625" s="53"/>
      <c r="M625" s="44"/>
      <c r="N625" s="45"/>
      <c r="O625" s="46">
        <f t="shared" si="344"/>
        <v>28037</v>
      </c>
      <c r="P625" s="48"/>
      <c r="Q625" s="48"/>
      <c r="R625" s="78">
        <f t="shared" si="339"/>
        <v>25375.6372403561</v>
      </c>
      <c r="S625" s="78"/>
      <c r="T625" s="79">
        <f t="shared" si="340"/>
        <v>43.406528189911</v>
      </c>
      <c r="U625" s="78"/>
      <c r="V625" s="78"/>
      <c r="W625" s="80">
        <f t="shared" si="335"/>
        <v>25419.043768546</v>
      </c>
      <c r="X625" s="81">
        <f t="shared" si="341"/>
        <v>931.493243323442</v>
      </c>
      <c r="Y625" s="81"/>
      <c r="Z625" s="81"/>
      <c r="AA625" s="110">
        <f t="shared" si="337"/>
        <v>931.493243323442</v>
      </c>
      <c r="AB625" s="90">
        <v>7.19</v>
      </c>
      <c r="AC625" s="78">
        <f t="shared" si="334"/>
        <v>6697.43641949555</v>
      </c>
      <c r="AD625" s="78">
        <f t="shared" si="333"/>
        <v>32116.4801880415</v>
      </c>
      <c r="AE625" s="78">
        <f t="shared" si="336"/>
        <v>-4079.48018804154</v>
      </c>
    </row>
    <row r="626" customFormat="1" spans="1:31">
      <c r="A626" s="18"/>
      <c r="B626" s="19"/>
      <c r="C626" s="20">
        <v>240320000002</v>
      </c>
      <c r="D626" s="21">
        <v>45373</v>
      </c>
      <c r="E626" s="21" t="s">
        <v>47</v>
      </c>
      <c r="F626" s="19" t="s">
        <v>278</v>
      </c>
      <c r="G626" s="19" t="s">
        <v>442</v>
      </c>
      <c r="H626" s="19">
        <v>2</v>
      </c>
      <c r="I626" s="41">
        <v>124.3</v>
      </c>
      <c r="J626" s="42"/>
      <c r="K626" s="43"/>
      <c r="L626" s="42"/>
      <c r="M626" s="44"/>
      <c r="N626" s="45"/>
      <c r="O626" s="46">
        <f t="shared" si="344"/>
        <v>124.3</v>
      </c>
      <c r="P626" s="48"/>
      <c r="Q626" s="48"/>
      <c r="R626" s="78">
        <f t="shared" si="339"/>
        <v>83.2670623145401</v>
      </c>
      <c r="S626" s="78"/>
      <c r="T626" s="79">
        <f t="shared" si="340"/>
        <v>0.142433234421365</v>
      </c>
      <c r="U626" s="78"/>
      <c r="V626" s="78"/>
      <c r="W626" s="80">
        <f t="shared" si="335"/>
        <v>83.4094955489614</v>
      </c>
      <c r="X626" s="81">
        <f t="shared" si="341"/>
        <v>3.05658160237389</v>
      </c>
      <c r="Y626" s="81"/>
      <c r="Z626" s="81"/>
      <c r="AA626" s="110">
        <f t="shared" si="337"/>
        <v>3.05658160237389</v>
      </c>
      <c r="AB626" s="90">
        <v>7.19</v>
      </c>
      <c r="AC626" s="78">
        <f t="shared" si="334"/>
        <v>21.9768217210683</v>
      </c>
      <c r="AD626" s="78">
        <f t="shared" si="333"/>
        <v>105.38631727003</v>
      </c>
      <c r="AE626" s="78">
        <f t="shared" si="336"/>
        <v>18.9136827299703</v>
      </c>
    </row>
    <row r="627" customFormat="1" spans="1:31">
      <c r="A627" s="18"/>
      <c r="B627" s="19"/>
      <c r="C627" s="20">
        <v>240320000010</v>
      </c>
      <c r="D627" s="21">
        <v>45373</v>
      </c>
      <c r="E627" s="21" t="s">
        <v>47</v>
      </c>
      <c r="F627" s="19" t="s">
        <v>48</v>
      </c>
      <c r="G627" s="19" t="s">
        <v>443</v>
      </c>
      <c r="H627" s="19">
        <v>11</v>
      </c>
      <c r="I627" s="46"/>
      <c r="J627" s="54">
        <v>175392</v>
      </c>
      <c r="K627" s="93"/>
      <c r="L627" s="50">
        <f>SUM(J627/M627)</f>
        <v>1350</v>
      </c>
      <c r="M627" s="52">
        <v>129.92</v>
      </c>
      <c r="N627" s="45">
        <v>7.19</v>
      </c>
      <c r="O627" s="46">
        <f>SUM(M627*N627)</f>
        <v>934.1248</v>
      </c>
      <c r="P627" s="48"/>
      <c r="Q627" s="48"/>
      <c r="R627" s="78">
        <f t="shared" si="339"/>
        <v>457.96884272997</v>
      </c>
      <c r="S627" s="78"/>
      <c r="T627" s="79">
        <f t="shared" si="340"/>
        <v>0.783382789317507</v>
      </c>
      <c r="U627" s="78"/>
      <c r="V627" s="78"/>
      <c r="W627" s="80">
        <f t="shared" si="335"/>
        <v>458.752225519288</v>
      </c>
      <c r="X627" s="81">
        <f t="shared" si="341"/>
        <v>16.8111988130564</v>
      </c>
      <c r="Y627" s="81"/>
      <c r="Z627" s="81"/>
      <c r="AA627" s="110">
        <f t="shared" si="337"/>
        <v>16.8111988130564</v>
      </c>
      <c r="AB627" s="90">
        <v>7.19</v>
      </c>
      <c r="AC627" s="78">
        <f t="shared" si="334"/>
        <v>120.872519465875</v>
      </c>
      <c r="AD627" s="78">
        <f t="shared" si="333"/>
        <v>579.624744985163</v>
      </c>
      <c r="AE627" s="78">
        <f t="shared" si="336"/>
        <v>354.500055014837</v>
      </c>
    </row>
    <row r="628" customFormat="1" spans="1:31">
      <c r="A628" s="18"/>
      <c r="B628" s="19"/>
      <c r="C628" s="20">
        <v>240320000013</v>
      </c>
      <c r="D628" s="21">
        <v>45373</v>
      </c>
      <c r="E628" s="21" t="s">
        <v>37</v>
      </c>
      <c r="F628" s="19" t="s">
        <v>38</v>
      </c>
      <c r="G628" s="19" t="s">
        <v>444</v>
      </c>
      <c r="H628" s="19">
        <v>5</v>
      </c>
      <c r="I628" s="41">
        <v>350</v>
      </c>
      <c r="J628" s="53"/>
      <c r="K628" s="51"/>
      <c r="L628" s="53"/>
      <c r="M628" s="44"/>
      <c r="N628" s="45"/>
      <c r="O628" s="46">
        <f t="shared" ref="O628:O630" si="345">SUM(I628)</f>
        <v>350</v>
      </c>
      <c r="P628" s="48"/>
      <c r="Q628" s="48"/>
      <c r="R628" s="78">
        <f t="shared" si="339"/>
        <v>208.16765578635</v>
      </c>
      <c r="S628" s="78"/>
      <c r="T628" s="79">
        <f t="shared" si="340"/>
        <v>0.356083086053412</v>
      </c>
      <c r="U628" s="78">
        <v>30</v>
      </c>
      <c r="V628" s="78"/>
      <c r="W628" s="80">
        <f t="shared" si="335"/>
        <v>238.523738872404</v>
      </c>
      <c r="X628" s="81">
        <f t="shared" si="341"/>
        <v>7.64145400593472</v>
      </c>
      <c r="Y628" s="81"/>
      <c r="Z628" s="81"/>
      <c r="AA628" s="110">
        <f t="shared" si="337"/>
        <v>7.64145400593472</v>
      </c>
      <c r="AB628" s="90">
        <v>7.19</v>
      </c>
      <c r="AC628" s="78">
        <f t="shared" si="334"/>
        <v>54.9420543026706</v>
      </c>
      <c r="AD628" s="78">
        <f t="shared" si="333"/>
        <v>293.465793175074</v>
      </c>
      <c r="AE628" s="78">
        <f t="shared" si="336"/>
        <v>56.5342068249258</v>
      </c>
    </row>
    <row r="629" customFormat="1" spans="1:31">
      <c r="A629" s="18"/>
      <c r="B629" s="19"/>
      <c r="C629" s="20">
        <v>240320000015</v>
      </c>
      <c r="D629" s="21">
        <v>45373</v>
      </c>
      <c r="E629" s="21" t="s">
        <v>47</v>
      </c>
      <c r="F629" s="19" t="s">
        <v>48</v>
      </c>
      <c r="G629" s="19" t="s">
        <v>81</v>
      </c>
      <c r="H629" s="19">
        <v>4</v>
      </c>
      <c r="I629" s="41">
        <v>395.2</v>
      </c>
      <c r="J629" s="53"/>
      <c r="K629" s="51"/>
      <c r="L629" s="53"/>
      <c r="M629" s="44"/>
      <c r="N629" s="45"/>
      <c r="O629" s="46">
        <f t="shared" si="345"/>
        <v>395.2</v>
      </c>
      <c r="P629" s="48"/>
      <c r="Q629" s="48"/>
      <c r="R629" s="78">
        <f t="shared" si="339"/>
        <v>166.53412462908</v>
      </c>
      <c r="S629" s="78"/>
      <c r="T629" s="79">
        <f t="shared" si="340"/>
        <v>0.28486646884273</v>
      </c>
      <c r="U629" s="78"/>
      <c r="V629" s="78"/>
      <c r="W629" s="80">
        <f t="shared" si="335"/>
        <v>166.818991097923</v>
      </c>
      <c r="X629" s="81">
        <f t="shared" si="341"/>
        <v>6.11316320474777</v>
      </c>
      <c r="Y629" s="81"/>
      <c r="Z629" s="81"/>
      <c r="AA629" s="110">
        <f t="shared" si="337"/>
        <v>6.11316320474777</v>
      </c>
      <c r="AB629" s="90">
        <v>7.19</v>
      </c>
      <c r="AC629" s="78">
        <f t="shared" ref="AC629:AC638" si="346">SUM(AA629*AB629)</f>
        <v>43.9536434421365</v>
      </c>
      <c r="AD629" s="78">
        <f t="shared" ref="AD629:AD638" si="347">SUM(W629+AC629)</f>
        <v>210.772634540059</v>
      </c>
      <c r="AE629" s="78">
        <f t="shared" si="336"/>
        <v>184.427365459941</v>
      </c>
    </row>
    <row r="630" customFormat="1" spans="1:31">
      <c r="A630" s="18"/>
      <c r="B630" s="19"/>
      <c r="C630" s="20">
        <v>240320000018</v>
      </c>
      <c r="D630" s="21">
        <v>45373</v>
      </c>
      <c r="E630" s="21" t="s">
        <v>44</v>
      </c>
      <c r="F630" s="19" t="s">
        <v>45</v>
      </c>
      <c r="G630" s="19" t="s">
        <v>445</v>
      </c>
      <c r="H630" s="19">
        <v>33.5</v>
      </c>
      <c r="I630" s="41">
        <v>1768</v>
      </c>
      <c r="J630" s="53"/>
      <c r="K630" s="51"/>
      <c r="L630" s="53"/>
      <c r="M630" s="44"/>
      <c r="N630" s="45"/>
      <c r="O630" s="46">
        <f t="shared" si="345"/>
        <v>1768</v>
      </c>
      <c r="P630" s="58"/>
      <c r="Q630" s="58"/>
      <c r="R630" s="78">
        <f t="shared" si="339"/>
        <v>1394.72329376855</v>
      </c>
      <c r="S630" s="78"/>
      <c r="T630" s="79">
        <f t="shared" si="340"/>
        <v>2.38575667655786</v>
      </c>
      <c r="U630" s="78"/>
      <c r="V630" s="78"/>
      <c r="W630" s="80">
        <f t="shared" ref="W630:W638" si="348">SUM(R630:V630)</f>
        <v>1397.1090504451</v>
      </c>
      <c r="X630" s="81">
        <f t="shared" si="341"/>
        <v>51.1977418397626</v>
      </c>
      <c r="Y630" s="81"/>
      <c r="Z630" s="81"/>
      <c r="AA630" s="110">
        <f t="shared" ref="AA630:AA638" si="349">SUM(X630:Z630)</f>
        <v>51.1977418397626</v>
      </c>
      <c r="AB630" s="90">
        <v>7.19</v>
      </c>
      <c r="AC630" s="78">
        <f t="shared" si="346"/>
        <v>368.111763827893</v>
      </c>
      <c r="AD630" s="78">
        <f t="shared" si="347"/>
        <v>1765.220814273</v>
      </c>
      <c r="AE630" s="78">
        <f t="shared" ref="AE630:AE638" si="350">SUM(O630-AD630)</f>
        <v>2.7791857270031</v>
      </c>
    </row>
    <row r="631" customFormat="1" spans="1:31">
      <c r="A631" s="18" t="s">
        <v>446</v>
      </c>
      <c r="B631" s="19" t="s">
        <v>447</v>
      </c>
      <c r="C631" s="20">
        <v>240319000007</v>
      </c>
      <c r="D631" s="21">
        <v>45374</v>
      </c>
      <c r="E631" s="21" t="s">
        <v>44</v>
      </c>
      <c r="F631" s="19" t="s">
        <v>45</v>
      </c>
      <c r="G631" s="19" t="s">
        <v>245</v>
      </c>
      <c r="H631" s="19">
        <v>12.5</v>
      </c>
      <c r="I631" s="49"/>
      <c r="J631" s="50">
        <v>290375</v>
      </c>
      <c r="K631" s="51"/>
      <c r="L631" s="50">
        <f t="shared" ref="L631:L634" si="351">SUM(J631/M631)</f>
        <v>1452.38333416696</v>
      </c>
      <c r="M631" s="52">
        <v>199.93</v>
      </c>
      <c r="N631" s="45">
        <v>7.19</v>
      </c>
      <c r="O631" s="46">
        <f t="shared" ref="O631:O634" si="352">SUM(M631*N631)</f>
        <v>1437.4967</v>
      </c>
      <c r="P631" s="47">
        <f>SUM(O631:O638)</f>
        <v>5073.4857</v>
      </c>
      <c r="Q631" s="47" t="s">
        <v>78</v>
      </c>
      <c r="R631" s="78">
        <f>SUM(2200/32)*H631</f>
        <v>859.375</v>
      </c>
      <c r="S631" s="78"/>
      <c r="T631" s="79">
        <f>SUM(68.81/32)*H631</f>
        <v>26.87890625</v>
      </c>
      <c r="U631" s="78"/>
      <c r="V631" s="78"/>
      <c r="W631" s="80">
        <f t="shared" si="348"/>
        <v>886.25390625</v>
      </c>
      <c r="X631" s="81">
        <f>SUM(138.47/32)*H631</f>
        <v>54.08984375</v>
      </c>
      <c r="Y631" s="81"/>
      <c r="Z631" s="81"/>
      <c r="AA631" s="110">
        <f t="shared" si="349"/>
        <v>54.08984375</v>
      </c>
      <c r="AB631" s="90">
        <v>7.19</v>
      </c>
      <c r="AC631" s="78">
        <f t="shared" si="346"/>
        <v>388.9059765625</v>
      </c>
      <c r="AD631" s="78">
        <f t="shared" si="347"/>
        <v>1275.1598828125</v>
      </c>
      <c r="AE631" s="78">
        <f t="shared" si="350"/>
        <v>162.3368171875</v>
      </c>
    </row>
    <row r="632" customFormat="1" spans="1:31">
      <c r="A632" s="18"/>
      <c r="B632" s="19"/>
      <c r="C632" s="20">
        <v>240319000016</v>
      </c>
      <c r="D632" s="21">
        <v>45374</v>
      </c>
      <c r="E632" s="21" t="s">
        <v>37</v>
      </c>
      <c r="F632" s="19" t="s">
        <v>38</v>
      </c>
      <c r="G632" s="19" t="s">
        <v>300</v>
      </c>
      <c r="H632" s="19">
        <v>1.5</v>
      </c>
      <c r="I632" s="41">
        <v>180</v>
      </c>
      <c r="J632" s="53"/>
      <c r="K632" s="51"/>
      <c r="L632" s="53"/>
      <c r="M632" s="44"/>
      <c r="N632" s="45"/>
      <c r="O632" s="46">
        <f t="shared" ref="O632:O638" si="353">SUM(I632)</f>
        <v>180</v>
      </c>
      <c r="P632" s="48"/>
      <c r="Q632" s="48"/>
      <c r="R632" s="78">
        <f t="shared" ref="R632:R639" si="354">SUM(2200/32)*H632</f>
        <v>103.125</v>
      </c>
      <c r="S632" s="78"/>
      <c r="T632" s="79">
        <f t="shared" ref="T632:T639" si="355">SUM(68.81/32)*H632</f>
        <v>3.22546875</v>
      </c>
      <c r="U632" s="78"/>
      <c r="V632" s="78"/>
      <c r="W632" s="80">
        <f t="shared" si="348"/>
        <v>106.35046875</v>
      </c>
      <c r="X632" s="81">
        <f t="shared" ref="X632:X638" si="356">SUM(138.47/32)*H632</f>
        <v>6.49078125</v>
      </c>
      <c r="Y632" s="81"/>
      <c r="Z632" s="81"/>
      <c r="AA632" s="110">
        <f t="shared" si="349"/>
        <v>6.49078125</v>
      </c>
      <c r="AB632" s="90">
        <v>7.19</v>
      </c>
      <c r="AC632" s="78">
        <f t="shared" si="346"/>
        <v>46.6687171875</v>
      </c>
      <c r="AD632" s="78">
        <f t="shared" si="347"/>
        <v>153.0191859375</v>
      </c>
      <c r="AE632" s="78">
        <f t="shared" si="350"/>
        <v>26.9808140625</v>
      </c>
    </row>
    <row r="633" customFormat="1" spans="1:31">
      <c r="A633" s="18"/>
      <c r="B633" s="19"/>
      <c r="C633" s="20">
        <v>240319000031</v>
      </c>
      <c r="D633" s="21">
        <v>45374</v>
      </c>
      <c r="E633" s="21" t="s">
        <v>37</v>
      </c>
      <c r="F633" s="19">
        <v>13635229849</v>
      </c>
      <c r="G633" s="19" t="s">
        <v>127</v>
      </c>
      <c r="H633" s="19">
        <v>0.78</v>
      </c>
      <c r="I633" s="46"/>
      <c r="J633" s="54">
        <v>24589</v>
      </c>
      <c r="K633" s="93"/>
      <c r="L633" s="50">
        <f t="shared" si="351"/>
        <v>1454.97041420118</v>
      </c>
      <c r="M633" s="52">
        <v>16.9</v>
      </c>
      <c r="N633" s="45">
        <v>7.19</v>
      </c>
      <c r="O633" s="46">
        <f t="shared" si="352"/>
        <v>121.511</v>
      </c>
      <c r="P633" s="48"/>
      <c r="Q633" s="48"/>
      <c r="R633" s="78">
        <f t="shared" si="354"/>
        <v>53.625</v>
      </c>
      <c r="S633" s="78"/>
      <c r="T633" s="79">
        <f t="shared" si="355"/>
        <v>1.67724375</v>
      </c>
      <c r="U633" s="78"/>
      <c r="V633" s="78"/>
      <c r="W633" s="80">
        <f t="shared" si="348"/>
        <v>55.30224375</v>
      </c>
      <c r="X633" s="81">
        <f t="shared" si="356"/>
        <v>3.37520625</v>
      </c>
      <c r="Y633" s="81"/>
      <c r="Z633" s="81"/>
      <c r="AA633" s="110">
        <f t="shared" si="349"/>
        <v>3.37520625</v>
      </c>
      <c r="AB633" s="90">
        <v>7.19</v>
      </c>
      <c r="AC633" s="78">
        <f t="shared" si="346"/>
        <v>24.2677329375</v>
      </c>
      <c r="AD633" s="78">
        <f t="shared" si="347"/>
        <v>79.5699766875</v>
      </c>
      <c r="AE633" s="78">
        <f t="shared" si="350"/>
        <v>41.9410233125</v>
      </c>
    </row>
    <row r="634" customFormat="1" spans="1:31">
      <c r="A634" s="18"/>
      <c r="B634" s="19"/>
      <c r="C634" s="20">
        <v>240320000001</v>
      </c>
      <c r="D634" s="21">
        <v>45374</v>
      </c>
      <c r="E634" s="21" t="s">
        <v>85</v>
      </c>
      <c r="F634" s="19"/>
      <c r="G634" s="19" t="s">
        <v>86</v>
      </c>
      <c r="H634" s="19">
        <v>0.96</v>
      </c>
      <c r="I634" s="46"/>
      <c r="J634" s="54">
        <v>21482</v>
      </c>
      <c r="K634" s="55"/>
      <c r="L634" s="50">
        <f t="shared" si="351"/>
        <v>1326.04938271605</v>
      </c>
      <c r="M634" s="52">
        <v>16.2</v>
      </c>
      <c r="N634" s="45">
        <v>7.19</v>
      </c>
      <c r="O634" s="46">
        <f t="shared" si="352"/>
        <v>116.478</v>
      </c>
      <c r="P634" s="48"/>
      <c r="Q634" s="48"/>
      <c r="R634" s="78">
        <f t="shared" si="354"/>
        <v>66</v>
      </c>
      <c r="S634" s="78"/>
      <c r="T634" s="79">
        <f t="shared" si="355"/>
        <v>2.0643</v>
      </c>
      <c r="U634" s="78"/>
      <c r="V634" s="78"/>
      <c r="W634" s="80">
        <f t="shared" si="348"/>
        <v>68.0643</v>
      </c>
      <c r="X634" s="81">
        <f t="shared" si="356"/>
        <v>4.1541</v>
      </c>
      <c r="Y634" s="81"/>
      <c r="Z634" s="81"/>
      <c r="AA634" s="110">
        <f t="shared" si="349"/>
        <v>4.1541</v>
      </c>
      <c r="AB634" s="90">
        <v>7.19</v>
      </c>
      <c r="AC634" s="78">
        <f t="shared" si="346"/>
        <v>29.867979</v>
      </c>
      <c r="AD634" s="78">
        <f t="shared" si="347"/>
        <v>97.932279</v>
      </c>
      <c r="AE634" s="78">
        <f t="shared" si="350"/>
        <v>18.545721</v>
      </c>
    </row>
    <row r="635" customFormat="1" spans="1:31">
      <c r="A635" s="18"/>
      <c r="B635" s="19"/>
      <c r="C635" s="20">
        <v>240320000027</v>
      </c>
      <c r="D635" s="21">
        <v>45374</v>
      </c>
      <c r="E635" s="21" t="s">
        <v>37</v>
      </c>
      <c r="F635" s="19" t="s">
        <v>38</v>
      </c>
      <c r="G635" s="19" t="s">
        <v>448</v>
      </c>
      <c r="H635" s="19">
        <v>3.5</v>
      </c>
      <c r="I635" s="41">
        <v>413</v>
      </c>
      <c r="J635" s="53"/>
      <c r="K635" s="51"/>
      <c r="L635" s="53"/>
      <c r="M635" s="44"/>
      <c r="N635" s="45"/>
      <c r="O635" s="46">
        <f t="shared" si="353"/>
        <v>413</v>
      </c>
      <c r="P635" s="48"/>
      <c r="Q635" s="48"/>
      <c r="R635" s="78">
        <f t="shared" si="354"/>
        <v>240.625</v>
      </c>
      <c r="S635" s="78"/>
      <c r="T635" s="79">
        <f t="shared" si="355"/>
        <v>7.52609375</v>
      </c>
      <c r="U635" s="78"/>
      <c r="V635" s="78"/>
      <c r="W635" s="80">
        <f t="shared" si="348"/>
        <v>248.15109375</v>
      </c>
      <c r="X635" s="81">
        <f t="shared" si="356"/>
        <v>15.14515625</v>
      </c>
      <c r="Y635" s="81"/>
      <c r="Z635" s="81"/>
      <c r="AA635" s="110">
        <f t="shared" si="349"/>
        <v>15.14515625</v>
      </c>
      <c r="AB635" s="90">
        <v>7.19</v>
      </c>
      <c r="AC635" s="78">
        <f t="shared" si="346"/>
        <v>108.8936734375</v>
      </c>
      <c r="AD635" s="78">
        <f t="shared" si="347"/>
        <v>357.0447671875</v>
      </c>
      <c r="AE635" s="78">
        <f t="shared" si="350"/>
        <v>55.9552328125</v>
      </c>
    </row>
    <row r="636" customFormat="1" spans="1:31">
      <c r="A636" s="18"/>
      <c r="B636" s="19"/>
      <c r="C636" s="20">
        <v>240320000028</v>
      </c>
      <c r="D636" s="21">
        <v>45374</v>
      </c>
      <c r="E636" s="21" t="s">
        <v>37</v>
      </c>
      <c r="F636" s="19" t="s">
        <v>38</v>
      </c>
      <c r="G636" s="19" t="s">
        <v>448</v>
      </c>
      <c r="H636" s="19">
        <v>8.5</v>
      </c>
      <c r="I636" s="41">
        <v>1760</v>
      </c>
      <c r="J636" s="53"/>
      <c r="K636" s="51"/>
      <c r="L636" s="53"/>
      <c r="M636" s="44"/>
      <c r="N636" s="45"/>
      <c r="O636" s="46">
        <f t="shared" si="353"/>
        <v>1760</v>
      </c>
      <c r="P636" s="48"/>
      <c r="Q636" s="48"/>
      <c r="R636" s="78">
        <f t="shared" si="354"/>
        <v>584.375</v>
      </c>
      <c r="S636" s="78"/>
      <c r="T636" s="79">
        <f t="shared" si="355"/>
        <v>18.27765625</v>
      </c>
      <c r="U636" s="78"/>
      <c r="V636" s="78"/>
      <c r="W636" s="80">
        <f t="shared" si="348"/>
        <v>602.65265625</v>
      </c>
      <c r="X636" s="81">
        <f t="shared" si="356"/>
        <v>36.78109375</v>
      </c>
      <c r="Y636" s="81"/>
      <c r="Z636" s="81"/>
      <c r="AA636" s="110">
        <f t="shared" si="349"/>
        <v>36.78109375</v>
      </c>
      <c r="AB636" s="90">
        <v>7.19</v>
      </c>
      <c r="AC636" s="78">
        <f t="shared" ref="AC636:AC648" si="357">SUM(AA636*AB636)</f>
        <v>264.4560640625</v>
      </c>
      <c r="AD636" s="78">
        <f t="shared" si="347"/>
        <v>867.1087203125</v>
      </c>
      <c r="AE636" s="78">
        <f t="shared" ref="AE636:AE648" si="358">SUM(O636-AD636)</f>
        <v>892.8912796875</v>
      </c>
    </row>
    <row r="637" customFormat="1" spans="1:31">
      <c r="A637" s="18"/>
      <c r="B637" s="19"/>
      <c r="C637" s="20">
        <v>240321000008</v>
      </c>
      <c r="D637" s="21">
        <v>45374</v>
      </c>
      <c r="E637" s="21" t="s">
        <v>47</v>
      </c>
      <c r="F637" s="19" t="s">
        <v>48</v>
      </c>
      <c r="G637" s="19" t="s">
        <v>81</v>
      </c>
      <c r="H637" s="19">
        <v>7.5</v>
      </c>
      <c r="I637" s="41">
        <v>900</v>
      </c>
      <c r="J637" s="53"/>
      <c r="K637" s="51"/>
      <c r="L637" s="53"/>
      <c r="M637" s="44"/>
      <c r="N637" s="45"/>
      <c r="O637" s="46">
        <f t="shared" si="353"/>
        <v>900</v>
      </c>
      <c r="P637" s="48"/>
      <c r="Q637" s="48"/>
      <c r="R637" s="78">
        <f t="shared" si="354"/>
        <v>515.625</v>
      </c>
      <c r="S637" s="78"/>
      <c r="T637" s="79">
        <f t="shared" si="355"/>
        <v>16.12734375</v>
      </c>
      <c r="U637" s="78"/>
      <c r="V637" s="78"/>
      <c r="W637" s="80">
        <f t="shared" ref="W637:W648" si="359">SUM(R637:V637)</f>
        <v>531.75234375</v>
      </c>
      <c r="X637" s="81">
        <f t="shared" si="356"/>
        <v>32.45390625</v>
      </c>
      <c r="Y637" s="81"/>
      <c r="Z637" s="81"/>
      <c r="AA637" s="110">
        <f t="shared" si="349"/>
        <v>32.45390625</v>
      </c>
      <c r="AB637" s="90">
        <v>7.19</v>
      </c>
      <c r="AC637" s="78">
        <f t="shared" si="357"/>
        <v>233.3435859375</v>
      </c>
      <c r="AD637" s="78">
        <f t="shared" ref="AD637:AD648" si="360">SUM(W637+AC637)</f>
        <v>765.0959296875</v>
      </c>
      <c r="AE637" s="78">
        <f t="shared" si="358"/>
        <v>134.9040703125</v>
      </c>
    </row>
    <row r="638" customFormat="1" spans="1:31">
      <c r="A638" s="18"/>
      <c r="B638" s="19"/>
      <c r="C638" s="20">
        <v>240321000014</v>
      </c>
      <c r="D638" s="21">
        <v>45374</v>
      </c>
      <c r="E638" s="21" t="s">
        <v>44</v>
      </c>
      <c r="F638" s="19" t="s">
        <v>45</v>
      </c>
      <c r="G638" s="19" t="s">
        <v>449</v>
      </c>
      <c r="H638" s="19">
        <v>0.5</v>
      </c>
      <c r="I638" s="41">
        <v>145</v>
      </c>
      <c r="J638" s="53"/>
      <c r="K638" s="51"/>
      <c r="L638" s="53"/>
      <c r="M638" s="44"/>
      <c r="N638" s="45"/>
      <c r="O638" s="46">
        <f t="shared" si="353"/>
        <v>145</v>
      </c>
      <c r="P638" s="58"/>
      <c r="Q638" s="58"/>
      <c r="R638" s="78">
        <f t="shared" si="354"/>
        <v>34.375</v>
      </c>
      <c r="S638" s="78"/>
      <c r="T638" s="79">
        <f t="shared" si="355"/>
        <v>1.07515625</v>
      </c>
      <c r="U638" s="78"/>
      <c r="V638" s="78"/>
      <c r="W638" s="80">
        <f t="shared" si="359"/>
        <v>35.45015625</v>
      </c>
      <c r="X638" s="81">
        <f t="shared" si="356"/>
        <v>2.16359375</v>
      </c>
      <c r="Y638" s="81"/>
      <c r="Z638" s="81"/>
      <c r="AA638" s="110">
        <f t="shared" ref="AA638:AA648" si="361">SUM(X638:Z638)</f>
        <v>2.16359375</v>
      </c>
      <c r="AB638" s="90">
        <v>7.19</v>
      </c>
      <c r="AC638" s="78">
        <f t="shared" si="357"/>
        <v>15.5562390625</v>
      </c>
      <c r="AD638" s="78">
        <f t="shared" si="360"/>
        <v>51.0063953125</v>
      </c>
      <c r="AE638" s="78">
        <f t="shared" si="358"/>
        <v>93.9936046875</v>
      </c>
    </row>
    <row r="639" customFormat="1" spans="1:31">
      <c r="A639" s="18" t="s">
        <v>450</v>
      </c>
      <c r="B639" s="19" t="s">
        <v>451</v>
      </c>
      <c r="C639" s="20">
        <v>240320000003</v>
      </c>
      <c r="D639" s="21">
        <v>45375</v>
      </c>
      <c r="E639" s="21" t="s">
        <v>41</v>
      </c>
      <c r="F639" s="19" t="s">
        <v>42</v>
      </c>
      <c r="G639" s="19" t="s">
        <v>92</v>
      </c>
      <c r="H639" s="19">
        <v>3.5</v>
      </c>
      <c r="I639" s="49"/>
      <c r="J639" s="50">
        <v>81305</v>
      </c>
      <c r="K639" s="51"/>
      <c r="L639" s="50">
        <f>SUM(J639/M639)</f>
        <v>1452.39371204001</v>
      </c>
      <c r="M639" s="52">
        <v>55.98</v>
      </c>
      <c r="N639" s="45">
        <v>7.19</v>
      </c>
      <c r="O639" s="46">
        <f t="shared" ref="O639:O642" si="362">SUM(M639*N639)</f>
        <v>402.4962</v>
      </c>
      <c r="P639" s="47">
        <f>SUM(O639:O648)</f>
        <v>7270.8897</v>
      </c>
      <c r="Q639" s="47" t="s">
        <v>78</v>
      </c>
      <c r="R639" s="78">
        <f t="shared" si="354"/>
        <v>240.625</v>
      </c>
      <c r="S639" s="78"/>
      <c r="T639" s="79">
        <f t="shared" si="355"/>
        <v>7.52609375</v>
      </c>
      <c r="U639" s="78"/>
      <c r="V639" s="78"/>
      <c r="W639" s="80">
        <f t="shared" si="359"/>
        <v>248.15109375</v>
      </c>
      <c r="X639" s="81">
        <f>SUM(54.17/32)*H639</f>
        <v>5.92484375</v>
      </c>
      <c r="Y639" s="81"/>
      <c r="Z639" s="81"/>
      <c r="AA639" s="110">
        <f t="shared" si="361"/>
        <v>5.92484375</v>
      </c>
      <c r="AB639" s="90">
        <v>7.19</v>
      </c>
      <c r="AC639" s="78">
        <f t="shared" si="357"/>
        <v>42.5996265625</v>
      </c>
      <c r="AD639" s="78">
        <f t="shared" si="360"/>
        <v>290.7507203125</v>
      </c>
      <c r="AE639" s="78">
        <f t="shared" si="358"/>
        <v>111.7454796875</v>
      </c>
    </row>
    <row r="640" customFormat="1" spans="1:31">
      <c r="A640" s="18"/>
      <c r="B640" s="19"/>
      <c r="C640" s="20">
        <v>240320000007</v>
      </c>
      <c r="D640" s="21">
        <v>45375</v>
      </c>
      <c r="E640" s="21" t="s">
        <v>51</v>
      </c>
      <c r="F640" s="19" t="s">
        <v>65</v>
      </c>
      <c r="G640" s="19" t="s">
        <v>452</v>
      </c>
      <c r="H640" s="19">
        <v>0.68</v>
      </c>
      <c r="I640" s="41">
        <v>82</v>
      </c>
      <c r="J640" s="53"/>
      <c r="K640" s="51"/>
      <c r="L640" s="53"/>
      <c r="M640" s="44"/>
      <c r="N640" s="45"/>
      <c r="O640" s="46">
        <f t="shared" ref="O640:O646" si="363">SUM(I640)</f>
        <v>82</v>
      </c>
      <c r="P640" s="48"/>
      <c r="Q640" s="48"/>
      <c r="R640" s="78">
        <f t="shared" ref="R640:R648" si="364">SUM(2200/32)*H640</f>
        <v>46.75</v>
      </c>
      <c r="S640" s="78"/>
      <c r="T640" s="79">
        <f t="shared" ref="T640:T648" si="365">SUM(68.81/32)*H640</f>
        <v>1.4622125</v>
      </c>
      <c r="U640" s="78"/>
      <c r="V640" s="78">
        <v>24</v>
      </c>
      <c r="W640" s="80">
        <f t="shared" si="359"/>
        <v>72.2122125</v>
      </c>
      <c r="X640" s="81">
        <f t="shared" ref="X640:X648" si="366">SUM(54.17/32)*H640</f>
        <v>1.1511125</v>
      </c>
      <c r="Y640" s="81"/>
      <c r="Z640" s="81"/>
      <c r="AA640" s="110">
        <f t="shared" si="361"/>
        <v>1.1511125</v>
      </c>
      <c r="AB640" s="90">
        <v>7.19</v>
      </c>
      <c r="AC640" s="78">
        <f t="shared" si="357"/>
        <v>8.276498875</v>
      </c>
      <c r="AD640" s="78">
        <f t="shared" si="360"/>
        <v>80.488711375</v>
      </c>
      <c r="AE640" s="78">
        <f t="shared" si="358"/>
        <v>1.51128862500001</v>
      </c>
    </row>
    <row r="641" customFormat="1" spans="1:31">
      <c r="A641" s="18"/>
      <c r="B641" s="19"/>
      <c r="C641" s="20">
        <v>240320000025</v>
      </c>
      <c r="D641" s="21">
        <v>45375</v>
      </c>
      <c r="E641" s="21" t="s">
        <v>47</v>
      </c>
      <c r="F641" s="19" t="s">
        <v>93</v>
      </c>
      <c r="G641" s="19" t="s">
        <v>94</v>
      </c>
      <c r="H641" s="19">
        <v>0.24</v>
      </c>
      <c r="I641" s="46"/>
      <c r="J641" s="54">
        <v>24018.4</v>
      </c>
      <c r="K641" s="55"/>
      <c r="L641" s="50">
        <f>SUM(J641/M641)</f>
        <v>1482.61728395062</v>
      </c>
      <c r="M641" s="52">
        <v>16.2</v>
      </c>
      <c r="N641" s="45">
        <v>7.19</v>
      </c>
      <c r="O641" s="46">
        <f t="shared" si="362"/>
        <v>116.478</v>
      </c>
      <c r="P641" s="48"/>
      <c r="Q641" s="48"/>
      <c r="R641" s="78">
        <f t="shared" si="364"/>
        <v>16.5</v>
      </c>
      <c r="S641" s="78"/>
      <c r="T641" s="79">
        <f t="shared" si="365"/>
        <v>0.516075</v>
      </c>
      <c r="U641" s="78"/>
      <c r="V641" s="78"/>
      <c r="W641" s="80">
        <f t="shared" si="359"/>
        <v>17.016075</v>
      </c>
      <c r="X641" s="81">
        <f t="shared" si="366"/>
        <v>0.406275</v>
      </c>
      <c r="Y641" s="81"/>
      <c r="Z641" s="81"/>
      <c r="AA641" s="110">
        <f t="shared" si="361"/>
        <v>0.406275</v>
      </c>
      <c r="AB641" s="90">
        <v>7.19</v>
      </c>
      <c r="AC641" s="78">
        <f t="shared" si="357"/>
        <v>2.92111725</v>
      </c>
      <c r="AD641" s="78">
        <f t="shared" si="360"/>
        <v>19.93719225</v>
      </c>
      <c r="AE641" s="78">
        <f t="shared" si="358"/>
        <v>96.54080775</v>
      </c>
    </row>
    <row r="642" customFormat="1" spans="1:31">
      <c r="A642" s="18"/>
      <c r="B642" s="19"/>
      <c r="C642" s="20">
        <v>240321000001</v>
      </c>
      <c r="D642" s="21">
        <v>45375</v>
      </c>
      <c r="E642" s="21" t="s">
        <v>70</v>
      </c>
      <c r="F642" s="19" t="s">
        <v>70</v>
      </c>
      <c r="G642" s="19" t="s">
        <v>314</v>
      </c>
      <c r="H642" s="19">
        <v>0.12</v>
      </c>
      <c r="I642" s="57"/>
      <c r="J642" s="50">
        <v>23690</v>
      </c>
      <c r="K642" s="51"/>
      <c r="L642" s="53"/>
      <c r="M642" s="52">
        <v>15.99</v>
      </c>
      <c r="N642" s="104">
        <v>7.19</v>
      </c>
      <c r="O642" s="113">
        <f t="shared" si="362"/>
        <v>114.9681</v>
      </c>
      <c r="P642" s="48"/>
      <c r="Q642" s="48"/>
      <c r="R642" s="78">
        <f t="shared" si="364"/>
        <v>8.25</v>
      </c>
      <c r="S642" s="78"/>
      <c r="T642" s="79">
        <f t="shared" si="365"/>
        <v>0.2580375</v>
      </c>
      <c r="U642" s="78"/>
      <c r="V642" s="78"/>
      <c r="W642" s="80">
        <f t="shared" si="359"/>
        <v>8.5080375</v>
      </c>
      <c r="X642" s="81">
        <f t="shared" si="366"/>
        <v>0.2031375</v>
      </c>
      <c r="Y642" s="81"/>
      <c r="Z642" s="81"/>
      <c r="AA642" s="110">
        <f t="shared" si="361"/>
        <v>0.2031375</v>
      </c>
      <c r="AB642" s="90">
        <v>7.19</v>
      </c>
      <c r="AC642" s="78">
        <f t="shared" si="357"/>
        <v>1.460558625</v>
      </c>
      <c r="AD642" s="78">
        <f t="shared" si="360"/>
        <v>9.968596125</v>
      </c>
      <c r="AE642" s="78">
        <f t="shared" si="358"/>
        <v>104.999503875</v>
      </c>
    </row>
    <row r="643" customFormat="1" spans="1:31">
      <c r="A643" s="18"/>
      <c r="B643" s="19"/>
      <c r="C643" s="20">
        <v>240321000018</v>
      </c>
      <c r="D643" s="21">
        <v>45375</v>
      </c>
      <c r="E643" s="21" t="s">
        <v>47</v>
      </c>
      <c r="F643" s="19" t="s">
        <v>48</v>
      </c>
      <c r="G643" s="19" t="s">
        <v>453</v>
      </c>
      <c r="H643" s="19">
        <v>9.5</v>
      </c>
      <c r="I643" s="41">
        <v>1140</v>
      </c>
      <c r="J643" s="53"/>
      <c r="K643" s="51"/>
      <c r="L643" s="53"/>
      <c r="M643" s="44"/>
      <c r="N643" s="45"/>
      <c r="O643" s="46">
        <f t="shared" si="363"/>
        <v>1140</v>
      </c>
      <c r="P643" s="48"/>
      <c r="Q643" s="48"/>
      <c r="R643" s="78">
        <f t="shared" si="364"/>
        <v>653.125</v>
      </c>
      <c r="S643" s="78"/>
      <c r="T643" s="79">
        <f t="shared" si="365"/>
        <v>20.42796875</v>
      </c>
      <c r="U643" s="78"/>
      <c r="V643" s="78"/>
      <c r="W643" s="80">
        <f t="shared" si="359"/>
        <v>673.55296875</v>
      </c>
      <c r="X643" s="81">
        <f t="shared" si="366"/>
        <v>16.08171875</v>
      </c>
      <c r="Y643" s="81"/>
      <c r="Z643" s="81"/>
      <c r="AA643" s="110">
        <f t="shared" si="361"/>
        <v>16.08171875</v>
      </c>
      <c r="AB643" s="90">
        <v>7.19</v>
      </c>
      <c r="AC643" s="78">
        <f t="shared" si="357"/>
        <v>115.6275578125</v>
      </c>
      <c r="AD643" s="78">
        <f t="shared" si="360"/>
        <v>789.1805265625</v>
      </c>
      <c r="AE643" s="78">
        <f t="shared" si="358"/>
        <v>350.8194734375</v>
      </c>
    </row>
    <row r="644" customFormat="1" spans="1:31">
      <c r="A644" s="18"/>
      <c r="B644" s="19"/>
      <c r="C644" s="20">
        <v>240322000024</v>
      </c>
      <c r="D644" s="21">
        <v>45375</v>
      </c>
      <c r="E644" s="21" t="s">
        <v>47</v>
      </c>
      <c r="F644" s="19" t="s">
        <v>48</v>
      </c>
      <c r="G644" s="19" t="s">
        <v>81</v>
      </c>
      <c r="H644" s="19">
        <v>0.3</v>
      </c>
      <c r="I644" s="41">
        <v>120</v>
      </c>
      <c r="J644" s="53"/>
      <c r="K644" s="51"/>
      <c r="L644" s="53"/>
      <c r="M644" s="44"/>
      <c r="N644" s="45"/>
      <c r="O644" s="46">
        <f t="shared" si="363"/>
        <v>120</v>
      </c>
      <c r="P644" s="48"/>
      <c r="Q644" s="48"/>
      <c r="R644" s="78">
        <f t="shared" si="364"/>
        <v>20.625</v>
      </c>
      <c r="S644" s="78"/>
      <c r="T644" s="79">
        <f t="shared" si="365"/>
        <v>0.64509375</v>
      </c>
      <c r="U644" s="78"/>
      <c r="V644" s="78"/>
      <c r="W644" s="80">
        <f t="shared" si="359"/>
        <v>21.27009375</v>
      </c>
      <c r="X644" s="81">
        <f t="shared" si="366"/>
        <v>0.50784375</v>
      </c>
      <c r="Y644" s="81"/>
      <c r="Z644" s="81"/>
      <c r="AA644" s="110">
        <f t="shared" si="361"/>
        <v>0.50784375</v>
      </c>
      <c r="AB644" s="90">
        <v>7.19</v>
      </c>
      <c r="AC644" s="78">
        <f t="shared" si="357"/>
        <v>3.6513965625</v>
      </c>
      <c r="AD644" s="78">
        <f t="shared" si="360"/>
        <v>24.9214903125</v>
      </c>
      <c r="AE644" s="78">
        <f t="shared" si="358"/>
        <v>95.0785096875</v>
      </c>
    </row>
    <row r="645" customFormat="1" spans="1:31">
      <c r="A645" s="18"/>
      <c r="B645" s="19"/>
      <c r="C645" s="20">
        <v>240322000028</v>
      </c>
      <c r="D645" s="21">
        <v>45375</v>
      </c>
      <c r="E645" s="21" t="s">
        <v>44</v>
      </c>
      <c r="F645" s="19" t="s">
        <v>45</v>
      </c>
      <c r="G645" s="19" t="s">
        <v>282</v>
      </c>
      <c r="H645" s="19">
        <v>5</v>
      </c>
      <c r="I645" s="41">
        <v>1280</v>
      </c>
      <c r="J645" s="53"/>
      <c r="K645" s="51"/>
      <c r="L645" s="53"/>
      <c r="M645" s="44"/>
      <c r="N645" s="45"/>
      <c r="O645" s="46">
        <f t="shared" si="363"/>
        <v>1280</v>
      </c>
      <c r="P645" s="48"/>
      <c r="Q645" s="48"/>
      <c r="R645" s="78">
        <f t="shared" si="364"/>
        <v>343.75</v>
      </c>
      <c r="S645" s="78"/>
      <c r="T645" s="79">
        <f t="shared" si="365"/>
        <v>10.7515625</v>
      </c>
      <c r="U645" s="78"/>
      <c r="V645" s="78"/>
      <c r="W645" s="80">
        <f t="shared" si="359"/>
        <v>354.5015625</v>
      </c>
      <c r="X645" s="81">
        <f t="shared" si="366"/>
        <v>8.4640625</v>
      </c>
      <c r="Y645" s="81"/>
      <c r="Z645" s="81"/>
      <c r="AA645" s="110">
        <f t="shared" si="361"/>
        <v>8.4640625</v>
      </c>
      <c r="AB645" s="90">
        <v>7.19</v>
      </c>
      <c r="AC645" s="78">
        <f t="shared" si="357"/>
        <v>60.856609375</v>
      </c>
      <c r="AD645" s="78">
        <f t="shared" ref="AD645:AD676" si="367">SUM(W645+AC645)</f>
        <v>415.358171875</v>
      </c>
      <c r="AE645" s="78">
        <f t="shared" si="358"/>
        <v>864.641828125</v>
      </c>
    </row>
    <row r="646" customFormat="1" spans="1:31">
      <c r="A646" s="18"/>
      <c r="B646" s="19"/>
      <c r="C646" s="20">
        <v>240323000001</v>
      </c>
      <c r="D646" s="21">
        <v>45375</v>
      </c>
      <c r="E646" s="21" t="s">
        <v>70</v>
      </c>
      <c r="F646" s="19" t="s">
        <v>182</v>
      </c>
      <c r="G646" s="19" t="s">
        <v>183</v>
      </c>
      <c r="H646" s="19">
        <v>0.52</v>
      </c>
      <c r="I646" s="41">
        <v>325</v>
      </c>
      <c r="J646" s="42"/>
      <c r="K646" s="43"/>
      <c r="L646" s="42"/>
      <c r="M646" s="44"/>
      <c r="N646" s="45"/>
      <c r="O646" s="46">
        <f t="shared" si="363"/>
        <v>325</v>
      </c>
      <c r="P646" s="48"/>
      <c r="Q646" s="48"/>
      <c r="R646" s="78">
        <f t="shared" si="364"/>
        <v>35.75</v>
      </c>
      <c r="S646" s="78"/>
      <c r="T646" s="79">
        <f t="shared" si="365"/>
        <v>1.1181625</v>
      </c>
      <c r="U646" s="78"/>
      <c r="V646" s="78"/>
      <c r="W646" s="80">
        <f t="shared" si="359"/>
        <v>36.8681625</v>
      </c>
      <c r="X646" s="81">
        <f t="shared" si="366"/>
        <v>0.8802625</v>
      </c>
      <c r="Y646" s="81"/>
      <c r="Z646" s="81"/>
      <c r="AA646" s="110">
        <f t="shared" si="361"/>
        <v>0.8802625</v>
      </c>
      <c r="AB646" s="90">
        <v>7.19</v>
      </c>
      <c r="AC646" s="78">
        <f t="shared" si="357"/>
        <v>6.329087375</v>
      </c>
      <c r="AD646" s="78">
        <f t="shared" si="367"/>
        <v>43.197249875</v>
      </c>
      <c r="AE646" s="78">
        <f t="shared" ref="AE646:AE677" si="368">SUM(O646-AD646)</f>
        <v>281.802750125</v>
      </c>
    </row>
    <row r="647" customFormat="1" spans="1:31">
      <c r="A647" s="18"/>
      <c r="B647" s="19"/>
      <c r="C647" s="20">
        <v>240323000002</v>
      </c>
      <c r="D647" s="21">
        <v>45375</v>
      </c>
      <c r="E647" s="21" t="s">
        <v>44</v>
      </c>
      <c r="F647" s="19" t="s">
        <v>45</v>
      </c>
      <c r="G647" s="19" t="s">
        <v>267</v>
      </c>
      <c r="H647" s="19">
        <v>9</v>
      </c>
      <c r="I647" s="49"/>
      <c r="J647" s="50">
        <v>208125</v>
      </c>
      <c r="K647" s="51"/>
      <c r="L647" s="50">
        <f>SUM(J647/M647)</f>
        <v>1330.21219481018</v>
      </c>
      <c r="M647" s="52">
        <v>156.46</v>
      </c>
      <c r="N647" s="45">
        <v>7.19</v>
      </c>
      <c r="O647" s="46">
        <f>SUM(M647*N647)</f>
        <v>1124.9474</v>
      </c>
      <c r="P647" s="48"/>
      <c r="Q647" s="48"/>
      <c r="R647" s="78">
        <f t="shared" si="364"/>
        <v>618.75</v>
      </c>
      <c r="S647" s="78"/>
      <c r="T647" s="79">
        <f t="shared" si="365"/>
        <v>19.3528125</v>
      </c>
      <c r="U647" s="78"/>
      <c r="V647" s="78"/>
      <c r="W647" s="80">
        <f t="shared" si="359"/>
        <v>638.1028125</v>
      </c>
      <c r="X647" s="81">
        <f t="shared" si="366"/>
        <v>15.2353125</v>
      </c>
      <c r="Y647" s="81"/>
      <c r="Z647" s="81"/>
      <c r="AA647" s="110">
        <f t="shared" ref="AA647:AA678" si="369">SUM(X647:Z647)</f>
        <v>15.2353125</v>
      </c>
      <c r="AB647" s="90">
        <v>7.19</v>
      </c>
      <c r="AC647" s="78">
        <f t="shared" ref="AC647:AC678" si="370">SUM(AA647*AB647)</f>
        <v>109.541896875</v>
      </c>
      <c r="AD647" s="78">
        <f t="shared" si="367"/>
        <v>747.644709375</v>
      </c>
      <c r="AE647" s="78">
        <f t="shared" si="368"/>
        <v>377.302690625</v>
      </c>
    </row>
    <row r="648" customFormat="1" spans="1:31">
      <c r="A648" s="18"/>
      <c r="B648" s="19"/>
      <c r="C648" s="20">
        <v>240323000006</v>
      </c>
      <c r="D648" s="21">
        <v>45375</v>
      </c>
      <c r="E648" s="21" t="s">
        <v>47</v>
      </c>
      <c r="F648" s="19" t="s">
        <v>48</v>
      </c>
      <c r="G648" s="19" t="s">
        <v>454</v>
      </c>
      <c r="H648" s="19">
        <v>4</v>
      </c>
      <c r="I648" s="41">
        <v>2565</v>
      </c>
      <c r="J648" s="53"/>
      <c r="K648" s="51"/>
      <c r="L648" s="53"/>
      <c r="M648" s="44"/>
      <c r="N648" s="45"/>
      <c r="O648" s="46">
        <f t="shared" ref="O648:O652" si="371">SUM(I648)</f>
        <v>2565</v>
      </c>
      <c r="P648" s="58"/>
      <c r="Q648" s="58"/>
      <c r="R648" s="78">
        <f t="shared" si="364"/>
        <v>275</v>
      </c>
      <c r="S648" s="78"/>
      <c r="T648" s="79">
        <f t="shared" si="365"/>
        <v>8.60125</v>
      </c>
      <c r="U648" s="78"/>
      <c r="V648" s="78"/>
      <c r="W648" s="80">
        <f t="shared" ref="W648:W679" si="372">SUM(R648:V648)</f>
        <v>283.60125</v>
      </c>
      <c r="X648" s="81">
        <f t="shared" si="366"/>
        <v>6.77125</v>
      </c>
      <c r="Y648" s="81"/>
      <c r="Z648" s="81"/>
      <c r="AA648" s="110">
        <f t="shared" si="369"/>
        <v>6.77125</v>
      </c>
      <c r="AB648" s="90">
        <v>7.19</v>
      </c>
      <c r="AC648" s="78">
        <f t="shared" si="370"/>
        <v>48.6852875</v>
      </c>
      <c r="AD648" s="78">
        <f t="shared" si="367"/>
        <v>332.2865375</v>
      </c>
      <c r="AE648" s="78">
        <f t="shared" si="368"/>
        <v>2232.7134625</v>
      </c>
    </row>
    <row r="649" customFormat="1" spans="1:31">
      <c r="A649" s="18" t="s">
        <v>455</v>
      </c>
      <c r="B649" s="19" t="s">
        <v>456</v>
      </c>
      <c r="C649" s="20">
        <v>240311000038</v>
      </c>
      <c r="D649" s="21">
        <v>45375</v>
      </c>
      <c r="E649" s="21" t="s">
        <v>47</v>
      </c>
      <c r="F649" s="19" t="s">
        <v>48</v>
      </c>
      <c r="G649" s="19" t="s">
        <v>318</v>
      </c>
      <c r="H649" s="19">
        <v>2.5</v>
      </c>
      <c r="I649" s="41">
        <v>137.5</v>
      </c>
      <c r="J649" s="53"/>
      <c r="K649" s="51"/>
      <c r="L649" s="53"/>
      <c r="M649" s="44"/>
      <c r="N649" s="45"/>
      <c r="O649" s="46">
        <f t="shared" si="371"/>
        <v>137.5</v>
      </c>
      <c r="P649" s="47">
        <f>SUM(O649:O712)</f>
        <v>174593.2286</v>
      </c>
      <c r="Q649" s="47" t="s">
        <v>40</v>
      </c>
      <c r="R649" s="78">
        <f>SUM(124834/3536)*H649</f>
        <v>88.2593325791855</v>
      </c>
      <c r="S649" s="78"/>
      <c r="T649" s="79">
        <f>SUM(161/3536)*H649</f>
        <v>0.113829185520362</v>
      </c>
      <c r="U649" s="78"/>
      <c r="V649" s="78"/>
      <c r="W649" s="80">
        <f t="shared" si="372"/>
        <v>88.3731617647059</v>
      </c>
      <c r="X649" s="81">
        <f>SUM(2442.04/3536)*H649</f>
        <v>1.72655542986425</v>
      </c>
      <c r="Y649" s="81"/>
      <c r="Z649" s="81"/>
      <c r="AA649" s="110">
        <f t="shared" si="369"/>
        <v>1.72655542986425</v>
      </c>
      <c r="AB649" s="90">
        <v>7.19</v>
      </c>
      <c r="AC649" s="78">
        <f t="shared" si="370"/>
        <v>12.413933540724</v>
      </c>
      <c r="AD649" s="78">
        <f t="shared" si="367"/>
        <v>100.78709530543</v>
      </c>
      <c r="AE649" s="78">
        <f t="shared" si="368"/>
        <v>36.71290469457</v>
      </c>
    </row>
    <row r="650" customFormat="1" spans="1:31">
      <c r="A650" s="18"/>
      <c r="B650" s="19"/>
      <c r="C650" s="20">
        <v>240314000001</v>
      </c>
      <c r="D650" s="21">
        <v>45375</v>
      </c>
      <c r="E650" s="21" t="s">
        <v>41</v>
      </c>
      <c r="F650" s="19" t="s">
        <v>42</v>
      </c>
      <c r="G650" s="19" t="s">
        <v>457</v>
      </c>
      <c r="H650" s="19">
        <v>3</v>
      </c>
      <c r="I650" s="46"/>
      <c r="J650" s="54">
        <v>33750</v>
      </c>
      <c r="K650" s="55"/>
      <c r="L650" s="50">
        <f>SUM(J650/M650)</f>
        <v>1350</v>
      </c>
      <c r="M650" s="52">
        <v>25</v>
      </c>
      <c r="N650" s="45">
        <v>7.19</v>
      </c>
      <c r="O650" s="46">
        <f>SUM(M650*N650)</f>
        <v>179.75</v>
      </c>
      <c r="P650" s="48"/>
      <c r="Q650" s="48"/>
      <c r="R650" s="78">
        <f t="shared" ref="R650:R681" si="373">SUM(124834/3536)*H650</f>
        <v>105.911199095023</v>
      </c>
      <c r="S650" s="78"/>
      <c r="T650" s="79">
        <f t="shared" ref="T650:T681" si="374">SUM(161/3536)*H650</f>
        <v>0.136595022624434</v>
      </c>
      <c r="U650" s="78"/>
      <c r="V650" s="78"/>
      <c r="W650" s="80">
        <f t="shared" si="372"/>
        <v>106.047794117647</v>
      </c>
      <c r="X650" s="81">
        <f t="shared" ref="X650:X681" si="375">SUM(2442.04/3536)*H650</f>
        <v>2.0718665158371</v>
      </c>
      <c r="Y650" s="81"/>
      <c r="Z650" s="81"/>
      <c r="AA650" s="110">
        <f t="shared" si="369"/>
        <v>2.0718665158371</v>
      </c>
      <c r="AB650" s="90">
        <v>7.19</v>
      </c>
      <c r="AC650" s="78">
        <f t="shared" si="370"/>
        <v>14.8967202488688</v>
      </c>
      <c r="AD650" s="78">
        <f t="shared" si="367"/>
        <v>120.944514366516</v>
      </c>
      <c r="AE650" s="78">
        <f t="shared" si="368"/>
        <v>58.805485633484</v>
      </c>
    </row>
    <row r="651" customFormat="1" spans="1:31">
      <c r="A651" s="18"/>
      <c r="B651" s="19"/>
      <c r="C651" s="20">
        <v>240314000033</v>
      </c>
      <c r="D651" s="21">
        <v>45375</v>
      </c>
      <c r="E651" s="21" t="s">
        <v>70</v>
      </c>
      <c r="F651" s="19" t="s">
        <v>70</v>
      </c>
      <c r="G651" s="19" t="s">
        <v>184</v>
      </c>
      <c r="H651" s="19">
        <v>2.5</v>
      </c>
      <c r="I651" s="41">
        <v>155.5</v>
      </c>
      <c r="J651" s="53"/>
      <c r="K651" s="51"/>
      <c r="L651" s="53"/>
      <c r="M651" s="44"/>
      <c r="N651" s="45"/>
      <c r="O651" s="46">
        <f t="shared" si="371"/>
        <v>155.5</v>
      </c>
      <c r="P651" s="48"/>
      <c r="Q651" s="48"/>
      <c r="R651" s="78">
        <f t="shared" si="373"/>
        <v>88.2593325791855</v>
      </c>
      <c r="S651" s="78"/>
      <c r="T651" s="79">
        <f t="shared" si="374"/>
        <v>0.113829185520362</v>
      </c>
      <c r="U651" s="78"/>
      <c r="V651" s="78"/>
      <c r="W651" s="80">
        <f t="shared" si="372"/>
        <v>88.3731617647059</v>
      </c>
      <c r="X651" s="81">
        <f t="shared" si="375"/>
        <v>1.72655542986425</v>
      </c>
      <c r="Y651" s="81"/>
      <c r="Z651" s="81"/>
      <c r="AA651" s="110">
        <f t="shared" si="369"/>
        <v>1.72655542986425</v>
      </c>
      <c r="AB651" s="90">
        <v>7.19</v>
      </c>
      <c r="AC651" s="78">
        <f t="shared" si="370"/>
        <v>12.413933540724</v>
      </c>
      <c r="AD651" s="78">
        <f t="shared" si="367"/>
        <v>100.78709530543</v>
      </c>
      <c r="AE651" s="78">
        <f t="shared" si="368"/>
        <v>54.71290469457</v>
      </c>
    </row>
    <row r="652" customFormat="1" spans="1:31">
      <c r="A652" s="18"/>
      <c r="B652" s="19"/>
      <c r="C652" s="20">
        <v>240314000034</v>
      </c>
      <c r="D652" s="21">
        <v>45375</v>
      </c>
      <c r="E652" s="21" t="s">
        <v>47</v>
      </c>
      <c r="F652" s="19" t="s">
        <v>48</v>
      </c>
      <c r="G652" s="19" t="s">
        <v>458</v>
      </c>
      <c r="H652" s="19">
        <v>11.5</v>
      </c>
      <c r="I652" s="41">
        <v>640.5</v>
      </c>
      <c r="J652" s="53"/>
      <c r="K652" s="51"/>
      <c r="L652" s="53"/>
      <c r="M652" s="44"/>
      <c r="N652" s="45"/>
      <c r="O652" s="46">
        <f t="shared" si="371"/>
        <v>640.5</v>
      </c>
      <c r="P652" s="48"/>
      <c r="Q652" s="48"/>
      <c r="R652" s="78">
        <f t="shared" si="373"/>
        <v>405.992929864253</v>
      </c>
      <c r="S652" s="78"/>
      <c r="T652" s="79">
        <f t="shared" si="374"/>
        <v>0.523614253393665</v>
      </c>
      <c r="U652" s="78"/>
      <c r="V652" s="79">
        <v>71</v>
      </c>
      <c r="W652" s="80">
        <f t="shared" si="372"/>
        <v>477.516544117647</v>
      </c>
      <c r="X652" s="81">
        <f t="shared" si="375"/>
        <v>7.94215497737556</v>
      </c>
      <c r="Y652" s="81"/>
      <c r="Z652" s="81"/>
      <c r="AA652" s="110">
        <f t="shared" si="369"/>
        <v>7.94215497737556</v>
      </c>
      <c r="AB652" s="90">
        <v>7.19</v>
      </c>
      <c r="AC652" s="78">
        <f t="shared" si="370"/>
        <v>57.1040942873303</v>
      </c>
      <c r="AD652" s="78">
        <f t="shared" si="367"/>
        <v>534.620638404977</v>
      </c>
      <c r="AE652" s="78">
        <f t="shared" si="368"/>
        <v>105.879361595023</v>
      </c>
    </row>
    <row r="653" customFormat="1" spans="1:31">
      <c r="A653" s="18"/>
      <c r="B653" s="19"/>
      <c r="C653" s="20">
        <v>240315000006</v>
      </c>
      <c r="D653" s="21">
        <v>45375</v>
      </c>
      <c r="E653" s="21" t="s">
        <v>44</v>
      </c>
      <c r="F653" s="19" t="s">
        <v>45</v>
      </c>
      <c r="G653" s="19" t="s">
        <v>124</v>
      </c>
      <c r="H653" s="19">
        <v>146</v>
      </c>
      <c r="I653" s="49"/>
      <c r="J653" s="50">
        <v>1063610</v>
      </c>
      <c r="K653" s="51"/>
      <c r="L653" s="50">
        <f>SUM(J653/M653)</f>
        <v>1114.45126679101</v>
      </c>
      <c r="M653" s="52">
        <v>954.38</v>
      </c>
      <c r="N653" s="45">
        <v>7.19</v>
      </c>
      <c r="O653" s="46">
        <f>SUM(M653*N653)</f>
        <v>6861.9922</v>
      </c>
      <c r="P653" s="48"/>
      <c r="Q653" s="48"/>
      <c r="R653" s="78">
        <f t="shared" si="373"/>
        <v>5154.34502262443</v>
      </c>
      <c r="S653" s="78"/>
      <c r="T653" s="79">
        <f t="shared" si="374"/>
        <v>6.64762443438914</v>
      </c>
      <c r="U653" s="78"/>
      <c r="V653" s="78"/>
      <c r="W653" s="80">
        <f t="shared" si="372"/>
        <v>5160.99264705882</v>
      </c>
      <c r="X653" s="81">
        <f t="shared" si="375"/>
        <v>100.830837104072</v>
      </c>
      <c r="Y653" s="81"/>
      <c r="Z653" s="81"/>
      <c r="AA653" s="110">
        <f t="shared" si="369"/>
        <v>100.830837104072</v>
      </c>
      <c r="AB653" s="90">
        <v>7.19</v>
      </c>
      <c r="AC653" s="78">
        <f t="shared" si="370"/>
        <v>724.973718778281</v>
      </c>
      <c r="AD653" s="78">
        <f t="shared" si="367"/>
        <v>5885.9663658371</v>
      </c>
      <c r="AE653" s="78">
        <f t="shared" si="368"/>
        <v>976.0258341629</v>
      </c>
    </row>
    <row r="654" customFormat="1" spans="1:31">
      <c r="A654" s="18"/>
      <c r="B654" s="19"/>
      <c r="C654" s="20">
        <v>240315000010</v>
      </c>
      <c r="D654" s="21">
        <v>45375</v>
      </c>
      <c r="E654" s="21" t="s">
        <v>37</v>
      </c>
      <c r="F654" s="19" t="s">
        <v>38</v>
      </c>
      <c r="G654" s="19" t="s">
        <v>459</v>
      </c>
      <c r="H654" s="19">
        <v>1105</v>
      </c>
      <c r="I654" s="41">
        <v>51050</v>
      </c>
      <c r="J654" s="53"/>
      <c r="K654" s="51"/>
      <c r="L654" s="53"/>
      <c r="M654" s="44"/>
      <c r="N654" s="45"/>
      <c r="O654" s="46">
        <f t="shared" ref="O654:O659" si="376">SUM(I654)</f>
        <v>51050</v>
      </c>
      <c r="P654" s="48"/>
      <c r="Q654" s="48"/>
      <c r="R654" s="78">
        <f t="shared" si="373"/>
        <v>39010.625</v>
      </c>
      <c r="S654" s="78"/>
      <c r="T654" s="79">
        <f t="shared" si="374"/>
        <v>50.3125</v>
      </c>
      <c r="U654" s="78"/>
      <c r="V654" s="78"/>
      <c r="W654" s="80">
        <f t="shared" si="372"/>
        <v>39060.9375</v>
      </c>
      <c r="X654" s="81">
        <f t="shared" si="375"/>
        <v>763.1375</v>
      </c>
      <c r="Y654" s="81"/>
      <c r="Z654" s="81"/>
      <c r="AA654" s="110">
        <f t="shared" si="369"/>
        <v>763.1375</v>
      </c>
      <c r="AB654" s="90">
        <v>7.19</v>
      </c>
      <c r="AC654" s="78">
        <f t="shared" si="370"/>
        <v>5486.958625</v>
      </c>
      <c r="AD654" s="78">
        <f t="shared" si="367"/>
        <v>44547.896125</v>
      </c>
      <c r="AE654" s="78">
        <f t="shared" si="368"/>
        <v>6502.103875</v>
      </c>
    </row>
    <row r="655" customFormat="1" spans="1:31">
      <c r="A655" s="18"/>
      <c r="B655" s="19"/>
      <c r="C655" s="20">
        <v>240315000027</v>
      </c>
      <c r="D655" s="21">
        <v>45375</v>
      </c>
      <c r="E655" s="21" t="s">
        <v>47</v>
      </c>
      <c r="F655" s="19" t="s">
        <v>48</v>
      </c>
      <c r="G655" s="19" t="s">
        <v>458</v>
      </c>
      <c r="H655" s="19">
        <v>22</v>
      </c>
      <c r="I655" s="41">
        <v>1042</v>
      </c>
      <c r="J655" s="53"/>
      <c r="K655" s="51"/>
      <c r="L655" s="53"/>
      <c r="M655" s="44"/>
      <c r="N655" s="45"/>
      <c r="O655" s="46">
        <f t="shared" si="376"/>
        <v>1042</v>
      </c>
      <c r="P655" s="48"/>
      <c r="Q655" s="48"/>
      <c r="R655" s="78">
        <f t="shared" si="373"/>
        <v>776.682126696832</v>
      </c>
      <c r="S655" s="78"/>
      <c r="T655" s="79">
        <f t="shared" si="374"/>
        <v>1.00169683257919</v>
      </c>
      <c r="U655" s="78"/>
      <c r="V655" s="78"/>
      <c r="W655" s="80">
        <f t="shared" si="372"/>
        <v>777.683823529412</v>
      </c>
      <c r="X655" s="81">
        <f t="shared" si="375"/>
        <v>15.1936877828054</v>
      </c>
      <c r="Y655" s="81"/>
      <c r="Z655" s="81"/>
      <c r="AA655" s="110">
        <f t="shared" si="369"/>
        <v>15.1936877828054</v>
      </c>
      <c r="AB655" s="90">
        <v>7.19</v>
      </c>
      <c r="AC655" s="78">
        <f t="shared" si="370"/>
        <v>109.242615158371</v>
      </c>
      <c r="AD655" s="78">
        <f t="shared" si="367"/>
        <v>886.926438687783</v>
      </c>
      <c r="AE655" s="78">
        <f t="shared" si="368"/>
        <v>155.073561312217</v>
      </c>
    </row>
    <row r="656" customFormat="1" spans="1:31">
      <c r="A656" s="18"/>
      <c r="B656" s="19"/>
      <c r="C656" s="20">
        <v>240315000030</v>
      </c>
      <c r="D656" s="21">
        <v>45375</v>
      </c>
      <c r="E656" s="21" t="s">
        <v>37</v>
      </c>
      <c r="F656" s="19" t="s">
        <v>38</v>
      </c>
      <c r="G656" s="19" t="s">
        <v>173</v>
      </c>
      <c r="H656" s="19">
        <v>14</v>
      </c>
      <c r="I656" s="41">
        <v>686</v>
      </c>
      <c r="J656" s="53"/>
      <c r="K656" s="51"/>
      <c r="L656" s="53"/>
      <c r="M656" s="44"/>
      <c r="N656" s="45"/>
      <c r="O656" s="46">
        <f t="shared" si="376"/>
        <v>686</v>
      </c>
      <c r="P656" s="48"/>
      <c r="Q656" s="48"/>
      <c r="R656" s="78">
        <f t="shared" si="373"/>
        <v>494.252262443439</v>
      </c>
      <c r="S656" s="78"/>
      <c r="T656" s="79">
        <f t="shared" si="374"/>
        <v>0.637443438914027</v>
      </c>
      <c r="U656" s="78"/>
      <c r="V656" s="78"/>
      <c r="W656" s="80">
        <f t="shared" si="372"/>
        <v>494.889705882353</v>
      </c>
      <c r="X656" s="81">
        <f t="shared" si="375"/>
        <v>9.66871040723982</v>
      </c>
      <c r="Y656" s="81"/>
      <c r="Z656" s="81"/>
      <c r="AA656" s="110">
        <f t="shared" si="369"/>
        <v>9.66871040723982</v>
      </c>
      <c r="AB656" s="90">
        <v>7.19</v>
      </c>
      <c r="AC656" s="78">
        <f t="shared" si="370"/>
        <v>69.5180278280543</v>
      </c>
      <c r="AD656" s="78">
        <f t="shared" si="367"/>
        <v>564.407733710407</v>
      </c>
      <c r="AE656" s="78">
        <f t="shared" si="368"/>
        <v>121.592266289593</v>
      </c>
    </row>
    <row r="657" customFormat="1" spans="1:31">
      <c r="A657" s="18"/>
      <c r="B657" s="19"/>
      <c r="C657" s="20">
        <v>240315000036</v>
      </c>
      <c r="D657" s="21">
        <v>45375</v>
      </c>
      <c r="E657" s="21" t="s">
        <v>41</v>
      </c>
      <c r="F657" s="19" t="s">
        <v>42</v>
      </c>
      <c r="G657" s="19" t="s">
        <v>460</v>
      </c>
      <c r="H657" s="19">
        <v>64</v>
      </c>
      <c r="I657" s="41">
        <v>2880</v>
      </c>
      <c r="J657" s="53"/>
      <c r="K657" s="51"/>
      <c r="L657" s="53"/>
      <c r="M657" s="44"/>
      <c r="N657" s="45"/>
      <c r="O657" s="46">
        <f t="shared" si="376"/>
        <v>2880</v>
      </c>
      <c r="P657" s="48"/>
      <c r="Q657" s="48"/>
      <c r="R657" s="78">
        <f t="shared" si="373"/>
        <v>2259.43891402715</v>
      </c>
      <c r="S657" s="78"/>
      <c r="T657" s="79">
        <f t="shared" si="374"/>
        <v>2.91402714932127</v>
      </c>
      <c r="U657" s="78"/>
      <c r="V657" s="78"/>
      <c r="W657" s="80">
        <f t="shared" si="372"/>
        <v>2262.35294117647</v>
      </c>
      <c r="X657" s="81">
        <f t="shared" si="375"/>
        <v>44.1998190045249</v>
      </c>
      <c r="Y657" s="81"/>
      <c r="Z657" s="81"/>
      <c r="AA657" s="110">
        <f t="shared" si="369"/>
        <v>44.1998190045249</v>
      </c>
      <c r="AB657" s="90">
        <v>7.19</v>
      </c>
      <c r="AC657" s="78">
        <f t="shared" si="370"/>
        <v>317.796698642534</v>
      </c>
      <c r="AD657" s="78">
        <f t="shared" si="367"/>
        <v>2580.149639819</v>
      </c>
      <c r="AE657" s="78">
        <f t="shared" si="368"/>
        <v>299.850360181</v>
      </c>
    </row>
    <row r="658" customFormat="1" spans="1:31">
      <c r="A658" s="18"/>
      <c r="B658" s="19"/>
      <c r="C658" s="20">
        <v>240316000001</v>
      </c>
      <c r="D658" s="21">
        <v>45375</v>
      </c>
      <c r="E658" s="21" t="s">
        <v>37</v>
      </c>
      <c r="F658" s="19" t="s">
        <v>461</v>
      </c>
      <c r="G658" s="19" t="s">
        <v>462</v>
      </c>
      <c r="H658" s="19">
        <v>7.5</v>
      </c>
      <c r="I658" s="41">
        <v>373.5</v>
      </c>
      <c r="J658" s="42"/>
      <c r="K658" s="43"/>
      <c r="L658" s="50"/>
      <c r="M658" s="44"/>
      <c r="N658" s="45"/>
      <c r="O658" s="46">
        <f t="shared" si="376"/>
        <v>373.5</v>
      </c>
      <c r="P658" s="48"/>
      <c r="Q658" s="48"/>
      <c r="R658" s="78">
        <f t="shared" si="373"/>
        <v>264.777997737557</v>
      </c>
      <c r="S658" s="78"/>
      <c r="T658" s="79">
        <f t="shared" si="374"/>
        <v>0.341487556561086</v>
      </c>
      <c r="U658" s="78"/>
      <c r="V658" s="78"/>
      <c r="W658" s="80">
        <f t="shared" si="372"/>
        <v>265.119485294118</v>
      </c>
      <c r="X658" s="81">
        <f t="shared" si="375"/>
        <v>5.17966628959276</v>
      </c>
      <c r="Y658" s="81"/>
      <c r="Z658" s="81"/>
      <c r="AA658" s="110">
        <f t="shared" si="369"/>
        <v>5.17966628959276</v>
      </c>
      <c r="AB658" s="90">
        <v>7.19</v>
      </c>
      <c r="AC658" s="78">
        <f t="shared" si="370"/>
        <v>37.2418006221719</v>
      </c>
      <c r="AD658" s="78">
        <f t="shared" si="367"/>
        <v>302.36128591629</v>
      </c>
      <c r="AE658" s="78">
        <f t="shared" si="368"/>
        <v>71.13871408371</v>
      </c>
    </row>
    <row r="659" customFormat="1" spans="1:31">
      <c r="A659" s="18"/>
      <c r="B659" s="19"/>
      <c r="C659" s="20">
        <v>240316000003</v>
      </c>
      <c r="D659" s="21">
        <v>45375</v>
      </c>
      <c r="E659" s="21" t="s">
        <v>37</v>
      </c>
      <c r="F659" s="19" t="s">
        <v>38</v>
      </c>
      <c r="G659" s="19" t="s">
        <v>173</v>
      </c>
      <c r="H659" s="19">
        <v>56.5</v>
      </c>
      <c r="I659" s="41">
        <v>2881.5</v>
      </c>
      <c r="J659" s="53"/>
      <c r="K659" s="51"/>
      <c r="L659" s="53"/>
      <c r="M659" s="44"/>
      <c r="N659" s="45"/>
      <c r="O659" s="46">
        <f t="shared" si="376"/>
        <v>2881.5</v>
      </c>
      <c r="P659" s="48"/>
      <c r="Q659" s="48"/>
      <c r="R659" s="78">
        <f t="shared" si="373"/>
        <v>1994.66091628959</v>
      </c>
      <c r="S659" s="78"/>
      <c r="T659" s="79">
        <f t="shared" si="374"/>
        <v>2.57253959276018</v>
      </c>
      <c r="U659" s="78"/>
      <c r="V659" s="78"/>
      <c r="W659" s="80">
        <f t="shared" si="372"/>
        <v>1997.23345588235</v>
      </c>
      <c r="X659" s="81">
        <f t="shared" si="375"/>
        <v>39.0201527149321</v>
      </c>
      <c r="Y659" s="81"/>
      <c r="Z659" s="81"/>
      <c r="AA659" s="110">
        <f t="shared" si="369"/>
        <v>39.0201527149321</v>
      </c>
      <c r="AB659" s="90">
        <v>7.19</v>
      </c>
      <c r="AC659" s="78">
        <f t="shared" si="370"/>
        <v>280.554898020362</v>
      </c>
      <c r="AD659" s="78">
        <f t="shared" si="367"/>
        <v>2277.78835390271</v>
      </c>
      <c r="AE659" s="78">
        <f t="shared" si="368"/>
        <v>603.71164609729</v>
      </c>
    </row>
    <row r="660" customFormat="1" spans="1:31">
      <c r="A660" s="18"/>
      <c r="B660" s="19"/>
      <c r="C660" s="20">
        <v>240316000004</v>
      </c>
      <c r="D660" s="21">
        <v>45375</v>
      </c>
      <c r="E660" s="21" t="s">
        <v>47</v>
      </c>
      <c r="F660" s="19" t="s">
        <v>48</v>
      </c>
      <c r="G660" s="19" t="s">
        <v>463</v>
      </c>
      <c r="H660" s="19">
        <v>6</v>
      </c>
      <c r="I660" s="49"/>
      <c r="J660" s="50">
        <v>64782</v>
      </c>
      <c r="K660" s="91"/>
      <c r="L660" s="50">
        <f t="shared" ref="L660:L662" si="377">SUM(J660/M660)</f>
        <v>1315.90493601463</v>
      </c>
      <c r="M660" s="52">
        <v>49.23</v>
      </c>
      <c r="N660" s="45">
        <v>7.19</v>
      </c>
      <c r="O660" s="46">
        <f t="shared" ref="O660:O662" si="378">SUM(M660*N660)</f>
        <v>353.9637</v>
      </c>
      <c r="P660" s="48"/>
      <c r="Q660" s="48"/>
      <c r="R660" s="78">
        <f t="shared" si="373"/>
        <v>211.822398190045</v>
      </c>
      <c r="S660" s="78"/>
      <c r="T660" s="79">
        <f t="shared" si="374"/>
        <v>0.273190045248869</v>
      </c>
      <c r="U660" s="78"/>
      <c r="V660" s="78"/>
      <c r="W660" s="80">
        <f t="shared" si="372"/>
        <v>212.095588235294</v>
      </c>
      <c r="X660" s="81">
        <f t="shared" si="375"/>
        <v>4.14373303167421</v>
      </c>
      <c r="Y660" s="81"/>
      <c r="Z660" s="81"/>
      <c r="AA660" s="110">
        <f t="shared" si="369"/>
        <v>4.14373303167421</v>
      </c>
      <c r="AB660" s="90">
        <v>7.19</v>
      </c>
      <c r="AC660" s="78">
        <f t="shared" si="370"/>
        <v>29.7934404977376</v>
      </c>
      <c r="AD660" s="78">
        <f t="shared" si="367"/>
        <v>241.889028733032</v>
      </c>
      <c r="AE660" s="78">
        <f t="shared" si="368"/>
        <v>112.074671266968</v>
      </c>
    </row>
    <row r="661" customFormat="1" spans="1:31">
      <c r="A661" s="18"/>
      <c r="B661" s="19"/>
      <c r="C661" s="20">
        <v>240316000005</v>
      </c>
      <c r="D661" s="21">
        <v>45375</v>
      </c>
      <c r="E661" s="21" t="s">
        <v>47</v>
      </c>
      <c r="F661" s="19" t="s">
        <v>48</v>
      </c>
      <c r="G661" s="19" t="s">
        <v>464</v>
      </c>
      <c r="H661" s="19">
        <v>11.5</v>
      </c>
      <c r="I661" s="49"/>
      <c r="J661" s="50">
        <v>102510</v>
      </c>
      <c r="K661" s="91"/>
      <c r="L661" s="50">
        <f t="shared" si="377"/>
        <v>1294.31818181818</v>
      </c>
      <c r="M661" s="52">
        <v>79.2</v>
      </c>
      <c r="N661" s="45">
        <v>7.19</v>
      </c>
      <c r="O661" s="46">
        <f t="shared" si="378"/>
        <v>569.448</v>
      </c>
      <c r="P661" s="48"/>
      <c r="Q661" s="48"/>
      <c r="R661" s="78">
        <f t="shared" si="373"/>
        <v>405.992929864253</v>
      </c>
      <c r="S661" s="78"/>
      <c r="T661" s="79">
        <f t="shared" si="374"/>
        <v>0.523614253393665</v>
      </c>
      <c r="U661" s="78"/>
      <c r="V661" s="78"/>
      <c r="W661" s="80">
        <f t="shared" si="372"/>
        <v>406.516544117647</v>
      </c>
      <c r="X661" s="81">
        <f t="shared" si="375"/>
        <v>7.94215497737556</v>
      </c>
      <c r="Y661" s="81"/>
      <c r="Z661" s="81"/>
      <c r="AA661" s="110">
        <f t="shared" si="369"/>
        <v>7.94215497737556</v>
      </c>
      <c r="AB661" s="90">
        <v>7.19</v>
      </c>
      <c r="AC661" s="78">
        <f t="shared" si="370"/>
        <v>57.1040942873303</v>
      </c>
      <c r="AD661" s="78">
        <f t="shared" si="367"/>
        <v>463.620638404977</v>
      </c>
      <c r="AE661" s="78">
        <f t="shared" si="368"/>
        <v>105.827361595023</v>
      </c>
    </row>
    <row r="662" customFormat="1" spans="1:31">
      <c r="A662" s="18"/>
      <c r="B662" s="19"/>
      <c r="C662" s="20">
        <v>240317000002</v>
      </c>
      <c r="D662" s="21">
        <v>45375</v>
      </c>
      <c r="E662" s="21" t="s">
        <v>70</v>
      </c>
      <c r="F662" s="19" t="s">
        <v>70</v>
      </c>
      <c r="G662" s="19" t="s">
        <v>87</v>
      </c>
      <c r="H662" s="19">
        <v>4.5</v>
      </c>
      <c r="I662" s="46"/>
      <c r="J662" s="54">
        <v>51246</v>
      </c>
      <c r="K662" s="55"/>
      <c r="L662" s="50">
        <f t="shared" si="377"/>
        <v>1350</v>
      </c>
      <c r="M662" s="52">
        <v>37.96</v>
      </c>
      <c r="N662" s="45">
        <v>7.19</v>
      </c>
      <c r="O662" s="46">
        <f t="shared" si="378"/>
        <v>272.9324</v>
      </c>
      <c r="P662" s="48"/>
      <c r="Q662" s="48"/>
      <c r="R662" s="78">
        <f t="shared" si="373"/>
        <v>158.866798642534</v>
      </c>
      <c r="S662" s="78"/>
      <c r="T662" s="79">
        <f t="shared" si="374"/>
        <v>0.204892533936652</v>
      </c>
      <c r="U662" s="78"/>
      <c r="V662" s="78">
        <v>20</v>
      </c>
      <c r="W662" s="80">
        <f t="shared" si="372"/>
        <v>179.071691176471</v>
      </c>
      <c r="X662" s="81">
        <f t="shared" si="375"/>
        <v>3.10779977375566</v>
      </c>
      <c r="Y662" s="81"/>
      <c r="Z662" s="81"/>
      <c r="AA662" s="110">
        <f t="shared" si="369"/>
        <v>3.10779977375566</v>
      </c>
      <c r="AB662" s="90">
        <v>7.19</v>
      </c>
      <c r="AC662" s="78">
        <f t="shared" si="370"/>
        <v>22.3450803733032</v>
      </c>
      <c r="AD662" s="78">
        <f t="shared" si="367"/>
        <v>201.416771549774</v>
      </c>
      <c r="AE662" s="78">
        <f t="shared" si="368"/>
        <v>71.515628450226</v>
      </c>
    </row>
    <row r="663" customFormat="1" spans="1:31">
      <c r="A663" s="18"/>
      <c r="B663" s="19"/>
      <c r="C663" s="20">
        <v>240318000002</v>
      </c>
      <c r="D663" s="21">
        <v>45375</v>
      </c>
      <c r="E663" s="21" t="s">
        <v>37</v>
      </c>
      <c r="F663" s="19" t="s">
        <v>38</v>
      </c>
      <c r="G663" s="19" t="s">
        <v>125</v>
      </c>
      <c r="H663" s="19">
        <v>142</v>
      </c>
      <c r="I663" s="41">
        <v>7100</v>
      </c>
      <c r="J663" s="53"/>
      <c r="K663" s="51"/>
      <c r="L663" s="53"/>
      <c r="M663" s="44"/>
      <c r="N663" s="45"/>
      <c r="O663" s="46">
        <f t="shared" ref="O663:O668" si="379">SUM(I663)</f>
        <v>7100</v>
      </c>
      <c r="P663" s="48"/>
      <c r="Q663" s="48"/>
      <c r="R663" s="78">
        <f t="shared" si="373"/>
        <v>5013.13009049774</v>
      </c>
      <c r="S663" s="78"/>
      <c r="T663" s="79">
        <f t="shared" si="374"/>
        <v>6.46549773755656</v>
      </c>
      <c r="U663" s="78"/>
      <c r="V663" s="78"/>
      <c r="W663" s="80">
        <f t="shared" si="372"/>
        <v>5019.59558823529</v>
      </c>
      <c r="X663" s="81">
        <f t="shared" si="375"/>
        <v>98.0683484162896</v>
      </c>
      <c r="Y663" s="81"/>
      <c r="Z663" s="81"/>
      <c r="AA663" s="110">
        <f t="shared" si="369"/>
        <v>98.0683484162896</v>
      </c>
      <c r="AB663" s="90">
        <v>7.19</v>
      </c>
      <c r="AC663" s="78">
        <f t="shared" si="370"/>
        <v>705.111425113122</v>
      </c>
      <c r="AD663" s="78">
        <f t="shared" si="367"/>
        <v>5724.70701334842</v>
      </c>
      <c r="AE663" s="78">
        <f t="shared" si="368"/>
        <v>1375.29298665158</v>
      </c>
    </row>
    <row r="664" customFormat="1" spans="1:31">
      <c r="A664" s="18"/>
      <c r="B664" s="19"/>
      <c r="C664" s="20">
        <v>240318000004</v>
      </c>
      <c r="D664" s="21">
        <v>45375</v>
      </c>
      <c r="E664" s="21" t="s">
        <v>37</v>
      </c>
      <c r="F664" s="19" t="s">
        <v>38</v>
      </c>
      <c r="G664" s="19" t="s">
        <v>465</v>
      </c>
      <c r="H664" s="19">
        <v>84.5</v>
      </c>
      <c r="I664" s="41">
        <v>3802.5</v>
      </c>
      <c r="J664" s="53"/>
      <c r="K664" s="51"/>
      <c r="L664" s="53"/>
      <c r="M664" s="44"/>
      <c r="N664" s="45"/>
      <c r="O664" s="46">
        <f t="shared" si="379"/>
        <v>3802.5</v>
      </c>
      <c r="P664" s="48"/>
      <c r="Q664" s="48"/>
      <c r="R664" s="78">
        <f t="shared" si="373"/>
        <v>2983.16544117647</v>
      </c>
      <c r="S664" s="78"/>
      <c r="T664" s="79">
        <f t="shared" si="374"/>
        <v>3.84742647058823</v>
      </c>
      <c r="U664" s="78"/>
      <c r="V664" s="78"/>
      <c r="W664" s="80">
        <f t="shared" si="372"/>
        <v>2987.01286764706</v>
      </c>
      <c r="X664" s="81">
        <f t="shared" si="375"/>
        <v>58.3575735294118</v>
      </c>
      <c r="Y664" s="81"/>
      <c r="Z664" s="81"/>
      <c r="AA664" s="110">
        <f t="shared" si="369"/>
        <v>58.3575735294118</v>
      </c>
      <c r="AB664" s="90">
        <v>7.19</v>
      </c>
      <c r="AC664" s="78">
        <f t="shared" si="370"/>
        <v>419.590953676471</v>
      </c>
      <c r="AD664" s="78">
        <f t="shared" si="367"/>
        <v>3406.60382132353</v>
      </c>
      <c r="AE664" s="78">
        <f t="shared" si="368"/>
        <v>395.89617867647</v>
      </c>
    </row>
    <row r="665" customFormat="1" spans="1:31">
      <c r="A665" s="18"/>
      <c r="B665" s="19"/>
      <c r="C665" s="20">
        <v>240318000005</v>
      </c>
      <c r="D665" s="21">
        <v>45375</v>
      </c>
      <c r="E665" s="21" t="s">
        <v>37</v>
      </c>
      <c r="F665" s="19" t="s">
        <v>38</v>
      </c>
      <c r="G665" s="19" t="s">
        <v>250</v>
      </c>
      <c r="H665" s="19">
        <v>2</v>
      </c>
      <c r="I665" s="41">
        <v>103</v>
      </c>
      <c r="J665" s="53"/>
      <c r="K665" s="51"/>
      <c r="L665" s="53"/>
      <c r="M665" s="44"/>
      <c r="N665" s="45"/>
      <c r="O665" s="46">
        <f t="shared" si="379"/>
        <v>103</v>
      </c>
      <c r="P665" s="48"/>
      <c r="Q665" s="48"/>
      <c r="R665" s="78">
        <f t="shared" si="373"/>
        <v>70.6074660633484</v>
      </c>
      <c r="S665" s="78"/>
      <c r="T665" s="79">
        <f t="shared" si="374"/>
        <v>0.0910633484162896</v>
      </c>
      <c r="U665" s="78"/>
      <c r="V665" s="78"/>
      <c r="W665" s="80">
        <f t="shared" si="372"/>
        <v>70.6985294117647</v>
      </c>
      <c r="X665" s="81">
        <f t="shared" si="375"/>
        <v>1.3812443438914</v>
      </c>
      <c r="Y665" s="81"/>
      <c r="Z665" s="81"/>
      <c r="AA665" s="110">
        <f t="shared" si="369"/>
        <v>1.3812443438914</v>
      </c>
      <c r="AB665" s="90">
        <v>7.19</v>
      </c>
      <c r="AC665" s="78">
        <f t="shared" si="370"/>
        <v>9.93114683257919</v>
      </c>
      <c r="AD665" s="78">
        <f t="shared" si="367"/>
        <v>80.6296762443439</v>
      </c>
      <c r="AE665" s="78">
        <f t="shared" si="368"/>
        <v>22.3703237556561</v>
      </c>
    </row>
    <row r="666" customFormat="1" spans="1:31">
      <c r="A666" s="18"/>
      <c r="B666" s="19"/>
      <c r="C666" s="20">
        <v>240318000006</v>
      </c>
      <c r="D666" s="21">
        <v>45375</v>
      </c>
      <c r="E666" s="21" t="s">
        <v>37</v>
      </c>
      <c r="F666" s="19" t="s">
        <v>38</v>
      </c>
      <c r="G666" s="19" t="s">
        <v>466</v>
      </c>
      <c r="H666" s="19">
        <v>2</v>
      </c>
      <c r="I666" s="41">
        <v>188</v>
      </c>
      <c r="J666" s="53"/>
      <c r="K666" s="51"/>
      <c r="L666" s="53"/>
      <c r="M666" s="44"/>
      <c r="N666" s="45"/>
      <c r="O666" s="46">
        <f t="shared" si="379"/>
        <v>188</v>
      </c>
      <c r="P666" s="48"/>
      <c r="Q666" s="48"/>
      <c r="R666" s="78">
        <f t="shared" si="373"/>
        <v>70.6074660633484</v>
      </c>
      <c r="S666" s="78"/>
      <c r="T666" s="79">
        <f t="shared" si="374"/>
        <v>0.0910633484162896</v>
      </c>
      <c r="U666" s="78"/>
      <c r="V666" s="78"/>
      <c r="W666" s="80">
        <f t="shared" si="372"/>
        <v>70.6985294117647</v>
      </c>
      <c r="X666" s="81">
        <f t="shared" si="375"/>
        <v>1.3812443438914</v>
      </c>
      <c r="Y666" s="81"/>
      <c r="Z666" s="81"/>
      <c r="AA666" s="110">
        <f t="shared" si="369"/>
        <v>1.3812443438914</v>
      </c>
      <c r="AB666" s="90">
        <v>7.19</v>
      </c>
      <c r="AC666" s="78">
        <f t="shared" si="370"/>
        <v>9.93114683257919</v>
      </c>
      <c r="AD666" s="78">
        <f t="shared" si="367"/>
        <v>80.6296762443439</v>
      </c>
      <c r="AE666" s="78">
        <f t="shared" si="368"/>
        <v>107.370323755656</v>
      </c>
    </row>
    <row r="667" customFormat="1" spans="1:31">
      <c r="A667" s="18"/>
      <c r="B667" s="19"/>
      <c r="C667" s="20">
        <v>240318000007</v>
      </c>
      <c r="D667" s="21">
        <v>45375</v>
      </c>
      <c r="E667" s="21" t="s">
        <v>37</v>
      </c>
      <c r="F667" s="19" t="s">
        <v>38</v>
      </c>
      <c r="G667" s="19" t="s">
        <v>424</v>
      </c>
      <c r="H667" s="19">
        <v>6</v>
      </c>
      <c r="I667" s="41">
        <v>366</v>
      </c>
      <c r="J667" s="53"/>
      <c r="K667" s="51"/>
      <c r="L667" s="53"/>
      <c r="M667" s="44"/>
      <c r="N667" s="45"/>
      <c r="O667" s="46">
        <f t="shared" si="379"/>
        <v>366</v>
      </c>
      <c r="P667" s="48"/>
      <c r="Q667" s="48"/>
      <c r="R667" s="78">
        <f t="shared" si="373"/>
        <v>211.822398190045</v>
      </c>
      <c r="S667" s="78"/>
      <c r="T667" s="79">
        <f t="shared" si="374"/>
        <v>0.273190045248869</v>
      </c>
      <c r="U667" s="78"/>
      <c r="V667" s="78"/>
      <c r="W667" s="80">
        <f t="shared" si="372"/>
        <v>212.095588235294</v>
      </c>
      <c r="X667" s="81">
        <f t="shared" si="375"/>
        <v>4.14373303167421</v>
      </c>
      <c r="Y667" s="81"/>
      <c r="Z667" s="81"/>
      <c r="AA667" s="110">
        <f t="shared" si="369"/>
        <v>4.14373303167421</v>
      </c>
      <c r="AB667" s="90">
        <v>7.19</v>
      </c>
      <c r="AC667" s="78">
        <f t="shared" si="370"/>
        <v>29.7934404977376</v>
      </c>
      <c r="AD667" s="78">
        <f t="shared" si="367"/>
        <v>241.889028733032</v>
      </c>
      <c r="AE667" s="78">
        <f t="shared" si="368"/>
        <v>124.110971266968</v>
      </c>
    </row>
    <row r="668" customFormat="1" spans="1:31">
      <c r="A668" s="18"/>
      <c r="B668" s="19"/>
      <c r="C668" s="20">
        <v>240318000011</v>
      </c>
      <c r="D668" s="21">
        <v>45375</v>
      </c>
      <c r="E668" s="21" t="s">
        <v>41</v>
      </c>
      <c r="F668" s="19" t="s">
        <v>42</v>
      </c>
      <c r="G668" s="19" t="s">
        <v>467</v>
      </c>
      <c r="H668" s="19">
        <v>0.36</v>
      </c>
      <c r="I668" s="41">
        <v>61</v>
      </c>
      <c r="J668" s="42"/>
      <c r="K668" s="43"/>
      <c r="L668" s="42"/>
      <c r="M668" s="44"/>
      <c r="N668" s="45"/>
      <c r="O668" s="46">
        <f t="shared" si="379"/>
        <v>61</v>
      </c>
      <c r="P668" s="48"/>
      <c r="Q668" s="48"/>
      <c r="R668" s="78">
        <f t="shared" si="373"/>
        <v>12.7093438914027</v>
      </c>
      <c r="S668" s="78"/>
      <c r="T668" s="79">
        <f t="shared" si="374"/>
        <v>0.0163914027149321</v>
      </c>
      <c r="U668" s="78"/>
      <c r="V668" s="78"/>
      <c r="W668" s="80">
        <f t="shared" si="372"/>
        <v>12.7257352941176</v>
      </c>
      <c r="X668" s="81">
        <f t="shared" si="375"/>
        <v>0.248623981900452</v>
      </c>
      <c r="Y668" s="81"/>
      <c r="Z668" s="81"/>
      <c r="AA668" s="110">
        <f t="shared" si="369"/>
        <v>0.248623981900452</v>
      </c>
      <c r="AB668" s="90">
        <v>7.19</v>
      </c>
      <c r="AC668" s="78">
        <f t="shared" si="370"/>
        <v>1.78760642986425</v>
      </c>
      <c r="AD668" s="78">
        <f t="shared" si="367"/>
        <v>14.5133417239819</v>
      </c>
      <c r="AE668" s="78">
        <f t="shared" si="368"/>
        <v>46.4866582760181</v>
      </c>
    </row>
    <row r="669" customFormat="1" spans="1:31">
      <c r="A669" s="18"/>
      <c r="B669" s="19"/>
      <c r="C669" s="20">
        <v>240318000013</v>
      </c>
      <c r="D669" s="21">
        <v>45375</v>
      </c>
      <c r="E669" s="21" t="s">
        <v>41</v>
      </c>
      <c r="F669" s="19" t="s">
        <v>42</v>
      </c>
      <c r="G669" s="19" t="s">
        <v>468</v>
      </c>
      <c r="H669" s="19">
        <v>26.5</v>
      </c>
      <c r="I669" s="49"/>
      <c r="J669" s="50">
        <v>218310</v>
      </c>
      <c r="K669" s="51"/>
      <c r="L669" s="50">
        <f>SUM(J669/M669)</f>
        <v>1315.75458052073</v>
      </c>
      <c r="M669" s="52">
        <v>165.92</v>
      </c>
      <c r="N669" s="45">
        <v>7.19</v>
      </c>
      <c r="O669" s="46">
        <f>SUM(M669*N669)</f>
        <v>1192.9648</v>
      </c>
      <c r="P669" s="48"/>
      <c r="Q669" s="48"/>
      <c r="R669" s="78">
        <f t="shared" si="373"/>
        <v>935.548925339366</v>
      </c>
      <c r="S669" s="78"/>
      <c r="T669" s="79">
        <f t="shared" si="374"/>
        <v>1.20658936651584</v>
      </c>
      <c r="U669" s="78"/>
      <c r="V669" s="78"/>
      <c r="W669" s="80">
        <f t="shared" si="372"/>
        <v>936.755514705882</v>
      </c>
      <c r="X669" s="81">
        <f t="shared" si="375"/>
        <v>18.3014875565611</v>
      </c>
      <c r="Y669" s="81"/>
      <c r="Z669" s="81"/>
      <c r="AA669" s="110">
        <f t="shared" si="369"/>
        <v>18.3014875565611</v>
      </c>
      <c r="AB669" s="90">
        <v>7.19</v>
      </c>
      <c r="AC669" s="78">
        <f t="shared" si="370"/>
        <v>131.587695531674</v>
      </c>
      <c r="AD669" s="78">
        <f t="shared" si="367"/>
        <v>1068.34321023756</v>
      </c>
      <c r="AE669" s="78">
        <f t="shared" si="368"/>
        <v>124.62158976244</v>
      </c>
    </row>
    <row r="670" customFormat="1" spans="1:31">
      <c r="A670" s="18"/>
      <c r="B670" s="19"/>
      <c r="C670" s="22">
        <v>240318000014</v>
      </c>
      <c r="D670" s="23">
        <v>45375</v>
      </c>
      <c r="E670" s="21" t="s">
        <v>37</v>
      </c>
      <c r="F670" s="24" t="s">
        <v>38</v>
      </c>
      <c r="G670" s="24" t="s">
        <v>469</v>
      </c>
      <c r="H670" s="24">
        <v>91</v>
      </c>
      <c r="I670" s="41">
        <v>4186</v>
      </c>
      <c r="J670" s="53"/>
      <c r="K670" s="51"/>
      <c r="L670" s="53"/>
      <c r="M670" s="44"/>
      <c r="N670" s="45"/>
      <c r="O670" s="46">
        <f t="shared" ref="O670:O674" si="380">SUM(I670)</f>
        <v>4186</v>
      </c>
      <c r="P670" s="48"/>
      <c r="Q670" s="48"/>
      <c r="R670" s="78">
        <f t="shared" si="373"/>
        <v>3212.63970588235</v>
      </c>
      <c r="S670" s="78"/>
      <c r="T670" s="79">
        <f t="shared" si="374"/>
        <v>4.14338235294118</v>
      </c>
      <c r="U670" s="78"/>
      <c r="V670" s="78"/>
      <c r="W670" s="80">
        <f t="shared" si="372"/>
        <v>3216.78308823529</v>
      </c>
      <c r="X670" s="81">
        <f t="shared" si="375"/>
        <v>62.8466176470588</v>
      </c>
      <c r="Y670" s="81"/>
      <c r="Z670" s="81"/>
      <c r="AA670" s="110">
        <f t="shared" si="369"/>
        <v>62.8466176470588</v>
      </c>
      <c r="AB670" s="90">
        <v>7.19</v>
      </c>
      <c r="AC670" s="78">
        <f t="shared" si="370"/>
        <v>451.867180882353</v>
      </c>
      <c r="AD670" s="78">
        <f t="shared" si="367"/>
        <v>3668.65026911765</v>
      </c>
      <c r="AE670" s="78">
        <f t="shared" si="368"/>
        <v>517.34973088235</v>
      </c>
    </row>
    <row r="671" customFormat="1" spans="1:31">
      <c r="A671" s="18"/>
      <c r="B671" s="19"/>
      <c r="C671" s="20">
        <v>240318000017</v>
      </c>
      <c r="D671" s="21">
        <v>45375</v>
      </c>
      <c r="E671" s="21" t="s">
        <v>37</v>
      </c>
      <c r="F671" s="19" t="s">
        <v>38</v>
      </c>
      <c r="G671" s="19" t="s">
        <v>281</v>
      </c>
      <c r="H671" s="19">
        <v>14</v>
      </c>
      <c r="I671" s="41">
        <v>692</v>
      </c>
      <c r="J671" s="53"/>
      <c r="K671" s="51"/>
      <c r="L671" s="53"/>
      <c r="M671" s="44"/>
      <c r="N671" s="45"/>
      <c r="O671" s="46">
        <f t="shared" si="380"/>
        <v>692</v>
      </c>
      <c r="P671" s="48"/>
      <c r="Q671" s="48"/>
      <c r="R671" s="78">
        <f t="shared" si="373"/>
        <v>494.252262443439</v>
      </c>
      <c r="S671" s="78"/>
      <c r="T671" s="79">
        <f t="shared" si="374"/>
        <v>0.637443438914027</v>
      </c>
      <c r="U671" s="78"/>
      <c r="V671" s="78"/>
      <c r="W671" s="80">
        <f t="shared" si="372"/>
        <v>494.889705882353</v>
      </c>
      <c r="X671" s="81">
        <f t="shared" si="375"/>
        <v>9.66871040723982</v>
      </c>
      <c r="Y671" s="81"/>
      <c r="Z671" s="81"/>
      <c r="AA671" s="110">
        <f t="shared" si="369"/>
        <v>9.66871040723982</v>
      </c>
      <c r="AB671" s="90">
        <v>7.19</v>
      </c>
      <c r="AC671" s="78">
        <f t="shared" si="370"/>
        <v>69.5180278280543</v>
      </c>
      <c r="AD671" s="78">
        <f t="shared" si="367"/>
        <v>564.407733710407</v>
      </c>
      <c r="AE671" s="78">
        <f t="shared" si="368"/>
        <v>127.592266289593</v>
      </c>
    </row>
    <row r="672" customFormat="1" spans="1:31">
      <c r="A672" s="18"/>
      <c r="B672" s="19"/>
      <c r="C672" s="20">
        <v>240318000019</v>
      </c>
      <c r="D672" s="21">
        <v>45375</v>
      </c>
      <c r="E672" s="21" t="s">
        <v>44</v>
      </c>
      <c r="F672" s="19" t="s">
        <v>45</v>
      </c>
      <c r="G672" s="19" t="s">
        <v>253</v>
      </c>
      <c r="H672" s="19">
        <v>111</v>
      </c>
      <c r="I672" s="41">
        <v>5217</v>
      </c>
      <c r="J672" s="53"/>
      <c r="K672" s="51"/>
      <c r="L672" s="53"/>
      <c r="M672" s="44"/>
      <c r="N672" s="45"/>
      <c r="O672" s="46">
        <f t="shared" si="380"/>
        <v>5217</v>
      </c>
      <c r="P672" s="48"/>
      <c r="Q672" s="48"/>
      <c r="R672" s="78">
        <f t="shared" si="373"/>
        <v>3918.71436651584</v>
      </c>
      <c r="S672" s="78"/>
      <c r="T672" s="79">
        <f t="shared" si="374"/>
        <v>5.05401583710407</v>
      </c>
      <c r="U672" s="78"/>
      <c r="V672" s="78"/>
      <c r="W672" s="80">
        <f t="shared" si="372"/>
        <v>3923.76838235294</v>
      </c>
      <c r="X672" s="81">
        <f t="shared" si="375"/>
        <v>76.6590610859729</v>
      </c>
      <c r="Y672" s="81"/>
      <c r="Z672" s="81"/>
      <c r="AA672" s="110">
        <f t="shared" si="369"/>
        <v>76.6590610859729</v>
      </c>
      <c r="AB672" s="90">
        <v>7.19</v>
      </c>
      <c r="AC672" s="78">
        <f t="shared" si="370"/>
        <v>551.178649208145</v>
      </c>
      <c r="AD672" s="78">
        <f t="shared" si="367"/>
        <v>4474.94703156109</v>
      </c>
      <c r="AE672" s="78">
        <f t="shared" si="368"/>
        <v>742.05296843891</v>
      </c>
    </row>
    <row r="673" customFormat="1" spans="1:31">
      <c r="A673" s="18"/>
      <c r="B673" s="19"/>
      <c r="C673" s="20">
        <v>240318000020</v>
      </c>
      <c r="D673" s="21">
        <v>45375</v>
      </c>
      <c r="E673" s="21" t="s">
        <v>44</v>
      </c>
      <c r="F673" s="19" t="s">
        <v>45</v>
      </c>
      <c r="G673" s="19" t="s">
        <v>158</v>
      </c>
      <c r="H673" s="19">
        <v>3.5</v>
      </c>
      <c r="I673" s="41">
        <v>260</v>
      </c>
      <c r="J673" s="53"/>
      <c r="K673" s="51"/>
      <c r="L673" s="53"/>
      <c r="M673" s="44"/>
      <c r="N673" s="45"/>
      <c r="O673" s="46">
        <f t="shared" si="380"/>
        <v>260</v>
      </c>
      <c r="P673" s="48"/>
      <c r="Q673" s="48"/>
      <c r="R673" s="78">
        <f t="shared" si="373"/>
        <v>123.56306561086</v>
      </c>
      <c r="S673" s="78"/>
      <c r="T673" s="79">
        <f t="shared" si="374"/>
        <v>0.159360859728507</v>
      </c>
      <c r="U673" s="78"/>
      <c r="V673" s="78"/>
      <c r="W673" s="80">
        <f t="shared" si="372"/>
        <v>123.722426470588</v>
      </c>
      <c r="X673" s="81">
        <f t="shared" si="375"/>
        <v>2.41717760180995</v>
      </c>
      <c r="Y673" s="81"/>
      <c r="Z673" s="81"/>
      <c r="AA673" s="110">
        <f t="shared" si="369"/>
        <v>2.41717760180995</v>
      </c>
      <c r="AB673" s="90">
        <v>7.19</v>
      </c>
      <c r="AC673" s="78">
        <f t="shared" si="370"/>
        <v>17.3795069570136</v>
      </c>
      <c r="AD673" s="78">
        <f t="shared" si="367"/>
        <v>141.101933427602</v>
      </c>
      <c r="AE673" s="78">
        <f t="shared" si="368"/>
        <v>118.898066572398</v>
      </c>
    </row>
    <row r="674" customFormat="1" spans="1:31">
      <c r="A674" s="18"/>
      <c r="B674" s="19"/>
      <c r="C674" s="20">
        <v>240318000023</v>
      </c>
      <c r="D674" s="21">
        <v>45375</v>
      </c>
      <c r="E674" s="21" t="s">
        <v>47</v>
      </c>
      <c r="F674" s="19" t="s">
        <v>48</v>
      </c>
      <c r="G674" s="19" t="s">
        <v>470</v>
      </c>
      <c r="H674" s="19">
        <v>28.5</v>
      </c>
      <c r="I674" s="41">
        <v>2515</v>
      </c>
      <c r="J674" s="53"/>
      <c r="K674" s="51"/>
      <c r="L674" s="53"/>
      <c r="M674" s="44"/>
      <c r="N674" s="45"/>
      <c r="O674" s="46">
        <f t="shared" si="380"/>
        <v>2515</v>
      </c>
      <c r="P674" s="48"/>
      <c r="Q674" s="48"/>
      <c r="R674" s="78">
        <f t="shared" si="373"/>
        <v>1006.15639140271</v>
      </c>
      <c r="S674" s="78"/>
      <c r="T674" s="79">
        <f t="shared" si="374"/>
        <v>1.29765271493213</v>
      </c>
      <c r="U674" s="78"/>
      <c r="V674" s="78"/>
      <c r="W674" s="80">
        <f t="shared" si="372"/>
        <v>1007.45404411765</v>
      </c>
      <c r="X674" s="81">
        <f t="shared" si="375"/>
        <v>19.6827319004525</v>
      </c>
      <c r="Y674" s="81"/>
      <c r="Z674" s="81"/>
      <c r="AA674" s="110">
        <f t="shared" si="369"/>
        <v>19.6827319004525</v>
      </c>
      <c r="AB674" s="90">
        <v>7.19</v>
      </c>
      <c r="AC674" s="78">
        <f t="shared" si="370"/>
        <v>141.518842364253</v>
      </c>
      <c r="AD674" s="78">
        <f t="shared" si="367"/>
        <v>1148.9728864819</v>
      </c>
      <c r="AE674" s="78">
        <f t="shared" si="368"/>
        <v>1366.0271135181</v>
      </c>
    </row>
    <row r="675" customFormat="1" spans="1:31">
      <c r="A675" s="18"/>
      <c r="B675" s="19"/>
      <c r="C675" s="20">
        <v>240318000031</v>
      </c>
      <c r="D675" s="21">
        <v>45375</v>
      </c>
      <c r="E675" s="21" t="s">
        <v>44</v>
      </c>
      <c r="F675" s="19" t="s">
        <v>45</v>
      </c>
      <c r="G675" s="19" t="s">
        <v>215</v>
      </c>
      <c r="H675" s="19">
        <v>3</v>
      </c>
      <c r="I675" s="92">
        <v>170</v>
      </c>
      <c r="J675" s="104"/>
      <c r="K675" s="55"/>
      <c r="L675" s="104"/>
      <c r="M675" s="44"/>
      <c r="N675" s="104"/>
      <c r="O675" s="46">
        <f>SUBTOTAL(9,I675)</f>
        <v>170</v>
      </c>
      <c r="P675" s="48"/>
      <c r="Q675" s="48"/>
      <c r="R675" s="78">
        <f t="shared" si="373"/>
        <v>105.911199095023</v>
      </c>
      <c r="S675" s="78"/>
      <c r="T675" s="79">
        <f t="shared" si="374"/>
        <v>0.136595022624434</v>
      </c>
      <c r="U675" s="78"/>
      <c r="V675" s="79">
        <v>33</v>
      </c>
      <c r="W675" s="80">
        <f t="shared" si="372"/>
        <v>139.047794117647</v>
      </c>
      <c r="X675" s="81">
        <f t="shared" si="375"/>
        <v>2.0718665158371</v>
      </c>
      <c r="Y675" s="81"/>
      <c r="Z675" s="81"/>
      <c r="AA675" s="110">
        <f t="shared" si="369"/>
        <v>2.0718665158371</v>
      </c>
      <c r="AB675" s="90">
        <v>7.19</v>
      </c>
      <c r="AC675" s="78">
        <f t="shared" si="370"/>
        <v>14.8967202488688</v>
      </c>
      <c r="AD675" s="78">
        <f t="shared" si="367"/>
        <v>153.944514366516</v>
      </c>
      <c r="AE675" s="78">
        <f t="shared" si="368"/>
        <v>16.055485633484</v>
      </c>
    </row>
    <row r="676" customFormat="1" spans="1:31">
      <c r="A676" s="18"/>
      <c r="B676" s="19"/>
      <c r="C676" s="20">
        <v>240318000033</v>
      </c>
      <c r="D676" s="21">
        <v>45375</v>
      </c>
      <c r="E676" s="21" t="s">
        <v>47</v>
      </c>
      <c r="F676" s="19" t="s">
        <v>48</v>
      </c>
      <c r="G676" s="19" t="s">
        <v>471</v>
      </c>
      <c r="H676" s="19">
        <v>7</v>
      </c>
      <c r="I676" s="41">
        <v>349</v>
      </c>
      <c r="J676" s="53"/>
      <c r="K676" s="51"/>
      <c r="L676" s="53"/>
      <c r="M676" s="44"/>
      <c r="N676" s="45"/>
      <c r="O676" s="46">
        <f t="shared" ref="O676:O688" si="381">SUM(I676)</f>
        <v>349</v>
      </c>
      <c r="P676" s="48"/>
      <c r="Q676" s="48"/>
      <c r="R676" s="78">
        <f t="shared" si="373"/>
        <v>247.126131221719</v>
      </c>
      <c r="S676" s="78"/>
      <c r="T676" s="79">
        <f t="shared" si="374"/>
        <v>0.318721719457014</v>
      </c>
      <c r="U676" s="78"/>
      <c r="V676" s="78"/>
      <c r="W676" s="80">
        <f t="shared" si="372"/>
        <v>247.444852941176</v>
      </c>
      <c r="X676" s="81">
        <f t="shared" si="375"/>
        <v>4.83435520361991</v>
      </c>
      <c r="Y676" s="81"/>
      <c r="Z676" s="81"/>
      <c r="AA676" s="110">
        <f t="shared" si="369"/>
        <v>4.83435520361991</v>
      </c>
      <c r="AB676" s="90">
        <v>7.19</v>
      </c>
      <c r="AC676" s="78">
        <f t="shared" si="370"/>
        <v>34.7590139140272</v>
      </c>
      <c r="AD676" s="78">
        <f t="shared" si="367"/>
        <v>282.203866855204</v>
      </c>
      <c r="AE676" s="78">
        <f t="shared" si="368"/>
        <v>66.796133144796</v>
      </c>
    </row>
    <row r="677" customFormat="1" spans="1:31">
      <c r="A677" s="18"/>
      <c r="B677" s="19"/>
      <c r="C677" s="20">
        <v>240318000034</v>
      </c>
      <c r="D677" s="21">
        <v>45375</v>
      </c>
      <c r="E677" s="21" t="s">
        <v>44</v>
      </c>
      <c r="F677" s="19" t="s">
        <v>45</v>
      </c>
      <c r="G677" s="19" t="s">
        <v>231</v>
      </c>
      <c r="H677" s="19">
        <v>49.5</v>
      </c>
      <c r="I677" s="49"/>
      <c r="J677" s="50">
        <v>465894</v>
      </c>
      <c r="K677" s="91"/>
      <c r="L677" s="50">
        <f>SUM(J677/M677)</f>
        <v>1301.41624067711</v>
      </c>
      <c r="M677" s="52">
        <v>357.99</v>
      </c>
      <c r="N677" s="45">
        <v>7.19</v>
      </c>
      <c r="O677" s="46">
        <f>SUM(M677*N677)</f>
        <v>2573.9481</v>
      </c>
      <c r="P677" s="48"/>
      <c r="Q677" s="48"/>
      <c r="R677" s="78">
        <f t="shared" si="373"/>
        <v>1747.53478506787</v>
      </c>
      <c r="S677" s="78"/>
      <c r="T677" s="79">
        <f t="shared" si="374"/>
        <v>2.25381787330317</v>
      </c>
      <c r="U677" s="78"/>
      <c r="V677" s="78"/>
      <c r="W677" s="80">
        <f t="shared" si="372"/>
        <v>1749.78860294118</v>
      </c>
      <c r="X677" s="81">
        <f t="shared" si="375"/>
        <v>34.1857975113122</v>
      </c>
      <c r="Y677" s="81"/>
      <c r="Z677" s="81"/>
      <c r="AA677" s="110">
        <f t="shared" si="369"/>
        <v>34.1857975113122</v>
      </c>
      <c r="AB677" s="90">
        <v>7.19</v>
      </c>
      <c r="AC677" s="78">
        <f t="shared" si="370"/>
        <v>245.795884106335</v>
      </c>
      <c r="AD677" s="78">
        <f t="shared" ref="AD677:AD709" si="382">SUM(W677+AC677)</f>
        <v>1995.58448704751</v>
      </c>
      <c r="AE677" s="78">
        <f t="shared" si="368"/>
        <v>578.36361295249</v>
      </c>
    </row>
    <row r="678" customFormat="1" spans="1:31">
      <c r="A678" s="18"/>
      <c r="B678" s="19"/>
      <c r="C678" s="20">
        <v>240318000036</v>
      </c>
      <c r="D678" s="21">
        <v>45375</v>
      </c>
      <c r="E678" s="21" t="s">
        <v>44</v>
      </c>
      <c r="F678" s="19" t="s">
        <v>45</v>
      </c>
      <c r="G678" s="19" t="s">
        <v>100</v>
      </c>
      <c r="H678" s="19">
        <v>4.5</v>
      </c>
      <c r="I678" s="41">
        <v>234</v>
      </c>
      <c r="J678" s="53"/>
      <c r="K678" s="51"/>
      <c r="L678" s="53"/>
      <c r="M678" s="44"/>
      <c r="N678" s="45"/>
      <c r="O678" s="46">
        <f t="shared" si="381"/>
        <v>234</v>
      </c>
      <c r="P678" s="48"/>
      <c r="Q678" s="48"/>
      <c r="R678" s="78">
        <f t="shared" si="373"/>
        <v>158.866798642534</v>
      </c>
      <c r="S678" s="78"/>
      <c r="T678" s="79">
        <f t="shared" si="374"/>
        <v>0.204892533936652</v>
      </c>
      <c r="U678" s="78"/>
      <c r="V678" s="78"/>
      <c r="W678" s="80">
        <f t="shared" si="372"/>
        <v>159.071691176471</v>
      </c>
      <c r="X678" s="81">
        <f t="shared" si="375"/>
        <v>3.10779977375566</v>
      </c>
      <c r="Y678" s="81"/>
      <c r="Z678" s="81"/>
      <c r="AA678" s="110">
        <f t="shared" si="369"/>
        <v>3.10779977375566</v>
      </c>
      <c r="AB678" s="90">
        <v>7.19</v>
      </c>
      <c r="AC678" s="78">
        <f t="shared" si="370"/>
        <v>22.3450803733032</v>
      </c>
      <c r="AD678" s="78">
        <f t="shared" si="382"/>
        <v>181.416771549774</v>
      </c>
      <c r="AE678" s="78">
        <f t="shared" ref="AE678:AE715" si="383">SUM(O678-AD678)</f>
        <v>52.5832284502262</v>
      </c>
    </row>
    <row r="679" customFormat="1" spans="1:31">
      <c r="A679" s="18"/>
      <c r="B679" s="19"/>
      <c r="C679" s="20">
        <v>240318000037</v>
      </c>
      <c r="D679" s="21">
        <v>45375</v>
      </c>
      <c r="E679" s="21" t="s">
        <v>47</v>
      </c>
      <c r="F679" s="19" t="s">
        <v>48</v>
      </c>
      <c r="G679" s="19" t="s">
        <v>472</v>
      </c>
      <c r="H679" s="19">
        <v>82.5</v>
      </c>
      <c r="I679" s="41">
        <v>4464</v>
      </c>
      <c r="J679" s="53"/>
      <c r="K679" s="51"/>
      <c r="L679" s="53"/>
      <c r="M679" s="44"/>
      <c r="N679" s="45"/>
      <c r="O679" s="46">
        <f t="shared" si="381"/>
        <v>4464</v>
      </c>
      <c r="P679" s="48"/>
      <c r="Q679" s="48"/>
      <c r="R679" s="78">
        <f t="shared" si="373"/>
        <v>2912.55797511312</v>
      </c>
      <c r="S679" s="78"/>
      <c r="T679" s="79">
        <f t="shared" si="374"/>
        <v>3.75636312217195</v>
      </c>
      <c r="U679" s="78"/>
      <c r="V679" s="78"/>
      <c r="W679" s="80">
        <f t="shared" si="372"/>
        <v>2916.31433823529</v>
      </c>
      <c r="X679" s="81">
        <f t="shared" si="375"/>
        <v>56.9763291855204</v>
      </c>
      <c r="Y679" s="81"/>
      <c r="Z679" s="81"/>
      <c r="AA679" s="110">
        <f t="shared" ref="AA679:AA714" si="384">SUM(X679:Z679)</f>
        <v>56.9763291855204</v>
      </c>
      <c r="AB679" s="90">
        <v>7.19</v>
      </c>
      <c r="AC679" s="78">
        <f t="shared" ref="AC679:AC713" si="385">SUM(AA679*AB679)</f>
        <v>409.659806843891</v>
      </c>
      <c r="AD679" s="78">
        <f t="shared" si="382"/>
        <v>3325.97414507919</v>
      </c>
      <c r="AE679" s="78">
        <f t="shared" si="383"/>
        <v>1138.02585492081</v>
      </c>
    </row>
    <row r="680" customFormat="1" spans="1:31">
      <c r="A680" s="18"/>
      <c r="B680" s="19"/>
      <c r="C680" s="20">
        <v>240318000038</v>
      </c>
      <c r="D680" s="21">
        <v>45375</v>
      </c>
      <c r="E680" s="21" t="s">
        <v>51</v>
      </c>
      <c r="F680" s="19" t="s">
        <v>52</v>
      </c>
      <c r="G680" s="19" t="s">
        <v>473</v>
      </c>
      <c r="H680" s="19">
        <v>38.5</v>
      </c>
      <c r="I680" s="41">
        <v>1933</v>
      </c>
      <c r="J680" s="53"/>
      <c r="K680" s="51"/>
      <c r="L680" s="53"/>
      <c r="M680" s="44"/>
      <c r="N680" s="45"/>
      <c r="O680" s="46">
        <f t="shared" si="381"/>
        <v>1933</v>
      </c>
      <c r="P680" s="48"/>
      <c r="Q680" s="48"/>
      <c r="R680" s="78">
        <f t="shared" si="373"/>
        <v>1359.19372171946</v>
      </c>
      <c r="S680" s="78"/>
      <c r="T680" s="79">
        <f t="shared" si="374"/>
        <v>1.75296945701357</v>
      </c>
      <c r="U680" s="78"/>
      <c r="V680" s="78"/>
      <c r="W680" s="80">
        <f t="shared" ref="W680:W714" si="386">SUM(R680:V680)</f>
        <v>1360.94669117647</v>
      </c>
      <c r="X680" s="81">
        <f t="shared" si="375"/>
        <v>26.5889536199095</v>
      </c>
      <c r="Y680" s="81"/>
      <c r="Z680" s="81"/>
      <c r="AA680" s="110">
        <f t="shared" si="384"/>
        <v>26.5889536199095</v>
      </c>
      <c r="AB680" s="90">
        <v>7.19</v>
      </c>
      <c r="AC680" s="78">
        <f t="shared" si="385"/>
        <v>191.174576527149</v>
      </c>
      <c r="AD680" s="78">
        <f t="shared" si="382"/>
        <v>1552.12126770362</v>
      </c>
      <c r="AE680" s="78">
        <f t="shared" si="383"/>
        <v>380.87873229638</v>
      </c>
    </row>
    <row r="681" customFormat="1" spans="1:31">
      <c r="A681" s="18"/>
      <c r="B681" s="19"/>
      <c r="C681" s="20">
        <v>240318000039</v>
      </c>
      <c r="D681" s="21">
        <v>45375</v>
      </c>
      <c r="E681" s="21" t="s">
        <v>44</v>
      </c>
      <c r="F681" s="19" t="s">
        <v>45</v>
      </c>
      <c r="G681" s="19" t="s">
        <v>445</v>
      </c>
      <c r="H681" s="19">
        <v>22</v>
      </c>
      <c r="I681" s="41">
        <v>1350</v>
      </c>
      <c r="J681" s="53"/>
      <c r="K681" s="51"/>
      <c r="L681" s="53"/>
      <c r="M681" s="44"/>
      <c r="N681" s="45"/>
      <c r="O681" s="46">
        <f t="shared" si="381"/>
        <v>1350</v>
      </c>
      <c r="P681" s="48"/>
      <c r="Q681" s="48"/>
      <c r="R681" s="78">
        <f t="shared" si="373"/>
        <v>776.682126696832</v>
      </c>
      <c r="S681" s="78"/>
      <c r="T681" s="79">
        <f t="shared" si="374"/>
        <v>1.00169683257919</v>
      </c>
      <c r="U681" s="78"/>
      <c r="V681" s="78"/>
      <c r="W681" s="80">
        <f t="shared" si="386"/>
        <v>777.683823529412</v>
      </c>
      <c r="X681" s="81">
        <f t="shared" si="375"/>
        <v>15.1936877828054</v>
      </c>
      <c r="Y681" s="81"/>
      <c r="Z681" s="81"/>
      <c r="AA681" s="110">
        <f t="shared" si="384"/>
        <v>15.1936877828054</v>
      </c>
      <c r="AB681" s="90">
        <v>7.19</v>
      </c>
      <c r="AC681" s="78">
        <f t="shared" si="385"/>
        <v>109.242615158371</v>
      </c>
      <c r="AD681" s="78">
        <f t="shared" si="382"/>
        <v>886.926438687783</v>
      </c>
      <c r="AE681" s="78">
        <f t="shared" si="383"/>
        <v>463.073561312217</v>
      </c>
    </row>
    <row r="682" customFormat="1" spans="1:31">
      <c r="A682" s="18"/>
      <c r="B682" s="19"/>
      <c r="C682" s="20">
        <v>240318000040</v>
      </c>
      <c r="D682" s="21">
        <v>45375</v>
      </c>
      <c r="E682" s="21" t="s">
        <v>44</v>
      </c>
      <c r="F682" s="19" t="s">
        <v>45</v>
      </c>
      <c r="G682" s="19" t="s">
        <v>158</v>
      </c>
      <c r="H682" s="19">
        <v>6.5</v>
      </c>
      <c r="I682" s="41">
        <v>318</v>
      </c>
      <c r="J682" s="53"/>
      <c r="K682" s="51"/>
      <c r="L682" s="53"/>
      <c r="M682" s="44"/>
      <c r="N682" s="45"/>
      <c r="O682" s="46">
        <f t="shared" si="381"/>
        <v>318</v>
      </c>
      <c r="P682" s="48"/>
      <c r="Q682" s="48"/>
      <c r="R682" s="78">
        <f t="shared" ref="R682:R712" si="387">SUM(124834/3536)*H682</f>
        <v>229.474264705882</v>
      </c>
      <c r="S682" s="78"/>
      <c r="T682" s="79">
        <f t="shared" ref="T682:T712" si="388">SUM(161/3536)*H682</f>
        <v>0.295955882352941</v>
      </c>
      <c r="U682" s="78"/>
      <c r="V682" s="78"/>
      <c r="W682" s="80">
        <f t="shared" si="386"/>
        <v>229.770220588235</v>
      </c>
      <c r="X682" s="81">
        <f t="shared" ref="X682:X712" si="389">SUM(2442.04/3536)*H682</f>
        <v>4.48904411764706</v>
      </c>
      <c r="Y682" s="81"/>
      <c r="Z682" s="81"/>
      <c r="AA682" s="110">
        <f t="shared" si="384"/>
        <v>4.48904411764706</v>
      </c>
      <c r="AB682" s="90">
        <v>7.19</v>
      </c>
      <c r="AC682" s="78">
        <f t="shared" si="385"/>
        <v>32.2762272058823</v>
      </c>
      <c r="AD682" s="78">
        <f t="shared" si="382"/>
        <v>262.046447794118</v>
      </c>
      <c r="AE682" s="78">
        <f t="shared" si="383"/>
        <v>55.9535522058824</v>
      </c>
    </row>
    <row r="683" customFormat="1" spans="1:31">
      <c r="A683" s="18"/>
      <c r="B683" s="19"/>
      <c r="C683" s="20">
        <v>240318000042</v>
      </c>
      <c r="D683" s="21">
        <v>45375</v>
      </c>
      <c r="E683" s="21" t="s">
        <v>44</v>
      </c>
      <c r="F683" s="19" t="s">
        <v>45</v>
      </c>
      <c r="G683" s="19" t="s">
        <v>474</v>
      </c>
      <c r="H683" s="19">
        <v>7</v>
      </c>
      <c r="I683" s="41">
        <v>412</v>
      </c>
      <c r="J683" s="53"/>
      <c r="K683" s="51"/>
      <c r="L683" s="53"/>
      <c r="M683" s="44"/>
      <c r="N683" s="45"/>
      <c r="O683" s="46">
        <f t="shared" si="381"/>
        <v>412</v>
      </c>
      <c r="P683" s="48"/>
      <c r="Q683" s="48"/>
      <c r="R683" s="78">
        <f t="shared" si="387"/>
        <v>247.126131221719</v>
      </c>
      <c r="S683" s="78"/>
      <c r="T683" s="79">
        <f t="shared" si="388"/>
        <v>0.318721719457014</v>
      </c>
      <c r="U683" s="78"/>
      <c r="V683" s="78"/>
      <c r="W683" s="80">
        <f t="shared" si="386"/>
        <v>247.444852941176</v>
      </c>
      <c r="X683" s="81">
        <f t="shared" si="389"/>
        <v>4.83435520361991</v>
      </c>
      <c r="Y683" s="81"/>
      <c r="Z683" s="81"/>
      <c r="AA683" s="110">
        <f t="shared" si="384"/>
        <v>4.83435520361991</v>
      </c>
      <c r="AB683" s="90">
        <v>7.19</v>
      </c>
      <c r="AC683" s="78">
        <f t="shared" si="385"/>
        <v>34.7590139140272</v>
      </c>
      <c r="AD683" s="78">
        <f t="shared" si="382"/>
        <v>282.203866855204</v>
      </c>
      <c r="AE683" s="78">
        <f t="shared" si="383"/>
        <v>129.796133144796</v>
      </c>
    </row>
    <row r="684" customFormat="1" spans="1:31">
      <c r="A684" s="18"/>
      <c r="B684" s="19"/>
      <c r="C684" s="20">
        <v>240318000043</v>
      </c>
      <c r="D684" s="21">
        <v>45375</v>
      </c>
      <c r="E684" s="21" t="s">
        <v>47</v>
      </c>
      <c r="F684" s="19" t="s">
        <v>48</v>
      </c>
      <c r="G684" s="19" t="s">
        <v>135</v>
      </c>
      <c r="H684" s="19">
        <v>78.5</v>
      </c>
      <c r="I684" s="41">
        <v>3689.5</v>
      </c>
      <c r="J684" s="53"/>
      <c r="K684" s="51"/>
      <c r="L684" s="53"/>
      <c r="M684" s="44"/>
      <c r="N684" s="45"/>
      <c r="O684" s="46">
        <f t="shared" si="381"/>
        <v>3689.5</v>
      </c>
      <c r="P684" s="48"/>
      <c r="Q684" s="48"/>
      <c r="R684" s="78">
        <f t="shared" si="387"/>
        <v>2771.34304298643</v>
      </c>
      <c r="S684" s="78"/>
      <c r="T684" s="79">
        <f t="shared" si="388"/>
        <v>3.57423642533937</v>
      </c>
      <c r="U684" s="78"/>
      <c r="V684" s="78"/>
      <c r="W684" s="80">
        <f t="shared" si="386"/>
        <v>2774.91727941176</v>
      </c>
      <c r="X684" s="81">
        <f t="shared" si="389"/>
        <v>54.2138404977376</v>
      </c>
      <c r="Y684" s="81"/>
      <c r="Z684" s="81"/>
      <c r="AA684" s="110">
        <f t="shared" si="384"/>
        <v>54.2138404977376</v>
      </c>
      <c r="AB684" s="90">
        <v>7.19</v>
      </c>
      <c r="AC684" s="78">
        <f t="shared" si="385"/>
        <v>389.797513178733</v>
      </c>
      <c r="AD684" s="78">
        <f t="shared" si="382"/>
        <v>3164.7147925905</v>
      </c>
      <c r="AE684" s="78">
        <f t="shared" si="383"/>
        <v>524.785207409503</v>
      </c>
    </row>
    <row r="685" customFormat="1" spans="1:31">
      <c r="A685" s="18"/>
      <c r="B685" s="19"/>
      <c r="C685" s="20">
        <v>240318000045</v>
      </c>
      <c r="D685" s="21">
        <v>45375</v>
      </c>
      <c r="E685" s="21" t="s">
        <v>70</v>
      </c>
      <c r="F685" s="19" t="s">
        <v>70</v>
      </c>
      <c r="G685" s="19" t="s">
        <v>205</v>
      </c>
      <c r="H685" s="19">
        <v>12.5</v>
      </c>
      <c r="I685" s="41">
        <v>656</v>
      </c>
      <c r="J685" s="53"/>
      <c r="K685" s="51"/>
      <c r="L685" s="53"/>
      <c r="M685" s="44"/>
      <c r="N685" s="45"/>
      <c r="O685" s="46">
        <f t="shared" si="381"/>
        <v>656</v>
      </c>
      <c r="P685" s="48"/>
      <c r="Q685" s="48"/>
      <c r="R685" s="78">
        <f t="shared" si="387"/>
        <v>441.296662895928</v>
      </c>
      <c r="S685" s="78"/>
      <c r="T685" s="79">
        <f t="shared" si="388"/>
        <v>0.56914592760181</v>
      </c>
      <c r="U685" s="78"/>
      <c r="V685" s="78"/>
      <c r="W685" s="80">
        <f t="shared" si="386"/>
        <v>441.865808823529</v>
      </c>
      <c r="X685" s="81">
        <f t="shared" si="389"/>
        <v>8.63277714932127</v>
      </c>
      <c r="Y685" s="81"/>
      <c r="Z685" s="81"/>
      <c r="AA685" s="110">
        <f t="shared" si="384"/>
        <v>8.63277714932127</v>
      </c>
      <c r="AB685" s="90">
        <v>7.19</v>
      </c>
      <c r="AC685" s="78">
        <f t="shared" si="385"/>
        <v>62.0696677036199</v>
      </c>
      <c r="AD685" s="78">
        <f t="shared" si="382"/>
        <v>503.935476527149</v>
      </c>
      <c r="AE685" s="78">
        <f t="shared" si="383"/>
        <v>152.064523472851</v>
      </c>
    </row>
    <row r="686" customFormat="1" spans="1:31">
      <c r="A686" s="18"/>
      <c r="B686" s="19"/>
      <c r="C686" s="20">
        <v>240318000047</v>
      </c>
      <c r="D686" s="21">
        <v>45375</v>
      </c>
      <c r="E686" s="21" t="s">
        <v>70</v>
      </c>
      <c r="F686" s="19" t="s">
        <v>70</v>
      </c>
      <c r="G686" s="19" t="s">
        <v>313</v>
      </c>
      <c r="H686" s="19">
        <v>5</v>
      </c>
      <c r="I686" s="41">
        <v>278</v>
      </c>
      <c r="J686" s="53"/>
      <c r="K686" s="51"/>
      <c r="L686" s="53"/>
      <c r="M686" s="44"/>
      <c r="N686" s="45"/>
      <c r="O686" s="46">
        <f t="shared" si="381"/>
        <v>278</v>
      </c>
      <c r="P686" s="48"/>
      <c r="Q686" s="48"/>
      <c r="R686" s="78">
        <f t="shared" si="387"/>
        <v>176.518665158371</v>
      </c>
      <c r="S686" s="78"/>
      <c r="T686" s="79">
        <f t="shared" si="388"/>
        <v>0.227658371040724</v>
      </c>
      <c r="U686" s="78"/>
      <c r="V686" s="78"/>
      <c r="W686" s="80">
        <f t="shared" si="386"/>
        <v>176.746323529412</v>
      </c>
      <c r="X686" s="81">
        <f t="shared" si="389"/>
        <v>3.45311085972851</v>
      </c>
      <c r="Y686" s="81"/>
      <c r="Z686" s="81"/>
      <c r="AA686" s="110">
        <f t="shared" si="384"/>
        <v>3.45311085972851</v>
      </c>
      <c r="AB686" s="90">
        <v>7.19</v>
      </c>
      <c r="AC686" s="78">
        <f t="shared" si="385"/>
        <v>24.827867081448</v>
      </c>
      <c r="AD686" s="78">
        <f t="shared" si="382"/>
        <v>201.57419061086</v>
      </c>
      <c r="AE686" s="78">
        <f t="shared" si="383"/>
        <v>76.4258093891403</v>
      </c>
    </row>
    <row r="687" customFormat="1" spans="1:31">
      <c r="A687" s="18"/>
      <c r="B687" s="19"/>
      <c r="C687" s="20">
        <v>240318000048</v>
      </c>
      <c r="D687" s="21">
        <v>45375</v>
      </c>
      <c r="E687" s="21" t="s">
        <v>70</v>
      </c>
      <c r="F687" s="19" t="s">
        <v>70</v>
      </c>
      <c r="G687" s="19" t="s">
        <v>268</v>
      </c>
      <c r="H687" s="19">
        <v>3</v>
      </c>
      <c r="I687" s="41">
        <v>174</v>
      </c>
      <c r="J687" s="53"/>
      <c r="K687" s="51"/>
      <c r="L687" s="53"/>
      <c r="M687" s="44"/>
      <c r="N687" s="45"/>
      <c r="O687" s="46">
        <f t="shared" si="381"/>
        <v>174</v>
      </c>
      <c r="P687" s="48"/>
      <c r="Q687" s="48"/>
      <c r="R687" s="78">
        <f t="shared" si="387"/>
        <v>105.911199095023</v>
      </c>
      <c r="S687" s="78"/>
      <c r="T687" s="79">
        <f t="shared" si="388"/>
        <v>0.136595022624434</v>
      </c>
      <c r="U687" s="78"/>
      <c r="V687" s="78"/>
      <c r="W687" s="80">
        <f t="shared" si="386"/>
        <v>106.047794117647</v>
      </c>
      <c r="X687" s="81">
        <f t="shared" si="389"/>
        <v>2.0718665158371</v>
      </c>
      <c r="Y687" s="81"/>
      <c r="Z687" s="81"/>
      <c r="AA687" s="110">
        <f t="shared" si="384"/>
        <v>2.0718665158371</v>
      </c>
      <c r="AB687" s="90">
        <v>7.19</v>
      </c>
      <c r="AC687" s="78">
        <f t="shared" si="385"/>
        <v>14.8967202488688</v>
      </c>
      <c r="AD687" s="78">
        <f t="shared" si="382"/>
        <v>120.944514366516</v>
      </c>
      <c r="AE687" s="78">
        <f t="shared" si="383"/>
        <v>53.0554856334842</v>
      </c>
    </row>
    <row r="688" customFormat="1" spans="1:31">
      <c r="A688" s="18"/>
      <c r="B688" s="19"/>
      <c r="C688" s="20">
        <v>240318000052</v>
      </c>
      <c r="D688" s="21">
        <v>45375</v>
      </c>
      <c r="E688" s="21" t="s">
        <v>47</v>
      </c>
      <c r="F688" s="19" t="s">
        <v>175</v>
      </c>
      <c r="G688" s="19" t="s">
        <v>167</v>
      </c>
      <c r="H688" s="19">
        <v>14.5</v>
      </c>
      <c r="I688" s="41">
        <v>682</v>
      </c>
      <c r="J688" s="53"/>
      <c r="K688" s="51"/>
      <c r="L688" s="53"/>
      <c r="M688" s="44"/>
      <c r="N688" s="45"/>
      <c r="O688" s="46">
        <f t="shared" si="381"/>
        <v>682</v>
      </c>
      <c r="P688" s="48"/>
      <c r="Q688" s="48"/>
      <c r="R688" s="78">
        <f t="shared" si="387"/>
        <v>511.904128959276</v>
      </c>
      <c r="S688" s="78"/>
      <c r="T688" s="79">
        <f t="shared" si="388"/>
        <v>0.6602092760181</v>
      </c>
      <c r="U688" s="78"/>
      <c r="V688" s="78"/>
      <c r="W688" s="80">
        <f t="shared" si="386"/>
        <v>512.564338235294</v>
      </c>
      <c r="X688" s="81">
        <f t="shared" si="389"/>
        <v>10.0140214932127</v>
      </c>
      <c r="Y688" s="81"/>
      <c r="Z688" s="81"/>
      <c r="AA688" s="110">
        <f t="shared" si="384"/>
        <v>10.0140214932127</v>
      </c>
      <c r="AB688" s="90">
        <v>7.19</v>
      </c>
      <c r="AC688" s="78">
        <f t="shared" si="385"/>
        <v>72.0008145361991</v>
      </c>
      <c r="AD688" s="78">
        <f t="shared" si="382"/>
        <v>584.565152771493</v>
      </c>
      <c r="AE688" s="78">
        <f t="shared" si="383"/>
        <v>97.4348472285069</v>
      </c>
    </row>
    <row r="689" customFormat="1" spans="1:31">
      <c r="A689" s="18"/>
      <c r="B689" s="19"/>
      <c r="C689" s="20">
        <v>240318000055</v>
      </c>
      <c r="D689" s="21">
        <v>45375</v>
      </c>
      <c r="E689" s="21" t="s">
        <v>44</v>
      </c>
      <c r="F689" s="19" t="s">
        <v>45</v>
      </c>
      <c r="G689" s="19" t="s">
        <v>286</v>
      </c>
      <c r="H689" s="19">
        <v>73.5</v>
      </c>
      <c r="I689" s="49"/>
      <c r="J689" s="42">
        <v>639082</v>
      </c>
      <c r="K689" s="43"/>
      <c r="L689" s="50">
        <f>SUM(J689/M689)</f>
        <v>1330.17379540015</v>
      </c>
      <c r="M689" s="52">
        <v>480.45</v>
      </c>
      <c r="N689" s="45">
        <v>7.19</v>
      </c>
      <c r="O689" s="46">
        <f>SUM(M689*N689)</f>
        <v>3454.4355</v>
      </c>
      <c r="P689" s="48"/>
      <c r="Q689" s="48"/>
      <c r="R689" s="78">
        <f t="shared" si="387"/>
        <v>2594.82437782805</v>
      </c>
      <c r="S689" s="78"/>
      <c r="T689" s="79">
        <f t="shared" si="388"/>
        <v>3.34657805429864</v>
      </c>
      <c r="U689" s="78"/>
      <c r="V689" s="78"/>
      <c r="W689" s="80">
        <f t="shared" si="386"/>
        <v>2598.17095588235</v>
      </c>
      <c r="X689" s="81">
        <f t="shared" si="389"/>
        <v>50.760729638009</v>
      </c>
      <c r="Y689" s="81"/>
      <c r="Z689" s="81"/>
      <c r="AA689" s="110">
        <f t="shared" si="384"/>
        <v>50.760729638009</v>
      </c>
      <c r="AB689" s="90">
        <v>7.19</v>
      </c>
      <c r="AC689" s="78">
        <f t="shared" si="385"/>
        <v>364.969646097285</v>
      </c>
      <c r="AD689" s="78">
        <f t="shared" si="382"/>
        <v>2963.14060197964</v>
      </c>
      <c r="AE689" s="78">
        <f t="shared" si="383"/>
        <v>491.294898020362</v>
      </c>
    </row>
    <row r="690" customFormat="1" spans="1:31">
      <c r="A690" s="18"/>
      <c r="B690" s="19"/>
      <c r="C690" s="20">
        <v>240318000056</v>
      </c>
      <c r="D690" s="21">
        <v>45375</v>
      </c>
      <c r="E690" s="21" t="s">
        <v>47</v>
      </c>
      <c r="F690" s="19" t="s">
        <v>175</v>
      </c>
      <c r="G690" s="19" t="s">
        <v>167</v>
      </c>
      <c r="H690" s="19">
        <v>6</v>
      </c>
      <c r="I690" s="41">
        <v>282</v>
      </c>
      <c r="J690" s="53"/>
      <c r="K690" s="51"/>
      <c r="L690" s="53"/>
      <c r="M690" s="44"/>
      <c r="N690" s="45"/>
      <c r="O690" s="46">
        <f t="shared" ref="O690:O693" si="390">SUM(I690)</f>
        <v>282</v>
      </c>
      <c r="P690" s="48"/>
      <c r="Q690" s="48"/>
      <c r="R690" s="78">
        <f t="shared" si="387"/>
        <v>211.822398190045</v>
      </c>
      <c r="S690" s="78"/>
      <c r="T690" s="79">
        <f t="shared" si="388"/>
        <v>0.273190045248869</v>
      </c>
      <c r="U690" s="78"/>
      <c r="V690" s="78"/>
      <c r="W690" s="80">
        <f t="shared" si="386"/>
        <v>212.095588235294</v>
      </c>
      <c r="X690" s="81">
        <f t="shared" si="389"/>
        <v>4.14373303167421</v>
      </c>
      <c r="Y690" s="81"/>
      <c r="Z690" s="81"/>
      <c r="AA690" s="110">
        <f t="shared" si="384"/>
        <v>4.14373303167421</v>
      </c>
      <c r="AB690" s="90">
        <v>7.19</v>
      </c>
      <c r="AC690" s="78">
        <f t="shared" si="385"/>
        <v>29.7934404977376</v>
      </c>
      <c r="AD690" s="78">
        <f t="shared" si="382"/>
        <v>241.889028733032</v>
      </c>
      <c r="AE690" s="78">
        <f t="shared" si="383"/>
        <v>40.1109712669683</v>
      </c>
    </row>
    <row r="691" customFormat="1" spans="1:31">
      <c r="A691" s="18"/>
      <c r="B691" s="19"/>
      <c r="C691" s="20">
        <v>240318000057</v>
      </c>
      <c r="D691" s="21">
        <v>45375</v>
      </c>
      <c r="E691" s="21" t="s">
        <v>47</v>
      </c>
      <c r="F691" s="19" t="s">
        <v>175</v>
      </c>
      <c r="G691" s="19" t="s">
        <v>167</v>
      </c>
      <c r="H691" s="19">
        <v>8.5</v>
      </c>
      <c r="I691" s="41">
        <v>416.5</v>
      </c>
      <c r="J691" s="53"/>
      <c r="K691" s="51"/>
      <c r="L691" s="53"/>
      <c r="M691" s="44"/>
      <c r="N691" s="45"/>
      <c r="O691" s="46">
        <f t="shared" si="390"/>
        <v>416.5</v>
      </c>
      <c r="P691" s="48"/>
      <c r="Q691" s="48"/>
      <c r="R691" s="78">
        <f t="shared" si="387"/>
        <v>300.081730769231</v>
      </c>
      <c r="S691" s="78"/>
      <c r="T691" s="79">
        <f t="shared" si="388"/>
        <v>0.387019230769231</v>
      </c>
      <c r="U691" s="78"/>
      <c r="V691" s="78"/>
      <c r="W691" s="80">
        <f t="shared" si="386"/>
        <v>300.46875</v>
      </c>
      <c r="X691" s="81">
        <f t="shared" si="389"/>
        <v>5.87028846153846</v>
      </c>
      <c r="Y691" s="81"/>
      <c r="Z691" s="81"/>
      <c r="AA691" s="110">
        <f t="shared" si="384"/>
        <v>5.87028846153846</v>
      </c>
      <c r="AB691" s="90">
        <v>7.19</v>
      </c>
      <c r="AC691" s="78">
        <f t="shared" si="385"/>
        <v>42.2073740384615</v>
      </c>
      <c r="AD691" s="78">
        <f t="shared" si="382"/>
        <v>342.676124038462</v>
      </c>
      <c r="AE691" s="78">
        <f t="shared" si="383"/>
        <v>73.8238759615385</v>
      </c>
    </row>
    <row r="692" customFormat="1" spans="1:31">
      <c r="A692" s="18"/>
      <c r="B692" s="19"/>
      <c r="C692" s="22">
        <v>240318000058</v>
      </c>
      <c r="D692" s="23">
        <v>45375</v>
      </c>
      <c r="E692" s="21" t="s">
        <v>37</v>
      </c>
      <c r="F692" s="24" t="s">
        <v>38</v>
      </c>
      <c r="G692" s="24" t="s">
        <v>281</v>
      </c>
      <c r="H692" s="24">
        <v>2</v>
      </c>
      <c r="I692" s="41">
        <v>113</v>
      </c>
      <c r="J692" s="53"/>
      <c r="K692" s="51"/>
      <c r="L692" s="53"/>
      <c r="M692" s="44"/>
      <c r="N692" s="45"/>
      <c r="O692" s="46">
        <f t="shared" si="390"/>
        <v>113</v>
      </c>
      <c r="P692" s="48"/>
      <c r="Q692" s="48"/>
      <c r="R692" s="78">
        <f t="shared" si="387"/>
        <v>70.6074660633484</v>
      </c>
      <c r="S692" s="78"/>
      <c r="T692" s="79">
        <f t="shared" si="388"/>
        <v>0.0910633484162896</v>
      </c>
      <c r="U692" s="78"/>
      <c r="V692" s="78"/>
      <c r="W692" s="80">
        <f t="shared" si="386"/>
        <v>70.6985294117647</v>
      </c>
      <c r="X692" s="81">
        <f t="shared" si="389"/>
        <v>1.3812443438914</v>
      </c>
      <c r="Y692" s="81"/>
      <c r="Z692" s="81"/>
      <c r="AA692" s="110">
        <f t="shared" si="384"/>
        <v>1.3812443438914</v>
      </c>
      <c r="AB692" s="90">
        <v>7.19</v>
      </c>
      <c r="AC692" s="78">
        <f t="shared" si="385"/>
        <v>9.93114683257919</v>
      </c>
      <c r="AD692" s="78">
        <f t="shared" si="382"/>
        <v>80.6296762443439</v>
      </c>
      <c r="AE692" s="78">
        <f t="shared" si="383"/>
        <v>32.3703237556561</v>
      </c>
    </row>
    <row r="693" customFormat="1" spans="1:31">
      <c r="A693" s="18"/>
      <c r="B693" s="19"/>
      <c r="C693" s="20">
        <v>240318000059</v>
      </c>
      <c r="D693" s="21">
        <v>45375</v>
      </c>
      <c r="E693" s="21" t="s">
        <v>41</v>
      </c>
      <c r="F693" s="19" t="s">
        <v>42</v>
      </c>
      <c r="G693" s="19" t="s">
        <v>62</v>
      </c>
      <c r="H693" s="19">
        <v>1.5</v>
      </c>
      <c r="I693" s="41">
        <v>86</v>
      </c>
      <c r="J693" s="53"/>
      <c r="K693" s="51"/>
      <c r="L693" s="53"/>
      <c r="M693" s="44"/>
      <c r="N693" s="45"/>
      <c r="O693" s="46">
        <f t="shared" si="390"/>
        <v>86</v>
      </c>
      <c r="P693" s="48"/>
      <c r="Q693" s="48"/>
      <c r="R693" s="78">
        <f t="shared" si="387"/>
        <v>52.9555995475113</v>
      </c>
      <c r="S693" s="78"/>
      <c r="T693" s="79">
        <f t="shared" si="388"/>
        <v>0.0682975113122172</v>
      </c>
      <c r="U693" s="78"/>
      <c r="V693" s="78"/>
      <c r="W693" s="80">
        <f t="shared" si="386"/>
        <v>53.0238970588235</v>
      </c>
      <c r="X693" s="81">
        <f t="shared" si="389"/>
        <v>1.03593325791855</v>
      </c>
      <c r="Y693" s="81"/>
      <c r="Z693" s="81"/>
      <c r="AA693" s="110">
        <f t="shared" si="384"/>
        <v>1.03593325791855</v>
      </c>
      <c r="AB693" s="90">
        <v>7.19</v>
      </c>
      <c r="AC693" s="78">
        <f t="shared" si="385"/>
        <v>7.44836012443439</v>
      </c>
      <c r="AD693" s="78">
        <f t="shared" si="382"/>
        <v>60.4722571832579</v>
      </c>
      <c r="AE693" s="78">
        <f t="shared" si="383"/>
        <v>25.5277428167421</v>
      </c>
    </row>
    <row r="694" customFormat="1" spans="1:31">
      <c r="A694" s="18"/>
      <c r="B694" s="19"/>
      <c r="C694" s="20">
        <v>240318000061</v>
      </c>
      <c r="D694" s="21">
        <v>45375</v>
      </c>
      <c r="E694" s="21" t="s">
        <v>44</v>
      </c>
      <c r="F694" s="19" t="s">
        <v>45</v>
      </c>
      <c r="G694" s="19" t="s">
        <v>122</v>
      </c>
      <c r="H694" s="19">
        <v>3.5</v>
      </c>
      <c r="I694" s="49"/>
      <c r="J694" s="50">
        <v>28756</v>
      </c>
      <c r="K694" s="91"/>
      <c r="L694" s="50">
        <f t="shared" ref="L694:L696" si="391">SUM(J694/M694)</f>
        <v>1136.15171868827</v>
      </c>
      <c r="M694" s="52">
        <v>25.31</v>
      </c>
      <c r="N694" s="45">
        <v>7.19</v>
      </c>
      <c r="O694" s="46">
        <f t="shared" ref="O694:O696" si="392">SUM(M694*N694)</f>
        <v>181.9789</v>
      </c>
      <c r="P694" s="48"/>
      <c r="Q694" s="48"/>
      <c r="R694" s="78">
        <f t="shared" si="387"/>
        <v>123.56306561086</v>
      </c>
      <c r="S694" s="78"/>
      <c r="T694" s="79">
        <f t="shared" si="388"/>
        <v>0.159360859728507</v>
      </c>
      <c r="U694" s="78"/>
      <c r="V694" s="78"/>
      <c r="W694" s="80">
        <f t="shared" si="386"/>
        <v>123.722426470588</v>
      </c>
      <c r="X694" s="81">
        <f t="shared" si="389"/>
        <v>2.41717760180995</v>
      </c>
      <c r="Y694" s="81"/>
      <c r="Z694" s="81"/>
      <c r="AA694" s="110">
        <f t="shared" si="384"/>
        <v>2.41717760180995</v>
      </c>
      <c r="AB694" s="90">
        <v>7.19</v>
      </c>
      <c r="AC694" s="78">
        <f t="shared" si="385"/>
        <v>17.3795069570136</v>
      </c>
      <c r="AD694" s="78">
        <f t="shared" si="382"/>
        <v>141.101933427602</v>
      </c>
      <c r="AE694" s="78">
        <f t="shared" si="383"/>
        <v>40.8769665723982</v>
      </c>
    </row>
    <row r="695" customFormat="1" spans="1:31">
      <c r="A695" s="18"/>
      <c r="B695" s="19"/>
      <c r="C695" s="20">
        <v>240318000062</v>
      </c>
      <c r="D695" s="21">
        <v>45375</v>
      </c>
      <c r="E695" s="21" t="s">
        <v>44</v>
      </c>
      <c r="F695" s="19" t="s">
        <v>45</v>
      </c>
      <c r="G695" s="19" t="s">
        <v>133</v>
      </c>
      <c r="H695" s="19">
        <v>70</v>
      </c>
      <c r="I695" s="49"/>
      <c r="J695" s="50">
        <v>712710</v>
      </c>
      <c r="K695" s="91"/>
      <c r="L695" s="50">
        <f t="shared" si="391"/>
        <v>1294.2127149576</v>
      </c>
      <c r="M695" s="52">
        <v>550.69</v>
      </c>
      <c r="N695" s="45">
        <v>7.19</v>
      </c>
      <c r="O695" s="46">
        <f t="shared" si="392"/>
        <v>3959.4611</v>
      </c>
      <c r="P695" s="48"/>
      <c r="Q695" s="48"/>
      <c r="R695" s="78">
        <f t="shared" si="387"/>
        <v>2471.26131221719</v>
      </c>
      <c r="S695" s="78"/>
      <c r="T695" s="79">
        <f t="shared" si="388"/>
        <v>3.18721719457014</v>
      </c>
      <c r="U695" s="79">
        <v>300</v>
      </c>
      <c r="V695" s="79">
        <v>31</v>
      </c>
      <c r="W695" s="80">
        <f t="shared" si="386"/>
        <v>2805.44852941176</v>
      </c>
      <c r="X695" s="81">
        <f t="shared" si="389"/>
        <v>48.3435520361991</v>
      </c>
      <c r="Y695" s="81"/>
      <c r="Z695" s="81"/>
      <c r="AA695" s="110">
        <f t="shared" si="384"/>
        <v>48.3435520361991</v>
      </c>
      <c r="AB695" s="90">
        <v>7.19</v>
      </c>
      <c r="AC695" s="78">
        <f t="shared" si="385"/>
        <v>347.590139140272</v>
      </c>
      <c r="AD695" s="78">
        <f t="shared" si="382"/>
        <v>3153.03866855204</v>
      </c>
      <c r="AE695" s="78">
        <f t="shared" si="383"/>
        <v>806.422431447964</v>
      </c>
    </row>
    <row r="696" customFormat="1" spans="1:31">
      <c r="A696" s="18"/>
      <c r="B696" s="19"/>
      <c r="C696" s="20">
        <v>240318000064</v>
      </c>
      <c r="D696" s="21">
        <v>45375</v>
      </c>
      <c r="E696" s="21" t="s">
        <v>44</v>
      </c>
      <c r="F696" s="19" t="s">
        <v>45</v>
      </c>
      <c r="G696" s="19" t="s">
        <v>133</v>
      </c>
      <c r="H696" s="19">
        <v>297</v>
      </c>
      <c r="I696" s="49"/>
      <c r="J696" s="50">
        <v>2604420</v>
      </c>
      <c r="K696" s="91"/>
      <c r="L696" s="50">
        <f t="shared" si="391"/>
        <v>1294.20533997227</v>
      </c>
      <c r="M696" s="52">
        <v>2012.37</v>
      </c>
      <c r="N696" s="45">
        <v>7.19</v>
      </c>
      <c r="O696" s="46">
        <f t="shared" si="392"/>
        <v>14468.9403</v>
      </c>
      <c r="P696" s="48"/>
      <c r="Q696" s="48"/>
      <c r="R696" s="78">
        <f t="shared" si="387"/>
        <v>10485.2087104072</v>
      </c>
      <c r="S696" s="78"/>
      <c r="T696" s="79">
        <f t="shared" si="388"/>
        <v>13.522907239819</v>
      </c>
      <c r="U696" s="78"/>
      <c r="V696" s="78"/>
      <c r="W696" s="80">
        <f t="shared" si="386"/>
        <v>10498.7316176471</v>
      </c>
      <c r="X696" s="81">
        <f t="shared" si="389"/>
        <v>205.114785067873</v>
      </c>
      <c r="Y696" s="81"/>
      <c r="Z696" s="81"/>
      <c r="AA696" s="110">
        <f t="shared" si="384"/>
        <v>205.114785067873</v>
      </c>
      <c r="AB696" s="90">
        <v>7.19</v>
      </c>
      <c r="AC696" s="78">
        <f t="shared" si="385"/>
        <v>1474.77530463801</v>
      </c>
      <c r="AD696" s="78">
        <f t="shared" si="382"/>
        <v>11973.5069222851</v>
      </c>
      <c r="AE696" s="78">
        <f t="shared" si="383"/>
        <v>2495.43337771493</v>
      </c>
    </row>
    <row r="697" customFormat="1" spans="1:31">
      <c r="A697" s="18"/>
      <c r="B697" s="19"/>
      <c r="C697" s="20">
        <v>240318000070</v>
      </c>
      <c r="D697" s="21">
        <v>45375</v>
      </c>
      <c r="E697" s="21" t="s">
        <v>37</v>
      </c>
      <c r="F697" s="19" t="s">
        <v>38</v>
      </c>
      <c r="G697" s="19" t="s">
        <v>173</v>
      </c>
      <c r="H697" s="19">
        <v>50.5</v>
      </c>
      <c r="I697" s="41">
        <v>2756</v>
      </c>
      <c r="J697" s="53"/>
      <c r="K697" s="51"/>
      <c r="L697" s="53"/>
      <c r="M697" s="44"/>
      <c r="N697" s="45"/>
      <c r="O697" s="46">
        <f t="shared" ref="O697:O700" si="393">SUM(I697)</f>
        <v>2756</v>
      </c>
      <c r="P697" s="48"/>
      <c r="Q697" s="48"/>
      <c r="R697" s="78">
        <f t="shared" si="387"/>
        <v>1782.83851809955</v>
      </c>
      <c r="S697" s="78"/>
      <c r="T697" s="79">
        <f t="shared" si="388"/>
        <v>2.29934954751131</v>
      </c>
      <c r="U697" s="78">
        <f>SUM(60+70)</f>
        <v>130</v>
      </c>
      <c r="V697" s="78"/>
      <c r="W697" s="80">
        <f t="shared" si="386"/>
        <v>1915.13786764706</v>
      </c>
      <c r="X697" s="81">
        <f t="shared" si="389"/>
        <v>34.8764196832579</v>
      </c>
      <c r="Y697" s="81"/>
      <c r="Z697" s="81"/>
      <c r="AA697" s="110">
        <f t="shared" si="384"/>
        <v>34.8764196832579</v>
      </c>
      <c r="AB697" s="90">
        <v>7.19</v>
      </c>
      <c r="AC697" s="78">
        <f t="shared" si="385"/>
        <v>250.761457522624</v>
      </c>
      <c r="AD697" s="78">
        <f t="shared" si="382"/>
        <v>2165.89932516968</v>
      </c>
      <c r="AE697" s="78">
        <f t="shared" si="383"/>
        <v>590.100674830317</v>
      </c>
    </row>
    <row r="698" customFormat="1" spans="1:31">
      <c r="A698" s="18"/>
      <c r="B698" s="19"/>
      <c r="C698" s="20">
        <v>240318000072</v>
      </c>
      <c r="D698" s="21">
        <v>45375</v>
      </c>
      <c r="E698" s="21" t="s">
        <v>44</v>
      </c>
      <c r="F698" s="19" t="s">
        <v>45</v>
      </c>
      <c r="G698" s="19" t="s">
        <v>122</v>
      </c>
      <c r="H698" s="19">
        <v>1.5</v>
      </c>
      <c r="I698" s="49"/>
      <c r="J698" s="50">
        <v>12324</v>
      </c>
      <c r="K698" s="91"/>
      <c r="L698" s="50">
        <f t="shared" ref="L698:L704" si="394">SUM(J698/M698)</f>
        <v>1136.90036900369</v>
      </c>
      <c r="M698" s="52">
        <v>10.84</v>
      </c>
      <c r="N698" s="45">
        <v>7.19</v>
      </c>
      <c r="O698" s="46">
        <f t="shared" ref="O698:O704" si="395">SUM(M698*N698)</f>
        <v>77.9396</v>
      </c>
      <c r="P698" s="48"/>
      <c r="Q698" s="48"/>
      <c r="R698" s="78">
        <f t="shared" si="387"/>
        <v>52.9555995475113</v>
      </c>
      <c r="S698" s="78"/>
      <c r="T698" s="79">
        <f t="shared" si="388"/>
        <v>0.0682975113122172</v>
      </c>
      <c r="U698" s="78"/>
      <c r="V698" s="78"/>
      <c r="W698" s="80">
        <f t="shared" si="386"/>
        <v>53.0238970588235</v>
      </c>
      <c r="X698" s="81">
        <f t="shared" si="389"/>
        <v>1.03593325791855</v>
      </c>
      <c r="Y698" s="81"/>
      <c r="Z698" s="81"/>
      <c r="AA698" s="110">
        <f t="shared" si="384"/>
        <v>1.03593325791855</v>
      </c>
      <c r="AB698" s="90">
        <v>7.19</v>
      </c>
      <c r="AC698" s="78">
        <f t="shared" si="385"/>
        <v>7.44836012443439</v>
      </c>
      <c r="AD698" s="78">
        <f t="shared" si="382"/>
        <v>60.4722571832579</v>
      </c>
      <c r="AE698" s="78">
        <f t="shared" si="383"/>
        <v>17.4673428167421</v>
      </c>
    </row>
    <row r="699" customFormat="1" spans="1:31">
      <c r="A699" s="18"/>
      <c r="B699" s="19"/>
      <c r="C699" s="20">
        <v>240318000075</v>
      </c>
      <c r="D699" s="21">
        <v>45375</v>
      </c>
      <c r="E699" s="21" t="s">
        <v>37</v>
      </c>
      <c r="F699" s="19" t="s">
        <v>38</v>
      </c>
      <c r="G699" s="19" t="s">
        <v>125</v>
      </c>
      <c r="H699" s="19">
        <v>4</v>
      </c>
      <c r="I699" s="41">
        <v>247</v>
      </c>
      <c r="J699" s="53"/>
      <c r="K699" s="51"/>
      <c r="L699" s="53"/>
      <c r="M699" s="44"/>
      <c r="N699" s="45"/>
      <c r="O699" s="46">
        <f t="shared" si="393"/>
        <v>247</v>
      </c>
      <c r="P699" s="48"/>
      <c r="Q699" s="48"/>
      <c r="R699" s="78">
        <f t="shared" si="387"/>
        <v>141.214932126697</v>
      </c>
      <c r="S699" s="78"/>
      <c r="T699" s="79">
        <f t="shared" si="388"/>
        <v>0.182126696832579</v>
      </c>
      <c r="U699" s="78"/>
      <c r="V699" s="78"/>
      <c r="W699" s="80">
        <f t="shared" si="386"/>
        <v>141.397058823529</v>
      </c>
      <c r="X699" s="81">
        <f t="shared" si="389"/>
        <v>2.76248868778281</v>
      </c>
      <c r="Y699" s="81"/>
      <c r="Z699" s="81"/>
      <c r="AA699" s="110">
        <f t="shared" si="384"/>
        <v>2.76248868778281</v>
      </c>
      <c r="AB699" s="90">
        <v>7.19</v>
      </c>
      <c r="AC699" s="78">
        <f t="shared" si="385"/>
        <v>19.8622936651584</v>
      </c>
      <c r="AD699" s="78">
        <f t="shared" si="382"/>
        <v>161.259352488688</v>
      </c>
      <c r="AE699" s="78">
        <f t="shared" si="383"/>
        <v>85.7406475113122</v>
      </c>
    </row>
    <row r="700" customFormat="1" spans="1:31">
      <c r="A700" s="18"/>
      <c r="B700" s="19"/>
      <c r="C700" s="20">
        <v>240318000076</v>
      </c>
      <c r="D700" s="21">
        <v>45375</v>
      </c>
      <c r="E700" s="21" t="s">
        <v>41</v>
      </c>
      <c r="F700" s="19" t="s">
        <v>42</v>
      </c>
      <c r="G700" s="19" t="s">
        <v>475</v>
      </c>
      <c r="H700" s="19">
        <v>259.5</v>
      </c>
      <c r="I700" s="41">
        <v>12975</v>
      </c>
      <c r="J700" s="53"/>
      <c r="K700" s="51"/>
      <c r="L700" s="53"/>
      <c r="M700" s="44"/>
      <c r="N700" s="45"/>
      <c r="O700" s="46">
        <f t="shared" si="393"/>
        <v>12975</v>
      </c>
      <c r="P700" s="48"/>
      <c r="Q700" s="48"/>
      <c r="R700" s="78">
        <f t="shared" si="387"/>
        <v>9161.31872171946</v>
      </c>
      <c r="S700" s="78"/>
      <c r="T700" s="79">
        <f t="shared" si="388"/>
        <v>11.8154694570136</v>
      </c>
      <c r="U700" s="78"/>
      <c r="V700" s="78"/>
      <c r="W700" s="80">
        <f t="shared" si="386"/>
        <v>9173.13419117647</v>
      </c>
      <c r="X700" s="81">
        <f t="shared" si="389"/>
        <v>179.216453619909</v>
      </c>
      <c r="Y700" s="81"/>
      <c r="Z700" s="81"/>
      <c r="AA700" s="110">
        <f t="shared" si="384"/>
        <v>179.216453619909</v>
      </c>
      <c r="AB700" s="90">
        <v>7.19</v>
      </c>
      <c r="AC700" s="78">
        <f t="shared" si="385"/>
        <v>1288.56630152715</v>
      </c>
      <c r="AD700" s="78">
        <f t="shared" si="382"/>
        <v>10461.7004927036</v>
      </c>
      <c r="AE700" s="78">
        <f t="shared" si="383"/>
        <v>2513.29950729638</v>
      </c>
    </row>
    <row r="701" customFormat="1" spans="1:31">
      <c r="A701" s="18"/>
      <c r="B701" s="19"/>
      <c r="C701" s="20">
        <v>240319000001</v>
      </c>
      <c r="D701" s="21">
        <v>45375</v>
      </c>
      <c r="E701" s="21" t="s">
        <v>44</v>
      </c>
      <c r="F701" s="19" t="s">
        <v>254</v>
      </c>
      <c r="G701" s="19" t="s">
        <v>255</v>
      </c>
      <c r="H701" s="19">
        <v>3</v>
      </c>
      <c r="I701" s="46"/>
      <c r="J701" s="54">
        <v>28323</v>
      </c>
      <c r="K701" s="55"/>
      <c r="L701" s="50">
        <f t="shared" si="394"/>
        <v>1350</v>
      </c>
      <c r="M701" s="52">
        <v>20.98</v>
      </c>
      <c r="N701" s="45">
        <v>7.19</v>
      </c>
      <c r="O701" s="46">
        <f t="shared" si="395"/>
        <v>150.8462</v>
      </c>
      <c r="P701" s="48"/>
      <c r="Q701" s="48"/>
      <c r="R701" s="78">
        <f t="shared" si="387"/>
        <v>105.911199095023</v>
      </c>
      <c r="S701" s="78"/>
      <c r="T701" s="79">
        <f t="shared" si="388"/>
        <v>0.136595022624434</v>
      </c>
      <c r="U701" s="78"/>
      <c r="V701" s="78"/>
      <c r="W701" s="80">
        <f t="shared" si="386"/>
        <v>106.047794117647</v>
      </c>
      <c r="X701" s="81">
        <f t="shared" si="389"/>
        <v>2.0718665158371</v>
      </c>
      <c r="Y701" s="81"/>
      <c r="Z701" s="81"/>
      <c r="AA701" s="110">
        <f t="shared" si="384"/>
        <v>2.0718665158371</v>
      </c>
      <c r="AB701" s="90">
        <v>7.19</v>
      </c>
      <c r="AC701" s="78">
        <f t="shared" si="385"/>
        <v>14.8967202488688</v>
      </c>
      <c r="AD701" s="78">
        <f t="shared" si="382"/>
        <v>120.944514366516</v>
      </c>
      <c r="AE701" s="78">
        <f t="shared" si="383"/>
        <v>29.9016856334842</v>
      </c>
    </row>
    <row r="702" customFormat="1" spans="1:31">
      <c r="A702" s="18"/>
      <c r="B702" s="19"/>
      <c r="C702" s="20">
        <v>240319000002</v>
      </c>
      <c r="D702" s="21">
        <v>45375</v>
      </c>
      <c r="E702" s="21" t="s">
        <v>37</v>
      </c>
      <c r="F702" s="19" t="s">
        <v>38</v>
      </c>
      <c r="G702" s="19" t="s">
        <v>476</v>
      </c>
      <c r="H702" s="19">
        <v>8</v>
      </c>
      <c r="I702" s="41">
        <v>376</v>
      </c>
      <c r="J702" s="53"/>
      <c r="K702" s="51"/>
      <c r="L702" s="53"/>
      <c r="M702" s="44"/>
      <c r="N702" s="45"/>
      <c r="O702" s="46">
        <f t="shared" ref="O702:O707" si="396">SUM(I702)</f>
        <v>376</v>
      </c>
      <c r="P702" s="48"/>
      <c r="Q702" s="48"/>
      <c r="R702" s="78">
        <f t="shared" si="387"/>
        <v>282.429864253394</v>
      </c>
      <c r="S702" s="78"/>
      <c r="T702" s="79">
        <f t="shared" si="388"/>
        <v>0.364253393665158</v>
      </c>
      <c r="U702" s="78"/>
      <c r="V702" s="78"/>
      <c r="W702" s="80">
        <f t="shared" si="386"/>
        <v>282.794117647059</v>
      </c>
      <c r="X702" s="81">
        <f t="shared" si="389"/>
        <v>5.52497737556561</v>
      </c>
      <c r="Y702" s="81"/>
      <c r="Z702" s="81"/>
      <c r="AA702" s="110">
        <f t="shared" si="384"/>
        <v>5.52497737556561</v>
      </c>
      <c r="AB702" s="90">
        <v>7.19</v>
      </c>
      <c r="AC702" s="78">
        <f t="shared" si="385"/>
        <v>39.7245873303167</v>
      </c>
      <c r="AD702" s="78">
        <f t="shared" si="382"/>
        <v>322.518704977376</v>
      </c>
      <c r="AE702" s="78">
        <f t="shared" si="383"/>
        <v>53.4812950226245</v>
      </c>
    </row>
    <row r="703" customFormat="1" spans="1:31">
      <c r="A703" s="18"/>
      <c r="B703" s="19"/>
      <c r="C703" s="20">
        <v>240319000004</v>
      </c>
      <c r="D703" s="21">
        <v>45375</v>
      </c>
      <c r="E703" s="21" t="s">
        <v>44</v>
      </c>
      <c r="F703" s="19" t="s">
        <v>45</v>
      </c>
      <c r="G703" s="19" t="s">
        <v>396</v>
      </c>
      <c r="H703" s="19">
        <v>17</v>
      </c>
      <c r="I703" s="49"/>
      <c r="J703" s="50">
        <v>131750</v>
      </c>
      <c r="K703" s="91"/>
      <c r="L703" s="50">
        <f t="shared" si="394"/>
        <v>1114.5419169275</v>
      </c>
      <c r="M703" s="52">
        <v>118.21</v>
      </c>
      <c r="N703" s="45">
        <v>7.19</v>
      </c>
      <c r="O703" s="46">
        <f t="shared" si="395"/>
        <v>849.9299</v>
      </c>
      <c r="P703" s="48"/>
      <c r="Q703" s="48"/>
      <c r="R703" s="78">
        <f t="shared" si="387"/>
        <v>600.163461538462</v>
      </c>
      <c r="S703" s="78"/>
      <c r="T703" s="79">
        <f t="shared" si="388"/>
        <v>0.774038461538461</v>
      </c>
      <c r="U703" s="78"/>
      <c r="V703" s="78"/>
      <c r="W703" s="80">
        <f t="shared" si="386"/>
        <v>600.9375</v>
      </c>
      <c r="X703" s="81">
        <f t="shared" si="389"/>
        <v>11.7405769230769</v>
      </c>
      <c r="Y703" s="81"/>
      <c r="Z703" s="81"/>
      <c r="AA703" s="110">
        <f t="shared" si="384"/>
        <v>11.7405769230769</v>
      </c>
      <c r="AB703" s="90">
        <v>7.19</v>
      </c>
      <c r="AC703" s="78">
        <f t="shared" si="385"/>
        <v>84.4147480769231</v>
      </c>
      <c r="AD703" s="78">
        <f t="shared" si="382"/>
        <v>685.352248076923</v>
      </c>
      <c r="AE703" s="78">
        <f t="shared" si="383"/>
        <v>164.577651923077</v>
      </c>
    </row>
    <row r="704" customFormat="1" spans="1:31">
      <c r="A704" s="18"/>
      <c r="B704" s="19"/>
      <c r="C704" s="20">
        <v>240319000005</v>
      </c>
      <c r="D704" s="21">
        <v>45375</v>
      </c>
      <c r="E704" s="21" t="s">
        <v>44</v>
      </c>
      <c r="F704" s="19" t="s">
        <v>45</v>
      </c>
      <c r="G704" s="19" t="s">
        <v>286</v>
      </c>
      <c r="H704" s="19">
        <v>6.5</v>
      </c>
      <c r="I704" s="49"/>
      <c r="J704" s="50">
        <v>60125</v>
      </c>
      <c r="K704" s="91"/>
      <c r="L704" s="50">
        <f t="shared" si="394"/>
        <v>1330.19911504425</v>
      </c>
      <c r="M704" s="52">
        <v>45.2</v>
      </c>
      <c r="N704" s="45">
        <v>7.19</v>
      </c>
      <c r="O704" s="46">
        <f t="shared" si="395"/>
        <v>324.988</v>
      </c>
      <c r="P704" s="48"/>
      <c r="Q704" s="48"/>
      <c r="R704" s="78">
        <f t="shared" si="387"/>
        <v>229.474264705882</v>
      </c>
      <c r="S704" s="78"/>
      <c r="T704" s="79">
        <f t="shared" si="388"/>
        <v>0.295955882352941</v>
      </c>
      <c r="U704" s="78"/>
      <c r="V704" s="78"/>
      <c r="W704" s="80">
        <f t="shared" si="386"/>
        <v>229.770220588235</v>
      </c>
      <c r="X704" s="81">
        <f t="shared" si="389"/>
        <v>4.48904411764706</v>
      </c>
      <c r="Y704" s="81"/>
      <c r="Z704" s="81"/>
      <c r="AA704" s="110">
        <f t="shared" si="384"/>
        <v>4.48904411764706</v>
      </c>
      <c r="AB704" s="90">
        <v>7.19</v>
      </c>
      <c r="AC704" s="78">
        <f t="shared" si="385"/>
        <v>32.2762272058823</v>
      </c>
      <c r="AD704" s="78">
        <f t="shared" si="382"/>
        <v>262.046447794118</v>
      </c>
      <c r="AE704" s="78">
        <f t="shared" si="383"/>
        <v>62.9415522058824</v>
      </c>
    </row>
    <row r="705" customFormat="1" spans="1:31">
      <c r="A705" s="18"/>
      <c r="B705" s="19"/>
      <c r="C705" s="20">
        <v>240319000006</v>
      </c>
      <c r="D705" s="21">
        <v>45375</v>
      </c>
      <c r="E705" s="21" t="s">
        <v>44</v>
      </c>
      <c r="F705" s="19" t="s">
        <v>45</v>
      </c>
      <c r="G705" s="19" t="s">
        <v>267</v>
      </c>
      <c r="H705" s="19">
        <v>2.5</v>
      </c>
      <c r="I705" s="41">
        <v>117.5</v>
      </c>
      <c r="J705" s="53"/>
      <c r="K705" s="51"/>
      <c r="L705" s="53"/>
      <c r="M705" s="44"/>
      <c r="N705" s="45"/>
      <c r="O705" s="46">
        <f t="shared" si="396"/>
        <v>117.5</v>
      </c>
      <c r="P705" s="48"/>
      <c r="Q705" s="48"/>
      <c r="R705" s="78">
        <f t="shared" si="387"/>
        <v>88.2593325791855</v>
      </c>
      <c r="S705" s="78"/>
      <c r="T705" s="79">
        <f t="shared" si="388"/>
        <v>0.113829185520362</v>
      </c>
      <c r="U705" s="78"/>
      <c r="V705" s="78"/>
      <c r="W705" s="80">
        <f t="shared" si="386"/>
        <v>88.3731617647059</v>
      </c>
      <c r="X705" s="81">
        <f t="shared" si="389"/>
        <v>1.72655542986425</v>
      </c>
      <c r="Y705" s="81"/>
      <c r="Z705" s="81"/>
      <c r="AA705" s="110">
        <f t="shared" si="384"/>
        <v>1.72655542986425</v>
      </c>
      <c r="AB705" s="90">
        <v>7.19</v>
      </c>
      <c r="AC705" s="78">
        <f t="shared" si="385"/>
        <v>12.413933540724</v>
      </c>
      <c r="AD705" s="78">
        <f t="shared" si="382"/>
        <v>100.78709530543</v>
      </c>
      <c r="AE705" s="78">
        <f t="shared" si="383"/>
        <v>16.7129046945701</v>
      </c>
    </row>
    <row r="706" customFormat="1" spans="1:31">
      <c r="A706" s="18"/>
      <c r="B706" s="19"/>
      <c r="C706" s="20">
        <v>240319000015</v>
      </c>
      <c r="D706" s="21">
        <v>45375</v>
      </c>
      <c r="E706" s="21" t="s">
        <v>41</v>
      </c>
      <c r="F706" s="19" t="s">
        <v>161</v>
      </c>
      <c r="G706" s="19" t="s">
        <v>162</v>
      </c>
      <c r="H706" s="19">
        <v>281.5</v>
      </c>
      <c r="I706" s="46"/>
      <c r="J706" s="54">
        <v>2534773.5</v>
      </c>
      <c r="K706" s="55"/>
      <c r="L706" s="50">
        <f t="shared" ref="L706:L709" si="397">SUM(J706/M706)</f>
        <v>1350</v>
      </c>
      <c r="M706" s="52">
        <v>1877.61</v>
      </c>
      <c r="N706" s="45">
        <v>7.19</v>
      </c>
      <c r="O706" s="46">
        <f t="shared" ref="O706:O709" si="398">SUM(M706*N706)</f>
        <v>13500.0159</v>
      </c>
      <c r="P706" s="48"/>
      <c r="Q706" s="48"/>
      <c r="R706" s="78">
        <f t="shared" si="387"/>
        <v>9938.00084841629</v>
      </c>
      <c r="S706" s="78"/>
      <c r="T706" s="79">
        <f t="shared" si="388"/>
        <v>12.8171662895928</v>
      </c>
      <c r="U706" s="78"/>
      <c r="V706" s="78"/>
      <c r="W706" s="80">
        <f t="shared" si="386"/>
        <v>9950.81801470588</v>
      </c>
      <c r="X706" s="81">
        <f t="shared" si="389"/>
        <v>194.410141402715</v>
      </c>
      <c r="Y706" s="81"/>
      <c r="Z706" s="81"/>
      <c r="AA706" s="110">
        <f t="shared" si="384"/>
        <v>194.410141402715</v>
      </c>
      <c r="AB706" s="90">
        <v>7.19</v>
      </c>
      <c r="AC706" s="78">
        <f t="shared" si="385"/>
        <v>1397.80891668552</v>
      </c>
      <c r="AD706" s="78">
        <f t="shared" si="382"/>
        <v>11348.6269313914</v>
      </c>
      <c r="AE706" s="78">
        <f t="shared" si="383"/>
        <v>2151.3889686086</v>
      </c>
    </row>
    <row r="707" customFormat="1" spans="1:31">
      <c r="A707" s="18"/>
      <c r="B707" s="19"/>
      <c r="C707" s="20">
        <v>240319000019</v>
      </c>
      <c r="D707" s="21">
        <v>45375</v>
      </c>
      <c r="E707" s="21" t="s">
        <v>47</v>
      </c>
      <c r="F707" s="19" t="s">
        <v>175</v>
      </c>
      <c r="G707" s="19" t="s">
        <v>167</v>
      </c>
      <c r="H707" s="19">
        <v>31</v>
      </c>
      <c r="I707" s="41">
        <v>1869</v>
      </c>
      <c r="J707" s="53"/>
      <c r="K707" s="51"/>
      <c r="L707" s="53"/>
      <c r="M707" s="44"/>
      <c r="N707" s="45"/>
      <c r="O707" s="46">
        <f t="shared" si="396"/>
        <v>1869</v>
      </c>
      <c r="P707" s="48"/>
      <c r="Q707" s="48"/>
      <c r="R707" s="78">
        <f t="shared" si="387"/>
        <v>1094.4157239819</v>
      </c>
      <c r="S707" s="78"/>
      <c r="T707" s="79">
        <f t="shared" si="388"/>
        <v>1.41148190045249</v>
      </c>
      <c r="U707" s="78"/>
      <c r="V707" s="78"/>
      <c r="W707" s="80">
        <f t="shared" si="386"/>
        <v>1095.82720588235</v>
      </c>
      <c r="X707" s="81">
        <f t="shared" si="389"/>
        <v>21.4092873303167</v>
      </c>
      <c r="Y707" s="81"/>
      <c r="Z707" s="81"/>
      <c r="AA707" s="110">
        <f t="shared" si="384"/>
        <v>21.4092873303167</v>
      </c>
      <c r="AB707" s="90">
        <v>7.19</v>
      </c>
      <c r="AC707" s="78">
        <f t="shared" si="385"/>
        <v>153.932775904977</v>
      </c>
      <c r="AD707" s="78">
        <f t="shared" si="382"/>
        <v>1249.75998178733</v>
      </c>
      <c r="AE707" s="78">
        <f t="shared" si="383"/>
        <v>619.24001821267</v>
      </c>
    </row>
    <row r="708" customFormat="1" spans="1:31">
      <c r="A708" s="18"/>
      <c r="B708" s="19"/>
      <c r="C708" s="20">
        <v>240319000021</v>
      </c>
      <c r="D708" s="21">
        <v>45375</v>
      </c>
      <c r="E708" s="21" t="s">
        <v>44</v>
      </c>
      <c r="F708" s="19" t="s">
        <v>45</v>
      </c>
      <c r="G708" s="19" t="s">
        <v>132</v>
      </c>
      <c r="H708" s="19">
        <v>77</v>
      </c>
      <c r="I708" s="49"/>
      <c r="J708" s="50">
        <v>674446.5</v>
      </c>
      <c r="K708" s="91"/>
      <c r="L708" s="50">
        <f t="shared" si="397"/>
        <v>1315.78777946857</v>
      </c>
      <c r="M708" s="52">
        <v>512.58</v>
      </c>
      <c r="N708" s="45">
        <v>7.19</v>
      </c>
      <c r="O708" s="46">
        <f t="shared" si="398"/>
        <v>3685.4502</v>
      </c>
      <c r="P708" s="48"/>
      <c r="Q708" s="48"/>
      <c r="R708" s="78">
        <f t="shared" si="387"/>
        <v>2718.38744343891</v>
      </c>
      <c r="S708" s="78"/>
      <c r="T708" s="79">
        <f t="shared" si="388"/>
        <v>3.50593891402715</v>
      </c>
      <c r="U708" s="78">
        <f>SUM(40+50)</f>
        <v>90</v>
      </c>
      <c r="V708" s="78"/>
      <c r="W708" s="80">
        <f t="shared" si="386"/>
        <v>2811.89338235294</v>
      </c>
      <c r="X708" s="81">
        <f t="shared" si="389"/>
        <v>53.177907239819</v>
      </c>
      <c r="Y708" s="81"/>
      <c r="Z708" s="81"/>
      <c r="AA708" s="110">
        <f t="shared" si="384"/>
        <v>53.177907239819</v>
      </c>
      <c r="AB708" s="90">
        <v>7.19</v>
      </c>
      <c r="AC708" s="78">
        <f t="shared" si="385"/>
        <v>382.349153054299</v>
      </c>
      <c r="AD708" s="78">
        <f t="shared" si="382"/>
        <v>3194.24253540724</v>
      </c>
      <c r="AE708" s="78">
        <f t="shared" si="383"/>
        <v>491.20766459276</v>
      </c>
    </row>
    <row r="709" customFormat="1" spans="1:31">
      <c r="A709" s="18"/>
      <c r="B709" s="19"/>
      <c r="C709" s="20">
        <v>240319000023</v>
      </c>
      <c r="D709" s="21">
        <v>45375</v>
      </c>
      <c r="E709" s="21" t="s">
        <v>44</v>
      </c>
      <c r="F709" s="19" t="s">
        <v>45</v>
      </c>
      <c r="G709" s="19" t="s">
        <v>122</v>
      </c>
      <c r="H709" s="19">
        <v>1.5</v>
      </c>
      <c r="I709" s="49"/>
      <c r="J709" s="50">
        <v>17143</v>
      </c>
      <c r="K709" s="91"/>
      <c r="L709" s="50">
        <f t="shared" si="397"/>
        <v>1136.05036447979</v>
      </c>
      <c r="M709" s="52">
        <v>15.09</v>
      </c>
      <c r="N709" s="45">
        <v>7.19</v>
      </c>
      <c r="O709" s="46">
        <f t="shared" si="398"/>
        <v>108.4971</v>
      </c>
      <c r="P709" s="48"/>
      <c r="Q709" s="48"/>
      <c r="R709" s="78">
        <f t="shared" si="387"/>
        <v>52.9555995475113</v>
      </c>
      <c r="S709" s="78"/>
      <c r="T709" s="79">
        <f t="shared" si="388"/>
        <v>0.0682975113122172</v>
      </c>
      <c r="U709" s="78"/>
      <c r="V709" s="79">
        <v>29</v>
      </c>
      <c r="W709" s="80">
        <f t="shared" si="386"/>
        <v>82.0238970588235</v>
      </c>
      <c r="X709" s="81">
        <f t="shared" si="389"/>
        <v>1.03593325791855</v>
      </c>
      <c r="Y709" s="81"/>
      <c r="Z709" s="81"/>
      <c r="AA709" s="110">
        <f t="shared" si="384"/>
        <v>1.03593325791855</v>
      </c>
      <c r="AB709" s="90">
        <v>7.19</v>
      </c>
      <c r="AC709" s="78">
        <f t="shared" si="385"/>
        <v>7.44836012443439</v>
      </c>
      <c r="AD709" s="78">
        <f t="shared" si="382"/>
        <v>89.4722571832579</v>
      </c>
      <c r="AE709" s="78">
        <f t="shared" si="383"/>
        <v>19.0248428167421</v>
      </c>
    </row>
    <row r="710" customFormat="1" spans="1:31">
      <c r="A710" s="18"/>
      <c r="B710" s="19"/>
      <c r="C710" s="20">
        <v>240319000027</v>
      </c>
      <c r="D710" s="21">
        <v>45375</v>
      </c>
      <c r="E710" s="21" t="s">
        <v>37</v>
      </c>
      <c r="F710" s="19" t="s">
        <v>38</v>
      </c>
      <c r="G710" s="19" t="s">
        <v>39</v>
      </c>
      <c r="H710" s="19">
        <v>8</v>
      </c>
      <c r="I710" s="41">
        <v>422</v>
      </c>
      <c r="J710" s="53"/>
      <c r="K710" s="51"/>
      <c r="L710" s="53"/>
      <c r="M710" s="44"/>
      <c r="N710" s="45"/>
      <c r="O710" s="46">
        <f t="shared" ref="O710:O713" si="399">SUM(I710)</f>
        <v>422</v>
      </c>
      <c r="P710" s="48"/>
      <c r="Q710" s="48"/>
      <c r="R710" s="78">
        <f t="shared" si="387"/>
        <v>282.429864253394</v>
      </c>
      <c r="S710" s="78"/>
      <c r="T710" s="79">
        <f t="shared" si="388"/>
        <v>0.364253393665158</v>
      </c>
      <c r="U710" s="78"/>
      <c r="V710" s="78"/>
      <c r="W710" s="80">
        <f t="shared" si="386"/>
        <v>282.794117647059</v>
      </c>
      <c r="X710" s="81">
        <f t="shared" si="389"/>
        <v>5.52497737556561</v>
      </c>
      <c r="Y710" s="81"/>
      <c r="Z710" s="81"/>
      <c r="AA710" s="110">
        <f t="shared" si="384"/>
        <v>5.52497737556561</v>
      </c>
      <c r="AB710" s="90">
        <v>7.19</v>
      </c>
      <c r="AC710" s="78">
        <f t="shared" si="385"/>
        <v>39.7245873303167</v>
      </c>
      <c r="AD710" s="78">
        <f t="shared" ref="AD710:AD715" si="400">SUM(W710+AC710)</f>
        <v>322.518704977376</v>
      </c>
      <c r="AE710" s="78">
        <f t="shared" si="383"/>
        <v>99.4812950226245</v>
      </c>
    </row>
    <row r="711" customFormat="1" spans="1:31">
      <c r="A711" s="18"/>
      <c r="B711" s="19"/>
      <c r="C711" s="20">
        <v>240319000034</v>
      </c>
      <c r="D711" s="21">
        <v>45375</v>
      </c>
      <c r="E711" s="21" t="s">
        <v>44</v>
      </c>
      <c r="F711" s="19" t="s">
        <v>45</v>
      </c>
      <c r="G711" s="19" t="s">
        <v>147</v>
      </c>
      <c r="H711" s="19">
        <v>0.7425</v>
      </c>
      <c r="I711" s="41">
        <v>64</v>
      </c>
      <c r="J711" s="53"/>
      <c r="K711" s="51"/>
      <c r="L711" s="53"/>
      <c r="M711" s="44"/>
      <c r="N711" s="45"/>
      <c r="O711" s="46">
        <f t="shared" si="399"/>
        <v>64</v>
      </c>
      <c r="P711" s="48"/>
      <c r="Q711" s="48"/>
      <c r="R711" s="78">
        <f t="shared" si="387"/>
        <v>26.2130217760181</v>
      </c>
      <c r="S711" s="78"/>
      <c r="T711" s="79">
        <f t="shared" si="388"/>
        <v>0.0338072680995475</v>
      </c>
      <c r="U711" s="78"/>
      <c r="V711" s="78"/>
      <c r="W711" s="80">
        <f t="shared" si="386"/>
        <v>26.2468290441176</v>
      </c>
      <c r="X711" s="81">
        <f t="shared" si="389"/>
        <v>0.512786962669683</v>
      </c>
      <c r="Y711" s="81"/>
      <c r="Z711" s="81"/>
      <c r="AA711" s="110">
        <f t="shared" si="384"/>
        <v>0.512786962669683</v>
      </c>
      <c r="AB711" s="90">
        <v>7.19</v>
      </c>
      <c r="AC711" s="78">
        <f t="shared" si="385"/>
        <v>3.68693826159502</v>
      </c>
      <c r="AD711" s="78">
        <f t="shared" si="400"/>
        <v>29.9337673057127</v>
      </c>
      <c r="AE711" s="78">
        <f t="shared" si="383"/>
        <v>34.0662326942873</v>
      </c>
    </row>
    <row r="712" customFormat="1" spans="1:31">
      <c r="A712" s="18"/>
      <c r="B712" s="19"/>
      <c r="C712" s="20">
        <v>240320000009</v>
      </c>
      <c r="D712" s="21">
        <v>45375</v>
      </c>
      <c r="E712" s="21" t="s">
        <v>70</v>
      </c>
      <c r="F712" s="19" t="s">
        <v>70</v>
      </c>
      <c r="G712" s="19" t="s">
        <v>177</v>
      </c>
      <c r="H712" s="19">
        <v>50</v>
      </c>
      <c r="I712" s="46"/>
      <c r="J712" s="54">
        <v>573700</v>
      </c>
      <c r="K712" s="55"/>
      <c r="L712" s="50">
        <f t="shared" ref="L712:L716" si="401">SUM(J712/M712)</f>
        <v>1350.10472313087</v>
      </c>
      <c r="M712" s="52">
        <v>424.93</v>
      </c>
      <c r="N712" s="45">
        <v>7.19</v>
      </c>
      <c r="O712" s="46">
        <f t="shared" ref="O712:O716" si="402">SUM(M712*N712)</f>
        <v>3055.2467</v>
      </c>
      <c r="P712" s="58"/>
      <c r="Q712" s="58"/>
      <c r="R712" s="78">
        <f t="shared" si="387"/>
        <v>1765.18665158371</v>
      </c>
      <c r="S712" s="78"/>
      <c r="T712" s="79">
        <f t="shared" si="388"/>
        <v>2.27658371040724</v>
      </c>
      <c r="U712" s="78"/>
      <c r="V712" s="78"/>
      <c r="W712" s="80">
        <f t="shared" si="386"/>
        <v>1767.46323529412</v>
      </c>
      <c r="X712" s="81">
        <f t="shared" si="389"/>
        <v>34.5311085972851</v>
      </c>
      <c r="Y712" s="81"/>
      <c r="Z712" s="81"/>
      <c r="AA712" s="110">
        <f t="shared" si="384"/>
        <v>34.5311085972851</v>
      </c>
      <c r="AB712" s="90">
        <v>7.19</v>
      </c>
      <c r="AC712" s="78">
        <f t="shared" si="385"/>
        <v>248.27867081448</v>
      </c>
      <c r="AD712" s="78">
        <f t="shared" si="400"/>
        <v>2015.7419061086</v>
      </c>
      <c r="AE712" s="78">
        <f t="shared" si="383"/>
        <v>1039.5047938914</v>
      </c>
    </row>
    <row r="713" customFormat="1" spans="1:31">
      <c r="A713" s="18" t="s">
        <v>477</v>
      </c>
      <c r="B713" s="19" t="s">
        <v>478</v>
      </c>
      <c r="C713" s="20">
        <v>240226000042</v>
      </c>
      <c r="D713" s="21">
        <v>45376</v>
      </c>
      <c r="E713" s="21" t="s">
        <v>44</v>
      </c>
      <c r="F713" s="19" t="s">
        <v>45</v>
      </c>
      <c r="G713" s="19" t="s">
        <v>178</v>
      </c>
      <c r="H713" s="19">
        <v>2</v>
      </c>
      <c r="I713" s="41">
        <v>84</v>
      </c>
      <c r="J713" s="53"/>
      <c r="K713" s="51"/>
      <c r="L713" s="53"/>
      <c r="M713" s="44"/>
      <c r="N713" s="45"/>
      <c r="O713" s="46">
        <f t="shared" si="399"/>
        <v>84</v>
      </c>
      <c r="P713" s="47">
        <f>SUM(O713:O715)</f>
        <v>345.572203595</v>
      </c>
      <c r="Q713" s="47" t="s">
        <v>479</v>
      </c>
      <c r="R713" s="78">
        <f>SUM(34.5*H713)</f>
        <v>69</v>
      </c>
      <c r="S713" s="78"/>
      <c r="T713" s="78">
        <v>0</v>
      </c>
      <c r="U713" s="78"/>
      <c r="V713" s="78"/>
      <c r="W713" s="80">
        <f t="shared" si="386"/>
        <v>69</v>
      </c>
      <c r="X713" s="81">
        <f>SUM(0.7*H713)</f>
        <v>1.4</v>
      </c>
      <c r="Y713" s="81"/>
      <c r="Z713" s="81"/>
      <c r="AA713" s="110">
        <f t="shared" si="384"/>
        <v>1.4</v>
      </c>
      <c r="AB713" s="90">
        <v>7.19</v>
      </c>
      <c r="AC713" s="78">
        <f t="shared" si="385"/>
        <v>10.066</v>
      </c>
      <c r="AD713" s="78">
        <f t="shared" si="400"/>
        <v>79.066</v>
      </c>
      <c r="AE713" s="78">
        <f t="shared" si="383"/>
        <v>4.934</v>
      </c>
    </row>
    <row r="714" customFormat="1" spans="1:31">
      <c r="A714" s="18"/>
      <c r="B714" s="19"/>
      <c r="C714" s="20">
        <v>240229000019</v>
      </c>
      <c r="D714" s="21">
        <v>45376</v>
      </c>
      <c r="E714" s="21" t="s">
        <v>44</v>
      </c>
      <c r="F714" s="19" t="s">
        <v>346</v>
      </c>
      <c r="G714" s="19" t="s">
        <v>346</v>
      </c>
      <c r="H714" s="19">
        <v>1.5</v>
      </c>
      <c r="I714" s="46"/>
      <c r="J714" s="54">
        <v>14125</v>
      </c>
      <c r="K714" s="55"/>
      <c r="L714" s="50">
        <f>SUM(J714/M714)</f>
        <v>1489.97882436821</v>
      </c>
      <c r="M714" s="52">
        <v>9.4800005</v>
      </c>
      <c r="N714" s="45">
        <v>7.19</v>
      </c>
      <c r="O714" s="46">
        <f t="shared" si="402"/>
        <v>68.161203595</v>
      </c>
      <c r="P714" s="48"/>
      <c r="Q714" s="48"/>
      <c r="R714" s="78">
        <f>SUM(34.5*H714)</f>
        <v>51.75</v>
      </c>
      <c r="S714" s="78"/>
      <c r="T714" s="78">
        <v>0</v>
      </c>
      <c r="U714" s="78"/>
      <c r="V714" s="78"/>
      <c r="W714" s="80">
        <f t="shared" si="386"/>
        <v>51.75</v>
      </c>
      <c r="X714" s="81">
        <f>SUM(0.7*H714)</f>
        <v>1.05</v>
      </c>
      <c r="Y714" s="81"/>
      <c r="Z714" s="81"/>
      <c r="AA714" s="110">
        <f t="shared" si="384"/>
        <v>1.05</v>
      </c>
      <c r="AB714" s="90">
        <v>7.19</v>
      </c>
      <c r="AC714" s="78">
        <f t="shared" ref="AC714:AC745" si="403">SUM(AA714*AB714)</f>
        <v>7.5495</v>
      </c>
      <c r="AD714" s="78">
        <f t="shared" si="400"/>
        <v>59.2995</v>
      </c>
      <c r="AE714" s="78">
        <f t="shared" si="383"/>
        <v>8.861703595</v>
      </c>
    </row>
    <row r="715" customFormat="1" spans="1:31">
      <c r="A715" s="18"/>
      <c r="B715" s="19"/>
      <c r="C715" s="20">
        <v>240304000010</v>
      </c>
      <c r="D715" s="21">
        <v>45376</v>
      </c>
      <c r="E715" s="21" t="s">
        <v>44</v>
      </c>
      <c r="F715" s="19" t="s">
        <v>45</v>
      </c>
      <c r="G715" s="19" t="s">
        <v>101</v>
      </c>
      <c r="H715" s="19">
        <v>4</v>
      </c>
      <c r="I715" s="46"/>
      <c r="J715" s="54">
        <v>40081</v>
      </c>
      <c r="K715" s="55"/>
      <c r="L715" s="50">
        <f t="shared" si="401"/>
        <v>1490</v>
      </c>
      <c r="M715" s="52">
        <v>26.9</v>
      </c>
      <c r="N715" s="45">
        <v>7.19</v>
      </c>
      <c r="O715" s="46">
        <f t="shared" si="402"/>
        <v>193.411</v>
      </c>
      <c r="P715" s="58"/>
      <c r="Q715" s="58"/>
      <c r="R715" s="78">
        <f>SUM(34.5*H715)</f>
        <v>138</v>
      </c>
      <c r="S715" s="78"/>
      <c r="T715" s="78">
        <v>0</v>
      </c>
      <c r="U715" s="78"/>
      <c r="V715" s="78"/>
      <c r="W715" s="80">
        <f t="shared" ref="W715:W745" si="404">SUM(R715:V715)</f>
        <v>138</v>
      </c>
      <c r="X715" s="81">
        <f>SUM(0.7*H715)</f>
        <v>2.8</v>
      </c>
      <c r="Y715" s="81"/>
      <c r="Z715" s="81"/>
      <c r="AA715" s="110">
        <f t="shared" ref="AA715:AA745" si="405">SUM(X715:Z715)</f>
        <v>2.8</v>
      </c>
      <c r="AB715" s="90">
        <v>7.19</v>
      </c>
      <c r="AC715" s="78">
        <f t="shared" si="403"/>
        <v>20.132</v>
      </c>
      <c r="AD715" s="78">
        <f t="shared" ref="AD715:AD745" si="406">SUM(W715+AC715)</f>
        <v>158.132</v>
      </c>
      <c r="AE715" s="78">
        <f t="shared" si="383"/>
        <v>35.279</v>
      </c>
    </row>
    <row r="716" customFormat="1" spans="1:31">
      <c r="A716" s="18" t="s">
        <v>480</v>
      </c>
      <c r="B716" s="19" t="s">
        <v>481</v>
      </c>
      <c r="C716" s="20">
        <v>240319000020</v>
      </c>
      <c r="D716" s="21">
        <v>45377</v>
      </c>
      <c r="E716" s="21" t="s">
        <v>37</v>
      </c>
      <c r="F716" s="19" t="s">
        <v>38</v>
      </c>
      <c r="G716" s="19" t="s">
        <v>482</v>
      </c>
      <c r="H716" s="19">
        <v>8.5</v>
      </c>
      <c r="I716" s="49"/>
      <c r="J716" s="137">
        <v>90182</v>
      </c>
      <c r="K716" s="138"/>
      <c r="L716" s="50">
        <f t="shared" si="401"/>
        <v>1315.94921932001</v>
      </c>
      <c r="M716" s="52">
        <v>68.53</v>
      </c>
      <c r="N716" s="45">
        <v>7.19</v>
      </c>
      <c r="O716" s="46">
        <f t="shared" si="402"/>
        <v>492.7307</v>
      </c>
      <c r="P716" s="47">
        <f>SUM(O716:O745)</f>
        <v>117043.563</v>
      </c>
      <c r="Q716" s="47" t="s">
        <v>40</v>
      </c>
      <c r="R716" s="78">
        <f>SUM(83990.5/2041)*H716</f>
        <v>349.788951494366</v>
      </c>
      <c r="S716" s="78"/>
      <c r="T716" s="79">
        <f>SUM(120/2041)*H716</f>
        <v>0.499755022048016</v>
      </c>
      <c r="U716" s="78"/>
      <c r="V716" s="78"/>
      <c r="W716" s="80">
        <f t="shared" si="404"/>
        <v>350.288706516414</v>
      </c>
      <c r="X716" s="81">
        <f>SUM(1529.88/2041)*H716</f>
        <v>6.37137677609015</v>
      </c>
      <c r="Y716" s="81"/>
      <c r="Z716" s="81"/>
      <c r="AA716" s="110">
        <f t="shared" si="405"/>
        <v>6.37137677609015</v>
      </c>
      <c r="AB716" s="90">
        <v>7.19</v>
      </c>
      <c r="AC716" s="78">
        <f t="shared" si="403"/>
        <v>45.8101990200882</v>
      </c>
      <c r="AD716" s="78">
        <f t="shared" si="406"/>
        <v>396.098905536502</v>
      </c>
      <c r="AE716" s="78">
        <f t="shared" ref="AE716:AE745" si="407">SUM(O716-AD716)</f>
        <v>96.6317944634983</v>
      </c>
    </row>
    <row r="717" customFormat="1" spans="1:31">
      <c r="A717" s="18"/>
      <c r="B717" s="19"/>
      <c r="C717" s="20">
        <v>240320000017</v>
      </c>
      <c r="D717" s="21">
        <v>45377</v>
      </c>
      <c r="E717" s="21" t="s">
        <v>47</v>
      </c>
      <c r="F717" s="19" t="s">
        <v>48</v>
      </c>
      <c r="G717" s="19" t="s">
        <v>68</v>
      </c>
      <c r="H717" s="19">
        <v>480.5</v>
      </c>
      <c r="I717" s="41">
        <v>33735</v>
      </c>
      <c r="J717" s="139"/>
      <c r="K717" s="140"/>
      <c r="L717" s="139"/>
      <c r="M717" s="44"/>
      <c r="N717" s="45"/>
      <c r="O717" s="46">
        <f t="shared" ref="O716:O719" si="408">SUM(I717)</f>
        <v>33735</v>
      </c>
      <c r="P717" s="48"/>
      <c r="Q717" s="48"/>
      <c r="R717" s="78">
        <f t="shared" ref="R717:R745" si="409">SUM(83990.5/2041)*H717</f>
        <v>19773.3636697697</v>
      </c>
      <c r="S717" s="78"/>
      <c r="T717" s="79">
        <f t="shared" ref="T717:T745" si="410">SUM(120/2041)*H717</f>
        <v>28.2508574228319</v>
      </c>
      <c r="U717" s="79">
        <v>100</v>
      </c>
      <c r="V717" s="78"/>
      <c r="W717" s="80">
        <f t="shared" si="404"/>
        <v>19901.6145271926</v>
      </c>
      <c r="X717" s="81">
        <f t="shared" ref="X717:X745" si="411">SUM(1529.88/2041)*H717</f>
        <v>360.170181283684</v>
      </c>
      <c r="Y717" s="81"/>
      <c r="Z717" s="81"/>
      <c r="AA717" s="110">
        <f t="shared" si="405"/>
        <v>360.170181283684</v>
      </c>
      <c r="AB717" s="90">
        <v>7.19</v>
      </c>
      <c r="AC717" s="78">
        <f t="shared" si="403"/>
        <v>2589.62360342969</v>
      </c>
      <c r="AD717" s="78">
        <f t="shared" si="406"/>
        <v>22491.2381306222</v>
      </c>
      <c r="AE717" s="78">
        <f t="shared" si="407"/>
        <v>11243.7618693778</v>
      </c>
    </row>
    <row r="718" customFormat="1" spans="1:31">
      <c r="A718" s="18"/>
      <c r="B718" s="19"/>
      <c r="C718" s="20">
        <v>240320000019</v>
      </c>
      <c r="D718" s="21">
        <v>45377</v>
      </c>
      <c r="E718" s="21" t="s">
        <v>47</v>
      </c>
      <c r="F718" s="19" t="s">
        <v>48</v>
      </c>
      <c r="G718" s="19" t="s">
        <v>483</v>
      </c>
      <c r="H718" s="19">
        <v>1.5</v>
      </c>
      <c r="I718" s="41">
        <v>169.5</v>
      </c>
      <c r="J718" s="139"/>
      <c r="K718" s="140"/>
      <c r="L718" s="139"/>
      <c r="M718" s="44"/>
      <c r="N718" s="45"/>
      <c r="O718" s="46">
        <f t="shared" si="408"/>
        <v>169.5</v>
      </c>
      <c r="P718" s="48"/>
      <c r="Q718" s="48"/>
      <c r="R718" s="78">
        <f t="shared" si="409"/>
        <v>61.7274620284174</v>
      </c>
      <c r="S718" s="78"/>
      <c r="T718" s="79">
        <f t="shared" si="410"/>
        <v>0.0881920627143557</v>
      </c>
      <c r="U718" s="78"/>
      <c r="V718" s="78"/>
      <c r="W718" s="80">
        <f t="shared" si="404"/>
        <v>61.8156540911318</v>
      </c>
      <c r="X718" s="81">
        <f t="shared" si="411"/>
        <v>1.12436060754532</v>
      </c>
      <c r="Y718" s="81"/>
      <c r="Z718" s="81"/>
      <c r="AA718" s="110">
        <f t="shared" si="405"/>
        <v>1.12436060754532</v>
      </c>
      <c r="AB718" s="90">
        <v>7.19</v>
      </c>
      <c r="AC718" s="78">
        <f t="shared" si="403"/>
        <v>8.08415276825086</v>
      </c>
      <c r="AD718" s="78">
        <f t="shared" si="406"/>
        <v>69.8998068593827</v>
      </c>
      <c r="AE718" s="78">
        <f t="shared" si="407"/>
        <v>99.6001931406173</v>
      </c>
    </row>
    <row r="719" customFormat="1" spans="1:31">
      <c r="A719" s="18"/>
      <c r="B719" s="19"/>
      <c r="C719" s="20">
        <v>240320000024</v>
      </c>
      <c r="D719" s="21">
        <v>45377</v>
      </c>
      <c r="E719" s="21" t="s">
        <v>51</v>
      </c>
      <c r="F719" s="19" t="s">
        <v>65</v>
      </c>
      <c r="G719" s="19" t="s">
        <v>484</v>
      </c>
      <c r="H719" s="19">
        <v>0.75</v>
      </c>
      <c r="I719" s="41">
        <v>118.5</v>
      </c>
      <c r="J719" s="139"/>
      <c r="K719" s="140"/>
      <c r="L719" s="139"/>
      <c r="M719" s="44"/>
      <c r="N719" s="45"/>
      <c r="O719" s="46">
        <f t="shared" si="408"/>
        <v>118.5</v>
      </c>
      <c r="P719" s="48"/>
      <c r="Q719" s="48"/>
      <c r="R719" s="78">
        <f t="shared" si="409"/>
        <v>30.8637310142087</v>
      </c>
      <c r="S719" s="78"/>
      <c r="T719" s="79">
        <f t="shared" si="410"/>
        <v>0.0440960313571779</v>
      </c>
      <c r="U719" s="78"/>
      <c r="V719" s="78"/>
      <c r="W719" s="80">
        <f t="shared" si="404"/>
        <v>30.9078270455659</v>
      </c>
      <c r="X719" s="81">
        <f t="shared" si="411"/>
        <v>0.56218030377266</v>
      </c>
      <c r="Y719" s="81"/>
      <c r="Z719" s="81"/>
      <c r="AA719" s="110">
        <f t="shared" si="405"/>
        <v>0.56218030377266</v>
      </c>
      <c r="AB719" s="90">
        <v>7.19</v>
      </c>
      <c r="AC719" s="78">
        <f t="shared" si="403"/>
        <v>4.04207638412543</v>
      </c>
      <c r="AD719" s="78">
        <f t="shared" si="406"/>
        <v>34.9499034296913</v>
      </c>
      <c r="AE719" s="78">
        <f t="shared" si="407"/>
        <v>83.5500965703087</v>
      </c>
    </row>
    <row r="720" customFormat="1" spans="1:31">
      <c r="A720" s="18"/>
      <c r="B720" s="19"/>
      <c r="C720" s="20">
        <v>240321000002</v>
      </c>
      <c r="D720" s="21">
        <v>45377</v>
      </c>
      <c r="E720" s="21" t="s">
        <v>41</v>
      </c>
      <c r="F720" s="19" t="s">
        <v>42</v>
      </c>
      <c r="G720" s="19" t="s">
        <v>468</v>
      </c>
      <c r="H720" s="19">
        <v>12</v>
      </c>
      <c r="I720" s="49"/>
      <c r="J720" s="137">
        <v>128100</v>
      </c>
      <c r="K720" s="138"/>
      <c r="L720" s="50">
        <f>SUM(J720/M720)</f>
        <v>1258.34970530452</v>
      </c>
      <c r="M720" s="52">
        <v>101.8</v>
      </c>
      <c r="N720" s="45">
        <v>7.19</v>
      </c>
      <c r="O720" s="46">
        <f>SUM(M720*N720)</f>
        <v>731.942</v>
      </c>
      <c r="P720" s="48"/>
      <c r="Q720" s="48"/>
      <c r="R720" s="78">
        <f t="shared" si="409"/>
        <v>493.81969622734</v>
      </c>
      <c r="S720" s="78"/>
      <c r="T720" s="79">
        <f t="shared" si="410"/>
        <v>0.705536501714846</v>
      </c>
      <c r="U720" s="78"/>
      <c r="V720" s="78"/>
      <c r="W720" s="80">
        <f t="shared" si="404"/>
        <v>494.525232729054</v>
      </c>
      <c r="X720" s="81">
        <f t="shared" si="411"/>
        <v>8.99488486036257</v>
      </c>
      <c r="Y720" s="81"/>
      <c r="Z720" s="81"/>
      <c r="AA720" s="110">
        <f t="shared" si="405"/>
        <v>8.99488486036257</v>
      </c>
      <c r="AB720" s="90">
        <v>7.19</v>
      </c>
      <c r="AC720" s="78">
        <f t="shared" si="403"/>
        <v>64.6732221460069</v>
      </c>
      <c r="AD720" s="78">
        <f t="shared" si="406"/>
        <v>559.198454875061</v>
      </c>
      <c r="AE720" s="78">
        <f t="shared" si="407"/>
        <v>172.743545124939</v>
      </c>
    </row>
    <row r="721" customFormat="1" spans="1:31">
      <c r="A721" s="18"/>
      <c r="B721" s="19"/>
      <c r="C721" s="20">
        <v>240321000003</v>
      </c>
      <c r="D721" s="21">
        <v>45377</v>
      </c>
      <c r="E721" s="21" t="s">
        <v>41</v>
      </c>
      <c r="F721" s="19" t="s">
        <v>42</v>
      </c>
      <c r="G721" s="19" t="s">
        <v>468</v>
      </c>
      <c r="H721" s="19">
        <v>6</v>
      </c>
      <c r="I721" s="49"/>
      <c r="J721" s="137">
        <v>64050</v>
      </c>
      <c r="K721" s="138"/>
      <c r="L721" s="50">
        <f>SUM(J721/M721)</f>
        <v>1258.34970530452</v>
      </c>
      <c r="M721" s="52">
        <v>50.9</v>
      </c>
      <c r="N721" s="45">
        <v>7.19</v>
      </c>
      <c r="O721" s="46">
        <f>SUM(M721*N721)</f>
        <v>365.971</v>
      </c>
      <c r="P721" s="48"/>
      <c r="Q721" s="48"/>
      <c r="R721" s="78">
        <f t="shared" si="409"/>
        <v>246.90984811367</v>
      </c>
      <c r="S721" s="78"/>
      <c r="T721" s="79">
        <f t="shared" si="410"/>
        <v>0.352768250857423</v>
      </c>
      <c r="U721" s="78"/>
      <c r="V721" s="78"/>
      <c r="W721" s="80">
        <f t="shared" si="404"/>
        <v>247.262616364527</v>
      </c>
      <c r="X721" s="81">
        <f t="shared" si="411"/>
        <v>4.49744243018128</v>
      </c>
      <c r="Y721" s="81"/>
      <c r="Z721" s="81"/>
      <c r="AA721" s="110">
        <f t="shared" si="405"/>
        <v>4.49744243018128</v>
      </c>
      <c r="AB721" s="90">
        <v>7.19</v>
      </c>
      <c r="AC721" s="78">
        <f t="shared" si="403"/>
        <v>32.3366110730034</v>
      </c>
      <c r="AD721" s="78">
        <f t="shared" si="406"/>
        <v>279.599227437531</v>
      </c>
      <c r="AE721" s="78">
        <f t="shared" si="407"/>
        <v>86.3717725624693</v>
      </c>
    </row>
    <row r="722" customFormat="1" spans="1:31">
      <c r="A722" s="18"/>
      <c r="B722" s="19"/>
      <c r="C722" s="20">
        <v>240321000005</v>
      </c>
      <c r="D722" s="21">
        <v>45377</v>
      </c>
      <c r="E722" s="21" t="s">
        <v>37</v>
      </c>
      <c r="F722" s="19" t="s">
        <v>38</v>
      </c>
      <c r="G722" s="19" t="s">
        <v>257</v>
      </c>
      <c r="H722" s="19">
        <v>9.5</v>
      </c>
      <c r="I722" s="41">
        <v>642</v>
      </c>
      <c r="J722" s="139"/>
      <c r="K722" s="140"/>
      <c r="L722" s="139"/>
      <c r="M722" s="44"/>
      <c r="N722" s="45"/>
      <c r="O722" s="46">
        <f t="shared" ref="O722:O725" si="412">SUM(I722)</f>
        <v>642</v>
      </c>
      <c r="P722" s="48"/>
      <c r="Q722" s="48"/>
      <c r="R722" s="78">
        <f t="shared" si="409"/>
        <v>390.940592846644</v>
      </c>
      <c r="S722" s="78"/>
      <c r="T722" s="79">
        <f t="shared" si="410"/>
        <v>0.558549730524253</v>
      </c>
      <c r="U722" s="78">
        <v>30</v>
      </c>
      <c r="V722" s="78"/>
      <c r="W722" s="80">
        <f t="shared" si="404"/>
        <v>421.499142577168</v>
      </c>
      <c r="X722" s="81">
        <f t="shared" si="411"/>
        <v>7.1209505144537</v>
      </c>
      <c r="Y722" s="81"/>
      <c r="Z722" s="81"/>
      <c r="AA722" s="110">
        <f t="shared" si="405"/>
        <v>7.1209505144537</v>
      </c>
      <c r="AB722" s="90">
        <v>7.19</v>
      </c>
      <c r="AC722" s="78">
        <f t="shared" si="403"/>
        <v>51.1996341989221</v>
      </c>
      <c r="AD722" s="78">
        <f t="shared" si="406"/>
        <v>472.69877677609</v>
      </c>
      <c r="AE722" s="78">
        <f t="shared" si="407"/>
        <v>169.30122322391</v>
      </c>
    </row>
    <row r="723" customFormat="1" spans="1:31">
      <c r="A723" s="18"/>
      <c r="B723" s="19"/>
      <c r="C723" s="20">
        <v>240321000006</v>
      </c>
      <c r="D723" s="21">
        <v>45377</v>
      </c>
      <c r="E723" s="21" t="s">
        <v>37</v>
      </c>
      <c r="F723" s="19" t="s">
        <v>38</v>
      </c>
      <c r="G723" s="19" t="s">
        <v>476</v>
      </c>
      <c r="H723" s="19">
        <v>160</v>
      </c>
      <c r="I723" s="41">
        <v>8640</v>
      </c>
      <c r="J723" s="139"/>
      <c r="K723" s="140"/>
      <c r="L723" s="139"/>
      <c r="M723" s="44"/>
      <c r="N723" s="45"/>
      <c r="O723" s="46">
        <f t="shared" si="412"/>
        <v>8640</v>
      </c>
      <c r="P723" s="48"/>
      <c r="Q723" s="48"/>
      <c r="R723" s="78">
        <f t="shared" si="409"/>
        <v>6584.26261636453</v>
      </c>
      <c r="S723" s="78"/>
      <c r="T723" s="79">
        <f t="shared" si="410"/>
        <v>9.40715335619794</v>
      </c>
      <c r="U723" s="78"/>
      <c r="V723" s="78"/>
      <c r="W723" s="80">
        <f t="shared" si="404"/>
        <v>6593.66976972073</v>
      </c>
      <c r="X723" s="81">
        <f t="shared" si="411"/>
        <v>119.931798138168</v>
      </c>
      <c r="Y723" s="81"/>
      <c r="Z723" s="81"/>
      <c r="AA723" s="110">
        <f t="shared" si="405"/>
        <v>119.931798138168</v>
      </c>
      <c r="AB723" s="90">
        <v>7.19</v>
      </c>
      <c r="AC723" s="78">
        <f t="shared" si="403"/>
        <v>862.309628613425</v>
      </c>
      <c r="AD723" s="78">
        <f t="shared" si="406"/>
        <v>7455.97939833415</v>
      </c>
      <c r="AE723" s="78">
        <f t="shared" si="407"/>
        <v>1184.02060166585</v>
      </c>
    </row>
    <row r="724" customFormat="1" spans="1:31">
      <c r="A724" s="18"/>
      <c r="B724" s="19"/>
      <c r="C724" s="20">
        <v>240321000007</v>
      </c>
      <c r="D724" s="21">
        <v>45377</v>
      </c>
      <c r="E724" s="21" t="s">
        <v>47</v>
      </c>
      <c r="F724" s="19" t="s">
        <v>48</v>
      </c>
      <c r="G724" s="19" t="s">
        <v>485</v>
      </c>
      <c r="H724" s="19">
        <v>21.5</v>
      </c>
      <c r="I724" s="41">
        <v>1191.3</v>
      </c>
      <c r="J724" s="139"/>
      <c r="K724" s="140"/>
      <c r="L724" s="139"/>
      <c r="M724" s="44"/>
      <c r="N724" s="45"/>
      <c r="O724" s="46">
        <f t="shared" si="412"/>
        <v>1191.3</v>
      </c>
      <c r="P724" s="48"/>
      <c r="Q724" s="48"/>
      <c r="R724" s="78">
        <f t="shared" si="409"/>
        <v>884.760289073983</v>
      </c>
      <c r="S724" s="78"/>
      <c r="T724" s="79">
        <f t="shared" si="410"/>
        <v>1.2640862322391</v>
      </c>
      <c r="U724" s="78"/>
      <c r="V724" s="78"/>
      <c r="W724" s="80">
        <f t="shared" si="404"/>
        <v>886.024375306223</v>
      </c>
      <c r="X724" s="81">
        <f t="shared" si="411"/>
        <v>16.1158353748163</v>
      </c>
      <c r="Y724" s="81"/>
      <c r="Z724" s="81"/>
      <c r="AA724" s="110">
        <f t="shared" si="405"/>
        <v>16.1158353748163</v>
      </c>
      <c r="AB724" s="90">
        <v>7.19</v>
      </c>
      <c r="AC724" s="78">
        <f t="shared" si="403"/>
        <v>115.872856344929</v>
      </c>
      <c r="AD724" s="78">
        <f t="shared" si="406"/>
        <v>1001.89723165115</v>
      </c>
      <c r="AE724" s="78">
        <f t="shared" si="407"/>
        <v>189.402768348848</v>
      </c>
    </row>
    <row r="725" customFormat="1" spans="1:31">
      <c r="A725" s="18"/>
      <c r="B725" s="19"/>
      <c r="C725" s="20">
        <v>240321000010</v>
      </c>
      <c r="D725" s="21">
        <v>45377</v>
      </c>
      <c r="E725" s="21" t="s">
        <v>47</v>
      </c>
      <c r="F725" s="19" t="s">
        <v>48</v>
      </c>
      <c r="G725" s="19" t="s">
        <v>276</v>
      </c>
      <c r="H725" s="19">
        <v>11.5</v>
      </c>
      <c r="I725" s="41">
        <v>825</v>
      </c>
      <c r="J725" s="139"/>
      <c r="K725" s="140"/>
      <c r="L725" s="139"/>
      <c r="M725" s="44"/>
      <c r="N725" s="45"/>
      <c r="O725" s="46">
        <f t="shared" si="412"/>
        <v>825</v>
      </c>
      <c r="P725" s="48"/>
      <c r="Q725" s="48"/>
      <c r="R725" s="78">
        <f t="shared" si="409"/>
        <v>473.2438755512</v>
      </c>
      <c r="S725" s="78"/>
      <c r="T725" s="79">
        <f t="shared" si="410"/>
        <v>0.676139147476727</v>
      </c>
      <c r="U725" s="78"/>
      <c r="V725" s="78"/>
      <c r="W725" s="80">
        <f t="shared" si="404"/>
        <v>473.920014698677</v>
      </c>
      <c r="X725" s="81">
        <f t="shared" si="411"/>
        <v>8.62009799118079</v>
      </c>
      <c r="Y725" s="81"/>
      <c r="Z725" s="81"/>
      <c r="AA725" s="110">
        <f t="shared" si="405"/>
        <v>8.62009799118079</v>
      </c>
      <c r="AB725" s="90">
        <v>7.19</v>
      </c>
      <c r="AC725" s="78">
        <f t="shared" si="403"/>
        <v>61.9785045565899</v>
      </c>
      <c r="AD725" s="78">
        <f t="shared" si="406"/>
        <v>535.898519255267</v>
      </c>
      <c r="AE725" s="78">
        <f t="shared" si="407"/>
        <v>289.101480744733</v>
      </c>
    </row>
    <row r="726" customFormat="1" spans="1:31">
      <c r="A726" s="18"/>
      <c r="B726" s="19"/>
      <c r="C726" s="20">
        <v>240321000017</v>
      </c>
      <c r="D726" s="21">
        <v>45377</v>
      </c>
      <c r="E726" s="21" t="s">
        <v>37</v>
      </c>
      <c r="F726" s="19" t="s">
        <v>38</v>
      </c>
      <c r="G726" s="19" t="s">
        <v>486</v>
      </c>
      <c r="H726" s="19">
        <v>2.5</v>
      </c>
      <c r="I726" s="92">
        <v>199</v>
      </c>
      <c r="J726" s="139"/>
      <c r="K726" s="140"/>
      <c r="L726" s="139"/>
      <c r="M726" s="44"/>
      <c r="N726" s="45"/>
      <c r="O726" s="46">
        <f>SUBTOTAL(9,I726)</f>
        <v>199</v>
      </c>
      <c r="P726" s="48"/>
      <c r="Q726" s="48"/>
      <c r="R726" s="78">
        <f t="shared" si="409"/>
        <v>102.879103380696</v>
      </c>
      <c r="S726" s="78"/>
      <c r="T726" s="79">
        <f t="shared" si="410"/>
        <v>0.146986771190593</v>
      </c>
      <c r="U726" s="78"/>
      <c r="V726" s="78"/>
      <c r="W726" s="80">
        <f t="shared" si="404"/>
        <v>103.026090151886</v>
      </c>
      <c r="X726" s="81">
        <f t="shared" si="411"/>
        <v>1.87393434590887</v>
      </c>
      <c r="Y726" s="81"/>
      <c r="Z726" s="81"/>
      <c r="AA726" s="110">
        <f t="shared" si="405"/>
        <v>1.87393434590887</v>
      </c>
      <c r="AB726" s="90">
        <v>7.19</v>
      </c>
      <c r="AC726" s="78">
        <f t="shared" si="403"/>
        <v>13.4735879470848</v>
      </c>
      <c r="AD726" s="78">
        <f t="shared" si="406"/>
        <v>116.499678098971</v>
      </c>
      <c r="AE726" s="78">
        <f t="shared" si="407"/>
        <v>82.500321901029</v>
      </c>
    </row>
    <row r="727" customFormat="1" spans="1:31">
      <c r="A727" s="18"/>
      <c r="B727" s="19"/>
      <c r="C727" s="20">
        <v>240321000020</v>
      </c>
      <c r="D727" s="21">
        <v>45377</v>
      </c>
      <c r="E727" s="21" t="s">
        <v>47</v>
      </c>
      <c r="F727" s="19" t="s">
        <v>48</v>
      </c>
      <c r="G727" s="19" t="s">
        <v>454</v>
      </c>
      <c r="H727" s="19">
        <v>4.5</v>
      </c>
      <c r="I727" s="41">
        <v>335.55</v>
      </c>
      <c r="J727" s="139"/>
      <c r="K727" s="140"/>
      <c r="L727" s="139"/>
      <c r="M727" s="44"/>
      <c r="N727" s="45"/>
      <c r="O727" s="46">
        <f t="shared" ref="O727:O730" si="413">SUM(I727)</f>
        <v>335.55</v>
      </c>
      <c r="P727" s="48"/>
      <c r="Q727" s="48"/>
      <c r="R727" s="78">
        <f t="shared" si="409"/>
        <v>185.182386085252</v>
      </c>
      <c r="S727" s="78"/>
      <c r="T727" s="79">
        <f t="shared" si="410"/>
        <v>0.264576188143067</v>
      </c>
      <c r="U727" s="78"/>
      <c r="V727" s="78"/>
      <c r="W727" s="80">
        <f t="shared" si="404"/>
        <v>185.446962273395</v>
      </c>
      <c r="X727" s="81">
        <f t="shared" si="411"/>
        <v>3.37308182263596</v>
      </c>
      <c r="Y727" s="81">
        <v>8.34</v>
      </c>
      <c r="Z727" s="81"/>
      <c r="AA727" s="110">
        <f t="shared" si="405"/>
        <v>11.713081822636</v>
      </c>
      <c r="AB727" s="90">
        <v>7.19</v>
      </c>
      <c r="AC727" s="78">
        <f t="shared" si="403"/>
        <v>84.2170583047526</v>
      </c>
      <c r="AD727" s="78">
        <f t="shared" si="406"/>
        <v>269.664020578148</v>
      </c>
      <c r="AE727" s="78">
        <f t="shared" si="407"/>
        <v>65.885979421852</v>
      </c>
    </row>
    <row r="728" customFormat="1" spans="1:31">
      <c r="A728" s="18"/>
      <c r="B728" s="19"/>
      <c r="C728" s="20">
        <v>240321000021</v>
      </c>
      <c r="D728" s="21">
        <v>45377</v>
      </c>
      <c r="E728" s="21" t="s">
        <v>47</v>
      </c>
      <c r="F728" s="19" t="s">
        <v>48</v>
      </c>
      <c r="G728" s="19" t="s">
        <v>135</v>
      </c>
      <c r="H728" s="19">
        <v>6</v>
      </c>
      <c r="I728" s="41">
        <v>348</v>
      </c>
      <c r="J728" s="139"/>
      <c r="K728" s="140"/>
      <c r="L728" s="139"/>
      <c r="M728" s="44"/>
      <c r="N728" s="45"/>
      <c r="O728" s="46">
        <f t="shared" si="413"/>
        <v>348</v>
      </c>
      <c r="P728" s="48"/>
      <c r="Q728" s="48"/>
      <c r="R728" s="78">
        <f t="shared" si="409"/>
        <v>246.90984811367</v>
      </c>
      <c r="S728" s="78"/>
      <c r="T728" s="79">
        <f t="shared" si="410"/>
        <v>0.352768250857423</v>
      </c>
      <c r="U728" s="78"/>
      <c r="V728" s="78"/>
      <c r="W728" s="80">
        <f t="shared" si="404"/>
        <v>247.262616364527</v>
      </c>
      <c r="X728" s="81">
        <f t="shared" si="411"/>
        <v>4.49744243018128</v>
      </c>
      <c r="Y728" s="81"/>
      <c r="Z728" s="81"/>
      <c r="AA728" s="110">
        <f t="shared" si="405"/>
        <v>4.49744243018128</v>
      </c>
      <c r="AB728" s="90">
        <v>7.19</v>
      </c>
      <c r="AC728" s="78">
        <f t="shared" si="403"/>
        <v>32.3366110730034</v>
      </c>
      <c r="AD728" s="78">
        <f t="shared" si="406"/>
        <v>279.599227437531</v>
      </c>
      <c r="AE728" s="78">
        <f t="shared" si="407"/>
        <v>68.4007725624693</v>
      </c>
    </row>
    <row r="729" customFormat="1" spans="1:31">
      <c r="A729" s="18"/>
      <c r="B729" s="19"/>
      <c r="C729" s="20">
        <v>240321000023</v>
      </c>
      <c r="D729" s="21">
        <v>45377</v>
      </c>
      <c r="E729" s="21" t="s">
        <v>47</v>
      </c>
      <c r="F729" s="19" t="s">
        <v>48</v>
      </c>
      <c r="G729" s="19" t="s">
        <v>487</v>
      </c>
      <c r="H729" s="19">
        <v>1.5</v>
      </c>
      <c r="I729" s="41">
        <v>94.5</v>
      </c>
      <c r="J729" s="139"/>
      <c r="K729" s="140"/>
      <c r="L729" s="139"/>
      <c r="M729" s="44"/>
      <c r="N729" s="45"/>
      <c r="O729" s="46">
        <f t="shared" si="413"/>
        <v>94.5</v>
      </c>
      <c r="P729" s="48"/>
      <c r="Q729" s="48"/>
      <c r="R729" s="78">
        <f t="shared" si="409"/>
        <v>61.7274620284174</v>
      </c>
      <c r="S729" s="78"/>
      <c r="T729" s="79">
        <f t="shared" si="410"/>
        <v>0.0881920627143557</v>
      </c>
      <c r="U729" s="78"/>
      <c r="V729" s="78"/>
      <c r="W729" s="80">
        <f t="shared" si="404"/>
        <v>61.8156540911318</v>
      </c>
      <c r="X729" s="81">
        <f t="shared" si="411"/>
        <v>1.12436060754532</v>
      </c>
      <c r="Y729" s="81"/>
      <c r="Z729" s="81"/>
      <c r="AA729" s="110">
        <f t="shared" si="405"/>
        <v>1.12436060754532</v>
      </c>
      <c r="AB729" s="90">
        <v>7.19</v>
      </c>
      <c r="AC729" s="78">
        <f t="shared" si="403"/>
        <v>8.08415276825086</v>
      </c>
      <c r="AD729" s="78">
        <f t="shared" si="406"/>
        <v>69.8998068593827</v>
      </c>
      <c r="AE729" s="78">
        <f t="shared" si="407"/>
        <v>24.6001931406173</v>
      </c>
    </row>
    <row r="730" customFormat="1" spans="1:31">
      <c r="A730" s="18"/>
      <c r="B730" s="19"/>
      <c r="C730" s="20">
        <v>240321000024</v>
      </c>
      <c r="D730" s="21">
        <v>45377</v>
      </c>
      <c r="E730" s="21" t="s">
        <v>51</v>
      </c>
      <c r="F730" s="19" t="s">
        <v>65</v>
      </c>
      <c r="G730" s="19" t="s">
        <v>488</v>
      </c>
      <c r="H730" s="19">
        <v>5</v>
      </c>
      <c r="I730" s="41">
        <v>347.5</v>
      </c>
      <c r="J730" s="139"/>
      <c r="K730" s="140"/>
      <c r="L730" s="139"/>
      <c r="M730" s="44"/>
      <c r="N730" s="45"/>
      <c r="O730" s="46">
        <f t="shared" si="413"/>
        <v>347.5</v>
      </c>
      <c r="P730" s="48"/>
      <c r="Q730" s="48"/>
      <c r="R730" s="78">
        <f t="shared" si="409"/>
        <v>205.758206761391</v>
      </c>
      <c r="S730" s="78"/>
      <c r="T730" s="79">
        <f t="shared" si="410"/>
        <v>0.293973542381186</v>
      </c>
      <c r="U730" s="78"/>
      <c r="V730" s="78"/>
      <c r="W730" s="80">
        <f t="shared" si="404"/>
        <v>206.052180303773</v>
      </c>
      <c r="X730" s="81">
        <f t="shared" si="411"/>
        <v>3.74786869181774</v>
      </c>
      <c r="Y730" s="81"/>
      <c r="Z730" s="81"/>
      <c r="AA730" s="110">
        <f t="shared" si="405"/>
        <v>3.74786869181774</v>
      </c>
      <c r="AB730" s="90">
        <v>7.19</v>
      </c>
      <c r="AC730" s="78">
        <f t="shared" si="403"/>
        <v>26.9471758941695</v>
      </c>
      <c r="AD730" s="78">
        <f t="shared" si="406"/>
        <v>232.999356197942</v>
      </c>
      <c r="AE730" s="78">
        <f t="shared" si="407"/>
        <v>114.500643802058</v>
      </c>
    </row>
    <row r="731" customFormat="1" spans="1:31">
      <c r="A731" s="18"/>
      <c r="B731" s="19"/>
      <c r="C731" s="20">
        <v>240321000025</v>
      </c>
      <c r="D731" s="21">
        <v>45377</v>
      </c>
      <c r="E731" s="21" t="s">
        <v>85</v>
      </c>
      <c r="F731" s="19" t="s">
        <v>165</v>
      </c>
      <c r="G731" s="19" t="s">
        <v>489</v>
      </c>
      <c r="H731" s="19">
        <v>2.5</v>
      </c>
      <c r="I731" s="46"/>
      <c r="J731" s="137">
        <v>29335.5</v>
      </c>
      <c r="K731" s="138"/>
      <c r="L731" s="50">
        <f>SUM(J731/M731)</f>
        <v>1350</v>
      </c>
      <c r="M731" s="52">
        <v>21.73</v>
      </c>
      <c r="N731" s="45">
        <v>7.19</v>
      </c>
      <c r="O731" s="46">
        <f>SUM(M731*N731)</f>
        <v>156.2387</v>
      </c>
      <c r="P731" s="48"/>
      <c r="Q731" s="48"/>
      <c r="R731" s="78">
        <f t="shared" si="409"/>
        <v>102.879103380696</v>
      </c>
      <c r="S731" s="78"/>
      <c r="T731" s="79">
        <f t="shared" si="410"/>
        <v>0.146986771190593</v>
      </c>
      <c r="U731" s="78"/>
      <c r="V731" s="78"/>
      <c r="W731" s="80">
        <f t="shared" si="404"/>
        <v>103.026090151886</v>
      </c>
      <c r="X731" s="81">
        <f t="shared" si="411"/>
        <v>1.87393434590887</v>
      </c>
      <c r="Y731" s="81"/>
      <c r="Z731" s="81"/>
      <c r="AA731" s="110">
        <f t="shared" si="405"/>
        <v>1.87393434590887</v>
      </c>
      <c r="AB731" s="90">
        <v>7.19</v>
      </c>
      <c r="AC731" s="78">
        <f t="shared" si="403"/>
        <v>13.4735879470848</v>
      </c>
      <c r="AD731" s="78">
        <f t="shared" si="406"/>
        <v>116.499678098971</v>
      </c>
      <c r="AE731" s="78">
        <f t="shared" si="407"/>
        <v>39.7390219010289</v>
      </c>
    </row>
    <row r="732" customFormat="1" spans="1:31">
      <c r="A732" s="18"/>
      <c r="B732" s="19"/>
      <c r="C732" s="20">
        <v>240322000001</v>
      </c>
      <c r="D732" s="21">
        <v>45377</v>
      </c>
      <c r="E732" s="21" t="s">
        <v>37</v>
      </c>
      <c r="F732" s="19" t="s">
        <v>490</v>
      </c>
      <c r="G732" s="19" t="s">
        <v>491</v>
      </c>
      <c r="H732" s="19">
        <v>0.78</v>
      </c>
      <c r="I732" s="41">
        <v>81.2</v>
      </c>
      <c r="J732" s="139"/>
      <c r="K732" s="140"/>
      <c r="L732" s="139"/>
      <c r="M732" s="44"/>
      <c r="N732" s="45"/>
      <c r="O732" s="46">
        <f t="shared" ref="O732:O734" si="414">SUM(I732)</f>
        <v>81.2</v>
      </c>
      <c r="P732" s="48"/>
      <c r="Q732" s="48"/>
      <c r="R732" s="78">
        <f t="shared" si="409"/>
        <v>32.0982802547771</v>
      </c>
      <c r="S732" s="78"/>
      <c r="T732" s="79">
        <f t="shared" si="410"/>
        <v>0.045859872611465</v>
      </c>
      <c r="U732" s="78"/>
      <c r="V732" s="78"/>
      <c r="W732" s="80">
        <f t="shared" si="404"/>
        <v>32.1441401273885</v>
      </c>
      <c r="X732" s="81">
        <f t="shared" si="411"/>
        <v>0.584667515923567</v>
      </c>
      <c r="Y732" s="81"/>
      <c r="Z732" s="81"/>
      <c r="AA732" s="110">
        <f t="shared" si="405"/>
        <v>0.584667515923567</v>
      </c>
      <c r="AB732" s="90">
        <v>7.19</v>
      </c>
      <c r="AC732" s="78">
        <f t="shared" si="403"/>
        <v>4.20375943949045</v>
      </c>
      <c r="AD732" s="78">
        <f t="shared" si="406"/>
        <v>36.347899566879</v>
      </c>
      <c r="AE732" s="78">
        <f t="shared" si="407"/>
        <v>44.852100433121</v>
      </c>
    </row>
    <row r="733" customFormat="1" spans="1:31">
      <c r="A733" s="18"/>
      <c r="B733" s="19"/>
      <c r="C733" s="20">
        <v>240322000003</v>
      </c>
      <c r="D733" s="21">
        <v>45377</v>
      </c>
      <c r="E733" s="21" t="s">
        <v>41</v>
      </c>
      <c r="F733" s="19" t="s">
        <v>42</v>
      </c>
      <c r="G733" s="19" t="s">
        <v>492</v>
      </c>
      <c r="H733" s="19">
        <v>10</v>
      </c>
      <c r="I733" s="41">
        <v>631</v>
      </c>
      <c r="J733" s="139"/>
      <c r="K733" s="140"/>
      <c r="L733" s="139"/>
      <c r="M733" s="44"/>
      <c r="N733" s="45"/>
      <c r="O733" s="46">
        <f t="shared" si="414"/>
        <v>631</v>
      </c>
      <c r="P733" s="48"/>
      <c r="Q733" s="48"/>
      <c r="R733" s="78">
        <f t="shared" si="409"/>
        <v>411.516413522783</v>
      </c>
      <c r="S733" s="78"/>
      <c r="T733" s="79">
        <f t="shared" si="410"/>
        <v>0.587947084762371</v>
      </c>
      <c r="U733" s="78"/>
      <c r="V733" s="78"/>
      <c r="W733" s="80">
        <f t="shared" si="404"/>
        <v>412.104360607545</v>
      </c>
      <c r="X733" s="81">
        <f t="shared" si="411"/>
        <v>7.49573738363547</v>
      </c>
      <c r="Y733" s="81"/>
      <c r="Z733" s="81"/>
      <c r="AA733" s="110">
        <f t="shared" si="405"/>
        <v>7.49573738363547</v>
      </c>
      <c r="AB733" s="90">
        <v>7.19</v>
      </c>
      <c r="AC733" s="78">
        <f t="shared" si="403"/>
        <v>53.8943517883391</v>
      </c>
      <c r="AD733" s="78">
        <f t="shared" si="406"/>
        <v>465.998712395884</v>
      </c>
      <c r="AE733" s="78">
        <f t="shared" si="407"/>
        <v>165.001287604116</v>
      </c>
    </row>
    <row r="734" customFormat="1" spans="1:31">
      <c r="A734" s="18"/>
      <c r="B734" s="19"/>
      <c r="C734" s="20">
        <v>240322000004</v>
      </c>
      <c r="D734" s="21">
        <v>45377</v>
      </c>
      <c r="E734" s="21" t="s">
        <v>70</v>
      </c>
      <c r="F734" s="19" t="s">
        <v>70</v>
      </c>
      <c r="G734" s="19" t="s">
        <v>71</v>
      </c>
      <c r="H734" s="19">
        <v>117.5</v>
      </c>
      <c r="I734" s="41">
        <v>5622.5</v>
      </c>
      <c r="J734" s="139"/>
      <c r="K734" s="140"/>
      <c r="L734" s="139"/>
      <c r="M734" s="44"/>
      <c r="N734" s="45"/>
      <c r="O734" s="46">
        <f t="shared" si="414"/>
        <v>5622.5</v>
      </c>
      <c r="P734" s="48"/>
      <c r="Q734" s="48"/>
      <c r="R734" s="78">
        <f t="shared" si="409"/>
        <v>4835.3178588927</v>
      </c>
      <c r="S734" s="78"/>
      <c r="T734" s="79">
        <f t="shared" si="410"/>
        <v>6.90837824595786</v>
      </c>
      <c r="U734" s="78"/>
      <c r="V734" s="78"/>
      <c r="W734" s="80">
        <f t="shared" si="404"/>
        <v>4842.22623713866</v>
      </c>
      <c r="X734" s="81">
        <f t="shared" si="411"/>
        <v>88.0749142577168</v>
      </c>
      <c r="Y734" s="81"/>
      <c r="Z734" s="81"/>
      <c r="AA734" s="110">
        <f t="shared" si="405"/>
        <v>88.0749142577168</v>
      </c>
      <c r="AB734" s="90">
        <v>7.19</v>
      </c>
      <c r="AC734" s="78">
        <f t="shared" si="403"/>
        <v>633.258633512984</v>
      </c>
      <c r="AD734" s="78">
        <f t="shared" si="406"/>
        <v>5475.48487065164</v>
      </c>
      <c r="AE734" s="78">
        <f t="shared" si="407"/>
        <v>147.015129348359</v>
      </c>
    </row>
    <row r="735" customFormat="1" spans="1:31">
      <c r="A735" s="18"/>
      <c r="B735" s="19"/>
      <c r="C735" s="20">
        <v>240322000009</v>
      </c>
      <c r="D735" s="21">
        <v>45377</v>
      </c>
      <c r="E735" s="21" t="s">
        <v>44</v>
      </c>
      <c r="F735" s="19" t="s">
        <v>254</v>
      </c>
      <c r="G735" s="19" t="s">
        <v>255</v>
      </c>
      <c r="H735" s="19">
        <v>3.5</v>
      </c>
      <c r="I735" s="46"/>
      <c r="J735" s="137">
        <v>33692.4</v>
      </c>
      <c r="K735" s="138"/>
      <c r="L735" s="50">
        <f>SUM(J735/M735)</f>
        <v>1260</v>
      </c>
      <c r="M735" s="52">
        <v>26.74</v>
      </c>
      <c r="N735" s="45">
        <v>7.19</v>
      </c>
      <c r="O735" s="46">
        <f>SUM(M735*N735)</f>
        <v>192.2606</v>
      </c>
      <c r="P735" s="48"/>
      <c r="Q735" s="48"/>
      <c r="R735" s="78">
        <f t="shared" si="409"/>
        <v>144.030744732974</v>
      </c>
      <c r="S735" s="78"/>
      <c r="T735" s="79">
        <f t="shared" si="410"/>
        <v>0.20578147966683</v>
      </c>
      <c r="U735" s="78"/>
      <c r="V735" s="78"/>
      <c r="W735" s="80">
        <f t="shared" si="404"/>
        <v>144.236526212641</v>
      </c>
      <c r="X735" s="81">
        <f t="shared" si="411"/>
        <v>2.62350808427242</v>
      </c>
      <c r="Y735" s="81"/>
      <c r="Z735" s="81"/>
      <c r="AA735" s="110">
        <f t="shared" si="405"/>
        <v>2.62350808427242</v>
      </c>
      <c r="AB735" s="90">
        <v>7.19</v>
      </c>
      <c r="AC735" s="78">
        <f t="shared" si="403"/>
        <v>18.8630231259187</v>
      </c>
      <c r="AD735" s="78">
        <f t="shared" si="406"/>
        <v>163.09954933856</v>
      </c>
      <c r="AE735" s="78">
        <f t="shared" si="407"/>
        <v>29.1610506614405</v>
      </c>
    </row>
    <row r="736" customFormat="1" spans="1:31">
      <c r="A736" s="18"/>
      <c r="B736" s="19"/>
      <c r="C736" s="20">
        <v>240322000015</v>
      </c>
      <c r="D736" s="21">
        <v>45377</v>
      </c>
      <c r="E736" s="21" t="s">
        <v>44</v>
      </c>
      <c r="F736" s="19" t="s">
        <v>45</v>
      </c>
      <c r="G736" s="19" t="s">
        <v>493</v>
      </c>
      <c r="H736" s="19">
        <v>6.5</v>
      </c>
      <c r="I736" s="41">
        <v>421.3</v>
      </c>
      <c r="J736" s="139"/>
      <c r="K736" s="140"/>
      <c r="L736" s="139"/>
      <c r="M736" s="44"/>
      <c r="N736" s="45"/>
      <c r="O736" s="46">
        <f t="shared" ref="O736:O743" si="415">SUM(I736)</f>
        <v>421.3</v>
      </c>
      <c r="P736" s="48"/>
      <c r="Q736" s="48"/>
      <c r="R736" s="78">
        <f t="shared" si="409"/>
        <v>267.485668789809</v>
      </c>
      <c r="S736" s="78"/>
      <c r="T736" s="79">
        <f t="shared" si="410"/>
        <v>0.382165605095541</v>
      </c>
      <c r="U736" s="78"/>
      <c r="V736" s="78"/>
      <c r="W736" s="80">
        <f t="shared" si="404"/>
        <v>267.867834394904</v>
      </c>
      <c r="X736" s="81">
        <f t="shared" si="411"/>
        <v>4.87222929936306</v>
      </c>
      <c r="Y736" s="81"/>
      <c r="Z736" s="81"/>
      <c r="AA736" s="110">
        <f t="shared" si="405"/>
        <v>4.87222929936306</v>
      </c>
      <c r="AB736" s="90">
        <v>7.19</v>
      </c>
      <c r="AC736" s="78">
        <f t="shared" si="403"/>
        <v>35.0313286624204</v>
      </c>
      <c r="AD736" s="78">
        <f t="shared" si="406"/>
        <v>302.899163057325</v>
      </c>
      <c r="AE736" s="78">
        <f t="shared" si="407"/>
        <v>118.400836942675</v>
      </c>
    </row>
    <row r="737" customFormat="1" spans="1:31">
      <c r="A737" s="18"/>
      <c r="B737" s="19"/>
      <c r="C737" s="22">
        <v>240322000019</v>
      </c>
      <c r="D737" s="23">
        <v>45377</v>
      </c>
      <c r="E737" s="21" t="s">
        <v>51</v>
      </c>
      <c r="F737" s="24" t="s">
        <v>52</v>
      </c>
      <c r="G737" s="24" t="s">
        <v>494</v>
      </c>
      <c r="H737" s="24">
        <v>17</v>
      </c>
      <c r="I737" s="41">
        <v>1068</v>
      </c>
      <c r="J737" s="139"/>
      <c r="K737" s="140"/>
      <c r="L737" s="139"/>
      <c r="M737" s="44"/>
      <c r="N737" s="45"/>
      <c r="O737" s="46">
        <f t="shared" si="415"/>
        <v>1068</v>
      </c>
      <c r="P737" s="48"/>
      <c r="Q737" s="48"/>
      <c r="R737" s="78">
        <f t="shared" si="409"/>
        <v>699.577902988731</v>
      </c>
      <c r="S737" s="78"/>
      <c r="T737" s="79">
        <f t="shared" si="410"/>
        <v>0.999510044096031</v>
      </c>
      <c r="U737" s="78"/>
      <c r="V737" s="78"/>
      <c r="W737" s="80">
        <f t="shared" si="404"/>
        <v>700.577413032827</v>
      </c>
      <c r="X737" s="81">
        <f t="shared" si="411"/>
        <v>12.7427535521803</v>
      </c>
      <c r="Y737" s="81"/>
      <c r="Z737" s="81"/>
      <c r="AA737" s="110">
        <f t="shared" si="405"/>
        <v>12.7427535521803</v>
      </c>
      <c r="AB737" s="90">
        <v>7.19</v>
      </c>
      <c r="AC737" s="78">
        <f t="shared" si="403"/>
        <v>91.6203980401764</v>
      </c>
      <c r="AD737" s="78">
        <f t="shared" si="406"/>
        <v>792.197811073003</v>
      </c>
      <c r="AE737" s="78">
        <f t="shared" si="407"/>
        <v>275.802188926997</v>
      </c>
    </row>
    <row r="738" customFormat="1" spans="1:31">
      <c r="A738" s="18"/>
      <c r="B738" s="19"/>
      <c r="C738" s="20">
        <v>240322000023</v>
      </c>
      <c r="D738" s="21">
        <v>45377</v>
      </c>
      <c r="E738" s="21" t="s">
        <v>47</v>
      </c>
      <c r="F738" s="19" t="s">
        <v>48</v>
      </c>
      <c r="G738" s="19" t="s">
        <v>68</v>
      </c>
      <c r="H738" s="19">
        <v>599.5</v>
      </c>
      <c r="I738" s="41">
        <v>32972.5</v>
      </c>
      <c r="J738" s="139"/>
      <c r="K738" s="140"/>
      <c r="L738" s="139"/>
      <c r="M738" s="44"/>
      <c r="N738" s="45"/>
      <c r="O738" s="46">
        <f t="shared" si="415"/>
        <v>32972.5</v>
      </c>
      <c r="P738" s="48"/>
      <c r="Q738" s="48"/>
      <c r="R738" s="78">
        <f t="shared" si="409"/>
        <v>24670.4089906908</v>
      </c>
      <c r="S738" s="78"/>
      <c r="T738" s="79">
        <f t="shared" si="410"/>
        <v>35.2474277315042</v>
      </c>
      <c r="U738" s="78"/>
      <c r="V738" s="78"/>
      <c r="W738" s="80">
        <f t="shared" si="404"/>
        <v>24705.6564184223</v>
      </c>
      <c r="X738" s="81">
        <f t="shared" si="411"/>
        <v>449.369456148947</v>
      </c>
      <c r="Y738" s="81"/>
      <c r="Z738" s="81"/>
      <c r="AA738" s="110">
        <f t="shared" si="405"/>
        <v>449.369456148947</v>
      </c>
      <c r="AB738" s="90">
        <v>7.19</v>
      </c>
      <c r="AC738" s="78">
        <f t="shared" si="403"/>
        <v>3230.96638971093</v>
      </c>
      <c r="AD738" s="78">
        <f t="shared" si="406"/>
        <v>27936.6228081333</v>
      </c>
      <c r="AE738" s="78">
        <f t="shared" si="407"/>
        <v>5035.87719186673</v>
      </c>
    </row>
    <row r="739" customFormat="1" spans="1:31">
      <c r="A739" s="18"/>
      <c r="B739" s="19"/>
      <c r="C739" s="20">
        <v>240322000025</v>
      </c>
      <c r="D739" s="21">
        <v>45377</v>
      </c>
      <c r="E739" s="21" t="s">
        <v>47</v>
      </c>
      <c r="F739" s="19" t="s">
        <v>48</v>
      </c>
      <c r="G739" s="19" t="s">
        <v>360</v>
      </c>
      <c r="H739" s="19">
        <v>7</v>
      </c>
      <c r="I739" s="41">
        <v>407</v>
      </c>
      <c r="J739" s="139"/>
      <c r="K739" s="140"/>
      <c r="L739" s="139"/>
      <c r="M739" s="44"/>
      <c r="N739" s="45"/>
      <c r="O739" s="46">
        <f t="shared" si="415"/>
        <v>407</v>
      </c>
      <c r="P739" s="48"/>
      <c r="Q739" s="48"/>
      <c r="R739" s="78">
        <f t="shared" si="409"/>
        <v>288.061489465948</v>
      </c>
      <c r="S739" s="78"/>
      <c r="T739" s="79">
        <f t="shared" si="410"/>
        <v>0.41156295933366</v>
      </c>
      <c r="U739" s="78"/>
      <c r="V739" s="78"/>
      <c r="W739" s="80">
        <f t="shared" si="404"/>
        <v>288.473052425282</v>
      </c>
      <c r="X739" s="81">
        <f t="shared" si="411"/>
        <v>5.24701616854483</v>
      </c>
      <c r="Y739" s="81"/>
      <c r="Z739" s="81"/>
      <c r="AA739" s="110">
        <f t="shared" si="405"/>
        <v>5.24701616854483</v>
      </c>
      <c r="AB739" s="90">
        <v>7.19</v>
      </c>
      <c r="AC739" s="78">
        <f t="shared" si="403"/>
        <v>37.7260462518373</v>
      </c>
      <c r="AD739" s="78">
        <f t="shared" si="406"/>
        <v>326.199098677119</v>
      </c>
      <c r="AE739" s="78">
        <f t="shared" si="407"/>
        <v>80.8009013228809</v>
      </c>
    </row>
    <row r="740" customFormat="1" spans="1:31">
      <c r="A740" s="18"/>
      <c r="B740" s="19"/>
      <c r="C740" s="20">
        <v>240322000029</v>
      </c>
      <c r="D740" s="21">
        <v>45377</v>
      </c>
      <c r="E740" s="21" t="s">
        <v>47</v>
      </c>
      <c r="F740" s="19" t="s">
        <v>48</v>
      </c>
      <c r="G740" s="19" t="s">
        <v>495</v>
      </c>
      <c r="H740" s="19">
        <v>2</v>
      </c>
      <c r="I740" s="41">
        <v>158.2</v>
      </c>
      <c r="J740" s="139"/>
      <c r="K740" s="140"/>
      <c r="L740" s="139"/>
      <c r="M740" s="44"/>
      <c r="N740" s="45"/>
      <c r="O740" s="46">
        <f t="shared" si="415"/>
        <v>158.2</v>
      </c>
      <c r="P740" s="48"/>
      <c r="Q740" s="48"/>
      <c r="R740" s="78">
        <f t="shared" si="409"/>
        <v>82.3032827045566</v>
      </c>
      <c r="S740" s="78"/>
      <c r="T740" s="79">
        <f t="shared" si="410"/>
        <v>0.117589416952474</v>
      </c>
      <c r="U740" s="78"/>
      <c r="V740" s="78"/>
      <c r="W740" s="80">
        <f t="shared" si="404"/>
        <v>82.4208721215091</v>
      </c>
      <c r="X740" s="81">
        <f t="shared" si="411"/>
        <v>1.49914747672709</v>
      </c>
      <c r="Y740" s="81"/>
      <c r="Z740" s="81"/>
      <c r="AA740" s="110">
        <f t="shared" si="405"/>
        <v>1.49914747672709</v>
      </c>
      <c r="AB740" s="90">
        <v>7.19</v>
      </c>
      <c r="AC740" s="78">
        <f t="shared" si="403"/>
        <v>10.7788703576678</v>
      </c>
      <c r="AD740" s="78">
        <f t="shared" si="406"/>
        <v>93.1997424791769</v>
      </c>
      <c r="AE740" s="78">
        <f t="shared" si="407"/>
        <v>65.0002575208231</v>
      </c>
    </row>
    <row r="741" customFormat="1" spans="1:31">
      <c r="A741" s="18"/>
      <c r="B741" s="19"/>
      <c r="C741" s="20">
        <v>240322000030</v>
      </c>
      <c r="D741" s="21">
        <v>45377</v>
      </c>
      <c r="E741" s="21" t="s">
        <v>51</v>
      </c>
      <c r="F741" s="19" t="s">
        <v>105</v>
      </c>
      <c r="G741" s="19" t="s">
        <v>106</v>
      </c>
      <c r="H741" s="19">
        <v>0.22</v>
      </c>
      <c r="I741" s="41">
        <v>81.2</v>
      </c>
      <c r="J741" s="139"/>
      <c r="K741" s="140"/>
      <c r="L741" s="139"/>
      <c r="M741" s="44"/>
      <c r="N741" s="45"/>
      <c r="O741" s="46">
        <f t="shared" si="415"/>
        <v>81.2</v>
      </c>
      <c r="P741" s="48"/>
      <c r="Q741" s="48"/>
      <c r="R741" s="78">
        <f t="shared" si="409"/>
        <v>9.05336109750123</v>
      </c>
      <c r="S741" s="78"/>
      <c r="T741" s="79">
        <f t="shared" si="410"/>
        <v>0.0129348358647722</v>
      </c>
      <c r="U741" s="78"/>
      <c r="V741" s="78"/>
      <c r="W741" s="80">
        <f t="shared" si="404"/>
        <v>9.066295933366</v>
      </c>
      <c r="X741" s="81">
        <f t="shared" si="411"/>
        <v>0.16490622243998</v>
      </c>
      <c r="Y741" s="81"/>
      <c r="Z741" s="81"/>
      <c r="AA741" s="110">
        <f t="shared" si="405"/>
        <v>0.16490622243998</v>
      </c>
      <c r="AB741" s="90">
        <v>7.19</v>
      </c>
      <c r="AC741" s="78">
        <f t="shared" si="403"/>
        <v>1.18567573934346</v>
      </c>
      <c r="AD741" s="78">
        <f t="shared" si="406"/>
        <v>10.2519716727095</v>
      </c>
      <c r="AE741" s="78">
        <f t="shared" si="407"/>
        <v>70.9480283272905</v>
      </c>
    </row>
    <row r="742" customFormat="1" spans="1:31">
      <c r="A742" s="18"/>
      <c r="B742" s="19"/>
      <c r="C742" s="20">
        <v>240322000032</v>
      </c>
      <c r="D742" s="21">
        <v>45377</v>
      </c>
      <c r="E742" s="21" t="s">
        <v>41</v>
      </c>
      <c r="F742" s="19" t="s">
        <v>42</v>
      </c>
      <c r="G742" s="19" t="s">
        <v>58</v>
      </c>
      <c r="H742" s="19">
        <v>18.5</v>
      </c>
      <c r="I742" s="41">
        <v>1187</v>
      </c>
      <c r="J742" s="139"/>
      <c r="K742" s="140"/>
      <c r="L742" s="139"/>
      <c r="M742" s="44"/>
      <c r="N742" s="45"/>
      <c r="O742" s="46">
        <f t="shared" si="415"/>
        <v>1187</v>
      </c>
      <c r="P742" s="48"/>
      <c r="Q742" s="48"/>
      <c r="R742" s="78">
        <f t="shared" si="409"/>
        <v>761.305365017148</v>
      </c>
      <c r="S742" s="78"/>
      <c r="T742" s="79">
        <f t="shared" si="410"/>
        <v>1.08770210681039</v>
      </c>
      <c r="U742" s="78"/>
      <c r="V742" s="78"/>
      <c r="W742" s="80">
        <f t="shared" si="404"/>
        <v>762.393067123959</v>
      </c>
      <c r="X742" s="81">
        <f t="shared" si="411"/>
        <v>13.8671141597256</v>
      </c>
      <c r="Y742" s="81"/>
      <c r="Z742" s="81"/>
      <c r="AA742" s="110">
        <f t="shared" si="405"/>
        <v>13.8671141597256</v>
      </c>
      <c r="AB742" s="90">
        <v>7.19</v>
      </c>
      <c r="AC742" s="78">
        <f t="shared" ref="AC742:AC773" si="416">SUM(AA742*AB742)</f>
        <v>99.7045508084273</v>
      </c>
      <c r="AD742" s="78">
        <f t="shared" si="406"/>
        <v>862.097617932386</v>
      </c>
      <c r="AE742" s="78">
        <f t="shared" si="407"/>
        <v>324.902382067614</v>
      </c>
    </row>
    <row r="743" customFormat="1" spans="1:31">
      <c r="A743" s="18"/>
      <c r="B743" s="19"/>
      <c r="C743" s="20">
        <v>240322000033</v>
      </c>
      <c r="D743" s="21">
        <v>45377</v>
      </c>
      <c r="E743" s="21" t="s">
        <v>70</v>
      </c>
      <c r="F743" s="19" t="s">
        <v>70</v>
      </c>
      <c r="G743" s="19" t="s">
        <v>74</v>
      </c>
      <c r="H743" s="19">
        <v>472.5</v>
      </c>
      <c r="I743" s="49">
        <v>21735</v>
      </c>
      <c r="J743" s="139"/>
      <c r="K743" s="140"/>
      <c r="L743" s="139"/>
      <c r="M743" s="44"/>
      <c r="N743" s="45"/>
      <c r="O743" s="46">
        <f t="shared" si="415"/>
        <v>21735</v>
      </c>
      <c r="P743" s="48"/>
      <c r="Q743" s="48"/>
      <c r="R743" s="78">
        <f t="shared" si="409"/>
        <v>19444.1505389515</v>
      </c>
      <c r="S743" s="78"/>
      <c r="T743" s="79">
        <f t="shared" si="410"/>
        <v>27.780499755022</v>
      </c>
      <c r="U743" s="78"/>
      <c r="V743" s="78"/>
      <c r="W743" s="80">
        <f t="shared" si="404"/>
        <v>19471.9310387065</v>
      </c>
      <c r="X743" s="81">
        <f t="shared" si="411"/>
        <v>354.173591376776</v>
      </c>
      <c r="Y743" s="81"/>
      <c r="Z743" s="81"/>
      <c r="AA743" s="110">
        <f t="shared" si="405"/>
        <v>354.173591376776</v>
      </c>
      <c r="AB743" s="90">
        <v>7.19</v>
      </c>
      <c r="AC743" s="78">
        <f t="shared" si="416"/>
        <v>2546.50812199902</v>
      </c>
      <c r="AD743" s="78">
        <f t="shared" si="406"/>
        <v>22018.4391607055</v>
      </c>
      <c r="AE743" s="78">
        <f t="shared" si="407"/>
        <v>-283.43916070554</v>
      </c>
    </row>
    <row r="744" customFormat="1" spans="1:31">
      <c r="A744" s="18"/>
      <c r="B744" s="19"/>
      <c r="C744" s="20">
        <v>240323000008</v>
      </c>
      <c r="D744" s="21">
        <v>45377</v>
      </c>
      <c r="E744" s="21" t="s">
        <v>70</v>
      </c>
      <c r="F744" s="19" t="s">
        <v>287</v>
      </c>
      <c r="G744" s="19" t="s">
        <v>496</v>
      </c>
      <c r="H744" s="19">
        <v>43</v>
      </c>
      <c r="I744" s="46"/>
      <c r="J744" s="137">
        <v>665550</v>
      </c>
      <c r="K744" s="138"/>
      <c r="L744" s="50">
        <f>SUM(J744/M744)</f>
        <v>1350</v>
      </c>
      <c r="M744" s="52">
        <v>493</v>
      </c>
      <c r="N744" s="45">
        <v>7.19</v>
      </c>
      <c r="O744" s="46">
        <f>SUM(M744*N744)</f>
        <v>3544.67</v>
      </c>
      <c r="P744" s="48"/>
      <c r="Q744" s="48"/>
      <c r="R744" s="78">
        <f t="shared" si="409"/>
        <v>1769.52057814797</v>
      </c>
      <c r="S744" s="78"/>
      <c r="T744" s="79">
        <f t="shared" si="410"/>
        <v>2.5281724644782</v>
      </c>
      <c r="U744" s="78"/>
      <c r="V744" s="78"/>
      <c r="W744" s="80">
        <f t="shared" si="404"/>
        <v>1772.04875061245</v>
      </c>
      <c r="X744" s="81">
        <f t="shared" si="411"/>
        <v>32.2316707496325</v>
      </c>
      <c r="Y744" s="81"/>
      <c r="Z744" s="81"/>
      <c r="AA744" s="110">
        <f t="shared" ref="AA744:AA775" si="417">SUM(X744:Z744)</f>
        <v>32.2316707496325</v>
      </c>
      <c r="AB744" s="90">
        <v>7.19</v>
      </c>
      <c r="AC744" s="78">
        <f t="shared" si="416"/>
        <v>231.745712689858</v>
      </c>
      <c r="AD744" s="78">
        <f t="shared" si="406"/>
        <v>2003.7944633023</v>
      </c>
      <c r="AE744" s="78">
        <f t="shared" si="407"/>
        <v>1540.8755366977</v>
      </c>
    </row>
    <row r="745" customFormat="1" spans="1:31">
      <c r="A745" s="18"/>
      <c r="B745" s="19"/>
      <c r="C745" s="20">
        <v>240323000016</v>
      </c>
      <c r="D745" s="21">
        <v>45377</v>
      </c>
      <c r="E745" s="21" t="s">
        <v>41</v>
      </c>
      <c r="F745" s="19" t="s">
        <v>42</v>
      </c>
      <c r="G745" s="19" t="s">
        <v>58</v>
      </c>
      <c r="H745" s="19">
        <v>8.5</v>
      </c>
      <c r="I745" s="41">
        <v>549</v>
      </c>
      <c r="J745" s="139"/>
      <c r="K745" s="140"/>
      <c r="L745" s="139"/>
      <c r="M745" s="44"/>
      <c r="N745" s="45"/>
      <c r="O745" s="46">
        <f t="shared" ref="O745:O750" si="418">SUM(I745)</f>
        <v>549</v>
      </c>
      <c r="P745" s="58"/>
      <c r="Q745" s="58"/>
      <c r="R745" s="78">
        <f t="shared" si="409"/>
        <v>349.788951494366</v>
      </c>
      <c r="S745" s="78"/>
      <c r="T745" s="79">
        <f t="shared" si="410"/>
        <v>0.499755022048016</v>
      </c>
      <c r="U745" s="78"/>
      <c r="V745" s="78"/>
      <c r="W745" s="80">
        <f t="shared" ref="W745:W776" si="419">SUM(R745:V745)</f>
        <v>350.288706516414</v>
      </c>
      <c r="X745" s="81">
        <f t="shared" si="411"/>
        <v>6.37137677609015</v>
      </c>
      <c r="Y745" s="81"/>
      <c r="Z745" s="81"/>
      <c r="AA745" s="110">
        <f t="shared" si="417"/>
        <v>6.37137677609015</v>
      </c>
      <c r="AB745" s="90">
        <v>7.19</v>
      </c>
      <c r="AC745" s="78">
        <f t="shared" si="416"/>
        <v>45.8101990200882</v>
      </c>
      <c r="AD745" s="78">
        <f t="shared" ref="AD745:AD776" si="420">SUM(W745+AC745)</f>
        <v>396.098905536502</v>
      </c>
      <c r="AE745" s="78">
        <f t="shared" ref="AE745:AE776" si="421">SUM(O745-AD745)</f>
        <v>152.901094463498</v>
      </c>
    </row>
    <row r="746" customFormat="1" spans="1:31">
      <c r="A746" s="18" t="s">
        <v>497</v>
      </c>
      <c r="B746" s="19" t="s">
        <v>498</v>
      </c>
      <c r="C746" s="20">
        <v>240318000003</v>
      </c>
      <c r="D746" s="21">
        <v>45378</v>
      </c>
      <c r="E746" s="21" t="s">
        <v>37</v>
      </c>
      <c r="F746" s="19" t="s">
        <v>38</v>
      </c>
      <c r="G746" s="19" t="s">
        <v>125</v>
      </c>
      <c r="H746" s="19">
        <v>21</v>
      </c>
      <c r="I746" s="41">
        <v>1050</v>
      </c>
      <c r="J746" s="139"/>
      <c r="K746" s="140"/>
      <c r="L746" s="139"/>
      <c r="M746" s="44"/>
      <c r="N746" s="45"/>
      <c r="O746" s="46">
        <f t="shared" si="418"/>
        <v>1050</v>
      </c>
      <c r="P746" s="47">
        <f>SUM(O746:O798)</f>
        <v>237304.1335</v>
      </c>
      <c r="Q746" s="47" t="s">
        <v>40</v>
      </c>
      <c r="R746" s="78">
        <f>SUM(153172/4368)*H746</f>
        <v>736.403846153846</v>
      </c>
      <c r="S746" s="78"/>
      <c r="T746" s="79">
        <f>SUM(245/4368)*H746</f>
        <v>1.17788461538462</v>
      </c>
      <c r="U746" s="78"/>
      <c r="V746" s="78"/>
      <c r="W746" s="80">
        <f t="shared" si="419"/>
        <v>737.581730769231</v>
      </c>
      <c r="X746" s="81">
        <f>SUM(3041.34/4368)*H746</f>
        <v>14.6218269230769</v>
      </c>
      <c r="Y746" s="81"/>
      <c r="Z746" s="81"/>
      <c r="AA746" s="110">
        <f t="shared" si="417"/>
        <v>14.6218269230769</v>
      </c>
      <c r="AB746" s="90">
        <v>7.19</v>
      </c>
      <c r="AC746" s="78">
        <f t="shared" si="416"/>
        <v>105.130935576923</v>
      </c>
      <c r="AD746" s="78">
        <f t="shared" si="420"/>
        <v>842.712666346154</v>
      </c>
      <c r="AE746" s="78">
        <f t="shared" si="421"/>
        <v>207.287333653846</v>
      </c>
    </row>
    <row r="747" customFormat="1" spans="1:31">
      <c r="A747" s="18"/>
      <c r="B747" s="19"/>
      <c r="C747" s="20">
        <v>240318000051</v>
      </c>
      <c r="D747" s="21">
        <v>45378</v>
      </c>
      <c r="E747" s="21" t="s">
        <v>44</v>
      </c>
      <c r="F747" s="19" t="s">
        <v>45</v>
      </c>
      <c r="G747" s="19" t="s">
        <v>499</v>
      </c>
      <c r="H747" s="19">
        <v>17</v>
      </c>
      <c r="I747" s="41">
        <v>980</v>
      </c>
      <c r="J747" s="139"/>
      <c r="K747" s="140"/>
      <c r="L747" s="139"/>
      <c r="M747" s="44"/>
      <c r="N747" s="45"/>
      <c r="O747" s="46">
        <f t="shared" si="418"/>
        <v>980</v>
      </c>
      <c r="P747" s="48"/>
      <c r="Q747" s="48"/>
      <c r="R747" s="78">
        <f t="shared" ref="R747:R778" si="422">SUM(153172/4368)*H747</f>
        <v>596.136446886447</v>
      </c>
      <c r="S747" s="78"/>
      <c r="T747" s="79">
        <f t="shared" ref="T747:T778" si="423">SUM(245/4368)*H747</f>
        <v>0.953525641025641</v>
      </c>
      <c r="U747" s="78"/>
      <c r="V747" s="78"/>
      <c r="W747" s="80">
        <f t="shared" si="419"/>
        <v>597.089972527473</v>
      </c>
      <c r="X747" s="81">
        <f t="shared" ref="X747:X778" si="424">SUM(3041.34/4368)*H747</f>
        <v>11.836717032967</v>
      </c>
      <c r="Y747" s="81"/>
      <c r="Z747" s="81"/>
      <c r="AA747" s="110">
        <f t="shared" si="417"/>
        <v>11.836717032967</v>
      </c>
      <c r="AB747" s="90">
        <v>7.19</v>
      </c>
      <c r="AC747" s="78">
        <f t="shared" si="416"/>
        <v>85.105995467033</v>
      </c>
      <c r="AD747" s="78">
        <f t="shared" si="420"/>
        <v>682.195967994506</v>
      </c>
      <c r="AE747" s="78">
        <f t="shared" si="421"/>
        <v>297.804032005494</v>
      </c>
    </row>
    <row r="748" customFormat="1" spans="1:31">
      <c r="A748" s="18"/>
      <c r="B748" s="19"/>
      <c r="C748" s="20">
        <v>240318000060</v>
      </c>
      <c r="D748" s="21">
        <v>45378</v>
      </c>
      <c r="E748" s="21" t="s">
        <v>47</v>
      </c>
      <c r="F748" s="19" t="s">
        <v>48</v>
      </c>
      <c r="G748" s="19" t="s">
        <v>500</v>
      </c>
      <c r="H748" s="19">
        <v>236</v>
      </c>
      <c r="I748" s="41">
        <v>11328</v>
      </c>
      <c r="J748" s="139"/>
      <c r="K748" s="140"/>
      <c r="L748" s="139"/>
      <c r="M748" s="44"/>
      <c r="N748" s="45"/>
      <c r="O748" s="46">
        <f t="shared" si="418"/>
        <v>11328</v>
      </c>
      <c r="P748" s="48"/>
      <c r="Q748" s="48"/>
      <c r="R748" s="78">
        <f t="shared" si="422"/>
        <v>8275.77655677656</v>
      </c>
      <c r="S748" s="78"/>
      <c r="T748" s="79">
        <f t="shared" si="423"/>
        <v>13.2371794871795</v>
      </c>
      <c r="U748" s="78"/>
      <c r="V748" s="78"/>
      <c r="W748" s="80">
        <f t="shared" si="419"/>
        <v>8289.01373626374</v>
      </c>
      <c r="X748" s="81">
        <f t="shared" si="424"/>
        <v>164.321483516484</v>
      </c>
      <c r="Y748" s="81"/>
      <c r="Z748" s="81"/>
      <c r="AA748" s="110">
        <f t="shared" si="417"/>
        <v>164.321483516484</v>
      </c>
      <c r="AB748" s="90">
        <v>7.19</v>
      </c>
      <c r="AC748" s="78">
        <f t="shared" si="416"/>
        <v>1181.47146648352</v>
      </c>
      <c r="AD748" s="78">
        <f t="shared" si="420"/>
        <v>9470.48520274725</v>
      </c>
      <c r="AE748" s="78">
        <f t="shared" si="421"/>
        <v>1857.51479725275</v>
      </c>
    </row>
    <row r="749" customFormat="1" spans="1:31">
      <c r="A749" s="18"/>
      <c r="B749" s="19"/>
      <c r="C749" s="20">
        <v>240318000067</v>
      </c>
      <c r="D749" s="21">
        <v>45378</v>
      </c>
      <c r="E749" s="21" t="s">
        <v>47</v>
      </c>
      <c r="F749" s="19" t="s">
        <v>48</v>
      </c>
      <c r="G749" s="19" t="s">
        <v>501</v>
      </c>
      <c r="H749" s="19">
        <v>1.5</v>
      </c>
      <c r="I749" s="41">
        <v>355</v>
      </c>
      <c r="J749" s="139"/>
      <c r="K749" s="140"/>
      <c r="L749" s="139"/>
      <c r="M749" s="44"/>
      <c r="N749" s="45"/>
      <c r="O749" s="46">
        <f t="shared" si="418"/>
        <v>355</v>
      </c>
      <c r="P749" s="48"/>
      <c r="Q749" s="48"/>
      <c r="R749" s="78">
        <f t="shared" si="422"/>
        <v>52.6002747252747</v>
      </c>
      <c r="S749" s="78"/>
      <c r="T749" s="79">
        <f t="shared" si="423"/>
        <v>0.0841346153846154</v>
      </c>
      <c r="U749" s="78"/>
      <c r="V749" s="78"/>
      <c r="W749" s="80">
        <f t="shared" si="419"/>
        <v>52.6844093406593</v>
      </c>
      <c r="X749" s="81">
        <f t="shared" si="424"/>
        <v>1.04441620879121</v>
      </c>
      <c r="Y749" s="81"/>
      <c r="Z749" s="81"/>
      <c r="AA749" s="110">
        <f t="shared" si="417"/>
        <v>1.04441620879121</v>
      </c>
      <c r="AB749" s="90">
        <v>7.19</v>
      </c>
      <c r="AC749" s="78">
        <f t="shared" si="416"/>
        <v>7.50935254120879</v>
      </c>
      <c r="AD749" s="78">
        <f t="shared" si="420"/>
        <v>60.1937618818681</v>
      </c>
      <c r="AE749" s="78">
        <f t="shared" si="421"/>
        <v>294.806238118132</v>
      </c>
    </row>
    <row r="750" customFormat="1" spans="1:31">
      <c r="A750" s="18"/>
      <c r="B750" s="19"/>
      <c r="C750" s="20">
        <v>240318000071</v>
      </c>
      <c r="D750" s="21">
        <v>45378</v>
      </c>
      <c r="E750" s="21" t="s">
        <v>37</v>
      </c>
      <c r="F750" s="19" t="s">
        <v>38</v>
      </c>
      <c r="G750" s="19" t="s">
        <v>173</v>
      </c>
      <c r="H750" s="19">
        <v>17</v>
      </c>
      <c r="I750" s="41">
        <v>884</v>
      </c>
      <c r="J750" s="139"/>
      <c r="K750" s="140"/>
      <c r="L750" s="139"/>
      <c r="M750" s="44"/>
      <c r="N750" s="45"/>
      <c r="O750" s="46">
        <f t="shared" si="418"/>
        <v>884</v>
      </c>
      <c r="P750" s="48"/>
      <c r="Q750" s="48"/>
      <c r="R750" s="78">
        <f t="shared" si="422"/>
        <v>596.136446886447</v>
      </c>
      <c r="S750" s="78"/>
      <c r="T750" s="79">
        <f t="shared" si="423"/>
        <v>0.953525641025641</v>
      </c>
      <c r="U750" s="78"/>
      <c r="V750" s="78"/>
      <c r="W750" s="80">
        <f t="shared" si="419"/>
        <v>597.089972527473</v>
      </c>
      <c r="X750" s="81">
        <f t="shared" si="424"/>
        <v>11.836717032967</v>
      </c>
      <c r="Y750" s="81"/>
      <c r="Z750" s="81"/>
      <c r="AA750" s="110">
        <f t="shared" si="417"/>
        <v>11.836717032967</v>
      </c>
      <c r="AB750" s="90">
        <v>7.19</v>
      </c>
      <c r="AC750" s="78">
        <f t="shared" si="416"/>
        <v>85.105995467033</v>
      </c>
      <c r="AD750" s="78">
        <f t="shared" si="420"/>
        <v>682.195967994506</v>
      </c>
      <c r="AE750" s="78">
        <f t="shared" si="421"/>
        <v>201.804032005494</v>
      </c>
    </row>
    <row r="751" customFormat="1" spans="1:31">
      <c r="A751" s="18"/>
      <c r="B751" s="19"/>
      <c r="C751" s="20">
        <v>240319000008</v>
      </c>
      <c r="D751" s="21">
        <v>45378</v>
      </c>
      <c r="E751" s="21" t="s">
        <v>44</v>
      </c>
      <c r="F751" s="19" t="s">
        <v>45</v>
      </c>
      <c r="G751" s="19" t="s">
        <v>124</v>
      </c>
      <c r="H751" s="19">
        <v>14</v>
      </c>
      <c r="I751" s="49"/>
      <c r="J751" s="137">
        <v>108500</v>
      </c>
      <c r="K751" s="138"/>
      <c r="L751" s="50">
        <f>SUM(J751/M751)</f>
        <v>1114.53518233179</v>
      </c>
      <c r="M751" s="52">
        <v>97.35</v>
      </c>
      <c r="N751" s="45">
        <v>7.19</v>
      </c>
      <c r="O751" s="46">
        <f t="shared" ref="O751:O754" si="425">SUM(M751*N751)</f>
        <v>699.9465</v>
      </c>
      <c r="P751" s="48"/>
      <c r="Q751" s="48"/>
      <c r="R751" s="78">
        <f t="shared" si="422"/>
        <v>490.935897435897</v>
      </c>
      <c r="S751" s="78"/>
      <c r="T751" s="79">
        <f t="shared" si="423"/>
        <v>0.78525641025641</v>
      </c>
      <c r="U751" s="78"/>
      <c r="V751" s="78"/>
      <c r="W751" s="80">
        <f t="shared" si="419"/>
        <v>491.721153846154</v>
      </c>
      <c r="X751" s="81">
        <f t="shared" si="424"/>
        <v>9.74788461538462</v>
      </c>
      <c r="Y751" s="81"/>
      <c r="Z751" s="81"/>
      <c r="AA751" s="110">
        <f t="shared" si="417"/>
        <v>9.74788461538462</v>
      </c>
      <c r="AB751" s="90">
        <v>7.19</v>
      </c>
      <c r="AC751" s="78">
        <f t="shared" si="416"/>
        <v>70.0872903846154</v>
      </c>
      <c r="AD751" s="78">
        <f t="shared" si="420"/>
        <v>561.808444230769</v>
      </c>
      <c r="AE751" s="78">
        <f t="shared" si="421"/>
        <v>138.138055769231</v>
      </c>
    </row>
    <row r="752" customFormat="1" spans="1:31">
      <c r="A752" s="18"/>
      <c r="B752" s="19"/>
      <c r="C752" s="20">
        <v>240319000013</v>
      </c>
      <c r="D752" s="21">
        <v>45378</v>
      </c>
      <c r="E752" s="21" t="s">
        <v>47</v>
      </c>
      <c r="F752" s="19" t="s">
        <v>48</v>
      </c>
      <c r="G752" s="19" t="s">
        <v>502</v>
      </c>
      <c r="H752" s="19">
        <v>18</v>
      </c>
      <c r="I752" s="41">
        <v>942</v>
      </c>
      <c r="J752" s="139"/>
      <c r="K752" s="140"/>
      <c r="L752" s="139"/>
      <c r="M752" s="44"/>
      <c r="N752" s="45"/>
      <c r="O752" s="46">
        <f t="shared" ref="O752:O756" si="426">SUM(I752)</f>
        <v>942</v>
      </c>
      <c r="P752" s="48"/>
      <c r="Q752" s="48"/>
      <c r="R752" s="78">
        <f t="shared" si="422"/>
        <v>631.203296703297</v>
      </c>
      <c r="S752" s="78"/>
      <c r="T752" s="79">
        <f t="shared" si="423"/>
        <v>1.00961538461538</v>
      </c>
      <c r="U752" s="78"/>
      <c r="V752" s="78"/>
      <c r="W752" s="80">
        <f t="shared" si="419"/>
        <v>632.212912087912</v>
      </c>
      <c r="X752" s="81">
        <f t="shared" si="424"/>
        <v>12.5329945054945</v>
      </c>
      <c r="Y752" s="81"/>
      <c r="Z752" s="81"/>
      <c r="AA752" s="110">
        <f t="shared" si="417"/>
        <v>12.5329945054945</v>
      </c>
      <c r="AB752" s="90">
        <v>7.19</v>
      </c>
      <c r="AC752" s="78">
        <f t="shared" si="416"/>
        <v>90.1122304945055</v>
      </c>
      <c r="AD752" s="78">
        <f t="shared" si="420"/>
        <v>722.325142582418</v>
      </c>
      <c r="AE752" s="78">
        <f t="shared" si="421"/>
        <v>219.674857417582</v>
      </c>
    </row>
    <row r="753" customFormat="1" spans="1:31">
      <c r="A753" s="18"/>
      <c r="B753" s="19"/>
      <c r="C753" s="20">
        <v>240319000024</v>
      </c>
      <c r="D753" s="21">
        <v>45378</v>
      </c>
      <c r="E753" s="21" t="s">
        <v>37</v>
      </c>
      <c r="F753" s="19" t="s">
        <v>38</v>
      </c>
      <c r="G753" s="19" t="s">
        <v>211</v>
      </c>
      <c r="H753" s="19">
        <v>43</v>
      </c>
      <c r="I753" s="46"/>
      <c r="J753" s="137">
        <v>381807</v>
      </c>
      <c r="K753" s="140"/>
      <c r="L753" s="50">
        <f>SUM(J753/M753)</f>
        <v>1350</v>
      </c>
      <c r="M753" s="52">
        <v>282.82</v>
      </c>
      <c r="N753" s="45">
        <v>7.19</v>
      </c>
      <c r="O753" s="46">
        <f t="shared" si="425"/>
        <v>2033.4758</v>
      </c>
      <c r="P753" s="48"/>
      <c r="Q753" s="48"/>
      <c r="R753" s="78">
        <f t="shared" si="422"/>
        <v>1507.87454212454</v>
      </c>
      <c r="S753" s="78"/>
      <c r="T753" s="79">
        <f t="shared" si="423"/>
        <v>2.41185897435897</v>
      </c>
      <c r="U753" s="78"/>
      <c r="V753" s="78"/>
      <c r="W753" s="80">
        <f t="shared" si="419"/>
        <v>1510.2864010989</v>
      </c>
      <c r="X753" s="81">
        <f t="shared" si="424"/>
        <v>29.9399313186813</v>
      </c>
      <c r="Y753" s="81"/>
      <c r="Z753" s="81"/>
      <c r="AA753" s="110">
        <f t="shared" si="417"/>
        <v>29.9399313186813</v>
      </c>
      <c r="AB753" s="90">
        <v>7.19</v>
      </c>
      <c r="AC753" s="78">
        <f t="shared" si="416"/>
        <v>215.268106181319</v>
      </c>
      <c r="AD753" s="78">
        <f t="shared" si="420"/>
        <v>1725.55450728022</v>
      </c>
      <c r="AE753" s="78">
        <f t="shared" si="421"/>
        <v>307.92129271978</v>
      </c>
    </row>
    <row r="754" customFormat="1" spans="1:31">
      <c r="A754" s="18"/>
      <c r="B754" s="19"/>
      <c r="C754" s="20">
        <v>240319000025</v>
      </c>
      <c r="D754" s="21">
        <v>45378</v>
      </c>
      <c r="E754" s="21" t="s">
        <v>85</v>
      </c>
      <c r="F754" s="19" t="s">
        <v>260</v>
      </c>
      <c r="G754" s="19" t="s">
        <v>503</v>
      </c>
      <c r="H754" s="19">
        <v>0.9</v>
      </c>
      <c r="I754" s="46"/>
      <c r="J754" s="137">
        <v>10233.6</v>
      </c>
      <c r="K754" s="138"/>
      <c r="L754" s="50">
        <f t="shared" ref="L754:L760" si="427">SUM(J754/M754)</f>
        <v>1248</v>
      </c>
      <c r="M754" s="52">
        <v>8.2</v>
      </c>
      <c r="N754" s="45">
        <v>7.19</v>
      </c>
      <c r="O754" s="46">
        <f t="shared" si="425"/>
        <v>58.958</v>
      </c>
      <c r="P754" s="48"/>
      <c r="Q754" s="48"/>
      <c r="R754" s="78">
        <f t="shared" si="422"/>
        <v>31.5601648351648</v>
      </c>
      <c r="S754" s="78"/>
      <c r="T754" s="79">
        <f t="shared" si="423"/>
        <v>0.0504807692307692</v>
      </c>
      <c r="U754" s="78"/>
      <c r="V754" s="78"/>
      <c r="W754" s="80">
        <f t="shared" si="419"/>
        <v>31.6106456043956</v>
      </c>
      <c r="X754" s="81">
        <f t="shared" si="424"/>
        <v>0.626649725274725</v>
      </c>
      <c r="Y754" s="81"/>
      <c r="Z754" s="81"/>
      <c r="AA754" s="110">
        <f t="shared" si="417"/>
        <v>0.626649725274725</v>
      </c>
      <c r="AB754" s="90">
        <v>7.19</v>
      </c>
      <c r="AC754" s="78">
        <f t="shared" si="416"/>
        <v>4.50561152472527</v>
      </c>
      <c r="AD754" s="78">
        <f t="shared" si="420"/>
        <v>36.1162571291209</v>
      </c>
      <c r="AE754" s="78">
        <f t="shared" si="421"/>
        <v>22.8417428708791</v>
      </c>
    </row>
    <row r="755" customFormat="1" spans="1:31">
      <c r="A755" s="18"/>
      <c r="B755" s="19"/>
      <c r="C755" s="20">
        <v>240319000026</v>
      </c>
      <c r="D755" s="21">
        <v>45378</v>
      </c>
      <c r="E755" s="21" t="s">
        <v>37</v>
      </c>
      <c r="F755" s="19" t="s">
        <v>38</v>
      </c>
      <c r="G755" s="19" t="s">
        <v>39</v>
      </c>
      <c r="H755" s="19">
        <v>3</v>
      </c>
      <c r="I755" s="41">
        <v>168</v>
      </c>
      <c r="J755" s="139"/>
      <c r="K755" s="140"/>
      <c r="L755" s="139"/>
      <c r="M755" s="44"/>
      <c r="N755" s="45"/>
      <c r="O755" s="46">
        <f t="shared" si="426"/>
        <v>168</v>
      </c>
      <c r="P755" s="48"/>
      <c r="Q755" s="48"/>
      <c r="R755" s="78">
        <f t="shared" si="422"/>
        <v>105.200549450549</v>
      </c>
      <c r="S755" s="78"/>
      <c r="T755" s="79">
        <f t="shared" si="423"/>
        <v>0.168269230769231</v>
      </c>
      <c r="U755" s="78"/>
      <c r="V755" s="78"/>
      <c r="W755" s="80">
        <f t="shared" si="419"/>
        <v>105.368818681319</v>
      </c>
      <c r="X755" s="81">
        <f t="shared" si="424"/>
        <v>2.08883241758242</v>
      </c>
      <c r="Y755" s="81"/>
      <c r="Z755" s="81"/>
      <c r="AA755" s="110">
        <f t="shared" si="417"/>
        <v>2.08883241758242</v>
      </c>
      <c r="AB755" s="90">
        <v>7.19</v>
      </c>
      <c r="AC755" s="78">
        <f t="shared" si="416"/>
        <v>15.0187050824176</v>
      </c>
      <c r="AD755" s="78">
        <f t="shared" si="420"/>
        <v>120.387523763736</v>
      </c>
      <c r="AE755" s="78">
        <f t="shared" si="421"/>
        <v>47.612476236264</v>
      </c>
    </row>
    <row r="756" customFormat="1" spans="1:31">
      <c r="A756" s="18"/>
      <c r="B756" s="19"/>
      <c r="C756" s="20">
        <v>240319000029</v>
      </c>
      <c r="D756" s="21">
        <v>45378</v>
      </c>
      <c r="E756" s="21" t="s">
        <v>47</v>
      </c>
      <c r="F756" s="19" t="s">
        <v>48</v>
      </c>
      <c r="G756" s="19" t="s">
        <v>483</v>
      </c>
      <c r="H756" s="19">
        <v>0.59</v>
      </c>
      <c r="I756" s="41">
        <v>96</v>
      </c>
      <c r="J756" s="139"/>
      <c r="K756" s="140"/>
      <c r="L756" s="139"/>
      <c r="M756" s="44"/>
      <c r="N756" s="45"/>
      <c r="O756" s="46">
        <f t="shared" si="426"/>
        <v>96</v>
      </c>
      <c r="P756" s="48"/>
      <c r="Q756" s="48"/>
      <c r="R756" s="78">
        <f t="shared" si="422"/>
        <v>20.6894413919414</v>
      </c>
      <c r="S756" s="78"/>
      <c r="T756" s="79">
        <f t="shared" si="423"/>
        <v>0.0330929487179487</v>
      </c>
      <c r="U756" s="78"/>
      <c r="V756" s="78"/>
      <c r="W756" s="80">
        <f t="shared" si="419"/>
        <v>20.7225343406593</v>
      </c>
      <c r="X756" s="81">
        <f t="shared" si="424"/>
        <v>0.410803708791209</v>
      </c>
      <c r="Y756" s="81"/>
      <c r="Z756" s="81"/>
      <c r="AA756" s="110">
        <f t="shared" si="417"/>
        <v>0.410803708791209</v>
      </c>
      <c r="AB756" s="90">
        <v>7.19</v>
      </c>
      <c r="AC756" s="78">
        <f t="shared" si="416"/>
        <v>2.95367866620879</v>
      </c>
      <c r="AD756" s="78">
        <f t="shared" si="420"/>
        <v>23.6762130068681</v>
      </c>
      <c r="AE756" s="78">
        <f t="shared" si="421"/>
        <v>72.3237869931319</v>
      </c>
    </row>
    <row r="757" customFormat="1" spans="1:31">
      <c r="A757" s="18"/>
      <c r="B757" s="19"/>
      <c r="C757" s="20">
        <v>240319000032</v>
      </c>
      <c r="D757" s="21">
        <v>45378</v>
      </c>
      <c r="E757" s="21" t="s">
        <v>44</v>
      </c>
      <c r="F757" s="19" t="s">
        <v>45</v>
      </c>
      <c r="G757" s="19" t="s">
        <v>124</v>
      </c>
      <c r="H757" s="19">
        <v>11.5</v>
      </c>
      <c r="I757" s="49"/>
      <c r="J757" s="137">
        <v>89125</v>
      </c>
      <c r="K757" s="138"/>
      <c r="L757" s="50">
        <f t="shared" si="427"/>
        <v>1114.48043016131</v>
      </c>
      <c r="M757" s="52">
        <v>79.97</v>
      </c>
      <c r="N757" s="45">
        <v>7.19</v>
      </c>
      <c r="O757" s="46">
        <f t="shared" ref="O757:O760" si="428">SUM(M757*N757)</f>
        <v>574.9843</v>
      </c>
      <c r="P757" s="48"/>
      <c r="Q757" s="48"/>
      <c r="R757" s="78">
        <f t="shared" si="422"/>
        <v>403.268772893773</v>
      </c>
      <c r="S757" s="78"/>
      <c r="T757" s="79">
        <f t="shared" si="423"/>
        <v>0.645032051282051</v>
      </c>
      <c r="U757" s="78"/>
      <c r="V757" s="78"/>
      <c r="W757" s="80">
        <f t="shared" si="419"/>
        <v>403.913804945055</v>
      </c>
      <c r="X757" s="81">
        <f t="shared" si="424"/>
        <v>8.00719093406593</v>
      </c>
      <c r="Y757" s="81"/>
      <c r="Z757" s="81"/>
      <c r="AA757" s="110">
        <f t="shared" si="417"/>
        <v>8.00719093406593</v>
      </c>
      <c r="AB757" s="90">
        <v>7.19</v>
      </c>
      <c r="AC757" s="78">
        <f t="shared" si="416"/>
        <v>57.5717028159341</v>
      </c>
      <c r="AD757" s="78">
        <f t="shared" si="420"/>
        <v>461.485507760989</v>
      </c>
      <c r="AE757" s="78">
        <f t="shared" si="421"/>
        <v>113.498792239011</v>
      </c>
    </row>
    <row r="758" customFormat="1" spans="1:31">
      <c r="A758" s="18"/>
      <c r="B758" s="19"/>
      <c r="C758" s="20">
        <v>240319000033</v>
      </c>
      <c r="D758" s="21">
        <v>45378</v>
      </c>
      <c r="E758" s="21" t="s">
        <v>44</v>
      </c>
      <c r="F758" s="19" t="s">
        <v>45</v>
      </c>
      <c r="G758" s="19" t="s">
        <v>122</v>
      </c>
      <c r="H758" s="19">
        <v>13</v>
      </c>
      <c r="I758" s="49"/>
      <c r="J758" s="137">
        <v>108862</v>
      </c>
      <c r="K758" s="138"/>
      <c r="L758" s="50">
        <f t="shared" si="427"/>
        <v>1136.10937173868</v>
      </c>
      <c r="M758" s="52">
        <v>95.82</v>
      </c>
      <c r="N758" s="45">
        <v>7.19</v>
      </c>
      <c r="O758" s="46">
        <f t="shared" si="428"/>
        <v>688.9458</v>
      </c>
      <c r="P758" s="48"/>
      <c r="Q758" s="48"/>
      <c r="R758" s="78">
        <f t="shared" si="422"/>
        <v>455.869047619048</v>
      </c>
      <c r="S758" s="78"/>
      <c r="T758" s="79">
        <f t="shared" si="423"/>
        <v>0.729166666666667</v>
      </c>
      <c r="U758" s="78"/>
      <c r="V758" s="78"/>
      <c r="W758" s="80">
        <f t="shared" si="419"/>
        <v>456.598214285714</v>
      </c>
      <c r="X758" s="81">
        <f t="shared" si="424"/>
        <v>9.05160714285714</v>
      </c>
      <c r="Y758" s="81"/>
      <c r="Z758" s="81"/>
      <c r="AA758" s="110">
        <f t="shared" si="417"/>
        <v>9.05160714285714</v>
      </c>
      <c r="AB758" s="90">
        <v>7.19</v>
      </c>
      <c r="AC758" s="78">
        <f t="shared" si="416"/>
        <v>65.0810553571429</v>
      </c>
      <c r="AD758" s="78">
        <f t="shared" si="420"/>
        <v>521.679269642857</v>
      </c>
      <c r="AE758" s="78">
        <f t="shared" si="421"/>
        <v>167.266530357143</v>
      </c>
    </row>
    <row r="759" customFormat="1" spans="1:31">
      <c r="A759" s="18"/>
      <c r="B759" s="19"/>
      <c r="C759" s="20">
        <v>240320000004</v>
      </c>
      <c r="D759" s="21">
        <v>45378</v>
      </c>
      <c r="E759" s="21" t="s">
        <v>44</v>
      </c>
      <c r="F759" s="19" t="s">
        <v>45</v>
      </c>
      <c r="G759" s="19" t="s">
        <v>504</v>
      </c>
      <c r="H759" s="19">
        <v>58.5</v>
      </c>
      <c r="I759" s="49"/>
      <c r="J759" s="137">
        <v>637663.5</v>
      </c>
      <c r="K759" s="138"/>
      <c r="L759" s="50">
        <f t="shared" si="427"/>
        <v>1315.77388935889</v>
      </c>
      <c r="M759" s="52">
        <v>484.63</v>
      </c>
      <c r="N759" s="45">
        <v>7.19</v>
      </c>
      <c r="O759" s="46">
        <f t="shared" si="428"/>
        <v>3484.4897</v>
      </c>
      <c r="P759" s="48"/>
      <c r="Q759" s="48"/>
      <c r="R759" s="78">
        <f t="shared" si="422"/>
        <v>2051.41071428571</v>
      </c>
      <c r="S759" s="78"/>
      <c r="T759" s="79">
        <f t="shared" si="423"/>
        <v>3.28125</v>
      </c>
      <c r="U759" s="78"/>
      <c r="V759" s="79">
        <v>118</v>
      </c>
      <c r="W759" s="80">
        <f t="shared" si="419"/>
        <v>2172.69196428571</v>
      </c>
      <c r="X759" s="81">
        <f t="shared" si="424"/>
        <v>40.7322321428571</v>
      </c>
      <c r="Y759" s="81"/>
      <c r="Z759" s="81"/>
      <c r="AA759" s="110">
        <f t="shared" si="417"/>
        <v>40.7322321428571</v>
      </c>
      <c r="AB759" s="90">
        <v>7.19</v>
      </c>
      <c r="AC759" s="78">
        <f t="shared" si="416"/>
        <v>292.864749107143</v>
      </c>
      <c r="AD759" s="78">
        <f t="shared" si="420"/>
        <v>2465.55671339286</v>
      </c>
      <c r="AE759" s="78">
        <f t="shared" si="421"/>
        <v>1018.93298660714</v>
      </c>
    </row>
    <row r="760" customFormat="1" spans="1:31">
      <c r="A760" s="18"/>
      <c r="B760" s="19"/>
      <c r="C760" s="20">
        <v>240320000006</v>
      </c>
      <c r="D760" s="21">
        <v>45378</v>
      </c>
      <c r="E760" s="21" t="s">
        <v>37</v>
      </c>
      <c r="F760" s="19" t="s">
        <v>38</v>
      </c>
      <c r="G760" s="19" t="s">
        <v>380</v>
      </c>
      <c r="H760" s="19">
        <v>96</v>
      </c>
      <c r="I760" s="46"/>
      <c r="J760" s="137">
        <v>864266.4</v>
      </c>
      <c r="K760" s="140"/>
      <c r="L760" s="50">
        <f t="shared" si="427"/>
        <v>1360</v>
      </c>
      <c r="M760" s="52">
        <v>635.49</v>
      </c>
      <c r="N760" s="45">
        <v>7.19</v>
      </c>
      <c r="O760" s="46">
        <f t="shared" si="428"/>
        <v>4569.1731</v>
      </c>
      <c r="P760" s="48"/>
      <c r="Q760" s="48"/>
      <c r="R760" s="78">
        <f t="shared" si="422"/>
        <v>3366.41758241758</v>
      </c>
      <c r="S760" s="78"/>
      <c r="T760" s="79">
        <f t="shared" si="423"/>
        <v>5.38461538461539</v>
      </c>
      <c r="U760" s="78"/>
      <c r="V760" s="78"/>
      <c r="W760" s="80">
        <f t="shared" si="419"/>
        <v>3371.8021978022</v>
      </c>
      <c r="X760" s="81">
        <f t="shared" si="424"/>
        <v>66.8426373626374</v>
      </c>
      <c r="Y760" s="81"/>
      <c r="Z760" s="81"/>
      <c r="AA760" s="110">
        <f t="shared" si="417"/>
        <v>66.8426373626374</v>
      </c>
      <c r="AB760" s="90">
        <v>7.19</v>
      </c>
      <c r="AC760" s="78">
        <f t="shared" si="416"/>
        <v>480.598562637363</v>
      </c>
      <c r="AD760" s="78">
        <f t="shared" si="420"/>
        <v>3852.40076043956</v>
      </c>
      <c r="AE760" s="78">
        <f t="shared" si="421"/>
        <v>716.77233956044</v>
      </c>
    </row>
    <row r="761" customFormat="1" spans="1:31">
      <c r="A761" s="18"/>
      <c r="B761" s="19"/>
      <c r="C761" s="20">
        <v>240320000008</v>
      </c>
      <c r="D761" s="21">
        <v>45378</v>
      </c>
      <c r="E761" s="21" t="s">
        <v>51</v>
      </c>
      <c r="F761" s="19" t="s">
        <v>65</v>
      </c>
      <c r="G761" s="19" t="s">
        <v>359</v>
      </c>
      <c r="H761" s="19">
        <v>9.5</v>
      </c>
      <c r="I761" s="41">
        <v>557</v>
      </c>
      <c r="J761" s="139"/>
      <c r="K761" s="140"/>
      <c r="L761" s="139"/>
      <c r="M761" s="44"/>
      <c r="N761" s="45"/>
      <c r="O761" s="46">
        <f t="shared" ref="O761:O766" si="429">SUM(I761)</f>
        <v>557</v>
      </c>
      <c r="P761" s="48"/>
      <c r="Q761" s="48"/>
      <c r="R761" s="78">
        <f t="shared" si="422"/>
        <v>333.135073260073</v>
      </c>
      <c r="S761" s="78"/>
      <c r="T761" s="79">
        <f t="shared" si="423"/>
        <v>0.532852564102564</v>
      </c>
      <c r="U761" s="78"/>
      <c r="V761" s="78"/>
      <c r="W761" s="80">
        <f t="shared" si="419"/>
        <v>333.667925824176</v>
      </c>
      <c r="X761" s="81">
        <f t="shared" si="424"/>
        <v>6.61463598901099</v>
      </c>
      <c r="Y761" s="81"/>
      <c r="Z761" s="81"/>
      <c r="AA761" s="110">
        <f t="shared" si="417"/>
        <v>6.61463598901099</v>
      </c>
      <c r="AB761" s="90">
        <v>7.19</v>
      </c>
      <c r="AC761" s="78">
        <f t="shared" si="416"/>
        <v>47.559232760989</v>
      </c>
      <c r="AD761" s="78">
        <f t="shared" si="420"/>
        <v>381.227158585165</v>
      </c>
      <c r="AE761" s="78">
        <f t="shared" si="421"/>
        <v>175.772841414835</v>
      </c>
    </row>
    <row r="762" customFormat="1" spans="1:31">
      <c r="A762" s="18"/>
      <c r="B762" s="19"/>
      <c r="C762" s="20">
        <v>240320000012</v>
      </c>
      <c r="D762" s="21">
        <v>45378</v>
      </c>
      <c r="E762" s="21" t="s">
        <v>37</v>
      </c>
      <c r="F762" s="19" t="s">
        <v>38</v>
      </c>
      <c r="G762" s="19" t="s">
        <v>39</v>
      </c>
      <c r="H762" s="19">
        <v>4</v>
      </c>
      <c r="I762" s="41">
        <v>223</v>
      </c>
      <c r="J762" s="139"/>
      <c r="K762" s="140"/>
      <c r="L762" s="139"/>
      <c r="M762" s="44"/>
      <c r="N762" s="45"/>
      <c r="O762" s="46">
        <f t="shared" si="429"/>
        <v>223</v>
      </c>
      <c r="P762" s="48"/>
      <c r="Q762" s="48"/>
      <c r="R762" s="78">
        <f t="shared" si="422"/>
        <v>140.267399267399</v>
      </c>
      <c r="S762" s="78"/>
      <c r="T762" s="79">
        <f t="shared" si="423"/>
        <v>0.224358974358974</v>
      </c>
      <c r="U762" s="78"/>
      <c r="V762" s="78"/>
      <c r="W762" s="80">
        <f t="shared" si="419"/>
        <v>140.491758241758</v>
      </c>
      <c r="X762" s="81">
        <f t="shared" si="424"/>
        <v>2.78510989010989</v>
      </c>
      <c r="Y762" s="81"/>
      <c r="Z762" s="81"/>
      <c r="AA762" s="110">
        <f t="shared" si="417"/>
        <v>2.78510989010989</v>
      </c>
      <c r="AB762" s="90">
        <v>7.19</v>
      </c>
      <c r="AC762" s="78">
        <f t="shared" si="416"/>
        <v>20.0249401098901</v>
      </c>
      <c r="AD762" s="78">
        <f t="shared" si="420"/>
        <v>160.516698351648</v>
      </c>
      <c r="AE762" s="78">
        <f t="shared" si="421"/>
        <v>62.483301648352</v>
      </c>
    </row>
    <row r="763" customFormat="1" spans="1:31">
      <c r="A763" s="18"/>
      <c r="B763" s="19"/>
      <c r="C763" s="20">
        <v>240320000014</v>
      </c>
      <c r="D763" s="21">
        <v>45378</v>
      </c>
      <c r="E763" s="21" t="s">
        <v>37</v>
      </c>
      <c r="F763" s="19" t="s">
        <v>38</v>
      </c>
      <c r="G763" s="19" t="s">
        <v>505</v>
      </c>
      <c r="H763" s="19">
        <v>100</v>
      </c>
      <c r="I763" s="41">
        <v>4820</v>
      </c>
      <c r="J763" s="139"/>
      <c r="K763" s="140"/>
      <c r="L763" s="139"/>
      <c r="M763" s="44"/>
      <c r="N763" s="45"/>
      <c r="O763" s="46">
        <f t="shared" si="429"/>
        <v>4820</v>
      </c>
      <c r="P763" s="48"/>
      <c r="Q763" s="48"/>
      <c r="R763" s="78">
        <f t="shared" si="422"/>
        <v>3506.68498168498</v>
      </c>
      <c r="S763" s="78"/>
      <c r="T763" s="79">
        <f t="shared" si="423"/>
        <v>5.60897435897436</v>
      </c>
      <c r="U763" s="78"/>
      <c r="V763" s="78"/>
      <c r="W763" s="80">
        <f t="shared" si="419"/>
        <v>3512.29395604396</v>
      </c>
      <c r="X763" s="81">
        <f t="shared" si="424"/>
        <v>69.6277472527473</v>
      </c>
      <c r="Y763" s="81"/>
      <c r="Z763" s="81"/>
      <c r="AA763" s="110">
        <f t="shared" si="417"/>
        <v>69.6277472527473</v>
      </c>
      <c r="AB763" s="90">
        <v>7.19</v>
      </c>
      <c r="AC763" s="78">
        <f t="shared" si="416"/>
        <v>500.623502747253</v>
      </c>
      <c r="AD763" s="78">
        <f t="shared" si="420"/>
        <v>4012.91745879121</v>
      </c>
      <c r="AE763" s="78">
        <f t="shared" si="421"/>
        <v>807.08254120879</v>
      </c>
    </row>
    <row r="764" customFormat="1" spans="1:31">
      <c r="A764" s="18"/>
      <c r="B764" s="19"/>
      <c r="C764" s="20">
        <v>240320000016</v>
      </c>
      <c r="D764" s="21">
        <v>45378</v>
      </c>
      <c r="E764" s="21" t="s">
        <v>47</v>
      </c>
      <c r="F764" s="19" t="s">
        <v>48</v>
      </c>
      <c r="G764" s="19" t="s">
        <v>506</v>
      </c>
      <c r="H764" s="19">
        <v>10</v>
      </c>
      <c r="I764" s="41">
        <v>864.6</v>
      </c>
      <c r="J764" s="139"/>
      <c r="K764" s="140"/>
      <c r="L764" s="139"/>
      <c r="M764" s="44"/>
      <c r="N764" s="45"/>
      <c r="O764" s="46">
        <f t="shared" si="429"/>
        <v>864.6</v>
      </c>
      <c r="P764" s="48"/>
      <c r="Q764" s="48"/>
      <c r="R764" s="78">
        <f t="shared" si="422"/>
        <v>350.668498168498</v>
      </c>
      <c r="S764" s="78"/>
      <c r="T764" s="79">
        <f t="shared" si="423"/>
        <v>0.560897435897436</v>
      </c>
      <c r="U764" s="79">
        <v>80</v>
      </c>
      <c r="V764" s="78"/>
      <c r="W764" s="80">
        <f t="shared" si="419"/>
        <v>431.229395604396</v>
      </c>
      <c r="X764" s="81">
        <f t="shared" si="424"/>
        <v>6.96277472527473</v>
      </c>
      <c r="Y764" s="81"/>
      <c r="Z764" s="81"/>
      <c r="AA764" s="110">
        <f t="shared" si="417"/>
        <v>6.96277472527473</v>
      </c>
      <c r="AB764" s="90">
        <v>7.19</v>
      </c>
      <c r="AC764" s="78">
        <f t="shared" si="416"/>
        <v>50.0623502747253</v>
      </c>
      <c r="AD764" s="78">
        <f t="shared" si="420"/>
        <v>481.291745879121</v>
      </c>
      <c r="AE764" s="78">
        <f t="shared" si="421"/>
        <v>383.308254120879</v>
      </c>
    </row>
    <row r="765" customFormat="1" spans="1:31">
      <c r="A765" s="18"/>
      <c r="B765" s="19"/>
      <c r="C765" s="20">
        <v>240320000020</v>
      </c>
      <c r="D765" s="21">
        <v>45378</v>
      </c>
      <c r="E765" s="21" t="s">
        <v>37</v>
      </c>
      <c r="F765" s="19" t="s">
        <v>38</v>
      </c>
      <c r="G765" s="19" t="s">
        <v>125</v>
      </c>
      <c r="H765" s="19">
        <v>0.76</v>
      </c>
      <c r="I765" s="41">
        <v>64</v>
      </c>
      <c r="J765" s="139"/>
      <c r="K765" s="140"/>
      <c r="L765" s="139"/>
      <c r="M765" s="44"/>
      <c r="N765" s="45"/>
      <c r="O765" s="46">
        <f t="shared" si="429"/>
        <v>64</v>
      </c>
      <c r="P765" s="48"/>
      <c r="Q765" s="48"/>
      <c r="R765" s="78">
        <f t="shared" si="422"/>
        <v>26.6508058608059</v>
      </c>
      <c r="S765" s="78"/>
      <c r="T765" s="79">
        <f t="shared" si="423"/>
        <v>0.0426282051282051</v>
      </c>
      <c r="U765" s="78"/>
      <c r="V765" s="78"/>
      <c r="W765" s="80">
        <f t="shared" si="419"/>
        <v>26.6934340659341</v>
      </c>
      <c r="X765" s="81">
        <f t="shared" si="424"/>
        <v>0.529170879120879</v>
      </c>
      <c r="Y765" s="81"/>
      <c r="Z765" s="81"/>
      <c r="AA765" s="110">
        <f t="shared" si="417"/>
        <v>0.529170879120879</v>
      </c>
      <c r="AB765" s="90">
        <v>7.19</v>
      </c>
      <c r="AC765" s="78">
        <f t="shared" si="416"/>
        <v>3.80473862087912</v>
      </c>
      <c r="AD765" s="78">
        <f t="shared" si="420"/>
        <v>30.4981726868132</v>
      </c>
      <c r="AE765" s="78">
        <f t="shared" si="421"/>
        <v>33.5018273131868</v>
      </c>
    </row>
    <row r="766" customFormat="1" spans="1:31">
      <c r="A766" s="18"/>
      <c r="B766" s="19"/>
      <c r="C766" s="20">
        <v>240320000021</v>
      </c>
      <c r="D766" s="21">
        <v>45378</v>
      </c>
      <c r="E766" s="21" t="s">
        <v>37</v>
      </c>
      <c r="F766" s="19" t="s">
        <v>38</v>
      </c>
      <c r="G766" s="19" t="s">
        <v>125</v>
      </c>
      <c r="H766" s="19">
        <v>6.5</v>
      </c>
      <c r="I766" s="41">
        <v>338.5</v>
      </c>
      <c r="J766" s="139"/>
      <c r="K766" s="140"/>
      <c r="L766" s="139"/>
      <c r="M766" s="44"/>
      <c r="N766" s="45"/>
      <c r="O766" s="46">
        <f t="shared" si="429"/>
        <v>338.5</v>
      </c>
      <c r="P766" s="48"/>
      <c r="Q766" s="48"/>
      <c r="R766" s="78">
        <f t="shared" si="422"/>
        <v>227.934523809524</v>
      </c>
      <c r="S766" s="78"/>
      <c r="T766" s="79">
        <f t="shared" si="423"/>
        <v>0.364583333333333</v>
      </c>
      <c r="U766" s="78"/>
      <c r="V766" s="78"/>
      <c r="W766" s="80">
        <f t="shared" si="419"/>
        <v>228.299107142857</v>
      </c>
      <c r="X766" s="81">
        <f t="shared" si="424"/>
        <v>4.52580357142857</v>
      </c>
      <c r="Y766" s="81"/>
      <c r="Z766" s="81"/>
      <c r="AA766" s="110">
        <f t="shared" si="417"/>
        <v>4.52580357142857</v>
      </c>
      <c r="AB766" s="90">
        <v>7.19</v>
      </c>
      <c r="AC766" s="78">
        <f t="shared" si="416"/>
        <v>32.5405276785714</v>
      </c>
      <c r="AD766" s="78">
        <f t="shared" si="420"/>
        <v>260.839634821429</v>
      </c>
      <c r="AE766" s="78">
        <f t="shared" si="421"/>
        <v>77.660365178571</v>
      </c>
    </row>
    <row r="767" customFormat="1" spans="1:31">
      <c r="A767" s="18"/>
      <c r="B767" s="19"/>
      <c r="C767" s="22">
        <v>240320000023</v>
      </c>
      <c r="D767" s="23">
        <v>45378</v>
      </c>
      <c r="E767" s="21" t="s">
        <v>37</v>
      </c>
      <c r="F767" s="24" t="s">
        <v>38</v>
      </c>
      <c r="G767" s="24" t="s">
        <v>507</v>
      </c>
      <c r="H767" s="24">
        <v>0.59</v>
      </c>
      <c r="I767" s="49"/>
      <c r="J767" s="50">
        <v>11700</v>
      </c>
      <c r="K767" s="91"/>
      <c r="L767" s="50">
        <f>SUM(J767/M767)</f>
        <v>1426.82926829268</v>
      </c>
      <c r="M767" s="56">
        <v>8.2</v>
      </c>
      <c r="N767" s="45">
        <v>7.19</v>
      </c>
      <c r="O767" s="46">
        <f>SUM(M767*N767)</f>
        <v>58.958</v>
      </c>
      <c r="P767" s="48"/>
      <c r="Q767" s="48"/>
      <c r="R767" s="78">
        <f t="shared" si="422"/>
        <v>20.6894413919414</v>
      </c>
      <c r="S767" s="78"/>
      <c r="T767" s="79">
        <f t="shared" si="423"/>
        <v>0.0330929487179487</v>
      </c>
      <c r="U767" s="78"/>
      <c r="V767" s="78"/>
      <c r="W767" s="80">
        <f t="shared" si="419"/>
        <v>20.7225343406593</v>
      </c>
      <c r="X767" s="81">
        <f t="shared" si="424"/>
        <v>0.410803708791209</v>
      </c>
      <c r="Y767" s="81"/>
      <c r="Z767" s="81"/>
      <c r="AA767" s="110">
        <f t="shared" si="417"/>
        <v>0.410803708791209</v>
      </c>
      <c r="AB767" s="90">
        <v>7.19</v>
      </c>
      <c r="AC767" s="78">
        <f t="shared" si="416"/>
        <v>2.95367866620879</v>
      </c>
      <c r="AD767" s="78">
        <f t="shared" si="420"/>
        <v>23.6762130068681</v>
      </c>
      <c r="AE767" s="78">
        <f t="shared" si="421"/>
        <v>35.2817869931319</v>
      </c>
    </row>
    <row r="768" customFormat="1" spans="1:31">
      <c r="A768" s="18"/>
      <c r="B768" s="19"/>
      <c r="C768" s="20">
        <v>240321000004</v>
      </c>
      <c r="D768" s="21">
        <v>45378</v>
      </c>
      <c r="E768" s="21" t="s">
        <v>41</v>
      </c>
      <c r="F768" s="19" t="s">
        <v>42</v>
      </c>
      <c r="G768" s="19" t="s">
        <v>247</v>
      </c>
      <c r="H768" s="19">
        <v>3</v>
      </c>
      <c r="I768" s="41">
        <v>186</v>
      </c>
      <c r="J768" s="139"/>
      <c r="K768" s="140"/>
      <c r="L768" s="139"/>
      <c r="M768" s="44"/>
      <c r="N768" s="45"/>
      <c r="O768" s="46">
        <f t="shared" ref="O768:O774" si="430">SUM(I768)</f>
        <v>186</v>
      </c>
      <c r="P768" s="48"/>
      <c r="Q768" s="48"/>
      <c r="R768" s="78">
        <f t="shared" si="422"/>
        <v>105.200549450549</v>
      </c>
      <c r="S768" s="78"/>
      <c r="T768" s="79">
        <f t="shared" si="423"/>
        <v>0.168269230769231</v>
      </c>
      <c r="U768" s="78"/>
      <c r="V768" s="78"/>
      <c r="W768" s="80">
        <f t="shared" si="419"/>
        <v>105.368818681319</v>
      </c>
      <c r="X768" s="81">
        <f t="shared" si="424"/>
        <v>2.08883241758242</v>
      </c>
      <c r="Y768" s="81"/>
      <c r="Z768" s="81"/>
      <c r="AA768" s="110">
        <f t="shared" si="417"/>
        <v>2.08883241758242</v>
      </c>
      <c r="AB768" s="90">
        <v>7.19</v>
      </c>
      <c r="AC768" s="78">
        <f t="shared" si="416"/>
        <v>15.0187050824176</v>
      </c>
      <c r="AD768" s="78">
        <f t="shared" si="420"/>
        <v>120.387523763736</v>
      </c>
      <c r="AE768" s="78">
        <f t="shared" si="421"/>
        <v>65.612476236264</v>
      </c>
    </row>
    <row r="769" customFormat="1" spans="1:31">
      <c r="A769" s="18"/>
      <c r="B769" s="19"/>
      <c r="C769" s="20">
        <v>240321000009</v>
      </c>
      <c r="D769" s="21">
        <v>45378</v>
      </c>
      <c r="E769" s="21" t="s">
        <v>37</v>
      </c>
      <c r="F769" s="19" t="s">
        <v>38</v>
      </c>
      <c r="G769" s="19" t="s">
        <v>211</v>
      </c>
      <c r="H769" s="19">
        <v>80</v>
      </c>
      <c r="I769" s="46"/>
      <c r="J769" s="137">
        <v>734400</v>
      </c>
      <c r="K769" s="140"/>
      <c r="L769" s="50">
        <f>SUM(J769/M769)</f>
        <v>1350</v>
      </c>
      <c r="M769" s="52">
        <v>544</v>
      </c>
      <c r="N769" s="45">
        <v>7.19</v>
      </c>
      <c r="O769" s="46">
        <f>SUM(M769*N769)</f>
        <v>3911.36</v>
      </c>
      <c r="P769" s="48"/>
      <c r="Q769" s="48"/>
      <c r="R769" s="78">
        <f t="shared" si="422"/>
        <v>2805.34798534799</v>
      </c>
      <c r="S769" s="78"/>
      <c r="T769" s="79">
        <f t="shared" si="423"/>
        <v>4.48717948717949</v>
      </c>
      <c r="U769" s="78"/>
      <c r="V769" s="78"/>
      <c r="W769" s="80">
        <f t="shared" si="419"/>
        <v>2809.83516483516</v>
      </c>
      <c r="X769" s="81">
        <f t="shared" si="424"/>
        <v>55.7021978021978</v>
      </c>
      <c r="Y769" s="81"/>
      <c r="Z769" s="81"/>
      <c r="AA769" s="110">
        <f t="shared" si="417"/>
        <v>55.7021978021978</v>
      </c>
      <c r="AB769" s="90">
        <v>7.19</v>
      </c>
      <c r="AC769" s="78">
        <f t="shared" si="416"/>
        <v>400.498802197802</v>
      </c>
      <c r="AD769" s="78">
        <f t="shared" si="420"/>
        <v>3210.33396703297</v>
      </c>
      <c r="AE769" s="78">
        <f t="shared" si="421"/>
        <v>701.02603296703</v>
      </c>
    </row>
    <row r="770" customFormat="1" spans="1:31">
      <c r="A770" s="18"/>
      <c r="B770" s="19"/>
      <c r="C770" s="20">
        <v>240321000011</v>
      </c>
      <c r="D770" s="21">
        <v>45378</v>
      </c>
      <c r="E770" s="21" t="s">
        <v>47</v>
      </c>
      <c r="F770" s="19" t="s">
        <v>48</v>
      </c>
      <c r="G770" s="19" t="s">
        <v>508</v>
      </c>
      <c r="H770" s="19">
        <v>5</v>
      </c>
      <c r="I770" s="41">
        <v>305.8</v>
      </c>
      <c r="J770" s="139"/>
      <c r="K770" s="140"/>
      <c r="L770" s="139"/>
      <c r="M770" s="44"/>
      <c r="N770" s="45"/>
      <c r="O770" s="46">
        <f t="shared" si="430"/>
        <v>305.8</v>
      </c>
      <c r="P770" s="48"/>
      <c r="Q770" s="48"/>
      <c r="R770" s="78">
        <f t="shared" si="422"/>
        <v>175.334249084249</v>
      </c>
      <c r="S770" s="78"/>
      <c r="T770" s="79">
        <f t="shared" si="423"/>
        <v>0.280448717948718</v>
      </c>
      <c r="U770" s="78"/>
      <c r="V770" s="78"/>
      <c r="W770" s="80">
        <f t="shared" si="419"/>
        <v>175.614697802198</v>
      </c>
      <c r="X770" s="81">
        <f t="shared" si="424"/>
        <v>3.48138736263736</v>
      </c>
      <c r="Y770" s="81"/>
      <c r="Z770" s="81"/>
      <c r="AA770" s="110">
        <f t="shared" si="417"/>
        <v>3.48138736263736</v>
      </c>
      <c r="AB770" s="90">
        <v>7.19</v>
      </c>
      <c r="AC770" s="78">
        <f t="shared" si="416"/>
        <v>25.0311751373626</v>
      </c>
      <c r="AD770" s="78">
        <f t="shared" si="420"/>
        <v>200.64587293956</v>
      </c>
      <c r="AE770" s="78">
        <f t="shared" si="421"/>
        <v>105.15412706044</v>
      </c>
    </row>
    <row r="771" customFormat="1" spans="1:31">
      <c r="A771" s="18"/>
      <c r="B771" s="19"/>
      <c r="C771" s="20">
        <v>240321000015</v>
      </c>
      <c r="D771" s="21">
        <v>45378</v>
      </c>
      <c r="E771" s="21" t="s">
        <v>37</v>
      </c>
      <c r="F771" s="19" t="s">
        <v>38</v>
      </c>
      <c r="G771" s="19" t="s">
        <v>486</v>
      </c>
      <c r="H771" s="19">
        <v>7</v>
      </c>
      <c r="I771" s="92">
        <v>374</v>
      </c>
      <c r="J771" s="139"/>
      <c r="K771" s="140"/>
      <c r="L771" s="139"/>
      <c r="M771" s="44"/>
      <c r="N771" s="45"/>
      <c r="O771" s="46">
        <f>SUBTOTAL(9,I771)</f>
        <v>374</v>
      </c>
      <c r="P771" s="48"/>
      <c r="Q771" s="48"/>
      <c r="R771" s="78">
        <f t="shared" si="422"/>
        <v>245.467948717949</v>
      </c>
      <c r="S771" s="78"/>
      <c r="T771" s="79">
        <f t="shared" si="423"/>
        <v>0.392628205128205</v>
      </c>
      <c r="U771" s="78"/>
      <c r="V771" s="78"/>
      <c r="W771" s="80">
        <f t="shared" si="419"/>
        <v>245.860576923077</v>
      </c>
      <c r="X771" s="81">
        <f t="shared" si="424"/>
        <v>4.87394230769231</v>
      </c>
      <c r="Y771" s="81"/>
      <c r="Z771" s="81"/>
      <c r="AA771" s="110">
        <f t="shared" si="417"/>
        <v>4.87394230769231</v>
      </c>
      <c r="AB771" s="90">
        <v>7.19</v>
      </c>
      <c r="AC771" s="78">
        <f t="shared" si="416"/>
        <v>35.0436451923077</v>
      </c>
      <c r="AD771" s="78">
        <f t="shared" si="420"/>
        <v>280.904222115385</v>
      </c>
      <c r="AE771" s="78">
        <f t="shared" si="421"/>
        <v>93.095777884615</v>
      </c>
    </row>
    <row r="772" customFormat="1" spans="1:31">
      <c r="A772" s="18"/>
      <c r="B772" s="19"/>
      <c r="C772" s="20">
        <v>240321000016</v>
      </c>
      <c r="D772" s="21">
        <v>45378</v>
      </c>
      <c r="E772" s="21" t="s">
        <v>51</v>
      </c>
      <c r="F772" s="19" t="s">
        <v>52</v>
      </c>
      <c r="G772" s="19" t="s">
        <v>473</v>
      </c>
      <c r="H772" s="19">
        <v>6.5</v>
      </c>
      <c r="I772" s="41">
        <v>344</v>
      </c>
      <c r="J772" s="139"/>
      <c r="K772" s="140"/>
      <c r="L772" s="139"/>
      <c r="M772" s="44"/>
      <c r="N772" s="45"/>
      <c r="O772" s="46">
        <f t="shared" si="430"/>
        <v>344</v>
      </c>
      <c r="P772" s="48"/>
      <c r="Q772" s="48"/>
      <c r="R772" s="78">
        <f t="shared" si="422"/>
        <v>227.934523809524</v>
      </c>
      <c r="S772" s="78"/>
      <c r="T772" s="79">
        <f t="shared" si="423"/>
        <v>0.364583333333333</v>
      </c>
      <c r="U772" s="78"/>
      <c r="V772" s="78"/>
      <c r="W772" s="80">
        <f t="shared" si="419"/>
        <v>228.299107142857</v>
      </c>
      <c r="X772" s="81">
        <f t="shared" si="424"/>
        <v>4.52580357142857</v>
      </c>
      <c r="Y772" s="81"/>
      <c r="Z772" s="81"/>
      <c r="AA772" s="110">
        <f t="shared" si="417"/>
        <v>4.52580357142857</v>
      </c>
      <c r="AB772" s="90">
        <v>7.19</v>
      </c>
      <c r="AC772" s="78">
        <f t="shared" si="416"/>
        <v>32.5405276785714</v>
      </c>
      <c r="AD772" s="78">
        <f t="shared" si="420"/>
        <v>260.839634821429</v>
      </c>
      <c r="AE772" s="78">
        <f t="shared" si="421"/>
        <v>83.160365178571</v>
      </c>
    </row>
    <row r="773" customFormat="1" spans="1:31">
      <c r="A773" s="18"/>
      <c r="B773" s="19"/>
      <c r="C773" s="20">
        <v>240321000022</v>
      </c>
      <c r="D773" s="21">
        <v>45378</v>
      </c>
      <c r="E773" s="21" t="s">
        <v>47</v>
      </c>
      <c r="F773" s="19" t="s">
        <v>48</v>
      </c>
      <c r="G773" s="19" t="s">
        <v>318</v>
      </c>
      <c r="H773" s="19">
        <v>0.24</v>
      </c>
      <c r="I773" s="41">
        <v>29</v>
      </c>
      <c r="J773" s="139"/>
      <c r="K773" s="140"/>
      <c r="L773" s="139"/>
      <c r="M773" s="44"/>
      <c r="N773" s="45"/>
      <c r="O773" s="46">
        <f t="shared" si="430"/>
        <v>29</v>
      </c>
      <c r="P773" s="48"/>
      <c r="Q773" s="48"/>
      <c r="R773" s="78">
        <f t="shared" si="422"/>
        <v>8.41604395604396</v>
      </c>
      <c r="S773" s="78"/>
      <c r="T773" s="79">
        <f t="shared" si="423"/>
        <v>0.0134615384615385</v>
      </c>
      <c r="U773" s="78"/>
      <c r="V773" s="78"/>
      <c r="W773" s="80">
        <f t="shared" si="419"/>
        <v>8.42950549450549</v>
      </c>
      <c r="X773" s="81">
        <f t="shared" si="424"/>
        <v>0.167106593406593</v>
      </c>
      <c r="Y773" s="81"/>
      <c r="Z773" s="81"/>
      <c r="AA773" s="110">
        <f t="shared" si="417"/>
        <v>0.167106593406593</v>
      </c>
      <c r="AB773" s="90">
        <v>7.19</v>
      </c>
      <c r="AC773" s="78">
        <f t="shared" si="416"/>
        <v>1.20149640659341</v>
      </c>
      <c r="AD773" s="78">
        <f t="shared" si="420"/>
        <v>9.6310019010989</v>
      </c>
      <c r="AE773" s="78">
        <f t="shared" si="421"/>
        <v>19.3689980989011</v>
      </c>
    </row>
    <row r="774" customFormat="1" spans="1:31">
      <c r="A774" s="18"/>
      <c r="B774" s="19"/>
      <c r="C774" s="20">
        <v>240321000026</v>
      </c>
      <c r="D774" s="21">
        <v>45378</v>
      </c>
      <c r="E774" s="21" t="s">
        <v>47</v>
      </c>
      <c r="F774" s="19" t="s">
        <v>48</v>
      </c>
      <c r="G774" s="19" t="s">
        <v>509</v>
      </c>
      <c r="H774" s="19">
        <v>9</v>
      </c>
      <c r="I774" s="41">
        <v>499</v>
      </c>
      <c r="J774" s="139"/>
      <c r="K774" s="140"/>
      <c r="L774" s="139"/>
      <c r="M774" s="44"/>
      <c r="N774" s="45"/>
      <c r="O774" s="46">
        <f t="shared" si="430"/>
        <v>499</v>
      </c>
      <c r="P774" s="48"/>
      <c r="Q774" s="48"/>
      <c r="R774" s="78">
        <f t="shared" si="422"/>
        <v>315.601648351648</v>
      </c>
      <c r="S774" s="78"/>
      <c r="T774" s="79">
        <f t="shared" si="423"/>
        <v>0.504807692307692</v>
      </c>
      <c r="U774" s="78"/>
      <c r="V774" s="78"/>
      <c r="W774" s="80">
        <f t="shared" si="419"/>
        <v>316.106456043956</v>
      </c>
      <c r="X774" s="81">
        <f t="shared" si="424"/>
        <v>6.26649725274725</v>
      </c>
      <c r="Y774" s="81">
        <v>3.47</v>
      </c>
      <c r="Z774" s="81"/>
      <c r="AA774" s="110">
        <f t="shared" si="417"/>
        <v>9.73649725274725</v>
      </c>
      <c r="AB774" s="90">
        <v>7.19</v>
      </c>
      <c r="AC774" s="78">
        <f t="shared" ref="AC774:AC798" si="431">SUM(AA774*AB774)</f>
        <v>70.0054152472527</v>
      </c>
      <c r="AD774" s="78">
        <f t="shared" si="420"/>
        <v>386.111871291209</v>
      </c>
      <c r="AE774" s="78">
        <f t="shared" si="421"/>
        <v>112.888128708791</v>
      </c>
    </row>
    <row r="775" customFormat="1" spans="1:31">
      <c r="A775" s="18"/>
      <c r="B775" s="19"/>
      <c r="C775" s="20">
        <v>240321000027</v>
      </c>
      <c r="D775" s="21">
        <v>45378</v>
      </c>
      <c r="E775" s="21" t="s">
        <v>41</v>
      </c>
      <c r="F775" s="19" t="s">
        <v>42</v>
      </c>
      <c r="G775" s="19" t="s">
        <v>139</v>
      </c>
      <c r="H775" s="19">
        <v>1.5</v>
      </c>
      <c r="I775" s="92">
        <v>87</v>
      </c>
      <c r="J775" s="139"/>
      <c r="K775" s="140"/>
      <c r="L775" s="139"/>
      <c r="M775" s="44"/>
      <c r="N775" s="104"/>
      <c r="O775" s="46">
        <f>SUBTOTAL(9,I775)</f>
        <v>87</v>
      </c>
      <c r="P775" s="48"/>
      <c r="Q775" s="48"/>
      <c r="R775" s="78">
        <f t="shared" si="422"/>
        <v>52.6002747252747</v>
      </c>
      <c r="S775" s="78"/>
      <c r="T775" s="79">
        <f t="shared" si="423"/>
        <v>0.0841346153846154</v>
      </c>
      <c r="U775" s="78"/>
      <c r="V775" s="78"/>
      <c r="W775" s="80">
        <f t="shared" si="419"/>
        <v>52.6844093406593</v>
      </c>
      <c r="X775" s="81">
        <f t="shared" si="424"/>
        <v>1.04441620879121</v>
      </c>
      <c r="Y775" s="81"/>
      <c r="Z775" s="81"/>
      <c r="AA775" s="110">
        <f t="shared" si="417"/>
        <v>1.04441620879121</v>
      </c>
      <c r="AB775" s="90">
        <v>7.19</v>
      </c>
      <c r="AC775" s="78">
        <f t="shared" si="431"/>
        <v>7.50935254120879</v>
      </c>
      <c r="AD775" s="78">
        <f t="shared" si="420"/>
        <v>60.1937618818681</v>
      </c>
      <c r="AE775" s="78">
        <f t="shared" si="421"/>
        <v>26.8062381181319</v>
      </c>
    </row>
    <row r="776" customFormat="1" spans="1:31">
      <c r="A776" s="18"/>
      <c r="B776" s="19"/>
      <c r="C776" s="20">
        <v>240321000029</v>
      </c>
      <c r="D776" s="21">
        <v>45378</v>
      </c>
      <c r="E776" s="21" t="s">
        <v>41</v>
      </c>
      <c r="F776" s="19" t="s">
        <v>42</v>
      </c>
      <c r="G776" s="19" t="s">
        <v>60</v>
      </c>
      <c r="H776" s="19">
        <v>2</v>
      </c>
      <c r="I776" s="46"/>
      <c r="J776" s="137">
        <v>27000</v>
      </c>
      <c r="K776" s="140"/>
      <c r="L776" s="50">
        <f>SUM(J776/M776)</f>
        <v>1350</v>
      </c>
      <c r="M776" s="52">
        <v>20</v>
      </c>
      <c r="N776" s="45">
        <v>7.19</v>
      </c>
      <c r="O776" s="46">
        <f>SUM(M776*N776)</f>
        <v>143.8</v>
      </c>
      <c r="P776" s="48"/>
      <c r="Q776" s="48"/>
      <c r="R776" s="78">
        <f t="shared" si="422"/>
        <v>70.1336996336996</v>
      </c>
      <c r="S776" s="78"/>
      <c r="T776" s="79">
        <f t="shared" si="423"/>
        <v>0.112179487179487</v>
      </c>
      <c r="U776" s="78"/>
      <c r="V776" s="78"/>
      <c r="W776" s="80">
        <f t="shared" si="419"/>
        <v>70.2458791208791</v>
      </c>
      <c r="X776" s="81">
        <f t="shared" si="424"/>
        <v>1.39255494505495</v>
      </c>
      <c r="Y776" s="81"/>
      <c r="Z776" s="81"/>
      <c r="AA776" s="110">
        <f t="shared" ref="AA776:AA798" si="432">SUM(X776:Z776)</f>
        <v>1.39255494505495</v>
      </c>
      <c r="AB776" s="90">
        <v>7.19</v>
      </c>
      <c r="AC776" s="78">
        <f t="shared" si="431"/>
        <v>10.0124700549451</v>
      </c>
      <c r="AD776" s="78">
        <f t="shared" si="420"/>
        <v>80.2583491758242</v>
      </c>
      <c r="AE776" s="78">
        <f t="shared" si="421"/>
        <v>63.5416508241758</v>
      </c>
    </row>
    <row r="777" customFormat="1" spans="1:31">
      <c r="A777" s="18"/>
      <c r="B777" s="19"/>
      <c r="C777" s="20">
        <v>240321000030</v>
      </c>
      <c r="D777" s="21">
        <v>45378</v>
      </c>
      <c r="E777" s="21" t="s">
        <v>37</v>
      </c>
      <c r="F777" s="19" t="s">
        <v>38</v>
      </c>
      <c r="G777" s="19" t="s">
        <v>159</v>
      </c>
      <c r="H777" s="19">
        <v>2.5</v>
      </c>
      <c r="I777" s="41">
        <v>155.5</v>
      </c>
      <c r="J777" s="139"/>
      <c r="K777" s="140"/>
      <c r="L777" s="139"/>
      <c r="M777" s="44"/>
      <c r="N777" s="45"/>
      <c r="O777" s="46">
        <f t="shared" ref="O777:O780" si="433">SUM(I777)</f>
        <v>155.5</v>
      </c>
      <c r="P777" s="48"/>
      <c r="Q777" s="48"/>
      <c r="R777" s="78">
        <f t="shared" si="422"/>
        <v>87.6671245421245</v>
      </c>
      <c r="S777" s="78"/>
      <c r="T777" s="79">
        <f t="shared" si="423"/>
        <v>0.140224358974359</v>
      </c>
      <c r="U777" s="78"/>
      <c r="V777" s="78"/>
      <c r="W777" s="80">
        <f t="shared" ref="W777:W800" si="434">SUM(R777:V777)</f>
        <v>87.8073489010989</v>
      </c>
      <c r="X777" s="81">
        <f t="shared" si="424"/>
        <v>1.74069368131868</v>
      </c>
      <c r="Y777" s="81"/>
      <c r="Z777" s="81"/>
      <c r="AA777" s="110">
        <f t="shared" si="432"/>
        <v>1.74069368131868</v>
      </c>
      <c r="AB777" s="90">
        <v>7.19</v>
      </c>
      <c r="AC777" s="78">
        <f t="shared" si="431"/>
        <v>12.5155875686813</v>
      </c>
      <c r="AD777" s="78">
        <f t="shared" ref="AD777:AD798" si="435">SUM(W777+AC777)</f>
        <v>100.32293646978</v>
      </c>
      <c r="AE777" s="78">
        <f t="shared" ref="AE777:AE798" si="436">SUM(O777-AD777)</f>
        <v>55.1770635302198</v>
      </c>
    </row>
    <row r="778" customFormat="1" spans="1:31">
      <c r="A778" s="18"/>
      <c r="B778" s="19"/>
      <c r="C778" s="20">
        <v>240321000031</v>
      </c>
      <c r="D778" s="21">
        <v>45378</v>
      </c>
      <c r="E778" s="21" t="s">
        <v>37</v>
      </c>
      <c r="F778" s="19" t="s">
        <v>38</v>
      </c>
      <c r="G778" s="19" t="s">
        <v>39</v>
      </c>
      <c r="H778" s="19">
        <v>1.5</v>
      </c>
      <c r="I778" s="41">
        <v>85.5</v>
      </c>
      <c r="J778" s="139"/>
      <c r="K778" s="140"/>
      <c r="L778" s="139"/>
      <c r="M778" s="44"/>
      <c r="N778" s="45"/>
      <c r="O778" s="46">
        <f t="shared" si="433"/>
        <v>85.5</v>
      </c>
      <c r="P778" s="48"/>
      <c r="Q778" s="48"/>
      <c r="R778" s="78">
        <f t="shared" si="422"/>
        <v>52.6002747252747</v>
      </c>
      <c r="S778" s="78"/>
      <c r="T778" s="79">
        <f t="shared" si="423"/>
        <v>0.0841346153846154</v>
      </c>
      <c r="U778" s="78"/>
      <c r="V778" s="78"/>
      <c r="W778" s="80">
        <f t="shared" si="434"/>
        <v>52.6844093406593</v>
      </c>
      <c r="X778" s="81">
        <f t="shared" si="424"/>
        <v>1.04441620879121</v>
      </c>
      <c r="Y778" s="81"/>
      <c r="Z778" s="81"/>
      <c r="AA778" s="110">
        <f t="shared" si="432"/>
        <v>1.04441620879121</v>
      </c>
      <c r="AB778" s="90">
        <v>7.19</v>
      </c>
      <c r="AC778" s="78">
        <f t="shared" si="431"/>
        <v>7.50935254120879</v>
      </c>
      <c r="AD778" s="78">
        <f t="shared" si="435"/>
        <v>60.1937618818681</v>
      </c>
      <c r="AE778" s="78">
        <f t="shared" si="436"/>
        <v>25.3062381181319</v>
      </c>
    </row>
    <row r="779" customFormat="1" spans="1:31">
      <c r="A779" s="18"/>
      <c r="B779" s="19"/>
      <c r="C779" s="20">
        <v>240321000033</v>
      </c>
      <c r="D779" s="21">
        <v>45378</v>
      </c>
      <c r="E779" s="21" t="s">
        <v>47</v>
      </c>
      <c r="F779" s="19" t="s">
        <v>48</v>
      </c>
      <c r="G779" s="19" t="s">
        <v>401</v>
      </c>
      <c r="H779" s="19">
        <v>2.5</v>
      </c>
      <c r="I779" s="41">
        <v>155.5</v>
      </c>
      <c r="J779" s="139"/>
      <c r="K779" s="140"/>
      <c r="L779" s="139"/>
      <c r="M779" s="44"/>
      <c r="N779" s="45"/>
      <c r="O779" s="46">
        <f t="shared" si="433"/>
        <v>155.5</v>
      </c>
      <c r="P779" s="48"/>
      <c r="Q779" s="48"/>
      <c r="R779" s="78">
        <f t="shared" ref="R779:R798" si="437">SUM(153172/4368)*H779</f>
        <v>87.6671245421245</v>
      </c>
      <c r="S779" s="78"/>
      <c r="T779" s="79">
        <f t="shared" ref="T779:T798" si="438">SUM(245/4368)*H779</f>
        <v>0.140224358974359</v>
      </c>
      <c r="U779" s="78"/>
      <c r="V779" s="78"/>
      <c r="W779" s="80">
        <f t="shared" si="434"/>
        <v>87.8073489010989</v>
      </c>
      <c r="X779" s="81">
        <f t="shared" ref="X779:X798" si="439">SUM(3041.34/4368)*H779</f>
        <v>1.74069368131868</v>
      </c>
      <c r="Y779" s="81"/>
      <c r="Z779" s="81"/>
      <c r="AA779" s="110">
        <f t="shared" si="432"/>
        <v>1.74069368131868</v>
      </c>
      <c r="AB779" s="90">
        <v>7.19</v>
      </c>
      <c r="AC779" s="78">
        <f t="shared" si="431"/>
        <v>12.5155875686813</v>
      </c>
      <c r="AD779" s="78">
        <f t="shared" si="435"/>
        <v>100.32293646978</v>
      </c>
      <c r="AE779" s="78">
        <f t="shared" si="436"/>
        <v>55.1770635302198</v>
      </c>
    </row>
    <row r="780" customFormat="1" spans="1:31">
      <c r="A780" s="18"/>
      <c r="B780" s="19"/>
      <c r="C780" s="20">
        <v>240322000006</v>
      </c>
      <c r="D780" s="21">
        <v>45378</v>
      </c>
      <c r="E780" s="21" t="s">
        <v>70</v>
      </c>
      <c r="F780" s="19" t="s">
        <v>70</v>
      </c>
      <c r="G780" s="19" t="s">
        <v>367</v>
      </c>
      <c r="H780" s="19">
        <v>465</v>
      </c>
      <c r="I780" s="41">
        <v>26970</v>
      </c>
      <c r="J780" s="139"/>
      <c r="K780" s="140"/>
      <c r="L780" s="139"/>
      <c r="M780" s="44"/>
      <c r="N780" s="45"/>
      <c r="O780" s="46">
        <f t="shared" si="433"/>
        <v>26970</v>
      </c>
      <c r="P780" s="48"/>
      <c r="Q780" s="48"/>
      <c r="R780" s="78">
        <f t="shared" si="437"/>
        <v>16306.0851648352</v>
      </c>
      <c r="S780" s="78"/>
      <c r="T780" s="79">
        <f t="shared" si="438"/>
        <v>26.0817307692308</v>
      </c>
      <c r="U780" s="78"/>
      <c r="V780" s="78"/>
      <c r="W780" s="80">
        <f t="shared" si="434"/>
        <v>16332.1668956044</v>
      </c>
      <c r="X780" s="81">
        <f t="shared" si="439"/>
        <v>323.769024725275</v>
      </c>
      <c r="Y780" s="81"/>
      <c r="Z780" s="81"/>
      <c r="AA780" s="110">
        <f t="shared" si="432"/>
        <v>323.769024725275</v>
      </c>
      <c r="AB780" s="90">
        <v>7.19</v>
      </c>
      <c r="AC780" s="78">
        <f t="shared" si="431"/>
        <v>2327.89928777473</v>
      </c>
      <c r="AD780" s="78">
        <f t="shared" si="435"/>
        <v>18660.0661833791</v>
      </c>
      <c r="AE780" s="78">
        <f t="shared" si="436"/>
        <v>8309.93381662088</v>
      </c>
    </row>
    <row r="781" customFormat="1" spans="1:31">
      <c r="A781" s="18"/>
      <c r="B781" s="19"/>
      <c r="C781" s="20">
        <v>240322000007</v>
      </c>
      <c r="D781" s="21">
        <v>45378</v>
      </c>
      <c r="E781" s="21" t="s">
        <v>37</v>
      </c>
      <c r="F781" s="19" t="s">
        <v>38</v>
      </c>
      <c r="G781" s="19" t="s">
        <v>150</v>
      </c>
      <c r="H781" s="19">
        <v>25</v>
      </c>
      <c r="I781" s="46"/>
      <c r="J781" s="139"/>
      <c r="K781" s="138">
        <v>170</v>
      </c>
      <c r="L781" s="50">
        <f t="shared" ref="L781:L787" si="440">SUM(J781/M781)</f>
        <v>0</v>
      </c>
      <c r="M781" s="52">
        <v>170</v>
      </c>
      <c r="N781" s="45">
        <v>7.19</v>
      </c>
      <c r="O781" s="46">
        <f t="shared" ref="O781:O787" si="441">SUM(M781*N781)</f>
        <v>1222.3</v>
      </c>
      <c r="P781" s="48"/>
      <c r="Q781" s="48"/>
      <c r="R781" s="78">
        <f t="shared" si="437"/>
        <v>876.671245421245</v>
      </c>
      <c r="S781" s="78"/>
      <c r="T781" s="79">
        <f t="shared" si="438"/>
        <v>1.40224358974359</v>
      </c>
      <c r="U781" s="78"/>
      <c r="V781" s="78"/>
      <c r="W781" s="80">
        <f t="shared" si="434"/>
        <v>878.073489010989</v>
      </c>
      <c r="X781" s="81">
        <f t="shared" si="439"/>
        <v>17.4069368131868</v>
      </c>
      <c r="Y781" s="81"/>
      <c r="Z781" s="81"/>
      <c r="AA781" s="110">
        <f t="shared" si="432"/>
        <v>17.4069368131868</v>
      </c>
      <c r="AB781" s="90">
        <v>7.19</v>
      </c>
      <c r="AC781" s="78">
        <f t="shared" si="431"/>
        <v>125.155875686813</v>
      </c>
      <c r="AD781" s="78">
        <f t="shared" si="435"/>
        <v>1003.2293646978</v>
      </c>
      <c r="AE781" s="78">
        <f t="shared" si="436"/>
        <v>219.070635302198</v>
      </c>
    </row>
    <row r="782" customFormat="1" spans="1:31">
      <c r="A782" s="18"/>
      <c r="B782" s="19"/>
      <c r="C782" s="20">
        <v>240322000008</v>
      </c>
      <c r="D782" s="21">
        <v>45378</v>
      </c>
      <c r="E782" s="21" t="s">
        <v>41</v>
      </c>
      <c r="F782" s="19" t="s">
        <v>42</v>
      </c>
      <c r="G782" s="19" t="s">
        <v>510</v>
      </c>
      <c r="H782" s="19">
        <v>1.5</v>
      </c>
      <c r="I782" s="41">
        <v>75</v>
      </c>
      <c r="J782" s="139"/>
      <c r="K782" s="140"/>
      <c r="L782" s="139"/>
      <c r="M782" s="44"/>
      <c r="N782" s="45"/>
      <c r="O782" s="46">
        <f>SUM(I782)</f>
        <v>75</v>
      </c>
      <c r="P782" s="48"/>
      <c r="Q782" s="48"/>
      <c r="R782" s="78">
        <f t="shared" si="437"/>
        <v>52.6002747252747</v>
      </c>
      <c r="S782" s="78"/>
      <c r="T782" s="79">
        <f t="shared" si="438"/>
        <v>0.0841346153846154</v>
      </c>
      <c r="U782" s="78"/>
      <c r="V782" s="78"/>
      <c r="W782" s="80">
        <f t="shared" si="434"/>
        <v>52.6844093406593</v>
      </c>
      <c r="X782" s="81">
        <f t="shared" si="439"/>
        <v>1.04441620879121</v>
      </c>
      <c r="Y782" s="81"/>
      <c r="Z782" s="81"/>
      <c r="AA782" s="110">
        <f t="shared" si="432"/>
        <v>1.04441620879121</v>
      </c>
      <c r="AB782" s="90">
        <v>7.19</v>
      </c>
      <c r="AC782" s="78">
        <f t="shared" si="431"/>
        <v>7.50935254120879</v>
      </c>
      <c r="AD782" s="78">
        <f t="shared" si="435"/>
        <v>60.1937618818681</v>
      </c>
      <c r="AE782" s="78">
        <f t="shared" si="436"/>
        <v>14.8062381181319</v>
      </c>
    </row>
    <row r="783" customFormat="1" spans="1:31">
      <c r="A783" s="18"/>
      <c r="B783" s="19"/>
      <c r="C783" s="20">
        <v>240322000010</v>
      </c>
      <c r="D783" s="21">
        <v>45378</v>
      </c>
      <c r="E783" s="21" t="s">
        <v>44</v>
      </c>
      <c r="F783" s="19" t="s">
        <v>254</v>
      </c>
      <c r="G783" s="19" t="s">
        <v>255</v>
      </c>
      <c r="H783" s="19">
        <v>6</v>
      </c>
      <c r="I783" s="46"/>
      <c r="J783" s="137">
        <v>52900</v>
      </c>
      <c r="K783" s="138"/>
      <c r="L783" s="50">
        <f t="shared" si="440"/>
        <v>1350.52335971407</v>
      </c>
      <c r="M783" s="52">
        <v>39.17</v>
      </c>
      <c r="N783" s="45">
        <v>7.19</v>
      </c>
      <c r="O783" s="46">
        <f t="shared" si="441"/>
        <v>281.6323</v>
      </c>
      <c r="P783" s="48"/>
      <c r="Q783" s="48"/>
      <c r="R783" s="78">
        <f t="shared" si="437"/>
        <v>210.401098901099</v>
      </c>
      <c r="S783" s="78"/>
      <c r="T783" s="79">
        <f t="shared" si="438"/>
        <v>0.336538461538462</v>
      </c>
      <c r="U783" s="78"/>
      <c r="V783" s="78"/>
      <c r="W783" s="80">
        <f t="shared" si="434"/>
        <v>210.737637362637</v>
      </c>
      <c r="X783" s="81">
        <f t="shared" si="439"/>
        <v>4.17766483516484</v>
      </c>
      <c r="Y783" s="81"/>
      <c r="Z783" s="81"/>
      <c r="AA783" s="110">
        <f t="shared" si="432"/>
        <v>4.17766483516484</v>
      </c>
      <c r="AB783" s="90">
        <v>7.19</v>
      </c>
      <c r="AC783" s="78">
        <f t="shared" si="431"/>
        <v>30.0374101648352</v>
      </c>
      <c r="AD783" s="78">
        <f t="shared" si="435"/>
        <v>240.775047527473</v>
      </c>
      <c r="AE783" s="78">
        <f t="shared" si="436"/>
        <v>40.8572524725274</v>
      </c>
    </row>
    <row r="784" customFormat="1" spans="1:31">
      <c r="A784" s="18"/>
      <c r="B784" s="19"/>
      <c r="C784" s="20">
        <v>240322000011</v>
      </c>
      <c r="D784" s="21">
        <v>45378</v>
      </c>
      <c r="E784" s="21" t="s">
        <v>44</v>
      </c>
      <c r="F784" s="19" t="s">
        <v>45</v>
      </c>
      <c r="G784" s="19" t="s">
        <v>245</v>
      </c>
      <c r="H784" s="19">
        <v>14.5</v>
      </c>
      <c r="I784" s="49"/>
      <c r="J784" s="137">
        <v>112375</v>
      </c>
      <c r="K784" s="138"/>
      <c r="L784" s="50">
        <f t="shared" si="440"/>
        <v>1114.49965288109</v>
      </c>
      <c r="M784" s="52">
        <v>100.83</v>
      </c>
      <c r="N784" s="45">
        <v>7.19</v>
      </c>
      <c r="O784" s="46">
        <f t="shared" si="441"/>
        <v>724.9677</v>
      </c>
      <c r="P784" s="48"/>
      <c r="Q784" s="48"/>
      <c r="R784" s="78">
        <f t="shared" si="437"/>
        <v>508.469322344322</v>
      </c>
      <c r="S784" s="78"/>
      <c r="T784" s="79">
        <f t="shared" si="438"/>
        <v>0.813301282051282</v>
      </c>
      <c r="U784" s="78"/>
      <c r="V784" s="78"/>
      <c r="W784" s="80">
        <f t="shared" si="434"/>
        <v>509.282623626374</v>
      </c>
      <c r="X784" s="81">
        <f t="shared" si="439"/>
        <v>10.0960233516484</v>
      </c>
      <c r="Y784" s="81"/>
      <c r="Z784" s="81"/>
      <c r="AA784" s="110">
        <f t="shared" si="432"/>
        <v>10.0960233516484</v>
      </c>
      <c r="AB784" s="90">
        <v>7.19</v>
      </c>
      <c r="AC784" s="78">
        <f t="shared" si="431"/>
        <v>72.5904078983517</v>
      </c>
      <c r="AD784" s="78">
        <f t="shared" si="435"/>
        <v>581.873031524725</v>
      </c>
      <c r="AE784" s="78">
        <f t="shared" si="436"/>
        <v>143.094668475275</v>
      </c>
    </row>
    <row r="785" customFormat="1" spans="1:31">
      <c r="A785" s="18"/>
      <c r="B785" s="19"/>
      <c r="C785" s="20">
        <v>240322000012</v>
      </c>
      <c r="D785" s="21">
        <v>45378</v>
      </c>
      <c r="E785" s="21" t="s">
        <v>44</v>
      </c>
      <c r="F785" s="19" t="s">
        <v>45</v>
      </c>
      <c r="G785" s="19" t="s">
        <v>133</v>
      </c>
      <c r="H785" s="19">
        <v>412.5</v>
      </c>
      <c r="I785" s="49"/>
      <c r="J785" s="137">
        <v>3121945</v>
      </c>
      <c r="K785" s="140"/>
      <c r="L785" s="50">
        <f t="shared" si="440"/>
        <v>1128.8327475738</v>
      </c>
      <c r="M785" s="52">
        <v>2765.64</v>
      </c>
      <c r="N785" s="45">
        <v>7.19</v>
      </c>
      <c r="O785" s="46">
        <f t="shared" si="441"/>
        <v>19884.9516</v>
      </c>
      <c r="P785" s="48"/>
      <c r="Q785" s="48"/>
      <c r="R785" s="78">
        <f t="shared" si="437"/>
        <v>14465.0755494506</v>
      </c>
      <c r="S785" s="78"/>
      <c r="T785" s="79">
        <f t="shared" si="438"/>
        <v>23.1370192307692</v>
      </c>
      <c r="U785" s="78"/>
      <c r="V785" s="78"/>
      <c r="W785" s="80">
        <f t="shared" si="434"/>
        <v>14488.2125686813</v>
      </c>
      <c r="X785" s="81">
        <f t="shared" si="439"/>
        <v>287.214457417582</v>
      </c>
      <c r="Y785" s="81"/>
      <c r="Z785" s="81"/>
      <c r="AA785" s="110">
        <f t="shared" si="432"/>
        <v>287.214457417582</v>
      </c>
      <c r="AB785" s="90">
        <v>7.19</v>
      </c>
      <c r="AC785" s="78">
        <f t="shared" si="431"/>
        <v>2065.07194883242</v>
      </c>
      <c r="AD785" s="78">
        <f t="shared" si="435"/>
        <v>16553.2845175137</v>
      </c>
      <c r="AE785" s="78">
        <f t="shared" si="436"/>
        <v>3331.66708248626</v>
      </c>
    </row>
    <row r="786" customFormat="1" spans="1:31">
      <c r="A786" s="18"/>
      <c r="B786" s="19"/>
      <c r="C786" s="20">
        <v>240322000013</v>
      </c>
      <c r="D786" s="21">
        <v>45378</v>
      </c>
      <c r="E786" s="21" t="s">
        <v>44</v>
      </c>
      <c r="F786" s="19" t="s">
        <v>45</v>
      </c>
      <c r="G786" s="19" t="s">
        <v>133</v>
      </c>
      <c r="H786" s="19">
        <v>9.5</v>
      </c>
      <c r="I786" s="49"/>
      <c r="J786" s="137">
        <v>70100.5</v>
      </c>
      <c r="K786" s="140"/>
      <c r="L786" s="50">
        <f t="shared" si="440"/>
        <v>1128.83252818035</v>
      </c>
      <c r="M786" s="52">
        <v>62.1</v>
      </c>
      <c r="N786" s="45">
        <v>7.19</v>
      </c>
      <c r="O786" s="46">
        <f t="shared" si="441"/>
        <v>446.499</v>
      </c>
      <c r="P786" s="48"/>
      <c r="Q786" s="48"/>
      <c r="R786" s="78">
        <f t="shared" si="437"/>
        <v>333.135073260073</v>
      </c>
      <c r="S786" s="78"/>
      <c r="T786" s="79">
        <f t="shared" si="438"/>
        <v>0.532852564102564</v>
      </c>
      <c r="U786" s="78"/>
      <c r="V786" s="78"/>
      <c r="W786" s="80">
        <f t="shared" si="434"/>
        <v>333.667925824176</v>
      </c>
      <c r="X786" s="81">
        <f t="shared" si="439"/>
        <v>6.61463598901099</v>
      </c>
      <c r="Y786" s="81"/>
      <c r="Z786" s="81"/>
      <c r="AA786" s="110">
        <f t="shared" si="432"/>
        <v>6.61463598901099</v>
      </c>
      <c r="AB786" s="90">
        <v>7.19</v>
      </c>
      <c r="AC786" s="78">
        <f t="shared" si="431"/>
        <v>47.559232760989</v>
      </c>
      <c r="AD786" s="78">
        <f t="shared" si="435"/>
        <v>381.227158585165</v>
      </c>
      <c r="AE786" s="78">
        <f t="shared" si="436"/>
        <v>65.2718414148352</v>
      </c>
    </row>
    <row r="787" customFormat="1" spans="1:31">
      <c r="A787" s="18"/>
      <c r="B787" s="19"/>
      <c r="C787" s="20">
        <v>240322000014</v>
      </c>
      <c r="D787" s="21">
        <v>45378</v>
      </c>
      <c r="E787" s="21" t="s">
        <v>44</v>
      </c>
      <c r="F787" s="19" t="s">
        <v>45</v>
      </c>
      <c r="G787" s="19" t="s">
        <v>133</v>
      </c>
      <c r="H787" s="19">
        <v>10</v>
      </c>
      <c r="I787" s="49"/>
      <c r="J787" s="137">
        <v>73790</v>
      </c>
      <c r="K787" s="140"/>
      <c r="L787" s="50">
        <f t="shared" si="440"/>
        <v>1128.97796817625</v>
      </c>
      <c r="M787" s="52">
        <v>65.36</v>
      </c>
      <c r="N787" s="45">
        <v>7.19</v>
      </c>
      <c r="O787" s="46">
        <f t="shared" si="441"/>
        <v>469.9384</v>
      </c>
      <c r="P787" s="48"/>
      <c r="Q787" s="48"/>
      <c r="R787" s="78">
        <f t="shared" si="437"/>
        <v>350.668498168498</v>
      </c>
      <c r="S787" s="78"/>
      <c r="T787" s="79">
        <f t="shared" si="438"/>
        <v>0.560897435897436</v>
      </c>
      <c r="U787" s="78"/>
      <c r="V787" s="78"/>
      <c r="W787" s="80">
        <f t="shared" si="434"/>
        <v>351.229395604396</v>
      </c>
      <c r="X787" s="81">
        <f t="shared" si="439"/>
        <v>6.96277472527473</v>
      </c>
      <c r="Y787" s="81"/>
      <c r="Z787" s="81"/>
      <c r="AA787" s="110">
        <f t="shared" si="432"/>
        <v>6.96277472527473</v>
      </c>
      <c r="AB787" s="90">
        <v>7.19</v>
      </c>
      <c r="AC787" s="78">
        <f t="shared" si="431"/>
        <v>50.0623502747253</v>
      </c>
      <c r="AD787" s="78">
        <f t="shared" si="435"/>
        <v>401.291745879121</v>
      </c>
      <c r="AE787" s="78">
        <f t="shared" si="436"/>
        <v>68.6466541208791</v>
      </c>
    </row>
    <row r="788" customFormat="1" spans="1:31">
      <c r="A788" s="18"/>
      <c r="B788" s="19"/>
      <c r="C788" s="20">
        <v>240322000016</v>
      </c>
      <c r="D788" s="21">
        <v>45378</v>
      </c>
      <c r="E788" s="21" t="s">
        <v>44</v>
      </c>
      <c r="F788" s="19" t="s">
        <v>45</v>
      </c>
      <c r="G788" s="19" t="s">
        <v>50</v>
      </c>
      <c r="H788" s="19">
        <v>11.5</v>
      </c>
      <c r="I788" s="41">
        <v>776</v>
      </c>
      <c r="J788" s="139"/>
      <c r="K788" s="140"/>
      <c r="L788" s="139"/>
      <c r="M788" s="44"/>
      <c r="N788" s="45"/>
      <c r="O788" s="46">
        <f t="shared" ref="O788:O792" si="442">SUM(I788)</f>
        <v>776</v>
      </c>
      <c r="P788" s="48"/>
      <c r="Q788" s="48"/>
      <c r="R788" s="78">
        <f t="shared" si="437"/>
        <v>403.268772893773</v>
      </c>
      <c r="S788" s="78"/>
      <c r="T788" s="79">
        <f t="shared" si="438"/>
        <v>0.645032051282051</v>
      </c>
      <c r="U788" s="78"/>
      <c r="V788" s="78"/>
      <c r="W788" s="80">
        <f t="shared" si="434"/>
        <v>403.913804945055</v>
      </c>
      <c r="X788" s="81">
        <f t="shared" si="439"/>
        <v>8.00719093406593</v>
      </c>
      <c r="Y788" s="81"/>
      <c r="Z788" s="81"/>
      <c r="AA788" s="110">
        <f t="shared" si="432"/>
        <v>8.00719093406593</v>
      </c>
      <c r="AB788" s="90">
        <v>7.19</v>
      </c>
      <c r="AC788" s="78">
        <f t="shared" si="431"/>
        <v>57.5717028159341</v>
      </c>
      <c r="AD788" s="78">
        <f t="shared" si="435"/>
        <v>461.485507760989</v>
      </c>
      <c r="AE788" s="78">
        <f t="shared" si="436"/>
        <v>314.514492239011</v>
      </c>
    </row>
    <row r="789" customFormat="1" spans="1:31">
      <c r="A789" s="18"/>
      <c r="B789" s="19"/>
      <c r="C789" s="22">
        <v>240322000018</v>
      </c>
      <c r="D789" s="23">
        <v>45378</v>
      </c>
      <c r="E789" s="21" t="s">
        <v>44</v>
      </c>
      <c r="F789" s="24" t="s">
        <v>45</v>
      </c>
      <c r="G789" s="24" t="s">
        <v>208</v>
      </c>
      <c r="H789" s="24">
        <v>29.5</v>
      </c>
      <c r="I789" s="41">
        <v>1386.5</v>
      </c>
      <c r="J789" s="139"/>
      <c r="K789" s="140"/>
      <c r="L789" s="139"/>
      <c r="M789" s="44"/>
      <c r="N789" s="45"/>
      <c r="O789" s="46">
        <f t="shared" si="442"/>
        <v>1386.5</v>
      </c>
      <c r="P789" s="48"/>
      <c r="Q789" s="48"/>
      <c r="R789" s="78">
        <f t="shared" si="437"/>
        <v>1034.47206959707</v>
      </c>
      <c r="S789" s="78"/>
      <c r="T789" s="79">
        <f t="shared" si="438"/>
        <v>1.65464743589744</v>
      </c>
      <c r="U789" s="78"/>
      <c r="V789" s="78"/>
      <c r="W789" s="80">
        <f t="shared" si="434"/>
        <v>1036.12671703297</v>
      </c>
      <c r="X789" s="81">
        <f t="shared" si="439"/>
        <v>20.5401854395604</v>
      </c>
      <c r="Y789" s="81"/>
      <c r="Z789" s="81"/>
      <c r="AA789" s="110">
        <f t="shared" si="432"/>
        <v>20.5401854395604</v>
      </c>
      <c r="AB789" s="90">
        <v>7.19</v>
      </c>
      <c r="AC789" s="78">
        <f t="shared" si="431"/>
        <v>147.68393331044</v>
      </c>
      <c r="AD789" s="78">
        <f t="shared" si="435"/>
        <v>1183.81065034341</v>
      </c>
      <c r="AE789" s="78">
        <f t="shared" si="436"/>
        <v>202.689349656594</v>
      </c>
    </row>
    <row r="790" customFormat="1" spans="1:31">
      <c r="A790" s="18"/>
      <c r="B790" s="19"/>
      <c r="C790" s="20">
        <v>240322000020</v>
      </c>
      <c r="D790" s="21">
        <v>45378</v>
      </c>
      <c r="E790" s="21" t="s">
        <v>41</v>
      </c>
      <c r="F790" s="19" t="s">
        <v>42</v>
      </c>
      <c r="G790" s="19" t="s">
        <v>151</v>
      </c>
      <c r="H790" s="19">
        <v>2.5</v>
      </c>
      <c r="I790" s="46"/>
      <c r="J790" s="137">
        <v>26662.5</v>
      </c>
      <c r="K790" s="138"/>
      <c r="L790" s="50">
        <f t="shared" ref="L790:L796" si="443">SUM(J790/M790)</f>
        <v>1350</v>
      </c>
      <c r="M790" s="52">
        <v>19.75</v>
      </c>
      <c r="N790" s="45">
        <v>7.19</v>
      </c>
      <c r="O790" s="46">
        <f t="shared" ref="O790:O796" si="444">SUM(M790*N790)</f>
        <v>142.0025</v>
      </c>
      <c r="P790" s="48"/>
      <c r="Q790" s="48"/>
      <c r="R790" s="78">
        <f t="shared" si="437"/>
        <v>87.6671245421245</v>
      </c>
      <c r="S790" s="78"/>
      <c r="T790" s="79">
        <f t="shared" si="438"/>
        <v>0.140224358974359</v>
      </c>
      <c r="U790" s="78"/>
      <c r="V790" s="78"/>
      <c r="W790" s="80">
        <f t="shared" si="434"/>
        <v>87.8073489010989</v>
      </c>
      <c r="X790" s="81">
        <f t="shared" si="439"/>
        <v>1.74069368131868</v>
      </c>
      <c r="Y790" s="81"/>
      <c r="Z790" s="81"/>
      <c r="AA790" s="110">
        <f t="shared" si="432"/>
        <v>1.74069368131868</v>
      </c>
      <c r="AB790" s="90">
        <v>7.19</v>
      </c>
      <c r="AC790" s="78">
        <f t="shared" si="431"/>
        <v>12.5155875686813</v>
      </c>
      <c r="AD790" s="78">
        <f t="shared" si="435"/>
        <v>100.32293646978</v>
      </c>
      <c r="AE790" s="78">
        <f t="shared" si="436"/>
        <v>41.6795635302198</v>
      </c>
    </row>
    <row r="791" customFormat="1" spans="1:31">
      <c r="A791" s="18"/>
      <c r="B791" s="19"/>
      <c r="C791" s="20">
        <v>240322000021</v>
      </c>
      <c r="D791" s="21">
        <v>45378</v>
      </c>
      <c r="E791" s="21" t="s">
        <v>41</v>
      </c>
      <c r="F791" s="19" t="s">
        <v>42</v>
      </c>
      <c r="G791" s="19" t="s">
        <v>151</v>
      </c>
      <c r="H791" s="19">
        <v>20</v>
      </c>
      <c r="I791" s="46"/>
      <c r="J791" s="137">
        <v>198315.5</v>
      </c>
      <c r="K791" s="138"/>
      <c r="L791" s="50">
        <f t="shared" si="443"/>
        <v>1350.00340367597</v>
      </c>
      <c r="M791" s="52">
        <v>146.9</v>
      </c>
      <c r="N791" s="45">
        <v>7.19</v>
      </c>
      <c r="O791" s="46">
        <f t="shared" si="444"/>
        <v>1056.211</v>
      </c>
      <c r="P791" s="48"/>
      <c r="Q791" s="48"/>
      <c r="R791" s="78">
        <f t="shared" si="437"/>
        <v>701.336996336996</v>
      </c>
      <c r="S791" s="78"/>
      <c r="T791" s="79">
        <f t="shared" si="438"/>
        <v>1.12179487179487</v>
      </c>
      <c r="U791" s="78"/>
      <c r="V791" s="78"/>
      <c r="W791" s="80">
        <f t="shared" si="434"/>
        <v>702.458791208791</v>
      </c>
      <c r="X791" s="81">
        <f t="shared" si="439"/>
        <v>13.9255494505495</v>
      </c>
      <c r="Y791" s="81"/>
      <c r="Z791" s="81"/>
      <c r="AA791" s="110">
        <f t="shared" si="432"/>
        <v>13.9255494505495</v>
      </c>
      <c r="AB791" s="90">
        <v>7.19</v>
      </c>
      <c r="AC791" s="78">
        <f t="shared" si="431"/>
        <v>100.124700549451</v>
      </c>
      <c r="AD791" s="78">
        <f t="shared" si="435"/>
        <v>802.583491758242</v>
      </c>
      <c r="AE791" s="78">
        <f t="shared" si="436"/>
        <v>253.627508241758</v>
      </c>
    </row>
    <row r="792" customFormat="1" spans="1:31">
      <c r="A792" s="18"/>
      <c r="B792" s="19"/>
      <c r="C792" s="20">
        <v>240322000027</v>
      </c>
      <c r="D792" s="21">
        <v>45378</v>
      </c>
      <c r="E792" s="21" t="s">
        <v>47</v>
      </c>
      <c r="F792" s="19" t="s">
        <v>48</v>
      </c>
      <c r="G792" s="19" t="s">
        <v>169</v>
      </c>
      <c r="H792" s="19">
        <v>1646.5</v>
      </c>
      <c r="I792" s="41">
        <v>76734.89</v>
      </c>
      <c r="J792" s="139"/>
      <c r="K792" s="140"/>
      <c r="L792" s="139"/>
      <c r="M792" s="44"/>
      <c r="N792" s="45"/>
      <c r="O792" s="46">
        <f t="shared" si="442"/>
        <v>76734.89</v>
      </c>
      <c r="P792" s="48"/>
      <c r="Q792" s="48"/>
      <c r="R792" s="78">
        <f t="shared" si="437"/>
        <v>57737.5682234432</v>
      </c>
      <c r="S792" s="78"/>
      <c r="T792" s="79">
        <f t="shared" si="438"/>
        <v>92.3517628205128</v>
      </c>
      <c r="U792" s="78"/>
      <c r="V792" s="78">
        <f>SUM(3608.89+500)</f>
        <v>4108.89</v>
      </c>
      <c r="W792" s="80">
        <f t="shared" si="434"/>
        <v>61938.8099862637</v>
      </c>
      <c r="X792" s="81">
        <f t="shared" si="439"/>
        <v>1146.42085851648</v>
      </c>
      <c r="Y792" s="81"/>
      <c r="Z792" s="81"/>
      <c r="AA792" s="110">
        <f t="shared" si="432"/>
        <v>1146.42085851648</v>
      </c>
      <c r="AB792" s="90">
        <v>7.19</v>
      </c>
      <c r="AC792" s="78">
        <f t="shared" si="431"/>
        <v>8242.76597273352</v>
      </c>
      <c r="AD792" s="78">
        <f t="shared" si="435"/>
        <v>70181.5759589973</v>
      </c>
      <c r="AE792" s="78">
        <f t="shared" si="436"/>
        <v>6553.31404100274</v>
      </c>
    </row>
    <row r="793" customFormat="1" spans="1:31">
      <c r="A793" s="18"/>
      <c r="B793" s="19"/>
      <c r="C793" s="20">
        <v>240322000034</v>
      </c>
      <c r="D793" s="21">
        <v>45378</v>
      </c>
      <c r="E793" s="21" t="s">
        <v>37</v>
      </c>
      <c r="F793" s="19">
        <v>13635229849</v>
      </c>
      <c r="G793" s="19" t="s">
        <v>127</v>
      </c>
      <c r="H793" s="19">
        <v>10</v>
      </c>
      <c r="I793" s="46"/>
      <c r="J793" s="137">
        <v>104325</v>
      </c>
      <c r="K793" s="138"/>
      <c r="L793" s="50">
        <f t="shared" si="443"/>
        <v>1259.96376811594</v>
      </c>
      <c r="M793" s="52">
        <v>82.8</v>
      </c>
      <c r="N793" s="45">
        <v>7.19</v>
      </c>
      <c r="O793" s="46">
        <f t="shared" si="444"/>
        <v>595.332</v>
      </c>
      <c r="P793" s="48"/>
      <c r="Q793" s="48"/>
      <c r="R793" s="78">
        <f t="shared" si="437"/>
        <v>350.668498168498</v>
      </c>
      <c r="S793" s="78"/>
      <c r="T793" s="79">
        <f t="shared" si="438"/>
        <v>0.560897435897436</v>
      </c>
      <c r="U793" s="78"/>
      <c r="V793" s="78"/>
      <c r="W793" s="80">
        <f t="shared" si="434"/>
        <v>351.229395604396</v>
      </c>
      <c r="X793" s="81">
        <f t="shared" si="439"/>
        <v>6.96277472527473</v>
      </c>
      <c r="Y793" s="81"/>
      <c r="Z793" s="81"/>
      <c r="AA793" s="110">
        <f t="shared" si="432"/>
        <v>6.96277472527473</v>
      </c>
      <c r="AB793" s="90">
        <v>7.19</v>
      </c>
      <c r="AC793" s="78">
        <f t="shared" si="431"/>
        <v>50.0623502747253</v>
      </c>
      <c r="AD793" s="78">
        <f t="shared" si="435"/>
        <v>401.291745879121</v>
      </c>
      <c r="AE793" s="78">
        <f t="shared" si="436"/>
        <v>194.040254120879</v>
      </c>
    </row>
    <row r="794" customFormat="1" spans="1:31">
      <c r="A794" s="18"/>
      <c r="B794" s="19"/>
      <c r="C794" s="20">
        <v>240323000003</v>
      </c>
      <c r="D794" s="21">
        <v>45378</v>
      </c>
      <c r="E794" s="21" t="s">
        <v>44</v>
      </c>
      <c r="F794" s="19" t="s">
        <v>45</v>
      </c>
      <c r="G794" s="19" t="s">
        <v>114</v>
      </c>
      <c r="H794" s="19">
        <v>796.5</v>
      </c>
      <c r="I794" s="49"/>
      <c r="J794" s="137">
        <v>6185948.5</v>
      </c>
      <c r="K794" s="138"/>
      <c r="L794" s="50">
        <f t="shared" si="443"/>
        <v>1315.77012330396</v>
      </c>
      <c r="M794" s="52">
        <v>4701.39</v>
      </c>
      <c r="N794" s="45">
        <v>7.19</v>
      </c>
      <c r="O794" s="46">
        <f t="shared" si="444"/>
        <v>33802.9941</v>
      </c>
      <c r="P794" s="48"/>
      <c r="Q794" s="48"/>
      <c r="R794" s="78">
        <f t="shared" si="437"/>
        <v>27930.7458791209</v>
      </c>
      <c r="S794" s="78"/>
      <c r="T794" s="79">
        <f t="shared" si="438"/>
        <v>44.6754807692308</v>
      </c>
      <c r="U794" s="78"/>
      <c r="V794" s="78"/>
      <c r="W794" s="80">
        <f t="shared" si="434"/>
        <v>27975.4213598901</v>
      </c>
      <c r="X794" s="81">
        <f t="shared" si="439"/>
        <v>554.585006868132</v>
      </c>
      <c r="Y794" s="81"/>
      <c r="Z794" s="81"/>
      <c r="AA794" s="110">
        <f t="shared" si="432"/>
        <v>554.585006868132</v>
      </c>
      <c r="AB794" s="90">
        <v>7.19</v>
      </c>
      <c r="AC794" s="78">
        <f t="shared" si="431"/>
        <v>3987.46619938187</v>
      </c>
      <c r="AD794" s="78">
        <f t="shared" si="435"/>
        <v>31962.887559272</v>
      </c>
      <c r="AE794" s="78">
        <f t="shared" si="436"/>
        <v>1840.10654072803</v>
      </c>
    </row>
    <row r="795" customFormat="1" spans="1:31">
      <c r="A795" s="18"/>
      <c r="B795" s="19"/>
      <c r="C795" s="20">
        <v>240323000005</v>
      </c>
      <c r="D795" s="21">
        <v>45378</v>
      </c>
      <c r="E795" s="21" t="s">
        <v>44</v>
      </c>
      <c r="F795" s="19" t="s">
        <v>45</v>
      </c>
      <c r="G795" s="19" t="s">
        <v>114</v>
      </c>
      <c r="H795" s="19">
        <v>2.5</v>
      </c>
      <c r="I795" s="49"/>
      <c r="J795" s="137">
        <v>25711.5</v>
      </c>
      <c r="K795" s="138"/>
      <c r="L795" s="50">
        <f t="shared" si="443"/>
        <v>1315.83930399181</v>
      </c>
      <c r="M795" s="52">
        <v>19.54</v>
      </c>
      <c r="N795" s="45">
        <v>7.19</v>
      </c>
      <c r="O795" s="46">
        <f t="shared" si="444"/>
        <v>140.4926</v>
      </c>
      <c r="P795" s="48"/>
      <c r="Q795" s="48"/>
      <c r="R795" s="78">
        <f t="shared" si="437"/>
        <v>87.6671245421245</v>
      </c>
      <c r="S795" s="78"/>
      <c r="T795" s="79">
        <f t="shared" si="438"/>
        <v>0.140224358974359</v>
      </c>
      <c r="U795" s="78"/>
      <c r="V795" s="78"/>
      <c r="W795" s="80">
        <f t="shared" si="434"/>
        <v>87.8073489010989</v>
      </c>
      <c r="X795" s="81">
        <f t="shared" si="439"/>
        <v>1.74069368131868</v>
      </c>
      <c r="Y795" s="81"/>
      <c r="Z795" s="81"/>
      <c r="AA795" s="110">
        <f t="shared" si="432"/>
        <v>1.74069368131868</v>
      </c>
      <c r="AB795" s="90">
        <v>7.19</v>
      </c>
      <c r="AC795" s="78">
        <f t="shared" si="431"/>
        <v>12.5155875686813</v>
      </c>
      <c r="AD795" s="78">
        <f t="shared" si="435"/>
        <v>100.32293646978</v>
      </c>
      <c r="AE795" s="78">
        <f t="shared" ref="AE795:AE808" si="445">SUM(O795-AD795)</f>
        <v>40.1696635302198</v>
      </c>
    </row>
    <row r="796" customFormat="1" spans="1:31">
      <c r="A796" s="18"/>
      <c r="B796" s="19"/>
      <c r="C796" s="20">
        <v>240323000010</v>
      </c>
      <c r="D796" s="21">
        <v>45378</v>
      </c>
      <c r="E796" s="21" t="s">
        <v>44</v>
      </c>
      <c r="F796" s="19" t="s">
        <v>45</v>
      </c>
      <c r="G796" s="19" t="s">
        <v>511</v>
      </c>
      <c r="H796" s="19">
        <v>320.5</v>
      </c>
      <c r="I796" s="49"/>
      <c r="J796" s="137">
        <v>3040263</v>
      </c>
      <c r="K796" s="138"/>
      <c r="L796" s="50">
        <f t="shared" si="443"/>
        <v>1100.07381435689</v>
      </c>
      <c r="M796" s="52">
        <v>2763.69</v>
      </c>
      <c r="N796" s="45">
        <v>7.19</v>
      </c>
      <c r="O796" s="46">
        <f t="shared" si="444"/>
        <v>19870.9311</v>
      </c>
      <c r="P796" s="48"/>
      <c r="Q796" s="48"/>
      <c r="R796" s="78">
        <f t="shared" si="437"/>
        <v>11238.9253663004</v>
      </c>
      <c r="S796" s="78"/>
      <c r="T796" s="79">
        <f t="shared" si="438"/>
        <v>17.9767628205128</v>
      </c>
      <c r="U796" s="79">
        <v>300</v>
      </c>
      <c r="V796" s="79">
        <v>18</v>
      </c>
      <c r="W796" s="80">
        <f t="shared" si="434"/>
        <v>11574.9021291209</v>
      </c>
      <c r="X796" s="81">
        <f t="shared" si="439"/>
        <v>223.156929945055</v>
      </c>
      <c r="Y796" s="81">
        <v>212.5</v>
      </c>
      <c r="Z796" s="81"/>
      <c r="AA796" s="110">
        <f t="shared" si="432"/>
        <v>435.656929945055</v>
      </c>
      <c r="AB796" s="90">
        <v>7.19</v>
      </c>
      <c r="AC796" s="78">
        <f t="shared" si="431"/>
        <v>3132.37332630494</v>
      </c>
      <c r="AD796" s="78">
        <f t="shared" ref="AD796:AD808" si="446">SUM(W796+AC796)</f>
        <v>14707.2754554258</v>
      </c>
      <c r="AE796" s="78">
        <f t="shared" si="445"/>
        <v>5163.65564457418</v>
      </c>
    </row>
    <row r="797" customFormat="1" spans="1:31">
      <c r="A797" s="18"/>
      <c r="B797" s="19"/>
      <c r="C797" s="20">
        <v>240323000015</v>
      </c>
      <c r="D797" s="21">
        <v>45378</v>
      </c>
      <c r="E797" s="21" t="s">
        <v>70</v>
      </c>
      <c r="F797" s="19" t="s">
        <v>70</v>
      </c>
      <c r="G797" s="19" t="s">
        <v>512</v>
      </c>
      <c r="H797" s="19">
        <v>46</v>
      </c>
      <c r="I797" s="41">
        <v>2308</v>
      </c>
      <c r="J797" s="139"/>
      <c r="K797" s="140"/>
      <c r="L797" s="139"/>
      <c r="M797" s="44"/>
      <c r="N797" s="45"/>
      <c r="O797" s="46">
        <f t="shared" ref="O797:O800" si="447">SUM(I797)</f>
        <v>2308</v>
      </c>
      <c r="P797" s="48"/>
      <c r="Q797" s="48"/>
      <c r="R797" s="78">
        <f t="shared" si="437"/>
        <v>1613.07509157509</v>
      </c>
      <c r="S797" s="78"/>
      <c r="T797" s="79">
        <f t="shared" si="438"/>
        <v>2.58012820512821</v>
      </c>
      <c r="U797" s="78"/>
      <c r="V797" s="78"/>
      <c r="W797" s="80">
        <f t="shared" si="434"/>
        <v>1615.65521978022</v>
      </c>
      <c r="X797" s="81">
        <f t="shared" si="439"/>
        <v>32.0287637362637</v>
      </c>
      <c r="Y797" s="81"/>
      <c r="Z797" s="81"/>
      <c r="AA797" s="110">
        <f t="shared" si="432"/>
        <v>32.0287637362637</v>
      </c>
      <c r="AB797" s="90">
        <v>7.19</v>
      </c>
      <c r="AC797" s="78">
        <f t="shared" ref="AC797:AC808" si="448">SUM(AA797*AB797)</f>
        <v>230.286811263736</v>
      </c>
      <c r="AD797" s="78">
        <f t="shared" si="446"/>
        <v>1845.94203104396</v>
      </c>
      <c r="AE797" s="78">
        <f t="shared" si="445"/>
        <v>462.057968956044</v>
      </c>
    </row>
    <row r="798" customFormat="1" spans="1:31">
      <c r="A798" s="18"/>
      <c r="B798" s="19"/>
      <c r="C798" s="20">
        <v>240323000017</v>
      </c>
      <c r="D798" s="21">
        <v>45378</v>
      </c>
      <c r="E798" s="21" t="s">
        <v>70</v>
      </c>
      <c r="F798" s="19" t="s">
        <v>70</v>
      </c>
      <c r="G798" s="19" t="s">
        <v>513</v>
      </c>
      <c r="H798" s="19">
        <v>159</v>
      </c>
      <c r="I798" s="41">
        <v>9300</v>
      </c>
      <c r="J798" s="139"/>
      <c r="K798" s="140"/>
      <c r="L798" s="139"/>
      <c r="M798" s="44"/>
      <c r="N798" s="45"/>
      <c r="O798" s="46">
        <f t="shared" si="447"/>
        <v>9300</v>
      </c>
      <c r="P798" s="58"/>
      <c r="Q798" s="58"/>
      <c r="R798" s="78">
        <f t="shared" si="437"/>
        <v>5575.62912087912</v>
      </c>
      <c r="S798" s="78"/>
      <c r="T798" s="79">
        <f t="shared" si="438"/>
        <v>8.91826923076923</v>
      </c>
      <c r="U798" s="78"/>
      <c r="V798" s="78"/>
      <c r="W798" s="80">
        <f t="shared" si="434"/>
        <v>5584.54739010989</v>
      </c>
      <c r="X798" s="81">
        <f t="shared" si="439"/>
        <v>110.708118131868</v>
      </c>
      <c r="Y798" s="81"/>
      <c r="Z798" s="81"/>
      <c r="AA798" s="110">
        <f t="shared" si="432"/>
        <v>110.708118131868</v>
      </c>
      <c r="AB798" s="90">
        <v>7.19</v>
      </c>
      <c r="AC798" s="78">
        <f t="shared" si="448"/>
        <v>795.991369368132</v>
      </c>
      <c r="AD798" s="78">
        <f t="shared" si="446"/>
        <v>6380.53875947802</v>
      </c>
      <c r="AE798" s="78">
        <f t="shared" si="445"/>
        <v>2919.46124052198</v>
      </c>
    </row>
    <row r="799" customFormat="1" spans="1:31">
      <c r="A799" s="18" t="s">
        <v>514</v>
      </c>
      <c r="B799" s="19" t="s">
        <v>515</v>
      </c>
      <c r="C799" s="20">
        <v>240117000012</v>
      </c>
      <c r="D799" s="141">
        <v>45378</v>
      </c>
      <c r="E799" s="21" t="s">
        <v>70</v>
      </c>
      <c r="F799" s="19" t="s">
        <v>70</v>
      </c>
      <c r="G799" s="19" t="s">
        <v>88</v>
      </c>
      <c r="H799" s="19">
        <v>0.3471</v>
      </c>
      <c r="I799" s="41">
        <v>1026.1</v>
      </c>
      <c r="J799" s="45"/>
      <c r="K799" s="44"/>
      <c r="L799" s="45"/>
      <c r="M799" s="44"/>
      <c r="N799" s="45"/>
      <c r="O799" s="46">
        <f t="shared" si="447"/>
        <v>1026.1</v>
      </c>
      <c r="P799" s="46">
        <f t="shared" ref="P799:P808" si="449">SUM(O799)</f>
        <v>1026.1</v>
      </c>
      <c r="Q799" s="108" t="s">
        <v>335</v>
      </c>
      <c r="R799" s="108">
        <v>673.06</v>
      </c>
      <c r="S799" s="108">
        <f>SUM(73.46/7.4221)*H799</f>
        <v>3.4354112717425</v>
      </c>
      <c r="T799" s="108"/>
      <c r="U799" s="108"/>
      <c r="V799" s="108"/>
      <c r="W799" s="80">
        <f t="shared" si="434"/>
        <v>676.495411271742</v>
      </c>
      <c r="X799" s="110">
        <f>SUM(90.73/7.4221)*H799</f>
        <v>4.24305560420905</v>
      </c>
      <c r="Y799" s="110"/>
      <c r="Z799" s="110"/>
      <c r="AA799" s="110">
        <f t="shared" ref="AA799:AA808" si="450">SUM(X799:Z799)</f>
        <v>4.24305560420905</v>
      </c>
      <c r="AB799" s="90">
        <v>7.19</v>
      </c>
      <c r="AC799" s="78">
        <f t="shared" si="448"/>
        <v>30.5075697942631</v>
      </c>
      <c r="AD799" s="78">
        <f t="shared" si="446"/>
        <v>707.002981066006</v>
      </c>
      <c r="AE799" s="78">
        <f t="shared" si="445"/>
        <v>319.097018933994</v>
      </c>
    </row>
    <row r="800" customFormat="1" spans="1:31">
      <c r="A800" s="18"/>
      <c r="B800" s="19"/>
      <c r="C800" s="20">
        <v>240325000032</v>
      </c>
      <c r="D800" s="141">
        <v>45378</v>
      </c>
      <c r="E800" s="21" t="s">
        <v>41</v>
      </c>
      <c r="F800" s="19" t="s">
        <v>42</v>
      </c>
      <c r="G800" s="19" t="s">
        <v>73</v>
      </c>
      <c r="H800" s="19">
        <v>5.3478</v>
      </c>
      <c r="I800" s="41">
        <v>9787.5</v>
      </c>
      <c r="J800" s="45"/>
      <c r="K800" s="44"/>
      <c r="L800" s="45"/>
      <c r="M800" s="44"/>
      <c r="N800" s="45"/>
      <c r="O800" s="46">
        <f t="shared" si="447"/>
        <v>9787.5</v>
      </c>
      <c r="P800" s="46">
        <f t="shared" si="449"/>
        <v>9787.5</v>
      </c>
      <c r="Q800" s="108" t="s">
        <v>335</v>
      </c>
      <c r="R800" s="108">
        <v>8588.6</v>
      </c>
      <c r="S800" s="108">
        <f>SUM(73.46/7.4221)*H800</f>
        <v>52.9296813570283</v>
      </c>
      <c r="T800" s="108"/>
      <c r="U800" s="108"/>
      <c r="V800" s="108"/>
      <c r="W800" s="80">
        <f t="shared" si="434"/>
        <v>8641.52968135703</v>
      </c>
      <c r="X800" s="110">
        <f>SUM(90.73/7.4221)*H800</f>
        <v>65.3731280904326</v>
      </c>
      <c r="Y800" s="110"/>
      <c r="Z800" s="110"/>
      <c r="AA800" s="110">
        <f t="shared" si="450"/>
        <v>65.3731280904326</v>
      </c>
      <c r="AB800" s="90">
        <v>7.19</v>
      </c>
      <c r="AC800" s="78">
        <f t="shared" si="448"/>
        <v>470.032790970211</v>
      </c>
      <c r="AD800" s="78">
        <f t="shared" si="446"/>
        <v>9111.56247232724</v>
      </c>
      <c r="AE800" s="78">
        <f t="shared" si="445"/>
        <v>675.937527672761</v>
      </c>
    </row>
    <row r="801" customFormat="1" spans="1:31">
      <c r="A801" s="18"/>
      <c r="B801" s="19"/>
      <c r="C801" s="20">
        <v>240327000022</v>
      </c>
      <c r="D801" s="141">
        <v>45378</v>
      </c>
      <c r="E801" s="21" t="s">
        <v>44</v>
      </c>
      <c r="F801" s="19" t="s">
        <v>45</v>
      </c>
      <c r="G801" s="19" t="s">
        <v>267</v>
      </c>
      <c r="H801" s="19">
        <v>1.3842</v>
      </c>
      <c r="I801" s="49"/>
      <c r="J801" s="143">
        <v>448906</v>
      </c>
      <c r="K801" s="44"/>
      <c r="L801" s="50">
        <f t="shared" ref="L801:L806" si="451">SUM(J801/M801)</f>
        <v>1330.17067678085</v>
      </c>
      <c r="M801" s="52">
        <v>337.48</v>
      </c>
      <c r="N801" s="45">
        <v>7.19</v>
      </c>
      <c r="O801" s="46">
        <f t="shared" ref="O801:O806" si="452">SUM(M801*N801)</f>
        <v>2426.4812</v>
      </c>
      <c r="P801" s="46">
        <f t="shared" si="449"/>
        <v>2426.4812</v>
      </c>
      <c r="Q801" s="108" t="s">
        <v>335</v>
      </c>
      <c r="R801" s="108">
        <v>2222.85</v>
      </c>
      <c r="S801" s="108">
        <f>SUM(73.46/7.4221)*H801</f>
        <v>13.7000757198098</v>
      </c>
      <c r="T801" s="108"/>
      <c r="U801" s="108"/>
      <c r="V801" s="108"/>
      <c r="W801" s="80">
        <f t="shared" ref="W801:W812" si="453">SUM(R801:V801)</f>
        <v>2236.55007571981</v>
      </c>
      <c r="X801" s="110">
        <f>SUM(90.73/7.4221)*H801</f>
        <v>16.920880343838</v>
      </c>
      <c r="Y801" s="110"/>
      <c r="Z801" s="110"/>
      <c r="AA801" s="110">
        <f t="shared" si="450"/>
        <v>16.920880343838</v>
      </c>
      <c r="AB801" s="90">
        <v>7.19</v>
      </c>
      <c r="AC801" s="78">
        <f t="shared" si="448"/>
        <v>121.661129672195</v>
      </c>
      <c r="AD801" s="78">
        <f t="shared" si="446"/>
        <v>2358.21120539201</v>
      </c>
      <c r="AE801" s="78">
        <f t="shared" si="445"/>
        <v>68.2699946079952</v>
      </c>
    </row>
    <row r="802" customFormat="1" spans="1:31">
      <c r="A802" s="18"/>
      <c r="B802" s="19"/>
      <c r="C802" s="20">
        <v>240327000028</v>
      </c>
      <c r="D802" s="141">
        <v>45378</v>
      </c>
      <c r="E802" s="21" t="s">
        <v>70</v>
      </c>
      <c r="F802" s="19" t="s">
        <v>70</v>
      </c>
      <c r="G802" s="19" t="s">
        <v>516</v>
      </c>
      <c r="H802" s="19">
        <v>0.343</v>
      </c>
      <c r="I802" s="41">
        <v>2596.5</v>
      </c>
      <c r="J802" s="45"/>
      <c r="K802" s="44"/>
      <c r="L802" s="45"/>
      <c r="M802" s="44"/>
      <c r="N802" s="45"/>
      <c r="O802" s="46">
        <f t="shared" ref="O802:O805" si="454">SUM(I802)</f>
        <v>2596.5</v>
      </c>
      <c r="P802" s="46">
        <f t="shared" si="449"/>
        <v>2596.5</v>
      </c>
      <c r="Q802" s="108" t="s">
        <v>335</v>
      </c>
      <c r="R802" s="108">
        <v>1016.31</v>
      </c>
      <c r="S802" s="108">
        <f>SUM(73.46/7.4221)*H802</f>
        <v>3.39483165141941</v>
      </c>
      <c r="T802" s="108"/>
      <c r="U802" s="108"/>
      <c r="V802" s="108"/>
      <c r="W802" s="80">
        <f t="shared" si="453"/>
        <v>1019.70483165142</v>
      </c>
      <c r="X802" s="110">
        <f>SUM(90.73/7.4221)*H802</f>
        <v>4.19293596152032</v>
      </c>
      <c r="Y802" s="110"/>
      <c r="Z802" s="110"/>
      <c r="AA802" s="110">
        <f t="shared" si="450"/>
        <v>4.19293596152032</v>
      </c>
      <c r="AB802" s="90">
        <v>7.19</v>
      </c>
      <c r="AC802" s="78">
        <f t="shared" si="448"/>
        <v>30.1472095633311</v>
      </c>
      <c r="AD802" s="78">
        <f t="shared" si="446"/>
        <v>1049.85204121475</v>
      </c>
      <c r="AE802" s="78">
        <f t="shared" si="445"/>
        <v>1546.64795878525</v>
      </c>
    </row>
    <row r="803" customFormat="1" spans="1:31">
      <c r="A803" s="18" t="s">
        <v>517</v>
      </c>
      <c r="B803" s="19" t="s">
        <v>518</v>
      </c>
      <c r="C803" s="20">
        <v>240119000026</v>
      </c>
      <c r="D803" s="141">
        <v>45378</v>
      </c>
      <c r="E803" s="21" t="s">
        <v>44</v>
      </c>
      <c r="F803" s="19" t="s">
        <v>45</v>
      </c>
      <c r="G803" s="19" t="s">
        <v>231</v>
      </c>
      <c r="H803" s="19">
        <v>1.3104</v>
      </c>
      <c r="I803" s="57"/>
      <c r="J803" s="143">
        <v>599487.25</v>
      </c>
      <c r="K803" s="44"/>
      <c r="L803" s="50">
        <f t="shared" si="451"/>
        <v>1186.37519542459</v>
      </c>
      <c r="M803" s="52">
        <v>505.31</v>
      </c>
      <c r="N803" s="45">
        <v>7.19</v>
      </c>
      <c r="O803" s="46">
        <f t="shared" si="452"/>
        <v>3633.1789</v>
      </c>
      <c r="P803" s="46">
        <f t="shared" si="449"/>
        <v>3633.1789</v>
      </c>
      <c r="Q803" s="108" t="s">
        <v>335</v>
      </c>
      <c r="R803" s="108">
        <v>2188.83</v>
      </c>
      <c r="S803" s="108">
        <f>SUM(132/7.6168)*H803</f>
        <v>22.7093792668837</v>
      </c>
      <c r="T803" s="108"/>
      <c r="U803" s="108"/>
      <c r="V803" s="108"/>
      <c r="W803" s="80">
        <f t="shared" si="453"/>
        <v>2211.53937926688</v>
      </c>
      <c r="X803" s="110">
        <f>SUM(637.04/7.6168)*H803</f>
        <v>109.596840667997</v>
      </c>
      <c r="Y803" s="110"/>
      <c r="Z803" s="110"/>
      <c r="AA803" s="110">
        <f t="shared" si="450"/>
        <v>109.596840667997</v>
      </c>
      <c r="AB803" s="90">
        <v>7.19</v>
      </c>
      <c r="AC803" s="78">
        <f t="shared" si="448"/>
        <v>788.001284402899</v>
      </c>
      <c r="AD803" s="78">
        <f t="shared" si="446"/>
        <v>2999.54066366978</v>
      </c>
      <c r="AE803" s="78">
        <f t="shared" si="445"/>
        <v>633.638236330217</v>
      </c>
    </row>
    <row r="804" customFormat="1" spans="1:31">
      <c r="A804" s="18"/>
      <c r="B804" s="19"/>
      <c r="C804" s="20">
        <v>240119000037</v>
      </c>
      <c r="D804" s="141">
        <v>45378</v>
      </c>
      <c r="E804" s="21" t="s">
        <v>41</v>
      </c>
      <c r="F804" s="19" t="s">
        <v>42</v>
      </c>
      <c r="G804" s="19" t="s">
        <v>73</v>
      </c>
      <c r="H804" s="19">
        <v>0.0764</v>
      </c>
      <c r="I804" s="41">
        <v>241.25</v>
      </c>
      <c r="J804" s="45"/>
      <c r="K804" s="44"/>
      <c r="L804" s="45"/>
      <c r="M804" s="44"/>
      <c r="N804" s="45"/>
      <c r="O804" s="46">
        <f t="shared" si="454"/>
        <v>241.25</v>
      </c>
      <c r="P804" s="46">
        <f t="shared" si="449"/>
        <v>241.25</v>
      </c>
      <c r="Q804" s="108" t="s">
        <v>335</v>
      </c>
      <c r="R804" s="108">
        <v>127.4</v>
      </c>
      <c r="S804" s="108">
        <f>SUM(132/7.6168)*H804</f>
        <v>1.32402058607289</v>
      </c>
      <c r="T804" s="108"/>
      <c r="U804" s="108"/>
      <c r="V804" s="108"/>
      <c r="W804" s="80">
        <f t="shared" si="453"/>
        <v>128.724020586073</v>
      </c>
      <c r="X804" s="110">
        <f>SUM(637.04/7.6168)*H804</f>
        <v>6.38980359205966</v>
      </c>
      <c r="Y804" s="110"/>
      <c r="Z804" s="110"/>
      <c r="AA804" s="110">
        <f t="shared" ref="AA804:AA812" si="455">SUM(X804:Z804)</f>
        <v>6.38980359205966</v>
      </c>
      <c r="AB804" s="90">
        <v>7.19</v>
      </c>
      <c r="AC804" s="78">
        <f t="shared" si="448"/>
        <v>45.9426878269089</v>
      </c>
      <c r="AD804" s="78">
        <f t="shared" si="446"/>
        <v>174.666708412982</v>
      </c>
      <c r="AE804" s="78">
        <f t="shared" si="445"/>
        <v>66.5832915870182</v>
      </c>
    </row>
    <row r="805" customFormat="1" spans="1:31">
      <c r="A805" s="18"/>
      <c r="B805" s="19"/>
      <c r="C805" s="20">
        <v>240130000022</v>
      </c>
      <c r="D805" s="141">
        <v>45378</v>
      </c>
      <c r="E805" s="21" t="s">
        <v>44</v>
      </c>
      <c r="F805" s="19" t="s">
        <v>45</v>
      </c>
      <c r="G805" s="19" t="s">
        <v>519</v>
      </c>
      <c r="H805" s="19">
        <v>2.3701</v>
      </c>
      <c r="I805" s="41">
        <v>7557</v>
      </c>
      <c r="J805" s="45"/>
      <c r="K805" s="44"/>
      <c r="L805" s="45"/>
      <c r="M805" s="44"/>
      <c r="N805" s="45"/>
      <c r="O805" s="46">
        <f t="shared" si="454"/>
        <v>7557</v>
      </c>
      <c r="P805" s="46">
        <f t="shared" si="449"/>
        <v>7557</v>
      </c>
      <c r="Q805" s="108" t="s">
        <v>335</v>
      </c>
      <c r="R805" s="108">
        <v>3806.4</v>
      </c>
      <c r="S805" s="108">
        <f>SUM(132/7.6168)*H805</f>
        <v>41.074099359311</v>
      </c>
      <c r="T805" s="108"/>
      <c r="U805" s="108"/>
      <c r="V805" s="108"/>
      <c r="W805" s="80">
        <f t="shared" si="453"/>
        <v>3847.47409935931</v>
      </c>
      <c r="X805" s="110">
        <f>SUM(637.04/7.6168)*H805</f>
        <v>198.22609284739</v>
      </c>
      <c r="Y805" s="110"/>
      <c r="Z805" s="110"/>
      <c r="AA805" s="110">
        <f t="shared" si="455"/>
        <v>198.22609284739</v>
      </c>
      <c r="AB805" s="90">
        <v>7.19</v>
      </c>
      <c r="AC805" s="78">
        <f t="shared" si="448"/>
        <v>1425.24560757273</v>
      </c>
      <c r="AD805" s="78">
        <f t="shared" si="446"/>
        <v>5272.71970693204</v>
      </c>
      <c r="AE805" s="78">
        <f t="shared" si="445"/>
        <v>2284.28029306796</v>
      </c>
    </row>
    <row r="806" customFormat="1" spans="1:31">
      <c r="A806" s="18"/>
      <c r="B806" s="19"/>
      <c r="C806" s="20">
        <v>240327000026</v>
      </c>
      <c r="D806" s="141">
        <v>45378</v>
      </c>
      <c r="E806" s="21" t="s">
        <v>44</v>
      </c>
      <c r="F806" s="19" t="s">
        <v>45</v>
      </c>
      <c r="G806" s="19" t="s">
        <v>231</v>
      </c>
      <c r="H806" s="19">
        <v>0.9498</v>
      </c>
      <c r="I806" s="49"/>
      <c r="J806" s="143">
        <v>616852.5</v>
      </c>
      <c r="K806" s="44"/>
      <c r="L806" s="50">
        <f t="shared" si="451"/>
        <v>1186.36888162323</v>
      </c>
      <c r="M806" s="52">
        <v>519.95</v>
      </c>
      <c r="N806" s="45">
        <v>7.19</v>
      </c>
      <c r="O806" s="46">
        <f t="shared" si="452"/>
        <v>3738.4405</v>
      </c>
      <c r="P806" s="46">
        <f t="shared" si="449"/>
        <v>3738.4405</v>
      </c>
      <c r="Q806" s="108" t="s">
        <v>335</v>
      </c>
      <c r="R806" s="108">
        <v>1633.45</v>
      </c>
      <c r="S806" s="108">
        <f>SUM(132/7.6168)*H806</f>
        <v>16.4601407415187</v>
      </c>
      <c r="T806" s="108"/>
      <c r="U806" s="108"/>
      <c r="V806" s="108"/>
      <c r="W806" s="80">
        <f t="shared" si="453"/>
        <v>1649.91014074152</v>
      </c>
      <c r="X806" s="110">
        <f>SUM(637.04/7.6168)*H806</f>
        <v>79.4376368028568</v>
      </c>
      <c r="Y806" s="110"/>
      <c r="Z806" s="110"/>
      <c r="AA806" s="110">
        <f t="shared" si="455"/>
        <v>79.4376368028568</v>
      </c>
      <c r="AB806" s="90">
        <v>7.19</v>
      </c>
      <c r="AC806" s="78">
        <f t="shared" ref="AC806:AC812" si="456">SUM(AA806*AB806)</f>
        <v>571.156608612541</v>
      </c>
      <c r="AD806" s="78">
        <f t="shared" si="446"/>
        <v>2221.06674935406</v>
      </c>
      <c r="AE806" s="78">
        <f t="shared" ref="AE806:AE812" si="457">SUM(O806-AD806)</f>
        <v>1517.37375064594</v>
      </c>
    </row>
    <row r="807" customFormat="1" spans="1:31">
      <c r="A807" s="18"/>
      <c r="B807" s="19"/>
      <c r="C807" s="20">
        <v>240327000027</v>
      </c>
      <c r="D807" s="141">
        <v>45378</v>
      </c>
      <c r="E807" s="21" t="s">
        <v>70</v>
      </c>
      <c r="F807" s="19" t="s">
        <v>70</v>
      </c>
      <c r="G807" s="19" t="s">
        <v>513</v>
      </c>
      <c r="H807" s="19">
        <v>2.9101</v>
      </c>
      <c r="I807" s="41">
        <v>6255</v>
      </c>
      <c r="J807" s="45"/>
      <c r="K807" s="44"/>
      <c r="L807" s="45"/>
      <c r="M807" s="44"/>
      <c r="N807" s="45"/>
      <c r="O807" s="46">
        <f t="shared" ref="O807:O811" si="458">SUM(I807)</f>
        <v>6255</v>
      </c>
      <c r="P807" s="46">
        <f t="shared" si="449"/>
        <v>6255</v>
      </c>
      <c r="Q807" s="108" t="s">
        <v>335</v>
      </c>
      <c r="R807" s="108">
        <v>5173.61</v>
      </c>
      <c r="S807" s="108">
        <f>SUM(132/7.6168)*H807</f>
        <v>50.4323600462136</v>
      </c>
      <c r="T807" s="108"/>
      <c r="U807" s="108"/>
      <c r="V807" s="108"/>
      <c r="W807" s="80">
        <f t="shared" si="453"/>
        <v>5224.04236004621</v>
      </c>
      <c r="X807" s="110">
        <f>SUM(637.04/7.6168)*H807</f>
        <v>243.389626089696</v>
      </c>
      <c r="Y807" s="110"/>
      <c r="Z807" s="110"/>
      <c r="AA807" s="110">
        <f t="shared" si="455"/>
        <v>243.389626089696</v>
      </c>
      <c r="AB807" s="90">
        <v>7.19</v>
      </c>
      <c r="AC807" s="78">
        <f t="shared" si="456"/>
        <v>1749.97141158492</v>
      </c>
      <c r="AD807" s="78">
        <f t="shared" ref="AD807:AD812" si="459">SUM(W807+AC807)</f>
        <v>6974.01377163113</v>
      </c>
      <c r="AE807" s="78">
        <f t="shared" si="457"/>
        <v>-719.013771631131</v>
      </c>
    </row>
    <row r="808" customFormat="1" ht="15" spans="1:31">
      <c r="A808" s="18" t="s">
        <v>520</v>
      </c>
      <c r="B808" s="19" t="s">
        <v>521</v>
      </c>
      <c r="C808" s="20">
        <v>240315000015</v>
      </c>
      <c r="D808" s="21">
        <v>45379</v>
      </c>
      <c r="E808" s="21" t="s">
        <v>44</v>
      </c>
      <c r="F808" s="19" t="s">
        <v>45</v>
      </c>
      <c r="G808" s="19" t="s">
        <v>267</v>
      </c>
      <c r="H808" s="19">
        <v>47.58</v>
      </c>
      <c r="I808" s="46"/>
      <c r="J808" s="143">
        <v>19669473.8</v>
      </c>
      <c r="K808" s="44"/>
      <c r="L808" s="50">
        <f t="shared" ref="L808:L812" si="460">SUM(J808/M808)</f>
        <v>1330.15002627235</v>
      </c>
      <c r="M808" s="52">
        <v>14787.41</v>
      </c>
      <c r="N808" s="45">
        <v>7.19</v>
      </c>
      <c r="O808" s="144">
        <f t="shared" ref="O808:O812" si="461">SUM(M808*N808)</f>
        <v>106321.4779</v>
      </c>
      <c r="P808" s="145">
        <f t="shared" si="449"/>
        <v>106321.4779</v>
      </c>
      <c r="Q808" s="145" t="s">
        <v>335</v>
      </c>
      <c r="R808" s="127">
        <v>95642</v>
      </c>
      <c r="S808" s="149">
        <v>0</v>
      </c>
      <c r="T808" s="150"/>
      <c r="U808" s="149"/>
      <c r="V808" s="149"/>
      <c r="W808" s="80">
        <f t="shared" si="453"/>
        <v>95642</v>
      </c>
      <c r="X808" s="110">
        <v>0</v>
      </c>
      <c r="Y808" s="110"/>
      <c r="Z808" s="110"/>
      <c r="AA808" s="110">
        <f t="shared" si="455"/>
        <v>0</v>
      </c>
      <c r="AB808" s="90">
        <v>7.19</v>
      </c>
      <c r="AC808" s="78">
        <f t="shared" si="456"/>
        <v>0</v>
      </c>
      <c r="AD808" s="78">
        <f t="shared" si="459"/>
        <v>95642</v>
      </c>
      <c r="AE808" s="78">
        <f t="shared" si="457"/>
        <v>10679.4779</v>
      </c>
    </row>
    <row r="809" customFormat="1" spans="1:31">
      <c r="A809" s="18" t="s">
        <v>522</v>
      </c>
      <c r="B809" s="19" t="s">
        <v>523</v>
      </c>
      <c r="C809" s="20">
        <v>240322000002</v>
      </c>
      <c r="D809" s="21">
        <v>45379</v>
      </c>
      <c r="E809" s="21" t="s">
        <v>37</v>
      </c>
      <c r="F809" s="19" t="s">
        <v>38</v>
      </c>
      <c r="G809" s="19" t="s">
        <v>448</v>
      </c>
      <c r="H809" s="19">
        <v>9</v>
      </c>
      <c r="I809" s="41">
        <v>1062</v>
      </c>
      <c r="J809" s="139"/>
      <c r="K809" s="140"/>
      <c r="L809" s="139"/>
      <c r="M809" s="44"/>
      <c r="N809" s="45"/>
      <c r="O809" s="46">
        <f t="shared" si="458"/>
        <v>1062</v>
      </c>
      <c r="P809" s="47">
        <f>SUM(O809:O812)</f>
        <v>1783.5626</v>
      </c>
      <c r="Q809" s="47" t="s">
        <v>78</v>
      </c>
      <c r="R809" s="78">
        <f>SUM(2200/32)*H813</f>
        <v>275</v>
      </c>
      <c r="S809" s="78"/>
      <c r="T809" s="78">
        <v>0</v>
      </c>
      <c r="U809" s="78"/>
      <c r="V809" s="78"/>
      <c r="W809" s="80">
        <f t="shared" si="453"/>
        <v>275</v>
      </c>
      <c r="X809" s="81">
        <f>SUM(66.12/32)*H809</f>
        <v>18.59625</v>
      </c>
      <c r="Y809" s="81"/>
      <c r="Z809" s="81"/>
      <c r="AA809" s="110">
        <f t="shared" si="455"/>
        <v>18.59625</v>
      </c>
      <c r="AB809" s="90">
        <v>7.19</v>
      </c>
      <c r="AC809" s="78">
        <f t="shared" si="456"/>
        <v>133.7070375</v>
      </c>
      <c r="AD809" s="78">
        <f t="shared" si="459"/>
        <v>408.7070375</v>
      </c>
      <c r="AE809" s="78">
        <f t="shared" si="457"/>
        <v>653.2929625</v>
      </c>
    </row>
    <row r="810" customFormat="1" spans="1:31">
      <c r="A810" s="18"/>
      <c r="B810" s="19"/>
      <c r="C810" s="20">
        <v>240323000014</v>
      </c>
      <c r="D810" s="21">
        <v>45379</v>
      </c>
      <c r="E810" s="21" t="s">
        <v>47</v>
      </c>
      <c r="F810" s="19" t="s">
        <v>93</v>
      </c>
      <c r="G810" s="19" t="s">
        <v>94</v>
      </c>
      <c r="H810" s="19">
        <v>3</v>
      </c>
      <c r="I810" s="46"/>
      <c r="J810" s="137">
        <v>65556.4</v>
      </c>
      <c r="K810" s="146"/>
      <c r="L810" s="50">
        <f t="shared" si="460"/>
        <v>1349.17472731015</v>
      </c>
      <c r="M810" s="52">
        <v>48.59</v>
      </c>
      <c r="N810" s="45">
        <v>7.19</v>
      </c>
      <c r="O810" s="46">
        <f t="shared" si="461"/>
        <v>349.3621</v>
      </c>
      <c r="P810" s="48"/>
      <c r="Q810" s="48"/>
      <c r="R810" s="78">
        <f>SUM(2200/32)*H814</f>
        <v>103.125</v>
      </c>
      <c r="S810" s="78"/>
      <c r="T810" s="78"/>
      <c r="U810" s="78"/>
      <c r="V810" s="78"/>
      <c r="W810" s="80">
        <f t="shared" si="453"/>
        <v>103.125</v>
      </c>
      <c r="X810" s="81">
        <f>SUM(66.12/32)*H810</f>
        <v>6.19875</v>
      </c>
      <c r="Y810" s="81"/>
      <c r="Z810" s="81"/>
      <c r="AA810" s="110">
        <f t="shared" si="455"/>
        <v>6.19875</v>
      </c>
      <c r="AB810" s="90">
        <v>7.19</v>
      </c>
      <c r="AC810" s="78">
        <f t="shared" si="456"/>
        <v>44.5690125</v>
      </c>
      <c r="AD810" s="78">
        <f t="shared" ref="AD810:AD822" si="462">SUM(W810+AC810)</f>
        <v>147.6940125</v>
      </c>
      <c r="AE810" s="78">
        <f t="shared" ref="AE810:AE822" si="463">SUM(O810-AD810)</f>
        <v>201.6680875</v>
      </c>
    </row>
    <row r="811" customFormat="1" spans="1:31">
      <c r="A811" s="18"/>
      <c r="B811" s="19"/>
      <c r="C811" s="20">
        <v>240325000027</v>
      </c>
      <c r="D811" s="21">
        <v>45379</v>
      </c>
      <c r="E811" s="21" t="s">
        <v>41</v>
      </c>
      <c r="F811" s="19" t="s">
        <v>42</v>
      </c>
      <c r="G811" s="19" t="s">
        <v>524</v>
      </c>
      <c r="H811" s="19">
        <v>0.1</v>
      </c>
      <c r="I811" s="41">
        <v>200</v>
      </c>
      <c r="J811" s="139"/>
      <c r="K811" s="140"/>
      <c r="L811" s="139"/>
      <c r="M811" s="44"/>
      <c r="N811" s="45"/>
      <c r="O811" s="46">
        <f t="shared" si="458"/>
        <v>200</v>
      </c>
      <c r="P811" s="48"/>
      <c r="Q811" s="48"/>
      <c r="R811" s="78">
        <f>SUM(2200/32)*H815</f>
        <v>171.875</v>
      </c>
      <c r="S811" s="78"/>
      <c r="T811" s="78"/>
      <c r="U811" s="78"/>
      <c r="V811" s="78"/>
      <c r="W811" s="80">
        <f t="shared" si="453"/>
        <v>171.875</v>
      </c>
      <c r="X811" s="81">
        <f>SUM(66.12/32)*H811</f>
        <v>0.206625</v>
      </c>
      <c r="Y811" s="81"/>
      <c r="Z811" s="81"/>
      <c r="AA811" s="110">
        <f t="shared" si="455"/>
        <v>0.206625</v>
      </c>
      <c r="AB811" s="90">
        <v>7.19</v>
      </c>
      <c r="AC811" s="78">
        <f t="shared" si="456"/>
        <v>1.48563375</v>
      </c>
      <c r="AD811" s="78">
        <f t="shared" si="462"/>
        <v>173.36063375</v>
      </c>
      <c r="AE811" s="78">
        <f t="shared" si="463"/>
        <v>26.63936625</v>
      </c>
    </row>
    <row r="812" customFormat="1" spans="1:31">
      <c r="A812" s="18"/>
      <c r="B812" s="19"/>
      <c r="C812" s="20">
        <v>240325000045</v>
      </c>
      <c r="D812" s="21">
        <v>45379</v>
      </c>
      <c r="E812" s="21" t="s">
        <v>47</v>
      </c>
      <c r="F812" s="19" t="s">
        <v>93</v>
      </c>
      <c r="G812" s="19" t="s">
        <v>94</v>
      </c>
      <c r="H812" s="19">
        <v>1.5</v>
      </c>
      <c r="I812" s="46"/>
      <c r="J812" s="137">
        <v>32373.6</v>
      </c>
      <c r="K812" s="146"/>
      <c r="L812" s="50">
        <f t="shared" si="460"/>
        <v>1351.71607515658</v>
      </c>
      <c r="M812" s="52">
        <v>23.95</v>
      </c>
      <c r="N812" s="45">
        <v>7.19</v>
      </c>
      <c r="O812" s="46">
        <f t="shared" si="461"/>
        <v>172.2005</v>
      </c>
      <c r="P812" s="58"/>
      <c r="Q812" s="58"/>
      <c r="R812" s="78">
        <f>SUM(2200/32)*H816</f>
        <v>103.125</v>
      </c>
      <c r="S812" s="78"/>
      <c r="T812" s="78"/>
      <c r="U812" s="78"/>
      <c r="V812" s="78"/>
      <c r="W812" s="80">
        <f t="shared" ref="W812:W822" si="464">SUM(R812:V812)</f>
        <v>103.125</v>
      </c>
      <c r="X812" s="81">
        <f>SUM(66.12/32)*H812</f>
        <v>3.099375</v>
      </c>
      <c r="Y812" s="81"/>
      <c r="Z812" s="81"/>
      <c r="AA812" s="110">
        <f t="shared" ref="AA812:AA822" si="465">SUM(X812:Z812)</f>
        <v>3.099375</v>
      </c>
      <c r="AB812" s="90">
        <v>7.19</v>
      </c>
      <c r="AC812" s="78">
        <f t="shared" ref="AC812:AC822" si="466">SUM(AA812*AB812)</f>
        <v>22.28450625</v>
      </c>
      <c r="AD812" s="78">
        <f t="shared" si="462"/>
        <v>125.40950625</v>
      </c>
      <c r="AE812" s="78">
        <f t="shared" si="463"/>
        <v>46.79099375</v>
      </c>
    </row>
    <row r="813" customFormat="1" spans="1:31">
      <c r="A813" s="18" t="s">
        <v>525</v>
      </c>
      <c r="B813" s="19" t="s">
        <v>526</v>
      </c>
      <c r="C813" s="20">
        <v>240323000007</v>
      </c>
      <c r="D813" s="141">
        <v>45381</v>
      </c>
      <c r="E813" s="21" t="s">
        <v>37</v>
      </c>
      <c r="F813" s="19" t="s">
        <v>145</v>
      </c>
      <c r="G813" s="19" t="s">
        <v>527</v>
      </c>
      <c r="H813" s="19">
        <v>4</v>
      </c>
      <c r="I813" s="41">
        <v>473</v>
      </c>
      <c r="J813" s="147"/>
      <c r="K813" s="148"/>
      <c r="L813" s="147"/>
      <c r="M813" s="44"/>
      <c r="N813" s="45"/>
      <c r="O813" s="46">
        <f t="shared" ref="O813:O820" si="467">SUM(I813)</f>
        <v>473</v>
      </c>
      <c r="P813" s="47">
        <f>SUM(O813:O822)</f>
        <v>9455.9084</v>
      </c>
      <c r="Q813" s="47" t="s">
        <v>78</v>
      </c>
      <c r="R813" s="78">
        <f>SUM(3400/55)*H813</f>
        <v>247.272727272727</v>
      </c>
      <c r="S813" s="78"/>
      <c r="T813" s="79">
        <f>SUM(136.62/55)*H813</f>
        <v>9.936</v>
      </c>
      <c r="U813" s="78"/>
      <c r="V813" s="79">
        <v>13</v>
      </c>
      <c r="W813" s="80">
        <f t="shared" si="464"/>
        <v>270.208727272727</v>
      </c>
      <c r="X813" s="81">
        <f>SUM(92.99/55)*H813</f>
        <v>6.76290909090909</v>
      </c>
      <c r="Y813" s="81"/>
      <c r="Z813" s="81"/>
      <c r="AA813" s="110">
        <f t="shared" si="465"/>
        <v>6.76290909090909</v>
      </c>
      <c r="AB813" s="90">
        <v>7.19</v>
      </c>
      <c r="AC813" s="78">
        <f t="shared" si="466"/>
        <v>48.6253163636364</v>
      </c>
      <c r="AD813" s="78">
        <f t="shared" si="462"/>
        <v>318.834043636364</v>
      </c>
      <c r="AE813" s="78">
        <f t="shared" si="463"/>
        <v>154.165956363636</v>
      </c>
    </row>
    <row r="814" customFormat="1" spans="1:31">
      <c r="A814" s="18"/>
      <c r="B814" s="19"/>
      <c r="C814" s="20">
        <v>240323000009</v>
      </c>
      <c r="D814" s="141">
        <v>45381</v>
      </c>
      <c r="E814" s="21" t="s">
        <v>44</v>
      </c>
      <c r="F814" s="19" t="s">
        <v>45</v>
      </c>
      <c r="G814" s="19" t="s">
        <v>122</v>
      </c>
      <c r="H814" s="19">
        <v>1.5</v>
      </c>
      <c r="I814" s="49"/>
      <c r="J814" s="137">
        <v>28440</v>
      </c>
      <c r="K814" s="138"/>
      <c r="L814" s="50">
        <f>SUM(J814/M814)</f>
        <v>1136.23651618058</v>
      </c>
      <c r="M814" s="52">
        <v>25.03</v>
      </c>
      <c r="N814" s="45">
        <v>7.19</v>
      </c>
      <c r="O814" s="46">
        <f>SUM(M814*N814)</f>
        <v>179.9657</v>
      </c>
      <c r="P814" s="48"/>
      <c r="Q814" s="48"/>
      <c r="R814" s="78">
        <f t="shared" ref="R814:R822" si="468">SUM(3400/55)*H814</f>
        <v>92.7272727272727</v>
      </c>
      <c r="S814" s="78"/>
      <c r="T814" s="79">
        <f t="shared" ref="T814:T822" si="469">SUM(136.62/55)*H814</f>
        <v>3.726</v>
      </c>
      <c r="U814" s="78"/>
      <c r="V814" s="78"/>
      <c r="W814" s="80">
        <f t="shared" si="464"/>
        <v>96.4532727272727</v>
      </c>
      <c r="X814" s="81">
        <f t="shared" ref="X814:X822" si="470">SUM(92.99/55)*H814</f>
        <v>2.53609090909091</v>
      </c>
      <c r="Y814" s="81"/>
      <c r="Z814" s="81"/>
      <c r="AA814" s="110">
        <f t="shared" si="465"/>
        <v>2.53609090909091</v>
      </c>
      <c r="AB814" s="90">
        <v>7.19</v>
      </c>
      <c r="AC814" s="78">
        <f t="shared" si="466"/>
        <v>18.2344936363636</v>
      </c>
      <c r="AD814" s="78">
        <f t="shared" si="462"/>
        <v>114.687766363636</v>
      </c>
      <c r="AE814" s="78">
        <f t="shared" si="463"/>
        <v>65.2779336363636</v>
      </c>
    </row>
    <row r="815" customFormat="1" spans="1:31">
      <c r="A815" s="18"/>
      <c r="B815" s="19"/>
      <c r="C815" s="20">
        <v>240323000012</v>
      </c>
      <c r="D815" s="141">
        <v>45381</v>
      </c>
      <c r="E815" s="21" t="s">
        <v>37</v>
      </c>
      <c r="F815" s="19">
        <v>13635229849</v>
      </c>
      <c r="G815" s="19" t="s">
        <v>127</v>
      </c>
      <c r="H815" s="19">
        <v>2.5</v>
      </c>
      <c r="I815" s="46"/>
      <c r="J815" s="137">
        <v>52491</v>
      </c>
      <c r="K815" s="138"/>
      <c r="L815" s="50">
        <f>SUM(J815/M815)</f>
        <v>1259.98559769563</v>
      </c>
      <c r="M815" s="52">
        <v>41.66</v>
      </c>
      <c r="N815" s="45">
        <v>7.19</v>
      </c>
      <c r="O815" s="46">
        <f>SUM(M815*N815)</f>
        <v>299.5354</v>
      </c>
      <c r="P815" s="48"/>
      <c r="Q815" s="48"/>
      <c r="R815" s="78">
        <f t="shared" si="468"/>
        <v>154.545454545455</v>
      </c>
      <c r="S815" s="78"/>
      <c r="T815" s="79">
        <f t="shared" si="469"/>
        <v>6.21</v>
      </c>
      <c r="U815" s="78"/>
      <c r="V815" s="78"/>
      <c r="W815" s="80">
        <f t="shared" si="464"/>
        <v>160.755454545455</v>
      </c>
      <c r="X815" s="81">
        <f t="shared" si="470"/>
        <v>4.22681818181818</v>
      </c>
      <c r="Y815" s="81"/>
      <c r="Z815" s="81"/>
      <c r="AA815" s="110">
        <f t="shared" si="465"/>
        <v>4.22681818181818</v>
      </c>
      <c r="AB815" s="90">
        <v>7.19</v>
      </c>
      <c r="AC815" s="78">
        <f t="shared" si="466"/>
        <v>30.3908227272727</v>
      </c>
      <c r="AD815" s="78">
        <f t="shared" si="462"/>
        <v>191.146277272727</v>
      </c>
      <c r="AE815" s="78">
        <f t="shared" si="463"/>
        <v>108.389122727273</v>
      </c>
    </row>
    <row r="816" customFormat="1" spans="1:31">
      <c r="A816" s="18"/>
      <c r="B816" s="19"/>
      <c r="C816" s="20">
        <v>240325000023</v>
      </c>
      <c r="D816" s="142">
        <v>45381</v>
      </c>
      <c r="E816" s="21" t="s">
        <v>37</v>
      </c>
      <c r="F816" s="19" t="s">
        <v>38</v>
      </c>
      <c r="G816" s="19" t="s">
        <v>528</v>
      </c>
      <c r="H816" s="19">
        <v>1.5</v>
      </c>
      <c r="I816" s="41">
        <v>172.5</v>
      </c>
      <c r="J816" s="139"/>
      <c r="K816" s="140"/>
      <c r="L816" s="139"/>
      <c r="M816" s="44"/>
      <c r="N816" s="45"/>
      <c r="O816" s="46">
        <f t="shared" si="467"/>
        <v>172.5</v>
      </c>
      <c r="P816" s="48"/>
      <c r="Q816" s="48"/>
      <c r="R816" s="78">
        <f t="shared" si="468"/>
        <v>92.7272727272727</v>
      </c>
      <c r="S816" s="78"/>
      <c r="T816" s="79">
        <f t="shared" si="469"/>
        <v>3.726</v>
      </c>
      <c r="U816" s="78"/>
      <c r="V816" s="78"/>
      <c r="W816" s="80">
        <f t="shared" si="464"/>
        <v>96.4532727272727</v>
      </c>
      <c r="X816" s="81">
        <f t="shared" si="470"/>
        <v>2.53609090909091</v>
      </c>
      <c r="Y816" s="81"/>
      <c r="Z816" s="81"/>
      <c r="AA816" s="110">
        <f t="shared" si="465"/>
        <v>2.53609090909091</v>
      </c>
      <c r="AB816" s="90">
        <v>7.19</v>
      </c>
      <c r="AC816" s="78">
        <f t="shared" si="466"/>
        <v>18.2344936363636</v>
      </c>
      <c r="AD816" s="78">
        <f t="shared" si="462"/>
        <v>114.687766363636</v>
      </c>
      <c r="AE816" s="78">
        <f t="shared" si="463"/>
        <v>57.8122336363636</v>
      </c>
    </row>
    <row r="817" customFormat="1" spans="1:31">
      <c r="A817" s="18"/>
      <c r="B817" s="19"/>
      <c r="C817" s="20">
        <v>240325000029</v>
      </c>
      <c r="D817" s="141">
        <v>45381</v>
      </c>
      <c r="E817" s="21" t="s">
        <v>51</v>
      </c>
      <c r="F817" s="19" t="s">
        <v>52</v>
      </c>
      <c r="G817" s="19" t="s">
        <v>529</v>
      </c>
      <c r="H817" s="19">
        <v>3.5</v>
      </c>
      <c r="I817" s="41">
        <v>402.5</v>
      </c>
      <c r="J817" s="139"/>
      <c r="K817" s="140"/>
      <c r="L817" s="139"/>
      <c r="M817" s="44"/>
      <c r="N817" s="45"/>
      <c r="O817" s="46">
        <f t="shared" si="467"/>
        <v>402.5</v>
      </c>
      <c r="P817" s="48"/>
      <c r="Q817" s="48"/>
      <c r="R817" s="78">
        <f t="shared" si="468"/>
        <v>216.363636363636</v>
      </c>
      <c r="S817" s="78"/>
      <c r="T817" s="79">
        <f t="shared" si="469"/>
        <v>8.694</v>
      </c>
      <c r="U817" s="78"/>
      <c r="V817" s="78"/>
      <c r="W817" s="80">
        <f t="shared" si="464"/>
        <v>225.057636363636</v>
      </c>
      <c r="X817" s="81">
        <f t="shared" si="470"/>
        <v>5.91754545454545</v>
      </c>
      <c r="Y817" s="81"/>
      <c r="Z817" s="81"/>
      <c r="AA817" s="110">
        <f t="shared" si="465"/>
        <v>5.91754545454545</v>
      </c>
      <c r="AB817" s="90">
        <v>7.19</v>
      </c>
      <c r="AC817" s="78">
        <f t="shared" si="466"/>
        <v>42.5471518181818</v>
      </c>
      <c r="AD817" s="78">
        <f t="shared" si="462"/>
        <v>267.604788181818</v>
      </c>
      <c r="AE817" s="78">
        <f t="shared" si="463"/>
        <v>134.895211818182</v>
      </c>
    </row>
    <row r="818" customFormat="1" spans="1:31">
      <c r="A818" s="18"/>
      <c r="B818" s="19"/>
      <c r="C818" s="20">
        <v>240325000033</v>
      </c>
      <c r="D818" s="142">
        <v>45381</v>
      </c>
      <c r="E818" s="21" t="s">
        <v>37</v>
      </c>
      <c r="F818" s="19" t="s">
        <v>38</v>
      </c>
      <c r="G818" s="19" t="s">
        <v>530</v>
      </c>
      <c r="H818" s="19">
        <v>0.18</v>
      </c>
      <c r="I818" s="41">
        <v>115</v>
      </c>
      <c r="J818" s="139"/>
      <c r="K818" s="140"/>
      <c r="L818" s="139"/>
      <c r="M818" s="44"/>
      <c r="N818" s="45"/>
      <c r="O818" s="46">
        <f t="shared" si="467"/>
        <v>115</v>
      </c>
      <c r="P818" s="48"/>
      <c r="Q818" s="48"/>
      <c r="R818" s="78">
        <f t="shared" si="468"/>
        <v>11.1272727272727</v>
      </c>
      <c r="S818" s="78"/>
      <c r="T818" s="79">
        <f t="shared" si="469"/>
        <v>0.44712</v>
      </c>
      <c r="U818" s="78"/>
      <c r="V818" s="78"/>
      <c r="W818" s="80">
        <f t="shared" si="464"/>
        <v>11.5743927272727</v>
      </c>
      <c r="X818" s="81">
        <f t="shared" si="470"/>
        <v>0.304330909090909</v>
      </c>
      <c r="Y818" s="81"/>
      <c r="Z818" s="81"/>
      <c r="AA818" s="110">
        <f t="shared" si="465"/>
        <v>0.304330909090909</v>
      </c>
      <c r="AB818" s="90">
        <v>7.19</v>
      </c>
      <c r="AC818" s="78">
        <f t="shared" si="466"/>
        <v>2.18813923636364</v>
      </c>
      <c r="AD818" s="78">
        <f t="shared" si="462"/>
        <v>13.7625319636364</v>
      </c>
      <c r="AE818" s="78">
        <f t="shared" si="463"/>
        <v>101.237468036364</v>
      </c>
    </row>
    <row r="819" customFormat="1" spans="1:31">
      <c r="A819" s="18"/>
      <c r="B819" s="19"/>
      <c r="C819" s="20">
        <v>240325000035</v>
      </c>
      <c r="D819" s="142">
        <v>45381</v>
      </c>
      <c r="E819" s="21" t="s">
        <v>37</v>
      </c>
      <c r="F819" s="19" t="s">
        <v>38</v>
      </c>
      <c r="G819" s="19" t="s">
        <v>448</v>
      </c>
      <c r="H819" s="19">
        <v>9.5</v>
      </c>
      <c r="I819" s="41">
        <v>1121</v>
      </c>
      <c r="J819" s="139"/>
      <c r="K819" s="140"/>
      <c r="L819" s="139"/>
      <c r="M819" s="44"/>
      <c r="N819" s="45"/>
      <c r="O819" s="46">
        <f t="shared" si="467"/>
        <v>1121</v>
      </c>
      <c r="P819" s="48"/>
      <c r="Q819" s="48"/>
      <c r="R819" s="78">
        <f t="shared" si="468"/>
        <v>587.272727272727</v>
      </c>
      <c r="S819" s="78"/>
      <c r="T819" s="79">
        <f t="shared" si="469"/>
        <v>23.598</v>
      </c>
      <c r="U819" s="78"/>
      <c r="V819" s="78"/>
      <c r="W819" s="80">
        <f t="shared" si="464"/>
        <v>610.870727272727</v>
      </c>
      <c r="X819" s="81">
        <f t="shared" si="470"/>
        <v>16.0619090909091</v>
      </c>
      <c r="Y819" s="81"/>
      <c r="Z819" s="81"/>
      <c r="AA819" s="110">
        <f t="shared" si="465"/>
        <v>16.0619090909091</v>
      </c>
      <c r="AB819" s="90">
        <v>7.19</v>
      </c>
      <c r="AC819" s="78">
        <f t="shared" si="466"/>
        <v>115.485126363636</v>
      </c>
      <c r="AD819" s="78">
        <f t="shared" si="462"/>
        <v>726.355853636364</v>
      </c>
      <c r="AE819" s="78">
        <f t="shared" si="463"/>
        <v>394.644146363636</v>
      </c>
    </row>
    <row r="820" customFormat="1" spans="1:31">
      <c r="A820" s="18"/>
      <c r="B820" s="19"/>
      <c r="C820" s="20">
        <v>240326000008</v>
      </c>
      <c r="D820" s="141">
        <v>45381</v>
      </c>
      <c r="E820" s="21" t="s">
        <v>70</v>
      </c>
      <c r="F820" s="19" t="s">
        <v>70</v>
      </c>
      <c r="G820" s="19" t="s">
        <v>206</v>
      </c>
      <c r="H820" s="19">
        <v>2</v>
      </c>
      <c r="I820" s="41">
        <v>137.5</v>
      </c>
      <c r="J820" s="139"/>
      <c r="K820" s="140"/>
      <c r="L820" s="139"/>
      <c r="M820" s="44"/>
      <c r="N820" s="45"/>
      <c r="O820" s="46">
        <f t="shared" si="467"/>
        <v>137.5</v>
      </c>
      <c r="P820" s="48"/>
      <c r="Q820" s="48"/>
      <c r="R820" s="78">
        <f t="shared" si="468"/>
        <v>123.636363636364</v>
      </c>
      <c r="S820" s="78"/>
      <c r="T820" s="79">
        <f t="shared" si="469"/>
        <v>4.968</v>
      </c>
      <c r="U820" s="78"/>
      <c r="V820" s="78"/>
      <c r="W820" s="80">
        <f t="shared" si="464"/>
        <v>128.604363636364</v>
      </c>
      <c r="X820" s="81">
        <f t="shared" si="470"/>
        <v>3.38145454545455</v>
      </c>
      <c r="Y820" s="81"/>
      <c r="Z820" s="81"/>
      <c r="AA820" s="110">
        <f t="shared" si="465"/>
        <v>3.38145454545455</v>
      </c>
      <c r="AB820" s="90">
        <v>7.19</v>
      </c>
      <c r="AC820" s="78">
        <f t="shared" si="466"/>
        <v>24.3126581818182</v>
      </c>
      <c r="AD820" s="78">
        <f t="shared" si="462"/>
        <v>152.917021818182</v>
      </c>
      <c r="AE820" s="78">
        <f t="shared" si="463"/>
        <v>-15.4170218181818</v>
      </c>
    </row>
    <row r="821" customFormat="1" spans="1:31">
      <c r="A821" s="18"/>
      <c r="B821" s="19"/>
      <c r="C821" s="20">
        <v>240326000009</v>
      </c>
      <c r="D821" s="141">
        <v>45381</v>
      </c>
      <c r="E821" s="21" t="s">
        <v>44</v>
      </c>
      <c r="F821" s="19" t="s">
        <v>45</v>
      </c>
      <c r="G821" s="19" t="s">
        <v>100</v>
      </c>
      <c r="H821" s="19">
        <v>56</v>
      </c>
      <c r="I821" s="49"/>
      <c r="J821" s="137">
        <v>1062600</v>
      </c>
      <c r="K821" s="140"/>
      <c r="L821" s="50">
        <f t="shared" ref="L821:L825" si="471">SUM(J821/M821)</f>
        <v>1186.36120042872</v>
      </c>
      <c r="M821" s="52">
        <v>895.68</v>
      </c>
      <c r="N821" s="45">
        <v>7.19</v>
      </c>
      <c r="O821" s="46">
        <f t="shared" ref="O821:O825" si="472">SUM(M821*N821)</f>
        <v>6439.9392</v>
      </c>
      <c r="P821" s="48"/>
      <c r="Q821" s="48"/>
      <c r="R821" s="78">
        <f t="shared" si="468"/>
        <v>3461.81818181818</v>
      </c>
      <c r="S821" s="78"/>
      <c r="T821" s="79">
        <f t="shared" si="469"/>
        <v>139.104</v>
      </c>
      <c r="U821" s="78"/>
      <c r="V821" s="78"/>
      <c r="W821" s="80">
        <f t="shared" si="464"/>
        <v>3600.92218181818</v>
      </c>
      <c r="X821" s="81">
        <f t="shared" si="470"/>
        <v>94.6807272727273</v>
      </c>
      <c r="Y821" s="81"/>
      <c r="Z821" s="81"/>
      <c r="AA821" s="110">
        <f t="shared" si="465"/>
        <v>94.6807272727273</v>
      </c>
      <c r="AB821" s="90">
        <v>7.19</v>
      </c>
      <c r="AC821" s="78">
        <f t="shared" si="466"/>
        <v>680.754429090909</v>
      </c>
      <c r="AD821" s="78">
        <f t="shared" si="462"/>
        <v>4281.67661090909</v>
      </c>
      <c r="AE821" s="78">
        <f t="shared" si="463"/>
        <v>2158.26258909091</v>
      </c>
    </row>
    <row r="822" customFormat="1" spans="1:31">
      <c r="A822" s="18"/>
      <c r="B822" s="19"/>
      <c r="C822" s="20">
        <v>240326000011</v>
      </c>
      <c r="D822" s="141">
        <v>45381</v>
      </c>
      <c r="E822" s="21" t="s">
        <v>44</v>
      </c>
      <c r="F822" s="19" t="s">
        <v>45</v>
      </c>
      <c r="G822" s="19" t="s">
        <v>531</v>
      </c>
      <c r="H822" s="19">
        <v>1</v>
      </c>
      <c r="I822" s="49"/>
      <c r="J822" s="137">
        <v>21045</v>
      </c>
      <c r="K822" s="138"/>
      <c r="L822" s="50">
        <f t="shared" si="471"/>
        <v>1316.13508442777</v>
      </c>
      <c r="M822" s="52">
        <v>15.99</v>
      </c>
      <c r="N822" s="45">
        <v>7.19</v>
      </c>
      <c r="O822" s="46">
        <f t="shared" si="472"/>
        <v>114.9681</v>
      </c>
      <c r="P822" s="58"/>
      <c r="Q822" s="58"/>
      <c r="R822" s="78">
        <f t="shared" si="468"/>
        <v>61.8181818181818</v>
      </c>
      <c r="S822" s="78"/>
      <c r="T822" s="79">
        <f t="shared" si="469"/>
        <v>2.484</v>
      </c>
      <c r="U822" s="78"/>
      <c r="V822" s="78"/>
      <c r="W822" s="80">
        <f t="shared" ref="W822:W856" si="473">SUM(R822:V822)</f>
        <v>64.3021818181818</v>
      </c>
      <c r="X822" s="81">
        <f t="shared" si="470"/>
        <v>1.69072727272727</v>
      </c>
      <c r="Y822" s="81"/>
      <c r="Z822" s="81"/>
      <c r="AA822" s="110">
        <f t="shared" si="465"/>
        <v>1.69072727272727</v>
      </c>
      <c r="AB822" s="90">
        <v>7.19</v>
      </c>
      <c r="AC822" s="78">
        <f t="shared" ref="AC822:AC856" si="474">SUM(AA822*AB822)</f>
        <v>12.1563290909091</v>
      </c>
      <c r="AD822" s="78">
        <f t="shared" ref="AD822:AD856" si="475">SUM(W822+AC822)</f>
        <v>76.4585109090909</v>
      </c>
      <c r="AE822" s="78">
        <f t="shared" si="463"/>
        <v>38.5095890909091</v>
      </c>
    </row>
    <row r="823" customFormat="1" spans="1:31">
      <c r="A823" s="18" t="s">
        <v>532</v>
      </c>
      <c r="B823" s="19" t="s">
        <v>533</v>
      </c>
      <c r="C823" s="20">
        <v>240321000019</v>
      </c>
      <c r="D823" s="21">
        <v>45381</v>
      </c>
      <c r="E823" s="21" t="s">
        <v>44</v>
      </c>
      <c r="F823" s="19" t="s">
        <v>45</v>
      </c>
      <c r="G823" s="19" t="s">
        <v>534</v>
      </c>
      <c r="H823" s="19">
        <v>2.5</v>
      </c>
      <c r="I823" s="41">
        <v>140.5</v>
      </c>
      <c r="J823" s="139"/>
      <c r="K823" s="140"/>
      <c r="L823" s="139"/>
      <c r="M823" s="44"/>
      <c r="N823" s="45"/>
      <c r="O823" s="46">
        <f t="shared" ref="O823:O827" si="476">SUM(I823)</f>
        <v>140.5</v>
      </c>
      <c r="P823" s="47">
        <f>SUM(O823:O856)</f>
        <v>89431.6196</v>
      </c>
      <c r="Q823" s="47" t="s">
        <v>40</v>
      </c>
      <c r="R823" s="78">
        <f>SUM(58230/1512)*H823</f>
        <v>96.2797619047619</v>
      </c>
      <c r="S823" s="78"/>
      <c r="T823" s="79">
        <f>SUM(125/1512)*H823</f>
        <v>0.206679894179894</v>
      </c>
      <c r="U823" s="78"/>
      <c r="V823" s="78"/>
      <c r="W823" s="80">
        <f t="shared" si="473"/>
        <v>96.4864417989418</v>
      </c>
      <c r="X823" s="81">
        <f>SUM(1787.52/1512)*H823</f>
        <v>2.95555555555556</v>
      </c>
      <c r="Y823" s="81"/>
      <c r="Z823" s="81"/>
      <c r="AA823" s="110">
        <f t="shared" ref="AA823:AA856" si="477">SUM(X823:Z823)</f>
        <v>2.95555555555556</v>
      </c>
      <c r="AB823" s="90">
        <v>7.19</v>
      </c>
      <c r="AC823" s="78">
        <f t="shared" si="474"/>
        <v>21.2504444444444</v>
      </c>
      <c r="AD823" s="78">
        <f t="shared" si="475"/>
        <v>117.736886243386</v>
      </c>
      <c r="AE823" s="78">
        <f t="shared" ref="AE823:AE856" si="478">SUM(O823-AD823)</f>
        <v>22.763113756614</v>
      </c>
    </row>
    <row r="824" customFormat="1" spans="1:31">
      <c r="A824" s="18"/>
      <c r="B824" s="19"/>
      <c r="C824" s="20">
        <v>240322000005</v>
      </c>
      <c r="D824" s="21">
        <v>45381</v>
      </c>
      <c r="E824" s="21" t="s">
        <v>70</v>
      </c>
      <c r="F824" s="19" t="s">
        <v>70</v>
      </c>
      <c r="G824" s="19" t="s">
        <v>535</v>
      </c>
      <c r="H824" s="19">
        <v>33</v>
      </c>
      <c r="I824" s="46"/>
      <c r="J824" s="137">
        <v>344790</v>
      </c>
      <c r="K824" s="146"/>
      <c r="L824" s="50">
        <f t="shared" si="471"/>
        <v>1350</v>
      </c>
      <c r="M824" s="52">
        <v>255.4</v>
      </c>
      <c r="N824" s="45">
        <v>7.19</v>
      </c>
      <c r="O824" s="46">
        <f t="shared" si="472"/>
        <v>1836.326</v>
      </c>
      <c r="P824" s="48"/>
      <c r="Q824" s="48"/>
      <c r="R824" s="78">
        <f t="shared" ref="R824:R856" si="479">SUM(58230/1512)*H824</f>
        <v>1270.89285714286</v>
      </c>
      <c r="S824" s="78"/>
      <c r="T824" s="79">
        <f t="shared" ref="T824:T856" si="480">SUM(125/1512)*H824</f>
        <v>2.7281746031746</v>
      </c>
      <c r="U824" s="78"/>
      <c r="V824" s="78"/>
      <c r="W824" s="80">
        <f t="shared" si="473"/>
        <v>1273.62103174603</v>
      </c>
      <c r="X824" s="81">
        <f t="shared" ref="X824:X856" si="481">SUM(1787.52/1512)*H824</f>
        <v>39.0133333333333</v>
      </c>
      <c r="Y824" s="81"/>
      <c r="Z824" s="81"/>
      <c r="AA824" s="110">
        <f t="shared" si="477"/>
        <v>39.0133333333333</v>
      </c>
      <c r="AB824" s="90">
        <v>7.19</v>
      </c>
      <c r="AC824" s="78">
        <f t="shared" si="474"/>
        <v>280.505866666667</v>
      </c>
      <c r="AD824" s="78">
        <f t="shared" si="475"/>
        <v>1554.1268984127</v>
      </c>
      <c r="AE824" s="78">
        <f t="shared" si="478"/>
        <v>282.1991015873</v>
      </c>
    </row>
    <row r="825" customFormat="1" spans="1:31">
      <c r="A825" s="18"/>
      <c r="B825" s="19"/>
      <c r="C825" s="20">
        <v>240322000017</v>
      </c>
      <c r="D825" s="21">
        <v>45381</v>
      </c>
      <c r="E825" s="21" t="s">
        <v>44</v>
      </c>
      <c r="F825" s="19" t="s">
        <v>45</v>
      </c>
      <c r="G825" s="19" t="s">
        <v>124</v>
      </c>
      <c r="H825" s="19">
        <v>5.5</v>
      </c>
      <c r="I825" s="49"/>
      <c r="J825" s="137">
        <v>42625</v>
      </c>
      <c r="K825" s="138"/>
      <c r="L825" s="50">
        <f t="shared" si="471"/>
        <v>1114.67050209205</v>
      </c>
      <c r="M825" s="52">
        <v>38.24</v>
      </c>
      <c r="N825" s="45">
        <v>7.19</v>
      </c>
      <c r="O825" s="46">
        <f t="shared" si="472"/>
        <v>274.9456</v>
      </c>
      <c r="P825" s="48"/>
      <c r="Q825" s="48"/>
      <c r="R825" s="78">
        <f t="shared" si="479"/>
        <v>211.815476190476</v>
      </c>
      <c r="S825" s="78"/>
      <c r="T825" s="79">
        <f t="shared" si="480"/>
        <v>0.454695767195767</v>
      </c>
      <c r="U825" s="78"/>
      <c r="V825" s="78"/>
      <c r="W825" s="80">
        <f t="shared" si="473"/>
        <v>212.270171957672</v>
      </c>
      <c r="X825" s="81">
        <f t="shared" si="481"/>
        <v>6.50222222222222</v>
      </c>
      <c r="Y825" s="81"/>
      <c r="Z825" s="81"/>
      <c r="AA825" s="110">
        <f t="shared" si="477"/>
        <v>6.50222222222222</v>
      </c>
      <c r="AB825" s="90">
        <v>7.19</v>
      </c>
      <c r="AC825" s="78">
        <f t="shared" si="474"/>
        <v>46.7509777777778</v>
      </c>
      <c r="AD825" s="78">
        <f t="shared" si="475"/>
        <v>259.02114973545</v>
      </c>
      <c r="AE825" s="78">
        <f t="shared" si="478"/>
        <v>15.92445026455</v>
      </c>
    </row>
    <row r="826" customFormat="1" spans="1:31">
      <c r="A826" s="18"/>
      <c r="B826" s="19"/>
      <c r="C826" s="20">
        <v>240322000022</v>
      </c>
      <c r="D826" s="21">
        <v>45381</v>
      </c>
      <c r="E826" s="21" t="s">
        <v>41</v>
      </c>
      <c r="F826" s="19" t="s">
        <v>42</v>
      </c>
      <c r="G826" s="19" t="s">
        <v>61</v>
      </c>
      <c r="H826" s="19">
        <v>8.5</v>
      </c>
      <c r="I826" s="41">
        <v>455</v>
      </c>
      <c r="J826" s="139"/>
      <c r="K826" s="140"/>
      <c r="L826" s="139"/>
      <c r="M826" s="44"/>
      <c r="N826" s="45"/>
      <c r="O826" s="46">
        <f t="shared" si="476"/>
        <v>455</v>
      </c>
      <c r="P826" s="48"/>
      <c r="Q826" s="48"/>
      <c r="R826" s="78">
        <f t="shared" si="479"/>
        <v>327.35119047619</v>
      </c>
      <c r="S826" s="78"/>
      <c r="T826" s="79">
        <f t="shared" si="480"/>
        <v>0.70271164021164</v>
      </c>
      <c r="U826" s="78">
        <v>30</v>
      </c>
      <c r="V826" s="78"/>
      <c r="W826" s="80">
        <f t="shared" si="473"/>
        <v>358.053902116402</v>
      </c>
      <c r="X826" s="81">
        <f t="shared" si="481"/>
        <v>10.0488888888889</v>
      </c>
      <c r="Y826" s="81"/>
      <c r="Z826" s="81"/>
      <c r="AA826" s="110">
        <f t="shared" si="477"/>
        <v>10.0488888888889</v>
      </c>
      <c r="AB826" s="90">
        <v>7.19</v>
      </c>
      <c r="AC826" s="78">
        <f t="shared" si="474"/>
        <v>72.2515111111111</v>
      </c>
      <c r="AD826" s="78">
        <f t="shared" si="475"/>
        <v>430.305413227513</v>
      </c>
      <c r="AE826" s="78">
        <f t="shared" si="478"/>
        <v>24.694586772487</v>
      </c>
    </row>
    <row r="827" customFormat="1" spans="1:31">
      <c r="A827" s="18"/>
      <c r="B827" s="19"/>
      <c r="C827" s="20">
        <v>240322000026</v>
      </c>
      <c r="D827" s="21">
        <v>45381</v>
      </c>
      <c r="E827" s="21" t="s">
        <v>44</v>
      </c>
      <c r="F827" s="19" t="s">
        <v>45</v>
      </c>
      <c r="G827" s="19" t="s">
        <v>536</v>
      </c>
      <c r="H827" s="19">
        <v>39.5</v>
      </c>
      <c r="I827" s="49"/>
      <c r="J827" s="137">
        <v>412972.5</v>
      </c>
      <c r="K827" s="140"/>
      <c r="L827" s="50">
        <f>SUM(J827/M827)</f>
        <v>1473.95424370048</v>
      </c>
      <c r="M827" s="52">
        <v>280.18</v>
      </c>
      <c r="N827" s="104">
        <v>7.19</v>
      </c>
      <c r="O827" s="46">
        <f>SUM(M827*N827)</f>
        <v>2014.4942</v>
      </c>
      <c r="P827" s="48"/>
      <c r="Q827" s="48"/>
      <c r="R827" s="78">
        <f t="shared" si="479"/>
        <v>1521.22023809524</v>
      </c>
      <c r="S827" s="78"/>
      <c r="T827" s="79">
        <f t="shared" si="480"/>
        <v>3.26554232804233</v>
      </c>
      <c r="U827" s="78"/>
      <c r="V827" s="78"/>
      <c r="W827" s="80">
        <f t="shared" si="473"/>
        <v>1524.48578042328</v>
      </c>
      <c r="X827" s="81">
        <f t="shared" si="481"/>
        <v>46.6977777777778</v>
      </c>
      <c r="Y827" s="81"/>
      <c r="Z827" s="81"/>
      <c r="AA827" s="110">
        <f t="shared" si="477"/>
        <v>46.6977777777778</v>
      </c>
      <c r="AB827" s="90">
        <v>7.19</v>
      </c>
      <c r="AC827" s="78">
        <f t="shared" si="474"/>
        <v>335.757022222222</v>
      </c>
      <c r="AD827" s="78">
        <f t="shared" si="475"/>
        <v>1860.2428026455</v>
      </c>
      <c r="AE827" s="78">
        <f t="shared" si="478"/>
        <v>154.2513973545</v>
      </c>
    </row>
    <row r="828" customFormat="1" spans="1:31">
      <c r="A828" s="18"/>
      <c r="B828" s="19"/>
      <c r="C828" s="20">
        <v>240322000031</v>
      </c>
      <c r="D828" s="21">
        <v>45381</v>
      </c>
      <c r="E828" s="21" t="s">
        <v>44</v>
      </c>
      <c r="F828" s="19" t="s">
        <v>45</v>
      </c>
      <c r="G828" s="19" t="s">
        <v>122</v>
      </c>
      <c r="H828" s="19">
        <v>12</v>
      </c>
      <c r="I828" s="49"/>
      <c r="J828" s="137">
        <v>100488</v>
      </c>
      <c r="K828" s="138"/>
      <c r="L828" s="50">
        <f t="shared" ref="L828:L832" si="482">SUM(J828/M828)</f>
        <v>1136.09949123799</v>
      </c>
      <c r="M828" s="52">
        <v>88.45</v>
      </c>
      <c r="N828" s="45">
        <v>7.19</v>
      </c>
      <c r="O828" s="46">
        <f t="shared" ref="O828:O832" si="483">SUM(M828*N828)</f>
        <v>635.9555</v>
      </c>
      <c r="P828" s="48"/>
      <c r="Q828" s="48"/>
      <c r="R828" s="78">
        <f t="shared" si="479"/>
        <v>462.142857142857</v>
      </c>
      <c r="S828" s="78"/>
      <c r="T828" s="79">
        <f t="shared" si="480"/>
        <v>0.992063492063492</v>
      </c>
      <c r="U828" s="78"/>
      <c r="V828" s="78"/>
      <c r="W828" s="80">
        <f t="shared" si="473"/>
        <v>463.134920634921</v>
      </c>
      <c r="X828" s="81">
        <f t="shared" si="481"/>
        <v>14.1866666666667</v>
      </c>
      <c r="Y828" s="81"/>
      <c r="Z828" s="81"/>
      <c r="AA828" s="110">
        <f t="shared" si="477"/>
        <v>14.1866666666667</v>
      </c>
      <c r="AB828" s="90">
        <v>7.19</v>
      </c>
      <c r="AC828" s="78">
        <f t="shared" si="474"/>
        <v>102.002133333333</v>
      </c>
      <c r="AD828" s="78">
        <f t="shared" si="475"/>
        <v>565.137053968254</v>
      </c>
      <c r="AE828" s="78">
        <f t="shared" si="478"/>
        <v>70.818446031746</v>
      </c>
    </row>
    <row r="829" customFormat="1" spans="1:31">
      <c r="A829" s="18"/>
      <c r="B829" s="19"/>
      <c r="C829" s="20">
        <v>240323000004</v>
      </c>
      <c r="D829" s="21">
        <v>45381</v>
      </c>
      <c r="E829" s="21" t="s">
        <v>51</v>
      </c>
      <c r="F829" s="19" t="s">
        <v>52</v>
      </c>
      <c r="G829" s="19" t="s">
        <v>537</v>
      </c>
      <c r="H829" s="19">
        <v>31</v>
      </c>
      <c r="I829" s="49"/>
      <c r="J829" s="137">
        <v>260400</v>
      </c>
      <c r="K829" s="138"/>
      <c r="L829" s="50">
        <f t="shared" si="482"/>
        <v>1258.27494563904</v>
      </c>
      <c r="M829" s="105">
        <v>206.95</v>
      </c>
      <c r="N829" s="45">
        <v>7.19</v>
      </c>
      <c r="O829" s="46">
        <f t="shared" si="483"/>
        <v>1487.9705</v>
      </c>
      <c r="P829" s="48"/>
      <c r="Q829" s="48"/>
      <c r="R829" s="78">
        <f t="shared" si="479"/>
        <v>1193.86904761905</v>
      </c>
      <c r="S829" s="78"/>
      <c r="T829" s="79">
        <f t="shared" si="480"/>
        <v>2.56283068783069</v>
      </c>
      <c r="U829" s="78"/>
      <c r="V829" s="78"/>
      <c r="W829" s="80">
        <f t="shared" si="473"/>
        <v>1196.43187830688</v>
      </c>
      <c r="X829" s="81">
        <f t="shared" si="481"/>
        <v>36.6488888888889</v>
      </c>
      <c r="Y829" s="81"/>
      <c r="Z829" s="81"/>
      <c r="AA829" s="110">
        <f t="shared" si="477"/>
        <v>36.6488888888889</v>
      </c>
      <c r="AB829" s="90">
        <v>7.19</v>
      </c>
      <c r="AC829" s="78">
        <f t="shared" si="474"/>
        <v>263.505511111111</v>
      </c>
      <c r="AD829" s="78">
        <f t="shared" si="475"/>
        <v>1459.93738941799</v>
      </c>
      <c r="AE829" s="78">
        <f t="shared" si="478"/>
        <v>28.0331105820098</v>
      </c>
    </row>
    <row r="830" customFormat="1" spans="1:31">
      <c r="A830" s="18"/>
      <c r="B830" s="19"/>
      <c r="C830" s="20">
        <v>240323000013</v>
      </c>
      <c r="D830" s="21">
        <v>45381</v>
      </c>
      <c r="E830" s="21" t="s">
        <v>37</v>
      </c>
      <c r="F830" s="19" t="s">
        <v>38</v>
      </c>
      <c r="G830" s="19" t="s">
        <v>505</v>
      </c>
      <c r="H830" s="19">
        <v>122</v>
      </c>
      <c r="I830" s="41">
        <v>8243</v>
      </c>
      <c r="J830" s="139"/>
      <c r="K830" s="140"/>
      <c r="L830" s="139"/>
      <c r="M830" s="44"/>
      <c r="N830" s="45"/>
      <c r="O830" s="46">
        <f t="shared" ref="O830:O836" si="484">SUM(I830)</f>
        <v>8243</v>
      </c>
      <c r="P830" s="48"/>
      <c r="Q830" s="48"/>
      <c r="R830" s="78">
        <f t="shared" si="479"/>
        <v>4698.45238095238</v>
      </c>
      <c r="S830" s="78"/>
      <c r="T830" s="79">
        <f t="shared" si="480"/>
        <v>10.0859788359788</v>
      </c>
      <c r="U830" s="79">
        <v>243</v>
      </c>
      <c r="V830" s="78"/>
      <c r="W830" s="80">
        <f t="shared" si="473"/>
        <v>4951.53835978836</v>
      </c>
      <c r="X830" s="81">
        <f t="shared" si="481"/>
        <v>144.231111111111</v>
      </c>
      <c r="Y830" s="81"/>
      <c r="Z830" s="81"/>
      <c r="AA830" s="110">
        <f t="shared" si="477"/>
        <v>144.231111111111</v>
      </c>
      <c r="AB830" s="90">
        <v>7.19</v>
      </c>
      <c r="AC830" s="78">
        <f t="shared" si="474"/>
        <v>1037.02168888889</v>
      </c>
      <c r="AD830" s="78">
        <f t="shared" si="475"/>
        <v>5988.56004867725</v>
      </c>
      <c r="AE830" s="78">
        <f t="shared" si="478"/>
        <v>2254.43995132275</v>
      </c>
    </row>
    <row r="831" customFormat="1" spans="1:31">
      <c r="A831" s="18"/>
      <c r="B831" s="19"/>
      <c r="C831" s="20">
        <v>240325000001</v>
      </c>
      <c r="D831" s="21">
        <v>45381</v>
      </c>
      <c r="E831" s="21" t="s">
        <v>41</v>
      </c>
      <c r="F831" s="19" t="s">
        <v>42</v>
      </c>
      <c r="G831" s="19" t="s">
        <v>62</v>
      </c>
      <c r="H831" s="19">
        <v>2</v>
      </c>
      <c r="I831" s="41">
        <v>141</v>
      </c>
      <c r="J831" s="139"/>
      <c r="K831" s="140"/>
      <c r="L831" s="139"/>
      <c r="M831" s="44"/>
      <c r="N831" s="45"/>
      <c r="O831" s="46">
        <f t="shared" si="484"/>
        <v>141</v>
      </c>
      <c r="P831" s="48"/>
      <c r="Q831" s="48"/>
      <c r="R831" s="78">
        <f t="shared" si="479"/>
        <v>77.0238095238095</v>
      </c>
      <c r="S831" s="78"/>
      <c r="T831" s="79">
        <f t="shared" si="480"/>
        <v>0.165343915343915</v>
      </c>
      <c r="U831" s="78"/>
      <c r="V831" s="78"/>
      <c r="W831" s="80">
        <f t="shared" si="473"/>
        <v>77.1891534391534</v>
      </c>
      <c r="X831" s="81">
        <f t="shared" si="481"/>
        <v>2.36444444444444</v>
      </c>
      <c r="Y831" s="81"/>
      <c r="Z831" s="81"/>
      <c r="AA831" s="110">
        <f t="shared" si="477"/>
        <v>2.36444444444444</v>
      </c>
      <c r="AB831" s="90">
        <v>7.19</v>
      </c>
      <c r="AC831" s="78">
        <f t="shared" si="474"/>
        <v>17.0003555555556</v>
      </c>
      <c r="AD831" s="78">
        <f t="shared" si="475"/>
        <v>94.189508994709</v>
      </c>
      <c r="AE831" s="78">
        <f t="shared" si="478"/>
        <v>46.810491005291</v>
      </c>
    </row>
    <row r="832" customFormat="1" spans="1:31">
      <c r="A832" s="18"/>
      <c r="B832" s="19"/>
      <c r="C832" s="20">
        <v>240325000003</v>
      </c>
      <c r="D832" s="21">
        <v>45381</v>
      </c>
      <c r="E832" s="21" t="s">
        <v>41</v>
      </c>
      <c r="F832" s="19" t="s">
        <v>42</v>
      </c>
      <c r="G832" s="19" t="s">
        <v>151</v>
      </c>
      <c r="H832" s="19">
        <v>0.32</v>
      </c>
      <c r="I832" s="46"/>
      <c r="J832" s="137">
        <v>11070</v>
      </c>
      <c r="K832" s="138"/>
      <c r="L832" s="50">
        <f t="shared" si="482"/>
        <v>1350</v>
      </c>
      <c r="M832" s="52">
        <v>8.2</v>
      </c>
      <c r="N832" s="45">
        <v>7.19</v>
      </c>
      <c r="O832" s="46">
        <f t="shared" si="483"/>
        <v>58.958</v>
      </c>
      <c r="P832" s="48"/>
      <c r="Q832" s="48"/>
      <c r="R832" s="78">
        <f t="shared" si="479"/>
        <v>12.3238095238095</v>
      </c>
      <c r="S832" s="78"/>
      <c r="T832" s="79">
        <f t="shared" si="480"/>
        <v>0.0264550264550265</v>
      </c>
      <c r="U832" s="78"/>
      <c r="V832" s="78"/>
      <c r="W832" s="80">
        <f t="shared" si="473"/>
        <v>12.3502645502645</v>
      </c>
      <c r="X832" s="81">
        <f t="shared" si="481"/>
        <v>0.378311111111111</v>
      </c>
      <c r="Y832" s="81"/>
      <c r="Z832" s="81"/>
      <c r="AA832" s="110">
        <f t="shared" si="477"/>
        <v>0.378311111111111</v>
      </c>
      <c r="AB832" s="90">
        <v>7.19</v>
      </c>
      <c r="AC832" s="78">
        <f t="shared" si="474"/>
        <v>2.72005688888889</v>
      </c>
      <c r="AD832" s="78">
        <f t="shared" si="475"/>
        <v>15.0703214391534</v>
      </c>
      <c r="AE832" s="78">
        <f t="shared" si="478"/>
        <v>43.8876785608466</v>
      </c>
    </row>
    <row r="833" customFormat="1" spans="1:31">
      <c r="A833" s="18"/>
      <c r="B833" s="19"/>
      <c r="C833" s="20">
        <v>240325000005</v>
      </c>
      <c r="D833" s="21">
        <v>45381</v>
      </c>
      <c r="E833" s="21" t="s">
        <v>41</v>
      </c>
      <c r="F833" s="19" t="s">
        <v>42</v>
      </c>
      <c r="G833" s="19" t="s">
        <v>460</v>
      </c>
      <c r="H833" s="19">
        <v>0.51</v>
      </c>
      <c r="I833" s="41">
        <v>58</v>
      </c>
      <c r="J833" s="139"/>
      <c r="K833" s="140"/>
      <c r="L833" s="139"/>
      <c r="M833" s="44"/>
      <c r="N833" s="45"/>
      <c r="O833" s="46">
        <f t="shared" si="484"/>
        <v>58</v>
      </c>
      <c r="P833" s="48"/>
      <c r="Q833" s="48"/>
      <c r="R833" s="78">
        <f t="shared" si="479"/>
        <v>19.6410714285714</v>
      </c>
      <c r="S833" s="78"/>
      <c r="T833" s="79">
        <f t="shared" si="480"/>
        <v>0.0421626984126984</v>
      </c>
      <c r="U833" s="78"/>
      <c r="V833" s="78"/>
      <c r="W833" s="80">
        <f t="shared" si="473"/>
        <v>19.6832341269841</v>
      </c>
      <c r="X833" s="81">
        <f t="shared" si="481"/>
        <v>0.602933333333333</v>
      </c>
      <c r="Y833" s="81"/>
      <c r="Z833" s="81"/>
      <c r="AA833" s="110">
        <f t="shared" si="477"/>
        <v>0.602933333333333</v>
      </c>
      <c r="AB833" s="90">
        <v>7.19</v>
      </c>
      <c r="AC833" s="78">
        <f t="shared" si="474"/>
        <v>4.33509066666667</v>
      </c>
      <c r="AD833" s="78">
        <f t="shared" si="475"/>
        <v>24.0183247936508</v>
      </c>
      <c r="AE833" s="78">
        <f t="shared" si="478"/>
        <v>33.9816752063492</v>
      </c>
    </row>
    <row r="834" customFormat="1" spans="1:31">
      <c r="A834" s="18"/>
      <c r="B834" s="19"/>
      <c r="C834" s="20">
        <v>240325000006</v>
      </c>
      <c r="D834" s="21">
        <v>45381</v>
      </c>
      <c r="E834" s="21" t="s">
        <v>37</v>
      </c>
      <c r="F834" s="19" t="s">
        <v>38</v>
      </c>
      <c r="G834" s="19" t="s">
        <v>300</v>
      </c>
      <c r="H834" s="19">
        <v>1.5</v>
      </c>
      <c r="I834" s="41">
        <v>94.5</v>
      </c>
      <c r="J834" s="139"/>
      <c r="K834" s="140"/>
      <c r="L834" s="139"/>
      <c r="M834" s="44"/>
      <c r="N834" s="45"/>
      <c r="O834" s="46">
        <f t="shared" si="484"/>
        <v>94.5</v>
      </c>
      <c r="P834" s="48"/>
      <c r="Q834" s="48"/>
      <c r="R834" s="78">
        <f t="shared" si="479"/>
        <v>57.7678571428571</v>
      </c>
      <c r="S834" s="78"/>
      <c r="T834" s="79">
        <f t="shared" si="480"/>
        <v>0.124007936507937</v>
      </c>
      <c r="U834" s="78"/>
      <c r="V834" s="78"/>
      <c r="W834" s="80">
        <f t="shared" si="473"/>
        <v>57.8918650793651</v>
      </c>
      <c r="X834" s="81">
        <f t="shared" si="481"/>
        <v>1.77333333333333</v>
      </c>
      <c r="Y834" s="81"/>
      <c r="Z834" s="81"/>
      <c r="AA834" s="110">
        <f t="shared" si="477"/>
        <v>1.77333333333333</v>
      </c>
      <c r="AB834" s="90">
        <v>7.19</v>
      </c>
      <c r="AC834" s="78">
        <f t="shared" si="474"/>
        <v>12.7502666666667</v>
      </c>
      <c r="AD834" s="78">
        <f t="shared" si="475"/>
        <v>70.6421317460317</v>
      </c>
      <c r="AE834" s="78">
        <f t="shared" si="478"/>
        <v>23.8578682539683</v>
      </c>
    </row>
    <row r="835" customFormat="1" spans="1:31">
      <c r="A835" s="18"/>
      <c r="B835" s="19"/>
      <c r="C835" s="20">
        <v>240325000010</v>
      </c>
      <c r="D835" s="21">
        <v>45381</v>
      </c>
      <c r="E835" s="21" t="s">
        <v>37</v>
      </c>
      <c r="F835" s="19" t="s">
        <v>38</v>
      </c>
      <c r="G835" s="19" t="s">
        <v>39</v>
      </c>
      <c r="H835" s="19">
        <v>7</v>
      </c>
      <c r="I835" s="41">
        <v>370</v>
      </c>
      <c r="J835" s="139"/>
      <c r="K835" s="140"/>
      <c r="L835" s="139"/>
      <c r="M835" s="44"/>
      <c r="N835" s="45"/>
      <c r="O835" s="46">
        <f t="shared" si="484"/>
        <v>370</v>
      </c>
      <c r="P835" s="48"/>
      <c r="Q835" s="48"/>
      <c r="R835" s="78">
        <f t="shared" si="479"/>
        <v>269.583333333333</v>
      </c>
      <c r="S835" s="78"/>
      <c r="T835" s="79">
        <f t="shared" si="480"/>
        <v>0.578703703703704</v>
      </c>
      <c r="U835" s="78"/>
      <c r="V835" s="78"/>
      <c r="W835" s="80">
        <f t="shared" si="473"/>
        <v>270.162037037037</v>
      </c>
      <c r="X835" s="81">
        <f t="shared" si="481"/>
        <v>8.27555555555556</v>
      </c>
      <c r="Y835" s="81"/>
      <c r="Z835" s="81"/>
      <c r="AA835" s="110">
        <f t="shared" si="477"/>
        <v>8.27555555555556</v>
      </c>
      <c r="AB835" s="90">
        <v>7.19</v>
      </c>
      <c r="AC835" s="78">
        <f t="shared" si="474"/>
        <v>59.5012444444445</v>
      </c>
      <c r="AD835" s="78">
        <f t="shared" si="475"/>
        <v>329.663281481481</v>
      </c>
      <c r="AE835" s="78">
        <f t="shared" si="478"/>
        <v>40.336718518519</v>
      </c>
    </row>
    <row r="836" customFormat="1" spans="1:31">
      <c r="A836" s="18"/>
      <c r="B836" s="19"/>
      <c r="C836" s="20">
        <v>240325000012</v>
      </c>
      <c r="D836" s="21">
        <v>45381</v>
      </c>
      <c r="E836" s="21" t="s">
        <v>70</v>
      </c>
      <c r="F836" s="19" t="s">
        <v>70</v>
      </c>
      <c r="G836" s="19" t="s">
        <v>512</v>
      </c>
      <c r="H836" s="19">
        <v>235.5</v>
      </c>
      <c r="I836" s="41">
        <v>11304</v>
      </c>
      <c r="J836" s="139"/>
      <c r="K836" s="140"/>
      <c r="L836" s="139"/>
      <c r="M836" s="44"/>
      <c r="N836" s="45"/>
      <c r="O836" s="46">
        <f t="shared" si="484"/>
        <v>11304</v>
      </c>
      <c r="P836" s="48"/>
      <c r="Q836" s="48"/>
      <c r="R836" s="78">
        <f t="shared" si="479"/>
        <v>9069.55357142857</v>
      </c>
      <c r="S836" s="78"/>
      <c r="T836" s="79">
        <f t="shared" si="480"/>
        <v>19.469246031746</v>
      </c>
      <c r="U836" s="78"/>
      <c r="V836" s="78"/>
      <c r="W836" s="80">
        <f t="shared" si="473"/>
        <v>9089.02281746032</v>
      </c>
      <c r="X836" s="81">
        <f t="shared" si="481"/>
        <v>278.413333333333</v>
      </c>
      <c r="Y836" s="81"/>
      <c r="Z836" s="81"/>
      <c r="AA836" s="110">
        <f t="shared" si="477"/>
        <v>278.413333333333</v>
      </c>
      <c r="AB836" s="90">
        <v>7.19</v>
      </c>
      <c r="AC836" s="78">
        <f t="shared" si="474"/>
        <v>2001.79186666667</v>
      </c>
      <c r="AD836" s="78">
        <f t="shared" si="475"/>
        <v>11090.814684127</v>
      </c>
      <c r="AE836" s="78">
        <f t="shared" si="478"/>
        <v>213.185315872999</v>
      </c>
    </row>
    <row r="837" customFormat="1" spans="1:31">
      <c r="A837" s="18"/>
      <c r="B837" s="19"/>
      <c r="C837" s="20">
        <v>240325000013</v>
      </c>
      <c r="D837" s="21">
        <v>45381</v>
      </c>
      <c r="E837" s="21" t="s">
        <v>37</v>
      </c>
      <c r="F837" s="19" t="s">
        <v>38</v>
      </c>
      <c r="G837" s="19" t="s">
        <v>380</v>
      </c>
      <c r="H837" s="19">
        <v>112.5</v>
      </c>
      <c r="I837" s="49"/>
      <c r="J837" s="137">
        <v>1133249.3</v>
      </c>
      <c r="K837" s="140"/>
      <c r="L837" s="50">
        <f t="shared" ref="L837:L844" si="485">SUM(J837/M837)</f>
        <v>1490</v>
      </c>
      <c r="M837" s="52">
        <v>760.57</v>
      </c>
      <c r="N837" s="45">
        <v>7.19</v>
      </c>
      <c r="O837" s="46">
        <f t="shared" ref="O837:O844" si="486">SUM(M837*N837)</f>
        <v>5468.4983</v>
      </c>
      <c r="P837" s="48"/>
      <c r="Q837" s="48"/>
      <c r="R837" s="78">
        <f t="shared" si="479"/>
        <v>4332.58928571429</v>
      </c>
      <c r="S837" s="78"/>
      <c r="T837" s="79">
        <f t="shared" si="480"/>
        <v>9.30059523809524</v>
      </c>
      <c r="U837" s="78"/>
      <c r="V837" s="78"/>
      <c r="W837" s="80">
        <f t="shared" si="473"/>
        <v>4341.88988095238</v>
      </c>
      <c r="X837" s="81">
        <f t="shared" si="481"/>
        <v>133</v>
      </c>
      <c r="Y837" s="81"/>
      <c r="Z837" s="81"/>
      <c r="AA837" s="110">
        <f t="shared" si="477"/>
        <v>133</v>
      </c>
      <c r="AB837" s="90">
        <v>7.19</v>
      </c>
      <c r="AC837" s="78">
        <f t="shared" si="474"/>
        <v>956.27</v>
      </c>
      <c r="AD837" s="78">
        <f t="shared" si="475"/>
        <v>5298.15988095238</v>
      </c>
      <c r="AE837" s="78">
        <f t="shared" si="478"/>
        <v>170.33841904762</v>
      </c>
    </row>
    <row r="838" customFormat="1" spans="1:31">
      <c r="A838" s="18"/>
      <c r="B838" s="19"/>
      <c r="C838" s="20">
        <v>240325000014</v>
      </c>
      <c r="D838" s="21">
        <v>45381</v>
      </c>
      <c r="E838" s="21" t="s">
        <v>44</v>
      </c>
      <c r="F838" s="19" t="s">
        <v>45</v>
      </c>
      <c r="G838" s="19" t="s">
        <v>538</v>
      </c>
      <c r="H838" s="19">
        <v>10.5</v>
      </c>
      <c r="I838" s="49"/>
      <c r="J838" s="137">
        <v>117232.5</v>
      </c>
      <c r="K838" s="140"/>
      <c r="L838" s="50">
        <f t="shared" si="485"/>
        <v>1459.74971983564</v>
      </c>
      <c r="M838" s="52">
        <v>80.31</v>
      </c>
      <c r="N838" s="45">
        <v>7.19</v>
      </c>
      <c r="O838" s="46">
        <f t="shared" si="486"/>
        <v>577.4289</v>
      </c>
      <c r="P838" s="48"/>
      <c r="Q838" s="48"/>
      <c r="R838" s="78">
        <f t="shared" si="479"/>
        <v>404.375</v>
      </c>
      <c r="S838" s="78"/>
      <c r="T838" s="79">
        <f t="shared" si="480"/>
        <v>0.868055555555556</v>
      </c>
      <c r="U838" s="78"/>
      <c r="V838" s="78"/>
      <c r="W838" s="80">
        <f t="shared" si="473"/>
        <v>405.243055555556</v>
      </c>
      <c r="X838" s="81">
        <f t="shared" si="481"/>
        <v>12.4133333333333</v>
      </c>
      <c r="Y838" s="81"/>
      <c r="Z838" s="81"/>
      <c r="AA838" s="110">
        <f t="shared" si="477"/>
        <v>12.4133333333333</v>
      </c>
      <c r="AB838" s="90">
        <v>7.19</v>
      </c>
      <c r="AC838" s="78">
        <f t="shared" si="474"/>
        <v>89.2518666666667</v>
      </c>
      <c r="AD838" s="78">
        <f t="shared" si="475"/>
        <v>494.494922222222</v>
      </c>
      <c r="AE838" s="78">
        <f t="shared" si="478"/>
        <v>82.933977777778</v>
      </c>
    </row>
    <row r="839" customFormat="1" spans="1:31">
      <c r="A839" s="18"/>
      <c r="B839" s="19"/>
      <c r="C839" s="20">
        <v>240325000015</v>
      </c>
      <c r="D839" s="21">
        <v>45381</v>
      </c>
      <c r="E839" s="21" t="s">
        <v>44</v>
      </c>
      <c r="F839" s="19" t="s">
        <v>45</v>
      </c>
      <c r="G839" s="19" t="s">
        <v>122</v>
      </c>
      <c r="H839" s="19">
        <v>20</v>
      </c>
      <c r="I839" s="49"/>
      <c r="J839" s="137">
        <v>178540</v>
      </c>
      <c r="K839" s="138"/>
      <c r="L839" s="50">
        <f t="shared" si="485"/>
        <v>1136.03970475948</v>
      </c>
      <c r="M839" s="52">
        <v>157.16</v>
      </c>
      <c r="N839" s="45">
        <v>7.19</v>
      </c>
      <c r="O839" s="46">
        <f t="shared" si="486"/>
        <v>1129.9804</v>
      </c>
      <c r="P839" s="48"/>
      <c r="Q839" s="48"/>
      <c r="R839" s="78">
        <f t="shared" si="479"/>
        <v>770.238095238095</v>
      </c>
      <c r="S839" s="78"/>
      <c r="T839" s="79">
        <f t="shared" si="480"/>
        <v>1.65343915343915</v>
      </c>
      <c r="U839" s="79">
        <v>70</v>
      </c>
      <c r="V839" s="78"/>
      <c r="W839" s="80">
        <f t="shared" si="473"/>
        <v>841.891534391534</v>
      </c>
      <c r="X839" s="81">
        <f t="shared" si="481"/>
        <v>23.6444444444444</v>
      </c>
      <c r="Y839" s="81"/>
      <c r="Z839" s="81"/>
      <c r="AA839" s="110">
        <f t="shared" si="477"/>
        <v>23.6444444444444</v>
      </c>
      <c r="AB839" s="90">
        <v>7.19</v>
      </c>
      <c r="AC839" s="78">
        <f t="shared" si="474"/>
        <v>170.003555555556</v>
      </c>
      <c r="AD839" s="78">
        <f t="shared" si="475"/>
        <v>1011.89508994709</v>
      </c>
      <c r="AE839" s="78">
        <f t="shared" si="478"/>
        <v>118.08531005291</v>
      </c>
    </row>
    <row r="840" customFormat="1" spans="1:31">
      <c r="A840" s="18"/>
      <c r="B840" s="19"/>
      <c r="C840" s="20">
        <v>240325000016</v>
      </c>
      <c r="D840" s="21">
        <v>45381</v>
      </c>
      <c r="E840" s="21" t="s">
        <v>44</v>
      </c>
      <c r="F840" s="19" t="s">
        <v>45</v>
      </c>
      <c r="G840" s="19" t="s">
        <v>539</v>
      </c>
      <c r="H840" s="19">
        <v>33</v>
      </c>
      <c r="I840" s="41">
        <v>1584</v>
      </c>
      <c r="J840" s="139"/>
      <c r="K840" s="140"/>
      <c r="L840" s="139"/>
      <c r="M840" s="44"/>
      <c r="N840" s="45"/>
      <c r="O840" s="46">
        <f>SUM(I840)</f>
        <v>1584</v>
      </c>
      <c r="P840" s="48"/>
      <c r="Q840" s="48"/>
      <c r="R840" s="78">
        <f t="shared" si="479"/>
        <v>1270.89285714286</v>
      </c>
      <c r="S840" s="78"/>
      <c r="T840" s="79">
        <f t="shared" si="480"/>
        <v>2.7281746031746</v>
      </c>
      <c r="U840" s="78"/>
      <c r="V840" s="78"/>
      <c r="W840" s="80">
        <f t="shared" si="473"/>
        <v>1273.62103174603</v>
      </c>
      <c r="X840" s="81">
        <f t="shared" si="481"/>
        <v>39.0133333333333</v>
      </c>
      <c r="Y840" s="81"/>
      <c r="Z840" s="81"/>
      <c r="AA840" s="110">
        <f t="shared" si="477"/>
        <v>39.0133333333333</v>
      </c>
      <c r="AB840" s="90">
        <v>7.19</v>
      </c>
      <c r="AC840" s="78">
        <f t="shared" si="474"/>
        <v>280.505866666667</v>
      </c>
      <c r="AD840" s="78">
        <f t="shared" si="475"/>
        <v>1554.1268984127</v>
      </c>
      <c r="AE840" s="78">
        <f t="shared" si="478"/>
        <v>29.8731015873</v>
      </c>
    </row>
    <row r="841" customFormat="1" spans="1:31">
      <c r="A841" s="18"/>
      <c r="B841" s="19"/>
      <c r="C841" s="20">
        <v>240325000022</v>
      </c>
      <c r="D841" s="21">
        <v>45381</v>
      </c>
      <c r="E841" s="21" t="s">
        <v>44</v>
      </c>
      <c r="F841" s="19" t="s">
        <v>45</v>
      </c>
      <c r="G841" s="19" t="s">
        <v>133</v>
      </c>
      <c r="H841" s="19">
        <v>1.5</v>
      </c>
      <c r="I841" s="49"/>
      <c r="J841" s="137">
        <v>14758</v>
      </c>
      <c r="K841" s="140"/>
      <c r="L841" s="50">
        <f t="shared" si="485"/>
        <v>1129.15072685539</v>
      </c>
      <c r="M841" s="52">
        <v>13.07</v>
      </c>
      <c r="N841" s="45">
        <v>7.19</v>
      </c>
      <c r="O841" s="46">
        <f t="shared" si="486"/>
        <v>93.9733</v>
      </c>
      <c r="P841" s="48"/>
      <c r="Q841" s="48"/>
      <c r="R841" s="78">
        <f t="shared" si="479"/>
        <v>57.7678571428571</v>
      </c>
      <c r="S841" s="78"/>
      <c r="T841" s="79">
        <f t="shared" si="480"/>
        <v>0.124007936507937</v>
      </c>
      <c r="U841" s="78"/>
      <c r="V841" s="78">
        <v>12</v>
      </c>
      <c r="W841" s="80">
        <f t="shared" si="473"/>
        <v>69.8918650793651</v>
      </c>
      <c r="X841" s="81">
        <f t="shared" si="481"/>
        <v>1.77333333333333</v>
      </c>
      <c r="Y841" s="81"/>
      <c r="Z841" s="81"/>
      <c r="AA841" s="110">
        <f t="shared" si="477"/>
        <v>1.77333333333333</v>
      </c>
      <c r="AB841" s="90">
        <v>7.19</v>
      </c>
      <c r="AC841" s="78">
        <f t="shared" si="474"/>
        <v>12.7502666666667</v>
      </c>
      <c r="AD841" s="78">
        <f t="shared" si="475"/>
        <v>82.6421317460317</v>
      </c>
      <c r="AE841" s="78">
        <f t="shared" si="478"/>
        <v>11.3311682539683</v>
      </c>
    </row>
    <row r="842" customFormat="1" spans="1:31">
      <c r="A842" s="18"/>
      <c r="B842" s="19"/>
      <c r="C842" s="20">
        <v>240325000025</v>
      </c>
      <c r="D842" s="21">
        <v>45381</v>
      </c>
      <c r="E842" s="21" t="s">
        <v>51</v>
      </c>
      <c r="F842" s="19" t="s">
        <v>52</v>
      </c>
      <c r="G842" s="19" t="s">
        <v>537</v>
      </c>
      <c r="H842" s="19">
        <v>16</v>
      </c>
      <c r="I842" s="49"/>
      <c r="J842" s="137">
        <v>151200</v>
      </c>
      <c r="K842" s="138"/>
      <c r="L842" s="50">
        <f t="shared" si="485"/>
        <v>1258.32223701731</v>
      </c>
      <c r="M842" s="52">
        <v>120.16</v>
      </c>
      <c r="N842" s="45">
        <v>7.19</v>
      </c>
      <c r="O842" s="46">
        <f t="shared" si="486"/>
        <v>863.9504</v>
      </c>
      <c r="P842" s="48"/>
      <c r="Q842" s="48"/>
      <c r="R842" s="78">
        <f t="shared" si="479"/>
        <v>616.190476190476</v>
      </c>
      <c r="S842" s="78"/>
      <c r="T842" s="79">
        <f t="shared" si="480"/>
        <v>1.32275132275132</v>
      </c>
      <c r="U842" s="78"/>
      <c r="V842" s="78"/>
      <c r="W842" s="80">
        <f t="shared" si="473"/>
        <v>617.513227513227</v>
      </c>
      <c r="X842" s="81">
        <f t="shared" si="481"/>
        <v>18.9155555555556</v>
      </c>
      <c r="Y842" s="81"/>
      <c r="Z842" s="81"/>
      <c r="AA842" s="110">
        <f t="shared" si="477"/>
        <v>18.9155555555556</v>
      </c>
      <c r="AB842" s="90">
        <v>7.19</v>
      </c>
      <c r="AC842" s="78">
        <f t="shared" si="474"/>
        <v>136.002844444444</v>
      </c>
      <c r="AD842" s="78">
        <f t="shared" si="475"/>
        <v>753.516071957672</v>
      </c>
      <c r="AE842" s="78">
        <f t="shared" si="478"/>
        <v>110.434328042328</v>
      </c>
    </row>
    <row r="843" customFormat="1" spans="1:31">
      <c r="A843" s="18"/>
      <c r="B843" s="19"/>
      <c r="C843" s="20">
        <v>240325000026</v>
      </c>
      <c r="D843" s="21">
        <v>45381</v>
      </c>
      <c r="E843" s="21" t="s">
        <v>37</v>
      </c>
      <c r="F843" s="19" t="s">
        <v>38</v>
      </c>
      <c r="G843" s="19" t="s">
        <v>486</v>
      </c>
      <c r="H843" s="19">
        <v>2.5</v>
      </c>
      <c r="I843" s="46"/>
      <c r="J843" s="137">
        <v>34168.5</v>
      </c>
      <c r="K843" s="138"/>
      <c r="L843" s="50">
        <f t="shared" si="485"/>
        <v>1350</v>
      </c>
      <c r="M843" s="52">
        <v>25.31</v>
      </c>
      <c r="N843" s="45">
        <v>7.19</v>
      </c>
      <c r="O843" s="46">
        <f t="shared" si="486"/>
        <v>181.9789</v>
      </c>
      <c r="P843" s="48"/>
      <c r="Q843" s="48"/>
      <c r="R843" s="78">
        <f t="shared" si="479"/>
        <v>96.2797619047619</v>
      </c>
      <c r="S843" s="78"/>
      <c r="T843" s="79">
        <f t="shared" si="480"/>
        <v>0.206679894179894</v>
      </c>
      <c r="U843" s="78"/>
      <c r="V843" s="79">
        <v>40</v>
      </c>
      <c r="W843" s="80">
        <f t="shared" si="473"/>
        <v>136.486441798942</v>
      </c>
      <c r="X843" s="81">
        <f t="shared" si="481"/>
        <v>2.95555555555556</v>
      </c>
      <c r="Y843" s="81"/>
      <c r="Z843" s="81"/>
      <c r="AA843" s="110">
        <f t="shared" si="477"/>
        <v>2.95555555555556</v>
      </c>
      <c r="AB843" s="90">
        <v>7.19</v>
      </c>
      <c r="AC843" s="78">
        <f t="shared" si="474"/>
        <v>21.2504444444444</v>
      </c>
      <c r="AD843" s="78">
        <f t="shared" si="475"/>
        <v>157.736886243386</v>
      </c>
      <c r="AE843" s="78">
        <f t="shared" si="478"/>
        <v>24.242013756614</v>
      </c>
    </row>
    <row r="844" customFormat="1" spans="1:31">
      <c r="A844" s="18"/>
      <c r="B844" s="19"/>
      <c r="C844" s="22">
        <v>240325000028</v>
      </c>
      <c r="D844" s="23">
        <v>45381</v>
      </c>
      <c r="E844" s="21" t="s">
        <v>44</v>
      </c>
      <c r="F844" s="24" t="s">
        <v>45</v>
      </c>
      <c r="G844" s="24" t="s">
        <v>231</v>
      </c>
      <c r="H844" s="24">
        <v>21</v>
      </c>
      <c r="I844" s="49"/>
      <c r="J844" s="137">
        <v>190575</v>
      </c>
      <c r="K844" s="140"/>
      <c r="L844" s="50">
        <f t="shared" si="485"/>
        <v>1186.42221253813</v>
      </c>
      <c r="M844" s="52">
        <v>160.63</v>
      </c>
      <c r="N844" s="45">
        <v>7.19</v>
      </c>
      <c r="O844" s="46">
        <f t="shared" si="486"/>
        <v>1154.9297</v>
      </c>
      <c r="P844" s="48"/>
      <c r="Q844" s="48"/>
      <c r="R844" s="78">
        <f t="shared" si="479"/>
        <v>808.75</v>
      </c>
      <c r="S844" s="78"/>
      <c r="T844" s="79">
        <f t="shared" si="480"/>
        <v>1.73611111111111</v>
      </c>
      <c r="U844" s="78"/>
      <c r="V844" s="78"/>
      <c r="W844" s="80">
        <f t="shared" si="473"/>
        <v>810.486111111111</v>
      </c>
      <c r="X844" s="81">
        <f t="shared" si="481"/>
        <v>24.8266666666667</v>
      </c>
      <c r="Y844" s="81"/>
      <c r="Z844" s="81"/>
      <c r="AA844" s="110">
        <f t="shared" si="477"/>
        <v>24.8266666666667</v>
      </c>
      <c r="AB844" s="90">
        <v>7.19</v>
      </c>
      <c r="AC844" s="78">
        <f t="shared" si="474"/>
        <v>178.503733333333</v>
      </c>
      <c r="AD844" s="78">
        <f t="shared" si="475"/>
        <v>988.989844444444</v>
      </c>
      <c r="AE844" s="78">
        <f t="shared" si="478"/>
        <v>165.939855555556</v>
      </c>
    </row>
    <row r="845" customFormat="1" spans="1:31">
      <c r="A845" s="18"/>
      <c r="B845" s="19"/>
      <c r="C845" s="20">
        <v>240325000030</v>
      </c>
      <c r="D845" s="21">
        <v>45381</v>
      </c>
      <c r="E845" s="21" t="s">
        <v>44</v>
      </c>
      <c r="F845" s="19" t="s">
        <v>45</v>
      </c>
      <c r="G845" s="19" t="s">
        <v>377</v>
      </c>
      <c r="H845" s="19">
        <v>1.5</v>
      </c>
      <c r="I845" s="41">
        <v>107</v>
      </c>
      <c r="J845" s="139"/>
      <c r="K845" s="140"/>
      <c r="L845" s="139"/>
      <c r="M845" s="44"/>
      <c r="N845" s="45"/>
      <c r="O845" s="46">
        <f t="shared" ref="O845:O849" si="487">SUM(I845)</f>
        <v>107</v>
      </c>
      <c r="P845" s="48"/>
      <c r="Q845" s="48"/>
      <c r="R845" s="78">
        <f t="shared" si="479"/>
        <v>57.7678571428571</v>
      </c>
      <c r="S845" s="78"/>
      <c r="T845" s="79">
        <f t="shared" si="480"/>
        <v>0.124007936507937</v>
      </c>
      <c r="U845" s="78"/>
      <c r="V845" s="78"/>
      <c r="W845" s="80">
        <f t="shared" si="473"/>
        <v>57.8918650793651</v>
      </c>
      <c r="X845" s="81">
        <f t="shared" si="481"/>
        <v>1.77333333333333</v>
      </c>
      <c r="Y845" s="81"/>
      <c r="Z845" s="81"/>
      <c r="AA845" s="110">
        <f t="shared" si="477"/>
        <v>1.77333333333333</v>
      </c>
      <c r="AB845" s="90">
        <v>7.19</v>
      </c>
      <c r="AC845" s="78">
        <f t="shared" si="474"/>
        <v>12.7502666666667</v>
      </c>
      <c r="AD845" s="78">
        <f t="shared" si="475"/>
        <v>70.6421317460317</v>
      </c>
      <c r="AE845" s="78">
        <f t="shared" si="478"/>
        <v>36.3578682539683</v>
      </c>
    </row>
    <row r="846" customFormat="1" spans="1:31">
      <c r="A846" s="18"/>
      <c r="B846" s="19"/>
      <c r="C846" s="20">
        <v>240325000031</v>
      </c>
      <c r="D846" s="21">
        <v>45381</v>
      </c>
      <c r="E846" s="21" t="s">
        <v>70</v>
      </c>
      <c r="F846" s="19" t="s">
        <v>287</v>
      </c>
      <c r="G846" s="19" t="s">
        <v>540</v>
      </c>
      <c r="H846" s="19">
        <v>509.5</v>
      </c>
      <c r="I846" s="92">
        <v>475</v>
      </c>
      <c r="J846" s="137">
        <v>5689530</v>
      </c>
      <c r="K846" s="140"/>
      <c r="L846" s="50">
        <f>SUM(J846/M846)</f>
        <v>1278.83344571814</v>
      </c>
      <c r="M846" s="52">
        <v>4449</v>
      </c>
      <c r="N846" s="45">
        <v>7.19</v>
      </c>
      <c r="O846" s="46">
        <f>SUM(M846*N846)+I846</f>
        <v>32463.31</v>
      </c>
      <c r="P846" s="48"/>
      <c r="Q846" s="48"/>
      <c r="R846" s="78">
        <f t="shared" si="479"/>
        <v>19621.8154761905</v>
      </c>
      <c r="S846" s="78"/>
      <c r="T846" s="79">
        <f t="shared" si="480"/>
        <v>42.1213624338624</v>
      </c>
      <c r="U846" s="78"/>
      <c r="V846" s="78"/>
      <c r="W846" s="80">
        <f t="shared" si="473"/>
        <v>19663.9368386243</v>
      </c>
      <c r="X846" s="81">
        <f t="shared" si="481"/>
        <v>602.342222222222</v>
      </c>
      <c r="Y846" s="81"/>
      <c r="Z846" s="81"/>
      <c r="AA846" s="110">
        <f t="shared" si="477"/>
        <v>602.342222222222</v>
      </c>
      <c r="AB846" s="90">
        <v>7.19</v>
      </c>
      <c r="AC846" s="78">
        <f t="shared" si="474"/>
        <v>4330.84057777778</v>
      </c>
      <c r="AD846" s="78">
        <f t="shared" si="475"/>
        <v>23994.7774164021</v>
      </c>
      <c r="AE846" s="78">
        <f t="shared" si="478"/>
        <v>8468.5325835979</v>
      </c>
    </row>
    <row r="847" customFormat="1" spans="1:31">
      <c r="A847" s="18"/>
      <c r="B847" s="19"/>
      <c r="C847" s="20">
        <v>240325000036</v>
      </c>
      <c r="D847" s="21">
        <v>45381</v>
      </c>
      <c r="E847" s="21" t="s">
        <v>70</v>
      </c>
      <c r="F847" s="19" t="s">
        <v>70</v>
      </c>
      <c r="G847" s="19" t="s">
        <v>541</v>
      </c>
      <c r="H847" s="19">
        <v>68.5</v>
      </c>
      <c r="I847" s="41">
        <v>3371</v>
      </c>
      <c r="J847" s="139"/>
      <c r="K847" s="140"/>
      <c r="L847" s="139"/>
      <c r="M847" s="44"/>
      <c r="N847" s="45"/>
      <c r="O847" s="46">
        <f t="shared" si="487"/>
        <v>3371</v>
      </c>
      <c r="P847" s="48"/>
      <c r="Q847" s="48"/>
      <c r="R847" s="78">
        <f t="shared" si="479"/>
        <v>2638.06547619048</v>
      </c>
      <c r="S847" s="78"/>
      <c r="T847" s="79">
        <f t="shared" si="480"/>
        <v>5.6630291005291</v>
      </c>
      <c r="U847" s="78"/>
      <c r="V847" s="79">
        <f>SUM(60+42)</f>
        <v>102</v>
      </c>
      <c r="W847" s="80">
        <f t="shared" si="473"/>
        <v>2745.72850529101</v>
      </c>
      <c r="X847" s="81">
        <f t="shared" si="481"/>
        <v>80.9822222222222</v>
      </c>
      <c r="Y847" s="81"/>
      <c r="Z847" s="81"/>
      <c r="AA847" s="110">
        <f t="shared" si="477"/>
        <v>80.9822222222222</v>
      </c>
      <c r="AB847" s="90">
        <v>7.19</v>
      </c>
      <c r="AC847" s="78">
        <f t="shared" si="474"/>
        <v>582.262177777778</v>
      </c>
      <c r="AD847" s="78">
        <f t="shared" si="475"/>
        <v>3327.99068306878</v>
      </c>
      <c r="AE847" s="78">
        <f t="shared" si="478"/>
        <v>43.0093169312199</v>
      </c>
    </row>
    <row r="848" customFormat="1" spans="1:31">
      <c r="A848" s="18"/>
      <c r="B848" s="19"/>
      <c r="C848" s="20">
        <v>240326000002</v>
      </c>
      <c r="D848" s="21">
        <v>45381</v>
      </c>
      <c r="E848" s="21" t="s">
        <v>85</v>
      </c>
      <c r="F848" s="19" t="s">
        <v>165</v>
      </c>
      <c r="G848" s="19" t="s">
        <v>489</v>
      </c>
      <c r="H848" s="19">
        <v>2</v>
      </c>
      <c r="I848" s="46"/>
      <c r="J848" s="137">
        <v>21465.5</v>
      </c>
      <c r="K848" s="138"/>
      <c r="L848" s="50">
        <f>SUM(J848/M848)</f>
        <v>1350.03144654088</v>
      </c>
      <c r="M848" s="52">
        <v>15.9</v>
      </c>
      <c r="N848" s="45">
        <v>7.19</v>
      </c>
      <c r="O848" s="46">
        <f>SUM(M848*N848)</f>
        <v>114.321</v>
      </c>
      <c r="P848" s="48"/>
      <c r="Q848" s="48"/>
      <c r="R848" s="78">
        <f t="shared" si="479"/>
        <v>77.0238095238095</v>
      </c>
      <c r="S848" s="78"/>
      <c r="T848" s="79">
        <f t="shared" si="480"/>
        <v>0.165343915343915</v>
      </c>
      <c r="U848" s="78"/>
      <c r="V848" s="78"/>
      <c r="W848" s="80">
        <f t="shared" si="473"/>
        <v>77.1891534391534</v>
      </c>
      <c r="X848" s="81">
        <f t="shared" si="481"/>
        <v>2.36444444444444</v>
      </c>
      <c r="Y848" s="81"/>
      <c r="Z848" s="81"/>
      <c r="AA848" s="110">
        <f t="shared" si="477"/>
        <v>2.36444444444444</v>
      </c>
      <c r="AB848" s="90">
        <v>7.19</v>
      </c>
      <c r="AC848" s="78">
        <f t="shared" si="474"/>
        <v>17.0003555555556</v>
      </c>
      <c r="AD848" s="78">
        <f t="shared" si="475"/>
        <v>94.189508994709</v>
      </c>
      <c r="AE848" s="78">
        <f t="shared" si="478"/>
        <v>20.131491005291</v>
      </c>
    </row>
    <row r="849" customFormat="1" spans="1:31">
      <c r="A849" s="18"/>
      <c r="B849" s="19"/>
      <c r="C849" s="20">
        <v>240326000010</v>
      </c>
      <c r="D849" s="21">
        <v>45381</v>
      </c>
      <c r="E849" s="21" t="s">
        <v>70</v>
      </c>
      <c r="F849" s="19" t="s">
        <v>70</v>
      </c>
      <c r="G849" s="19" t="s">
        <v>204</v>
      </c>
      <c r="H849" s="19">
        <v>41.5</v>
      </c>
      <c r="I849" s="41">
        <v>1992</v>
      </c>
      <c r="J849" s="139"/>
      <c r="K849" s="140"/>
      <c r="L849" s="139"/>
      <c r="M849" s="44"/>
      <c r="N849" s="45"/>
      <c r="O849" s="46">
        <f t="shared" si="487"/>
        <v>1992</v>
      </c>
      <c r="P849" s="48"/>
      <c r="Q849" s="48"/>
      <c r="R849" s="78">
        <f t="shared" si="479"/>
        <v>1598.24404761905</v>
      </c>
      <c r="S849" s="78"/>
      <c r="T849" s="79">
        <f t="shared" si="480"/>
        <v>3.43088624338624</v>
      </c>
      <c r="U849" s="78"/>
      <c r="V849" s="78"/>
      <c r="W849" s="80">
        <f t="shared" si="473"/>
        <v>1601.67493386243</v>
      </c>
      <c r="X849" s="81">
        <f t="shared" si="481"/>
        <v>49.0622222222222</v>
      </c>
      <c r="Y849" s="81"/>
      <c r="Z849" s="81"/>
      <c r="AA849" s="110">
        <f t="shared" si="477"/>
        <v>49.0622222222222</v>
      </c>
      <c r="AB849" s="90">
        <v>7.19</v>
      </c>
      <c r="AC849" s="78">
        <f t="shared" si="474"/>
        <v>352.757377777778</v>
      </c>
      <c r="AD849" s="78">
        <f t="shared" si="475"/>
        <v>1954.43231164021</v>
      </c>
      <c r="AE849" s="78">
        <f t="shared" si="478"/>
        <v>37.5676883597901</v>
      </c>
    </row>
    <row r="850" customFormat="1" spans="1:31">
      <c r="A850" s="18"/>
      <c r="B850" s="19"/>
      <c r="C850" s="20">
        <v>240326000018</v>
      </c>
      <c r="D850" s="21">
        <v>45381</v>
      </c>
      <c r="E850" s="21" t="s">
        <v>85</v>
      </c>
      <c r="F850" s="19" t="s">
        <v>260</v>
      </c>
      <c r="G850" s="19" t="s">
        <v>542</v>
      </c>
      <c r="H850" s="19">
        <v>60.5</v>
      </c>
      <c r="I850" s="46"/>
      <c r="J850" s="139"/>
      <c r="K850" s="138">
        <v>474</v>
      </c>
      <c r="L850" s="50">
        <f>SUM(J850/M850)</f>
        <v>0</v>
      </c>
      <c r="M850" s="52">
        <v>473.31</v>
      </c>
      <c r="N850" s="45">
        <v>7.19</v>
      </c>
      <c r="O850" s="46">
        <f>SUM(M850*N850)</f>
        <v>3403.0989</v>
      </c>
      <c r="P850" s="48"/>
      <c r="Q850" s="48"/>
      <c r="R850" s="78">
        <f t="shared" si="479"/>
        <v>2329.97023809524</v>
      </c>
      <c r="S850" s="78"/>
      <c r="T850" s="79">
        <f t="shared" si="480"/>
        <v>5.00165343915344</v>
      </c>
      <c r="U850" s="78"/>
      <c r="V850" s="78"/>
      <c r="W850" s="80">
        <f t="shared" si="473"/>
        <v>2334.97189153439</v>
      </c>
      <c r="X850" s="81">
        <f t="shared" si="481"/>
        <v>71.5244444444444</v>
      </c>
      <c r="Y850" s="81"/>
      <c r="Z850" s="81"/>
      <c r="AA850" s="110">
        <f t="shared" si="477"/>
        <v>71.5244444444444</v>
      </c>
      <c r="AB850" s="90">
        <v>7.19</v>
      </c>
      <c r="AC850" s="78">
        <f t="shared" si="474"/>
        <v>514.260755555556</v>
      </c>
      <c r="AD850" s="78">
        <f t="shared" si="475"/>
        <v>2849.23264708995</v>
      </c>
      <c r="AE850" s="78">
        <f t="shared" si="478"/>
        <v>553.86625291005</v>
      </c>
    </row>
    <row r="851" customFormat="1" spans="1:31">
      <c r="A851" s="18"/>
      <c r="B851" s="19"/>
      <c r="C851" s="20">
        <v>240326000020</v>
      </c>
      <c r="D851" s="21">
        <v>45381</v>
      </c>
      <c r="E851" s="21" t="s">
        <v>44</v>
      </c>
      <c r="F851" s="19" t="s">
        <v>45</v>
      </c>
      <c r="G851" s="19" t="s">
        <v>100</v>
      </c>
      <c r="H851" s="19">
        <v>3</v>
      </c>
      <c r="I851" s="41">
        <v>165</v>
      </c>
      <c r="J851" s="139"/>
      <c r="K851" s="140"/>
      <c r="L851" s="139"/>
      <c r="M851" s="44"/>
      <c r="N851" s="45"/>
      <c r="O851" s="46">
        <f t="shared" ref="O851:O863" si="488">SUM(I851)</f>
        <v>165</v>
      </c>
      <c r="P851" s="48"/>
      <c r="Q851" s="48"/>
      <c r="R851" s="78">
        <f t="shared" si="479"/>
        <v>115.535714285714</v>
      </c>
      <c r="S851" s="78"/>
      <c r="T851" s="79">
        <f t="shared" si="480"/>
        <v>0.248015873015873</v>
      </c>
      <c r="U851" s="78"/>
      <c r="V851" s="78"/>
      <c r="W851" s="80">
        <f t="shared" si="473"/>
        <v>115.78373015873</v>
      </c>
      <c r="X851" s="81">
        <f t="shared" si="481"/>
        <v>3.54666666666667</v>
      </c>
      <c r="Y851" s="81"/>
      <c r="Z851" s="81"/>
      <c r="AA851" s="110">
        <f t="shared" si="477"/>
        <v>3.54666666666667</v>
      </c>
      <c r="AB851" s="90">
        <v>7.19</v>
      </c>
      <c r="AC851" s="78">
        <f t="shared" si="474"/>
        <v>25.5005333333333</v>
      </c>
      <c r="AD851" s="78">
        <f t="shared" si="475"/>
        <v>141.284263492063</v>
      </c>
      <c r="AE851" s="78">
        <f t="shared" si="478"/>
        <v>23.715736507937</v>
      </c>
    </row>
    <row r="852" customFormat="1" spans="1:31">
      <c r="A852" s="18"/>
      <c r="B852" s="19"/>
      <c r="C852" s="20">
        <v>240326000022</v>
      </c>
      <c r="D852" s="21">
        <v>45381</v>
      </c>
      <c r="E852" s="21" t="s">
        <v>41</v>
      </c>
      <c r="F852" s="19" t="s">
        <v>42</v>
      </c>
      <c r="G852" s="19" t="s">
        <v>73</v>
      </c>
      <c r="H852" s="19">
        <v>8.5</v>
      </c>
      <c r="I852" s="41">
        <v>535.5</v>
      </c>
      <c r="J852" s="139"/>
      <c r="K852" s="140"/>
      <c r="L852" s="139"/>
      <c r="M852" s="44"/>
      <c r="N852" s="45"/>
      <c r="O852" s="46">
        <f t="shared" si="488"/>
        <v>535.5</v>
      </c>
      <c r="P852" s="48"/>
      <c r="Q852" s="48"/>
      <c r="R852" s="78">
        <f t="shared" si="479"/>
        <v>327.35119047619</v>
      </c>
      <c r="S852" s="78"/>
      <c r="T852" s="79">
        <f t="shared" si="480"/>
        <v>0.70271164021164</v>
      </c>
      <c r="U852" s="78"/>
      <c r="V852" s="78"/>
      <c r="W852" s="80">
        <f t="shared" si="473"/>
        <v>328.053902116402</v>
      </c>
      <c r="X852" s="81">
        <f t="shared" si="481"/>
        <v>10.0488888888889</v>
      </c>
      <c r="Y852" s="81"/>
      <c r="Z852" s="81"/>
      <c r="AA852" s="110">
        <f t="shared" si="477"/>
        <v>10.0488888888889</v>
      </c>
      <c r="AB852" s="90">
        <v>7.19</v>
      </c>
      <c r="AC852" s="78">
        <f t="shared" si="474"/>
        <v>72.2515111111111</v>
      </c>
      <c r="AD852" s="78">
        <f t="shared" si="475"/>
        <v>400.305413227513</v>
      </c>
      <c r="AE852" s="78">
        <f t="shared" si="478"/>
        <v>135.194586772487</v>
      </c>
    </row>
    <row r="853" customFormat="1" spans="1:31">
      <c r="A853" s="18"/>
      <c r="B853" s="19"/>
      <c r="C853" s="20">
        <v>240326000025</v>
      </c>
      <c r="D853" s="21">
        <v>45381</v>
      </c>
      <c r="E853" s="21" t="s">
        <v>37</v>
      </c>
      <c r="F853" s="19" t="s">
        <v>145</v>
      </c>
      <c r="G853" s="19" t="s">
        <v>125</v>
      </c>
      <c r="H853" s="19">
        <v>33</v>
      </c>
      <c r="I853" s="41">
        <v>1824</v>
      </c>
      <c r="J853" s="139"/>
      <c r="K853" s="140"/>
      <c r="L853" s="139"/>
      <c r="M853" s="44"/>
      <c r="N853" s="45"/>
      <c r="O853" s="46">
        <f t="shared" si="488"/>
        <v>1824</v>
      </c>
      <c r="P853" s="48"/>
      <c r="Q853" s="48"/>
      <c r="R853" s="78">
        <f t="shared" si="479"/>
        <v>1270.89285714286</v>
      </c>
      <c r="S853" s="78"/>
      <c r="T853" s="79">
        <f t="shared" si="480"/>
        <v>2.7281746031746</v>
      </c>
      <c r="U853" s="78"/>
      <c r="V853" s="78"/>
      <c r="W853" s="80">
        <f t="shared" si="473"/>
        <v>1273.62103174603</v>
      </c>
      <c r="X853" s="81">
        <f t="shared" si="481"/>
        <v>39.0133333333333</v>
      </c>
      <c r="Y853" s="81"/>
      <c r="Z853" s="81"/>
      <c r="AA853" s="110">
        <f t="shared" si="477"/>
        <v>39.0133333333333</v>
      </c>
      <c r="AB853" s="90">
        <v>7.19</v>
      </c>
      <c r="AC853" s="78">
        <f t="shared" si="474"/>
        <v>280.505866666667</v>
      </c>
      <c r="AD853" s="78">
        <f t="shared" si="475"/>
        <v>1554.1268984127</v>
      </c>
      <c r="AE853" s="78">
        <f t="shared" si="478"/>
        <v>269.8731015873</v>
      </c>
    </row>
    <row r="854" customFormat="1" spans="1:31">
      <c r="A854" s="18"/>
      <c r="B854" s="19"/>
      <c r="C854" s="20">
        <v>240326000026</v>
      </c>
      <c r="D854" s="21">
        <v>45381</v>
      </c>
      <c r="E854" s="21" t="s">
        <v>44</v>
      </c>
      <c r="F854" s="19" t="s">
        <v>45</v>
      </c>
      <c r="G854" s="19" t="s">
        <v>164</v>
      </c>
      <c r="H854" s="19">
        <v>9</v>
      </c>
      <c r="I854" s="41">
        <v>495</v>
      </c>
      <c r="J854" s="139"/>
      <c r="K854" s="140"/>
      <c r="L854" s="139"/>
      <c r="M854" s="44"/>
      <c r="N854" s="45"/>
      <c r="O854" s="46">
        <f t="shared" si="488"/>
        <v>495</v>
      </c>
      <c r="P854" s="48"/>
      <c r="Q854" s="48"/>
      <c r="R854" s="78">
        <f t="shared" si="479"/>
        <v>346.607142857143</v>
      </c>
      <c r="S854" s="78"/>
      <c r="T854" s="79">
        <f t="shared" si="480"/>
        <v>0.744047619047619</v>
      </c>
      <c r="U854" s="78"/>
      <c r="V854" s="78"/>
      <c r="W854" s="80">
        <f t="shared" si="473"/>
        <v>347.35119047619</v>
      </c>
      <c r="X854" s="81">
        <f t="shared" si="481"/>
        <v>10.64</v>
      </c>
      <c r="Y854" s="81"/>
      <c r="Z854" s="81"/>
      <c r="AA854" s="110">
        <f t="shared" si="477"/>
        <v>10.64</v>
      </c>
      <c r="AB854" s="90">
        <v>7.19</v>
      </c>
      <c r="AC854" s="78">
        <f t="shared" si="474"/>
        <v>76.5016</v>
      </c>
      <c r="AD854" s="78">
        <f t="shared" si="475"/>
        <v>423.85279047619</v>
      </c>
      <c r="AE854" s="78">
        <f t="shared" si="478"/>
        <v>71.14720952381</v>
      </c>
    </row>
    <row r="855" customFormat="1" spans="1:31">
      <c r="A855" s="18"/>
      <c r="B855" s="19"/>
      <c r="C855" s="20">
        <v>240326000028</v>
      </c>
      <c r="D855" s="21">
        <v>45381</v>
      </c>
      <c r="E855" s="21" t="s">
        <v>37</v>
      </c>
      <c r="F855" s="19" t="s">
        <v>145</v>
      </c>
      <c r="G855" s="19" t="s">
        <v>125</v>
      </c>
      <c r="H855" s="19">
        <v>8</v>
      </c>
      <c r="I855" s="41">
        <v>470</v>
      </c>
      <c r="J855" s="139"/>
      <c r="K855" s="140"/>
      <c r="L855" s="139"/>
      <c r="M855" s="44"/>
      <c r="N855" s="45"/>
      <c r="O855" s="46">
        <f t="shared" si="488"/>
        <v>470</v>
      </c>
      <c r="P855" s="48"/>
      <c r="Q855" s="48"/>
      <c r="R855" s="78">
        <f t="shared" si="479"/>
        <v>308.095238095238</v>
      </c>
      <c r="S855" s="78"/>
      <c r="T855" s="79">
        <f t="shared" si="480"/>
        <v>0.661375661375661</v>
      </c>
      <c r="U855" s="78"/>
      <c r="V855" s="78"/>
      <c r="W855" s="80">
        <f t="shared" si="473"/>
        <v>308.756613756614</v>
      </c>
      <c r="X855" s="81">
        <f t="shared" si="481"/>
        <v>9.45777777777778</v>
      </c>
      <c r="Y855" s="81"/>
      <c r="Z855" s="81"/>
      <c r="AA855" s="110">
        <f t="shared" si="477"/>
        <v>9.45777777777778</v>
      </c>
      <c r="AB855" s="90">
        <v>7.19</v>
      </c>
      <c r="AC855" s="78">
        <f t="shared" si="474"/>
        <v>68.0014222222222</v>
      </c>
      <c r="AD855" s="78">
        <f t="shared" si="475"/>
        <v>376.758035978836</v>
      </c>
      <c r="AE855" s="78">
        <f t="shared" ref="AE855:AE874" si="489">SUM(O855-AD855)</f>
        <v>93.2419640211641</v>
      </c>
    </row>
    <row r="856" customFormat="1" spans="1:31">
      <c r="A856" s="18"/>
      <c r="B856" s="19"/>
      <c r="C856" s="20">
        <v>240326000029</v>
      </c>
      <c r="D856" s="21">
        <v>45381</v>
      </c>
      <c r="E856" s="21" t="s">
        <v>70</v>
      </c>
      <c r="F856" s="19" t="s">
        <v>70</v>
      </c>
      <c r="G856" s="19" t="s">
        <v>512</v>
      </c>
      <c r="H856" s="19">
        <v>109</v>
      </c>
      <c r="I856" s="41">
        <v>6322</v>
      </c>
      <c r="J856" s="139"/>
      <c r="K856" s="140"/>
      <c r="L856" s="139"/>
      <c r="M856" s="44"/>
      <c r="N856" s="45"/>
      <c r="O856" s="46">
        <f t="shared" si="488"/>
        <v>6322</v>
      </c>
      <c r="P856" s="58"/>
      <c r="Q856" s="58"/>
      <c r="R856" s="78">
        <f t="shared" si="479"/>
        <v>4197.79761904762</v>
      </c>
      <c r="S856" s="78"/>
      <c r="T856" s="79">
        <f t="shared" si="480"/>
        <v>9.01124338624339</v>
      </c>
      <c r="U856" s="78"/>
      <c r="V856" s="78"/>
      <c r="W856" s="80">
        <f t="shared" ref="W856:W874" si="490">SUM(R856:V856)</f>
        <v>4206.80886243386</v>
      </c>
      <c r="X856" s="81">
        <f t="shared" si="481"/>
        <v>128.862222222222</v>
      </c>
      <c r="Y856" s="81"/>
      <c r="Z856" s="81"/>
      <c r="AA856" s="110">
        <f t="shared" ref="AA856:AA874" si="491">SUM(X856:Z856)</f>
        <v>128.862222222222</v>
      </c>
      <c r="AB856" s="90">
        <v>7.19</v>
      </c>
      <c r="AC856" s="78">
        <f t="shared" ref="AC856:AC874" si="492">SUM(AA856*AB856)</f>
        <v>926.519377777778</v>
      </c>
      <c r="AD856" s="78">
        <f t="shared" ref="AD856:AD874" si="493">SUM(W856+AC856)</f>
        <v>5133.32824021164</v>
      </c>
      <c r="AE856" s="78">
        <f t="shared" si="489"/>
        <v>1188.67175978836</v>
      </c>
    </row>
    <row r="857" customFormat="1" spans="1:31">
      <c r="A857" s="18" t="s">
        <v>543</v>
      </c>
      <c r="B857" s="19" t="s">
        <v>544</v>
      </c>
      <c r="C857" s="20">
        <v>240320000026</v>
      </c>
      <c r="D857" s="21">
        <v>45381</v>
      </c>
      <c r="E857" s="21" t="s">
        <v>37</v>
      </c>
      <c r="F857" s="19" t="s">
        <v>38</v>
      </c>
      <c r="G857" s="19" t="s">
        <v>159</v>
      </c>
      <c r="H857" s="19">
        <v>15.5</v>
      </c>
      <c r="I857" s="41">
        <v>1267</v>
      </c>
      <c r="J857" s="139"/>
      <c r="K857" s="140"/>
      <c r="L857" s="139"/>
      <c r="M857" s="44"/>
      <c r="N857" s="45"/>
      <c r="O857" s="46">
        <f t="shared" si="488"/>
        <v>1267</v>
      </c>
      <c r="P857" s="47">
        <f>SUM(O857:O874)</f>
        <v>78031.83139281</v>
      </c>
      <c r="Q857" s="47" t="s">
        <v>40</v>
      </c>
      <c r="R857" s="78">
        <f>SUM(62602/1484)*H857</f>
        <v>653.861859838275</v>
      </c>
      <c r="S857" s="78"/>
      <c r="T857" s="79">
        <f>SUM(130/1484)*H857</f>
        <v>1.3578167115903</v>
      </c>
      <c r="U857" s="78"/>
      <c r="V857" s="78"/>
      <c r="W857" s="80">
        <f t="shared" si="490"/>
        <v>655.219676549865</v>
      </c>
      <c r="X857" s="81">
        <f>SUM(1493.26/1484)*H857</f>
        <v>15.596718328841</v>
      </c>
      <c r="Y857" s="81"/>
      <c r="Z857" s="81"/>
      <c r="AA857" s="110">
        <f t="shared" si="491"/>
        <v>15.596718328841</v>
      </c>
      <c r="AB857" s="90">
        <v>7.19</v>
      </c>
      <c r="AC857" s="78">
        <f t="shared" si="492"/>
        <v>112.140404784367</v>
      </c>
      <c r="AD857" s="78">
        <f t="shared" si="493"/>
        <v>767.360081334232</v>
      </c>
      <c r="AE857" s="78">
        <f t="shared" si="489"/>
        <v>499.639918665768</v>
      </c>
    </row>
    <row r="858" customFormat="1" spans="1:31">
      <c r="A858" s="18"/>
      <c r="B858" s="19"/>
      <c r="C858" s="20">
        <v>240323000018</v>
      </c>
      <c r="D858" s="21">
        <v>45381</v>
      </c>
      <c r="E858" s="21" t="s">
        <v>47</v>
      </c>
      <c r="F858" s="19" t="s">
        <v>48</v>
      </c>
      <c r="G858" s="19" t="s">
        <v>545</v>
      </c>
      <c r="H858" s="19">
        <v>4.5</v>
      </c>
      <c r="I858" s="41">
        <v>385.7</v>
      </c>
      <c r="J858" s="139"/>
      <c r="K858" s="140"/>
      <c r="L858" s="139"/>
      <c r="M858" s="44"/>
      <c r="N858" s="45"/>
      <c r="O858" s="46">
        <f t="shared" si="488"/>
        <v>385.7</v>
      </c>
      <c r="P858" s="48"/>
      <c r="Q858" s="48"/>
      <c r="R858" s="78">
        <f t="shared" ref="R858:R874" si="494">SUM(62602/1484)*H858</f>
        <v>189.830862533693</v>
      </c>
      <c r="S858" s="78"/>
      <c r="T858" s="79">
        <f t="shared" ref="T858:T874" si="495">SUM(130/1484)*H858</f>
        <v>0.394204851752022</v>
      </c>
      <c r="U858" s="78"/>
      <c r="V858" s="78"/>
      <c r="W858" s="80">
        <f t="shared" si="490"/>
        <v>190.225067385445</v>
      </c>
      <c r="X858" s="81">
        <f t="shared" ref="X858:X874" si="496">SUM(1493.26/1484)*H858</f>
        <v>4.5280795148248</v>
      </c>
      <c r="Y858" s="81"/>
      <c r="Z858" s="81"/>
      <c r="AA858" s="110">
        <f t="shared" si="491"/>
        <v>4.5280795148248</v>
      </c>
      <c r="AB858" s="90">
        <v>7.19</v>
      </c>
      <c r="AC858" s="78">
        <f t="shared" si="492"/>
        <v>32.5568917115903</v>
      </c>
      <c r="AD858" s="78">
        <f t="shared" si="493"/>
        <v>222.781959097035</v>
      </c>
      <c r="AE858" s="78">
        <f t="shared" si="489"/>
        <v>162.918040902965</v>
      </c>
    </row>
    <row r="859" customFormat="1" spans="1:31">
      <c r="A859" s="18"/>
      <c r="B859" s="19"/>
      <c r="C859" s="20">
        <v>240324000002</v>
      </c>
      <c r="D859" s="21">
        <v>45381</v>
      </c>
      <c r="E859" s="21" t="s">
        <v>47</v>
      </c>
      <c r="F859" s="19" t="s">
        <v>48</v>
      </c>
      <c r="G859" s="19" t="s">
        <v>546</v>
      </c>
      <c r="H859" s="19">
        <v>99.5</v>
      </c>
      <c r="I859" s="41">
        <v>10101</v>
      </c>
      <c r="J859" s="139"/>
      <c r="K859" s="140"/>
      <c r="L859" s="139"/>
      <c r="M859" s="44"/>
      <c r="N859" s="45"/>
      <c r="O859" s="46">
        <f t="shared" si="488"/>
        <v>10101</v>
      </c>
      <c r="P859" s="48"/>
      <c r="Q859" s="48"/>
      <c r="R859" s="78">
        <f t="shared" si="494"/>
        <v>4197.37129380054</v>
      </c>
      <c r="S859" s="78"/>
      <c r="T859" s="79">
        <f t="shared" si="495"/>
        <v>8.71630727762803</v>
      </c>
      <c r="U859" s="78"/>
      <c r="V859" s="78"/>
      <c r="W859" s="80">
        <f t="shared" si="490"/>
        <v>4206.08760107817</v>
      </c>
      <c r="X859" s="81">
        <f t="shared" si="496"/>
        <v>100.120869272237</v>
      </c>
      <c r="Y859" s="81"/>
      <c r="Z859" s="81"/>
      <c r="AA859" s="110">
        <f t="shared" si="491"/>
        <v>100.120869272237</v>
      </c>
      <c r="AB859" s="90">
        <v>7.19</v>
      </c>
      <c r="AC859" s="78">
        <f t="shared" si="492"/>
        <v>719.869050067386</v>
      </c>
      <c r="AD859" s="78">
        <f t="shared" si="493"/>
        <v>4925.95665114555</v>
      </c>
      <c r="AE859" s="78">
        <f t="shared" si="489"/>
        <v>5175.04334885445</v>
      </c>
    </row>
    <row r="860" customFormat="1" spans="1:31">
      <c r="A860" s="18"/>
      <c r="B860" s="19"/>
      <c r="C860" s="20">
        <v>240324000004</v>
      </c>
      <c r="D860" s="21">
        <v>45381</v>
      </c>
      <c r="E860" s="21" t="s">
        <v>47</v>
      </c>
      <c r="F860" s="19" t="s">
        <v>48</v>
      </c>
      <c r="G860" s="19" t="s">
        <v>547</v>
      </c>
      <c r="H860" s="19">
        <v>4.5</v>
      </c>
      <c r="I860" s="41">
        <v>275.5</v>
      </c>
      <c r="J860" s="139"/>
      <c r="K860" s="140"/>
      <c r="L860" s="139"/>
      <c r="M860" s="44"/>
      <c r="N860" s="45"/>
      <c r="O860" s="46">
        <f t="shared" si="488"/>
        <v>275.5</v>
      </c>
      <c r="P860" s="48"/>
      <c r="Q860" s="48"/>
      <c r="R860" s="78">
        <f t="shared" si="494"/>
        <v>189.830862533693</v>
      </c>
      <c r="S860" s="78"/>
      <c r="T860" s="79">
        <f t="shared" si="495"/>
        <v>0.394204851752022</v>
      </c>
      <c r="U860" s="78"/>
      <c r="V860" s="78"/>
      <c r="W860" s="80">
        <f t="shared" si="490"/>
        <v>190.225067385445</v>
      </c>
      <c r="X860" s="81">
        <f t="shared" si="496"/>
        <v>4.5280795148248</v>
      </c>
      <c r="Y860" s="81"/>
      <c r="Z860" s="81"/>
      <c r="AA860" s="110">
        <f t="shared" si="491"/>
        <v>4.5280795148248</v>
      </c>
      <c r="AB860" s="90">
        <v>7.19</v>
      </c>
      <c r="AC860" s="78">
        <f t="shared" si="492"/>
        <v>32.5568917115903</v>
      </c>
      <c r="AD860" s="78">
        <f t="shared" si="493"/>
        <v>222.781959097035</v>
      </c>
      <c r="AE860" s="78">
        <f t="shared" si="489"/>
        <v>52.718040902965</v>
      </c>
    </row>
    <row r="861" customFormat="1" spans="1:31">
      <c r="A861" s="18"/>
      <c r="B861" s="19"/>
      <c r="C861" s="20">
        <v>240324000005</v>
      </c>
      <c r="D861" s="21">
        <v>45381</v>
      </c>
      <c r="E861" s="21" t="s">
        <v>47</v>
      </c>
      <c r="F861" s="19" t="s">
        <v>48</v>
      </c>
      <c r="G861" s="19" t="s">
        <v>229</v>
      </c>
      <c r="H861" s="19">
        <v>3.5</v>
      </c>
      <c r="I861" s="41">
        <v>238.15</v>
      </c>
      <c r="J861" s="139"/>
      <c r="K861" s="140"/>
      <c r="L861" s="139"/>
      <c r="M861" s="44"/>
      <c r="N861" s="45"/>
      <c r="O861" s="46">
        <f t="shared" si="488"/>
        <v>238.15</v>
      </c>
      <c r="P861" s="48"/>
      <c r="Q861" s="48"/>
      <c r="R861" s="78">
        <f t="shared" si="494"/>
        <v>147.646226415094</v>
      </c>
      <c r="S861" s="78"/>
      <c r="T861" s="79">
        <f t="shared" si="495"/>
        <v>0.306603773584906</v>
      </c>
      <c r="U861" s="78"/>
      <c r="V861" s="78"/>
      <c r="W861" s="80">
        <f t="shared" si="490"/>
        <v>147.952830188679</v>
      </c>
      <c r="X861" s="81">
        <f t="shared" si="496"/>
        <v>3.52183962264151</v>
      </c>
      <c r="Y861" s="81"/>
      <c r="Z861" s="81"/>
      <c r="AA861" s="110">
        <f t="shared" si="491"/>
        <v>3.52183962264151</v>
      </c>
      <c r="AB861" s="90">
        <v>7.19</v>
      </c>
      <c r="AC861" s="78">
        <f t="shared" si="492"/>
        <v>25.3220268867925</v>
      </c>
      <c r="AD861" s="78">
        <f t="shared" si="493"/>
        <v>173.274857075472</v>
      </c>
      <c r="AE861" s="78">
        <f t="shared" si="489"/>
        <v>64.8751429245283</v>
      </c>
    </row>
    <row r="862" customFormat="1" spans="1:31">
      <c r="A862" s="18"/>
      <c r="B862" s="19"/>
      <c r="C862" s="20">
        <v>240324000006</v>
      </c>
      <c r="D862" s="21">
        <v>45381</v>
      </c>
      <c r="E862" s="21" t="s">
        <v>47</v>
      </c>
      <c r="F862" s="19" t="s">
        <v>48</v>
      </c>
      <c r="G862" s="19" t="s">
        <v>289</v>
      </c>
      <c r="H862" s="19">
        <v>4.5</v>
      </c>
      <c r="I862" s="41">
        <v>326</v>
      </c>
      <c r="J862" s="139"/>
      <c r="K862" s="140"/>
      <c r="L862" s="139"/>
      <c r="M862" s="44"/>
      <c r="N862" s="45"/>
      <c r="O862" s="46">
        <f t="shared" si="488"/>
        <v>326</v>
      </c>
      <c r="P862" s="48"/>
      <c r="Q862" s="48"/>
      <c r="R862" s="78">
        <f t="shared" si="494"/>
        <v>189.830862533693</v>
      </c>
      <c r="S862" s="78"/>
      <c r="T862" s="79">
        <f t="shared" si="495"/>
        <v>0.394204851752022</v>
      </c>
      <c r="U862" s="78"/>
      <c r="V862" s="78"/>
      <c r="W862" s="80">
        <f t="shared" si="490"/>
        <v>190.225067385445</v>
      </c>
      <c r="X862" s="81">
        <f t="shared" si="496"/>
        <v>4.5280795148248</v>
      </c>
      <c r="Y862" s="81"/>
      <c r="Z862" s="81"/>
      <c r="AA862" s="110">
        <f t="shared" si="491"/>
        <v>4.5280795148248</v>
      </c>
      <c r="AB862" s="90">
        <v>7.19</v>
      </c>
      <c r="AC862" s="78">
        <f t="shared" si="492"/>
        <v>32.5568917115903</v>
      </c>
      <c r="AD862" s="78">
        <f t="shared" si="493"/>
        <v>222.781959097035</v>
      </c>
      <c r="AE862" s="78">
        <f t="shared" si="489"/>
        <v>103.218040902965</v>
      </c>
    </row>
    <row r="863" customFormat="1" spans="1:31">
      <c r="A863" s="18"/>
      <c r="B863" s="19"/>
      <c r="C863" s="20">
        <v>240325000002</v>
      </c>
      <c r="D863" s="21">
        <v>45381</v>
      </c>
      <c r="E863" s="21" t="s">
        <v>37</v>
      </c>
      <c r="F863" s="19" t="s">
        <v>38</v>
      </c>
      <c r="G863" s="19" t="s">
        <v>194</v>
      </c>
      <c r="H863" s="19">
        <v>2</v>
      </c>
      <c r="I863" s="41">
        <v>225</v>
      </c>
      <c r="J863" s="139"/>
      <c r="K863" s="140"/>
      <c r="L863" s="139"/>
      <c r="M863" s="44"/>
      <c r="N863" s="45"/>
      <c r="O863" s="46">
        <f t="shared" si="488"/>
        <v>225</v>
      </c>
      <c r="P863" s="48"/>
      <c r="Q863" s="48"/>
      <c r="R863" s="78">
        <f t="shared" si="494"/>
        <v>84.3692722371968</v>
      </c>
      <c r="S863" s="78"/>
      <c r="T863" s="79">
        <f t="shared" si="495"/>
        <v>0.175202156334232</v>
      </c>
      <c r="U863" s="78"/>
      <c r="V863" s="78"/>
      <c r="W863" s="80">
        <f t="shared" si="490"/>
        <v>84.544474393531</v>
      </c>
      <c r="X863" s="81">
        <f t="shared" si="496"/>
        <v>2.01247978436658</v>
      </c>
      <c r="Y863" s="81"/>
      <c r="Z863" s="81"/>
      <c r="AA863" s="110">
        <f t="shared" si="491"/>
        <v>2.01247978436658</v>
      </c>
      <c r="AB863" s="90">
        <v>7.19</v>
      </c>
      <c r="AC863" s="78">
        <f t="shared" si="492"/>
        <v>14.4697296495957</v>
      </c>
      <c r="AD863" s="78">
        <f t="shared" si="493"/>
        <v>99.0142040431267</v>
      </c>
      <c r="AE863" s="78">
        <f t="shared" si="489"/>
        <v>125.985795956873</v>
      </c>
    </row>
    <row r="864" customFormat="1" spans="1:31">
      <c r="A864" s="18"/>
      <c r="B864" s="19"/>
      <c r="C864" s="20">
        <v>240325000007</v>
      </c>
      <c r="D864" s="21">
        <v>45381</v>
      </c>
      <c r="E864" s="21" t="s">
        <v>44</v>
      </c>
      <c r="F864" s="19" t="s">
        <v>45</v>
      </c>
      <c r="G864" s="19" t="s">
        <v>548</v>
      </c>
      <c r="H864" s="19">
        <v>1.5</v>
      </c>
      <c r="I864" s="49"/>
      <c r="J864" s="137">
        <v>24705</v>
      </c>
      <c r="K864" s="138"/>
      <c r="L864" s="50">
        <f>SUM(J864/M864)</f>
        <v>1316.19605753863</v>
      </c>
      <c r="M864" s="52">
        <v>18.77</v>
      </c>
      <c r="N864" s="45">
        <v>7.19</v>
      </c>
      <c r="O864" s="144">
        <f>SUM(M864*N864)</f>
        <v>134.9563</v>
      </c>
      <c r="P864" s="48"/>
      <c r="Q864" s="48"/>
      <c r="R864" s="78">
        <f t="shared" si="494"/>
        <v>63.2769541778976</v>
      </c>
      <c r="S864" s="78"/>
      <c r="T864" s="79">
        <f t="shared" si="495"/>
        <v>0.131401617250674</v>
      </c>
      <c r="U864" s="78"/>
      <c r="V864" s="78"/>
      <c r="W864" s="80">
        <f t="shared" si="490"/>
        <v>63.4083557951483</v>
      </c>
      <c r="X864" s="81">
        <f t="shared" si="496"/>
        <v>1.50935983827493</v>
      </c>
      <c r="Y864" s="81"/>
      <c r="Z864" s="81"/>
      <c r="AA864" s="110">
        <f t="shared" si="491"/>
        <v>1.50935983827493</v>
      </c>
      <c r="AB864" s="90">
        <v>7.19</v>
      </c>
      <c r="AC864" s="78">
        <f t="shared" si="492"/>
        <v>10.8522972371968</v>
      </c>
      <c r="AD864" s="78">
        <f t="shared" si="493"/>
        <v>74.260653032345</v>
      </c>
      <c r="AE864" s="78">
        <f t="shared" si="489"/>
        <v>60.695646967655</v>
      </c>
    </row>
    <row r="865" customFormat="1" spans="1:31">
      <c r="A865" s="18"/>
      <c r="B865" s="19"/>
      <c r="C865" s="20">
        <v>240325000008</v>
      </c>
      <c r="D865" s="21">
        <v>45381</v>
      </c>
      <c r="E865" s="21" t="s">
        <v>44</v>
      </c>
      <c r="F865" s="19" t="s">
        <v>45</v>
      </c>
      <c r="G865" s="19" t="s">
        <v>549</v>
      </c>
      <c r="H865" s="19">
        <v>0.88</v>
      </c>
      <c r="I865" s="41">
        <v>100</v>
      </c>
      <c r="J865" s="139"/>
      <c r="K865" s="140"/>
      <c r="L865" s="139"/>
      <c r="M865" s="44"/>
      <c r="N865" s="45"/>
      <c r="O865" s="46">
        <f t="shared" ref="O865:O869" si="497">SUM(I865)</f>
        <v>100</v>
      </c>
      <c r="P865" s="48"/>
      <c r="Q865" s="48"/>
      <c r="R865" s="78">
        <f t="shared" si="494"/>
        <v>37.1224797843666</v>
      </c>
      <c r="S865" s="78"/>
      <c r="T865" s="79">
        <f t="shared" si="495"/>
        <v>0.077088948787062</v>
      </c>
      <c r="U865" s="78"/>
      <c r="V865" s="78"/>
      <c r="W865" s="80">
        <f t="shared" si="490"/>
        <v>37.1995687331536</v>
      </c>
      <c r="X865" s="81">
        <f t="shared" si="496"/>
        <v>0.885491105121294</v>
      </c>
      <c r="Y865" s="81"/>
      <c r="Z865" s="81"/>
      <c r="AA865" s="110">
        <f t="shared" si="491"/>
        <v>0.885491105121294</v>
      </c>
      <c r="AB865" s="90">
        <v>7.19</v>
      </c>
      <c r="AC865" s="78">
        <f t="shared" si="492"/>
        <v>6.3666810458221</v>
      </c>
      <c r="AD865" s="78">
        <f t="shared" si="493"/>
        <v>43.5662497789757</v>
      </c>
      <c r="AE865" s="78">
        <f t="shared" si="489"/>
        <v>56.4337502210243</v>
      </c>
    </row>
    <row r="866" customFormat="1" spans="1:31">
      <c r="A866" s="18"/>
      <c r="B866" s="19"/>
      <c r="C866" s="20">
        <v>240325000009</v>
      </c>
      <c r="D866" s="21">
        <v>45381</v>
      </c>
      <c r="E866" s="21" t="s">
        <v>44</v>
      </c>
      <c r="F866" s="19" t="s">
        <v>45</v>
      </c>
      <c r="G866" s="19" t="s">
        <v>531</v>
      </c>
      <c r="H866" s="19">
        <v>6</v>
      </c>
      <c r="I866" s="49"/>
      <c r="J866" s="137">
        <v>69833</v>
      </c>
      <c r="K866" s="138"/>
      <c r="L866" s="50">
        <f>SUM(J866/M866)</f>
        <v>1315.86583757302</v>
      </c>
      <c r="M866" s="52">
        <v>53.07</v>
      </c>
      <c r="N866" s="45">
        <v>7.19</v>
      </c>
      <c r="O866" s="144">
        <f>SUM(M866*N866)</f>
        <v>381.5733</v>
      </c>
      <c r="P866" s="48"/>
      <c r="Q866" s="48"/>
      <c r="R866" s="78">
        <f t="shared" si="494"/>
        <v>253.10781671159</v>
      </c>
      <c r="S866" s="78"/>
      <c r="T866" s="79">
        <f t="shared" si="495"/>
        <v>0.525606469002695</v>
      </c>
      <c r="U866" s="78"/>
      <c r="V866" s="78"/>
      <c r="W866" s="80">
        <f t="shared" si="490"/>
        <v>253.633423180593</v>
      </c>
      <c r="X866" s="81">
        <f t="shared" si="496"/>
        <v>6.03743935309973</v>
      </c>
      <c r="Y866" s="81"/>
      <c r="Z866" s="81"/>
      <c r="AA866" s="110">
        <f t="shared" si="491"/>
        <v>6.03743935309973</v>
      </c>
      <c r="AB866" s="90">
        <v>7.19</v>
      </c>
      <c r="AC866" s="78">
        <f t="shared" si="492"/>
        <v>43.4091889487871</v>
      </c>
      <c r="AD866" s="78">
        <f t="shared" si="493"/>
        <v>297.04261212938</v>
      </c>
      <c r="AE866" s="78">
        <f t="shared" si="489"/>
        <v>84.5306878706199</v>
      </c>
    </row>
    <row r="867" customFormat="1" spans="1:31">
      <c r="A867" s="18"/>
      <c r="B867" s="19"/>
      <c r="C867" s="20">
        <v>240325000017</v>
      </c>
      <c r="D867" s="21">
        <v>45381</v>
      </c>
      <c r="E867" s="21" t="s">
        <v>44</v>
      </c>
      <c r="F867" s="19" t="s">
        <v>45</v>
      </c>
      <c r="G867" s="19" t="s">
        <v>274</v>
      </c>
      <c r="H867" s="19">
        <v>7.5</v>
      </c>
      <c r="I867" s="41">
        <v>529.2</v>
      </c>
      <c r="J867" s="139"/>
      <c r="K867" s="140"/>
      <c r="L867" s="139"/>
      <c r="M867" s="44"/>
      <c r="N867" s="45"/>
      <c r="O867" s="46">
        <f t="shared" si="497"/>
        <v>529.2</v>
      </c>
      <c r="P867" s="48"/>
      <c r="Q867" s="48"/>
      <c r="R867" s="78">
        <f t="shared" si="494"/>
        <v>316.384770889488</v>
      </c>
      <c r="S867" s="78"/>
      <c r="T867" s="79">
        <f t="shared" si="495"/>
        <v>0.657008086253369</v>
      </c>
      <c r="U867" s="78"/>
      <c r="V867" s="78"/>
      <c r="W867" s="80">
        <f t="shared" si="490"/>
        <v>317.041778975741</v>
      </c>
      <c r="X867" s="81">
        <f t="shared" si="496"/>
        <v>7.54679919137466</v>
      </c>
      <c r="Y867" s="81"/>
      <c r="Z867" s="81"/>
      <c r="AA867" s="110">
        <f t="shared" si="491"/>
        <v>7.54679919137466</v>
      </c>
      <c r="AB867" s="90">
        <v>7.19</v>
      </c>
      <c r="AC867" s="78">
        <f t="shared" si="492"/>
        <v>54.2614861859838</v>
      </c>
      <c r="AD867" s="78">
        <f t="shared" si="493"/>
        <v>371.303265161725</v>
      </c>
      <c r="AE867" s="78">
        <f t="shared" si="489"/>
        <v>157.896734838275</v>
      </c>
    </row>
    <row r="868" customFormat="1" spans="1:31">
      <c r="A868" s="18"/>
      <c r="B868" s="19"/>
      <c r="C868" s="20">
        <v>240325000019</v>
      </c>
      <c r="D868" s="21">
        <v>45381</v>
      </c>
      <c r="E868" s="21" t="s">
        <v>44</v>
      </c>
      <c r="F868" s="19" t="s">
        <v>45</v>
      </c>
      <c r="G868" s="19" t="s">
        <v>550</v>
      </c>
      <c r="H868" s="19">
        <v>10.5</v>
      </c>
      <c r="I868" s="41">
        <v>615.55</v>
      </c>
      <c r="J868" s="139"/>
      <c r="K868" s="140"/>
      <c r="L868" s="139"/>
      <c r="M868" s="44"/>
      <c r="N868" s="45"/>
      <c r="O868" s="46">
        <f t="shared" si="497"/>
        <v>615.55</v>
      </c>
      <c r="P868" s="48"/>
      <c r="Q868" s="48"/>
      <c r="R868" s="78">
        <f t="shared" si="494"/>
        <v>442.938679245283</v>
      </c>
      <c r="S868" s="78"/>
      <c r="T868" s="79">
        <f t="shared" si="495"/>
        <v>0.919811320754717</v>
      </c>
      <c r="U868" s="78"/>
      <c r="V868" s="78"/>
      <c r="W868" s="80">
        <f t="shared" si="490"/>
        <v>443.858490566038</v>
      </c>
      <c r="X868" s="81">
        <f t="shared" si="496"/>
        <v>10.5655188679245</v>
      </c>
      <c r="Y868" s="81"/>
      <c r="Z868" s="81"/>
      <c r="AA868" s="110">
        <f t="shared" si="491"/>
        <v>10.5655188679245</v>
      </c>
      <c r="AB868" s="90">
        <v>7.19</v>
      </c>
      <c r="AC868" s="78">
        <f t="shared" si="492"/>
        <v>75.9660806603774</v>
      </c>
      <c r="AD868" s="78">
        <f t="shared" si="493"/>
        <v>519.824571226415</v>
      </c>
      <c r="AE868" s="78">
        <f t="shared" si="489"/>
        <v>95.7254287735848</v>
      </c>
    </row>
    <row r="869" customFormat="1" spans="1:31">
      <c r="A869" s="18"/>
      <c r="B869" s="19"/>
      <c r="C869" s="20">
        <v>240325000020</v>
      </c>
      <c r="D869" s="21">
        <v>45381</v>
      </c>
      <c r="E869" s="21" t="s">
        <v>44</v>
      </c>
      <c r="F869" s="19" t="s">
        <v>45</v>
      </c>
      <c r="G869" s="19" t="s">
        <v>551</v>
      </c>
      <c r="H869" s="19">
        <v>13</v>
      </c>
      <c r="I869" s="41">
        <v>750.2</v>
      </c>
      <c r="J869" s="139"/>
      <c r="K869" s="140"/>
      <c r="L869" s="139"/>
      <c r="M869" s="44"/>
      <c r="N869" s="45"/>
      <c r="O869" s="46">
        <f t="shared" si="497"/>
        <v>750.2</v>
      </c>
      <c r="P869" s="48"/>
      <c r="Q869" s="48"/>
      <c r="R869" s="78">
        <f t="shared" si="494"/>
        <v>548.400269541779</v>
      </c>
      <c r="S869" s="78"/>
      <c r="T869" s="79">
        <f t="shared" si="495"/>
        <v>1.13881401617251</v>
      </c>
      <c r="U869" s="78"/>
      <c r="V869" s="78"/>
      <c r="W869" s="80">
        <f t="shared" si="490"/>
        <v>549.539083557952</v>
      </c>
      <c r="X869" s="81">
        <f t="shared" si="496"/>
        <v>13.0811185983827</v>
      </c>
      <c r="Y869" s="81"/>
      <c r="Z869" s="81"/>
      <c r="AA869" s="110">
        <f t="shared" si="491"/>
        <v>13.0811185983827</v>
      </c>
      <c r="AB869" s="90">
        <v>7.19</v>
      </c>
      <c r="AC869" s="78">
        <f t="shared" si="492"/>
        <v>94.053242722372</v>
      </c>
      <c r="AD869" s="78">
        <f t="shared" si="493"/>
        <v>643.592326280324</v>
      </c>
      <c r="AE869" s="78">
        <f t="shared" si="489"/>
        <v>106.607673719677</v>
      </c>
    </row>
    <row r="870" customFormat="1" spans="1:31">
      <c r="A870" s="18"/>
      <c r="B870" s="19"/>
      <c r="C870" s="20">
        <v>240326000001</v>
      </c>
      <c r="D870" s="21">
        <v>45381</v>
      </c>
      <c r="E870" s="21" t="s">
        <v>85</v>
      </c>
      <c r="F870" s="19" t="s">
        <v>165</v>
      </c>
      <c r="G870" s="19" t="s">
        <v>489</v>
      </c>
      <c r="H870" s="19">
        <v>1.5</v>
      </c>
      <c r="I870" s="46"/>
      <c r="J870" s="137">
        <v>17847</v>
      </c>
      <c r="K870" s="138"/>
      <c r="L870" s="50">
        <f>SUM(J870/M870)</f>
        <v>1350.00010211801</v>
      </c>
      <c r="M870" s="52">
        <v>13.219999</v>
      </c>
      <c r="N870" s="45">
        <v>7.19</v>
      </c>
      <c r="O870" s="46">
        <f>SUM(M870*N870)</f>
        <v>95.05179281</v>
      </c>
      <c r="P870" s="48"/>
      <c r="Q870" s="48"/>
      <c r="R870" s="78">
        <f t="shared" si="494"/>
        <v>63.2769541778976</v>
      </c>
      <c r="S870" s="78"/>
      <c r="T870" s="79">
        <f t="shared" si="495"/>
        <v>0.131401617250674</v>
      </c>
      <c r="U870" s="78"/>
      <c r="V870" s="78"/>
      <c r="W870" s="80">
        <f t="shared" si="490"/>
        <v>63.4083557951483</v>
      </c>
      <c r="X870" s="81">
        <f t="shared" si="496"/>
        <v>1.50935983827493</v>
      </c>
      <c r="Y870" s="81"/>
      <c r="Z870" s="81"/>
      <c r="AA870" s="110">
        <f t="shared" si="491"/>
        <v>1.50935983827493</v>
      </c>
      <c r="AB870" s="90">
        <v>7.19</v>
      </c>
      <c r="AC870" s="78">
        <f t="shared" si="492"/>
        <v>10.8522972371968</v>
      </c>
      <c r="AD870" s="78">
        <f t="shared" si="493"/>
        <v>74.260653032345</v>
      </c>
      <c r="AE870" s="78">
        <f t="shared" si="489"/>
        <v>20.791139777655</v>
      </c>
    </row>
    <row r="871" customFormat="1" spans="1:31">
      <c r="A871" s="18"/>
      <c r="B871" s="19"/>
      <c r="C871" s="20">
        <v>240326000014</v>
      </c>
      <c r="D871" s="21">
        <v>45381</v>
      </c>
      <c r="E871" s="21" t="s">
        <v>70</v>
      </c>
      <c r="F871" s="19" t="s">
        <v>70</v>
      </c>
      <c r="G871" s="19" t="s">
        <v>71</v>
      </c>
      <c r="H871" s="19">
        <v>331.5</v>
      </c>
      <c r="I871" s="41">
        <v>16832</v>
      </c>
      <c r="J871" s="139"/>
      <c r="K871" s="140"/>
      <c r="L871" s="139"/>
      <c r="M871" s="44"/>
      <c r="N871" s="45"/>
      <c r="O871" s="46">
        <f t="shared" ref="O871:O875" si="498">SUM(I871)</f>
        <v>16832</v>
      </c>
      <c r="P871" s="48"/>
      <c r="Q871" s="48"/>
      <c r="R871" s="78">
        <f t="shared" si="494"/>
        <v>13984.2068733154</v>
      </c>
      <c r="S871" s="78"/>
      <c r="T871" s="79">
        <f t="shared" si="495"/>
        <v>29.0397574123989</v>
      </c>
      <c r="U871" s="78"/>
      <c r="V871" s="78"/>
      <c r="W871" s="80">
        <f t="shared" si="490"/>
        <v>14013.2466307278</v>
      </c>
      <c r="X871" s="81">
        <f t="shared" si="496"/>
        <v>333.56852425876</v>
      </c>
      <c r="Y871" s="81"/>
      <c r="Z871" s="81"/>
      <c r="AA871" s="110">
        <f t="shared" si="491"/>
        <v>333.56852425876</v>
      </c>
      <c r="AB871" s="90">
        <v>7.19</v>
      </c>
      <c r="AC871" s="78">
        <f t="shared" si="492"/>
        <v>2398.35768942049</v>
      </c>
      <c r="AD871" s="78">
        <f t="shared" si="493"/>
        <v>16411.6043201482</v>
      </c>
      <c r="AE871" s="78">
        <f t="shared" ref="AE871:AE886" si="499">SUM(O871-AD871)</f>
        <v>420.39567985175</v>
      </c>
    </row>
    <row r="872" customFormat="1" spans="1:31">
      <c r="A872" s="18"/>
      <c r="B872" s="19"/>
      <c r="C872" s="20">
        <v>240326000019</v>
      </c>
      <c r="D872" s="21">
        <v>45381</v>
      </c>
      <c r="E872" s="21" t="s">
        <v>37</v>
      </c>
      <c r="F872" s="19" t="s">
        <v>38</v>
      </c>
      <c r="G872" s="19" t="s">
        <v>424</v>
      </c>
      <c r="H872" s="19">
        <v>12.5</v>
      </c>
      <c r="I872" s="41">
        <v>607.95</v>
      </c>
      <c r="J872" s="139"/>
      <c r="K872" s="140"/>
      <c r="L872" s="139"/>
      <c r="M872" s="44"/>
      <c r="N872" s="45"/>
      <c r="O872" s="46">
        <f t="shared" si="498"/>
        <v>607.95</v>
      </c>
      <c r="P872" s="48"/>
      <c r="Q872" s="48"/>
      <c r="R872" s="78">
        <f t="shared" si="494"/>
        <v>527.30795148248</v>
      </c>
      <c r="S872" s="78"/>
      <c r="T872" s="79">
        <f t="shared" si="495"/>
        <v>1.09501347708895</v>
      </c>
      <c r="U872" s="78"/>
      <c r="V872" s="78"/>
      <c r="W872" s="80">
        <f t="shared" si="490"/>
        <v>528.402964959569</v>
      </c>
      <c r="X872" s="81">
        <f t="shared" si="496"/>
        <v>12.5779986522911</v>
      </c>
      <c r="Y872" s="81"/>
      <c r="Z872" s="81"/>
      <c r="AA872" s="110">
        <f t="shared" si="491"/>
        <v>12.5779986522911</v>
      </c>
      <c r="AB872" s="90">
        <v>7.19</v>
      </c>
      <c r="AC872" s="78">
        <f t="shared" si="492"/>
        <v>90.435810309973</v>
      </c>
      <c r="AD872" s="78">
        <f t="shared" si="493"/>
        <v>618.838775269542</v>
      </c>
      <c r="AE872" s="78">
        <f t="shared" si="499"/>
        <v>-10.8887752695417</v>
      </c>
    </row>
    <row r="873" customFormat="1" spans="1:31">
      <c r="A873" s="18"/>
      <c r="B873" s="19"/>
      <c r="C873" s="20">
        <v>240326000021</v>
      </c>
      <c r="D873" s="21">
        <v>45381</v>
      </c>
      <c r="E873" s="21" t="s">
        <v>41</v>
      </c>
      <c r="F873" s="19" t="s">
        <v>42</v>
      </c>
      <c r="G873" s="19" t="s">
        <v>73</v>
      </c>
      <c r="H873" s="19">
        <v>8</v>
      </c>
      <c r="I873" s="41">
        <v>800</v>
      </c>
      <c r="J873" s="139"/>
      <c r="K873" s="140"/>
      <c r="L873" s="139"/>
      <c r="M873" s="44"/>
      <c r="N873" s="45"/>
      <c r="O873" s="46">
        <f t="shared" si="498"/>
        <v>800</v>
      </c>
      <c r="P873" s="48"/>
      <c r="Q873" s="48"/>
      <c r="R873" s="78">
        <f t="shared" si="494"/>
        <v>337.477088948787</v>
      </c>
      <c r="S873" s="78"/>
      <c r="T873" s="79">
        <f t="shared" si="495"/>
        <v>0.700808625336927</v>
      </c>
      <c r="U873" s="78"/>
      <c r="V873" s="78"/>
      <c r="W873" s="80">
        <f t="shared" si="490"/>
        <v>338.177897574124</v>
      </c>
      <c r="X873" s="81">
        <f t="shared" si="496"/>
        <v>8.04991913746631</v>
      </c>
      <c r="Y873" s="81"/>
      <c r="Z873" s="81"/>
      <c r="AA873" s="110">
        <f t="shared" ref="AA873:AA886" si="500">SUM(X873:Z873)</f>
        <v>8.04991913746631</v>
      </c>
      <c r="AB873" s="90">
        <v>7.19</v>
      </c>
      <c r="AC873" s="78">
        <f t="shared" si="492"/>
        <v>57.8789185983828</v>
      </c>
      <c r="AD873" s="78">
        <f t="shared" ref="AD873:AD886" si="501">SUM(W873+AC873)</f>
        <v>396.056816172507</v>
      </c>
      <c r="AE873" s="78">
        <f t="shared" si="499"/>
        <v>403.943183827493</v>
      </c>
    </row>
    <row r="874" customFormat="1" spans="1:31">
      <c r="A874" s="18"/>
      <c r="B874" s="19"/>
      <c r="C874" s="20">
        <v>240327000014</v>
      </c>
      <c r="D874" s="21">
        <v>45381</v>
      </c>
      <c r="E874" s="21" t="s">
        <v>70</v>
      </c>
      <c r="F874" s="19" t="s">
        <v>70</v>
      </c>
      <c r="G874" s="19" t="s">
        <v>74</v>
      </c>
      <c r="H874" s="19">
        <v>964.5</v>
      </c>
      <c r="I874" s="49">
        <v>44367</v>
      </c>
      <c r="J874" s="139"/>
      <c r="K874" s="140"/>
      <c r="L874" s="139"/>
      <c r="M874" s="44"/>
      <c r="N874" s="45"/>
      <c r="O874" s="46">
        <f t="shared" si="498"/>
        <v>44367</v>
      </c>
      <c r="P874" s="58"/>
      <c r="Q874" s="58"/>
      <c r="R874" s="78">
        <f t="shared" si="494"/>
        <v>40687.0815363881</v>
      </c>
      <c r="S874" s="78"/>
      <c r="T874" s="79">
        <f t="shared" si="495"/>
        <v>84.4912398921833</v>
      </c>
      <c r="U874" s="78"/>
      <c r="V874" s="78"/>
      <c r="W874" s="80">
        <f t="shared" ref="W874:W886" si="502">SUM(R874:V874)</f>
        <v>40771.5727762803</v>
      </c>
      <c r="X874" s="81">
        <f t="shared" si="496"/>
        <v>970.518376010782</v>
      </c>
      <c r="Y874" s="81"/>
      <c r="Z874" s="81"/>
      <c r="AA874" s="110">
        <f t="shared" si="500"/>
        <v>970.518376010782</v>
      </c>
      <c r="AB874" s="90">
        <v>7.19</v>
      </c>
      <c r="AC874" s="78">
        <f t="shared" ref="AC874:AC886" si="503">SUM(AA874*AB874)</f>
        <v>6978.02712351752</v>
      </c>
      <c r="AD874" s="78">
        <f t="shared" si="501"/>
        <v>47749.5998997978</v>
      </c>
      <c r="AE874" s="78">
        <f t="shared" si="499"/>
        <v>-3382.59989979785</v>
      </c>
    </row>
    <row r="875" customFormat="1" spans="1:31">
      <c r="A875" s="18" t="s">
        <v>552</v>
      </c>
      <c r="B875" s="19" t="s">
        <v>553</v>
      </c>
      <c r="C875" s="20">
        <v>240325000040</v>
      </c>
      <c r="D875" s="21">
        <v>45382</v>
      </c>
      <c r="E875" s="21" t="s">
        <v>47</v>
      </c>
      <c r="F875" s="19" t="s">
        <v>48</v>
      </c>
      <c r="G875" s="19" t="s">
        <v>137</v>
      </c>
      <c r="H875" s="19">
        <v>0.53</v>
      </c>
      <c r="I875" s="41">
        <v>115</v>
      </c>
      <c r="J875" s="139"/>
      <c r="K875" s="140"/>
      <c r="L875" s="139"/>
      <c r="M875" s="44"/>
      <c r="N875" s="45"/>
      <c r="O875" s="46">
        <f t="shared" si="498"/>
        <v>115</v>
      </c>
      <c r="P875" s="47">
        <f>SUM(O875:O886)</f>
        <v>8086.4427</v>
      </c>
      <c r="Q875" s="47" t="s">
        <v>78</v>
      </c>
      <c r="R875" s="78">
        <f>SUM(3800/64)*H875</f>
        <v>31.46875</v>
      </c>
      <c r="S875" s="78"/>
      <c r="T875" s="79">
        <f>SUM(147.02/64)*H875</f>
        <v>1.217509375</v>
      </c>
      <c r="U875" s="78"/>
      <c r="V875" s="78"/>
      <c r="W875" s="80">
        <f t="shared" si="502"/>
        <v>32.686259375</v>
      </c>
      <c r="X875" s="81">
        <f>SUM(79.73/64)*H875</f>
        <v>0.6602640625</v>
      </c>
      <c r="Y875" s="81"/>
      <c r="Z875" s="81"/>
      <c r="AA875" s="110">
        <f t="shared" si="500"/>
        <v>0.6602640625</v>
      </c>
      <c r="AB875" s="90">
        <v>7.19</v>
      </c>
      <c r="AC875" s="78">
        <f t="shared" si="503"/>
        <v>4.747298609375</v>
      </c>
      <c r="AD875" s="78">
        <f t="shared" si="501"/>
        <v>37.433557984375</v>
      </c>
      <c r="AE875" s="78">
        <f t="shared" si="499"/>
        <v>77.566442015625</v>
      </c>
    </row>
    <row r="876" customFormat="1" spans="1:31">
      <c r="A876" s="18"/>
      <c r="B876" s="19"/>
      <c r="C876" s="20">
        <v>240326000007</v>
      </c>
      <c r="D876" s="21">
        <v>45382</v>
      </c>
      <c r="E876" s="21" t="s">
        <v>44</v>
      </c>
      <c r="F876" s="19" t="s">
        <v>45</v>
      </c>
      <c r="G876" s="19" t="s">
        <v>554</v>
      </c>
      <c r="H876" s="19">
        <v>6</v>
      </c>
      <c r="I876" s="49"/>
      <c r="J876" s="137">
        <v>120780</v>
      </c>
      <c r="K876" s="138"/>
      <c r="L876" s="50">
        <f t="shared" ref="L876:L881" si="504">SUM(J876/M876)</f>
        <v>1315.82961106874</v>
      </c>
      <c r="M876" s="52">
        <v>91.79</v>
      </c>
      <c r="N876" s="45">
        <v>7.19</v>
      </c>
      <c r="O876" s="46">
        <f t="shared" ref="O876:O881" si="505">SUM(M876*N876)</f>
        <v>659.9701</v>
      </c>
      <c r="P876" s="48"/>
      <c r="Q876" s="48"/>
      <c r="R876" s="78">
        <f t="shared" ref="R876:R886" si="506">SUM(3800/64)*H876</f>
        <v>356.25</v>
      </c>
      <c r="S876" s="78"/>
      <c r="T876" s="79">
        <f t="shared" ref="T876:T886" si="507">SUM(147.02/64)*H876</f>
        <v>13.783125</v>
      </c>
      <c r="U876" s="78"/>
      <c r="V876" s="78"/>
      <c r="W876" s="80">
        <f t="shared" si="502"/>
        <v>370.033125</v>
      </c>
      <c r="X876" s="81">
        <f t="shared" ref="X876:X886" si="508">SUM(79.73/64)*H876</f>
        <v>7.4746875</v>
      </c>
      <c r="Y876" s="81"/>
      <c r="Z876" s="81"/>
      <c r="AA876" s="110">
        <f t="shared" si="500"/>
        <v>7.4746875</v>
      </c>
      <c r="AB876" s="90">
        <v>7.19</v>
      </c>
      <c r="AC876" s="78">
        <f t="shared" si="503"/>
        <v>53.743003125</v>
      </c>
      <c r="AD876" s="78">
        <f t="shared" si="501"/>
        <v>423.776128125</v>
      </c>
      <c r="AE876" s="78">
        <f t="shared" si="499"/>
        <v>236.193971875</v>
      </c>
    </row>
    <row r="877" customFormat="1" spans="1:31">
      <c r="A877" s="18"/>
      <c r="B877" s="19"/>
      <c r="C877" s="20">
        <v>240326000023</v>
      </c>
      <c r="D877" s="21">
        <v>45382</v>
      </c>
      <c r="E877" s="21" t="s">
        <v>70</v>
      </c>
      <c r="F877" s="19" t="s">
        <v>70</v>
      </c>
      <c r="G877" s="19" t="s">
        <v>87</v>
      </c>
      <c r="H877" s="19">
        <v>22</v>
      </c>
      <c r="I877" s="46"/>
      <c r="J877" s="137">
        <v>474390</v>
      </c>
      <c r="K877" s="138"/>
      <c r="L877" s="50">
        <f t="shared" si="504"/>
        <v>1350</v>
      </c>
      <c r="M877" s="52">
        <v>351.4</v>
      </c>
      <c r="N877" s="45">
        <v>7.19</v>
      </c>
      <c r="O877" s="46">
        <f t="shared" si="505"/>
        <v>2526.566</v>
      </c>
      <c r="P877" s="48"/>
      <c r="Q877" s="48"/>
      <c r="R877" s="78">
        <f t="shared" si="506"/>
        <v>1306.25</v>
      </c>
      <c r="S877" s="78"/>
      <c r="T877" s="79">
        <f t="shared" si="507"/>
        <v>50.538125</v>
      </c>
      <c r="U877" s="78"/>
      <c r="V877" s="78"/>
      <c r="W877" s="80">
        <f t="shared" si="502"/>
        <v>1356.788125</v>
      </c>
      <c r="X877" s="81">
        <f t="shared" si="508"/>
        <v>27.4071875</v>
      </c>
      <c r="Y877" s="81"/>
      <c r="Z877" s="81"/>
      <c r="AA877" s="110">
        <f t="shared" si="500"/>
        <v>27.4071875</v>
      </c>
      <c r="AB877" s="90">
        <v>7.19</v>
      </c>
      <c r="AC877" s="78">
        <f t="shared" si="503"/>
        <v>197.057678125</v>
      </c>
      <c r="AD877" s="78">
        <f t="shared" si="501"/>
        <v>1553.845803125</v>
      </c>
      <c r="AE877" s="78">
        <f t="shared" si="499"/>
        <v>972.720196875</v>
      </c>
    </row>
    <row r="878" customFormat="1" spans="1:31">
      <c r="A878" s="18"/>
      <c r="B878" s="19"/>
      <c r="C878" s="20">
        <v>240327000036</v>
      </c>
      <c r="D878" s="21">
        <v>45382</v>
      </c>
      <c r="E878" s="21" t="s">
        <v>70</v>
      </c>
      <c r="F878" s="19" t="s">
        <v>182</v>
      </c>
      <c r="G878" s="19" t="s">
        <v>183</v>
      </c>
      <c r="H878" s="19">
        <v>5</v>
      </c>
      <c r="I878" s="41">
        <v>600</v>
      </c>
      <c r="J878" s="139"/>
      <c r="K878" s="140"/>
      <c r="L878" s="139"/>
      <c r="M878" s="44"/>
      <c r="N878" s="45"/>
      <c r="O878" s="46">
        <f t="shared" ref="O878:O880" si="509">SUM(I878)</f>
        <v>600</v>
      </c>
      <c r="P878" s="48"/>
      <c r="Q878" s="48"/>
      <c r="R878" s="78">
        <f t="shared" si="506"/>
        <v>296.875</v>
      </c>
      <c r="S878" s="78"/>
      <c r="T878" s="79">
        <f t="shared" si="507"/>
        <v>11.4859375</v>
      </c>
      <c r="U878" s="78"/>
      <c r="V878" s="78"/>
      <c r="W878" s="80">
        <f t="shared" si="502"/>
        <v>308.3609375</v>
      </c>
      <c r="X878" s="81">
        <f t="shared" si="508"/>
        <v>6.22890625</v>
      </c>
      <c r="Y878" s="81"/>
      <c r="Z878" s="81"/>
      <c r="AA878" s="110">
        <f t="shared" si="500"/>
        <v>6.22890625</v>
      </c>
      <c r="AB878" s="90">
        <v>7.19</v>
      </c>
      <c r="AC878" s="78">
        <f t="shared" si="503"/>
        <v>44.7858359375</v>
      </c>
      <c r="AD878" s="78">
        <f t="shared" si="501"/>
        <v>353.1467734375</v>
      </c>
      <c r="AE878" s="78">
        <f t="shared" si="499"/>
        <v>246.8532265625</v>
      </c>
    </row>
    <row r="879" customFormat="1" spans="1:31">
      <c r="A879" s="18"/>
      <c r="B879" s="19"/>
      <c r="C879" s="20">
        <v>240328000008</v>
      </c>
      <c r="D879" s="21">
        <v>45382</v>
      </c>
      <c r="E879" s="21" t="s">
        <v>41</v>
      </c>
      <c r="F879" s="19" t="s">
        <v>42</v>
      </c>
      <c r="G879" s="19" t="s">
        <v>555</v>
      </c>
      <c r="H879" s="19">
        <v>3</v>
      </c>
      <c r="I879" s="41">
        <v>360</v>
      </c>
      <c r="J879" s="139"/>
      <c r="K879" s="140"/>
      <c r="L879" s="139"/>
      <c r="M879" s="44"/>
      <c r="N879" s="45"/>
      <c r="O879" s="46">
        <f t="shared" si="509"/>
        <v>360</v>
      </c>
      <c r="P879" s="48"/>
      <c r="Q879" s="48"/>
      <c r="R879" s="78">
        <f t="shared" si="506"/>
        <v>178.125</v>
      </c>
      <c r="S879" s="78"/>
      <c r="T879" s="79">
        <f t="shared" si="507"/>
        <v>6.8915625</v>
      </c>
      <c r="U879" s="78"/>
      <c r="V879" s="78"/>
      <c r="W879" s="80">
        <f t="shared" si="502"/>
        <v>185.0165625</v>
      </c>
      <c r="X879" s="81">
        <f t="shared" si="508"/>
        <v>3.73734375</v>
      </c>
      <c r="Y879" s="81"/>
      <c r="Z879" s="81"/>
      <c r="AA879" s="110">
        <f t="shared" si="500"/>
        <v>3.73734375</v>
      </c>
      <c r="AB879" s="90">
        <v>7.19</v>
      </c>
      <c r="AC879" s="78">
        <f t="shared" si="503"/>
        <v>26.8715015625</v>
      </c>
      <c r="AD879" s="78">
        <f t="shared" si="501"/>
        <v>211.8880640625</v>
      </c>
      <c r="AE879" s="78">
        <f t="shared" si="499"/>
        <v>148.1119359375</v>
      </c>
    </row>
    <row r="880" customFormat="1" spans="1:31">
      <c r="A880" s="18"/>
      <c r="B880" s="19"/>
      <c r="C880" s="20">
        <v>240328000013</v>
      </c>
      <c r="D880" s="21">
        <v>45382</v>
      </c>
      <c r="E880" s="21" t="s">
        <v>70</v>
      </c>
      <c r="F880" s="19" t="s">
        <v>70</v>
      </c>
      <c r="G880" s="19" t="s">
        <v>206</v>
      </c>
      <c r="H880" s="19">
        <v>18.5</v>
      </c>
      <c r="I880" s="41">
        <v>2220</v>
      </c>
      <c r="J880" s="139"/>
      <c r="K880" s="140"/>
      <c r="L880" s="139"/>
      <c r="M880" s="44"/>
      <c r="N880" s="45"/>
      <c r="O880" s="46">
        <f t="shared" si="509"/>
        <v>2220</v>
      </c>
      <c r="P880" s="48"/>
      <c r="Q880" s="48"/>
      <c r="R880" s="78">
        <f t="shared" si="506"/>
        <v>1098.4375</v>
      </c>
      <c r="S880" s="78"/>
      <c r="T880" s="79">
        <f t="shared" si="507"/>
        <v>42.49796875</v>
      </c>
      <c r="U880" s="78"/>
      <c r="V880" s="78"/>
      <c r="W880" s="80">
        <f t="shared" si="502"/>
        <v>1140.93546875</v>
      </c>
      <c r="X880" s="81">
        <f t="shared" si="508"/>
        <v>23.046953125</v>
      </c>
      <c r="Y880" s="81"/>
      <c r="Z880" s="81"/>
      <c r="AA880" s="110">
        <f t="shared" si="500"/>
        <v>23.046953125</v>
      </c>
      <c r="AB880" s="90">
        <v>7.19</v>
      </c>
      <c r="AC880" s="78">
        <f t="shared" si="503"/>
        <v>165.70759296875</v>
      </c>
      <c r="AD880" s="78">
        <f t="shared" si="501"/>
        <v>1306.64306171875</v>
      </c>
      <c r="AE880" s="78">
        <f t="shared" si="499"/>
        <v>913.35693828125</v>
      </c>
    </row>
    <row r="881" customFormat="1" spans="1:31">
      <c r="A881" s="18"/>
      <c r="B881" s="19"/>
      <c r="C881" s="20">
        <v>240328000017</v>
      </c>
      <c r="D881" s="21">
        <v>45382</v>
      </c>
      <c r="E881" s="21" t="s">
        <v>44</v>
      </c>
      <c r="F881" s="19" t="s">
        <v>45</v>
      </c>
      <c r="G881" s="19" t="s">
        <v>101</v>
      </c>
      <c r="H881" s="19">
        <v>2</v>
      </c>
      <c r="I881" s="46"/>
      <c r="J881" s="137">
        <v>54378</v>
      </c>
      <c r="K881" s="153"/>
      <c r="L881" s="50">
        <f t="shared" si="504"/>
        <v>1350</v>
      </c>
      <c r="M881" s="52">
        <v>40.28</v>
      </c>
      <c r="N881" s="45">
        <v>7.19</v>
      </c>
      <c r="O881" s="46">
        <f t="shared" si="505"/>
        <v>289.6132</v>
      </c>
      <c r="P881" s="48"/>
      <c r="Q881" s="48"/>
      <c r="R881" s="78">
        <f t="shared" si="506"/>
        <v>118.75</v>
      </c>
      <c r="S881" s="78"/>
      <c r="T881" s="79">
        <f t="shared" si="507"/>
        <v>4.594375</v>
      </c>
      <c r="U881" s="78"/>
      <c r="V881" s="78"/>
      <c r="W881" s="80">
        <f t="shared" si="502"/>
        <v>123.344375</v>
      </c>
      <c r="X881" s="81">
        <f t="shared" si="508"/>
        <v>2.4915625</v>
      </c>
      <c r="Y881" s="81"/>
      <c r="Z881" s="81"/>
      <c r="AA881" s="110">
        <f t="shared" si="500"/>
        <v>2.4915625</v>
      </c>
      <c r="AB881" s="90">
        <v>7.19</v>
      </c>
      <c r="AC881" s="78">
        <f t="shared" si="503"/>
        <v>17.914334375</v>
      </c>
      <c r="AD881" s="78">
        <f t="shared" si="501"/>
        <v>141.258709375</v>
      </c>
      <c r="AE881" s="78">
        <f t="shared" si="499"/>
        <v>148.354490625</v>
      </c>
    </row>
    <row r="882" customFormat="1" spans="1:31">
      <c r="A882" s="18"/>
      <c r="B882" s="19"/>
      <c r="C882" s="20">
        <v>240328000022</v>
      </c>
      <c r="D882" s="21">
        <v>45382</v>
      </c>
      <c r="E882" s="21" t="s">
        <v>37</v>
      </c>
      <c r="F882" s="19" t="s">
        <v>38</v>
      </c>
      <c r="G882" s="19" t="s">
        <v>556</v>
      </c>
      <c r="H882" s="19">
        <v>0.63</v>
      </c>
      <c r="I882" s="41">
        <v>90</v>
      </c>
      <c r="J882" s="139"/>
      <c r="K882" s="140"/>
      <c r="L882" s="139"/>
      <c r="M882" s="44"/>
      <c r="N882" s="45"/>
      <c r="O882" s="46">
        <f t="shared" ref="O882:O884" si="510">SUM(I882)</f>
        <v>90</v>
      </c>
      <c r="P882" s="48"/>
      <c r="Q882" s="48"/>
      <c r="R882" s="78">
        <f t="shared" si="506"/>
        <v>37.40625</v>
      </c>
      <c r="S882" s="78"/>
      <c r="T882" s="79">
        <f t="shared" si="507"/>
        <v>1.447228125</v>
      </c>
      <c r="U882" s="78"/>
      <c r="V882" s="78"/>
      <c r="W882" s="80">
        <f t="shared" si="502"/>
        <v>38.853478125</v>
      </c>
      <c r="X882" s="81">
        <f t="shared" si="508"/>
        <v>0.7848421875</v>
      </c>
      <c r="Y882" s="81"/>
      <c r="Z882" s="81"/>
      <c r="AA882" s="110">
        <f t="shared" si="500"/>
        <v>0.7848421875</v>
      </c>
      <c r="AB882" s="90">
        <v>7.19</v>
      </c>
      <c r="AC882" s="78">
        <f t="shared" si="503"/>
        <v>5.643015328125</v>
      </c>
      <c r="AD882" s="78">
        <f t="shared" si="501"/>
        <v>44.496493453125</v>
      </c>
      <c r="AE882" s="78">
        <f t="shared" si="499"/>
        <v>45.503506546875</v>
      </c>
    </row>
    <row r="883" customFormat="1" spans="1:31">
      <c r="A883" s="18"/>
      <c r="B883" s="19"/>
      <c r="C883" s="20">
        <v>240328000023</v>
      </c>
      <c r="D883" s="21">
        <v>45382</v>
      </c>
      <c r="E883" s="21" t="s">
        <v>37</v>
      </c>
      <c r="F883" s="19" t="s">
        <v>38</v>
      </c>
      <c r="G883" s="19" t="s">
        <v>556</v>
      </c>
      <c r="H883" s="19">
        <v>2</v>
      </c>
      <c r="I883" s="41">
        <v>300</v>
      </c>
      <c r="J883" s="139"/>
      <c r="K883" s="140"/>
      <c r="L883" s="139"/>
      <c r="M883" s="44"/>
      <c r="N883" s="45"/>
      <c r="O883" s="46">
        <f t="shared" si="510"/>
        <v>300</v>
      </c>
      <c r="P883" s="48"/>
      <c r="Q883" s="48"/>
      <c r="R883" s="78">
        <f t="shared" si="506"/>
        <v>118.75</v>
      </c>
      <c r="S883" s="78"/>
      <c r="T883" s="79">
        <f t="shared" si="507"/>
        <v>4.594375</v>
      </c>
      <c r="U883" s="78"/>
      <c r="V883" s="78"/>
      <c r="W883" s="80">
        <f t="shared" si="502"/>
        <v>123.344375</v>
      </c>
      <c r="X883" s="81">
        <f t="shared" si="508"/>
        <v>2.4915625</v>
      </c>
      <c r="Y883" s="81"/>
      <c r="Z883" s="81"/>
      <c r="AA883" s="110">
        <f t="shared" si="500"/>
        <v>2.4915625</v>
      </c>
      <c r="AB883" s="90">
        <v>7.19</v>
      </c>
      <c r="AC883" s="78">
        <f t="shared" si="503"/>
        <v>17.914334375</v>
      </c>
      <c r="AD883" s="78">
        <f t="shared" si="501"/>
        <v>141.258709375</v>
      </c>
      <c r="AE883" s="78">
        <f t="shared" si="499"/>
        <v>158.741290625</v>
      </c>
    </row>
    <row r="884" customFormat="1" spans="1:31">
      <c r="A884" s="18"/>
      <c r="B884" s="19"/>
      <c r="C884" s="20">
        <v>240328000024</v>
      </c>
      <c r="D884" s="21">
        <v>45382</v>
      </c>
      <c r="E884" s="21" t="s">
        <v>51</v>
      </c>
      <c r="F884" s="19" t="s">
        <v>52</v>
      </c>
      <c r="G884" s="19" t="s">
        <v>473</v>
      </c>
      <c r="H884" s="19">
        <v>3.5</v>
      </c>
      <c r="I884" s="41">
        <v>402.5</v>
      </c>
      <c r="J884" s="139"/>
      <c r="K884" s="140"/>
      <c r="L884" s="139"/>
      <c r="M884" s="44"/>
      <c r="N884" s="45"/>
      <c r="O884" s="46">
        <f t="shared" si="510"/>
        <v>402.5</v>
      </c>
      <c r="P884" s="48"/>
      <c r="Q884" s="48"/>
      <c r="R884" s="78">
        <f t="shared" si="506"/>
        <v>207.8125</v>
      </c>
      <c r="S884" s="78"/>
      <c r="T884" s="79">
        <f t="shared" si="507"/>
        <v>8.04015625</v>
      </c>
      <c r="U884" s="78"/>
      <c r="V884" s="78"/>
      <c r="W884" s="80">
        <f t="shared" si="502"/>
        <v>215.85265625</v>
      </c>
      <c r="X884" s="81">
        <f t="shared" si="508"/>
        <v>4.360234375</v>
      </c>
      <c r="Y884" s="81"/>
      <c r="Z884" s="81"/>
      <c r="AA884" s="110">
        <f t="shared" si="500"/>
        <v>4.360234375</v>
      </c>
      <c r="AB884" s="90">
        <v>7.19</v>
      </c>
      <c r="AC884" s="78">
        <f t="shared" si="503"/>
        <v>31.35008515625</v>
      </c>
      <c r="AD884" s="78">
        <f t="shared" si="501"/>
        <v>247.20274140625</v>
      </c>
      <c r="AE884" s="78">
        <f t="shared" si="499"/>
        <v>155.29725859375</v>
      </c>
    </row>
    <row r="885" customFormat="1" spans="1:31">
      <c r="A885" s="18"/>
      <c r="B885" s="19"/>
      <c r="C885" s="20">
        <v>240329000026</v>
      </c>
      <c r="D885" s="21">
        <v>45382</v>
      </c>
      <c r="E885" s="21" t="s">
        <v>37</v>
      </c>
      <c r="F885" s="19">
        <v>13635229849</v>
      </c>
      <c r="G885" s="19" t="s">
        <v>127</v>
      </c>
      <c r="H885" s="19">
        <v>0.92</v>
      </c>
      <c r="I885" s="46"/>
      <c r="J885" s="137">
        <v>26811</v>
      </c>
      <c r="K885" s="140"/>
      <c r="L885" s="50">
        <f>SUM(J885/M885)</f>
        <v>1350</v>
      </c>
      <c r="M885" s="52">
        <v>19.86</v>
      </c>
      <c r="N885" s="45">
        <v>7.19</v>
      </c>
      <c r="O885" s="46">
        <f>SUM(M885*N885)</f>
        <v>142.7934</v>
      </c>
      <c r="P885" s="48"/>
      <c r="Q885" s="48"/>
      <c r="R885" s="78">
        <f t="shared" si="506"/>
        <v>54.625</v>
      </c>
      <c r="S885" s="78"/>
      <c r="T885" s="79">
        <f t="shared" si="507"/>
        <v>2.1134125</v>
      </c>
      <c r="U885" s="78"/>
      <c r="V885" s="79">
        <v>23</v>
      </c>
      <c r="W885" s="80">
        <f t="shared" si="502"/>
        <v>79.7384125</v>
      </c>
      <c r="X885" s="81">
        <f t="shared" si="508"/>
        <v>1.14611875</v>
      </c>
      <c r="Y885" s="81"/>
      <c r="Z885" s="81"/>
      <c r="AA885" s="110">
        <f t="shared" si="500"/>
        <v>1.14611875</v>
      </c>
      <c r="AB885" s="90">
        <v>7.19</v>
      </c>
      <c r="AC885" s="78">
        <f t="shared" si="503"/>
        <v>8.2405938125</v>
      </c>
      <c r="AD885" s="78">
        <f t="shared" si="501"/>
        <v>87.9790063125</v>
      </c>
      <c r="AE885" s="78">
        <f t="shared" si="499"/>
        <v>54.8143936875</v>
      </c>
    </row>
    <row r="886" customFormat="1" spans="1:31">
      <c r="A886" s="18"/>
      <c r="B886" s="19"/>
      <c r="C886" s="20">
        <v>240329000027</v>
      </c>
      <c r="D886" s="21">
        <v>45382</v>
      </c>
      <c r="E886" s="21" t="s">
        <v>47</v>
      </c>
      <c r="F886" s="19" t="s">
        <v>48</v>
      </c>
      <c r="G886" s="19" t="s">
        <v>557</v>
      </c>
      <c r="H886" s="19">
        <v>2</v>
      </c>
      <c r="I886" s="41">
        <v>380</v>
      </c>
      <c r="J886" s="139"/>
      <c r="K886" s="140"/>
      <c r="L886" s="139"/>
      <c r="M886" s="44"/>
      <c r="N886" s="45"/>
      <c r="O886" s="46">
        <f>SUM(I886)</f>
        <v>380</v>
      </c>
      <c r="P886" s="58"/>
      <c r="Q886" s="58"/>
      <c r="R886" s="78">
        <f t="shared" si="506"/>
        <v>118.75</v>
      </c>
      <c r="S886" s="78"/>
      <c r="T886" s="79">
        <f t="shared" si="507"/>
        <v>4.594375</v>
      </c>
      <c r="U886" s="78"/>
      <c r="V886" s="78"/>
      <c r="W886" s="80">
        <f t="shared" si="502"/>
        <v>123.344375</v>
      </c>
      <c r="X886" s="81">
        <f t="shared" si="508"/>
        <v>2.4915625</v>
      </c>
      <c r="Y886" s="81"/>
      <c r="Z886" s="81"/>
      <c r="AA886" s="110">
        <f t="shared" si="500"/>
        <v>2.4915625</v>
      </c>
      <c r="AB886" s="90">
        <v>7.19</v>
      </c>
      <c r="AC886" s="78">
        <f t="shared" si="503"/>
        <v>17.914334375</v>
      </c>
      <c r="AD886" s="78">
        <f t="shared" si="501"/>
        <v>141.258709375</v>
      </c>
      <c r="AE886" s="78">
        <f t="shared" si="499"/>
        <v>238.741290625</v>
      </c>
    </row>
    <row r="887" spans="1:31">
      <c r="A887" s="151" t="s">
        <v>558</v>
      </c>
      <c r="B887" s="152"/>
      <c r="C887" s="152"/>
      <c r="D887" s="152"/>
      <c r="E887" s="152"/>
      <c r="F887" s="152"/>
      <c r="G887" s="152"/>
      <c r="H887" s="152"/>
      <c r="I887" s="152">
        <f>SUM(I3:I3)</f>
        <v>0</v>
      </c>
      <c r="J887" s="154"/>
      <c r="K887" s="152"/>
      <c r="L887" s="154"/>
      <c r="M887" s="152">
        <f>SUM(M3:M3)</f>
        <v>0</v>
      </c>
      <c r="N887" s="152"/>
      <c r="O887" s="152">
        <f>SUM(O3:O3)</f>
        <v>0</v>
      </c>
      <c r="P887" s="152">
        <f>SUM(P3:P3)</f>
        <v>0</v>
      </c>
      <c r="Q887" s="152"/>
      <c r="R887" s="152"/>
      <c r="S887" s="152"/>
      <c r="T887" s="152"/>
      <c r="U887" s="152"/>
      <c r="V887" s="152"/>
      <c r="W887" s="155">
        <f>SUM(W3:W3)</f>
        <v>0</v>
      </c>
      <c r="X887" s="156"/>
      <c r="Y887" s="156"/>
      <c r="Z887" s="156"/>
      <c r="AA887" s="156"/>
      <c r="AB887" s="154"/>
      <c r="AC887" s="152">
        <f>SUM(AC3:AC3)</f>
        <v>0</v>
      </c>
      <c r="AD887" s="152"/>
      <c r="AE887" s="157">
        <f>SUM(AE4:AE886)</f>
        <v>439889.150929603</v>
      </c>
    </row>
    <row r="890" spans="14:14">
      <c r="N890" t="e">
        <f>SUM(M887*#REF!)</f>
        <v>#REF!</v>
      </c>
    </row>
    <row r="891" customFormat="1" spans="4:28">
      <c r="D891" s="2"/>
      <c r="E891" s="2"/>
      <c r="J891" s="3"/>
      <c r="L891" s="3"/>
      <c r="N891">
        <f>SUM(I887)</f>
        <v>0</v>
      </c>
      <c r="W891" s="5"/>
      <c r="X891" s="6"/>
      <c r="Y891" s="6"/>
      <c r="Z891" s="6"/>
      <c r="AA891" s="6"/>
      <c r="AB891" s="3"/>
    </row>
    <row r="892" customFormat="1" spans="4:28">
      <c r="D892" s="2"/>
      <c r="E892" s="2"/>
      <c r="J892" s="3"/>
      <c r="L892" s="3"/>
      <c r="N892" t="e">
        <f>SUM(M890:N891)</f>
        <v>#REF!</v>
      </c>
      <c r="W892" s="5"/>
      <c r="X892" s="6"/>
      <c r="Y892" s="6"/>
      <c r="Z892" s="6"/>
      <c r="AA892" s="6"/>
      <c r="AB892" s="3"/>
    </row>
    <row r="893" customFormat="1" spans="4:28">
      <c r="D893" s="2"/>
      <c r="E893" s="2"/>
      <c r="J893" s="3"/>
      <c r="L893" s="3"/>
      <c r="W893" s="5"/>
      <c r="X893" s="6"/>
      <c r="Y893" s="6"/>
      <c r="Z893" s="6"/>
      <c r="AA893" s="6"/>
      <c r="AB893" s="3"/>
    </row>
    <row r="894" customFormat="1" spans="4:28">
      <c r="D894" s="2"/>
      <c r="E894" s="2"/>
      <c r="J894" s="3"/>
      <c r="L894" s="3"/>
      <c r="W894" s="5"/>
      <c r="X894" s="6"/>
      <c r="Y894" s="6"/>
      <c r="Z894" s="6"/>
      <c r="AA894" s="6"/>
      <c r="AB894" s="3"/>
    </row>
    <row r="895" customFormat="1" spans="4:28">
      <c r="D895" s="2"/>
      <c r="E895" s="2"/>
      <c r="J895" s="3"/>
      <c r="L895" s="3"/>
      <c r="W895" s="5"/>
      <c r="X895" s="6"/>
      <c r="Y895" s="6"/>
      <c r="Z895" s="6"/>
      <c r="AA895" s="6"/>
      <c r="AB895" s="3"/>
    </row>
    <row r="896" customFormat="1" spans="4:28">
      <c r="D896" s="2"/>
      <c r="E896" s="2"/>
      <c r="J896" s="3"/>
      <c r="L896" s="3"/>
      <c r="W896" s="5"/>
      <c r="X896" s="6"/>
      <c r="Y896" s="6"/>
      <c r="Z896" s="6"/>
      <c r="AA896" s="6"/>
      <c r="AB896" s="3"/>
    </row>
    <row r="897" customFormat="1" spans="4:28">
      <c r="D897" s="2"/>
      <c r="E897" s="2"/>
      <c r="J897" s="3"/>
      <c r="L897" s="3"/>
      <c r="W897" s="5"/>
      <c r="X897" s="6"/>
      <c r="Y897" s="6"/>
      <c r="Z897" s="6"/>
      <c r="AA897" s="6"/>
      <c r="AB897" s="3"/>
    </row>
    <row r="898" customFormat="1" spans="4:28">
      <c r="D898" s="2"/>
      <c r="E898" s="2"/>
      <c r="J898" s="3"/>
      <c r="L898" s="3"/>
      <c r="W898" s="5"/>
      <c r="X898" s="6"/>
      <c r="Y898" s="6"/>
      <c r="Z898" s="6"/>
      <c r="AA898" s="6"/>
      <c r="AB898" s="3"/>
    </row>
    <row r="899" customFormat="1" spans="4:28">
      <c r="D899" s="2"/>
      <c r="E899" s="2"/>
      <c r="J899" s="3"/>
      <c r="L899" s="3"/>
      <c r="W899" s="5"/>
      <c r="X899" s="6"/>
      <c r="Y899" s="6"/>
      <c r="Z899" s="6"/>
      <c r="AA899" s="6"/>
      <c r="AB899" s="3"/>
    </row>
    <row r="900" customFormat="1" spans="4:28">
      <c r="D900" s="2"/>
      <c r="E900" s="2"/>
      <c r="J900" s="3"/>
      <c r="L900" s="3"/>
      <c r="W900" s="5"/>
      <c r="X900" s="6"/>
      <c r="Y900" s="6"/>
      <c r="Z900" s="6"/>
      <c r="AA900" s="6"/>
      <c r="AB900" s="3"/>
    </row>
    <row r="901" customFormat="1" spans="4:28">
      <c r="D901" s="2"/>
      <c r="E901" s="2"/>
      <c r="J901" s="3"/>
      <c r="L901" s="3"/>
      <c r="W901" s="5"/>
      <c r="X901" s="6"/>
      <c r="Y901" s="6"/>
      <c r="Z901" s="6"/>
      <c r="AA901" s="6"/>
      <c r="AB901" s="3"/>
    </row>
    <row r="902" customFormat="1" spans="4:28">
      <c r="D902" s="2"/>
      <c r="E902" s="2"/>
      <c r="J902" s="3"/>
      <c r="L902" s="3"/>
      <c r="W902" s="5"/>
      <c r="X902" s="6"/>
      <c r="Y902" s="6"/>
      <c r="Z902" s="6"/>
      <c r="AA902" s="6"/>
      <c r="AB902" s="3"/>
    </row>
    <row r="903" customFormat="1" spans="4:28">
      <c r="D903" s="2"/>
      <c r="E903" s="2"/>
      <c r="J903" s="3"/>
      <c r="L903" s="3"/>
      <c r="W903" s="5"/>
      <c r="X903" s="6"/>
      <c r="Y903" s="6"/>
      <c r="Z903" s="6"/>
      <c r="AA903" s="6"/>
      <c r="AB903" s="3"/>
    </row>
    <row r="904" customFormat="1" spans="4:28">
      <c r="D904" s="2"/>
      <c r="E904" s="2"/>
      <c r="J904" s="3"/>
      <c r="L904" s="3"/>
      <c r="W904" s="5"/>
      <c r="X904" s="6"/>
      <c r="Y904" s="6"/>
      <c r="Z904" s="6"/>
      <c r="AA904" s="6"/>
      <c r="AB904" s="3"/>
    </row>
    <row r="905" customFormat="1" spans="4:28">
      <c r="D905" s="2"/>
      <c r="E905" s="2"/>
      <c r="J905" s="3"/>
      <c r="L905" s="3"/>
      <c r="W905" s="5"/>
      <c r="X905" s="6"/>
      <c r="Y905" s="6"/>
      <c r="Z905" s="6"/>
      <c r="AA905" s="6"/>
      <c r="AB905" s="3"/>
    </row>
    <row r="906" customFormat="1" spans="4:28">
      <c r="D906" s="2"/>
      <c r="E906" s="2"/>
      <c r="J906" s="3"/>
      <c r="L906" s="3"/>
      <c r="W906" s="5"/>
      <c r="X906" s="6"/>
      <c r="Y906" s="6"/>
      <c r="Z906" s="6"/>
      <c r="AA906" s="6"/>
      <c r="AB906" s="3"/>
    </row>
    <row r="907" customFormat="1" spans="4:28">
      <c r="D907" s="2"/>
      <c r="E907" s="2"/>
      <c r="J907" s="3"/>
      <c r="L907" s="3"/>
      <c r="W907" s="5"/>
      <c r="X907" s="6"/>
      <c r="Y907" s="6"/>
      <c r="Z907" s="6"/>
      <c r="AA907" s="6"/>
      <c r="AB907" s="3"/>
    </row>
    <row r="908" customFormat="1" spans="4:28">
      <c r="D908" s="2"/>
      <c r="E908" s="2"/>
      <c r="J908" s="3"/>
      <c r="L908" s="3"/>
      <c r="W908" s="5"/>
      <c r="X908" s="6"/>
      <c r="Y908" s="6"/>
      <c r="Z908" s="6"/>
      <c r="AA908" s="6"/>
      <c r="AB908" s="3"/>
    </row>
    <row r="909" customFormat="1" spans="4:28">
      <c r="D909" s="2"/>
      <c r="E909" s="2"/>
      <c r="J909" s="3"/>
      <c r="L909" s="3"/>
      <c r="W909" s="5"/>
      <c r="X909" s="6"/>
      <c r="Y909" s="6"/>
      <c r="Z909" s="6"/>
      <c r="AA909" s="6"/>
      <c r="AB909" s="3"/>
    </row>
    <row r="910" customFormat="1" spans="4:28">
      <c r="D910" s="2"/>
      <c r="E910" s="2"/>
      <c r="J910" s="3"/>
      <c r="L910" s="3"/>
      <c r="W910" s="5"/>
      <c r="X910" s="6"/>
      <c r="Y910" s="6"/>
      <c r="Z910" s="6"/>
      <c r="AA910" s="6"/>
      <c r="AB910" s="3"/>
    </row>
    <row r="911" customFormat="1" spans="4:28">
      <c r="D911" s="2"/>
      <c r="E911" s="2"/>
      <c r="J911" s="3"/>
      <c r="L911" s="3"/>
      <c r="W911" s="5"/>
      <c r="X911" s="6"/>
      <c r="Y911" s="6"/>
      <c r="Z911" s="6"/>
      <c r="AA911" s="6"/>
      <c r="AB911" s="3"/>
    </row>
    <row r="912" customFormat="1" spans="4:28">
      <c r="D912" s="2"/>
      <c r="E912" s="2"/>
      <c r="J912" s="3"/>
      <c r="L912" s="3"/>
      <c r="W912" s="5"/>
      <c r="X912" s="6"/>
      <c r="Y912" s="6"/>
      <c r="Z912" s="6"/>
      <c r="AA912" s="6"/>
      <c r="AB912" s="3"/>
    </row>
    <row r="913" customFormat="1" spans="4:28">
      <c r="D913" s="2"/>
      <c r="E913" s="2"/>
      <c r="J913" s="3"/>
      <c r="L913" s="3"/>
      <c r="W913" s="5"/>
      <c r="X913" s="6"/>
      <c r="Y913" s="6"/>
      <c r="Z913" s="6"/>
      <c r="AA913" s="6"/>
      <c r="AB913" s="3"/>
    </row>
    <row r="914" customFormat="1" spans="4:28">
      <c r="D914" s="2"/>
      <c r="E914" s="2"/>
      <c r="J914" s="3"/>
      <c r="L914" s="3"/>
      <c r="W914" s="5"/>
      <c r="X914" s="6"/>
      <c r="Y914" s="6"/>
      <c r="Z914" s="6"/>
      <c r="AA914" s="6"/>
      <c r="AB914" s="3"/>
    </row>
    <row r="915" customFormat="1" spans="4:28">
      <c r="D915" s="2"/>
      <c r="E915" s="2"/>
      <c r="J915" s="3"/>
      <c r="L915" s="3"/>
      <c r="W915" s="5"/>
      <c r="X915" s="6"/>
      <c r="Y915" s="6"/>
      <c r="Z915" s="6"/>
      <c r="AA915" s="6"/>
      <c r="AB915" s="3"/>
    </row>
    <row r="916" customFormat="1" spans="4:28">
      <c r="D916" s="2"/>
      <c r="E916" s="2"/>
      <c r="J916" s="3"/>
      <c r="L916" s="3"/>
      <c r="W916" s="5"/>
      <c r="X916" s="6"/>
      <c r="Y916" s="6"/>
      <c r="Z916" s="6"/>
      <c r="AA916" s="6"/>
      <c r="AB916" s="3"/>
    </row>
    <row r="917" customFormat="1" spans="4:28">
      <c r="D917" s="2"/>
      <c r="E917" s="2"/>
      <c r="J917" s="3"/>
      <c r="L917" s="3"/>
      <c r="W917" s="5"/>
      <c r="X917" s="6"/>
      <c r="Y917" s="6"/>
      <c r="Z917" s="6"/>
      <c r="AA917" s="6"/>
      <c r="AB917" s="3"/>
    </row>
    <row r="918" customFormat="1" spans="4:28">
      <c r="D918" s="2"/>
      <c r="E918" s="2"/>
      <c r="J918" s="3"/>
      <c r="L918" s="3"/>
      <c r="W918" s="5"/>
      <c r="X918" s="6"/>
      <c r="Y918" s="6"/>
      <c r="Z918" s="6"/>
      <c r="AA918" s="6"/>
      <c r="AB918" s="3"/>
    </row>
    <row r="919" customFormat="1" spans="4:28">
      <c r="D919" s="2"/>
      <c r="E919" s="2"/>
      <c r="J919" s="3"/>
      <c r="L919" s="3"/>
      <c r="W919" s="5"/>
      <c r="X919" s="6"/>
      <c r="Y919" s="6"/>
      <c r="Z919" s="6"/>
      <c r="AA919" s="6"/>
      <c r="AB919" s="3"/>
    </row>
    <row r="920" customFormat="1" spans="4:28">
      <c r="D920" s="2"/>
      <c r="E920" s="2"/>
      <c r="J920" s="3"/>
      <c r="L920" s="3"/>
      <c r="W920" s="5"/>
      <c r="X920" s="6"/>
      <c r="Y920" s="6"/>
      <c r="Z920" s="6"/>
      <c r="AA920" s="6"/>
      <c r="AB920" s="3"/>
    </row>
    <row r="921" customFormat="1" spans="4:28">
      <c r="D921" s="2"/>
      <c r="E921" s="2"/>
      <c r="J921" s="3"/>
      <c r="L921" s="3"/>
      <c r="W921" s="5"/>
      <c r="X921" s="6"/>
      <c r="Y921" s="6"/>
      <c r="Z921" s="6"/>
      <c r="AA921" s="6"/>
      <c r="AB921" s="3"/>
    </row>
    <row r="922" customFormat="1" spans="4:28">
      <c r="D922" s="2"/>
      <c r="E922" s="2"/>
      <c r="J922" s="3"/>
      <c r="L922" s="3"/>
      <c r="W922" s="5"/>
      <c r="X922" s="6"/>
      <c r="Y922" s="6"/>
      <c r="Z922" s="6"/>
      <c r="AA922" s="6"/>
      <c r="AB922" s="3"/>
    </row>
    <row r="923" customFormat="1" spans="4:28">
      <c r="D923" s="2"/>
      <c r="E923" s="2"/>
      <c r="J923" s="3"/>
      <c r="L923" s="3"/>
      <c r="W923" s="5"/>
      <c r="X923" s="6"/>
      <c r="Y923" s="6"/>
      <c r="Z923" s="6"/>
      <c r="AA923" s="6"/>
      <c r="AB923" s="3"/>
    </row>
    <row r="924" customFormat="1" spans="4:28">
      <c r="D924" s="2"/>
      <c r="E924" s="2"/>
      <c r="J924" s="3"/>
      <c r="L924" s="3"/>
      <c r="W924" s="5"/>
      <c r="X924" s="6"/>
      <c r="Y924" s="6"/>
      <c r="Z924" s="6"/>
      <c r="AA924" s="6"/>
      <c r="AB924" s="3"/>
    </row>
    <row r="925" customFormat="1" spans="4:28">
      <c r="D925" s="2"/>
      <c r="E925" s="2"/>
      <c r="J925" s="3"/>
      <c r="L925" s="3"/>
      <c r="W925" s="5"/>
      <c r="X925" s="6"/>
      <c r="Y925" s="6"/>
      <c r="Z925" s="6"/>
      <c r="AA925" s="6"/>
      <c r="AB925" s="3"/>
    </row>
    <row r="926" customFormat="1" spans="4:28">
      <c r="D926" s="2"/>
      <c r="E926" s="2"/>
      <c r="J926" s="3"/>
      <c r="L926" s="3"/>
      <c r="W926" s="5"/>
      <c r="X926" s="6"/>
      <c r="Y926" s="6"/>
      <c r="Z926" s="6"/>
      <c r="AA926" s="6"/>
      <c r="AB926" s="3"/>
    </row>
    <row r="927" customFormat="1" spans="4:28">
      <c r="D927" s="2"/>
      <c r="E927" s="2"/>
      <c r="J927" s="3"/>
      <c r="L927" s="3"/>
      <c r="W927" s="5"/>
      <c r="X927" s="6"/>
      <c r="Y927" s="6"/>
      <c r="Z927" s="6"/>
      <c r="AA927" s="6"/>
      <c r="AB927" s="3"/>
    </row>
    <row r="928" customFormat="1" spans="4:28">
      <c r="D928" s="2"/>
      <c r="E928" s="2"/>
      <c r="J928" s="3"/>
      <c r="L928" s="3"/>
      <c r="W928" s="5"/>
      <c r="X928" s="6"/>
      <c r="Y928" s="6"/>
      <c r="Z928" s="6"/>
      <c r="AA928" s="6"/>
      <c r="AB928" s="3"/>
    </row>
    <row r="929" customFormat="1" spans="4:28">
      <c r="D929" s="2"/>
      <c r="E929" s="2"/>
      <c r="J929" s="3"/>
      <c r="L929" s="3"/>
      <c r="W929" s="5"/>
      <c r="X929" s="6"/>
      <c r="Y929" s="6"/>
      <c r="Z929" s="6"/>
      <c r="AA929" s="6"/>
      <c r="AB929" s="3"/>
    </row>
    <row r="930" customFormat="1" spans="4:28">
      <c r="D930" s="2"/>
      <c r="E930" s="2"/>
      <c r="J930" s="3"/>
      <c r="L930" s="3"/>
      <c r="W930" s="5"/>
      <c r="X930" s="6"/>
      <c r="Y930" s="6"/>
      <c r="Z930" s="6"/>
      <c r="AA930" s="6"/>
      <c r="AB930" s="3"/>
    </row>
    <row r="931" customFormat="1" spans="4:28">
      <c r="D931" s="2"/>
      <c r="E931" s="2"/>
      <c r="J931" s="3"/>
      <c r="L931" s="3"/>
      <c r="W931" s="5"/>
      <c r="X931" s="6"/>
      <c r="Y931" s="6"/>
      <c r="Z931" s="6"/>
      <c r="AA931" s="6"/>
      <c r="AB931" s="3"/>
    </row>
    <row r="932" customFormat="1" spans="4:28">
      <c r="D932" s="2"/>
      <c r="E932" s="2"/>
      <c r="J932" s="3"/>
      <c r="L932" s="3"/>
      <c r="W932" s="5"/>
      <c r="X932" s="6"/>
      <c r="Y932" s="6"/>
      <c r="Z932" s="6"/>
      <c r="AA932" s="6"/>
      <c r="AB932" s="3"/>
    </row>
    <row r="933" customFormat="1" spans="4:28">
      <c r="D933" s="2"/>
      <c r="E933" s="2"/>
      <c r="J933" s="3"/>
      <c r="L933" s="3"/>
      <c r="W933" s="5"/>
      <c r="X933" s="6"/>
      <c r="Y933" s="6"/>
      <c r="Z933" s="6"/>
      <c r="AA933" s="6"/>
      <c r="AB933" s="3"/>
    </row>
  </sheetData>
  <autoFilter xmlns:etc="http://www.wps.cn/officeDocument/2017/etCustomData" ref="A2:AE887" etc:filterBottomFollowUsedRange="0">
    <extLst/>
  </autoFilter>
  <mergeCells count="192">
    <mergeCell ref="A1:AE1"/>
    <mergeCell ref="I2:O2"/>
    <mergeCell ref="Q2:U2"/>
    <mergeCell ref="X2:AC2"/>
    <mergeCell ref="A2:A3"/>
    <mergeCell ref="A4:A30"/>
    <mergeCell ref="A31:A41"/>
    <mergeCell ref="A42:A45"/>
    <mergeCell ref="A46:A75"/>
    <mergeCell ref="A76:A116"/>
    <mergeCell ref="A117:A147"/>
    <mergeCell ref="A148:A158"/>
    <mergeCell ref="A159:A173"/>
    <mergeCell ref="A174:A179"/>
    <mergeCell ref="A181:A210"/>
    <mergeCell ref="A211:A263"/>
    <mergeCell ref="A264:A272"/>
    <mergeCell ref="A273:A324"/>
    <mergeCell ref="A325:A363"/>
    <mergeCell ref="A364:A374"/>
    <mergeCell ref="A375:A381"/>
    <mergeCell ref="A383:A390"/>
    <mergeCell ref="A391:A416"/>
    <mergeCell ref="A423:A424"/>
    <mergeCell ref="A425:A426"/>
    <mergeCell ref="A428:A536"/>
    <mergeCell ref="A537:A542"/>
    <mergeCell ref="A543:A567"/>
    <mergeCell ref="A568:A576"/>
    <mergeCell ref="A577:A630"/>
    <mergeCell ref="A631:A638"/>
    <mergeCell ref="A639:A648"/>
    <mergeCell ref="A649:A712"/>
    <mergeCell ref="A713:A715"/>
    <mergeCell ref="A716:A745"/>
    <mergeCell ref="A746:A798"/>
    <mergeCell ref="A799:A802"/>
    <mergeCell ref="A803:A807"/>
    <mergeCell ref="A809:A812"/>
    <mergeCell ref="A813:A822"/>
    <mergeCell ref="A823:A856"/>
    <mergeCell ref="A857:A874"/>
    <mergeCell ref="A875:A886"/>
    <mergeCell ref="B2:B3"/>
    <mergeCell ref="B4:B30"/>
    <mergeCell ref="B31:B41"/>
    <mergeCell ref="B42:B45"/>
    <mergeCell ref="B46:B75"/>
    <mergeCell ref="B76:B116"/>
    <mergeCell ref="B117:B147"/>
    <mergeCell ref="B148:B158"/>
    <mergeCell ref="B159:B173"/>
    <mergeCell ref="B174:B179"/>
    <mergeCell ref="B181:B210"/>
    <mergeCell ref="B211:B263"/>
    <mergeCell ref="B264:B272"/>
    <mergeCell ref="B273:B324"/>
    <mergeCell ref="B325:B363"/>
    <mergeCell ref="B364:B374"/>
    <mergeCell ref="B375:B381"/>
    <mergeCell ref="B383:B390"/>
    <mergeCell ref="B391:B416"/>
    <mergeCell ref="B423:B424"/>
    <mergeCell ref="B425:B426"/>
    <mergeCell ref="B428:B536"/>
    <mergeCell ref="B537:B542"/>
    <mergeCell ref="B543:B567"/>
    <mergeCell ref="B568:B576"/>
    <mergeCell ref="B577:B630"/>
    <mergeCell ref="B631:B638"/>
    <mergeCell ref="B639:B648"/>
    <mergeCell ref="B649:B712"/>
    <mergeCell ref="B713:B715"/>
    <mergeCell ref="B716:B745"/>
    <mergeCell ref="B746:B798"/>
    <mergeCell ref="B799:B802"/>
    <mergeCell ref="B803:B807"/>
    <mergeCell ref="B809:B812"/>
    <mergeCell ref="B813:B822"/>
    <mergeCell ref="B823:B856"/>
    <mergeCell ref="B857:B874"/>
    <mergeCell ref="B875:B886"/>
    <mergeCell ref="C2:C3"/>
    <mergeCell ref="D2:D3"/>
    <mergeCell ref="E2:E3"/>
    <mergeCell ref="F2:F3"/>
    <mergeCell ref="G2:G3"/>
    <mergeCell ref="H2:H3"/>
    <mergeCell ref="P2:P3"/>
    <mergeCell ref="P4:P30"/>
    <mergeCell ref="P31:P41"/>
    <mergeCell ref="P42:P45"/>
    <mergeCell ref="P46:P75"/>
    <mergeCell ref="P76:P116"/>
    <mergeCell ref="P117:P147"/>
    <mergeCell ref="P148:P158"/>
    <mergeCell ref="P159:P173"/>
    <mergeCell ref="P174:P179"/>
    <mergeCell ref="P181:P210"/>
    <mergeCell ref="P211:P263"/>
    <mergeCell ref="P264:P272"/>
    <mergeCell ref="P273:P324"/>
    <mergeCell ref="P325:P363"/>
    <mergeCell ref="P364:P374"/>
    <mergeCell ref="P375:P381"/>
    <mergeCell ref="P383:P390"/>
    <mergeCell ref="P391:P416"/>
    <mergeCell ref="P423:P424"/>
    <mergeCell ref="P425:P426"/>
    <mergeCell ref="P428:P536"/>
    <mergeCell ref="P537:P542"/>
    <mergeCell ref="P543:P567"/>
    <mergeCell ref="P568:P576"/>
    <mergeCell ref="P577:P630"/>
    <mergeCell ref="P631:P638"/>
    <mergeCell ref="P639:P648"/>
    <mergeCell ref="P649:P712"/>
    <mergeCell ref="P713:P715"/>
    <mergeCell ref="P716:P745"/>
    <mergeCell ref="P746:P798"/>
    <mergeCell ref="P809:P812"/>
    <mergeCell ref="P813:P822"/>
    <mergeCell ref="P823:P856"/>
    <mergeCell ref="P857:P874"/>
    <mergeCell ref="P875:P886"/>
    <mergeCell ref="Q4:Q30"/>
    <mergeCell ref="Q31:Q41"/>
    <mergeCell ref="Q42:Q45"/>
    <mergeCell ref="Q46:Q75"/>
    <mergeCell ref="Q76:Q116"/>
    <mergeCell ref="Q117:Q147"/>
    <mergeCell ref="Q148:Q158"/>
    <mergeCell ref="Q159:Q173"/>
    <mergeCell ref="Q174:Q179"/>
    <mergeCell ref="Q181:Q210"/>
    <mergeCell ref="Q211:Q263"/>
    <mergeCell ref="Q264:Q272"/>
    <mergeCell ref="Q273:Q324"/>
    <mergeCell ref="Q325:Q363"/>
    <mergeCell ref="Q364:Q374"/>
    <mergeCell ref="Q375:Q381"/>
    <mergeCell ref="Q383:Q390"/>
    <mergeCell ref="Q391:Q416"/>
    <mergeCell ref="Q423:Q424"/>
    <mergeCell ref="Q425:Q426"/>
    <mergeCell ref="Q428:Q536"/>
    <mergeCell ref="Q537:Q542"/>
    <mergeCell ref="Q543:Q567"/>
    <mergeCell ref="Q568:Q576"/>
    <mergeCell ref="Q577:Q630"/>
    <mergeCell ref="Q631:Q638"/>
    <mergeCell ref="Q639:Q648"/>
    <mergeCell ref="Q649:Q712"/>
    <mergeCell ref="Q713:Q715"/>
    <mergeCell ref="Q716:Q745"/>
    <mergeCell ref="Q746:Q798"/>
    <mergeCell ref="Q809:Q812"/>
    <mergeCell ref="Q813:Q822"/>
    <mergeCell ref="Q823:Q856"/>
    <mergeCell ref="Q857:Q874"/>
    <mergeCell ref="Q875:Q886"/>
    <mergeCell ref="R423:R424"/>
    <mergeCell ref="R425:R426"/>
    <mergeCell ref="S423:S424"/>
    <mergeCell ref="S425:S426"/>
    <mergeCell ref="T423:T424"/>
    <mergeCell ref="T425:T426"/>
    <mergeCell ref="U423:U424"/>
    <mergeCell ref="U425:U426"/>
    <mergeCell ref="V2:V3"/>
    <mergeCell ref="V423:V424"/>
    <mergeCell ref="V425:V426"/>
    <mergeCell ref="W2:W3"/>
    <mergeCell ref="W423:W424"/>
    <mergeCell ref="W425:W426"/>
    <mergeCell ref="X423:X424"/>
    <mergeCell ref="X425:X426"/>
    <mergeCell ref="Y423:Y424"/>
    <mergeCell ref="Y425:Y426"/>
    <mergeCell ref="Z423:Z424"/>
    <mergeCell ref="Z425:Z426"/>
    <mergeCell ref="AA423:AA424"/>
    <mergeCell ref="AA425:AA426"/>
    <mergeCell ref="AB423:AB424"/>
    <mergeCell ref="AB425:AB426"/>
    <mergeCell ref="AC423:AC424"/>
    <mergeCell ref="AC425:AC426"/>
    <mergeCell ref="AD423:AD424"/>
    <mergeCell ref="AD425:AD426"/>
    <mergeCell ref="AE2:AE3"/>
    <mergeCell ref="AE423:AE424"/>
    <mergeCell ref="AE425:AE426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2025-05-10T01:59:09Z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