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3" sheetId="2" r:id="rId1"/>
  </sheets>
  <definedNames>
    <definedName name="_xlnm._FilterDatabase" localSheetId="0" hidden="1">毛利表2023!$B$3:$U$12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<sst xmlns="http://schemas.openxmlformats.org/spreadsheetml/2006/main" count="65" uniqueCount="47">
  <si>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ＮＢＯ贝宁科托努毛利表（4月）</t>
  </si>
  <si>
    <t>日期：2019年</t>
  </si>
  <si>
    <t>JOB</t>
  </si>
  <si>
    <t>集装编号 </t>
  </si>
  <si>
    <t>运单编号 </t>
  </si>
  <si>
    <t>日期</t>
  </si>
  <si>
    <t>业务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</si>
  <si>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</si>
  <si>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</si>
  <si>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</si>
  <si>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</si>
  <si>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</si>
  <si>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</si>
  <si>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</si>
  <si>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</si>
  <si>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</si>
  <si>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</si>
  <si>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</si>
  <si>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</si>
  <si>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</si>
  <si>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</si>
  <si>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</si>
  <si>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</si>
  <si>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</si>
  <si>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</si>
  <si>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</si>
  <si>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</si>
  <si>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</si>
  <si>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</si>
  <si>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</si>
  <si>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JOB040328</t>
  </si>
  <si>
    <t>COLL003899</t>
  </si>
  <si>
    <t>黄颖</t>
  </si>
  <si>
    <t>ying</t>
  </si>
  <si>
    <t>Sheilah</t>
  </si>
  <si>
    <t>冠粤</t>
  </si>
  <si>
    <t>JOB040329</t>
  </si>
  <si>
    <t>COLL003900</t>
  </si>
  <si>
    <t>欧翔国际</t>
  </si>
  <si>
    <t>Kim.</t>
  </si>
  <si>
    <t>JOB040334</t>
  </si>
  <si>
    <t>COLL003905</t>
  </si>
  <si>
    <t>JOB040339</t>
  </si>
  <si>
    <t>COLL003911</t>
  </si>
  <si>
    <t>JOB040346</t>
  </si>
  <si>
    <t>COLL003917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</si>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</sst>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name val="Microsoft JhengHei"/>
      <charset val="134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2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179" fontId="11" fillId="4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2" fillId="3" borderId="1" xfId="4" applyNumberFormat="1" applyFont="1" applyFill="1" applyBorder="1" applyAlignment="1">
      <alignment horizontal="center" vertical="center"/>
    </xf>
    <xf numFmtId="179" fontId="12" fillId="3" borderId="1" xfId="4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>
      <alignment vertical="center"/>
    </xf>
    <xf numFmtId="179" fontId="7" fillId="2" borderId="1" xfId="0" applyNumberFormat="1" applyFont="1" applyFill="1" applyBorder="1">
      <alignment vertical="center"/>
    </xf>
    <xf numFmtId="179" fontId="10" fillId="0" borderId="1" xfId="0" applyNumberFormat="1" applyFont="1" applyBorder="1" applyAlignment="1">
      <alignment horizontal="center" vertical="center"/>
    </xf>
    <xf numFmtId="179" fontId="7" fillId="2" borderId="5" xfId="0" applyNumberFormat="1" applyFont="1" applyFill="1" applyBorder="1" applyAlignment="1">
      <alignment horizontal="center" vertical="center"/>
    </xf>
    <xf numFmtId="179" fontId="7" fillId="2" borderId="7" xfId="0" applyNumberFormat="1" applyFont="1" applyFill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14" fillId="2" borderId="1" xfId="0" applyNumberFormat="1" applyFont="1" applyFill="1" applyBorder="1">
      <alignment vertical="center"/>
    </xf>
    <xf numFmtId="179" fontId="1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15" fillId="3" borderId="8" xfId="0" applyNumberFormat="1" applyFont="1" applyFill="1" applyBorder="1" applyAlignment="1">
      <alignment horizontal="center"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81" fontId="11" fillId="4" borderId="8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79" fontId="11" fillId="0" borderId="10" xfId="0" applyNumberFormat="1" applyFont="1" applyFill="1" applyBorder="1" applyAlignment="1">
      <alignment horizontal="center" vertical="center"/>
    </xf>
    <xf numFmtId="179" fontId="11" fillId="5" borderId="5" xfId="0" applyNumberFormat="1" applyFont="1" applyFill="1" applyBorder="1" applyAlignment="1">
      <alignment horizontal="center" vertical="center"/>
    </xf>
    <xf numFmtId="179" fontId="16" fillId="3" borderId="11" xfId="0" applyNumberFormat="1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 wrapText="1"/>
    </xf>
    <xf numFmtId="181" fontId="11" fillId="4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179" fontId="11" fillId="5" borderId="1" xfId="0" applyNumberFormat="1" applyFont="1" applyFill="1" applyBorder="1" applyAlignment="1">
      <alignment horizontal="center" vertical="center"/>
    </xf>
    <xf numFmtId="179" fontId="10" fillId="4" borderId="1" xfId="0" applyNumberFormat="1" applyFont="1" applyFill="1" applyBorder="1" applyAlignment="1">
      <alignment horizontal="center" vertical="center"/>
    </xf>
    <xf numFmtId="179" fontId="7" fillId="4" borderId="5" xfId="0" applyNumberFormat="1" applyFont="1" applyFill="1" applyBorder="1" applyAlignment="1">
      <alignment horizontal="center" vertical="center"/>
    </xf>
    <xf numFmtId="179" fontId="7" fillId="4" borderId="7" xfId="0" applyNumberFormat="1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8" fontId="3" fillId="6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6"/>
  <sheetViews>
    <sheetView tabSelected="1" workbookViewId="0">
      <pane ySplit="4" topLeftCell="A5" activePane="bottomLeft" state="frozen"/>
      <selection/>
      <selection pane="bottomLeft" activeCell="I18" sqref="I18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6" width="7.125" style="1" customWidth="1"/>
    <col min="7" max="7" width="8.125" style="1" customWidth="1"/>
    <col min="8" max="8" width="7.75" style="1" customWidth="1"/>
    <col min="9" max="9" width="11.5" style="1" customWidth="1"/>
    <col min="10" max="10" width="7.5" style="1" customWidth="1"/>
    <col min="11" max="11" width="4.625" style="1" customWidth="1"/>
    <col min="12" max="12" width="12.875" style="1" customWidth="1"/>
    <col min="13" max="13" width="13.625" style="1"/>
    <col min="14" max="14" width="9" style="1"/>
    <col min="15" max="15" width="11" style="1" customWidth="1"/>
    <col min="16" max="16" width="9.25" style="1"/>
    <col min="17" max="17" width="10.25" style="1"/>
    <col min="18" max="18" width="9.625" style="1" customWidth="1"/>
    <col min="19" max="19" width="9" style="1"/>
    <col min="20" max="20" width="11.25" style="1" customWidth="1"/>
    <col min="21" max="23" width="9" style="1"/>
    <col min="24" max="24" width="12.25" style="1" customWidth="1"/>
    <col min="25" max="25" width="12.875" style="1"/>
    <col min="26" max="16384" width="9" style="1"/>
  </cols>
  <sheetData>
    <row r="1" ht="20.25" customHeight="1" spans="1:21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="1" customFormat="1" ht="21" customHeight="1" spans="1:21">
      <c r="A2" s="4"/>
      <c r="B2" s="5"/>
      <c r="C2" s="5"/>
      <c r="D2" s="5"/>
      <c r="E2" s="5"/>
      <c r="F2" s="5"/>
      <c r="G2" s="5"/>
      <c r="H2" s="5"/>
      <c r="I2" s="5"/>
      <c r="J2" s="5"/>
      <c r="K2" s="2"/>
      <c r="L2" s="19"/>
      <c r="M2" s="19"/>
      <c r="N2" s="19"/>
      <c r="O2" s="19"/>
      <c r="P2" s="19"/>
      <c r="R2" s="19"/>
      <c r="S2" s="19" t="s">
        <v>1</v>
      </c>
      <c r="T2" s="19"/>
      <c r="U2" s="19"/>
    </row>
    <row r="3" s="1" customFormat="1" ht="17" customHeight="1" spans="1: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7" t="s">
        <v>8</v>
      </c>
      <c r="H3" s="7" t="s">
        <v>9</v>
      </c>
      <c r="I3" s="20" t="s">
        <v>10</v>
      </c>
      <c r="J3" s="21"/>
      <c r="K3" s="22"/>
      <c r="L3" s="23"/>
      <c r="M3" s="24" t="s">
        <v>11</v>
      </c>
      <c r="N3" s="25" t="s">
        <v>12</v>
      </c>
      <c r="O3" s="26"/>
      <c r="P3" s="26"/>
      <c r="Q3" s="26"/>
      <c r="R3" s="43"/>
      <c r="S3" s="44" t="s">
        <v>13</v>
      </c>
      <c r="T3" s="45" t="s">
        <v>14</v>
      </c>
      <c r="U3" s="46" t="s">
        <v>15</v>
      </c>
      <c r="V3" s="47"/>
      <c r="W3" s="48"/>
      <c r="X3" s="49" t="s">
        <v>16</v>
      </c>
      <c r="Y3" s="59" t="s">
        <v>17</v>
      </c>
    </row>
    <row r="4" s="1" customFormat="1" ht="39" customHeight="1" spans="1:25">
      <c r="A4" s="6"/>
      <c r="B4" s="7"/>
      <c r="C4" s="8"/>
      <c r="D4" s="9"/>
      <c r="E4" s="9"/>
      <c r="F4" s="9"/>
      <c r="G4" s="7"/>
      <c r="H4" s="7"/>
      <c r="I4" s="27" t="s">
        <v>18</v>
      </c>
      <c r="J4" s="27" t="s">
        <v>19</v>
      </c>
      <c r="K4" s="28" t="s">
        <v>20</v>
      </c>
      <c r="L4" s="29" t="s">
        <v>21</v>
      </c>
      <c r="M4" s="30"/>
      <c r="N4" s="31" t="s">
        <v>22</v>
      </c>
      <c r="O4" s="32" t="s">
        <v>23</v>
      </c>
      <c r="P4" s="32" t="s">
        <v>24</v>
      </c>
      <c r="Q4" s="32" t="s">
        <v>25</v>
      </c>
      <c r="R4" s="32" t="s">
        <v>26</v>
      </c>
      <c r="S4" s="50"/>
      <c r="T4" s="51"/>
      <c r="U4" s="52" t="s">
        <v>27</v>
      </c>
      <c r="V4" s="27" t="s">
        <v>28</v>
      </c>
      <c r="W4" s="53" t="s">
        <v>21</v>
      </c>
      <c r="X4" s="54" t="s">
        <v>29</v>
      </c>
      <c r="Y4" s="60"/>
    </row>
    <row r="5" s="1" customFormat="1" customHeight="1" spans="1:25">
      <c r="A5" s="10" t="s">
        <v>30</v>
      </c>
      <c r="B5" s="11" t="s">
        <v>31</v>
      </c>
      <c r="C5" s="12">
        <v>240411000030</v>
      </c>
      <c r="D5" s="13">
        <v>45397</v>
      </c>
      <c r="E5" s="13" t="s">
        <v>32</v>
      </c>
      <c r="F5" s="11" t="s">
        <v>33</v>
      </c>
      <c r="G5" s="11" t="s">
        <v>34</v>
      </c>
      <c r="H5" s="11">
        <v>32.5</v>
      </c>
      <c r="I5" s="33">
        <v>5037.5</v>
      </c>
      <c r="J5" s="34"/>
      <c r="K5" s="34"/>
      <c r="L5" s="34">
        <f t="shared" ref="L5:L10" si="0">SUM(I5)</f>
        <v>5037.5</v>
      </c>
      <c r="M5" s="34">
        <f t="shared" ref="M5:M10" si="1">SUM(L5)</f>
        <v>5037.5</v>
      </c>
      <c r="N5" s="35" t="s">
        <v>35</v>
      </c>
      <c r="O5" s="35">
        <v>4238</v>
      </c>
      <c r="P5" s="35"/>
      <c r="Q5" s="55">
        <v>31</v>
      </c>
      <c r="R5" s="35"/>
      <c r="S5" s="35"/>
      <c r="T5" s="35">
        <f t="shared" ref="T5:T10" si="2">SUM(O5:S5)</f>
        <v>4269</v>
      </c>
      <c r="U5" s="35"/>
      <c r="V5" s="35"/>
      <c r="W5" s="35">
        <v>0</v>
      </c>
      <c r="X5" s="35">
        <f t="shared" ref="X5:X10" si="3">SUM(T5+W5)</f>
        <v>4269</v>
      </c>
      <c r="Y5" s="35">
        <f t="shared" ref="Y5:Y10" si="4">SUM(M5-X5)</f>
        <v>768.5</v>
      </c>
    </row>
    <row r="6" s="1" customFormat="1" customHeight="1" spans="1:25">
      <c r="A6" s="10" t="s">
        <v>36</v>
      </c>
      <c r="B6" s="11" t="s">
        <v>37</v>
      </c>
      <c r="C6" s="12">
        <v>240307000034</v>
      </c>
      <c r="D6" s="13">
        <v>45397</v>
      </c>
      <c r="E6" s="13" t="s">
        <v>32</v>
      </c>
      <c r="F6" s="11" t="s">
        <v>33</v>
      </c>
      <c r="G6" s="11" t="s">
        <v>34</v>
      </c>
      <c r="H6" s="11">
        <v>88</v>
      </c>
      <c r="I6" s="33">
        <v>9080</v>
      </c>
      <c r="J6" s="34"/>
      <c r="K6" s="34"/>
      <c r="L6" s="34">
        <f t="shared" si="0"/>
        <v>9080</v>
      </c>
      <c r="M6" s="36">
        <f>SUM(L6:L7)</f>
        <v>10172</v>
      </c>
      <c r="N6" s="36" t="s">
        <v>38</v>
      </c>
      <c r="O6" s="36">
        <v>8705</v>
      </c>
      <c r="P6" s="36"/>
      <c r="Q6" s="56">
        <f>SUM(46+15)</f>
        <v>61</v>
      </c>
      <c r="R6" s="36"/>
      <c r="S6" s="36"/>
      <c r="T6" s="36">
        <f>SUM(O6:S7)</f>
        <v>8766</v>
      </c>
      <c r="U6" s="36"/>
      <c r="V6" s="36"/>
      <c r="W6" s="36">
        <v>0</v>
      </c>
      <c r="X6" s="36">
        <f t="shared" si="3"/>
        <v>8766</v>
      </c>
      <c r="Y6" s="36">
        <f t="shared" si="4"/>
        <v>1406</v>
      </c>
    </row>
    <row r="7" s="1" customFormat="1" customHeight="1" spans="1:25">
      <c r="A7" s="10"/>
      <c r="B7" s="11"/>
      <c r="C7" s="12">
        <v>240321000032</v>
      </c>
      <c r="D7" s="13">
        <v>45397</v>
      </c>
      <c r="E7" s="13" t="s">
        <v>32</v>
      </c>
      <c r="F7" s="11" t="s">
        <v>33</v>
      </c>
      <c r="G7" s="11" t="s">
        <v>39</v>
      </c>
      <c r="H7" s="11">
        <v>9.5</v>
      </c>
      <c r="I7" s="33">
        <v>1092</v>
      </c>
      <c r="J7" s="34"/>
      <c r="K7" s="34"/>
      <c r="L7" s="34">
        <f t="shared" si="0"/>
        <v>1092</v>
      </c>
      <c r="M7" s="37"/>
      <c r="N7" s="37"/>
      <c r="O7" s="37"/>
      <c r="P7" s="37"/>
      <c r="Q7" s="57"/>
      <c r="R7" s="37"/>
      <c r="S7" s="37"/>
      <c r="T7" s="37"/>
      <c r="U7" s="37"/>
      <c r="V7" s="37"/>
      <c r="W7" s="37"/>
      <c r="X7" s="37"/>
      <c r="Y7" s="37"/>
    </row>
    <row r="8" s="1" customFormat="1" customHeight="1" spans="1:25">
      <c r="A8" s="10" t="s">
        <v>40</v>
      </c>
      <c r="B8" s="11" t="s">
        <v>41</v>
      </c>
      <c r="C8" s="12">
        <v>240409000037</v>
      </c>
      <c r="D8" s="13">
        <v>45399</v>
      </c>
      <c r="E8" s="13" t="s">
        <v>32</v>
      </c>
      <c r="F8" s="11" t="s">
        <v>33</v>
      </c>
      <c r="G8" s="11" t="s">
        <v>34</v>
      </c>
      <c r="H8" s="11">
        <v>262.5</v>
      </c>
      <c r="I8" s="33">
        <v>19687.5</v>
      </c>
      <c r="J8" s="34"/>
      <c r="K8" s="34"/>
      <c r="L8" s="34">
        <f t="shared" si="0"/>
        <v>19687.5</v>
      </c>
      <c r="M8" s="34">
        <f t="shared" si="1"/>
        <v>19687.5</v>
      </c>
      <c r="N8" s="38" t="s">
        <v>35</v>
      </c>
      <c r="O8" s="35">
        <v>19324</v>
      </c>
      <c r="P8" s="35"/>
      <c r="Q8" s="55">
        <v>36</v>
      </c>
      <c r="R8" s="35"/>
      <c r="S8" s="35"/>
      <c r="T8" s="35">
        <f t="shared" si="2"/>
        <v>19360</v>
      </c>
      <c r="U8" s="35"/>
      <c r="V8" s="35"/>
      <c r="W8" s="35">
        <v>0</v>
      </c>
      <c r="X8" s="35">
        <f t="shared" si="3"/>
        <v>19360</v>
      </c>
      <c r="Y8" s="35">
        <f t="shared" si="4"/>
        <v>327.5</v>
      </c>
    </row>
    <row r="9" s="1" customFormat="1" customHeight="1" spans="1:25">
      <c r="A9" s="10" t="s">
        <v>42</v>
      </c>
      <c r="B9" s="11" t="s">
        <v>43</v>
      </c>
      <c r="C9" s="12">
        <v>240415000050</v>
      </c>
      <c r="D9" s="14">
        <v>45404</v>
      </c>
      <c r="E9" s="13" t="s">
        <v>32</v>
      </c>
      <c r="F9" s="11" t="s">
        <v>33</v>
      </c>
      <c r="G9" s="11" t="s">
        <v>34</v>
      </c>
      <c r="H9" s="11">
        <v>4.5</v>
      </c>
      <c r="I9" s="33">
        <v>5347.5</v>
      </c>
      <c r="J9" s="34"/>
      <c r="K9" s="34"/>
      <c r="L9" s="34">
        <f t="shared" si="0"/>
        <v>5347.5</v>
      </c>
      <c r="M9" s="34">
        <f t="shared" si="1"/>
        <v>5347.5</v>
      </c>
      <c r="N9" s="35" t="s">
        <v>35</v>
      </c>
      <c r="O9" s="35">
        <v>822</v>
      </c>
      <c r="P9" s="35"/>
      <c r="Q9" s="55">
        <v>16.15</v>
      </c>
      <c r="R9" s="35"/>
      <c r="S9" s="35"/>
      <c r="T9" s="35">
        <f t="shared" si="2"/>
        <v>838.15</v>
      </c>
      <c r="U9" s="35"/>
      <c r="V9" s="35"/>
      <c r="W9" s="35">
        <v>0</v>
      </c>
      <c r="X9" s="35">
        <f t="shared" si="3"/>
        <v>838.15</v>
      </c>
      <c r="Y9" s="35">
        <f t="shared" si="4"/>
        <v>4509.35</v>
      </c>
    </row>
    <row r="10" s="1" customFormat="1" customHeight="1" spans="1:25">
      <c r="A10" s="10" t="s">
        <v>44</v>
      </c>
      <c r="B10" s="11" t="s">
        <v>45</v>
      </c>
      <c r="C10" s="12">
        <v>240417000020</v>
      </c>
      <c r="D10" s="14">
        <v>45407</v>
      </c>
      <c r="E10" s="13" t="s">
        <v>32</v>
      </c>
      <c r="F10" s="11" t="s">
        <v>33</v>
      </c>
      <c r="G10" s="11" t="s">
        <v>34</v>
      </c>
      <c r="H10" s="11">
        <v>372</v>
      </c>
      <c r="I10" s="33">
        <v>27900</v>
      </c>
      <c r="J10" s="34"/>
      <c r="K10" s="34"/>
      <c r="L10" s="34">
        <f t="shared" si="0"/>
        <v>27900</v>
      </c>
      <c r="M10" s="35">
        <f t="shared" si="1"/>
        <v>27900</v>
      </c>
      <c r="N10" s="35" t="s">
        <v>35</v>
      </c>
      <c r="O10" s="35">
        <v>25058</v>
      </c>
      <c r="P10" s="35"/>
      <c r="Q10" s="55">
        <v>68</v>
      </c>
      <c r="R10" s="35"/>
      <c r="S10" s="35"/>
      <c r="T10" s="35">
        <f t="shared" si="2"/>
        <v>25126</v>
      </c>
      <c r="U10" s="35"/>
      <c r="V10" s="35"/>
      <c r="W10" s="35">
        <v>0</v>
      </c>
      <c r="X10" s="35">
        <f t="shared" si="3"/>
        <v>25126</v>
      </c>
      <c r="Y10" s="35">
        <f t="shared" si="4"/>
        <v>2774</v>
      </c>
    </row>
    <row r="11" s="1" customFormat="1" customHeight="1" spans="1:25">
      <c r="A11" s="10"/>
      <c r="B11" s="11"/>
      <c r="C11" s="15"/>
      <c r="D11" s="13"/>
      <c r="E11" s="13"/>
      <c r="F11" s="13"/>
      <c r="G11" s="11"/>
      <c r="H11" s="11"/>
      <c r="I11" s="33"/>
      <c r="J11" s="34"/>
      <c r="K11" s="34"/>
      <c r="L11" s="34"/>
      <c r="M11" s="39"/>
      <c r="N11" s="40"/>
      <c r="O11" s="39"/>
      <c r="P11" s="39"/>
      <c r="Q11" s="58"/>
      <c r="R11" s="39"/>
      <c r="S11" s="39"/>
      <c r="T11" s="39"/>
      <c r="U11" s="39"/>
      <c r="V11" s="39"/>
      <c r="W11" s="39"/>
      <c r="X11" s="39"/>
      <c r="Y11" s="39"/>
    </row>
    <row r="12" s="2" customFormat="1" ht="20" customHeight="1" spans="1:25">
      <c r="A12" s="16" t="s">
        <v>46</v>
      </c>
      <c r="B12" s="16"/>
      <c r="C12" s="17"/>
      <c r="D12" s="18"/>
      <c r="E12" s="18"/>
      <c r="F12" s="18"/>
      <c r="G12" s="17"/>
      <c r="H12" s="17"/>
      <c r="I12" s="41">
        <f>SUM(I11:I11)</f>
        <v>0</v>
      </c>
      <c r="J12" s="41"/>
      <c r="K12" s="41"/>
      <c r="L12" s="41">
        <f t="shared" ref="J12:Y12" si="5">SUM(L11:L11)</f>
        <v>0</v>
      </c>
      <c r="M12" s="41">
        <f t="shared" si="5"/>
        <v>0</v>
      </c>
      <c r="N12" s="41">
        <f t="shared" si="5"/>
        <v>0</v>
      </c>
      <c r="O12" s="41">
        <f t="shared" si="5"/>
        <v>0</v>
      </c>
      <c r="P12" s="41">
        <f t="shared" si="5"/>
        <v>0</v>
      </c>
      <c r="Q12" s="41">
        <f t="shared" si="5"/>
        <v>0</v>
      </c>
      <c r="R12" s="41">
        <f t="shared" si="5"/>
        <v>0</v>
      </c>
      <c r="S12" s="41">
        <f t="shared" si="5"/>
        <v>0</v>
      </c>
      <c r="T12" s="41">
        <f t="shared" si="5"/>
        <v>0</v>
      </c>
      <c r="U12" s="41">
        <f t="shared" si="5"/>
        <v>0</v>
      </c>
      <c r="V12" s="41">
        <f t="shared" si="5"/>
        <v>0</v>
      </c>
      <c r="W12" s="41">
        <f t="shared" si="5"/>
        <v>0</v>
      </c>
      <c r="X12" s="41">
        <f t="shared" si="5"/>
        <v>0</v>
      </c>
      <c r="Y12" s="41">
        <f>SUM(Y5:Y11)</f>
        <v>9785.35</v>
      </c>
    </row>
    <row r="13" ht="14" customHeight="1"/>
    <row r="14" ht="14" customHeight="1" spans="12:18">
      <c r="L14" s="42"/>
      <c r="M14" s="42"/>
      <c r="N14" s="42"/>
      <c r="O14" s="42"/>
      <c r="P14" s="42"/>
      <c r="Q14" s="42"/>
      <c r="R14" s="42"/>
    </row>
    <row r="15" ht="14" customHeight="1"/>
    <row r="16" ht="14" customHeight="1"/>
  </sheetData>
  <autoFilter ref="B3:U12">
    <extLst/>
  </autoFilter>
  <mergeCells count="32">
    <mergeCell ref="B1:U1"/>
    <mergeCell ref="I3:L3"/>
    <mergeCell ref="N3:R3"/>
    <mergeCell ref="U3:W3"/>
    <mergeCell ref="A12:B12"/>
    <mergeCell ref="A3:A4"/>
    <mergeCell ref="A6:A7"/>
    <mergeCell ref="B3:B4"/>
    <mergeCell ref="B6:B7"/>
    <mergeCell ref="C3:C4"/>
    <mergeCell ref="D3:D4"/>
    <mergeCell ref="E3:E4"/>
    <mergeCell ref="F3:F4"/>
    <mergeCell ref="G3:G4"/>
    <mergeCell ref="H3:H4"/>
    <mergeCell ref="M3:M4"/>
    <mergeCell ref="M6:M7"/>
    <mergeCell ref="N6:N7"/>
    <mergeCell ref="O6:O7"/>
    <mergeCell ref="P6:P7"/>
    <mergeCell ref="Q6:Q7"/>
    <mergeCell ref="R6:R7"/>
    <mergeCell ref="S3:S4"/>
    <mergeCell ref="S6:S7"/>
    <mergeCell ref="T3:T4"/>
    <mergeCell ref="T6:T7"/>
    <mergeCell ref="U6:U7"/>
    <mergeCell ref="V6:V7"/>
    <mergeCell ref="W6:W7"/>
    <mergeCell ref="X6:X7"/>
    <mergeCell ref="Y3:Y4"/>
    <mergeCell ref="Y6:Y7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2024-07-05T03:01:57Z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