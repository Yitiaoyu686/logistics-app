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毛利表2023" sheetId="2" r:id="rId1"/>
  </sheets>
  <definedNames>
    <definedName name="_xlnm._FilterDatabase" localSheetId="0" hidden="1">毛利表2023!$B$3:$T$8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<sst xmlns="http://schemas.openxmlformats.org/spreadsheetml/2006/main" count="38" uniqueCount="35">
  <si>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ＮＢＯ贝宁科托努毛利表（1月）</t>
  </si>
  <si>
    <t>日期：2019年</t>
  </si>
  <si>
    <t>JOB</t>
  </si>
  <si>
    <t>集装编号 </t>
  </si>
  <si>
    <t>运单编号 </t>
  </si>
  <si>
    <t>日期</t>
  </si>
  <si>
    <t>发货人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</si>
  <si>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</si>
  <si>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</si>
  <si>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</si>
  <si>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</si>
  <si>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</si>
  <si>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</si>
  <si>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</si>
  <si>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</si>
  <si>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</si>
  <si>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</si>
  <si>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</si>
  <si>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</si>
  <si>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</si>
  <si>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</si>
  <si>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</si>
  <si>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</si>
  <si>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</si>
  <si>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</si>
  <si>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</si>
  <si>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</si>
  <si>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</si>
  <si>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</si>
  <si>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JOB010291</t>
  </si>
  <si>
    <t>COLL003796</t>
  </si>
  <si>
    <t>ying</t>
  </si>
  <si>
    <t>simon</t>
  </si>
  <si>
    <t>欧翔国际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</si>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</sst>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m&quot;月&quot;d&quot;日&quot;;@"/>
    <numFmt numFmtId="178" formatCode="0_ "/>
    <numFmt numFmtId="179" formatCode="&quot;￥&quot;#,##0.00_);[Red]\(&quot;￥&quot;#,##0.00\)"/>
    <numFmt numFmtId="180" formatCode="_ * #,##0.00_ ;_ * \-#,##0.00_ ;_ * &quot;-&quot;_ ;_ @_ "/>
    <numFmt numFmtId="181" formatCode="&quot;US$&quot;#,##0.00;\-&quot;US$&quot;#,##0.00"/>
  </numFmts>
  <fonts count="34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theme="1"/>
      <name val="宋体"/>
      <charset val="134"/>
      <scheme val="minor"/>
    </font>
    <font>
      <sz val="10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8" fontId="8" fillId="0" borderId="1" xfId="0" applyNumberFormat="1" applyFont="1" applyFill="1" applyBorder="1">
      <alignment vertical="center"/>
    </xf>
    <xf numFmtId="58" fontId="8" fillId="0" borderId="1" xfId="0" applyNumberFormat="1" applyFont="1" applyBorder="1" applyAlignment="1">
      <alignment horizontal="center" vertical="center"/>
    </xf>
    <xf numFmtId="179" fontId="9" fillId="2" borderId="1" xfId="0" applyNumberFormat="1" applyFont="1" applyFill="1" applyBorder="1">
      <alignment vertical="center"/>
    </xf>
    <xf numFmtId="179" fontId="9" fillId="0" borderId="1" xfId="0" applyNumberFormat="1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79" fontId="3" fillId="3" borderId="4" xfId="0" applyNumberFormat="1" applyFont="1" applyFill="1" applyBorder="1" applyAlignment="1">
      <alignment horizontal="center" vertical="center"/>
    </xf>
    <xf numFmtId="179" fontId="3" fillId="5" borderId="5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179" fontId="10" fillId="3" borderId="1" xfId="0" applyNumberFormat="1" applyFont="1" applyFill="1" applyBorder="1" applyAlignment="1">
      <alignment horizontal="center" vertical="center"/>
    </xf>
    <xf numFmtId="179" fontId="3" fillId="5" borderId="6" xfId="0" applyNumberFormat="1" applyFont="1" applyFill="1" applyBorder="1" applyAlignment="1">
      <alignment horizontal="center" vertical="center"/>
    </xf>
    <xf numFmtId="180" fontId="11" fillId="4" borderId="1" xfId="4" applyNumberFormat="1" applyFont="1" applyFill="1" applyBorder="1" applyAlignment="1">
      <alignment horizontal="center" vertical="center"/>
    </xf>
    <xf numFmtId="179" fontId="11" fillId="4" borderId="1" xfId="4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>
      <alignment vertical="center"/>
    </xf>
    <xf numFmtId="179" fontId="7" fillId="2" borderId="5" xfId="0" applyNumberFormat="1" applyFont="1" applyFill="1" applyBorder="1" applyAlignment="1">
      <alignment horizontal="center" vertical="center"/>
    </xf>
    <xf numFmtId="179" fontId="7" fillId="2" borderId="7" xfId="0" applyNumberFormat="1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12" fillId="2" borderId="1" xfId="0" applyNumberFormat="1" applyFont="1" applyFill="1" applyBorder="1">
      <alignment vertical="center"/>
    </xf>
    <xf numFmtId="179" fontId="0" fillId="3" borderId="1" xfId="0" applyNumberForma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9" fontId="13" fillId="4" borderId="8" xfId="0" applyNumberFormat="1" applyFont="1" applyFill="1" applyBorder="1" applyAlignment="1">
      <alignment horizontal="center" vertical="center"/>
    </xf>
    <xf numFmtId="179" fontId="13" fillId="0" borderId="5" xfId="0" applyNumberFormat="1" applyFont="1" applyFill="1" applyBorder="1" applyAlignment="1">
      <alignment horizontal="center" vertical="center" wrapText="1"/>
    </xf>
    <xf numFmtId="181" fontId="10" fillId="3" borderId="8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179" fontId="10" fillId="0" borderId="10" xfId="0" applyNumberFormat="1" applyFont="1" applyFill="1" applyBorder="1" applyAlignment="1">
      <alignment horizontal="center" vertical="center"/>
    </xf>
    <xf numFmtId="179" fontId="10" fillId="5" borderId="5" xfId="0" applyNumberFormat="1" applyFont="1" applyFill="1" applyBorder="1" applyAlignment="1">
      <alignment horizontal="center" vertical="center"/>
    </xf>
    <xf numFmtId="8" fontId="3" fillId="6" borderId="5" xfId="0" applyNumberFormat="1" applyFont="1" applyFill="1" applyBorder="1" applyAlignment="1">
      <alignment horizontal="center" vertical="center"/>
    </xf>
    <xf numFmtId="179" fontId="14" fillId="4" borderId="11" xfId="0" applyNumberFormat="1" applyFont="1" applyFill="1" applyBorder="1" applyAlignment="1">
      <alignment horizontal="center" vertical="center"/>
    </xf>
    <xf numFmtId="179" fontId="13" fillId="0" borderId="6" xfId="0" applyNumberFormat="1" applyFont="1" applyFill="1" applyBorder="1" applyAlignment="1">
      <alignment horizontal="center" vertical="center" wrapText="1"/>
    </xf>
    <xf numFmtId="181" fontId="10" fillId="3" borderId="1" xfId="0" applyNumberFormat="1" applyFont="1" applyFill="1" applyBorder="1" applyAlignment="1">
      <alignment horizontal="center" vertical="center"/>
    </xf>
    <xf numFmtId="179" fontId="10" fillId="0" borderId="1" xfId="0" applyNumberFormat="1" applyFont="1" applyFill="1" applyBorder="1" applyAlignment="1">
      <alignment horizontal="center" vertical="center"/>
    </xf>
    <xf numFmtId="179" fontId="10" fillId="5" borderId="1" xfId="0" applyNumberFormat="1" applyFont="1" applyFill="1" applyBorder="1" applyAlignment="1">
      <alignment horizontal="center" vertical="center"/>
    </xf>
    <xf numFmtId="8" fontId="3" fillId="6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2"/>
  <sheetViews>
    <sheetView tabSelected="1" topLeftCell="B1" workbookViewId="0">
      <pane ySplit="4" topLeftCell="A5" activePane="bottomLeft" state="frozen"/>
      <selection/>
      <selection pane="bottomLeft" activeCell="X8" sqref="X8"/>
    </sheetView>
  </sheetViews>
  <sheetFormatPr defaultColWidth="9" defaultRowHeight="19" customHeight="1"/>
  <cols>
    <col min="1" max="1" width="10.375" style="3"/>
    <col min="2" max="2" width="10.375" style="1" customWidth="1"/>
    <col min="3" max="3" width="11.875" style="1" customWidth="1"/>
    <col min="4" max="5" width="7.125" style="1" customWidth="1"/>
    <col min="6" max="6" width="8.125" style="1" customWidth="1"/>
    <col min="7" max="7" width="7.75" style="1" customWidth="1"/>
    <col min="8" max="8" width="11.5" style="1" customWidth="1"/>
    <col min="9" max="9" width="7.5" style="1" customWidth="1"/>
    <col min="10" max="10" width="4.625" style="1" customWidth="1"/>
    <col min="11" max="11" width="12.875" style="1" customWidth="1"/>
    <col min="12" max="12" width="13.625" style="1"/>
    <col min="13" max="13" width="9" style="1"/>
    <col min="14" max="14" width="11" style="1" customWidth="1"/>
    <col min="15" max="15" width="9.25" style="1"/>
    <col min="16" max="16" width="10.25" style="1"/>
    <col min="17" max="17" width="9.625" style="1" customWidth="1"/>
    <col min="18" max="18" width="9" style="1"/>
    <col min="19" max="19" width="11.25" style="1" customWidth="1"/>
    <col min="20" max="22" width="9" style="1"/>
    <col min="23" max="23" width="12.25" style="1" customWidth="1"/>
    <col min="24" max="24" width="12.875" style="1"/>
    <col min="25" max="16384" width="9" style="1"/>
  </cols>
  <sheetData>
    <row r="1" ht="20.25" customHeight="1" spans="1:20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ht="21" customHeight="1" spans="1:20">
      <c r="A2" s="4"/>
      <c r="B2" s="5"/>
      <c r="C2" s="5"/>
      <c r="D2" s="5"/>
      <c r="E2" s="5"/>
      <c r="F2" s="5"/>
      <c r="G2" s="5"/>
      <c r="H2" s="5"/>
      <c r="I2" s="5"/>
      <c r="J2" s="2"/>
      <c r="K2" s="22"/>
      <c r="L2" s="22"/>
      <c r="M2" s="22"/>
      <c r="N2" s="22"/>
      <c r="O2" s="22"/>
      <c r="Q2" s="22"/>
      <c r="R2" s="22" t="s">
        <v>1</v>
      </c>
      <c r="S2" s="22"/>
      <c r="T2" s="22"/>
    </row>
    <row r="3" s="1" customFormat="1" ht="17" customHeight="1" spans="1:24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10" t="s">
        <v>9</v>
      </c>
      <c r="I3" s="23"/>
      <c r="J3" s="24"/>
      <c r="K3" s="25"/>
      <c r="L3" s="26" t="s">
        <v>10</v>
      </c>
      <c r="M3" s="27" t="s">
        <v>11</v>
      </c>
      <c r="N3" s="28"/>
      <c r="O3" s="28"/>
      <c r="P3" s="28"/>
      <c r="Q3" s="41"/>
      <c r="R3" s="42" t="s">
        <v>12</v>
      </c>
      <c r="S3" s="43" t="s">
        <v>13</v>
      </c>
      <c r="T3" s="44" t="s">
        <v>14</v>
      </c>
      <c r="U3" s="45"/>
      <c r="V3" s="46"/>
      <c r="W3" s="47" t="s">
        <v>15</v>
      </c>
      <c r="X3" s="48" t="s">
        <v>16</v>
      </c>
    </row>
    <row r="4" s="1" customFormat="1" ht="39" customHeight="1" spans="1:24">
      <c r="A4" s="6"/>
      <c r="B4" s="7"/>
      <c r="C4" s="8"/>
      <c r="D4" s="9"/>
      <c r="E4" s="9"/>
      <c r="F4" s="7"/>
      <c r="G4" s="7"/>
      <c r="H4" s="11" t="s">
        <v>17</v>
      </c>
      <c r="I4" s="11" t="s">
        <v>18</v>
      </c>
      <c r="J4" s="29" t="s">
        <v>19</v>
      </c>
      <c r="K4" s="30" t="s">
        <v>20</v>
      </c>
      <c r="L4" s="31"/>
      <c r="M4" s="32" t="s">
        <v>21</v>
      </c>
      <c r="N4" s="33" t="s">
        <v>22</v>
      </c>
      <c r="O4" s="33" t="s">
        <v>23</v>
      </c>
      <c r="P4" s="33" t="s">
        <v>24</v>
      </c>
      <c r="Q4" s="33" t="s">
        <v>25</v>
      </c>
      <c r="R4" s="49"/>
      <c r="S4" s="50"/>
      <c r="T4" s="51" t="s">
        <v>26</v>
      </c>
      <c r="U4" s="11" t="s">
        <v>27</v>
      </c>
      <c r="V4" s="52" t="s">
        <v>20</v>
      </c>
      <c r="W4" s="53" t="s">
        <v>28</v>
      </c>
      <c r="X4" s="54"/>
    </row>
    <row r="5" s="1" customFormat="1" customHeight="1" spans="1:24">
      <c r="A5" s="12" t="s">
        <v>29</v>
      </c>
      <c r="B5" s="13" t="s">
        <v>30</v>
      </c>
      <c r="C5" s="14">
        <v>231219000011</v>
      </c>
      <c r="D5" s="15">
        <v>45309</v>
      </c>
      <c r="E5" s="13" t="s">
        <v>31</v>
      </c>
      <c r="F5" s="13" t="s">
        <v>32</v>
      </c>
      <c r="G5" s="13">
        <v>162.5</v>
      </c>
      <c r="H5" s="16">
        <v>14597.5</v>
      </c>
      <c r="I5" s="34"/>
      <c r="J5" s="34"/>
      <c r="K5" s="34">
        <f>SUM(H5)</f>
        <v>14597.5</v>
      </c>
      <c r="L5" s="35">
        <f>SUM(K5:K6)</f>
        <v>22227.5</v>
      </c>
      <c r="M5" s="35" t="s">
        <v>33</v>
      </c>
      <c r="N5" s="35">
        <v>14476</v>
      </c>
      <c r="O5" s="35"/>
      <c r="P5" s="35">
        <v>72</v>
      </c>
      <c r="Q5" s="35"/>
      <c r="R5" s="35"/>
      <c r="S5" s="35">
        <f>SUM(N5:R6)</f>
        <v>14548</v>
      </c>
      <c r="T5" s="35"/>
      <c r="U5" s="35"/>
      <c r="V5" s="35">
        <v>0</v>
      </c>
      <c r="W5" s="35">
        <f>SUM(S5+V5)</f>
        <v>14548</v>
      </c>
      <c r="X5" s="35">
        <f>SUM(L5-W5)</f>
        <v>7679.5</v>
      </c>
    </row>
    <row r="6" s="1" customFormat="1" customHeight="1" spans="1:24">
      <c r="A6" s="12"/>
      <c r="B6" s="13"/>
      <c r="C6" s="14">
        <v>231221000003</v>
      </c>
      <c r="D6" s="15">
        <v>45309</v>
      </c>
      <c r="E6" s="13" t="s">
        <v>31</v>
      </c>
      <c r="F6" s="13" t="s">
        <v>32</v>
      </c>
      <c r="G6" s="13">
        <v>62</v>
      </c>
      <c r="H6" s="16">
        <v>7630</v>
      </c>
      <c r="I6" s="34"/>
      <c r="J6" s="34"/>
      <c r="K6" s="34">
        <f>SUM(H6)</f>
        <v>7630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="1" customFormat="1" customHeight="1" spans="1:24">
      <c r="A7" s="12"/>
      <c r="B7" s="13"/>
      <c r="C7" s="14"/>
      <c r="D7" s="15"/>
      <c r="E7" s="15"/>
      <c r="F7" s="13"/>
      <c r="G7" s="13"/>
      <c r="H7" s="17"/>
      <c r="I7" s="34"/>
      <c r="J7" s="34"/>
      <c r="K7" s="34"/>
      <c r="L7" s="37"/>
      <c r="M7" s="38"/>
      <c r="N7" s="37"/>
      <c r="O7" s="37"/>
      <c r="P7" s="39"/>
      <c r="Q7" s="37"/>
      <c r="R7" s="37"/>
      <c r="S7" s="37"/>
      <c r="T7" s="37"/>
      <c r="U7" s="37"/>
      <c r="V7" s="37"/>
      <c r="W7" s="37"/>
      <c r="X7" s="37"/>
    </row>
    <row r="8" s="2" customFormat="1" ht="20" customHeight="1" spans="1:24">
      <c r="A8" s="18" t="s">
        <v>34</v>
      </c>
      <c r="B8" s="18"/>
      <c r="C8" s="19"/>
      <c r="D8" s="20"/>
      <c r="E8" s="20"/>
      <c r="F8" s="19"/>
      <c r="G8" s="19"/>
      <c r="H8" s="21">
        <f>SUM(H7:H7)</f>
        <v>0</v>
      </c>
      <c r="I8" s="21"/>
      <c r="J8" s="21"/>
      <c r="K8" s="21">
        <f t="shared" ref="I8:X8" si="0">SUM(K7:K7)</f>
        <v>0</v>
      </c>
      <c r="L8" s="21">
        <f t="shared" si="0"/>
        <v>0</v>
      </c>
      <c r="M8" s="21">
        <f t="shared" si="0"/>
        <v>0</v>
      </c>
      <c r="N8" s="21">
        <f t="shared" si="0"/>
        <v>0</v>
      </c>
      <c r="O8" s="21">
        <f t="shared" si="0"/>
        <v>0</v>
      </c>
      <c r="P8" s="21">
        <f t="shared" si="0"/>
        <v>0</v>
      </c>
      <c r="Q8" s="21">
        <f t="shared" si="0"/>
        <v>0</v>
      </c>
      <c r="R8" s="21">
        <f t="shared" si="0"/>
        <v>0</v>
      </c>
      <c r="S8" s="21">
        <f t="shared" si="0"/>
        <v>0</v>
      </c>
      <c r="T8" s="21">
        <f t="shared" si="0"/>
        <v>0</v>
      </c>
      <c r="U8" s="21">
        <f t="shared" si="0"/>
        <v>0</v>
      </c>
      <c r="V8" s="21">
        <f t="shared" si="0"/>
        <v>0</v>
      </c>
      <c r="W8" s="21">
        <f t="shared" si="0"/>
        <v>0</v>
      </c>
      <c r="X8" s="21">
        <f>SUM(X5:X7)</f>
        <v>7679.5</v>
      </c>
    </row>
    <row r="9" ht="14" customHeight="1"/>
    <row r="10" ht="14" customHeight="1" spans="11:17">
      <c r="K10" s="40"/>
      <c r="L10" s="40"/>
      <c r="M10" s="40"/>
      <c r="N10" s="40"/>
      <c r="O10" s="40"/>
      <c r="P10" s="40"/>
      <c r="Q10" s="40"/>
    </row>
    <row r="11" ht="14" customHeight="1"/>
    <row r="12" ht="14" customHeight="1"/>
  </sheetData>
  <autoFilter ref="B3:T8">
    <extLst/>
  </autoFilter>
  <mergeCells count="31">
    <mergeCell ref="B1:T1"/>
    <mergeCell ref="H3:K3"/>
    <mergeCell ref="M3:Q3"/>
    <mergeCell ref="T3:V3"/>
    <mergeCell ref="A8:B8"/>
    <mergeCell ref="A3:A4"/>
    <mergeCell ref="A5:A6"/>
    <mergeCell ref="B3:B4"/>
    <mergeCell ref="B5:B6"/>
    <mergeCell ref="C3:C4"/>
    <mergeCell ref="D3:D4"/>
    <mergeCell ref="E3:E4"/>
    <mergeCell ref="F3:F4"/>
    <mergeCell ref="G3:G4"/>
    <mergeCell ref="L3:L4"/>
    <mergeCell ref="L5:L6"/>
    <mergeCell ref="M5:M6"/>
    <mergeCell ref="N5:N6"/>
    <mergeCell ref="O5:O6"/>
    <mergeCell ref="P5:P6"/>
    <mergeCell ref="Q5:Q6"/>
    <mergeCell ref="R3:R4"/>
    <mergeCell ref="R5:R6"/>
    <mergeCell ref="S3:S4"/>
    <mergeCell ref="S5:S6"/>
    <mergeCell ref="T5:T6"/>
    <mergeCell ref="U5:U6"/>
    <mergeCell ref="V5:V6"/>
    <mergeCell ref="W5:W6"/>
    <mergeCell ref="X3:X4"/>
    <mergeCell ref="X5:X6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毛利表2023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2018-03-09T08:26:00Z</dcterms:created>
  <dcterms:modified xsi:type="dcterms:W3CDTF">2024-04-12T07:05:03Z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KSORubyTemplateID" linkTarget="0">
    <vt:lpwstr>11</vt:lpwstr>
  </property>
  <property fmtid="{D5CDD505-2E9C-101B-9397-08002B2CF9AE}" pid="4" name="ICV">
    <vt:lpwstr>F753902E71D6468A8ACD77BB82A111CA</vt:lpwstr>
  </property>
</Properties>
</file>