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Sheet1" sheetId="1" r:id="rId1"/>
  </sheets>
  <definedNames>
    <definedName name="_xlnm._FilterDatabase" localSheetId="0" hidden="1">Sheet1!$A$2:$AE$903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5" authorId="0">
      <text>
        <r>
          <rPr>
            <sz val="9"/>
            <rFont val="宋体"/>
            <charset val="134"/>
          </rPr>
          <t xml:space="preserve">预付682.5转到付USD95.58
</t>
        </r>
      </text>
    </comment>
    <comment ref="M6" authorId="0">
      <text>
        <r>
          <rPr>
            <sz val="9"/>
            <rFont val="宋体"/>
            <charset val="134"/>
          </rPr>
          <t xml:space="preserve">预付408转到付USD56.9
</t>
        </r>
      </text>
    </comment>
    <comment ref="M8" authorId="0">
      <text>
        <r>
          <rPr>
            <sz val="9"/>
            <rFont val="宋体"/>
            <charset val="134"/>
          </rPr>
          <t>预付73转到付USD10.22</t>
        </r>
      </text>
    </comment>
    <comment ref="M10" authorId="0">
      <text>
        <r>
          <rPr>
            <sz val="9"/>
            <rFont val="宋体"/>
            <charset val="134"/>
          </rPr>
          <t xml:space="preserve">预付125转到付USD17.43
</t>
        </r>
      </text>
    </comment>
    <comment ref="M11" authorId="0">
      <text>
        <r>
          <rPr>
            <sz val="9"/>
            <rFont val="宋体"/>
            <charset val="134"/>
          </rPr>
          <t xml:space="preserve">预付213转到付USD29.83
</t>
        </r>
      </text>
    </comment>
    <comment ref="J14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
</t>
        </r>
      </text>
    </comment>
    <comment ref="J20" authorId="0">
      <text>
        <r>
          <rPr>
            <sz val="9"/>
            <rFont val="宋体"/>
            <charset val="134"/>
          </rPr>
          <t xml:space="preserve">合计7946754.29/2.
</t>
        </r>
      </text>
    </comment>
    <comment ref="M20" authorId="0">
      <text>
        <r>
          <rPr>
            <sz val="9"/>
            <rFont val="宋体"/>
            <charset val="134"/>
          </rPr>
          <t xml:space="preserve">预付315转到付USD43.93
</t>
        </r>
      </text>
    </comment>
    <comment ref="J23" authorId="0">
      <text>
        <r>
          <rPr>
            <sz val="9"/>
            <rFont val="宋体"/>
            <charset val="134"/>
          </rPr>
          <t xml:space="preserve">231225000025/231218000031合计50018.
</t>
        </r>
      </text>
    </comment>
    <comment ref="M23" authorId="0">
      <text>
        <r>
          <rPr>
            <sz val="9"/>
            <rFont val="宋体"/>
            <charset val="134"/>
          </rPr>
          <t xml:space="preserve">预付210转到付USD29.41
</t>
        </r>
      </text>
    </comment>
    <comment ref="J27" authorId="0">
      <text>
        <r>
          <rPr>
            <sz val="9"/>
            <rFont val="宋体"/>
            <charset val="134"/>
          </rPr>
          <t xml:space="preserve">231212000006/231225000030合计897435.
</t>
        </r>
      </text>
    </comment>
    <comment ref="M27" authorId="0">
      <text>
        <r>
          <rPr>
            <sz val="9"/>
            <rFont val="宋体"/>
            <charset val="134"/>
          </rPr>
          <t xml:space="preserve">预付2856转到付USD400
</t>
        </r>
      </text>
    </comment>
    <comment ref="M29" authorId="0">
      <text>
        <r>
          <rPr>
            <sz val="9"/>
            <rFont val="宋体"/>
            <charset val="134"/>
          </rPr>
          <t xml:space="preserve">预付2600.5转到付USD364.21
</t>
        </r>
      </text>
    </comment>
    <comment ref="J31" authorId="0">
      <text>
        <r>
          <rPr>
            <sz val="9"/>
            <rFont val="宋体"/>
            <charset val="134"/>
          </rPr>
          <t xml:space="preserve">231225000036/231230000001合计3570000.
</t>
        </r>
      </text>
    </comment>
    <comment ref="M31" authorId="0">
      <text>
        <r>
          <rPr>
            <sz val="9"/>
            <rFont val="宋体"/>
            <charset val="134"/>
          </rPr>
          <t xml:space="preserve">预付8790转到付USD1225.94
</t>
        </r>
      </text>
    </comment>
    <comment ref="J33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M33" authorId="0">
      <text>
        <r>
          <rPr>
            <sz val="9"/>
            <rFont val="宋体"/>
            <charset val="134"/>
          </rPr>
          <t xml:space="preserve">预付675转到付USD94.14
</t>
        </r>
      </text>
    </comment>
    <comment ref="M34" authorId="0">
      <text>
        <r>
          <rPr>
            <sz val="9"/>
            <rFont val="宋体"/>
            <charset val="134"/>
          </rPr>
          <t xml:space="preserve">预付2886.5转到付USD402.58
</t>
        </r>
      </text>
    </comment>
    <comment ref="M35" authorId="0">
      <text>
        <r>
          <rPr>
            <sz val="9"/>
            <rFont val="宋体"/>
            <charset val="134"/>
          </rPr>
          <t xml:space="preserve">预付944转到付USD132.21
</t>
        </r>
      </text>
    </comment>
    <comment ref="J36" authorId="0">
      <text>
        <r>
          <rPr>
            <sz val="9"/>
            <rFont val="宋体"/>
            <charset val="134"/>
          </rPr>
          <t xml:space="preserve">231226000001/231226000015/240108000040/240115000041/231226000001合计3023900.
</t>
        </r>
      </text>
    </comment>
    <comment ref="M36" authorId="0">
      <text>
        <r>
          <rPr>
            <sz val="9"/>
            <rFont val="宋体"/>
            <charset val="134"/>
          </rPr>
          <t xml:space="preserve">预付150转到付USD20.92
</t>
        </r>
      </text>
    </comment>
    <comment ref="J38" authorId="0">
      <text>
        <r>
          <rPr>
            <sz val="9"/>
            <rFont val="宋体"/>
            <charset val="134"/>
          </rPr>
          <t xml:space="preserve">231125000029/231226000017合计5145390.
</t>
        </r>
      </text>
    </comment>
    <comment ref="I40" authorId="0">
      <text>
        <r>
          <rPr>
            <sz val="9"/>
            <rFont val="宋体"/>
            <charset val="134"/>
          </rPr>
          <t xml:space="preserve">到付USD35.2转预付282.5
</t>
        </r>
      </text>
    </comment>
    <comment ref="M42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J49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M49" authorId="0">
      <text>
        <r>
          <rPr>
            <sz val="9"/>
            <rFont val="宋体"/>
            <charset val="134"/>
          </rPr>
          <t xml:space="preserve">预付325转到付USD45.32
</t>
        </r>
      </text>
    </comment>
    <comment ref="I55" authorId="0">
      <text>
        <r>
          <rPr>
            <sz val="9"/>
            <rFont val="宋体"/>
            <charset val="134"/>
          </rPr>
          <t xml:space="preserve">30/12对冲华诺空运费用JOB120328
</t>
        </r>
      </text>
    </comment>
    <comment ref="J57" authorId="0">
      <text>
        <r>
          <rPr>
            <sz val="9"/>
            <rFont val="宋体"/>
            <charset val="134"/>
          </rPr>
          <t xml:space="preserve">231227000031/240102000036合计510000.
</t>
        </r>
      </text>
    </comment>
    <comment ref="J64" authorId="0">
      <text>
        <r>
          <rPr>
            <sz val="9"/>
            <rFont val="宋体"/>
            <charset val="134"/>
          </rPr>
          <t xml:space="preserve">231228000023/231220000024合计5207752.
</t>
        </r>
      </text>
    </comment>
    <comment ref="M64" authorId="0">
      <text>
        <r>
          <rPr>
            <sz val="9"/>
            <rFont val="宋体"/>
            <charset val="134"/>
          </rPr>
          <t xml:space="preserve">预付1057.5转到付USD148.1
</t>
        </r>
      </text>
    </comment>
    <comment ref="M78" authorId="0">
      <text>
        <r>
          <rPr>
            <sz val="9"/>
            <rFont val="宋体"/>
            <charset val="134"/>
          </rPr>
          <t xml:space="preserve">预付47000转到付USD6582.63
</t>
        </r>
      </text>
    </comment>
    <comment ref="I86" authorId="0">
      <text>
        <r>
          <rPr>
            <sz val="9"/>
            <rFont val="宋体"/>
            <charset val="134"/>
          </rPr>
          <t xml:space="preserve">到付USD42.4转预付339.
</t>
        </r>
      </text>
    </comment>
    <comment ref="J90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M98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J107" authorId="0">
      <text>
        <r>
          <rPr>
            <sz val="9"/>
            <rFont val="宋体"/>
            <charset val="134"/>
          </rPr>
          <t xml:space="preserve">231225000020/240103000005/231218000054/231225000019合计1076817.28
</t>
        </r>
      </text>
    </comment>
    <comment ref="M107" authorId="0">
      <text>
        <r>
          <rPr>
            <sz val="9"/>
            <rFont val="宋体"/>
            <charset val="134"/>
          </rPr>
          <t xml:space="preserve">预付1667.5转到付USD233.54
</t>
        </r>
      </text>
    </comment>
    <comment ref="J117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I129" authorId="0">
      <text>
        <r>
          <rPr>
            <sz val="9"/>
            <rFont val="宋体"/>
            <charset val="134"/>
          </rPr>
          <t xml:space="preserve">到付USD2452转预付17683.2
</t>
        </r>
      </text>
    </comment>
    <comment ref="C135" authorId="0">
      <text>
        <r>
          <rPr>
            <sz val="9"/>
            <rFont val="宋体"/>
            <charset val="134"/>
          </rPr>
          <t xml:space="preserve">航空公司收抛，老板说要计算在里面。
</t>
        </r>
      </text>
    </comment>
    <comment ref="M138" authorId="0">
      <text>
        <r>
          <rPr>
            <sz val="9"/>
            <rFont val="宋体"/>
            <charset val="134"/>
          </rPr>
          <t>预付4194转到付USD584.93</t>
        </r>
      </text>
    </comment>
    <comment ref="M139" authorId="0">
      <text>
        <r>
          <rPr>
            <sz val="9"/>
            <rFont val="宋体"/>
            <charset val="134"/>
          </rPr>
          <t xml:space="preserve">预付1268.2转到付USD176.87
</t>
        </r>
      </text>
    </comment>
    <comment ref="C145" authorId="0">
      <text>
        <r>
          <rPr>
            <sz val="9"/>
            <rFont val="宋体"/>
            <charset val="134"/>
          </rPr>
          <t xml:space="preserve">
</t>
        </r>
      </text>
    </comment>
    <comment ref="H145" authorId="0">
      <text>
        <r>
          <rPr>
            <sz val="9"/>
            <rFont val="宋体"/>
            <charset val="134"/>
          </rPr>
          <t xml:space="preserve">
</t>
        </r>
      </text>
    </comment>
    <comment ref="J150" authorId="0">
      <text>
        <r>
          <rPr>
            <sz val="9"/>
            <rFont val="宋体"/>
            <charset val="134"/>
          </rPr>
          <t xml:space="preserve">231227000010/240103000010合计54856
</t>
        </r>
      </text>
    </comment>
    <comment ref="M150" authorId="0">
      <text>
        <r>
          <rPr>
            <sz val="9"/>
            <rFont val="宋体"/>
            <charset val="134"/>
          </rPr>
          <t xml:space="preserve">预付113转到付USD15.82
</t>
        </r>
      </text>
    </comment>
    <comment ref="M163" authorId="0">
      <text>
        <r>
          <rPr>
            <sz val="9"/>
            <rFont val="宋体"/>
            <charset val="134"/>
          </rPr>
          <t xml:space="preserve">预付556转到付USD77.54
</t>
        </r>
      </text>
    </comment>
    <comment ref="M164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J169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J170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
</t>
        </r>
      </text>
    </comment>
    <comment ref="J175" authorId="0">
      <text>
        <r>
          <rPr>
            <sz val="9"/>
            <rFont val="宋体"/>
            <charset val="134"/>
          </rPr>
          <t xml:space="preserve">231225000036/231230000001合计2570000.
</t>
        </r>
      </text>
    </comment>
    <comment ref="J176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M176" authorId="0">
      <text>
        <r>
          <rPr>
            <sz val="9"/>
            <rFont val="宋体"/>
            <charset val="134"/>
          </rPr>
          <t xml:space="preserve">预付1131转到付USD157.74
</t>
        </r>
      </text>
    </comment>
    <comment ref="I177" authorId="0">
      <text>
        <r>
          <rPr>
            <sz val="9"/>
            <rFont val="宋体"/>
            <charset val="134"/>
          </rPr>
          <t xml:space="preserve">到付USD8.1转预付59.
</t>
        </r>
      </text>
    </comment>
    <comment ref="M179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J182" authorId="0">
      <text>
        <r>
          <rPr>
            <sz val="9"/>
            <rFont val="宋体"/>
            <charset val="134"/>
          </rPr>
          <t xml:space="preserve">231230000003/240101000001合计收261888
</t>
        </r>
      </text>
    </comment>
    <comment ref="M182" authorId="0">
      <text>
        <r>
          <rPr>
            <sz val="9"/>
            <rFont val="宋体"/>
            <charset val="134"/>
          </rPr>
          <t xml:space="preserve">预付357转到付USD49.79
</t>
        </r>
      </text>
    </comment>
    <comment ref="J184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M184" authorId="0">
      <text>
        <r>
          <rPr>
            <sz val="9"/>
            <rFont val="宋体"/>
            <charset val="134"/>
          </rPr>
          <t>预付200转到付USD27.89</t>
        </r>
      </text>
    </comment>
    <comment ref="J185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231229000012/231229000013/240102000010/240102000011/240103000022/231225000004合计828971.6.
</t>
        </r>
      </text>
    </comment>
    <comment ref="J186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M192" authorId="0">
      <text>
        <r>
          <rPr>
            <sz val="9"/>
            <rFont val="宋体"/>
            <charset val="134"/>
          </rPr>
          <t xml:space="preserve">预付682转到付USD95.51
</t>
        </r>
      </text>
    </comment>
    <comment ref="J194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
</t>
        </r>
      </text>
    </comment>
    <comment ref="M194" authorId="0">
      <text>
        <r>
          <rPr>
            <sz val="9"/>
            <rFont val="宋体"/>
            <charset val="134"/>
          </rPr>
          <t xml:space="preserve">预付836转USD116.87
</t>
        </r>
      </text>
    </comment>
    <comment ref="J195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J196" authorId="0">
      <text>
        <r>
          <rPr>
            <sz val="9"/>
            <rFont val="宋体"/>
            <charset val="134"/>
          </rPr>
          <t>合计38700000.</t>
        </r>
      </text>
    </comment>
    <comment ref="M196" authorId="0">
      <text>
        <r>
          <rPr>
            <sz val="9"/>
            <rFont val="宋体"/>
            <charset val="134"/>
          </rPr>
          <t xml:space="preserve">预付27825转到付USD3880.75
</t>
        </r>
      </text>
    </comment>
    <comment ref="J203" authorId="0">
      <text>
        <r>
          <rPr>
            <sz val="9"/>
            <rFont val="宋体"/>
            <charset val="134"/>
          </rPr>
          <t>合计7946754</t>
        </r>
      </text>
    </comment>
    <comment ref="M203" authorId="0">
      <text>
        <r>
          <rPr>
            <sz val="9"/>
            <rFont val="宋体"/>
            <charset val="134"/>
          </rPr>
          <t xml:space="preserve">预付825转到付USD115.06
</t>
        </r>
      </text>
    </comment>
    <comment ref="M206" authorId="0">
      <text>
        <r>
          <rPr>
            <sz val="9"/>
            <rFont val="宋体"/>
            <charset val="134"/>
          </rPr>
          <t>预付60转到付USD8.4</t>
        </r>
      </text>
    </comment>
    <comment ref="J209" authorId="0">
      <text>
        <r>
          <rPr>
            <sz val="9"/>
            <rFont val="宋体"/>
            <charset val="134"/>
          </rPr>
          <t xml:space="preserve">231229000012/231229000013/240102000010/240102000011/240103000022/231225000004合计838971.6.
</t>
        </r>
      </text>
    </comment>
    <comment ref="M211" authorId="0">
      <text>
        <r>
          <rPr>
            <sz val="9"/>
            <rFont val="宋体"/>
            <charset val="134"/>
          </rPr>
          <t xml:space="preserve">预付135转到付USD18.9
</t>
        </r>
      </text>
    </comment>
    <comment ref="J214" authorId="0">
      <text>
        <r>
          <rPr>
            <sz val="9"/>
            <rFont val="宋体"/>
            <charset val="134"/>
          </rPr>
          <t xml:space="preserve">231122000013/231213000013/231219000026/231204000015/231020000043/240103000039合计1979077.8.
</t>
        </r>
      </text>
    </comment>
    <comment ref="J227" authorId="0">
      <text>
        <r>
          <rPr>
            <sz val="9"/>
            <rFont val="宋体"/>
            <charset val="134"/>
          </rPr>
          <t xml:space="preserve">231211000014/240104000019/240105000021合计11388610.
</t>
        </r>
      </text>
    </comment>
    <comment ref="J232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M232" authorId="0">
      <text>
        <r>
          <rPr>
            <sz val="9"/>
            <rFont val="宋体"/>
            <charset val="134"/>
          </rPr>
          <t xml:space="preserve">预付220转到付USD30.68
</t>
        </r>
      </text>
    </comment>
    <comment ref="I233" authorId="0">
      <text>
        <r>
          <rPr>
            <sz val="9"/>
            <rFont val="宋体"/>
            <charset val="134"/>
          </rPr>
          <t xml:space="preserve">到付USD82.14转预付598.5
</t>
        </r>
      </text>
    </comment>
    <comment ref="M236" authorId="0">
      <text>
        <r>
          <rPr>
            <sz val="9"/>
            <rFont val="宋体"/>
            <charset val="134"/>
          </rPr>
          <t xml:space="preserve">预付8476转到付USD1182.14
</t>
        </r>
      </text>
    </comment>
    <comment ref="M237" authorId="0">
      <text>
        <r>
          <rPr>
            <sz val="9"/>
            <rFont val="宋体"/>
            <charset val="134"/>
          </rPr>
          <t xml:space="preserve">预付5257.4转到付USD736.33
</t>
        </r>
      </text>
    </comment>
    <comment ref="J238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M238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M239" authorId="0">
      <text>
        <r>
          <rPr>
            <sz val="9"/>
            <rFont val="宋体"/>
            <charset val="134"/>
          </rPr>
          <t xml:space="preserve">预付1375转到付USD191.77
</t>
        </r>
      </text>
    </comment>
    <comment ref="M244" authorId="0">
      <text>
        <r>
          <rPr>
            <sz val="9"/>
            <rFont val="宋体"/>
            <charset val="134"/>
          </rPr>
          <t xml:space="preserve">预付328.5转到付USD45.81
</t>
        </r>
      </text>
    </comment>
    <comment ref="M248" authorId="0">
      <text>
        <r>
          <rPr>
            <sz val="9"/>
            <rFont val="宋体"/>
            <charset val="134"/>
          </rPr>
          <t xml:space="preserve">预付347.5转到付USD48.46
</t>
        </r>
      </text>
    </comment>
    <comment ref="J257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M257" authorId="0">
      <text>
        <r>
          <rPr>
            <sz val="9"/>
            <rFont val="宋体"/>
            <charset val="134"/>
          </rPr>
          <t xml:space="preserve">预付125转到付USD17.5
</t>
        </r>
      </text>
    </comment>
    <comment ref="J266" authorId="0">
      <text>
        <r>
          <rPr>
            <sz val="9"/>
            <rFont val="宋体"/>
            <charset val="134"/>
          </rPr>
          <t xml:space="preserve">231226000011/231226000012/240109000012/240110000034合计299865
</t>
        </r>
      </text>
    </comment>
    <comment ref="M266" authorId="0">
      <text>
        <r>
          <rPr>
            <sz val="9"/>
            <rFont val="宋体"/>
            <charset val="134"/>
          </rPr>
          <t xml:space="preserve">预付930转到付USD130.25
</t>
        </r>
      </text>
    </comment>
    <comment ref="J271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M271" authorId="0">
      <text>
        <r>
          <rPr>
            <sz val="9"/>
            <rFont val="宋体"/>
            <charset val="134"/>
          </rPr>
          <t xml:space="preserve">预付130转到付USD18.2
</t>
        </r>
      </text>
    </comment>
    <comment ref="J272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M272" authorId="0">
      <text>
        <r>
          <rPr>
            <sz val="9"/>
            <rFont val="宋体"/>
            <charset val="134"/>
          </rPr>
          <t xml:space="preserve">预付900转到付USD126.05
</t>
        </r>
      </text>
    </comment>
    <comment ref="I281" authorId="0">
      <text>
        <r>
          <rPr>
            <sz val="9"/>
            <rFont val="宋体"/>
            <charset val="134"/>
          </rPr>
          <t xml:space="preserve">到付USD19.36转预付139.5
</t>
        </r>
      </text>
    </comment>
    <comment ref="J282" authorId="0">
      <text>
        <r>
          <rPr>
            <sz val="9"/>
            <rFont val="宋体"/>
            <charset val="134"/>
          </rPr>
          <t xml:space="preserve">231219000044/240103000051/240128000003合计315420.
</t>
        </r>
      </text>
    </comment>
    <comment ref="M282" authorId="0">
      <text>
        <r>
          <rPr>
            <sz val="9"/>
            <rFont val="宋体"/>
            <charset val="134"/>
          </rPr>
          <t xml:space="preserve">预付783转到付USD109.2
</t>
        </r>
      </text>
    </comment>
    <comment ref="J285" authorId="0">
      <text>
        <r>
          <rPr>
            <sz val="9"/>
            <rFont val="宋体"/>
            <charset val="134"/>
          </rPr>
          <t xml:space="preserve">240110000010/240104000021合计161711
</t>
        </r>
      </text>
    </comment>
    <comment ref="M287" authorId="0">
      <text>
        <r>
          <rPr>
            <sz val="9"/>
            <rFont val="宋体"/>
            <charset val="134"/>
          </rPr>
          <t xml:space="preserve">预付1641转到付USD229.83
</t>
        </r>
      </text>
    </comment>
    <comment ref="J293" authorId="0">
      <text>
        <r>
          <rPr>
            <sz val="9"/>
            <rFont val="宋体"/>
            <charset val="134"/>
          </rPr>
          <t xml:space="preserve">231211000014/240104000019/240105000021合计11388610
</t>
        </r>
      </text>
    </comment>
    <comment ref="M296" authorId="0">
      <text>
        <r>
          <rPr>
            <sz val="9"/>
            <rFont val="宋体"/>
            <charset val="134"/>
          </rPr>
          <t xml:space="preserve">预付560转到付USD78.1
</t>
        </r>
      </text>
    </comment>
    <comment ref="I301" authorId="0">
      <text>
        <r>
          <rPr>
            <b/>
            <sz val="9"/>
            <rFont val="宋体"/>
            <charset val="134"/>
          </rPr>
          <t>29/2公账支付5359.45欠8606.05.7/3结清.</t>
        </r>
        <r>
          <rPr>
            <sz val="9"/>
            <rFont val="宋体"/>
            <charset val="134"/>
          </rPr>
          <t xml:space="preserve">
</t>
        </r>
      </text>
    </comment>
    <comment ref="M319" authorId="0">
      <text>
        <r>
          <rPr>
            <sz val="9"/>
            <rFont val="宋体"/>
            <charset val="134"/>
          </rPr>
          <t xml:space="preserve">预付75转到付USD10.46
</t>
        </r>
      </text>
    </comment>
    <comment ref="M320" authorId="0">
      <text>
        <r>
          <rPr>
            <sz val="9"/>
            <rFont val="宋体"/>
            <charset val="134"/>
          </rPr>
          <t xml:space="preserve">预付68转到付USD9.48
</t>
        </r>
      </text>
    </comment>
    <comment ref="J321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M321" authorId="0">
      <text>
        <r>
          <rPr>
            <sz val="9"/>
            <rFont val="宋体"/>
            <charset val="134"/>
          </rPr>
          <t xml:space="preserve">预付1855转到付USD258.71
</t>
        </r>
      </text>
    </comment>
    <comment ref="M322" authorId="0">
      <text>
        <r>
          <rPr>
            <sz val="9"/>
            <rFont val="宋体"/>
            <charset val="134"/>
          </rPr>
          <t xml:space="preserve">预付260转到付USD36.26
</t>
        </r>
      </text>
    </comment>
    <comment ref="I325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J327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I330" authorId="0">
      <text>
        <r>
          <rPr>
            <sz val="9"/>
            <rFont val="宋体"/>
            <charset val="134"/>
          </rPr>
          <t xml:space="preserve">广汽国际两笔5850+7650元
</t>
        </r>
      </text>
    </comment>
    <comment ref="J330" authorId="0">
      <text>
        <r>
          <rPr>
            <sz val="9"/>
            <rFont val="宋体"/>
            <charset val="134"/>
          </rPr>
          <t xml:space="preserve">231222000007/231227000008/240102000032/240102000034/240105000023合计1149797.5.
</t>
        </r>
      </text>
    </comment>
    <comment ref="M330" authorId="0">
      <text>
        <r>
          <rPr>
            <sz val="9"/>
            <rFont val="宋体"/>
            <charset val="134"/>
          </rPr>
          <t xml:space="preserve">预付3278转到付USD457.18
</t>
        </r>
      </text>
    </comment>
    <comment ref="J332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M332" authorId="0">
      <text>
        <r>
          <rPr>
            <sz val="9"/>
            <rFont val="宋体"/>
            <charset val="134"/>
          </rPr>
          <t xml:space="preserve">预付3024转到付USD421.75
</t>
        </r>
      </text>
    </comment>
    <comment ref="J340" authorId="0">
      <text>
        <r>
          <rPr>
            <sz val="9"/>
            <rFont val="宋体"/>
            <charset val="134"/>
          </rPr>
          <t xml:space="preserve">240109000031/240122000014合计808940
</t>
        </r>
      </text>
    </comment>
    <comment ref="M340" authorId="0">
      <text>
        <r>
          <rPr>
            <sz val="9"/>
            <rFont val="宋体"/>
            <charset val="134"/>
          </rPr>
          <t xml:space="preserve">预付3202转到付USD446.58
</t>
        </r>
      </text>
    </comment>
    <comment ref="I345" authorId="0">
      <text>
        <r>
          <rPr>
            <b/>
            <sz val="9"/>
            <rFont val="宋体"/>
            <charset val="134"/>
          </rPr>
          <t>16/1支付宝支付代收货款34012.46元</t>
        </r>
        <r>
          <rPr>
            <sz val="9"/>
            <rFont val="宋体"/>
            <charset val="134"/>
          </rPr>
          <t xml:space="preserve">
</t>
        </r>
      </text>
    </comment>
    <comment ref="M345" authorId="0">
      <text>
        <r>
          <rPr>
            <sz val="9"/>
            <rFont val="宋体"/>
            <charset val="134"/>
          </rPr>
          <t xml:space="preserve">预付42012.46转到付USD5884.09，代收货款34012.46元，实收8000元.
</t>
        </r>
      </text>
    </comment>
    <comment ref="J347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M347" authorId="0">
      <text>
        <r>
          <rPr>
            <sz val="9"/>
            <rFont val="宋体"/>
            <charset val="134"/>
          </rPr>
          <t xml:space="preserve">预付5645转到付USD787.3
</t>
        </r>
      </text>
    </comment>
    <comment ref="J348" authorId="0">
      <text>
        <r>
          <rPr>
            <sz val="9"/>
            <rFont val="宋体"/>
            <charset val="134"/>
          </rPr>
          <t xml:space="preserve">合计7946754
</t>
        </r>
      </text>
    </comment>
    <comment ref="M348" authorId="0">
      <text>
        <r>
          <rPr>
            <sz val="9"/>
            <rFont val="宋体"/>
            <charset val="134"/>
          </rPr>
          <t>预付3648转到付USD508.78</t>
        </r>
      </text>
    </comment>
    <comment ref="M350" authorId="0">
      <text>
        <r>
          <rPr>
            <sz val="9"/>
            <rFont val="宋体"/>
            <charset val="134"/>
          </rPr>
          <t xml:space="preserve">预付4548转到付USD636.97
</t>
        </r>
      </text>
    </comment>
    <comment ref="J354" authorId="0">
      <text>
        <r>
          <rPr>
            <sz val="9"/>
            <rFont val="宋体"/>
            <charset val="134"/>
          </rPr>
          <t xml:space="preserve">240102000008/240102000007/240103000038/240106000014合计303122.
</t>
        </r>
      </text>
    </comment>
    <comment ref="M354" authorId="0">
      <text>
        <r>
          <rPr>
            <b/>
            <sz val="9"/>
            <rFont val="宋体"/>
            <charset val="134"/>
          </rPr>
          <t>预付223转到付USD31.23</t>
        </r>
      </text>
    </comment>
    <comment ref="M358" authorId="0">
      <text>
        <r>
          <rPr>
            <sz val="9"/>
            <rFont val="宋体"/>
            <charset val="134"/>
          </rPr>
          <t xml:space="preserve">预付223转到付USD31.23
</t>
        </r>
      </text>
    </comment>
    <comment ref="J359" authorId="0">
      <text>
        <r>
          <rPr>
            <sz val="9"/>
            <rFont val="宋体"/>
            <charset val="134"/>
          </rPr>
          <t xml:space="preserve">240105000029/240131000048合计146520.
</t>
        </r>
      </text>
    </comment>
    <comment ref="M359" authorId="0">
      <text>
        <r>
          <rPr>
            <sz val="9"/>
            <rFont val="宋体"/>
            <charset val="134"/>
          </rPr>
          <t xml:space="preserve">预付441转到付USD61.5
</t>
        </r>
      </text>
    </comment>
    <comment ref="J360" authorId="0">
      <text>
        <r>
          <rPr>
            <sz val="9"/>
            <rFont val="宋体"/>
            <charset val="134"/>
          </rPr>
          <t xml:space="preserve">240106000003/240110000020合计47151
</t>
        </r>
      </text>
    </comment>
    <comment ref="M360" authorId="0">
      <text>
        <r>
          <rPr>
            <sz val="9"/>
            <rFont val="宋体"/>
            <charset val="134"/>
          </rPr>
          <t xml:space="preserve">预付195.5转到付USD27.38
</t>
        </r>
      </text>
    </comment>
    <comment ref="M361" authorId="0">
      <text>
        <r>
          <rPr>
            <sz val="9"/>
            <rFont val="宋体"/>
            <charset val="134"/>
          </rPr>
          <t xml:space="preserve">预付567转到付USD79.41
</t>
        </r>
      </text>
    </comment>
    <comment ref="M363" authorId="0">
      <text>
        <r>
          <rPr>
            <sz val="9"/>
            <rFont val="宋体"/>
            <charset val="134"/>
          </rPr>
          <t xml:space="preserve">预付153转到付USD21.42
</t>
        </r>
      </text>
    </comment>
    <comment ref="J365" authorId="0">
      <text>
        <r>
          <rPr>
            <sz val="9"/>
            <rFont val="宋体"/>
            <charset val="134"/>
          </rPr>
          <t xml:space="preserve">231026000006/231111000005/231122000008/240106000013/240108000025合计642172
</t>
        </r>
      </text>
    </comment>
    <comment ref="M365" authorId="0">
      <text>
        <r>
          <rPr>
            <sz val="9"/>
            <rFont val="宋体"/>
            <charset val="134"/>
          </rPr>
          <t xml:space="preserve">预付359.5转到付USD50.13
</t>
        </r>
      </text>
    </comment>
    <comment ref="J366" authorId="0">
      <text>
        <r>
          <rPr>
            <sz val="9"/>
            <rFont val="宋体"/>
            <charset val="134"/>
          </rPr>
          <t xml:space="preserve">240102000008/240102000007/240103000038/240106000014合计303122
</t>
        </r>
      </text>
    </comment>
    <comment ref="M366" authorId="0">
      <text>
        <r>
          <rPr>
            <b/>
            <sz val="9"/>
            <rFont val="宋体"/>
            <charset val="134"/>
          </rPr>
          <t>预付305.5转到付USD42.78</t>
        </r>
      </text>
    </comment>
    <comment ref="M371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M372" authorId="0">
      <text>
        <r>
          <rPr>
            <sz val="9"/>
            <rFont val="宋体"/>
            <charset val="134"/>
          </rPr>
          <t>预付240转到付USD33.47</t>
        </r>
      </text>
    </comment>
    <comment ref="J382" authorId="0">
      <text>
        <r>
          <rPr>
            <sz val="9"/>
            <rFont val="宋体"/>
            <charset val="134"/>
          </rPr>
          <t xml:space="preserve">231026000006/231111000005/231122000008/240106000013/240108000025合计642172.
</t>
        </r>
      </text>
    </comment>
    <comment ref="M382" authorId="0">
      <text>
        <r>
          <rPr>
            <sz val="9"/>
            <rFont val="宋体"/>
            <charset val="134"/>
          </rPr>
          <t>预付858转到付USD119.66</t>
        </r>
      </text>
    </comment>
    <comment ref="J38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383" authorId="0">
      <text>
        <r>
          <rPr>
            <sz val="9"/>
            <rFont val="宋体"/>
            <charset val="134"/>
          </rPr>
          <t xml:space="preserve">预付768转到付USD107.11
</t>
        </r>
      </text>
    </comment>
    <comment ref="M388" authorId="0">
      <text>
        <r>
          <rPr>
            <sz val="9"/>
            <rFont val="宋体"/>
            <charset val="134"/>
          </rPr>
          <t xml:space="preserve">预付50转到付USD7
</t>
        </r>
      </text>
    </comment>
    <comment ref="J389" authorId="0">
      <text>
        <r>
          <rPr>
            <sz val="9"/>
            <rFont val="宋体"/>
            <charset val="134"/>
          </rPr>
          <t xml:space="preserve">231226000001/231226000015/240108000040/240115000041/231226000001合计3023900
</t>
        </r>
      </text>
    </comment>
    <comment ref="M389" authorId="0">
      <text>
        <r>
          <rPr>
            <sz val="9"/>
            <rFont val="宋体"/>
            <charset val="134"/>
          </rPr>
          <t xml:space="preserve">预付462转到付USD64.43
</t>
        </r>
      </text>
    </comment>
    <comment ref="K390" authorId="0">
      <text>
        <r>
          <rPr>
            <sz val="9"/>
            <rFont val="宋体"/>
            <charset val="134"/>
          </rPr>
          <t xml:space="preserve">240109000001/231222000015合计收美金340元.
</t>
        </r>
      </text>
    </comment>
    <comment ref="J392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M392" authorId="0">
      <text>
        <r>
          <rPr>
            <sz val="9"/>
            <rFont val="宋体"/>
            <charset val="134"/>
          </rPr>
          <t xml:space="preserve">预付2838转到付USD395.81
</t>
        </r>
      </text>
    </comment>
    <comment ref="M393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J39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396" authorId="0">
      <text>
        <r>
          <rPr>
            <sz val="9"/>
            <rFont val="宋体"/>
            <charset val="134"/>
          </rPr>
          <t xml:space="preserve">预付2592转到付USD361.5
</t>
        </r>
      </text>
    </comment>
    <comment ref="M404" authorId="0">
      <text>
        <r>
          <rPr>
            <sz val="9"/>
            <rFont val="宋体"/>
            <charset val="134"/>
          </rPr>
          <t xml:space="preserve">预付63转到付USD8.82
</t>
        </r>
      </text>
    </comment>
    <comment ref="J406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M406" authorId="0">
      <text>
        <r>
          <rPr>
            <sz val="9"/>
            <rFont val="宋体"/>
            <charset val="134"/>
          </rPr>
          <t>预付2586转到付USD360.66</t>
        </r>
      </text>
    </comment>
    <comment ref="J407" authorId="0">
      <text>
        <r>
          <rPr>
            <sz val="9"/>
            <rFont val="宋体"/>
            <charset val="134"/>
          </rPr>
          <t xml:space="preserve">240110000010/240104000021合计161711.
</t>
        </r>
      </text>
    </comment>
    <comment ref="J412" authorId="0">
      <text>
        <r>
          <rPr>
            <sz val="9"/>
            <rFont val="宋体"/>
            <charset val="134"/>
          </rPr>
          <t xml:space="preserve">240106000003/240110000020合计47151.
</t>
        </r>
      </text>
    </comment>
    <comment ref="M412" authorId="0">
      <text>
        <r>
          <rPr>
            <sz val="9"/>
            <rFont val="宋体"/>
            <charset val="134"/>
          </rPr>
          <t xml:space="preserve">预付58转到付USD8.12
</t>
        </r>
      </text>
    </comment>
    <comment ref="J414" authorId="0">
      <text>
        <r>
          <rPr>
            <sz val="9"/>
            <rFont val="宋体"/>
            <charset val="134"/>
          </rPr>
          <t xml:space="preserve">240110000025/240111000035/240112000006合计53885
</t>
        </r>
      </text>
    </comment>
    <comment ref="M419" authorId="0">
      <text>
        <r>
          <rPr>
            <sz val="9"/>
            <rFont val="宋体"/>
            <charset val="134"/>
          </rPr>
          <t xml:space="preserve">预付2719.5转到付USD380.88
</t>
        </r>
      </text>
    </comment>
    <comment ref="M420" authorId="0">
      <text>
        <r>
          <rPr>
            <sz val="9"/>
            <rFont val="宋体"/>
            <charset val="134"/>
          </rPr>
          <t xml:space="preserve">预付85.5转到付USD11.97
</t>
        </r>
      </text>
    </comment>
    <comment ref="J422" authorId="0">
      <text>
        <r>
          <rPr>
            <sz val="9"/>
            <rFont val="宋体"/>
            <charset val="134"/>
          </rPr>
          <t xml:space="preserve">231202000007/231124000013/240111000029合计7314240.
</t>
        </r>
      </text>
    </comment>
    <comment ref="M422" authorId="0">
      <text>
        <r>
          <rPr>
            <sz val="9"/>
            <rFont val="宋体"/>
            <charset val="134"/>
          </rPr>
          <t xml:space="preserve">预付8441转到付USD1177.26
</t>
        </r>
      </text>
    </comment>
    <comment ref="M426" authorId="0">
      <text>
        <r>
          <rPr>
            <sz val="9"/>
            <rFont val="宋体"/>
            <charset val="134"/>
          </rPr>
          <t xml:space="preserve">预付312.5转到付USD43.76
</t>
        </r>
      </text>
    </comment>
    <comment ref="M436" authorId="0">
      <text>
        <r>
          <rPr>
            <sz val="9"/>
            <rFont val="宋体"/>
            <charset val="134"/>
          </rPr>
          <t xml:space="preserve">预付387.5到付USD54.27
</t>
        </r>
      </text>
    </comment>
    <comment ref="M446" authorId="0">
      <text>
        <r>
          <rPr>
            <sz val="9"/>
            <rFont val="宋体"/>
            <charset val="134"/>
          </rPr>
          <t xml:space="preserve">预付562.5转到付USD78.78
</t>
        </r>
      </text>
    </comment>
    <comment ref="J452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452" authorId="0">
      <text>
        <r>
          <rPr>
            <sz val="9"/>
            <rFont val="宋体"/>
            <charset val="134"/>
          </rPr>
          <t xml:space="preserve">预付45转到付USD6.27
</t>
        </r>
      </text>
    </comment>
    <comment ref="M454" authorId="0">
      <text>
        <r>
          <rPr>
            <sz val="9"/>
            <rFont val="宋体"/>
            <charset val="134"/>
          </rPr>
          <t xml:space="preserve">预付104.5转到付USD14.57
</t>
        </r>
      </text>
    </comment>
    <comment ref="J458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M458" authorId="0">
      <text>
        <r>
          <rPr>
            <sz val="9"/>
            <rFont val="宋体"/>
            <charset val="134"/>
          </rPr>
          <t xml:space="preserve">预付13989.5转到付USD1951.11
</t>
        </r>
      </text>
    </comment>
    <comment ref="J465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J473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473" authorId="0">
      <text>
        <r>
          <rPr>
            <sz val="9"/>
            <rFont val="宋体"/>
            <charset val="134"/>
          </rPr>
          <t xml:space="preserve">预付13437.5转到付USD1874.12
</t>
        </r>
      </text>
    </comment>
    <comment ref="J474" authorId="0">
      <text>
        <r>
          <rPr>
            <sz val="9"/>
            <rFont val="宋体"/>
            <charset val="134"/>
          </rPr>
          <t xml:space="preserve">240110000025/240111000035/240112000006合计53885.
</t>
        </r>
      </text>
    </comment>
    <comment ref="M477" authorId="0">
      <text>
        <r>
          <rPr>
            <sz val="9"/>
            <rFont val="宋体"/>
            <charset val="134"/>
          </rPr>
          <t xml:space="preserve">预付363.6转到付USD50.92
</t>
        </r>
      </text>
    </comment>
    <comment ref="M487" authorId="0">
      <text>
        <r>
          <rPr>
            <sz val="9"/>
            <rFont val="宋体"/>
            <charset val="134"/>
          </rPr>
          <t xml:space="preserve">预付6398.18转到付USD892.35
</t>
        </r>
      </text>
    </comment>
    <comment ref="J505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M505" authorId="0">
      <text>
        <r>
          <rPr>
            <sz val="9"/>
            <rFont val="宋体"/>
            <charset val="134"/>
          </rPr>
          <t xml:space="preserve">预付1085转到付USD151.32
</t>
        </r>
      </text>
    </comment>
    <comment ref="I510" authorId="0">
      <text>
        <r>
          <rPr>
            <b/>
            <sz val="9"/>
            <rFont val="宋体"/>
            <charset val="134"/>
          </rPr>
          <t>2/4退回多收运费</t>
        </r>
        <r>
          <rPr>
            <sz val="9"/>
            <rFont val="宋体"/>
            <charset val="134"/>
          </rPr>
          <t xml:space="preserve">
</t>
        </r>
      </text>
    </comment>
    <comment ref="J510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240111000030/240112000027/240129000009/240129000011/240202000008/240202000007/240305000009/231211000060/231225000009合计7446710.
</t>
        </r>
      </text>
    </comment>
    <comment ref="M510" authorId="0">
      <text>
        <r>
          <rPr>
            <sz val="9"/>
            <rFont val="宋体"/>
            <charset val="134"/>
          </rPr>
          <t xml:space="preserve">预付22703转到付USD3166.38
</t>
        </r>
      </text>
    </comment>
    <comment ref="J515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M515" authorId="0">
      <text>
        <r>
          <rPr>
            <sz val="9"/>
            <rFont val="宋体"/>
            <charset val="134"/>
          </rPr>
          <t>预付1200转到付USD167.36</t>
        </r>
      </text>
    </comment>
    <comment ref="J520" authorId="0">
      <text>
        <r>
          <rPr>
            <sz val="9"/>
            <rFont val="宋体"/>
            <charset val="134"/>
          </rPr>
          <t xml:space="preserve">24011200024/240112000023合计127200.
</t>
        </r>
      </text>
    </comment>
    <comment ref="J521" authorId="0">
      <text>
        <r>
          <rPr>
            <sz val="9"/>
            <rFont val="宋体"/>
            <charset val="134"/>
          </rPr>
          <t xml:space="preserve">24011200024/240112000023合计127200
</t>
        </r>
      </text>
    </comment>
    <comment ref="J522" authorId="0">
      <text>
        <r>
          <rPr>
            <sz val="9"/>
            <rFont val="宋体"/>
            <charset val="134"/>
          </rPr>
          <t xml:space="preserve">240111000013/240112000030合计613800.
</t>
        </r>
      </text>
    </comment>
    <comment ref="M522" authorId="0">
      <text>
        <r>
          <rPr>
            <sz val="9"/>
            <rFont val="宋体"/>
            <charset val="134"/>
          </rPr>
          <t xml:space="preserve">预付1705转到付USD237.79
</t>
        </r>
      </text>
    </comment>
    <comment ref="I528" authorId="0">
      <text>
        <r>
          <rPr>
            <sz val="9"/>
            <rFont val="宋体"/>
            <charset val="134"/>
          </rPr>
          <t xml:space="preserve">收到：赛捷240106000020=8,606.05；240109000043=25,933.50；240113000009=22,440.00； 
240117000007=21020.45 合计78000元已直接付给广州顶派.
</t>
        </r>
      </text>
    </comment>
    <comment ref="J541" authorId="0">
      <text>
        <r>
          <rPr>
            <sz val="9"/>
            <rFont val="宋体"/>
            <charset val="134"/>
          </rPr>
          <t>合计7946754.
348000加上353920.</t>
        </r>
      </text>
    </comment>
    <comment ref="M541" authorId="0">
      <text>
        <r>
          <rPr>
            <sz val="9"/>
            <rFont val="宋体"/>
            <charset val="134"/>
          </rPr>
          <t>预付3840转到付USD535.56.</t>
        </r>
      </text>
    </comment>
    <comment ref="I544" authorId="0">
      <text>
        <r>
          <rPr>
            <sz val="9"/>
            <rFont val="宋体"/>
            <charset val="134"/>
          </rPr>
          <t xml:space="preserve">到付USD105.3转预付760.5
</t>
        </r>
      </text>
    </comment>
    <comment ref="I553" authorId="0">
      <text>
        <r>
          <rPr>
            <sz val="9"/>
            <rFont val="宋体"/>
            <charset val="134"/>
          </rPr>
          <t>到付USD35.92转预付250.</t>
        </r>
      </text>
    </comment>
    <comment ref="J557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557" authorId="0">
      <text>
        <r>
          <rPr>
            <sz val="9"/>
            <rFont val="宋体"/>
            <charset val="134"/>
          </rPr>
          <t xml:space="preserve">预付270转到付USD37.65
</t>
        </r>
      </text>
    </comment>
    <comment ref="M560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I562" authorId="0">
      <text>
        <r>
          <rPr>
            <sz val="9"/>
            <rFont val="宋体"/>
            <charset val="134"/>
          </rPr>
          <t xml:space="preserve">到付USD217.35转预付1560
</t>
        </r>
      </text>
    </comment>
    <comment ref="J56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566" authorId="0">
      <text>
        <r>
          <rPr>
            <sz val="9"/>
            <rFont val="宋体"/>
            <charset val="134"/>
          </rPr>
          <t xml:space="preserve">预付600转到付USD83.68
</t>
        </r>
      </text>
    </comment>
    <comment ref="M568" authorId="0">
      <text>
        <r>
          <rPr>
            <sz val="9"/>
            <rFont val="宋体"/>
            <charset val="134"/>
          </rPr>
          <t xml:space="preserve">预付16985转到付USD2368.89
</t>
        </r>
      </text>
    </comment>
    <comment ref="J571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J576" authorId="0">
      <text>
        <r>
          <rPr>
            <sz val="9"/>
            <rFont val="宋体"/>
            <charset val="134"/>
          </rPr>
          <t>231226000001/231226000015/240108000040/240115000041/231226000001合计3023900</t>
        </r>
      </text>
    </comment>
    <comment ref="M576" authorId="0">
      <text>
        <r>
          <rPr>
            <sz val="9"/>
            <rFont val="宋体"/>
            <charset val="134"/>
          </rPr>
          <t xml:space="preserve">预付11226转到付USD1565.69
</t>
        </r>
      </text>
    </comment>
    <comment ref="M578" authorId="0">
      <text>
        <r>
          <rPr>
            <sz val="9"/>
            <rFont val="宋体"/>
            <charset val="134"/>
          </rPr>
          <t xml:space="preserve">预付4740转到付USD661.08
</t>
        </r>
      </text>
    </comment>
    <comment ref="J581" authorId="0">
      <text>
        <r>
          <rPr>
            <sz val="9"/>
            <rFont val="宋体"/>
            <charset val="134"/>
          </rPr>
          <t xml:space="preserve">240116000002/240115000028/240110000014合计962332
</t>
        </r>
      </text>
    </comment>
    <comment ref="M587" authorId="0">
      <text>
        <r>
          <rPr>
            <sz val="9"/>
            <rFont val="宋体"/>
            <charset val="134"/>
          </rPr>
          <t xml:space="preserve">预付578转到付USD80.60
</t>
        </r>
      </text>
    </comment>
    <comment ref="J592" authorId="0">
      <text>
        <r>
          <rPr>
            <sz val="9"/>
            <rFont val="宋体"/>
            <charset val="134"/>
          </rPr>
          <t xml:space="preserve">240116000036/231226000015/240108000040/240115000041/231226000001合计3023900.
</t>
        </r>
      </text>
    </comment>
    <comment ref="M592" authorId="0">
      <text>
        <r>
          <rPr>
            <sz val="9"/>
            <rFont val="宋体"/>
            <charset val="134"/>
          </rPr>
          <t xml:space="preserve">预付1232转到付USD171.82
</t>
        </r>
      </text>
    </comment>
    <comment ref="J596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596" authorId="0">
      <text>
        <r>
          <rPr>
            <sz val="9"/>
            <rFont val="宋体"/>
            <charset val="134"/>
          </rPr>
          <t xml:space="preserve">预付3150到付USD439.33
</t>
        </r>
      </text>
    </comment>
    <comment ref="J598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M598" authorId="0">
      <text>
        <r>
          <rPr>
            <sz val="9"/>
            <rFont val="宋体"/>
            <charset val="134"/>
          </rPr>
          <t xml:space="preserve">预付4432.5转到付USD618.2
</t>
        </r>
      </text>
    </comment>
    <comment ref="J599" authorId="0">
      <text>
        <r>
          <rPr>
            <sz val="9"/>
            <rFont val="宋体"/>
            <charset val="134"/>
          </rPr>
          <t xml:space="preserve">240109000033/240109000010/240117000020/240117000027合计1873588.
</t>
        </r>
      </text>
    </comment>
    <comment ref="M599" authorId="0">
      <text>
        <r>
          <rPr>
            <sz val="9"/>
            <rFont val="宋体"/>
            <charset val="134"/>
          </rPr>
          <t xml:space="preserve">预付104转到付USD14.5
</t>
        </r>
      </text>
    </comment>
    <comment ref="K600" authorId="0">
      <text>
        <r>
          <rPr>
            <sz val="9"/>
            <rFont val="宋体"/>
            <charset val="134"/>
          </rPr>
          <t xml:space="preserve">合计2088.75
</t>
        </r>
      </text>
    </comment>
    <comment ref="I601" authorId="0">
      <text>
        <r>
          <rPr>
            <sz val="9"/>
            <rFont val="宋体"/>
            <charset val="134"/>
          </rPr>
          <t xml:space="preserve">到付USD43转预付307
</t>
        </r>
      </text>
    </comment>
    <comment ref="J602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M602" authorId="0">
      <text>
        <r>
          <rPr>
            <sz val="9"/>
            <rFont val="宋体"/>
            <charset val="134"/>
          </rPr>
          <t xml:space="preserve">预付1930转到付USD269.17
</t>
        </r>
      </text>
    </comment>
    <comment ref="M613" authorId="0">
      <text>
        <r>
          <rPr>
            <sz val="9"/>
            <rFont val="宋体"/>
            <charset val="134"/>
          </rPr>
          <t xml:space="preserve">预付219.6转到付USD30.75
</t>
        </r>
      </text>
    </comment>
    <comment ref="I619" authorId="0">
      <text>
        <r>
          <rPr>
            <sz val="9"/>
            <rFont val="宋体"/>
            <charset val="134"/>
          </rPr>
          <t xml:space="preserve">到付USD141.9转预付1010
</t>
        </r>
      </text>
    </comment>
    <comment ref="M629" authorId="0">
      <text>
        <r>
          <rPr>
            <sz val="9"/>
            <rFont val="宋体"/>
            <charset val="134"/>
          </rPr>
          <t xml:space="preserve">预付800转到付USD111.57
</t>
        </r>
      </text>
    </comment>
    <comment ref="I632" authorId="0">
      <text>
        <r>
          <rPr>
            <sz val="9"/>
            <rFont val="宋体"/>
            <charset val="134"/>
          </rPr>
          <t xml:space="preserve">到付USD1492.92转预付10670
</t>
        </r>
      </text>
    </comment>
    <comment ref="I633" authorId="0">
      <text>
        <r>
          <rPr>
            <sz val="9"/>
            <rFont val="宋体"/>
            <charset val="134"/>
          </rPr>
          <t>收到：赛捷240106000020=8,606.05；240109000043=25,933.50；240113000009=22,440.00； 
240117000007=21020.45 合计78000元已直接付给广州顶派.18/3已结清</t>
        </r>
      </text>
    </comment>
    <comment ref="M639" authorId="0">
      <text>
        <r>
          <rPr>
            <sz val="9"/>
            <rFont val="宋体"/>
            <charset val="134"/>
          </rPr>
          <t xml:space="preserve">预付4612.5转到付USD643.3
</t>
        </r>
      </text>
    </comment>
    <comment ref="J642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642" authorId="0">
      <text>
        <r>
          <rPr>
            <sz val="9"/>
            <rFont val="宋体"/>
            <charset val="134"/>
          </rPr>
          <t xml:space="preserve">预付2250转到付USD313.8
</t>
        </r>
      </text>
    </comment>
    <comment ref="I644" authorId="0">
      <text>
        <r>
          <rPr>
            <b/>
            <sz val="9"/>
            <rFont val="宋体"/>
            <charset val="134"/>
          </rPr>
          <t>4/3退回多收的262.5元。实收4127.50元</t>
        </r>
        <r>
          <rPr>
            <sz val="9"/>
            <rFont val="宋体"/>
            <charset val="134"/>
          </rPr>
          <t xml:space="preserve">
</t>
        </r>
      </text>
    </comment>
    <comment ref="J652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M652" authorId="0">
      <text>
        <r>
          <rPr>
            <sz val="9"/>
            <rFont val="宋体"/>
            <charset val="134"/>
          </rPr>
          <t xml:space="preserve">预付180转到付USD25.1
</t>
        </r>
      </text>
    </comment>
    <comment ref="M654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M658" authorId="0">
      <text>
        <r>
          <rPr>
            <sz val="9"/>
            <rFont val="宋体"/>
            <charset val="134"/>
          </rPr>
          <t xml:space="preserve">预付550转到付USD76.7
</t>
        </r>
      </text>
    </comment>
    <comment ref="M659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J677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677" authorId="0">
      <text>
        <r>
          <rPr>
            <sz val="9"/>
            <rFont val="宋体"/>
            <charset val="134"/>
          </rPr>
          <t xml:space="preserve">预付120转到付USD16.73
</t>
        </r>
      </text>
    </comment>
    <comment ref="J684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M684" authorId="0">
      <text>
        <r>
          <rPr>
            <sz val="9"/>
            <rFont val="宋体"/>
            <charset val="134"/>
          </rPr>
          <t xml:space="preserve">预付2690.5转到付USD375.24
</t>
        </r>
      </text>
    </comment>
    <comment ref="I695" authorId="0">
      <text>
        <r>
          <rPr>
            <sz val="9"/>
            <rFont val="宋体"/>
            <charset val="134"/>
          </rPr>
          <t xml:space="preserve">收到：赛捷240117000007=12,435.55；240125000029=41,361.00；240123000050=32203.45  合计86000元已直接付给广州顶派.
</t>
        </r>
      </text>
    </comment>
    <comment ref="M697" authorId="0">
      <text>
        <r>
          <rPr>
            <sz val="9"/>
            <rFont val="宋体"/>
            <charset val="134"/>
          </rPr>
          <t xml:space="preserve">预付1127.5转到付USD157.25
</t>
        </r>
      </text>
    </comment>
    <comment ref="I703" authorId="0">
      <text>
        <r>
          <rPr>
            <sz val="9"/>
            <rFont val="宋体"/>
            <charset val="134"/>
          </rPr>
          <t xml:space="preserve">240120000005货物丢失赔偿费用
</t>
        </r>
      </text>
    </comment>
    <comment ref="M703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J707" authorId="0">
      <text>
        <r>
          <rPr>
            <sz val="9"/>
            <rFont val="宋体"/>
            <charset val="134"/>
          </rPr>
          <t xml:space="preserve">合计578511
</t>
        </r>
      </text>
    </comment>
    <comment ref="J708" authorId="0">
      <text>
        <r>
          <rPr>
            <sz val="9"/>
            <rFont val="宋体"/>
            <charset val="134"/>
          </rPr>
          <t xml:space="preserve">合计578511
</t>
        </r>
      </text>
    </comment>
    <comment ref="J709" authorId="0">
      <text>
        <r>
          <rPr>
            <sz val="9"/>
            <rFont val="宋体"/>
            <charset val="134"/>
          </rPr>
          <t xml:space="preserve">合计578511
</t>
        </r>
      </text>
    </comment>
    <comment ref="M710" authorId="0">
      <text>
        <r>
          <rPr>
            <sz val="9"/>
            <rFont val="宋体"/>
            <charset val="134"/>
          </rPr>
          <t>预付130转到付USD18.13</t>
        </r>
      </text>
    </comment>
    <comment ref="M715" authorId="0">
      <text>
        <r>
          <rPr>
            <sz val="9"/>
            <rFont val="宋体"/>
            <charset val="134"/>
          </rPr>
          <t xml:space="preserve">预付780转到付USD108.78
</t>
        </r>
      </text>
    </comment>
    <comment ref="M724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J737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J752" authorId="0">
      <text>
        <r>
          <rPr>
            <sz val="9"/>
            <rFont val="宋体"/>
            <charset val="134"/>
          </rPr>
          <t xml:space="preserve">240119000003/240122000012合计60845
</t>
        </r>
      </text>
    </comment>
    <comment ref="M752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M755" authorId="0">
      <text>
        <r>
          <rPr>
            <sz val="9"/>
            <rFont val="宋体"/>
            <charset val="134"/>
          </rPr>
          <t xml:space="preserve">预付1286.4转到付USD179.41
</t>
        </r>
      </text>
    </comment>
    <comment ref="J756" authorId="0">
      <text>
        <r>
          <rPr>
            <sz val="9"/>
            <rFont val="宋体"/>
            <charset val="134"/>
          </rPr>
          <t>合计7946754.</t>
        </r>
      </text>
    </comment>
    <comment ref="M756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M761" authorId="0">
      <text>
        <r>
          <rPr>
            <sz val="9"/>
            <rFont val="宋体"/>
            <charset val="134"/>
          </rPr>
          <t xml:space="preserve">预付111.6转到付USD15.56
</t>
        </r>
      </text>
    </comment>
    <comment ref="M766" authorId="0">
      <text>
        <r>
          <rPr>
            <sz val="9"/>
            <rFont val="宋体"/>
            <charset val="134"/>
          </rPr>
          <t xml:space="preserve">预付1072.5转到付USD149.58
</t>
        </r>
      </text>
    </comment>
    <comment ref="J76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I772" authorId="0">
      <text>
        <r>
          <rPr>
            <sz val="9"/>
            <rFont val="宋体"/>
            <charset val="134"/>
          </rPr>
          <t xml:space="preserve">收到：赛捷240117000007=12,435.55；240125000029=41,361.00；240123000050=32203.4欠14104.6 </t>
        </r>
      </text>
    </comment>
    <comment ref="M774" authorId="0">
      <text>
        <r>
          <rPr>
            <sz val="9"/>
            <rFont val="宋体"/>
            <charset val="134"/>
          </rPr>
          <t xml:space="preserve">预付112.5转到付USD115.69
</t>
        </r>
      </text>
    </comment>
    <comment ref="M777" authorId="0">
      <text>
        <r>
          <rPr>
            <sz val="9"/>
            <rFont val="宋体"/>
            <charset val="134"/>
          </rPr>
          <t xml:space="preserve">预付1826转到付人USD255.74
</t>
        </r>
      </text>
    </comment>
    <comment ref="J780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780" authorId="0">
      <text>
        <r>
          <rPr>
            <sz val="9"/>
            <rFont val="宋体"/>
            <charset val="134"/>
          </rPr>
          <t xml:space="preserve">预付925转到付USD129
</t>
        </r>
      </text>
    </comment>
    <comment ref="J782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M786" authorId="0">
      <text>
        <r>
          <rPr>
            <sz val="9"/>
            <rFont val="宋体"/>
            <charset val="134"/>
          </rPr>
          <t xml:space="preserve">预付305.5转到付USD42.6
</t>
        </r>
      </text>
    </comment>
    <comment ref="J795" authorId="0">
      <text>
        <r>
          <rPr>
            <sz val="9"/>
            <rFont val="宋体"/>
            <charset val="134"/>
          </rPr>
          <t>240120000011/240122000016合计166400</t>
        </r>
      </text>
    </comment>
    <comment ref="M795" authorId="0">
      <text>
        <r>
          <rPr>
            <sz val="9"/>
            <rFont val="宋体"/>
            <charset val="134"/>
          </rPr>
          <t xml:space="preserve">预付632转到付USD88.5
</t>
        </r>
      </text>
    </comment>
    <comment ref="J800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M801" authorId="0">
      <text>
        <r>
          <rPr>
            <sz val="9"/>
            <rFont val="宋体"/>
            <charset val="134"/>
          </rPr>
          <t xml:space="preserve">预付58转到付USD8.08
</t>
        </r>
      </text>
    </comment>
    <comment ref="J803" authorId="0">
      <text>
        <r>
          <rPr>
            <sz val="9"/>
            <rFont val="宋体"/>
            <charset val="134"/>
          </rPr>
          <t xml:space="preserve">240109000031/240122000014合计808940.
</t>
        </r>
      </text>
    </comment>
    <comment ref="M803" authorId="0">
      <text>
        <r>
          <rPr>
            <sz val="9"/>
            <rFont val="宋体"/>
            <charset val="134"/>
          </rPr>
          <t xml:space="preserve">预付475转到付USD66.24
</t>
        </r>
      </text>
    </comment>
    <comment ref="J804" authorId="0">
      <text>
        <r>
          <rPr>
            <sz val="9"/>
            <rFont val="宋体"/>
            <charset val="134"/>
          </rPr>
          <t xml:space="preserve">240120000011/240122000016合计166400.
</t>
        </r>
      </text>
    </comment>
    <comment ref="M804" authorId="0">
      <text>
        <r>
          <rPr>
            <sz val="9"/>
            <rFont val="宋体"/>
            <charset val="134"/>
          </rPr>
          <t xml:space="preserve">预付168转到付USD23.52
</t>
        </r>
      </text>
    </comment>
    <comment ref="J807" authorId="0">
      <text>
        <r>
          <rPr>
            <sz val="9"/>
            <rFont val="宋体"/>
            <charset val="134"/>
          </rPr>
          <t xml:space="preserve">240111000044/240122000028合计447200.
</t>
        </r>
      </text>
    </comment>
    <comment ref="M807" authorId="0">
      <text>
        <r>
          <rPr>
            <sz val="9"/>
            <rFont val="宋体"/>
            <charset val="134"/>
          </rPr>
          <t xml:space="preserve">预付890转到付USD124.12
</t>
        </r>
      </text>
    </comment>
    <comment ref="J810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M810" authorId="0">
      <text>
        <r>
          <rPr>
            <sz val="9"/>
            <rFont val="宋体"/>
            <charset val="134"/>
          </rPr>
          <t xml:space="preserve">预付376转到付USD52.44
</t>
        </r>
      </text>
    </comment>
    <comment ref="J811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M813" authorId="0">
      <text>
        <r>
          <rPr>
            <sz val="9"/>
            <rFont val="宋体"/>
            <charset val="134"/>
          </rPr>
          <t xml:space="preserve">预付1046转到付USD146.5
</t>
        </r>
      </text>
    </comment>
    <comment ref="J816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J820" authorId="0">
      <text>
        <r>
          <rPr>
            <sz val="9"/>
            <rFont val="宋体"/>
            <charset val="134"/>
          </rPr>
          <t xml:space="preserve">240119000018/240123000002/240123000009合计105100.
</t>
        </r>
      </text>
    </comment>
    <comment ref="J821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821" authorId="0">
      <text>
        <r>
          <rPr>
            <sz val="9"/>
            <rFont val="宋体"/>
            <charset val="134"/>
          </rPr>
          <t xml:space="preserve">预付1417.5转到付USD197.69
</t>
        </r>
      </text>
    </comment>
    <comment ref="J823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J824" authorId="0">
      <text>
        <r>
          <rPr>
            <sz val="9"/>
            <rFont val="宋体"/>
            <charset val="134"/>
          </rPr>
          <t xml:space="preserve">240122000042/240123000035合计220151
</t>
        </r>
      </text>
    </comment>
    <comment ref="M824" authorId="0">
      <text>
        <r>
          <rPr>
            <sz val="9"/>
            <rFont val="宋体"/>
            <charset val="134"/>
          </rPr>
          <t xml:space="preserve">预付168转到付USD23.43
</t>
        </r>
      </text>
    </comment>
    <comment ref="J825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825" authorId="0">
      <text>
        <r>
          <rPr>
            <sz val="9"/>
            <rFont val="宋体"/>
            <charset val="134"/>
          </rPr>
          <t xml:space="preserve">预付4850转到付USD676.42
</t>
        </r>
      </text>
    </comment>
    <comment ref="J834" authorId="0">
      <text>
        <r>
          <rPr>
            <sz val="9"/>
            <rFont val="宋体"/>
            <charset val="134"/>
          </rPr>
          <t xml:space="preserve">合计10325267.5
</t>
        </r>
      </text>
    </comment>
    <comment ref="J836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836" authorId="0">
      <text>
        <r>
          <rPr>
            <sz val="9"/>
            <rFont val="宋体"/>
            <charset val="134"/>
          </rPr>
          <t xml:space="preserve">预付38025转到付USD5303.34
</t>
        </r>
      </text>
    </comment>
    <comment ref="J839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839" authorId="0">
      <text>
        <r>
          <rPr>
            <sz val="9"/>
            <rFont val="宋体"/>
            <charset val="134"/>
          </rPr>
          <t xml:space="preserve">预付24110转到付USD3362.62
</t>
        </r>
      </text>
    </comment>
    <comment ref="M841" authorId="0">
      <text>
        <r>
          <rPr>
            <sz val="9"/>
            <rFont val="宋体"/>
            <charset val="134"/>
          </rPr>
          <t xml:space="preserve">预付8026.44转到付USD1119.44
</t>
        </r>
      </text>
    </comment>
    <comment ref="J842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M842" authorId="0">
      <text>
        <r>
          <rPr>
            <sz val="9"/>
            <rFont val="宋体"/>
            <charset val="134"/>
          </rPr>
          <t xml:space="preserve">预付18212.5转到付USD2540.09
</t>
        </r>
      </text>
    </comment>
    <comment ref="M858" authorId="0">
      <text>
        <r>
          <rPr>
            <sz val="9"/>
            <rFont val="宋体"/>
            <charset val="134"/>
          </rPr>
          <t xml:space="preserve">预付81.2转到付USD11.32
</t>
        </r>
      </text>
    </comment>
    <comment ref="M861" authorId="0">
      <text>
        <r>
          <rPr>
            <sz val="9"/>
            <rFont val="宋体"/>
            <charset val="134"/>
          </rPr>
          <t xml:space="preserve">预付214.2转到付USD29.87
</t>
        </r>
      </text>
    </comment>
    <comment ref="M869" authorId="0">
      <text>
        <r>
          <rPr>
            <sz val="9"/>
            <rFont val="宋体"/>
            <charset val="134"/>
          </rPr>
          <t xml:space="preserve">预付65转到付USD9.06
</t>
        </r>
      </text>
    </comment>
    <comment ref="M881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J886" authorId="0">
      <text>
        <r>
          <rPr>
            <sz val="9"/>
            <rFont val="宋体"/>
            <charset val="134"/>
          </rPr>
          <t xml:space="preserve">231219000044/240103000051/240128000003合计395910
</t>
        </r>
      </text>
    </comment>
    <comment ref="M886" authorId="0">
      <text>
        <r>
          <rPr>
            <sz val="9"/>
            <rFont val="宋体"/>
            <charset val="134"/>
          </rPr>
          <t xml:space="preserve">预付299转到付USD41.7
</t>
        </r>
      </text>
    </comment>
    <comment ref="J888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888" authorId="0">
      <text>
        <r>
          <rPr>
            <sz val="9"/>
            <rFont val="宋体"/>
            <charset val="134"/>
          </rPr>
          <t xml:space="preserve">预付3332.5转到付USD464.78
</t>
        </r>
      </text>
    </comment>
    <comment ref="J889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889" authorId="0">
      <text>
        <r>
          <rPr>
            <sz val="9"/>
            <rFont val="宋体"/>
            <charset val="134"/>
          </rPr>
          <t>预付3100转到付USD432.35</t>
        </r>
      </text>
    </comment>
    <comment ref="M891" authorId="0">
      <text>
        <r>
          <rPr>
            <sz val="9"/>
            <rFont val="宋体"/>
            <charset val="134"/>
          </rPr>
          <t xml:space="preserve">预付9026转到付USD1258.85
</t>
        </r>
      </text>
    </comment>
    <comment ref="J899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M899" authorId="0">
      <text>
        <r>
          <rPr>
            <sz val="9"/>
            <rFont val="宋体"/>
            <charset val="134"/>
          </rPr>
          <t xml:space="preserve">预付4465转到付USD622.73
</t>
        </r>
      </text>
    </comment>
  </commentList>
</comments>
</file>

<file path=xl/sharedStrings.xml><?xml version="1.0" encoding="utf-8"?>
<sst xmlns="http://schemas.openxmlformats.org/spreadsheetml/2006/main" count="2838" uniqueCount="546">
  <si>
    <t>2024年01月份LOS毛利表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</si>
  <si>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</si>
  <si>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</si>
  <si>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</si>
  <si>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</si>
  <si>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</si>
  <si>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</si>
  <si>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</si>
  <si>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</si>
  <si>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</si>
  <si>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</si>
  <si>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</si>
  <si>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</si>
  <si>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</si>
  <si>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</si>
  <si>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</si>
  <si>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</si>
  <si>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</si>
  <si>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</si>
  <si>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</si>
  <si>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</si>
  <si>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</si>
  <si>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</si>
  <si>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</si>
  <si>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</si>
  <si>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</si>
  <si>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</si>
  <si>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</si>
  <si>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</si>
  <si>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</si>
  <si>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</si>
  <si>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</si>
  <si>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</si>
  <si>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</si>
  <si>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</si>
  <si>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JOB010270</t>
  </si>
  <si>
    <t>COLL003764</t>
  </si>
  <si>
    <t>黄颖</t>
  </si>
  <si>
    <t>ying</t>
  </si>
  <si>
    <t>yanjian</t>
  </si>
  <si>
    <t>顶派=95589
广州通达=4832.8</t>
  </si>
  <si>
    <t>谭小瑜</t>
  </si>
  <si>
    <t>Kaylee</t>
  </si>
  <si>
    <t>Tengsifan</t>
  </si>
  <si>
    <t>朱小飞</t>
  </si>
  <si>
    <t>Isabel Zhu</t>
  </si>
  <si>
    <t>Zi Xuan Wang</t>
  </si>
  <si>
    <t>Ezeilo Eugene</t>
  </si>
  <si>
    <t>kevin</t>
  </si>
  <si>
    <t>吕沛霖</t>
  </si>
  <si>
    <t>喵喵速运-Layne</t>
  </si>
  <si>
    <t>ZUBBY EQUIPMENT TECHNOLOGY</t>
  </si>
  <si>
    <t>Lukas</t>
  </si>
  <si>
    <t>fast hours DM NIGHT LED</t>
  </si>
  <si>
    <t>SEGUN</t>
  </si>
  <si>
    <t>Mr Xiang</t>
  </si>
  <si>
    <t>Ope Olofinjana</t>
  </si>
  <si>
    <t>Wangpengtao王鹏涛</t>
  </si>
  <si>
    <t>Bella</t>
  </si>
  <si>
    <t>Bella Chan</t>
  </si>
  <si>
    <t>Jimmy</t>
  </si>
  <si>
    <t>Miss Yang Jun</t>
  </si>
  <si>
    <t>felix</t>
  </si>
  <si>
    <t>Ye Hui</t>
  </si>
  <si>
    <t>William Xu</t>
  </si>
  <si>
    <t>ZHABV</t>
  </si>
  <si>
    <t>SF 覃晓</t>
  </si>
  <si>
    <t>Leon</t>
  </si>
  <si>
    <t>abu</t>
  </si>
  <si>
    <t>Sam.Pao</t>
  </si>
  <si>
    <t>AiGeLi</t>
  </si>
  <si>
    <t>li tao</t>
  </si>
  <si>
    <t>Wen Yi Min</t>
  </si>
  <si>
    <t>DUDUHE鹤</t>
  </si>
  <si>
    <t>SHAN NAN</t>
  </si>
  <si>
    <t>LI XING MAO</t>
  </si>
  <si>
    <t>Mark Hu</t>
  </si>
  <si>
    <t>David Wei</t>
  </si>
  <si>
    <t>Zhou Ji BBQ</t>
  </si>
  <si>
    <t>REMI</t>
  </si>
  <si>
    <t>Mr Zheng</t>
  </si>
  <si>
    <t>yunus</t>
  </si>
  <si>
    <t>liangyu</t>
  </si>
  <si>
    <t>Wilson Liang</t>
  </si>
  <si>
    <t>John Jiang</t>
  </si>
  <si>
    <t>Halifa Success</t>
  </si>
  <si>
    <t>Mr Eliyas</t>
  </si>
  <si>
    <t>LEO WEI</t>
  </si>
  <si>
    <t>CHM IRON AND STEEL FZE</t>
  </si>
  <si>
    <t>DV</t>
  </si>
  <si>
    <t>Semiu Biliaminu</t>
  </si>
  <si>
    <t>Wu Jiao Xing</t>
  </si>
  <si>
    <t>Yuan</t>
  </si>
  <si>
    <t>wenweiguo</t>
  </si>
  <si>
    <t>JOHNNIE CHAK</t>
  </si>
  <si>
    <t>ZOU Qiyang</t>
  </si>
  <si>
    <t>David</t>
  </si>
  <si>
    <t>Halo Cargo</t>
  </si>
  <si>
    <t>Gene</t>
  </si>
  <si>
    <t>无人</t>
  </si>
  <si>
    <t>Mailmail Abv sales person 1</t>
  </si>
  <si>
    <t>Kalio Edith</t>
  </si>
  <si>
    <t>Chen Hai Bing</t>
  </si>
  <si>
    <t>zhi hui zhou</t>
  </si>
  <si>
    <t>MR.WANG</t>
  </si>
  <si>
    <t>wang hong sheng</t>
  </si>
  <si>
    <t>FRANK</t>
  </si>
  <si>
    <t>JOB010271</t>
  </si>
  <si>
    <t>COLL003767</t>
  </si>
  <si>
    <t>顶派=127692
广州通达=5118.4</t>
  </si>
  <si>
    <t>吴敏琪</t>
  </si>
  <si>
    <t>易小羔</t>
  </si>
  <si>
    <t>Robin Tai</t>
  </si>
  <si>
    <t>Mr Huang</t>
  </si>
  <si>
    <t>John 张</t>
  </si>
  <si>
    <t>CHE YUAN</t>
  </si>
  <si>
    <t>GONG</t>
  </si>
  <si>
    <t>LI LING BO</t>
  </si>
  <si>
    <t>lituo</t>
  </si>
  <si>
    <t>Zhang Pengpeng</t>
  </si>
  <si>
    <t>FeLiX</t>
  </si>
  <si>
    <t>Mr Pan Li</t>
  </si>
  <si>
    <t>Hillter</t>
  </si>
  <si>
    <t>Seman</t>
  </si>
  <si>
    <t>XiongQiJun</t>
  </si>
  <si>
    <t>鸿</t>
  </si>
  <si>
    <t>Alice08105750388</t>
  </si>
  <si>
    <t>Johnson Zhu</t>
  </si>
  <si>
    <t>hanzong</t>
  </si>
  <si>
    <t>Stanley</t>
  </si>
  <si>
    <t>Nkechi</t>
  </si>
  <si>
    <t>LuZhiLong</t>
  </si>
  <si>
    <t>JOB010272</t>
  </si>
  <si>
    <t>COLL003775</t>
  </si>
  <si>
    <t>Mr Wu</t>
  </si>
  <si>
    <t>阿米拉海运</t>
  </si>
  <si>
    <t>ODEYALE</t>
  </si>
  <si>
    <t>peter</t>
  </si>
  <si>
    <t>JOB010273</t>
  </si>
  <si>
    <t>COLL003776</t>
  </si>
  <si>
    <t>OSIM</t>
  </si>
  <si>
    <t>捷道</t>
  </si>
  <si>
    <t>JOB010274</t>
  </si>
  <si>
    <t>COLL003777</t>
  </si>
  <si>
    <t>家峰</t>
  </si>
  <si>
    <t>jiafeng</t>
  </si>
  <si>
    <t>富姐</t>
  </si>
  <si>
    <t>huang</t>
  </si>
  <si>
    <t>Charles</t>
  </si>
  <si>
    <t>东东</t>
  </si>
  <si>
    <t>Yang</t>
  </si>
  <si>
    <t>xieziqing</t>
  </si>
  <si>
    <t>Joker</t>
  </si>
  <si>
    <t>Sophia</t>
  </si>
  <si>
    <t>Shang yafei</t>
  </si>
  <si>
    <t>yingyunjiao</t>
  </si>
  <si>
    <t>Victor Suite B5 begger paint plaza.</t>
  </si>
  <si>
    <t>weng zixian</t>
  </si>
  <si>
    <t>MeiMei</t>
  </si>
  <si>
    <t>Wangjianshe</t>
  </si>
  <si>
    <t>TangQiang</t>
  </si>
  <si>
    <t>Zhang</t>
  </si>
  <si>
    <t>JOB010275</t>
  </si>
  <si>
    <t>COLL003769</t>
  </si>
  <si>
    <t>Xue er</t>
  </si>
  <si>
    <t xml:space="preserve">顶派
</t>
  </si>
  <si>
    <t>Joy</t>
  </si>
  <si>
    <t>Ye Zheng Rong</t>
  </si>
  <si>
    <t>Bolaji Abidoye</t>
  </si>
  <si>
    <t>Michael John</t>
  </si>
  <si>
    <t>Ka Ka 4分部</t>
  </si>
  <si>
    <t>xiaoxiao晓晓</t>
  </si>
  <si>
    <t>zhangzhibin</t>
  </si>
  <si>
    <t>lilaijuan</t>
  </si>
  <si>
    <t>Mr Wang Shao Cong</t>
  </si>
  <si>
    <t>SKY JET</t>
  </si>
  <si>
    <t>Mr.wu</t>
  </si>
  <si>
    <t>susan</t>
  </si>
  <si>
    <t>Jerry Zhang</t>
  </si>
  <si>
    <t>yangxianwu</t>
  </si>
  <si>
    <t>Anolue Arinze Anthony</t>
  </si>
  <si>
    <t>WENCY</t>
  </si>
  <si>
    <t>jason</t>
  </si>
  <si>
    <t>Joe</t>
  </si>
  <si>
    <t>Adams</t>
  </si>
  <si>
    <t>WangYiFang王怡帆</t>
  </si>
  <si>
    <t>Rachel</t>
  </si>
  <si>
    <t>Christ</t>
  </si>
  <si>
    <t>Nwachukwu victor</t>
  </si>
  <si>
    <t>MA ZONG</t>
  </si>
  <si>
    <t>JOB010276</t>
  </si>
  <si>
    <t>COLL003779</t>
  </si>
  <si>
    <t>Julie LEE</t>
  </si>
  <si>
    <t>Julie lee</t>
  </si>
  <si>
    <t>Mr.Tao</t>
  </si>
  <si>
    <t>JOB010277</t>
  </si>
  <si>
    <t>COLL003774</t>
  </si>
  <si>
    <t xml:space="preserve">顶派=64662
广州通达=3688.4
</t>
  </si>
  <si>
    <t>maolanqiang</t>
  </si>
  <si>
    <t>james</t>
  </si>
  <si>
    <t>Alhaji</t>
  </si>
  <si>
    <t>chendengrong</t>
  </si>
  <si>
    <t>Mr.Wang</t>
  </si>
  <si>
    <t>慌慌</t>
  </si>
  <si>
    <t>Kenny Oyekunle</t>
  </si>
  <si>
    <t>Miguel</t>
  </si>
  <si>
    <t>飞鸟</t>
  </si>
  <si>
    <t>FENG</t>
  </si>
  <si>
    <t>CHANG HONG DA</t>
  </si>
  <si>
    <t>Wan Guang</t>
  </si>
  <si>
    <t>Zhao Xin</t>
  </si>
  <si>
    <t>Xin Ting</t>
  </si>
  <si>
    <t>mr</t>
  </si>
  <si>
    <t>adeniyi</t>
  </si>
  <si>
    <t>Wang Jian</t>
  </si>
  <si>
    <t>Guo Hui 郭总</t>
  </si>
  <si>
    <t>Unique Desh logistics</t>
  </si>
  <si>
    <t>Taiwo</t>
  </si>
  <si>
    <t>Mr</t>
  </si>
  <si>
    <t>CHENG ZHONG</t>
  </si>
  <si>
    <t>Mr. Jason</t>
  </si>
  <si>
    <t>Rotimi</t>
  </si>
  <si>
    <t>CH</t>
  </si>
  <si>
    <t>Rose 徐艳秋</t>
  </si>
  <si>
    <t>Chen Bi</t>
  </si>
  <si>
    <t>Jack Yang</t>
  </si>
  <si>
    <t>Wang Tao</t>
  </si>
  <si>
    <t>XIN</t>
  </si>
  <si>
    <t>Jing Li</t>
  </si>
  <si>
    <t>JOB010278</t>
  </si>
  <si>
    <t>COLL003782</t>
  </si>
  <si>
    <t>Bruce</t>
  </si>
  <si>
    <t>Candice Ding</t>
  </si>
  <si>
    <t>JOB010279</t>
  </si>
  <si>
    <t>COLL003783</t>
  </si>
  <si>
    <t>WEI PING</t>
  </si>
  <si>
    <t>JOB010280</t>
  </si>
  <si>
    <t>COLL003780</t>
  </si>
  <si>
    <t>EY</t>
  </si>
  <si>
    <t>Hu Wen Cheng</t>
  </si>
  <si>
    <t>Mr Guan</t>
  </si>
  <si>
    <t>YEMI</t>
  </si>
  <si>
    <t>Lee Wen Wei</t>
  </si>
  <si>
    <t>Simon Liu</t>
  </si>
  <si>
    <t>Deng</t>
  </si>
  <si>
    <t>Mohammod</t>
  </si>
  <si>
    <t>CAO ZONG</t>
  </si>
  <si>
    <t>Gao Yang</t>
  </si>
  <si>
    <t>Elvis Yu</t>
  </si>
  <si>
    <t>Zuo Jia Cheng</t>
  </si>
  <si>
    <t>JOB010281</t>
  </si>
  <si>
    <t>COLL003784</t>
  </si>
  <si>
    <t>Victor</t>
  </si>
  <si>
    <t>Harper</t>
  </si>
  <si>
    <t>chenxiaoru</t>
  </si>
  <si>
    <t>HuaHan</t>
  </si>
  <si>
    <t>JOB010282</t>
  </si>
  <si>
    <t>COLL003778</t>
  </si>
  <si>
    <t>MaiKaiNian</t>
  </si>
  <si>
    <t>zhangcui</t>
  </si>
  <si>
    <t>Xue</t>
  </si>
  <si>
    <t>yangruiming</t>
  </si>
  <si>
    <t>Iortyer Desmond</t>
  </si>
  <si>
    <t>lengshihong</t>
  </si>
  <si>
    <t>Li 明亮</t>
  </si>
  <si>
    <t>dejare James</t>
  </si>
  <si>
    <t>Mr Ganiu</t>
  </si>
  <si>
    <t>Zhang Wen Hao</t>
  </si>
  <si>
    <t>Zhu Ming</t>
  </si>
  <si>
    <t>HuangHuiXuan黄慧轩</t>
  </si>
  <si>
    <t>ZhangFeng张峰</t>
  </si>
  <si>
    <t>Promise</t>
  </si>
  <si>
    <t>liucaiyun</t>
  </si>
  <si>
    <t>zhangjianwei</t>
  </si>
  <si>
    <t>David Zhao</t>
  </si>
  <si>
    <t>木木的木</t>
  </si>
  <si>
    <t>Lee</t>
  </si>
  <si>
    <t>亚丽</t>
  </si>
  <si>
    <t>Mr zhang</t>
  </si>
  <si>
    <t>Jahnson</t>
  </si>
  <si>
    <t>Jiang Li</t>
  </si>
  <si>
    <t>Xiao Xi Bin</t>
  </si>
  <si>
    <t>Kevin</t>
  </si>
  <si>
    <t>Funtua Mr Lee</t>
  </si>
  <si>
    <t>Jason</t>
  </si>
  <si>
    <t>JOHN WALKER</t>
  </si>
  <si>
    <t>Wang Jiu Lin</t>
  </si>
  <si>
    <t>Hu Hai Liang</t>
  </si>
  <si>
    <t>Mr.Yang</t>
  </si>
  <si>
    <t>-Jeremy-</t>
  </si>
  <si>
    <t>Emmanuel</t>
  </si>
  <si>
    <t>JOB010283</t>
  </si>
  <si>
    <t>COLL003781</t>
  </si>
  <si>
    <t>ZEALAN</t>
  </si>
  <si>
    <t>Zealan</t>
  </si>
  <si>
    <t>Zhaoxuebing</t>
  </si>
  <si>
    <t>Ruby</t>
  </si>
  <si>
    <t>YU DONGHUI</t>
  </si>
  <si>
    <t>Alex</t>
  </si>
  <si>
    <t>Xu Jing</t>
  </si>
  <si>
    <t>Lin Kai</t>
  </si>
  <si>
    <t>zhang yong chong</t>
  </si>
  <si>
    <t>los方俊鹏</t>
  </si>
  <si>
    <t>Adah Salifu</t>
  </si>
  <si>
    <t>Eric qu</t>
  </si>
  <si>
    <t>Wendy</t>
  </si>
  <si>
    <t>Panda</t>
  </si>
  <si>
    <t>JOB010284</t>
  </si>
  <si>
    <t>COLL003785</t>
  </si>
  <si>
    <t>Cindy</t>
  </si>
  <si>
    <t>Robert Hu</t>
  </si>
  <si>
    <t>Maohaiming</t>
  </si>
  <si>
    <t>YuanE袁锷</t>
  </si>
  <si>
    <t>matt</t>
  </si>
  <si>
    <t>Jacklee</t>
  </si>
  <si>
    <t>Wuchengxing</t>
  </si>
  <si>
    <t>haowangjun</t>
  </si>
  <si>
    <t>xiaohanbing</t>
  </si>
  <si>
    <t>Mr.  Musa Saliu. O</t>
  </si>
  <si>
    <t>Mr Zhuan</t>
  </si>
  <si>
    <t>mike anya</t>
  </si>
  <si>
    <t>Zeng Xiu Zhuang</t>
  </si>
  <si>
    <t>Feny</t>
  </si>
  <si>
    <t>zhong zi xin</t>
  </si>
  <si>
    <t>Helen-Taiwo</t>
  </si>
  <si>
    <t>xujianyun</t>
  </si>
  <si>
    <t>YT</t>
  </si>
  <si>
    <t>wang</t>
  </si>
  <si>
    <t>粘豆包&amp;豆包粘</t>
  </si>
  <si>
    <t>LEE</t>
  </si>
  <si>
    <t>TOYIN S. ADEKUNLE</t>
  </si>
  <si>
    <t>WangXianTao</t>
  </si>
  <si>
    <t>Hellen</t>
  </si>
  <si>
    <t>fang ming</t>
  </si>
  <si>
    <t>Adam Labaran</t>
  </si>
  <si>
    <t>JOB010285</t>
  </si>
  <si>
    <t>COLL003786</t>
  </si>
  <si>
    <t>Mr.zhou小周</t>
  </si>
  <si>
    <t>Jason Zhou</t>
  </si>
  <si>
    <t>ZHENWEI YUE</t>
  </si>
  <si>
    <t>JOB010286</t>
  </si>
  <si>
    <t>COLL003789</t>
  </si>
  <si>
    <t>Richard</t>
  </si>
  <si>
    <t>xiang shu en</t>
  </si>
  <si>
    <t>JOB010287</t>
  </si>
  <si>
    <t>COLL003790</t>
  </si>
  <si>
    <t>xiongge</t>
  </si>
  <si>
    <t>WangBangMin王帮敏</t>
  </si>
  <si>
    <t>风儿吹</t>
  </si>
  <si>
    <t>James</t>
  </si>
  <si>
    <t>ShiYuLiu</t>
  </si>
  <si>
    <t>SHI</t>
  </si>
  <si>
    <t>Simon Wang</t>
  </si>
  <si>
    <t>OLOOLU YUNUS BIOLA</t>
  </si>
  <si>
    <t>CHIMEZIE MARTIN</t>
  </si>
  <si>
    <t>JOB010288</t>
  </si>
  <si>
    <t>COLL003788</t>
  </si>
  <si>
    <t>顶派=60306
广州通达=3730.4</t>
  </si>
  <si>
    <t>YU TENG FEI</t>
  </si>
  <si>
    <t>Sagamu</t>
  </si>
  <si>
    <t>Kim</t>
  </si>
  <si>
    <t>Tony</t>
  </si>
  <si>
    <t>Alex Zhu</t>
  </si>
  <si>
    <t>Chimezie</t>
  </si>
  <si>
    <t>Mrs huang</t>
  </si>
  <si>
    <t>Roger</t>
  </si>
  <si>
    <t>John</t>
  </si>
  <si>
    <t>Fafunso</t>
  </si>
  <si>
    <t>Yang Jun Jie</t>
  </si>
  <si>
    <t>chuks</t>
  </si>
  <si>
    <t>Cherry</t>
  </si>
  <si>
    <t>Zhang Xin Jian</t>
  </si>
  <si>
    <t>JOB010289</t>
  </si>
  <si>
    <t>COLL003787</t>
  </si>
  <si>
    <t>袁安医生 Dr. Andy</t>
  </si>
  <si>
    <t>Andy Yuan</t>
  </si>
  <si>
    <t>Li Yan Qiu</t>
  </si>
  <si>
    <t>Mr Ola</t>
  </si>
  <si>
    <t>Hu Hai Chao</t>
  </si>
  <si>
    <t>Georgina Zhang</t>
  </si>
  <si>
    <t>Yang Li Long</t>
  </si>
  <si>
    <t>Fang Jian</t>
  </si>
  <si>
    <t>Liang Cai Yi</t>
  </si>
  <si>
    <t>LIU FENG</t>
  </si>
  <si>
    <t>Asuva Emmanuel</t>
  </si>
  <si>
    <t>Anna</t>
  </si>
  <si>
    <t>Roy</t>
  </si>
  <si>
    <t>jackson</t>
  </si>
  <si>
    <t>JOB010290</t>
  </si>
  <si>
    <t>COLL003792</t>
  </si>
  <si>
    <t>JOB010292</t>
  </si>
  <si>
    <t>COLL003793</t>
  </si>
  <si>
    <t>Elvis</t>
  </si>
  <si>
    <t>zhouguojing</t>
  </si>
  <si>
    <t>Alina</t>
  </si>
  <si>
    <t>Long Er</t>
  </si>
  <si>
    <t>Mr. Jiang</t>
  </si>
  <si>
    <t>JOB010293</t>
  </si>
  <si>
    <t>COLL003798</t>
  </si>
  <si>
    <t>zhong kang xiao dong</t>
  </si>
  <si>
    <t>JOB010294</t>
  </si>
  <si>
    <t>COLL003794</t>
  </si>
  <si>
    <t>huang peng</t>
  </si>
  <si>
    <t>wuzhenghong</t>
  </si>
  <si>
    <t>Okoye Juliana</t>
  </si>
  <si>
    <t>tanghaiou</t>
  </si>
  <si>
    <t>shaodong</t>
  </si>
  <si>
    <t>Chen Quan</t>
  </si>
  <si>
    <t>Weiwei</t>
  </si>
  <si>
    <t>Atten Engr Kola Balogun</t>
  </si>
  <si>
    <t>Jeffery Huang</t>
  </si>
  <si>
    <t>Peter</t>
  </si>
  <si>
    <t>Mr Lin</t>
  </si>
  <si>
    <t>LAN</t>
  </si>
  <si>
    <t>WEYINMI</t>
  </si>
  <si>
    <t>zhang long ting</t>
  </si>
  <si>
    <t>James/KC</t>
  </si>
  <si>
    <t>JOB010295</t>
  </si>
  <si>
    <t>COLL003791</t>
  </si>
  <si>
    <t>Paul</t>
  </si>
  <si>
    <t>Zhang Jie Bo</t>
  </si>
  <si>
    <t>Ifeoluwa</t>
  </si>
  <si>
    <t>CHEN + SHUI</t>
  </si>
  <si>
    <t>huangjie</t>
  </si>
  <si>
    <t>ouxinwen</t>
  </si>
  <si>
    <t>TangYuan</t>
  </si>
  <si>
    <t>Yangbin</t>
  </si>
  <si>
    <t>TangQian</t>
  </si>
  <si>
    <t>Chinex</t>
  </si>
  <si>
    <t>Lisa</t>
  </si>
  <si>
    <t>Mr Jing Liang</t>
  </si>
  <si>
    <t>Adindu</t>
  </si>
  <si>
    <t>zhang feng</t>
  </si>
  <si>
    <t>JOB010296</t>
  </si>
  <si>
    <t>COLL003795</t>
  </si>
  <si>
    <t>顶派=151552
广州通达=8912.5</t>
  </si>
  <si>
    <t>Jerry Zhao</t>
  </si>
  <si>
    <t>gilbert</t>
  </si>
  <si>
    <t>qiang</t>
  </si>
  <si>
    <t>fengqinmin</t>
  </si>
  <si>
    <t>Feng Ying</t>
  </si>
  <si>
    <t>Jackie Ms</t>
  </si>
  <si>
    <t>MrMark</t>
  </si>
  <si>
    <t>Angel</t>
  </si>
  <si>
    <t>Jack</t>
  </si>
  <si>
    <t>OTW 埃德维</t>
  </si>
  <si>
    <t>JOB010298</t>
  </si>
  <si>
    <t>COLL003797</t>
  </si>
  <si>
    <t>易水寒</t>
  </si>
  <si>
    <t>Shao Jingwu</t>
  </si>
  <si>
    <t>顶派=77316.5
驿马=1288.14</t>
  </si>
  <si>
    <t>xuhegu</t>
  </si>
  <si>
    <t>NAS</t>
  </si>
  <si>
    <t>Mr wang</t>
  </si>
  <si>
    <t>wangqingtao</t>
  </si>
  <si>
    <t>Qin chong</t>
  </si>
  <si>
    <t>Ma Chao</t>
  </si>
  <si>
    <t>WANG WEI</t>
  </si>
  <si>
    <t>Hassan</t>
  </si>
  <si>
    <t>JOB010299</t>
  </si>
  <si>
    <t>COLL003802</t>
  </si>
  <si>
    <t>EVE</t>
  </si>
  <si>
    <t>Kelly He</t>
  </si>
  <si>
    <t>long</t>
  </si>
  <si>
    <t>Tom chen</t>
  </si>
  <si>
    <t>chi de jian</t>
  </si>
  <si>
    <t>Mr Li</t>
  </si>
  <si>
    <t>JOB010301</t>
  </si>
  <si>
    <t>COLL003806</t>
  </si>
  <si>
    <t>Harvey Wang</t>
  </si>
  <si>
    <t>shidanni</t>
  </si>
  <si>
    <t>zhang guang li</t>
  </si>
  <si>
    <t>JOB010302</t>
  </si>
  <si>
    <t>COLL003801</t>
  </si>
  <si>
    <t>lihongye</t>
  </si>
  <si>
    <t>Effiong Okonessien</t>
  </si>
  <si>
    <t>Luo Cong</t>
  </si>
  <si>
    <t>Anny</t>
  </si>
  <si>
    <t>Doris Xie</t>
  </si>
  <si>
    <t>GODSPOWER OBOJADE</t>
  </si>
  <si>
    <t>DongFei</t>
  </si>
  <si>
    <t>Zhu Chang Wang</t>
  </si>
  <si>
    <t>JIU ER</t>
  </si>
  <si>
    <t>Chen Chun Zhu</t>
  </si>
  <si>
    <t>XIao Qiang</t>
  </si>
  <si>
    <t>Li Jian Hong</t>
  </si>
  <si>
    <t>Chenyun</t>
  </si>
  <si>
    <t>Gao Tian</t>
  </si>
  <si>
    <t>Eric Qu</t>
  </si>
  <si>
    <t>Esther</t>
  </si>
  <si>
    <t>zhaoyan</t>
  </si>
  <si>
    <t>wei hui zhu</t>
  </si>
  <si>
    <t>JOB010303</t>
  </si>
  <si>
    <t>COLL003800</t>
  </si>
  <si>
    <t>顶派</t>
  </si>
  <si>
    <t>zhangjingcheng</t>
  </si>
  <si>
    <t>Gbenga</t>
  </si>
  <si>
    <t>MR HE</t>
  </si>
  <si>
    <t>chenlu</t>
  </si>
  <si>
    <t>wuma</t>
  </si>
  <si>
    <t>wei gang</t>
  </si>
  <si>
    <t>SPLENDID ELECTRONICS INDUSTRIES FZE</t>
  </si>
  <si>
    <t>Xu Jie</t>
  </si>
  <si>
    <t>wanghui</t>
  </si>
  <si>
    <t>Jessica</t>
  </si>
  <si>
    <t>Mr.Jiang</t>
  </si>
  <si>
    <t>SEAN</t>
  </si>
  <si>
    <t>los徐周鹏</t>
  </si>
  <si>
    <t>jeason Cai</t>
  </si>
  <si>
    <t>Wang Dong Feng</t>
  </si>
  <si>
    <t>Linyang</t>
  </si>
  <si>
    <t>Lu</t>
  </si>
  <si>
    <t>Mr.Hugo</t>
  </si>
  <si>
    <t>JOB010304</t>
  </si>
  <si>
    <t>COLL003807</t>
  </si>
  <si>
    <t>tuoni</t>
  </si>
  <si>
    <t>JOB010305</t>
  </si>
  <si>
    <t>COLL003808</t>
  </si>
  <si>
    <t>Alhassan abdullahi</t>
  </si>
  <si>
    <t>JOB010306</t>
  </si>
  <si>
    <t>COLL003805</t>
  </si>
  <si>
    <t>Dini</t>
  </si>
  <si>
    <t>顶派=64991
驿马=1078</t>
  </si>
  <si>
    <t>chen a tong</t>
  </si>
  <si>
    <t>DengYaDi</t>
  </si>
  <si>
    <t>Daniel</t>
  </si>
  <si>
    <t>los小辣椒</t>
  </si>
  <si>
    <t>WangTao</t>
  </si>
  <si>
    <t>Joseph</t>
  </si>
  <si>
    <t>BS</t>
  </si>
  <si>
    <t>Ayotomiwa</t>
  </si>
  <si>
    <t>Ismail Alawaiye</t>
  </si>
  <si>
    <t>wang mo bao</t>
  </si>
  <si>
    <t>JOB010307</t>
  </si>
  <si>
    <t>COLL003809</t>
  </si>
  <si>
    <t>xu ming</t>
  </si>
  <si>
    <t>Ms.Xia</t>
  </si>
  <si>
    <t>zhangguofeng</t>
  </si>
  <si>
    <t>Colin</t>
  </si>
  <si>
    <t>JOB010308</t>
  </si>
  <si>
    <t>COLL003804</t>
  </si>
  <si>
    <t>James Mr.Yuan</t>
  </si>
  <si>
    <t>huang zong</t>
  </si>
  <si>
    <t>ukata</t>
  </si>
  <si>
    <t>Yusky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</si>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</sst>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  <numFmt numFmtId="184" formatCode="&quot;US$&quot;#,##0.00_);[Red]\(&quot;US$&quot;#,##0.00\)"/>
  </numFmts>
  <fonts count="4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10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8" fillId="0" borderId="2" xfId="0" applyNumberFormat="1" applyFont="1" applyFill="1" applyBorder="1">
      <alignment vertical="center"/>
    </xf>
    <xf numFmtId="58" fontId="9" fillId="0" borderId="2" xfId="0" applyNumberFormat="1" applyFont="1" applyBorder="1" applyAlignment="1">
      <alignment horizontal="center" vertical="center"/>
    </xf>
    <xf numFmtId="181" fontId="8" fillId="3" borderId="2" xfId="0" applyNumberFormat="1" applyFont="1" applyFill="1" applyBorder="1">
      <alignment vertical="center"/>
    </xf>
    <xf numFmtId="58" fontId="9" fillId="3" borderId="2" xfId="0" applyNumberFormat="1" applyFont="1" applyFill="1" applyBorder="1" applyAlignment="1">
      <alignment horizontal="center" vertical="center"/>
    </xf>
    <xf numFmtId="58" fontId="9" fillId="0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4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82" fontId="1" fillId="3" borderId="5" xfId="0" applyNumberFormat="1" applyFont="1" applyFill="1" applyBorder="1" applyAlignment="1">
      <alignment horizontal="center" vertical="center"/>
    </xf>
    <xf numFmtId="4" fontId="1" fillId="3" borderId="5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1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4" fontId="12" fillId="3" borderId="2" xfId="0" applyNumberFormat="1" applyFont="1" applyFill="1" applyBorder="1" applyAlignment="1">
      <alignment horizontal="center" vertical="center" wrapText="1"/>
    </xf>
    <xf numFmtId="182" fontId="12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>
      <alignment vertical="center"/>
    </xf>
    <xf numFmtId="4" fontId="15" fillId="0" borderId="2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177" fontId="7" fillId="2" borderId="2" xfId="0" applyNumberFormat="1" applyFont="1" applyFill="1" applyBorder="1">
      <alignment vertical="center"/>
    </xf>
    <xf numFmtId="182" fontId="7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4" fontId="15" fillId="3" borderId="2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 applyAlignment="1">
      <alignment horizontal="center" vertical="center"/>
    </xf>
    <xf numFmtId="176" fontId="15" fillId="2" borderId="2" xfId="0" applyNumberFormat="1" applyFont="1" applyFill="1" applyBorder="1">
      <alignment vertical="center"/>
    </xf>
    <xf numFmtId="182" fontId="7" fillId="2" borderId="3" xfId="0" applyNumberFormat="1" applyFont="1" applyFill="1" applyBorder="1" applyAlignment="1">
      <alignment horizontal="center" vertical="center"/>
    </xf>
    <xf numFmtId="4" fontId="15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 applyAlignment="1">
      <alignment horizontal="center" vertical="center"/>
    </xf>
    <xf numFmtId="182" fontId="15" fillId="2" borderId="2" xfId="0" applyNumberFormat="1" applyFont="1" applyFill="1" applyBorder="1">
      <alignment vertical="center"/>
    </xf>
    <xf numFmtId="182" fontId="15" fillId="2" borderId="2" xfId="0" applyNumberFormat="1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182" fontId="7" fillId="2" borderId="7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6" fillId="3" borderId="1" xfId="0" applyNumberFormat="1" applyFont="1" applyFill="1" applyBorder="1" applyAlignment="1">
      <alignment horizontal="center" vertical="center" wrapText="1"/>
    </xf>
    <xf numFmtId="176" fontId="13" fillId="3" borderId="2" xfId="0" applyNumberFormat="1" applyFont="1" applyFill="1" applyBorder="1" applyAlignment="1">
      <alignment horizontal="center" vertical="center"/>
    </xf>
    <xf numFmtId="183" fontId="17" fillId="5" borderId="2" xfId="4" applyNumberFormat="1" applyFont="1" applyFill="1" applyBorder="1" applyAlignment="1">
      <alignment horizontal="center" vertical="center"/>
    </xf>
    <xf numFmtId="182" fontId="14" fillId="5" borderId="2" xfId="4" applyNumberFormat="1" applyFont="1" applyFill="1" applyBorder="1" applyAlignment="1">
      <alignment horizontal="center" vertical="center"/>
    </xf>
    <xf numFmtId="183" fontId="14" fillId="0" borderId="2" xfId="4" applyNumberFormat="1" applyFont="1" applyFill="1" applyBorder="1" applyAlignment="1">
      <alignment horizontal="center" vertical="center"/>
    </xf>
    <xf numFmtId="182" fontId="14" fillId="0" borderId="2" xfId="4" applyNumberFormat="1" applyFont="1" applyFill="1" applyBorder="1" applyAlignment="1">
      <alignment horizontal="center" vertical="center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6" fillId="3" borderId="3" xfId="0" applyNumberFormat="1" applyFont="1" applyFill="1" applyBorder="1" applyAlignment="1">
      <alignment horizontal="center" vertical="center" wrapText="1"/>
    </xf>
    <xf numFmtId="176" fontId="18" fillId="3" borderId="2" xfId="0" applyNumberFormat="1" applyFont="1" applyFill="1" applyBorder="1" applyAlignment="1">
      <alignment vertical="center" wrapText="1"/>
    </xf>
    <xf numFmtId="182" fontId="7" fillId="2" borderId="1" xfId="0" applyNumberFormat="1" applyFont="1" applyFill="1" applyBorder="1" applyAlignment="1">
      <alignment horizontal="center" vertical="center" wrapText="1"/>
    </xf>
    <xf numFmtId="182" fontId="7" fillId="2" borderId="2" xfId="0" applyNumberFormat="1" applyFont="1" applyFill="1" applyBorder="1" applyAlignment="1">
      <alignment vertical="center"/>
    </xf>
    <xf numFmtId="182" fontId="7" fillId="3" borderId="2" xfId="0" applyNumberFormat="1" applyFont="1" applyFill="1" applyBorder="1" applyAlignment="1">
      <alignment vertical="center"/>
    </xf>
    <xf numFmtId="7" fontId="7" fillId="2" borderId="2" xfId="0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vertical="center"/>
    </xf>
    <xf numFmtId="177" fontId="3" fillId="0" borderId="0" xfId="0" applyNumberFormat="1" applyFont="1" applyAlignment="1">
      <alignment horizontal="center" vertical="center"/>
    </xf>
    <xf numFmtId="177" fontId="13" fillId="3" borderId="2" xfId="0" applyNumberFormat="1" applyFont="1" applyFill="1" applyBorder="1" applyAlignment="1">
      <alignment horizontal="center" vertical="center"/>
    </xf>
    <xf numFmtId="182" fontId="13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177" fontId="16" fillId="3" borderId="2" xfId="0" applyNumberFormat="1" applyFont="1" applyFill="1" applyBorder="1" applyAlignment="1">
      <alignment horizontal="center" vertical="center"/>
    </xf>
    <xf numFmtId="182" fontId="13" fillId="3" borderId="2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vertical="center"/>
    </xf>
    <xf numFmtId="182" fontId="15" fillId="3" borderId="2" xfId="0" applyNumberFormat="1" applyFont="1" applyFill="1" applyBorder="1">
      <alignment vertical="center"/>
    </xf>
    <xf numFmtId="182" fontId="15" fillId="3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176" fontId="15" fillId="3" borderId="2" xfId="0" applyNumberFormat="1" applyFont="1" applyFill="1" applyBorder="1">
      <alignment vertical="center"/>
    </xf>
    <xf numFmtId="182" fontId="9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182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6" fontId="15" fillId="2" borderId="2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>
      <alignment vertical="center"/>
    </xf>
    <xf numFmtId="4" fontId="7" fillId="0" borderId="2" xfId="0" applyNumberFormat="1" applyFont="1" applyFill="1" applyBorder="1" applyAlignment="1">
      <alignment horizontal="center" vertical="center"/>
    </xf>
    <xf numFmtId="184" fontId="15" fillId="2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949"/>
  <sheetViews>
    <sheetView tabSelected="1" workbookViewId="0">
      <pane xSplit="4" ySplit="3" topLeftCell="T865" activePane="bottomRight" state="frozen"/>
      <selection/>
      <selection pane="topRight"/>
      <selection pane="bottomLeft"/>
      <selection pane="bottomRight" activeCell="AE903" sqref="AE903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4" width="9" style="2"/>
    <col min="5" max="5" width="9.625" style="2"/>
    <col min="6" max="6" width="17.375" customWidth="1"/>
    <col min="7" max="8" width="11.5"/>
    <col min="9" max="11" width="13.875"/>
    <col min="12" max="12" width="13.875" style="3"/>
    <col min="13" max="13" width="13.625"/>
    <col min="14" max="14" width="12.625"/>
    <col min="15" max="15" width="13.875"/>
    <col min="16" max="16" width="12.375" customWidth="1"/>
    <col min="17" max="17" width="11.25" customWidth="1"/>
    <col min="18" max="18" width="16.125"/>
    <col min="19" max="19" width="11.25" style="4" customWidth="1"/>
    <col min="20" max="20" width="10.25" style="4"/>
    <col min="21" max="22" width="11.25" style="4"/>
    <col min="23" max="23" width="14.75" style="5"/>
    <col min="24" max="24" width="11.875" style="6" customWidth="1"/>
    <col min="25" max="25" width="11.125" style="6" customWidth="1"/>
    <col min="26" max="26" width="11.25" style="6"/>
    <col min="27" max="27" width="12.625" style="6"/>
    <col min="28" max="28" width="12" style="7"/>
    <col min="29" max="29" width="12.875"/>
    <col min="30" max="30" width="14.875"/>
    <col min="31" max="31" width="16.25" customWidth="1"/>
    <col min="32" max="32" width="12.625"/>
  </cols>
  <sheetData>
    <row r="1" ht="31" customHeight="1" spans="1:3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27"/>
      <c r="M1" s="8"/>
      <c r="N1" s="28"/>
      <c r="O1" s="8"/>
      <c r="P1" s="8"/>
      <c r="Q1" s="8"/>
      <c r="R1" s="8"/>
      <c r="S1" s="61"/>
      <c r="T1" s="61"/>
      <c r="U1" s="62"/>
      <c r="V1" s="61"/>
      <c r="W1" s="63"/>
      <c r="X1" s="64"/>
      <c r="Y1" s="64"/>
      <c r="Z1" s="64"/>
      <c r="AA1" s="64"/>
      <c r="AB1" s="85"/>
      <c r="AC1" s="64"/>
      <c r="AD1" s="8"/>
      <c r="AE1" s="8"/>
    </row>
    <row r="2" s="1" customFormat="1" ht="23" customHeight="1" spans="1:31">
      <c r="A2" s="9" t="s">
        <v>1</v>
      </c>
      <c r="B2" s="10" t="s">
        <v>2</v>
      </c>
      <c r="C2" s="11" t="s">
        <v>3</v>
      </c>
      <c r="D2" s="12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29" t="s">
        <v>9</v>
      </c>
      <c r="J2" s="30"/>
      <c r="K2" s="30"/>
      <c r="L2" s="31"/>
      <c r="M2" s="32"/>
      <c r="N2" s="33"/>
      <c r="O2" s="34"/>
      <c r="P2" s="35" t="s">
        <v>10</v>
      </c>
      <c r="Q2" s="65" t="s">
        <v>11</v>
      </c>
      <c r="R2" s="66"/>
      <c r="S2" s="67"/>
      <c r="T2" s="68"/>
      <c r="U2" s="69"/>
      <c r="V2" s="70" t="s">
        <v>12</v>
      </c>
      <c r="W2" s="71" t="s">
        <v>13</v>
      </c>
      <c r="X2" s="72" t="s">
        <v>14</v>
      </c>
      <c r="Y2" s="72"/>
      <c r="Z2" s="72"/>
      <c r="AA2" s="72"/>
      <c r="AB2" s="86"/>
      <c r="AC2" s="72"/>
      <c r="AD2" s="87" t="s">
        <v>15</v>
      </c>
      <c r="AE2" s="88" t="s">
        <v>16</v>
      </c>
    </row>
    <row r="3" s="1" customFormat="1" ht="27" customHeight="1" spans="1:31">
      <c r="A3" s="15"/>
      <c r="B3" s="16"/>
      <c r="C3" s="11"/>
      <c r="D3" s="12"/>
      <c r="E3" s="17"/>
      <c r="F3" s="18"/>
      <c r="G3" s="18"/>
      <c r="H3" s="18"/>
      <c r="I3" s="36" t="s">
        <v>17</v>
      </c>
      <c r="J3" s="37" t="s">
        <v>18</v>
      </c>
      <c r="K3" s="38" t="s">
        <v>19</v>
      </c>
      <c r="L3" s="37" t="s">
        <v>20</v>
      </c>
      <c r="M3" s="39" t="s">
        <v>21</v>
      </c>
      <c r="N3" s="40" t="s">
        <v>22</v>
      </c>
      <c r="O3" s="41" t="s">
        <v>23</v>
      </c>
      <c r="P3" s="42"/>
      <c r="Q3" s="73" t="s">
        <v>24</v>
      </c>
      <c r="R3" s="74" t="s">
        <v>25</v>
      </c>
      <c r="S3" s="75" t="s">
        <v>26</v>
      </c>
      <c r="T3" s="76" t="s">
        <v>27</v>
      </c>
      <c r="U3" s="75" t="s">
        <v>28</v>
      </c>
      <c r="V3" s="77"/>
      <c r="W3" s="78"/>
      <c r="X3" s="79" t="s">
        <v>29</v>
      </c>
      <c r="Y3" s="79" t="s">
        <v>30</v>
      </c>
      <c r="Z3" s="79" t="s">
        <v>31</v>
      </c>
      <c r="AA3" s="89" t="s">
        <v>32</v>
      </c>
      <c r="AB3" s="90" t="s">
        <v>33</v>
      </c>
      <c r="AC3" s="91" t="s">
        <v>23</v>
      </c>
      <c r="AD3" s="92" t="s">
        <v>34</v>
      </c>
      <c r="AE3" s="93"/>
    </row>
    <row r="4" customFormat="1" spans="1:31">
      <c r="A4" s="19" t="s">
        <v>35</v>
      </c>
      <c r="B4" s="20" t="s">
        <v>36</v>
      </c>
      <c r="C4" s="21">
        <v>231219000049</v>
      </c>
      <c r="D4" s="22">
        <v>45293</v>
      </c>
      <c r="E4" s="22" t="s">
        <v>37</v>
      </c>
      <c r="F4" s="20" t="s">
        <v>38</v>
      </c>
      <c r="G4" s="20" t="s">
        <v>39</v>
      </c>
      <c r="H4" s="20">
        <v>3.5</v>
      </c>
      <c r="I4" s="43">
        <v>325.4</v>
      </c>
      <c r="J4" s="44"/>
      <c r="K4" s="45"/>
      <c r="L4" s="44"/>
      <c r="M4" s="46"/>
      <c r="N4" s="47"/>
      <c r="O4" s="48">
        <f>SUM(I4)</f>
        <v>325.4</v>
      </c>
      <c r="P4" s="49">
        <f>SUM(O4:O64)</f>
        <v>175736.214</v>
      </c>
      <c r="Q4" s="80" t="s">
        <v>40</v>
      </c>
      <c r="R4" s="81">
        <f>SUM(100421.8/3291)*H4</f>
        <v>106.799240352476</v>
      </c>
      <c r="S4" s="81"/>
      <c r="T4" s="82">
        <f>SUM(243/3291)*H4</f>
        <v>0.258432087511395</v>
      </c>
      <c r="U4" s="81"/>
      <c r="V4" s="81"/>
      <c r="W4" s="83">
        <f>SUM(R4:V4)</f>
        <v>107.057672439988</v>
      </c>
      <c r="X4" s="84">
        <f>SUM(2817.74/3291)*H4</f>
        <v>2.99668489820723</v>
      </c>
      <c r="Y4" s="84">
        <v>9.1</v>
      </c>
      <c r="Z4" s="84"/>
      <c r="AA4" s="84">
        <f>SUM(X4:Z4)</f>
        <v>12.0966848982072</v>
      </c>
      <c r="AB4" s="94">
        <v>7.17</v>
      </c>
      <c r="AC4" s="81">
        <f>SUM(AA4*AB4)</f>
        <v>86.7332307201458</v>
      </c>
      <c r="AD4" s="81">
        <f>SUM(W4+AC4)</f>
        <v>193.790903160134</v>
      </c>
      <c r="AE4" s="81">
        <f>SUM(O4-AD4)</f>
        <v>131.609096839866</v>
      </c>
    </row>
    <row r="5" customFormat="1" spans="1:31">
      <c r="A5" s="19"/>
      <c r="B5" s="20"/>
      <c r="C5" s="21">
        <v>231222000006</v>
      </c>
      <c r="D5" s="22">
        <v>45293</v>
      </c>
      <c r="E5" s="22" t="s">
        <v>41</v>
      </c>
      <c r="F5" s="20" t="s">
        <v>42</v>
      </c>
      <c r="G5" s="20" t="s">
        <v>43</v>
      </c>
      <c r="H5" s="20">
        <v>9.5</v>
      </c>
      <c r="I5" s="50"/>
      <c r="J5" s="51">
        <v>120120</v>
      </c>
      <c r="K5" s="52"/>
      <c r="L5" s="51">
        <f>SUM(J5/M5)</f>
        <v>1262.0298382013</v>
      </c>
      <c r="M5" s="53">
        <v>95.18</v>
      </c>
      <c r="N5" s="47">
        <v>7.17</v>
      </c>
      <c r="O5" s="48">
        <f t="shared" ref="O5:O11" si="0">SUM(M5*N5)</f>
        <v>682.4406</v>
      </c>
      <c r="P5" s="54"/>
      <c r="Q5" s="54"/>
      <c r="R5" s="81">
        <f t="shared" ref="R5:R36" si="1">SUM(100421.8/3291)*H5</f>
        <v>289.883652385293</v>
      </c>
      <c r="S5" s="81"/>
      <c r="T5" s="82">
        <f t="shared" ref="T5:T36" si="2">SUM(243/3291)*H5</f>
        <v>0.701458523245214</v>
      </c>
      <c r="U5" s="81">
        <v>40</v>
      </c>
      <c r="V5" s="81"/>
      <c r="W5" s="83">
        <f t="shared" ref="W5:W36" si="3">SUM(R5:V5)</f>
        <v>330.585110908538</v>
      </c>
      <c r="X5" s="84">
        <f t="shared" ref="X5:X36" si="4">SUM(2817.74/3291)*H5</f>
        <v>8.13385900941963</v>
      </c>
      <c r="Y5" s="84"/>
      <c r="Z5" s="84"/>
      <c r="AA5" s="84">
        <f t="shared" ref="AA5:AA36" si="5">SUM(X5:Z5)</f>
        <v>8.13385900941963</v>
      </c>
      <c r="AB5" s="94">
        <v>7.17</v>
      </c>
      <c r="AC5" s="81">
        <f t="shared" ref="AC5:AC36" si="6">SUM(AA5*AB5)</f>
        <v>58.3197690975387</v>
      </c>
      <c r="AD5" s="81">
        <f t="shared" ref="AD5:AD36" si="7">SUM(W5+AC5)</f>
        <v>388.904880006077</v>
      </c>
      <c r="AE5" s="81">
        <f t="shared" ref="AE5:AE36" si="8">SUM(O5-AD5)</f>
        <v>293.535719993923</v>
      </c>
    </row>
    <row r="6" customFormat="1" spans="1:31">
      <c r="A6" s="19"/>
      <c r="B6" s="20"/>
      <c r="C6" s="21">
        <v>231222000020</v>
      </c>
      <c r="D6" s="22">
        <v>45293</v>
      </c>
      <c r="E6" s="22" t="s">
        <v>44</v>
      </c>
      <c r="F6" s="20" t="s">
        <v>45</v>
      </c>
      <c r="G6" s="20" t="s">
        <v>46</v>
      </c>
      <c r="H6" s="20">
        <v>6</v>
      </c>
      <c r="I6" s="50"/>
      <c r="J6" s="51">
        <v>71400</v>
      </c>
      <c r="K6" s="52"/>
      <c r="L6" s="51">
        <f>SUM(J6/M6)</f>
        <v>1254.83304042179</v>
      </c>
      <c r="M6" s="53">
        <v>56.9</v>
      </c>
      <c r="N6" s="47">
        <v>7.17</v>
      </c>
      <c r="O6" s="48">
        <f t="shared" si="0"/>
        <v>407.973</v>
      </c>
      <c r="P6" s="54"/>
      <c r="Q6" s="54"/>
      <c r="R6" s="81">
        <f t="shared" si="1"/>
        <v>183.084412032817</v>
      </c>
      <c r="S6" s="81"/>
      <c r="T6" s="82">
        <f t="shared" si="2"/>
        <v>0.44302643573382</v>
      </c>
      <c r="U6" s="81"/>
      <c r="V6" s="81"/>
      <c r="W6" s="83">
        <f t="shared" si="3"/>
        <v>183.527438468551</v>
      </c>
      <c r="X6" s="84">
        <f t="shared" si="4"/>
        <v>5.1371741112124</v>
      </c>
      <c r="Y6" s="84"/>
      <c r="Z6" s="84"/>
      <c r="AA6" s="84">
        <f t="shared" si="5"/>
        <v>5.1371741112124</v>
      </c>
      <c r="AB6" s="94">
        <v>7.17</v>
      </c>
      <c r="AC6" s="81">
        <f t="shared" si="6"/>
        <v>36.8335383773929</v>
      </c>
      <c r="AD6" s="81">
        <f t="shared" si="7"/>
        <v>220.360976845943</v>
      </c>
      <c r="AE6" s="81">
        <f t="shared" si="8"/>
        <v>187.612023154057</v>
      </c>
    </row>
    <row r="7" customFormat="1" spans="1:31">
      <c r="A7" s="19"/>
      <c r="B7" s="20"/>
      <c r="C7" s="21">
        <v>231223000002</v>
      </c>
      <c r="D7" s="22">
        <v>45293</v>
      </c>
      <c r="E7" s="22" t="s">
        <v>41</v>
      </c>
      <c r="F7" s="20" t="s">
        <v>42</v>
      </c>
      <c r="G7" s="20" t="s">
        <v>47</v>
      </c>
      <c r="H7" s="20">
        <v>40.5</v>
      </c>
      <c r="I7" s="43">
        <v>2106</v>
      </c>
      <c r="J7" s="44"/>
      <c r="K7" s="45"/>
      <c r="L7" s="44"/>
      <c r="M7" s="46"/>
      <c r="N7" s="47"/>
      <c r="O7" s="48">
        <f>SUM(I7)</f>
        <v>2106</v>
      </c>
      <c r="P7" s="54"/>
      <c r="Q7" s="54"/>
      <c r="R7" s="81">
        <f t="shared" si="1"/>
        <v>1235.81978122151</v>
      </c>
      <c r="S7" s="81"/>
      <c r="T7" s="82">
        <f t="shared" si="2"/>
        <v>2.99042844120328</v>
      </c>
      <c r="U7" s="81"/>
      <c r="V7" s="81"/>
      <c r="W7" s="83">
        <f t="shared" si="3"/>
        <v>1238.81020966272</v>
      </c>
      <c r="X7" s="84">
        <f t="shared" si="4"/>
        <v>34.6759252506837</v>
      </c>
      <c r="Y7" s="84"/>
      <c r="Z7" s="84"/>
      <c r="AA7" s="84">
        <f t="shared" si="5"/>
        <v>34.6759252506837</v>
      </c>
      <c r="AB7" s="94">
        <v>7.17</v>
      </c>
      <c r="AC7" s="81">
        <f t="shared" si="6"/>
        <v>248.626384047402</v>
      </c>
      <c r="AD7" s="81">
        <f t="shared" si="7"/>
        <v>1487.43659371012</v>
      </c>
      <c r="AE7" s="81">
        <f t="shared" si="8"/>
        <v>618.56340628988</v>
      </c>
    </row>
    <row r="8" customFormat="1" spans="1:31">
      <c r="A8" s="19"/>
      <c r="B8" s="20"/>
      <c r="C8" s="21">
        <v>231223000003</v>
      </c>
      <c r="D8" s="22">
        <v>45293</v>
      </c>
      <c r="E8" s="22" t="s">
        <v>41</v>
      </c>
      <c r="F8" s="20" t="s">
        <v>42</v>
      </c>
      <c r="G8" s="20" t="s">
        <v>48</v>
      </c>
      <c r="H8" s="20">
        <v>0.98</v>
      </c>
      <c r="I8" s="50"/>
      <c r="J8" s="51">
        <v>12848</v>
      </c>
      <c r="K8" s="52"/>
      <c r="L8" s="51">
        <f>SUM(J8/M8)</f>
        <v>1262.08251473477</v>
      </c>
      <c r="M8" s="53">
        <v>10.18</v>
      </c>
      <c r="N8" s="47">
        <v>7.17</v>
      </c>
      <c r="O8" s="48">
        <f t="shared" si="0"/>
        <v>72.9906</v>
      </c>
      <c r="P8" s="54"/>
      <c r="Q8" s="54"/>
      <c r="R8" s="81">
        <f t="shared" si="1"/>
        <v>29.9037872986934</v>
      </c>
      <c r="S8" s="81"/>
      <c r="T8" s="82">
        <f t="shared" si="2"/>
        <v>0.0723609845031905</v>
      </c>
      <c r="U8" s="81"/>
      <c r="V8" s="81"/>
      <c r="W8" s="83">
        <f t="shared" si="3"/>
        <v>29.9761482831966</v>
      </c>
      <c r="X8" s="84">
        <f t="shared" si="4"/>
        <v>0.839071771498025</v>
      </c>
      <c r="Y8" s="84"/>
      <c r="Z8" s="84"/>
      <c r="AA8" s="84">
        <f t="shared" si="5"/>
        <v>0.839071771498025</v>
      </c>
      <c r="AB8" s="94">
        <v>7.17</v>
      </c>
      <c r="AC8" s="81">
        <f t="shared" si="6"/>
        <v>6.01614460164084</v>
      </c>
      <c r="AD8" s="81">
        <f t="shared" si="7"/>
        <v>35.9922928848374</v>
      </c>
      <c r="AE8" s="81">
        <f t="shared" si="8"/>
        <v>36.9983071151626</v>
      </c>
    </row>
    <row r="9" customFormat="1" spans="1:31">
      <c r="A9" s="19"/>
      <c r="B9" s="20"/>
      <c r="C9" s="21">
        <v>231223000005</v>
      </c>
      <c r="D9" s="22">
        <v>45293</v>
      </c>
      <c r="E9" s="22" t="s">
        <v>49</v>
      </c>
      <c r="F9" s="20" t="s">
        <v>50</v>
      </c>
      <c r="G9" s="20" t="s">
        <v>51</v>
      </c>
      <c r="H9" s="20">
        <v>15</v>
      </c>
      <c r="I9" s="48"/>
      <c r="J9" s="55">
        <v>132060</v>
      </c>
      <c r="K9" s="56"/>
      <c r="L9" s="51">
        <f>SUM(J9/M9)</f>
        <v>1240</v>
      </c>
      <c r="M9" s="53">
        <v>106.5</v>
      </c>
      <c r="N9" s="47">
        <v>7.17</v>
      </c>
      <c r="O9" s="48">
        <f t="shared" si="0"/>
        <v>763.605</v>
      </c>
      <c r="P9" s="54"/>
      <c r="Q9" s="54"/>
      <c r="R9" s="81">
        <f t="shared" si="1"/>
        <v>457.711030082042</v>
      </c>
      <c r="S9" s="81"/>
      <c r="T9" s="82">
        <f t="shared" si="2"/>
        <v>1.10756608933455</v>
      </c>
      <c r="U9" s="81"/>
      <c r="V9" s="81"/>
      <c r="W9" s="83">
        <f t="shared" si="3"/>
        <v>458.818596171376</v>
      </c>
      <c r="X9" s="84">
        <f t="shared" si="4"/>
        <v>12.842935278031</v>
      </c>
      <c r="Y9" s="84"/>
      <c r="Z9" s="84"/>
      <c r="AA9" s="84">
        <f t="shared" si="5"/>
        <v>12.842935278031</v>
      </c>
      <c r="AB9" s="94">
        <v>7.17</v>
      </c>
      <c r="AC9" s="81">
        <f t="shared" si="6"/>
        <v>92.0838459434822</v>
      </c>
      <c r="AD9" s="81">
        <f t="shared" si="7"/>
        <v>550.902442114859</v>
      </c>
      <c r="AE9" s="81">
        <f t="shared" si="8"/>
        <v>212.702557885141</v>
      </c>
    </row>
    <row r="10" customFormat="1" spans="1:31">
      <c r="A10" s="19"/>
      <c r="B10" s="20"/>
      <c r="C10" s="21">
        <v>231223000006</v>
      </c>
      <c r="D10" s="22">
        <v>45293</v>
      </c>
      <c r="E10" s="22" t="s">
        <v>49</v>
      </c>
      <c r="F10" s="20" t="s">
        <v>50</v>
      </c>
      <c r="G10" s="20" t="s">
        <v>52</v>
      </c>
      <c r="H10" s="20">
        <v>2.5</v>
      </c>
      <c r="I10" s="50"/>
      <c r="J10" s="51">
        <v>22250</v>
      </c>
      <c r="K10" s="52"/>
      <c r="L10" s="51">
        <f>SUM(J10/M10)</f>
        <v>1276.53471026965</v>
      </c>
      <c r="M10" s="53">
        <v>17.43</v>
      </c>
      <c r="N10" s="47">
        <v>7.17</v>
      </c>
      <c r="O10" s="48">
        <f t="shared" si="0"/>
        <v>124.9731</v>
      </c>
      <c r="P10" s="54"/>
      <c r="Q10" s="54"/>
      <c r="R10" s="81">
        <f t="shared" si="1"/>
        <v>76.2851716803403</v>
      </c>
      <c r="S10" s="81"/>
      <c r="T10" s="82">
        <f t="shared" si="2"/>
        <v>0.184594348222425</v>
      </c>
      <c r="U10" s="81"/>
      <c r="V10" s="81"/>
      <c r="W10" s="83">
        <f t="shared" si="3"/>
        <v>76.4697660285627</v>
      </c>
      <c r="X10" s="84">
        <f t="shared" si="4"/>
        <v>2.14048921300517</v>
      </c>
      <c r="Y10" s="84"/>
      <c r="Z10" s="84"/>
      <c r="AA10" s="84">
        <f t="shared" si="5"/>
        <v>2.14048921300517</v>
      </c>
      <c r="AB10" s="94">
        <v>7.17</v>
      </c>
      <c r="AC10" s="81">
        <f t="shared" si="6"/>
        <v>15.347307657247</v>
      </c>
      <c r="AD10" s="81">
        <f t="shared" si="7"/>
        <v>91.8170736858098</v>
      </c>
      <c r="AE10" s="81">
        <f t="shared" si="8"/>
        <v>33.1560263141902</v>
      </c>
    </row>
    <row r="11" customFormat="1" spans="1:31">
      <c r="A11" s="19"/>
      <c r="B11" s="20"/>
      <c r="C11" s="21">
        <v>231223000008</v>
      </c>
      <c r="D11" s="22">
        <v>45293</v>
      </c>
      <c r="E11" s="22" t="s">
        <v>49</v>
      </c>
      <c r="F11" s="20" t="s">
        <v>50</v>
      </c>
      <c r="G11" s="20" t="s">
        <v>53</v>
      </c>
      <c r="H11" s="20">
        <v>3</v>
      </c>
      <c r="I11" s="50"/>
      <c r="J11" s="51">
        <v>39362.4</v>
      </c>
      <c r="K11" s="52"/>
      <c r="L11" s="51">
        <f>SUM(J11/M11)</f>
        <v>1325.33333333333</v>
      </c>
      <c r="M11" s="53">
        <v>29.7</v>
      </c>
      <c r="N11" s="47">
        <v>7.17</v>
      </c>
      <c r="O11" s="48">
        <f t="shared" si="0"/>
        <v>212.949</v>
      </c>
      <c r="P11" s="54"/>
      <c r="Q11" s="54"/>
      <c r="R11" s="81">
        <f t="shared" si="1"/>
        <v>91.5422060164084</v>
      </c>
      <c r="S11" s="81"/>
      <c r="T11" s="82">
        <f t="shared" si="2"/>
        <v>0.22151321786691</v>
      </c>
      <c r="U11" s="81"/>
      <c r="V11" s="81"/>
      <c r="W11" s="83">
        <f t="shared" si="3"/>
        <v>91.7637192342753</v>
      </c>
      <c r="X11" s="84">
        <f t="shared" si="4"/>
        <v>2.5685870556062</v>
      </c>
      <c r="Y11" s="84"/>
      <c r="Z11" s="84"/>
      <c r="AA11" s="84">
        <f t="shared" si="5"/>
        <v>2.5685870556062</v>
      </c>
      <c r="AB11" s="94">
        <v>7.17</v>
      </c>
      <c r="AC11" s="81">
        <f t="shared" si="6"/>
        <v>18.4167691886964</v>
      </c>
      <c r="AD11" s="81">
        <f t="shared" si="7"/>
        <v>110.180488422972</v>
      </c>
      <c r="AE11" s="81">
        <f t="shared" si="8"/>
        <v>102.768511577028</v>
      </c>
    </row>
    <row r="12" customFormat="1" spans="1:31">
      <c r="A12" s="19"/>
      <c r="B12" s="20"/>
      <c r="C12" s="21">
        <v>231223000010</v>
      </c>
      <c r="D12" s="22">
        <v>45293</v>
      </c>
      <c r="E12" s="22" t="s">
        <v>37</v>
      </c>
      <c r="F12" s="20" t="s">
        <v>38</v>
      </c>
      <c r="G12" s="20" t="s">
        <v>54</v>
      </c>
      <c r="H12" s="20">
        <v>48.5</v>
      </c>
      <c r="I12" s="43">
        <v>3197</v>
      </c>
      <c r="J12" s="44"/>
      <c r="K12" s="45"/>
      <c r="L12" s="44"/>
      <c r="M12" s="46"/>
      <c r="N12" s="47"/>
      <c r="O12" s="48">
        <f t="shared" ref="O12:O19" si="9">SUM(I12)</f>
        <v>3197</v>
      </c>
      <c r="P12" s="54"/>
      <c r="Q12" s="54"/>
      <c r="R12" s="81">
        <f t="shared" si="1"/>
        <v>1479.9323305986</v>
      </c>
      <c r="S12" s="81"/>
      <c r="T12" s="82">
        <f t="shared" si="2"/>
        <v>3.58113035551504</v>
      </c>
      <c r="U12" s="81"/>
      <c r="V12" s="82">
        <v>190</v>
      </c>
      <c r="W12" s="83">
        <f t="shared" si="3"/>
        <v>1673.51346095412</v>
      </c>
      <c r="X12" s="84">
        <f t="shared" si="4"/>
        <v>41.5254907323002</v>
      </c>
      <c r="Y12" s="84"/>
      <c r="Z12" s="84"/>
      <c r="AA12" s="84">
        <f t="shared" si="5"/>
        <v>41.5254907323002</v>
      </c>
      <c r="AB12" s="94">
        <v>7.17</v>
      </c>
      <c r="AC12" s="81">
        <f t="shared" si="6"/>
        <v>297.737768550592</v>
      </c>
      <c r="AD12" s="81">
        <f t="shared" si="7"/>
        <v>1971.25122950471</v>
      </c>
      <c r="AE12" s="81">
        <f t="shared" si="8"/>
        <v>1225.74877049529</v>
      </c>
    </row>
    <row r="13" customFormat="1" spans="1:31">
      <c r="A13" s="19"/>
      <c r="B13" s="20"/>
      <c r="C13" s="21">
        <v>231225000001</v>
      </c>
      <c r="D13" s="22">
        <v>45293</v>
      </c>
      <c r="E13" s="22" t="s">
        <v>44</v>
      </c>
      <c r="F13" s="20" t="s">
        <v>45</v>
      </c>
      <c r="G13" s="20" t="s">
        <v>55</v>
      </c>
      <c r="H13" s="20">
        <v>4</v>
      </c>
      <c r="I13" s="43">
        <v>283</v>
      </c>
      <c r="J13" s="44"/>
      <c r="K13" s="45"/>
      <c r="L13" s="44"/>
      <c r="M13" s="46"/>
      <c r="N13" s="47"/>
      <c r="O13" s="48">
        <f t="shared" si="9"/>
        <v>283</v>
      </c>
      <c r="P13" s="54"/>
      <c r="Q13" s="54"/>
      <c r="R13" s="81">
        <f t="shared" si="1"/>
        <v>122.056274688545</v>
      </c>
      <c r="S13" s="81"/>
      <c r="T13" s="82">
        <f t="shared" si="2"/>
        <v>0.29535095715588</v>
      </c>
      <c r="U13" s="81"/>
      <c r="V13" s="81"/>
      <c r="W13" s="83">
        <f t="shared" si="3"/>
        <v>122.3516256457</v>
      </c>
      <c r="X13" s="84">
        <f t="shared" si="4"/>
        <v>3.42478274080826</v>
      </c>
      <c r="Y13" s="84"/>
      <c r="Z13" s="84"/>
      <c r="AA13" s="84">
        <f t="shared" si="5"/>
        <v>3.42478274080826</v>
      </c>
      <c r="AB13" s="94">
        <v>7.17</v>
      </c>
      <c r="AC13" s="81">
        <f t="shared" si="6"/>
        <v>24.5556922515953</v>
      </c>
      <c r="AD13" s="81">
        <f t="shared" si="7"/>
        <v>146.907317897296</v>
      </c>
      <c r="AE13" s="81">
        <f t="shared" si="8"/>
        <v>136.092682102704</v>
      </c>
    </row>
    <row r="14" customFormat="1" spans="1:31">
      <c r="A14" s="19"/>
      <c r="B14" s="20"/>
      <c r="C14" s="21">
        <v>231225000004</v>
      </c>
      <c r="D14" s="22">
        <v>45293</v>
      </c>
      <c r="E14" s="22" t="s">
        <v>44</v>
      </c>
      <c r="F14" s="20" t="s">
        <v>45</v>
      </c>
      <c r="G14" s="20" t="s">
        <v>56</v>
      </c>
      <c r="H14" s="20">
        <v>32</v>
      </c>
      <c r="I14" s="48"/>
      <c r="J14" s="55">
        <v>362435</v>
      </c>
      <c r="K14" s="56"/>
      <c r="L14" s="51">
        <f>SUM(J14/M14)</f>
        <v>1239.94184057475</v>
      </c>
      <c r="M14" s="53">
        <v>292.3</v>
      </c>
      <c r="N14" s="47">
        <v>7.17</v>
      </c>
      <c r="O14" s="48">
        <f>SUM(M14*N14)</f>
        <v>2095.791</v>
      </c>
      <c r="P14" s="54"/>
      <c r="Q14" s="54"/>
      <c r="R14" s="81">
        <f t="shared" si="1"/>
        <v>976.450197508356</v>
      </c>
      <c r="S14" s="81"/>
      <c r="T14" s="82">
        <f t="shared" si="2"/>
        <v>2.36280765724704</v>
      </c>
      <c r="U14" s="81"/>
      <c r="V14" s="81"/>
      <c r="W14" s="83">
        <f t="shared" si="3"/>
        <v>978.813005165603</v>
      </c>
      <c r="X14" s="84">
        <f t="shared" si="4"/>
        <v>27.3982619264661</v>
      </c>
      <c r="Y14" s="84"/>
      <c r="Z14" s="84"/>
      <c r="AA14" s="84">
        <f t="shared" si="5"/>
        <v>27.3982619264661</v>
      </c>
      <c r="AB14" s="94">
        <v>7.17</v>
      </c>
      <c r="AC14" s="81">
        <f t="shared" si="6"/>
        <v>196.445538012762</v>
      </c>
      <c r="AD14" s="81">
        <f t="shared" si="7"/>
        <v>1175.25854317837</v>
      </c>
      <c r="AE14" s="81">
        <f t="shared" si="8"/>
        <v>920.53245682163</v>
      </c>
    </row>
    <row r="15" customFormat="1" spans="1:31">
      <c r="A15" s="19"/>
      <c r="B15" s="20"/>
      <c r="C15" s="21">
        <v>231225000006</v>
      </c>
      <c r="D15" s="22">
        <v>45293</v>
      </c>
      <c r="E15" s="22" t="s">
        <v>41</v>
      </c>
      <c r="F15" s="20" t="s">
        <v>42</v>
      </c>
      <c r="G15" s="20" t="s">
        <v>57</v>
      </c>
      <c r="H15" s="20">
        <v>47.5</v>
      </c>
      <c r="I15" s="43">
        <v>3105</v>
      </c>
      <c r="J15" s="44"/>
      <c r="K15" s="45"/>
      <c r="L15" s="44"/>
      <c r="M15" s="46"/>
      <c r="N15" s="47"/>
      <c r="O15" s="48">
        <f t="shared" si="9"/>
        <v>3105</v>
      </c>
      <c r="P15" s="54"/>
      <c r="Q15" s="54"/>
      <c r="R15" s="81">
        <f t="shared" si="1"/>
        <v>1449.41826192647</v>
      </c>
      <c r="S15" s="81"/>
      <c r="T15" s="82">
        <f t="shared" si="2"/>
        <v>3.50729261622607</v>
      </c>
      <c r="U15" s="81"/>
      <c r="V15" s="82">
        <v>10</v>
      </c>
      <c r="W15" s="83">
        <f t="shared" si="3"/>
        <v>1462.92555454269</v>
      </c>
      <c r="X15" s="84">
        <f t="shared" si="4"/>
        <v>40.6692950470981</v>
      </c>
      <c r="Y15" s="84"/>
      <c r="Z15" s="84"/>
      <c r="AA15" s="84">
        <f t="shared" si="5"/>
        <v>40.6692950470981</v>
      </c>
      <c r="AB15" s="94">
        <v>7.17</v>
      </c>
      <c r="AC15" s="81">
        <f t="shared" si="6"/>
        <v>291.598845487694</v>
      </c>
      <c r="AD15" s="81">
        <f t="shared" si="7"/>
        <v>1754.52440003039</v>
      </c>
      <c r="AE15" s="81">
        <f t="shared" si="8"/>
        <v>1350.47559996961</v>
      </c>
    </row>
    <row r="16" customFormat="1" spans="1:31">
      <c r="A16" s="19"/>
      <c r="B16" s="20"/>
      <c r="C16" s="21">
        <v>231225000008</v>
      </c>
      <c r="D16" s="22">
        <v>45293</v>
      </c>
      <c r="E16" s="22" t="s">
        <v>58</v>
      </c>
      <c r="F16" s="20" t="s">
        <v>59</v>
      </c>
      <c r="G16" s="20" t="s">
        <v>60</v>
      </c>
      <c r="H16" s="20">
        <v>33.5</v>
      </c>
      <c r="I16" s="43">
        <v>1708.5</v>
      </c>
      <c r="J16" s="44"/>
      <c r="K16" s="45"/>
      <c r="L16" s="44"/>
      <c r="M16" s="46"/>
      <c r="N16" s="47"/>
      <c r="O16" s="48">
        <f t="shared" si="9"/>
        <v>1708.5</v>
      </c>
      <c r="P16" s="54"/>
      <c r="Q16" s="54"/>
      <c r="R16" s="81">
        <f t="shared" si="1"/>
        <v>1022.22130051656</v>
      </c>
      <c r="S16" s="81"/>
      <c r="T16" s="82">
        <f t="shared" si="2"/>
        <v>2.47356426618049</v>
      </c>
      <c r="U16" s="81"/>
      <c r="V16" s="81"/>
      <c r="W16" s="83">
        <f t="shared" si="3"/>
        <v>1024.69486478274</v>
      </c>
      <c r="X16" s="84">
        <f t="shared" si="4"/>
        <v>28.6825554542692</v>
      </c>
      <c r="Y16" s="84"/>
      <c r="Z16" s="84"/>
      <c r="AA16" s="84">
        <f t="shared" si="5"/>
        <v>28.6825554542692</v>
      </c>
      <c r="AB16" s="94">
        <v>7.17</v>
      </c>
      <c r="AC16" s="81">
        <f t="shared" si="6"/>
        <v>205.65392260711</v>
      </c>
      <c r="AD16" s="81">
        <f t="shared" si="7"/>
        <v>1230.34878738985</v>
      </c>
      <c r="AE16" s="81">
        <f t="shared" si="8"/>
        <v>478.15121261015</v>
      </c>
    </row>
    <row r="17" customFormat="1" spans="1:31">
      <c r="A17" s="19"/>
      <c r="B17" s="20"/>
      <c r="C17" s="21">
        <v>231225000010</v>
      </c>
      <c r="D17" s="22">
        <v>45293</v>
      </c>
      <c r="E17" s="22" t="s">
        <v>49</v>
      </c>
      <c r="F17" s="20" t="s">
        <v>50</v>
      </c>
      <c r="G17" s="20" t="s">
        <v>61</v>
      </c>
      <c r="H17" s="20">
        <v>73.5</v>
      </c>
      <c r="I17" s="43">
        <v>3864</v>
      </c>
      <c r="J17" s="44"/>
      <c r="K17" s="45"/>
      <c r="L17" s="44"/>
      <c r="M17" s="46"/>
      <c r="N17" s="47"/>
      <c r="O17" s="48">
        <f t="shared" si="9"/>
        <v>3864</v>
      </c>
      <c r="P17" s="54"/>
      <c r="Q17" s="54"/>
      <c r="R17" s="81">
        <f t="shared" si="1"/>
        <v>2242.78404740201</v>
      </c>
      <c r="S17" s="81"/>
      <c r="T17" s="82">
        <f t="shared" si="2"/>
        <v>5.42707383773929</v>
      </c>
      <c r="U17" s="81"/>
      <c r="V17" s="81"/>
      <c r="W17" s="83">
        <f t="shared" si="3"/>
        <v>2248.21112123974</v>
      </c>
      <c r="X17" s="84">
        <f t="shared" si="4"/>
        <v>62.9303828623519</v>
      </c>
      <c r="Y17" s="84"/>
      <c r="Z17" s="84"/>
      <c r="AA17" s="84">
        <f t="shared" si="5"/>
        <v>62.9303828623519</v>
      </c>
      <c r="AB17" s="94">
        <v>7.17</v>
      </c>
      <c r="AC17" s="81">
        <f t="shared" si="6"/>
        <v>451.210845123063</v>
      </c>
      <c r="AD17" s="81">
        <f t="shared" si="7"/>
        <v>2699.42196636281</v>
      </c>
      <c r="AE17" s="81">
        <f t="shared" si="8"/>
        <v>1164.57803363719</v>
      </c>
    </row>
    <row r="18" customFormat="1" spans="1:31">
      <c r="A18" s="19"/>
      <c r="B18" s="20"/>
      <c r="C18" s="21">
        <v>231225000012</v>
      </c>
      <c r="D18" s="22">
        <v>45293</v>
      </c>
      <c r="E18" s="22" t="s">
        <v>37</v>
      </c>
      <c r="F18" s="20" t="s">
        <v>38</v>
      </c>
      <c r="G18" s="20" t="s">
        <v>62</v>
      </c>
      <c r="H18" s="20">
        <v>38.5</v>
      </c>
      <c r="I18" s="43">
        <v>1963.5</v>
      </c>
      <c r="J18" s="44"/>
      <c r="K18" s="45"/>
      <c r="L18" s="44"/>
      <c r="M18" s="46"/>
      <c r="N18" s="47"/>
      <c r="O18" s="48">
        <f t="shared" si="9"/>
        <v>1963.5</v>
      </c>
      <c r="P18" s="54"/>
      <c r="Q18" s="54"/>
      <c r="R18" s="81">
        <f t="shared" si="1"/>
        <v>1174.79164387724</v>
      </c>
      <c r="S18" s="81"/>
      <c r="T18" s="82">
        <f t="shared" si="2"/>
        <v>2.84275296262534</v>
      </c>
      <c r="U18" s="81"/>
      <c r="V18" s="81"/>
      <c r="W18" s="83">
        <f t="shared" si="3"/>
        <v>1177.63439683987</v>
      </c>
      <c r="X18" s="84">
        <f t="shared" si="4"/>
        <v>32.9635338802795</v>
      </c>
      <c r="Y18" s="84"/>
      <c r="Z18" s="84"/>
      <c r="AA18" s="84">
        <f t="shared" si="5"/>
        <v>32.9635338802795</v>
      </c>
      <c r="AB18" s="94">
        <v>7.17</v>
      </c>
      <c r="AC18" s="81">
        <f t="shared" si="6"/>
        <v>236.348537921604</v>
      </c>
      <c r="AD18" s="81">
        <f t="shared" si="7"/>
        <v>1413.98293476147</v>
      </c>
      <c r="AE18" s="81">
        <f t="shared" si="8"/>
        <v>549.51706523853</v>
      </c>
    </row>
    <row r="19" customFormat="1" spans="1:31">
      <c r="A19" s="19"/>
      <c r="B19" s="20"/>
      <c r="C19" s="21">
        <v>231225000014</v>
      </c>
      <c r="D19" s="22">
        <v>45293</v>
      </c>
      <c r="E19" s="22" t="s">
        <v>49</v>
      </c>
      <c r="F19" s="20" t="s">
        <v>50</v>
      </c>
      <c r="G19" s="20" t="s">
        <v>63</v>
      </c>
      <c r="H19" s="20">
        <v>33</v>
      </c>
      <c r="I19" s="43">
        <v>1716</v>
      </c>
      <c r="J19" s="44"/>
      <c r="K19" s="45"/>
      <c r="L19" s="44"/>
      <c r="M19" s="46"/>
      <c r="N19" s="47"/>
      <c r="O19" s="48">
        <f t="shared" si="9"/>
        <v>1716</v>
      </c>
      <c r="P19" s="54"/>
      <c r="Q19" s="54"/>
      <c r="R19" s="81">
        <f t="shared" si="1"/>
        <v>1006.96426618049</v>
      </c>
      <c r="S19" s="81"/>
      <c r="T19" s="82">
        <f t="shared" si="2"/>
        <v>2.43664539653601</v>
      </c>
      <c r="U19" s="81"/>
      <c r="V19" s="81"/>
      <c r="W19" s="83">
        <f t="shared" si="3"/>
        <v>1009.40091157703</v>
      </c>
      <c r="X19" s="84">
        <f t="shared" si="4"/>
        <v>28.2544576116682</v>
      </c>
      <c r="Y19" s="84"/>
      <c r="Z19" s="84"/>
      <c r="AA19" s="84">
        <f t="shared" si="5"/>
        <v>28.2544576116682</v>
      </c>
      <c r="AB19" s="94">
        <v>7.17</v>
      </c>
      <c r="AC19" s="81">
        <f t="shared" si="6"/>
        <v>202.584461075661</v>
      </c>
      <c r="AD19" s="81">
        <f t="shared" si="7"/>
        <v>1211.98537265269</v>
      </c>
      <c r="AE19" s="81">
        <f t="shared" si="8"/>
        <v>504.01462734731</v>
      </c>
    </row>
    <row r="20" customFormat="1" spans="1:31">
      <c r="A20" s="19"/>
      <c r="B20" s="20"/>
      <c r="C20" s="21">
        <v>231225000016</v>
      </c>
      <c r="D20" s="22">
        <v>45293</v>
      </c>
      <c r="E20" s="22" t="s">
        <v>49</v>
      </c>
      <c r="F20" s="20" t="s">
        <v>50</v>
      </c>
      <c r="G20" s="20" t="s">
        <v>64</v>
      </c>
      <c r="H20" s="20">
        <v>5.5</v>
      </c>
      <c r="I20" s="43"/>
      <c r="J20" s="44">
        <v>68670</v>
      </c>
      <c r="K20" s="45"/>
      <c r="L20" s="51">
        <f>SUM(J20/M20)</f>
        <v>1563.16867744138</v>
      </c>
      <c r="M20" s="53">
        <v>43.93</v>
      </c>
      <c r="N20" s="47">
        <v>7.17</v>
      </c>
      <c r="O20" s="48">
        <f>SUM(M20*N20)</f>
        <v>314.9781</v>
      </c>
      <c r="P20" s="54"/>
      <c r="Q20" s="54"/>
      <c r="R20" s="81">
        <f t="shared" si="1"/>
        <v>167.827377696749</v>
      </c>
      <c r="S20" s="81"/>
      <c r="T20" s="82">
        <f t="shared" si="2"/>
        <v>0.406107566089335</v>
      </c>
      <c r="U20" s="81">
        <v>40</v>
      </c>
      <c r="V20" s="81"/>
      <c r="W20" s="83">
        <f t="shared" si="3"/>
        <v>208.233485262838</v>
      </c>
      <c r="X20" s="84">
        <f t="shared" si="4"/>
        <v>4.70907626861136</v>
      </c>
      <c r="Y20" s="84"/>
      <c r="Z20" s="84"/>
      <c r="AA20" s="84">
        <f t="shared" si="5"/>
        <v>4.70907626861136</v>
      </c>
      <c r="AB20" s="94">
        <v>7.17</v>
      </c>
      <c r="AC20" s="81">
        <f t="shared" si="6"/>
        <v>33.7640768459435</v>
      </c>
      <c r="AD20" s="81">
        <f t="shared" si="7"/>
        <v>241.997562108782</v>
      </c>
      <c r="AE20" s="81">
        <f t="shared" si="8"/>
        <v>72.980537891218</v>
      </c>
    </row>
    <row r="21" customFormat="1" spans="1:31">
      <c r="A21" s="19"/>
      <c r="B21" s="20"/>
      <c r="C21" s="21">
        <v>231225000018</v>
      </c>
      <c r="D21" s="22">
        <v>45293</v>
      </c>
      <c r="E21" s="22" t="s">
        <v>49</v>
      </c>
      <c r="F21" s="20" t="s">
        <v>50</v>
      </c>
      <c r="G21" s="20" t="s">
        <v>65</v>
      </c>
      <c r="H21" s="20">
        <v>1.5</v>
      </c>
      <c r="I21" s="43">
        <v>123</v>
      </c>
      <c r="J21" s="44"/>
      <c r="K21" s="45"/>
      <c r="L21" s="44"/>
      <c r="M21" s="46"/>
      <c r="N21" s="47"/>
      <c r="O21" s="48">
        <f t="shared" ref="O21:O26" si="10">SUM(I21)</f>
        <v>123</v>
      </c>
      <c r="P21" s="54"/>
      <c r="Q21" s="54"/>
      <c r="R21" s="81">
        <f t="shared" si="1"/>
        <v>45.7711030082042</v>
      </c>
      <c r="S21" s="81"/>
      <c r="T21" s="82">
        <f t="shared" si="2"/>
        <v>0.110756608933455</v>
      </c>
      <c r="U21" s="81"/>
      <c r="V21" s="81"/>
      <c r="W21" s="83">
        <f t="shared" si="3"/>
        <v>45.8818596171376</v>
      </c>
      <c r="X21" s="84">
        <f t="shared" si="4"/>
        <v>1.2842935278031</v>
      </c>
      <c r="Y21" s="84"/>
      <c r="Z21" s="84"/>
      <c r="AA21" s="84">
        <f t="shared" si="5"/>
        <v>1.2842935278031</v>
      </c>
      <c r="AB21" s="94">
        <v>7.17</v>
      </c>
      <c r="AC21" s="81">
        <f t="shared" si="6"/>
        <v>9.20838459434822</v>
      </c>
      <c r="AD21" s="81">
        <f t="shared" si="7"/>
        <v>55.0902442114859</v>
      </c>
      <c r="AE21" s="81">
        <f t="shared" si="8"/>
        <v>67.9097557885141</v>
      </c>
    </row>
    <row r="22" customFormat="1" spans="1:31">
      <c r="A22" s="19"/>
      <c r="B22" s="20"/>
      <c r="C22" s="21">
        <v>231225000023</v>
      </c>
      <c r="D22" s="22">
        <v>45293</v>
      </c>
      <c r="E22" s="22" t="s">
        <v>49</v>
      </c>
      <c r="F22" s="20" t="s">
        <v>50</v>
      </c>
      <c r="G22" s="20" t="s">
        <v>66</v>
      </c>
      <c r="H22" s="20">
        <v>411.5</v>
      </c>
      <c r="I22" s="43">
        <v>18517.5</v>
      </c>
      <c r="J22" s="44"/>
      <c r="K22" s="45"/>
      <c r="L22" s="44"/>
      <c r="M22" s="46"/>
      <c r="N22" s="47"/>
      <c r="O22" s="48">
        <f t="shared" si="10"/>
        <v>18517.5</v>
      </c>
      <c r="P22" s="54"/>
      <c r="Q22" s="54"/>
      <c r="R22" s="81">
        <f t="shared" si="1"/>
        <v>12556.539258584</v>
      </c>
      <c r="S22" s="81"/>
      <c r="T22" s="82">
        <f t="shared" si="2"/>
        <v>30.3842297174111</v>
      </c>
      <c r="U22" s="81"/>
      <c r="V22" s="81"/>
      <c r="W22" s="83">
        <f t="shared" si="3"/>
        <v>12586.9234883014</v>
      </c>
      <c r="X22" s="84">
        <f t="shared" si="4"/>
        <v>352.32452446065</v>
      </c>
      <c r="Y22" s="84"/>
      <c r="Z22" s="84"/>
      <c r="AA22" s="84">
        <f t="shared" si="5"/>
        <v>352.32452446065</v>
      </c>
      <c r="AB22" s="94">
        <v>7.17</v>
      </c>
      <c r="AC22" s="81">
        <f t="shared" si="6"/>
        <v>2526.16684038286</v>
      </c>
      <c r="AD22" s="81">
        <f t="shared" si="7"/>
        <v>15113.0903286843</v>
      </c>
      <c r="AE22" s="81">
        <f t="shared" si="8"/>
        <v>3404.4096713157</v>
      </c>
    </row>
    <row r="23" customFormat="1" spans="1:31">
      <c r="A23" s="19"/>
      <c r="B23" s="20"/>
      <c r="C23" s="21">
        <v>231225000025</v>
      </c>
      <c r="D23" s="22">
        <v>45293</v>
      </c>
      <c r="E23" s="22" t="s">
        <v>49</v>
      </c>
      <c r="F23" s="20" t="s">
        <v>50</v>
      </c>
      <c r="G23" s="20" t="s">
        <v>67</v>
      </c>
      <c r="H23" s="20">
        <v>3.5</v>
      </c>
      <c r="I23" s="50"/>
      <c r="J23" s="51">
        <v>36960</v>
      </c>
      <c r="K23" s="52"/>
      <c r="L23" s="51">
        <f>SUM(J23/M23)</f>
        <v>1262.29508196721</v>
      </c>
      <c r="M23" s="53">
        <v>29.28</v>
      </c>
      <c r="N23" s="47">
        <v>7.17</v>
      </c>
      <c r="O23" s="48">
        <f t="shared" ref="O23:O29" si="11">SUM(M23*N23)</f>
        <v>209.9376</v>
      </c>
      <c r="P23" s="54"/>
      <c r="Q23" s="54"/>
      <c r="R23" s="81">
        <f t="shared" si="1"/>
        <v>106.799240352476</v>
      </c>
      <c r="S23" s="81"/>
      <c r="T23" s="82">
        <f t="shared" si="2"/>
        <v>0.258432087511395</v>
      </c>
      <c r="U23" s="81"/>
      <c r="V23" s="81"/>
      <c r="W23" s="83">
        <f t="shared" si="3"/>
        <v>107.057672439988</v>
      </c>
      <c r="X23" s="84">
        <f t="shared" si="4"/>
        <v>2.99668489820723</v>
      </c>
      <c r="Y23" s="84"/>
      <c r="Z23" s="84"/>
      <c r="AA23" s="84">
        <f t="shared" si="5"/>
        <v>2.99668489820723</v>
      </c>
      <c r="AB23" s="94">
        <v>7.17</v>
      </c>
      <c r="AC23" s="81">
        <f t="shared" si="6"/>
        <v>21.4862307201458</v>
      </c>
      <c r="AD23" s="81">
        <f t="shared" si="7"/>
        <v>128.543903160134</v>
      </c>
      <c r="AE23" s="81">
        <f t="shared" si="8"/>
        <v>81.393696839866</v>
      </c>
    </row>
    <row r="24" customFormat="1" spans="1:31">
      <c r="A24" s="19"/>
      <c r="B24" s="20"/>
      <c r="C24" s="21">
        <v>231225000027</v>
      </c>
      <c r="D24" s="22">
        <v>45293</v>
      </c>
      <c r="E24" s="22" t="s">
        <v>37</v>
      </c>
      <c r="F24" s="20" t="s">
        <v>38</v>
      </c>
      <c r="G24" s="20" t="s">
        <v>68</v>
      </c>
      <c r="H24" s="20">
        <v>6</v>
      </c>
      <c r="I24" s="43">
        <v>318</v>
      </c>
      <c r="J24" s="44"/>
      <c r="K24" s="45"/>
      <c r="L24" s="44"/>
      <c r="M24" s="46"/>
      <c r="N24" s="47"/>
      <c r="O24" s="48">
        <f t="shared" si="10"/>
        <v>318</v>
      </c>
      <c r="P24" s="54"/>
      <c r="Q24" s="54"/>
      <c r="R24" s="81">
        <f t="shared" si="1"/>
        <v>183.084412032817</v>
      </c>
      <c r="S24" s="81"/>
      <c r="T24" s="82">
        <f t="shared" si="2"/>
        <v>0.44302643573382</v>
      </c>
      <c r="U24" s="81"/>
      <c r="V24" s="81"/>
      <c r="W24" s="83">
        <f t="shared" si="3"/>
        <v>183.527438468551</v>
      </c>
      <c r="X24" s="84">
        <f t="shared" si="4"/>
        <v>5.1371741112124</v>
      </c>
      <c r="Y24" s="84"/>
      <c r="Z24" s="84"/>
      <c r="AA24" s="84">
        <f t="shared" si="5"/>
        <v>5.1371741112124</v>
      </c>
      <c r="AB24" s="94">
        <v>7.17</v>
      </c>
      <c r="AC24" s="81">
        <f t="shared" si="6"/>
        <v>36.8335383773929</v>
      </c>
      <c r="AD24" s="81">
        <f t="shared" si="7"/>
        <v>220.360976845943</v>
      </c>
      <c r="AE24" s="81">
        <f t="shared" si="8"/>
        <v>97.639023154057</v>
      </c>
    </row>
    <row r="25" customFormat="1" spans="1:31">
      <c r="A25" s="19"/>
      <c r="B25" s="20"/>
      <c r="C25" s="23">
        <v>231225000028</v>
      </c>
      <c r="D25" s="24">
        <v>45293</v>
      </c>
      <c r="E25" s="25" t="s">
        <v>69</v>
      </c>
      <c r="F25" s="26" t="s">
        <v>69</v>
      </c>
      <c r="G25" s="26" t="s">
        <v>70</v>
      </c>
      <c r="H25" s="26">
        <v>30.5</v>
      </c>
      <c r="I25" s="43">
        <v>1925</v>
      </c>
      <c r="J25" s="44"/>
      <c r="K25" s="45"/>
      <c r="L25" s="44"/>
      <c r="M25" s="46"/>
      <c r="N25" s="47"/>
      <c r="O25" s="48">
        <f t="shared" si="10"/>
        <v>1925</v>
      </c>
      <c r="P25" s="54"/>
      <c r="Q25" s="54"/>
      <c r="R25" s="81">
        <f t="shared" si="1"/>
        <v>930.679094500152</v>
      </c>
      <c r="S25" s="81"/>
      <c r="T25" s="82">
        <f t="shared" si="2"/>
        <v>2.25205104831358</v>
      </c>
      <c r="U25" s="81"/>
      <c r="V25" s="81"/>
      <c r="W25" s="83">
        <f t="shared" si="3"/>
        <v>932.931145548465</v>
      </c>
      <c r="X25" s="84">
        <f t="shared" si="4"/>
        <v>26.113968398663</v>
      </c>
      <c r="Y25" s="84"/>
      <c r="Z25" s="84"/>
      <c r="AA25" s="84">
        <f t="shared" si="5"/>
        <v>26.113968398663</v>
      </c>
      <c r="AB25" s="94">
        <v>7.17</v>
      </c>
      <c r="AC25" s="81">
        <f t="shared" si="6"/>
        <v>187.237153418414</v>
      </c>
      <c r="AD25" s="81">
        <f t="shared" si="7"/>
        <v>1120.16829896688</v>
      </c>
      <c r="AE25" s="81">
        <f t="shared" si="8"/>
        <v>804.83170103312</v>
      </c>
    </row>
    <row r="26" customFormat="1" spans="1:31">
      <c r="A26" s="19"/>
      <c r="B26" s="20"/>
      <c r="C26" s="21">
        <v>231225000029</v>
      </c>
      <c r="D26" s="22">
        <v>45293</v>
      </c>
      <c r="E26" s="22" t="s">
        <v>58</v>
      </c>
      <c r="F26" s="20" t="s">
        <v>59</v>
      </c>
      <c r="G26" s="20" t="s">
        <v>71</v>
      </c>
      <c r="H26" s="20">
        <v>2</v>
      </c>
      <c r="I26" s="43">
        <v>113</v>
      </c>
      <c r="J26" s="44"/>
      <c r="K26" s="45"/>
      <c r="L26" s="44"/>
      <c r="M26" s="46"/>
      <c r="N26" s="47"/>
      <c r="O26" s="48">
        <f t="shared" si="10"/>
        <v>113</v>
      </c>
      <c r="P26" s="54"/>
      <c r="Q26" s="54"/>
      <c r="R26" s="81">
        <f t="shared" si="1"/>
        <v>61.0281373442723</v>
      </c>
      <c r="S26" s="81"/>
      <c r="T26" s="82">
        <f t="shared" si="2"/>
        <v>0.14767547857794</v>
      </c>
      <c r="U26" s="81"/>
      <c r="V26" s="81"/>
      <c r="W26" s="83">
        <f t="shared" si="3"/>
        <v>61.1758128228502</v>
      </c>
      <c r="X26" s="84">
        <f t="shared" si="4"/>
        <v>1.71239137040413</v>
      </c>
      <c r="Y26" s="84"/>
      <c r="Z26" s="84"/>
      <c r="AA26" s="84">
        <f t="shared" si="5"/>
        <v>1.71239137040413</v>
      </c>
      <c r="AB26" s="94">
        <v>7.17</v>
      </c>
      <c r="AC26" s="81">
        <f t="shared" si="6"/>
        <v>12.2778461257976</v>
      </c>
      <c r="AD26" s="81">
        <f t="shared" si="7"/>
        <v>73.4536589486478</v>
      </c>
      <c r="AE26" s="81">
        <f t="shared" si="8"/>
        <v>39.5463410513522</v>
      </c>
    </row>
    <row r="27" customFormat="1" spans="1:31">
      <c r="A27" s="19"/>
      <c r="B27" s="20"/>
      <c r="C27" s="21">
        <v>231225000030</v>
      </c>
      <c r="D27" s="22">
        <v>45293</v>
      </c>
      <c r="E27" s="22" t="s">
        <v>49</v>
      </c>
      <c r="F27" s="20" t="s">
        <v>50</v>
      </c>
      <c r="G27" s="20" t="s">
        <v>72</v>
      </c>
      <c r="H27" s="20">
        <v>51.5</v>
      </c>
      <c r="I27" s="50"/>
      <c r="J27" s="51">
        <v>528360</v>
      </c>
      <c r="K27" s="52"/>
      <c r="L27" s="51">
        <f>SUM(J27/M27)</f>
        <v>1326.4711789516</v>
      </c>
      <c r="M27" s="53">
        <v>398.32</v>
      </c>
      <c r="N27" s="47">
        <v>7.17</v>
      </c>
      <c r="O27" s="48">
        <f t="shared" si="11"/>
        <v>2855.9544</v>
      </c>
      <c r="P27" s="54"/>
      <c r="Q27" s="54"/>
      <c r="R27" s="81">
        <f t="shared" si="1"/>
        <v>1571.47453661501</v>
      </c>
      <c r="S27" s="81"/>
      <c r="T27" s="82">
        <f t="shared" si="2"/>
        <v>3.80264357338195</v>
      </c>
      <c r="U27" s="81"/>
      <c r="V27" s="81"/>
      <c r="W27" s="83">
        <f t="shared" si="3"/>
        <v>1575.27718018839</v>
      </c>
      <c r="X27" s="84">
        <f t="shared" si="4"/>
        <v>44.0940777879064</v>
      </c>
      <c r="Y27" s="84"/>
      <c r="Z27" s="84"/>
      <c r="AA27" s="84">
        <f t="shared" si="5"/>
        <v>44.0940777879064</v>
      </c>
      <c r="AB27" s="94">
        <v>7.17</v>
      </c>
      <c r="AC27" s="81">
        <f t="shared" si="6"/>
        <v>316.154537739289</v>
      </c>
      <c r="AD27" s="81">
        <f t="shared" si="7"/>
        <v>1891.43171792768</v>
      </c>
      <c r="AE27" s="81">
        <f t="shared" si="8"/>
        <v>964.52268207232</v>
      </c>
    </row>
    <row r="28" customFormat="1" spans="1:31">
      <c r="A28" s="19"/>
      <c r="B28" s="20"/>
      <c r="C28" s="21">
        <v>231225000031</v>
      </c>
      <c r="D28" s="22">
        <v>45293</v>
      </c>
      <c r="E28" s="22" t="s">
        <v>44</v>
      </c>
      <c r="F28" s="20" t="s">
        <v>73</v>
      </c>
      <c r="G28" s="20" t="s">
        <v>74</v>
      </c>
      <c r="H28" s="20">
        <v>23</v>
      </c>
      <c r="I28" s="48"/>
      <c r="J28" s="55">
        <v>260896</v>
      </c>
      <c r="K28" s="56"/>
      <c r="L28" s="51">
        <f>SUM(J28/M28)</f>
        <v>1240</v>
      </c>
      <c r="M28" s="53">
        <v>210.4</v>
      </c>
      <c r="N28" s="47">
        <v>7.17</v>
      </c>
      <c r="O28" s="48">
        <f t="shared" si="11"/>
        <v>1508.568</v>
      </c>
      <c r="P28" s="54"/>
      <c r="Q28" s="54"/>
      <c r="R28" s="81">
        <f t="shared" si="1"/>
        <v>701.823579459131</v>
      </c>
      <c r="S28" s="81"/>
      <c r="T28" s="82">
        <f t="shared" si="2"/>
        <v>1.69826800364631</v>
      </c>
      <c r="U28" s="81"/>
      <c r="V28" s="81"/>
      <c r="W28" s="83">
        <f t="shared" si="3"/>
        <v>703.521847462777</v>
      </c>
      <c r="X28" s="84">
        <f t="shared" si="4"/>
        <v>19.6925007596475</v>
      </c>
      <c r="Y28" s="84"/>
      <c r="Z28" s="84"/>
      <c r="AA28" s="84">
        <f t="shared" si="5"/>
        <v>19.6925007596475</v>
      </c>
      <c r="AB28" s="94">
        <v>7.17</v>
      </c>
      <c r="AC28" s="81">
        <f t="shared" si="6"/>
        <v>141.195230446673</v>
      </c>
      <c r="AD28" s="81">
        <f t="shared" si="7"/>
        <v>844.71707790945</v>
      </c>
      <c r="AE28" s="81">
        <f t="shared" si="8"/>
        <v>663.85092209055</v>
      </c>
    </row>
    <row r="29" customFormat="1" spans="1:31">
      <c r="A29" s="19"/>
      <c r="B29" s="20"/>
      <c r="C29" s="21">
        <v>231225000033</v>
      </c>
      <c r="D29" s="22">
        <v>45293</v>
      </c>
      <c r="E29" s="22" t="s">
        <v>37</v>
      </c>
      <c r="F29" s="20" t="s">
        <v>38</v>
      </c>
      <c r="G29" s="20" t="s">
        <v>75</v>
      </c>
      <c r="H29" s="20">
        <v>37.5</v>
      </c>
      <c r="I29" s="50"/>
      <c r="J29" s="51">
        <v>455087</v>
      </c>
      <c r="K29" s="52"/>
      <c r="L29" s="51">
        <f>SUM(J29/M29)</f>
        <v>1254.75474923488</v>
      </c>
      <c r="M29" s="53">
        <v>362.69</v>
      </c>
      <c r="N29" s="47">
        <v>7.17</v>
      </c>
      <c r="O29" s="48">
        <f t="shared" si="11"/>
        <v>2600.4873</v>
      </c>
      <c r="P29" s="54"/>
      <c r="Q29" s="54"/>
      <c r="R29" s="81">
        <f t="shared" si="1"/>
        <v>1144.2775752051</v>
      </c>
      <c r="S29" s="81"/>
      <c r="T29" s="82">
        <f t="shared" si="2"/>
        <v>2.76891522333637</v>
      </c>
      <c r="U29" s="81"/>
      <c r="V29" s="82">
        <v>80</v>
      </c>
      <c r="W29" s="83">
        <f t="shared" si="3"/>
        <v>1227.04649042844</v>
      </c>
      <c r="X29" s="84">
        <f t="shared" si="4"/>
        <v>32.1073381950775</v>
      </c>
      <c r="Y29" s="84"/>
      <c r="Z29" s="84"/>
      <c r="AA29" s="84">
        <f t="shared" si="5"/>
        <v>32.1073381950775</v>
      </c>
      <c r="AB29" s="94">
        <v>7.17</v>
      </c>
      <c r="AC29" s="81">
        <f t="shared" si="6"/>
        <v>230.209614858706</v>
      </c>
      <c r="AD29" s="81">
        <f t="shared" si="7"/>
        <v>1457.25610528715</v>
      </c>
      <c r="AE29" s="81">
        <f t="shared" si="8"/>
        <v>1143.23119471285</v>
      </c>
    </row>
    <row r="30" customFormat="1" spans="1:31">
      <c r="A30" s="19"/>
      <c r="B30" s="20"/>
      <c r="C30" s="21">
        <v>231225000034</v>
      </c>
      <c r="D30" s="22">
        <v>45293</v>
      </c>
      <c r="E30" s="22" t="s">
        <v>37</v>
      </c>
      <c r="F30" s="20" t="s">
        <v>38</v>
      </c>
      <c r="G30" s="20" t="s">
        <v>76</v>
      </c>
      <c r="H30" s="20">
        <v>13.5</v>
      </c>
      <c r="I30" s="43">
        <v>910.5</v>
      </c>
      <c r="J30" s="44"/>
      <c r="K30" s="45"/>
      <c r="L30" s="44"/>
      <c r="M30" s="46"/>
      <c r="N30" s="47"/>
      <c r="O30" s="48">
        <f>SUM(I30)</f>
        <v>910.5</v>
      </c>
      <c r="P30" s="54"/>
      <c r="Q30" s="54"/>
      <c r="R30" s="81">
        <f t="shared" si="1"/>
        <v>411.939927073838</v>
      </c>
      <c r="S30" s="81"/>
      <c r="T30" s="82">
        <f t="shared" si="2"/>
        <v>0.996809480401094</v>
      </c>
      <c r="U30" s="81"/>
      <c r="V30" s="81"/>
      <c r="W30" s="83">
        <f t="shared" si="3"/>
        <v>412.936736554239</v>
      </c>
      <c r="X30" s="84">
        <f t="shared" si="4"/>
        <v>11.5586417502279</v>
      </c>
      <c r="Y30" s="84"/>
      <c r="Z30" s="84"/>
      <c r="AA30" s="84">
        <f t="shared" si="5"/>
        <v>11.5586417502279</v>
      </c>
      <c r="AB30" s="94">
        <v>7.17</v>
      </c>
      <c r="AC30" s="81">
        <f t="shared" si="6"/>
        <v>82.875461349134</v>
      </c>
      <c r="AD30" s="81">
        <f t="shared" si="7"/>
        <v>495.812197903373</v>
      </c>
      <c r="AE30" s="81">
        <f t="shared" si="8"/>
        <v>414.687802096627</v>
      </c>
    </row>
    <row r="31" customFormat="1" spans="1:31">
      <c r="A31" s="19"/>
      <c r="B31" s="20"/>
      <c r="C31" s="21">
        <v>231225000036</v>
      </c>
      <c r="D31" s="22">
        <v>45293</v>
      </c>
      <c r="E31" s="25" t="s">
        <v>69</v>
      </c>
      <c r="F31" s="20" t="s">
        <v>69</v>
      </c>
      <c r="G31" s="20" t="s">
        <v>77</v>
      </c>
      <c r="H31" s="20">
        <v>159</v>
      </c>
      <c r="I31" s="50"/>
      <c r="J31" s="51">
        <v>1564420</v>
      </c>
      <c r="K31" s="52"/>
      <c r="L31" s="51">
        <f>SUM(J31/M31)</f>
        <v>1276.09834086497</v>
      </c>
      <c r="M31" s="53">
        <v>1225.94</v>
      </c>
      <c r="N31" s="47">
        <v>7.17</v>
      </c>
      <c r="O31" s="48">
        <f t="shared" ref="O31:O36" si="12">SUM(M31*N31)</f>
        <v>8789.9898</v>
      </c>
      <c r="P31" s="54"/>
      <c r="Q31" s="54"/>
      <c r="R31" s="81">
        <f t="shared" si="1"/>
        <v>4851.73691886964</v>
      </c>
      <c r="S31" s="81"/>
      <c r="T31" s="82">
        <f t="shared" si="2"/>
        <v>11.7402005469462</v>
      </c>
      <c r="U31" s="81"/>
      <c r="V31" s="81"/>
      <c r="W31" s="83">
        <f t="shared" si="3"/>
        <v>4863.47711941659</v>
      </c>
      <c r="X31" s="84">
        <f t="shared" si="4"/>
        <v>136.135113947129</v>
      </c>
      <c r="Y31" s="84"/>
      <c r="Z31" s="84"/>
      <c r="AA31" s="84">
        <f t="shared" si="5"/>
        <v>136.135113947129</v>
      </c>
      <c r="AB31" s="94">
        <v>7.17</v>
      </c>
      <c r="AC31" s="81">
        <f t="shared" si="6"/>
        <v>976.088767000911</v>
      </c>
      <c r="AD31" s="81">
        <f t="shared" si="7"/>
        <v>5839.5658864175</v>
      </c>
      <c r="AE31" s="81">
        <f t="shared" si="8"/>
        <v>2950.4239135825</v>
      </c>
    </row>
    <row r="32" customFormat="1" spans="1:31">
      <c r="A32" s="19"/>
      <c r="B32" s="20"/>
      <c r="C32" s="21">
        <v>231225000039</v>
      </c>
      <c r="D32" s="22">
        <v>45293</v>
      </c>
      <c r="E32" s="22" t="s">
        <v>49</v>
      </c>
      <c r="F32" s="20" t="s">
        <v>50</v>
      </c>
      <c r="G32" s="20" t="s">
        <v>78</v>
      </c>
      <c r="H32" s="20">
        <v>20</v>
      </c>
      <c r="I32" s="43">
        <v>1140</v>
      </c>
      <c r="J32" s="44"/>
      <c r="K32" s="45"/>
      <c r="L32" s="44"/>
      <c r="M32" s="46"/>
      <c r="N32" s="47"/>
      <c r="O32" s="48">
        <f>SUM(I32)</f>
        <v>1140</v>
      </c>
      <c r="P32" s="54"/>
      <c r="Q32" s="54"/>
      <c r="R32" s="81">
        <f t="shared" si="1"/>
        <v>610.281373442723</v>
      </c>
      <c r="S32" s="81"/>
      <c r="T32" s="82">
        <f t="shared" si="2"/>
        <v>1.4767547857794</v>
      </c>
      <c r="U32" s="81">
        <v>40</v>
      </c>
      <c r="V32" s="81"/>
      <c r="W32" s="83">
        <f t="shared" si="3"/>
        <v>651.758128228502</v>
      </c>
      <c r="X32" s="84">
        <f t="shared" si="4"/>
        <v>17.1239137040413</v>
      </c>
      <c r="Y32" s="84"/>
      <c r="Z32" s="84"/>
      <c r="AA32" s="84">
        <f t="shared" si="5"/>
        <v>17.1239137040413</v>
      </c>
      <c r="AB32" s="94">
        <v>7.17</v>
      </c>
      <c r="AC32" s="81">
        <f t="shared" si="6"/>
        <v>122.778461257976</v>
      </c>
      <c r="AD32" s="81">
        <f t="shared" si="7"/>
        <v>774.536589486478</v>
      </c>
      <c r="AE32" s="81">
        <f t="shared" si="8"/>
        <v>365.463410513522</v>
      </c>
    </row>
    <row r="33" customFormat="1" spans="1:31">
      <c r="A33" s="19"/>
      <c r="B33" s="20"/>
      <c r="C33" s="21">
        <v>231226000001</v>
      </c>
      <c r="D33" s="22">
        <v>45293</v>
      </c>
      <c r="E33" s="22" t="s">
        <v>49</v>
      </c>
      <c r="F33" s="20" t="s">
        <v>50</v>
      </c>
      <c r="G33" s="20" t="s">
        <v>79</v>
      </c>
      <c r="H33" s="20">
        <v>13.5</v>
      </c>
      <c r="I33" s="50"/>
      <c r="J33" s="51">
        <v>148500</v>
      </c>
      <c r="K33" s="52"/>
      <c r="L33" s="51">
        <f>SUM(J33/M33)</f>
        <v>1577.4378585086</v>
      </c>
      <c r="M33" s="53">
        <v>94.14</v>
      </c>
      <c r="N33" s="47">
        <v>7.17</v>
      </c>
      <c r="O33" s="48">
        <f t="shared" si="12"/>
        <v>674.9838</v>
      </c>
      <c r="P33" s="54"/>
      <c r="Q33" s="54"/>
      <c r="R33" s="81">
        <f t="shared" si="1"/>
        <v>411.939927073838</v>
      </c>
      <c r="S33" s="81"/>
      <c r="T33" s="82">
        <f t="shared" si="2"/>
        <v>0.996809480401094</v>
      </c>
      <c r="U33" s="81"/>
      <c r="V33" s="81"/>
      <c r="W33" s="83">
        <f t="shared" si="3"/>
        <v>412.936736554239</v>
      </c>
      <c r="X33" s="84">
        <f t="shared" si="4"/>
        <v>11.5586417502279</v>
      </c>
      <c r="Y33" s="84"/>
      <c r="Z33" s="84"/>
      <c r="AA33" s="84">
        <f t="shared" si="5"/>
        <v>11.5586417502279</v>
      </c>
      <c r="AB33" s="94">
        <v>7.17</v>
      </c>
      <c r="AC33" s="81">
        <f t="shared" si="6"/>
        <v>82.875461349134</v>
      </c>
      <c r="AD33" s="81">
        <f t="shared" si="7"/>
        <v>495.812197903373</v>
      </c>
      <c r="AE33" s="81">
        <f t="shared" si="8"/>
        <v>179.171602096627</v>
      </c>
    </row>
    <row r="34" customFormat="1" spans="1:31">
      <c r="A34" s="19"/>
      <c r="B34" s="20"/>
      <c r="C34" s="21">
        <v>231226000003</v>
      </c>
      <c r="D34" s="22">
        <v>45293</v>
      </c>
      <c r="E34" s="22" t="s">
        <v>44</v>
      </c>
      <c r="F34" s="20" t="s">
        <v>45</v>
      </c>
      <c r="G34" s="20" t="s">
        <v>80</v>
      </c>
      <c r="H34" s="20">
        <v>50.5</v>
      </c>
      <c r="I34" s="50"/>
      <c r="J34" s="51">
        <v>521362</v>
      </c>
      <c r="K34" s="52"/>
      <c r="L34" s="51">
        <f>SUM(J34/M34)</f>
        <v>1295.0519151473</v>
      </c>
      <c r="M34" s="53">
        <v>402.58</v>
      </c>
      <c r="N34" s="47">
        <v>7.17</v>
      </c>
      <c r="O34" s="48">
        <f t="shared" si="12"/>
        <v>2886.4986</v>
      </c>
      <c r="P34" s="54"/>
      <c r="Q34" s="54"/>
      <c r="R34" s="81">
        <f t="shared" si="1"/>
        <v>1540.96046794287</v>
      </c>
      <c r="S34" s="81"/>
      <c r="T34" s="82">
        <f t="shared" si="2"/>
        <v>3.72880583409298</v>
      </c>
      <c r="U34" s="81"/>
      <c r="V34" s="81"/>
      <c r="W34" s="83">
        <f t="shared" si="3"/>
        <v>1544.68927377697</v>
      </c>
      <c r="X34" s="84">
        <f t="shared" si="4"/>
        <v>43.2378821027043</v>
      </c>
      <c r="Y34" s="84"/>
      <c r="Z34" s="84"/>
      <c r="AA34" s="84">
        <f t="shared" si="5"/>
        <v>43.2378821027043</v>
      </c>
      <c r="AB34" s="94">
        <v>7.17</v>
      </c>
      <c r="AC34" s="81">
        <f t="shared" si="6"/>
        <v>310.01561467639</v>
      </c>
      <c r="AD34" s="81">
        <f t="shared" si="7"/>
        <v>1854.70488845336</v>
      </c>
      <c r="AE34" s="81">
        <f t="shared" si="8"/>
        <v>1031.79371154664</v>
      </c>
    </row>
    <row r="35" customFormat="1" spans="1:31">
      <c r="A35" s="19"/>
      <c r="B35" s="20"/>
      <c r="C35" s="21">
        <v>231226000005</v>
      </c>
      <c r="D35" s="22">
        <v>45293</v>
      </c>
      <c r="E35" s="22" t="s">
        <v>37</v>
      </c>
      <c r="F35" s="20" t="s">
        <v>38</v>
      </c>
      <c r="G35" s="20" t="s">
        <v>81</v>
      </c>
      <c r="H35" s="20">
        <v>14</v>
      </c>
      <c r="I35" s="50"/>
      <c r="J35" s="51">
        <v>166144</v>
      </c>
      <c r="K35" s="52"/>
      <c r="L35" s="51">
        <f>SUM(J35/M35)</f>
        <v>1262.01291302697</v>
      </c>
      <c r="M35" s="53">
        <v>131.65</v>
      </c>
      <c r="N35" s="47">
        <v>7.17</v>
      </c>
      <c r="O35" s="48">
        <f t="shared" si="12"/>
        <v>943.9305</v>
      </c>
      <c r="P35" s="54"/>
      <c r="Q35" s="54"/>
      <c r="R35" s="81">
        <f t="shared" si="1"/>
        <v>427.196961409906</v>
      </c>
      <c r="S35" s="81"/>
      <c r="T35" s="82">
        <f t="shared" si="2"/>
        <v>1.03372835004558</v>
      </c>
      <c r="U35" s="81"/>
      <c r="V35" s="81"/>
      <c r="W35" s="83">
        <f t="shared" si="3"/>
        <v>428.230689759951</v>
      </c>
      <c r="X35" s="84">
        <f t="shared" si="4"/>
        <v>11.9867395928289</v>
      </c>
      <c r="Y35" s="84"/>
      <c r="Z35" s="84"/>
      <c r="AA35" s="84">
        <f t="shared" si="5"/>
        <v>11.9867395928289</v>
      </c>
      <c r="AB35" s="94">
        <v>7.17</v>
      </c>
      <c r="AC35" s="81">
        <f t="shared" si="6"/>
        <v>85.9449228805834</v>
      </c>
      <c r="AD35" s="81">
        <f t="shared" si="7"/>
        <v>514.175612640535</v>
      </c>
      <c r="AE35" s="81">
        <f t="shared" si="8"/>
        <v>429.754887359465</v>
      </c>
    </row>
    <row r="36" customFormat="1" spans="1:31">
      <c r="A36" s="19"/>
      <c r="B36" s="20"/>
      <c r="C36" s="21">
        <v>231226000015</v>
      </c>
      <c r="D36" s="22">
        <v>45293</v>
      </c>
      <c r="E36" s="22" t="s">
        <v>49</v>
      </c>
      <c r="F36" s="20" t="s">
        <v>50</v>
      </c>
      <c r="G36" s="20" t="s">
        <v>79</v>
      </c>
      <c r="H36" s="20">
        <v>3</v>
      </c>
      <c r="I36" s="50"/>
      <c r="J36" s="51">
        <v>33000</v>
      </c>
      <c r="K36" s="52"/>
      <c r="L36" s="51">
        <f>SUM(J36/M36)</f>
        <v>1577.4378585086</v>
      </c>
      <c r="M36" s="53">
        <v>20.92</v>
      </c>
      <c r="N36" s="47">
        <v>7.17</v>
      </c>
      <c r="O36" s="48">
        <f t="shared" si="12"/>
        <v>149.9964</v>
      </c>
      <c r="P36" s="54"/>
      <c r="Q36" s="54"/>
      <c r="R36" s="81">
        <f t="shared" si="1"/>
        <v>91.5422060164084</v>
      </c>
      <c r="S36" s="81"/>
      <c r="T36" s="82">
        <f t="shared" si="2"/>
        <v>0.22151321786691</v>
      </c>
      <c r="U36" s="81"/>
      <c r="V36" s="81"/>
      <c r="W36" s="83">
        <f t="shared" si="3"/>
        <v>91.7637192342753</v>
      </c>
      <c r="X36" s="84">
        <f t="shared" si="4"/>
        <v>2.5685870556062</v>
      </c>
      <c r="Y36" s="84"/>
      <c r="Z36" s="84"/>
      <c r="AA36" s="84">
        <f t="shared" si="5"/>
        <v>2.5685870556062</v>
      </c>
      <c r="AB36" s="94">
        <v>7.17</v>
      </c>
      <c r="AC36" s="81">
        <f t="shared" si="6"/>
        <v>18.4167691886964</v>
      </c>
      <c r="AD36" s="81">
        <f t="shared" si="7"/>
        <v>110.180488422972</v>
      </c>
      <c r="AE36" s="81">
        <f t="shared" si="8"/>
        <v>39.815911577028</v>
      </c>
    </row>
    <row r="37" customFormat="1" spans="1:31">
      <c r="A37" s="19"/>
      <c r="B37" s="20"/>
      <c r="C37" s="21">
        <v>231226000016</v>
      </c>
      <c r="D37" s="22">
        <v>45293</v>
      </c>
      <c r="E37" s="22" t="s">
        <v>37</v>
      </c>
      <c r="F37" s="20" t="s">
        <v>38</v>
      </c>
      <c r="G37" s="20" t="s">
        <v>82</v>
      </c>
      <c r="H37" s="20">
        <v>17.5</v>
      </c>
      <c r="I37" s="43">
        <v>916</v>
      </c>
      <c r="J37" s="44"/>
      <c r="K37" s="45"/>
      <c r="L37" s="44"/>
      <c r="M37" s="46"/>
      <c r="N37" s="47"/>
      <c r="O37" s="48">
        <f t="shared" ref="O37:O41" si="13">SUM(I37)</f>
        <v>916</v>
      </c>
      <c r="P37" s="54"/>
      <c r="Q37" s="54"/>
      <c r="R37" s="81">
        <f t="shared" ref="R37:R64" si="14">SUM(100421.8/3291)*H37</f>
        <v>533.996201762382</v>
      </c>
      <c r="S37" s="81"/>
      <c r="T37" s="82">
        <f t="shared" ref="T37:T64" si="15">SUM(243/3291)*H37</f>
        <v>1.29216043755697</v>
      </c>
      <c r="U37" s="81"/>
      <c r="V37" s="81"/>
      <c r="W37" s="83">
        <f t="shared" ref="W37:W64" si="16">SUM(R37:V37)</f>
        <v>535.288362199939</v>
      </c>
      <c r="X37" s="84">
        <f t="shared" ref="X37:X64" si="17">SUM(2817.74/3291)*H37</f>
        <v>14.9834244910362</v>
      </c>
      <c r="Y37" s="84"/>
      <c r="Z37" s="84"/>
      <c r="AA37" s="84">
        <f t="shared" ref="AA37:AA64" si="18">SUM(X37:Z37)</f>
        <v>14.9834244910362</v>
      </c>
      <c r="AB37" s="94">
        <v>7.17</v>
      </c>
      <c r="AC37" s="81">
        <f t="shared" ref="AC37:AC65" si="19">SUM(AA37*AB37)</f>
        <v>107.431153600729</v>
      </c>
      <c r="AD37" s="81">
        <f t="shared" ref="AD37:AD64" si="20">SUM(W37+AC37)</f>
        <v>642.719515800668</v>
      </c>
      <c r="AE37" s="81">
        <f t="shared" ref="AE37:AE64" si="21">SUM(O37-AD37)</f>
        <v>273.280484199332</v>
      </c>
    </row>
    <row r="38" customFormat="1" spans="1:31">
      <c r="A38" s="19"/>
      <c r="B38" s="20"/>
      <c r="C38" s="21">
        <v>231226000017</v>
      </c>
      <c r="D38" s="22">
        <v>45293</v>
      </c>
      <c r="E38" s="25" t="s">
        <v>69</v>
      </c>
      <c r="F38" s="20" t="s">
        <v>69</v>
      </c>
      <c r="G38" s="20" t="s">
        <v>83</v>
      </c>
      <c r="H38" s="20">
        <v>241</v>
      </c>
      <c r="I38" s="48"/>
      <c r="J38" s="55">
        <v>2497680</v>
      </c>
      <c r="K38" s="56"/>
      <c r="L38" s="51">
        <f>SUM(J38/M38)</f>
        <v>1278.0890683287</v>
      </c>
      <c r="M38" s="53">
        <v>1954.23</v>
      </c>
      <c r="N38" s="47">
        <v>7.17</v>
      </c>
      <c r="O38" s="48">
        <f>SUM(M38*N38)</f>
        <v>14011.8291</v>
      </c>
      <c r="P38" s="54"/>
      <c r="Q38" s="54"/>
      <c r="R38" s="81">
        <f t="shared" si="14"/>
        <v>7353.89054998481</v>
      </c>
      <c r="S38" s="81"/>
      <c r="T38" s="82">
        <f t="shared" si="15"/>
        <v>17.7948951686418</v>
      </c>
      <c r="U38" s="81"/>
      <c r="V38" s="81"/>
      <c r="W38" s="83">
        <f t="shared" si="16"/>
        <v>7371.68544515345</v>
      </c>
      <c r="X38" s="84">
        <f t="shared" si="17"/>
        <v>206.343160133698</v>
      </c>
      <c r="Y38" s="84"/>
      <c r="Z38" s="84"/>
      <c r="AA38" s="84">
        <f t="shared" si="18"/>
        <v>206.343160133698</v>
      </c>
      <c r="AB38" s="94">
        <v>7.17</v>
      </c>
      <c r="AC38" s="81">
        <f t="shared" si="19"/>
        <v>1479.48045815861</v>
      </c>
      <c r="AD38" s="81">
        <f t="shared" si="20"/>
        <v>8851.16590331206</v>
      </c>
      <c r="AE38" s="81">
        <f t="shared" si="21"/>
        <v>5160.66319668794</v>
      </c>
    </row>
    <row r="39" customFormat="1" spans="1:31">
      <c r="A39" s="19"/>
      <c r="B39" s="20"/>
      <c r="C39" s="21">
        <v>231226000020</v>
      </c>
      <c r="D39" s="22">
        <v>45293</v>
      </c>
      <c r="E39" s="22" t="s">
        <v>58</v>
      </c>
      <c r="F39" s="20" t="s">
        <v>59</v>
      </c>
      <c r="G39" s="20" t="s">
        <v>84</v>
      </c>
      <c r="H39" s="20">
        <v>43.5</v>
      </c>
      <c r="I39" s="43">
        <v>2295</v>
      </c>
      <c r="J39" s="44"/>
      <c r="K39" s="45"/>
      <c r="L39" s="44"/>
      <c r="M39" s="46"/>
      <c r="N39" s="47"/>
      <c r="O39" s="48">
        <f t="shared" si="13"/>
        <v>2295</v>
      </c>
      <c r="P39" s="54"/>
      <c r="Q39" s="54"/>
      <c r="R39" s="81">
        <f t="shared" si="14"/>
        <v>1327.36198723792</v>
      </c>
      <c r="S39" s="81"/>
      <c r="T39" s="82">
        <f t="shared" si="15"/>
        <v>3.21194165907019</v>
      </c>
      <c r="U39" s="81"/>
      <c r="V39" s="81"/>
      <c r="W39" s="83">
        <f t="shared" si="16"/>
        <v>1330.57392889699</v>
      </c>
      <c r="X39" s="84">
        <f t="shared" si="17"/>
        <v>37.2445123062899</v>
      </c>
      <c r="Y39" s="84">
        <v>35.15</v>
      </c>
      <c r="Z39" s="84"/>
      <c r="AA39" s="84">
        <f t="shared" si="18"/>
        <v>72.3945123062899</v>
      </c>
      <c r="AB39" s="94">
        <v>7.17</v>
      </c>
      <c r="AC39" s="81">
        <f t="shared" si="19"/>
        <v>519.068653236098</v>
      </c>
      <c r="AD39" s="81">
        <f t="shared" si="20"/>
        <v>1849.64258213309</v>
      </c>
      <c r="AE39" s="81">
        <f t="shared" si="21"/>
        <v>445.35741786691</v>
      </c>
    </row>
    <row r="40" customFormat="1" spans="1:31">
      <c r="A40" s="19"/>
      <c r="B40" s="20"/>
      <c r="C40" s="21">
        <v>231226000021</v>
      </c>
      <c r="D40" s="22">
        <v>45293</v>
      </c>
      <c r="E40" s="22" t="s">
        <v>44</v>
      </c>
      <c r="F40" s="20" t="s">
        <v>45</v>
      </c>
      <c r="G40" s="20" t="s">
        <v>85</v>
      </c>
      <c r="H40" s="20">
        <v>5</v>
      </c>
      <c r="I40" s="57">
        <v>282.5</v>
      </c>
      <c r="J40" s="55"/>
      <c r="K40" s="58"/>
      <c r="L40" s="55"/>
      <c r="M40" s="46"/>
      <c r="N40" s="47"/>
      <c r="O40" s="48">
        <f>SUBTOTAL(9,I40)</f>
        <v>282.5</v>
      </c>
      <c r="P40" s="54"/>
      <c r="Q40" s="54"/>
      <c r="R40" s="81">
        <f t="shared" si="14"/>
        <v>152.570343360681</v>
      </c>
      <c r="S40" s="81"/>
      <c r="T40" s="82">
        <f t="shared" si="15"/>
        <v>0.36918869644485</v>
      </c>
      <c r="U40" s="81"/>
      <c r="V40" s="81"/>
      <c r="W40" s="83">
        <f t="shared" si="16"/>
        <v>152.939532057125</v>
      </c>
      <c r="X40" s="84">
        <f t="shared" si="17"/>
        <v>4.28097842601033</v>
      </c>
      <c r="Y40" s="84"/>
      <c r="Z40" s="84"/>
      <c r="AA40" s="84">
        <f t="shared" si="18"/>
        <v>4.28097842601033</v>
      </c>
      <c r="AB40" s="94">
        <v>7.17</v>
      </c>
      <c r="AC40" s="81">
        <f t="shared" si="19"/>
        <v>30.6946153144941</v>
      </c>
      <c r="AD40" s="81">
        <f t="shared" si="20"/>
        <v>183.63414737162</v>
      </c>
      <c r="AE40" s="81">
        <f t="shared" si="21"/>
        <v>98.86585262838</v>
      </c>
    </row>
    <row r="41" customFormat="1" spans="1:31">
      <c r="A41" s="19"/>
      <c r="B41" s="20"/>
      <c r="C41" s="21">
        <v>231226000023</v>
      </c>
      <c r="D41" s="22">
        <v>45293</v>
      </c>
      <c r="E41" s="22" t="s">
        <v>37</v>
      </c>
      <c r="F41" s="20" t="s">
        <v>38</v>
      </c>
      <c r="G41" s="20" t="s">
        <v>86</v>
      </c>
      <c r="H41" s="20">
        <v>2.5</v>
      </c>
      <c r="I41" s="43">
        <v>234.5</v>
      </c>
      <c r="J41" s="44"/>
      <c r="K41" s="45"/>
      <c r="L41" s="44"/>
      <c r="M41" s="46"/>
      <c r="N41" s="47"/>
      <c r="O41" s="48">
        <f t="shared" si="13"/>
        <v>234.5</v>
      </c>
      <c r="P41" s="54"/>
      <c r="Q41" s="54"/>
      <c r="R41" s="81">
        <f t="shared" si="14"/>
        <v>76.2851716803403</v>
      </c>
      <c r="S41" s="81"/>
      <c r="T41" s="82">
        <f t="shared" si="15"/>
        <v>0.184594348222425</v>
      </c>
      <c r="U41" s="81"/>
      <c r="V41" s="81"/>
      <c r="W41" s="83">
        <f t="shared" si="16"/>
        <v>76.4697660285627</v>
      </c>
      <c r="X41" s="84">
        <f t="shared" si="17"/>
        <v>2.14048921300517</v>
      </c>
      <c r="Y41" s="84"/>
      <c r="Z41" s="84"/>
      <c r="AA41" s="84">
        <f t="shared" si="18"/>
        <v>2.14048921300517</v>
      </c>
      <c r="AB41" s="94">
        <v>7.17</v>
      </c>
      <c r="AC41" s="81">
        <f t="shared" si="19"/>
        <v>15.347307657247</v>
      </c>
      <c r="AD41" s="81">
        <f t="shared" si="20"/>
        <v>91.8170736858098</v>
      </c>
      <c r="AE41" s="81">
        <f t="shared" si="21"/>
        <v>142.68292631419</v>
      </c>
    </row>
    <row r="42" customFormat="1" spans="1:31">
      <c r="A42" s="19"/>
      <c r="B42" s="20"/>
      <c r="C42" s="21">
        <v>231226000025</v>
      </c>
      <c r="D42" s="22">
        <v>45293</v>
      </c>
      <c r="E42" s="22" t="s">
        <v>49</v>
      </c>
      <c r="F42" s="20" t="s">
        <v>50</v>
      </c>
      <c r="G42" s="20" t="s">
        <v>87</v>
      </c>
      <c r="H42" s="20">
        <v>0.9</v>
      </c>
      <c r="I42" s="50"/>
      <c r="J42" s="51">
        <v>11505</v>
      </c>
      <c r="K42" s="52"/>
      <c r="L42" s="51">
        <f>SUM(J42/M42)</f>
        <v>1269.86754966887</v>
      </c>
      <c r="M42" s="53">
        <v>9.06</v>
      </c>
      <c r="N42" s="47">
        <v>7.17</v>
      </c>
      <c r="O42" s="48">
        <f>SUM(M42*N42)</f>
        <v>64.9602</v>
      </c>
      <c r="P42" s="54"/>
      <c r="Q42" s="54"/>
      <c r="R42" s="81">
        <f t="shared" si="14"/>
        <v>27.4626618049225</v>
      </c>
      <c r="S42" s="81"/>
      <c r="T42" s="82">
        <f t="shared" si="15"/>
        <v>0.0664539653600729</v>
      </c>
      <c r="U42" s="81"/>
      <c r="V42" s="81"/>
      <c r="W42" s="83">
        <f t="shared" si="16"/>
        <v>27.5291157702826</v>
      </c>
      <c r="X42" s="84">
        <f t="shared" si="17"/>
        <v>0.77057611668186</v>
      </c>
      <c r="Y42" s="84"/>
      <c r="Z42" s="84"/>
      <c r="AA42" s="84">
        <f t="shared" si="18"/>
        <v>0.77057611668186</v>
      </c>
      <c r="AB42" s="94">
        <v>7.17</v>
      </c>
      <c r="AC42" s="81">
        <f t="shared" si="19"/>
        <v>5.52503075660893</v>
      </c>
      <c r="AD42" s="81">
        <f t="shared" si="20"/>
        <v>33.0541465268915</v>
      </c>
      <c r="AE42" s="81">
        <f t="shared" si="21"/>
        <v>31.9060534731085</v>
      </c>
    </row>
    <row r="43" customFormat="1" spans="1:31">
      <c r="A43" s="19"/>
      <c r="B43" s="20"/>
      <c r="C43" s="21">
        <v>231226000026</v>
      </c>
      <c r="D43" s="22">
        <v>45293</v>
      </c>
      <c r="E43" s="22" t="s">
        <v>49</v>
      </c>
      <c r="F43" s="20" t="s">
        <v>50</v>
      </c>
      <c r="G43" s="20" t="s">
        <v>78</v>
      </c>
      <c r="H43" s="20">
        <v>2</v>
      </c>
      <c r="I43" s="43">
        <v>120</v>
      </c>
      <c r="J43" s="44"/>
      <c r="K43" s="45"/>
      <c r="L43" s="44"/>
      <c r="M43" s="46"/>
      <c r="N43" s="47"/>
      <c r="O43" s="48">
        <f t="shared" ref="O43:O48" si="22">SUM(I43)</f>
        <v>120</v>
      </c>
      <c r="P43" s="54"/>
      <c r="Q43" s="54"/>
      <c r="R43" s="81">
        <f t="shared" si="14"/>
        <v>61.0281373442723</v>
      </c>
      <c r="S43" s="81"/>
      <c r="T43" s="82">
        <f t="shared" si="15"/>
        <v>0.14767547857794</v>
      </c>
      <c r="U43" s="81"/>
      <c r="V43" s="81"/>
      <c r="W43" s="83">
        <f t="shared" si="16"/>
        <v>61.1758128228502</v>
      </c>
      <c r="X43" s="84">
        <f t="shared" si="17"/>
        <v>1.71239137040413</v>
      </c>
      <c r="Y43" s="84"/>
      <c r="Z43" s="84"/>
      <c r="AA43" s="84">
        <f t="shared" si="18"/>
        <v>1.71239137040413</v>
      </c>
      <c r="AB43" s="94">
        <v>7.17</v>
      </c>
      <c r="AC43" s="81">
        <f t="shared" si="19"/>
        <v>12.2778461257976</v>
      </c>
      <c r="AD43" s="81">
        <f t="shared" si="20"/>
        <v>73.4536589486478</v>
      </c>
      <c r="AE43" s="81">
        <f t="shared" si="21"/>
        <v>46.5463410513522</v>
      </c>
    </row>
    <row r="44" customFormat="1" spans="1:31">
      <c r="A44" s="19"/>
      <c r="B44" s="20"/>
      <c r="C44" s="21">
        <v>231226000029</v>
      </c>
      <c r="D44" s="22">
        <v>45293</v>
      </c>
      <c r="E44" s="22" t="s">
        <v>49</v>
      </c>
      <c r="F44" s="20" t="s">
        <v>50</v>
      </c>
      <c r="G44" s="20" t="s">
        <v>88</v>
      </c>
      <c r="H44" s="20">
        <v>5</v>
      </c>
      <c r="I44" s="43">
        <v>300</v>
      </c>
      <c r="J44" s="44"/>
      <c r="K44" s="45"/>
      <c r="L44" s="44"/>
      <c r="M44" s="46"/>
      <c r="N44" s="47"/>
      <c r="O44" s="48">
        <f t="shared" si="22"/>
        <v>300</v>
      </c>
      <c r="P44" s="54"/>
      <c r="Q44" s="54"/>
      <c r="R44" s="81">
        <f t="shared" si="14"/>
        <v>152.570343360681</v>
      </c>
      <c r="S44" s="81"/>
      <c r="T44" s="82">
        <f t="shared" si="15"/>
        <v>0.36918869644485</v>
      </c>
      <c r="U44" s="81"/>
      <c r="V44" s="81"/>
      <c r="W44" s="83">
        <f t="shared" si="16"/>
        <v>152.939532057125</v>
      </c>
      <c r="X44" s="84">
        <f t="shared" si="17"/>
        <v>4.28097842601033</v>
      </c>
      <c r="Y44" s="84"/>
      <c r="Z44" s="84"/>
      <c r="AA44" s="84">
        <f t="shared" si="18"/>
        <v>4.28097842601033</v>
      </c>
      <c r="AB44" s="94">
        <v>7.17</v>
      </c>
      <c r="AC44" s="81">
        <f t="shared" si="19"/>
        <v>30.6946153144941</v>
      </c>
      <c r="AD44" s="81">
        <f t="shared" si="20"/>
        <v>183.63414737162</v>
      </c>
      <c r="AE44" s="81">
        <f t="shared" si="21"/>
        <v>116.36585262838</v>
      </c>
    </row>
    <row r="45" customFormat="1" spans="1:31">
      <c r="A45" s="19"/>
      <c r="B45" s="20"/>
      <c r="C45" s="21">
        <v>231226000030</v>
      </c>
      <c r="D45" s="22">
        <v>45293</v>
      </c>
      <c r="E45" s="22" t="s">
        <v>49</v>
      </c>
      <c r="F45" s="20" t="s">
        <v>50</v>
      </c>
      <c r="G45" s="20" t="s">
        <v>79</v>
      </c>
      <c r="H45" s="20">
        <v>0.16</v>
      </c>
      <c r="I45" s="43">
        <v>50</v>
      </c>
      <c r="J45" s="44"/>
      <c r="K45" s="45"/>
      <c r="L45" s="44"/>
      <c r="M45" s="46"/>
      <c r="N45" s="47"/>
      <c r="O45" s="48">
        <f t="shared" si="22"/>
        <v>50</v>
      </c>
      <c r="P45" s="54"/>
      <c r="Q45" s="54"/>
      <c r="R45" s="81">
        <f t="shared" si="14"/>
        <v>4.88225098754178</v>
      </c>
      <c r="S45" s="81"/>
      <c r="T45" s="82">
        <f t="shared" si="15"/>
        <v>0.0118140382862352</v>
      </c>
      <c r="U45" s="81"/>
      <c r="V45" s="81"/>
      <c r="W45" s="83">
        <f t="shared" si="16"/>
        <v>4.89406502582802</v>
      </c>
      <c r="X45" s="84">
        <f t="shared" si="17"/>
        <v>0.136991309632331</v>
      </c>
      <c r="Y45" s="84"/>
      <c r="Z45" s="84"/>
      <c r="AA45" s="84">
        <f t="shared" si="18"/>
        <v>0.136991309632331</v>
      </c>
      <c r="AB45" s="94">
        <v>7.17</v>
      </c>
      <c r="AC45" s="81">
        <f t="shared" si="19"/>
        <v>0.98222769006381</v>
      </c>
      <c r="AD45" s="81">
        <f t="shared" si="20"/>
        <v>5.87629271589183</v>
      </c>
      <c r="AE45" s="81">
        <f t="shared" si="21"/>
        <v>44.1237072841082</v>
      </c>
    </row>
    <row r="46" customFormat="1" spans="1:31">
      <c r="A46" s="19"/>
      <c r="B46" s="20"/>
      <c r="C46" s="21">
        <v>231226000031</v>
      </c>
      <c r="D46" s="22">
        <v>45293</v>
      </c>
      <c r="E46" s="22" t="s">
        <v>37</v>
      </c>
      <c r="F46" s="20" t="s">
        <v>38</v>
      </c>
      <c r="G46" s="20" t="s">
        <v>89</v>
      </c>
      <c r="H46" s="20">
        <v>0.5</v>
      </c>
      <c r="I46" s="43">
        <v>58</v>
      </c>
      <c r="J46" s="44"/>
      <c r="K46" s="45"/>
      <c r="L46" s="44"/>
      <c r="M46" s="46"/>
      <c r="N46" s="47"/>
      <c r="O46" s="48">
        <f t="shared" si="22"/>
        <v>58</v>
      </c>
      <c r="P46" s="54"/>
      <c r="Q46" s="54"/>
      <c r="R46" s="81">
        <f t="shared" si="14"/>
        <v>15.2570343360681</v>
      </c>
      <c r="S46" s="81"/>
      <c r="T46" s="82">
        <f t="shared" si="15"/>
        <v>0.036918869644485</v>
      </c>
      <c r="U46" s="81"/>
      <c r="V46" s="81"/>
      <c r="W46" s="83">
        <f t="shared" si="16"/>
        <v>15.2939532057125</v>
      </c>
      <c r="X46" s="84">
        <f t="shared" si="17"/>
        <v>0.428097842601033</v>
      </c>
      <c r="Y46" s="84"/>
      <c r="Z46" s="84"/>
      <c r="AA46" s="84">
        <f t="shared" si="18"/>
        <v>0.428097842601033</v>
      </c>
      <c r="AB46" s="94">
        <v>7.17</v>
      </c>
      <c r="AC46" s="81">
        <f t="shared" si="19"/>
        <v>3.06946153144941</v>
      </c>
      <c r="AD46" s="81">
        <f t="shared" si="20"/>
        <v>18.363414737162</v>
      </c>
      <c r="AE46" s="81">
        <f t="shared" si="21"/>
        <v>39.636585262838</v>
      </c>
    </row>
    <row r="47" customFormat="1" spans="1:31">
      <c r="A47" s="19"/>
      <c r="B47" s="20"/>
      <c r="C47" s="23">
        <v>231227000002</v>
      </c>
      <c r="D47" s="24">
        <v>45293</v>
      </c>
      <c r="E47" s="22" t="s">
        <v>44</v>
      </c>
      <c r="F47" s="26" t="s">
        <v>45</v>
      </c>
      <c r="G47" s="26" t="s">
        <v>90</v>
      </c>
      <c r="H47" s="26">
        <v>200</v>
      </c>
      <c r="I47" s="43">
        <v>9800</v>
      </c>
      <c r="J47" s="44"/>
      <c r="K47" s="45"/>
      <c r="L47" s="44"/>
      <c r="M47" s="46"/>
      <c r="N47" s="47"/>
      <c r="O47" s="48">
        <f t="shared" si="22"/>
        <v>9800</v>
      </c>
      <c r="P47" s="54"/>
      <c r="Q47" s="54"/>
      <c r="R47" s="81">
        <f t="shared" si="14"/>
        <v>6102.81373442723</v>
      </c>
      <c r="S47" s="81"/>
      <c r="T47" s="82">
        <f t="shared" si="15"/>
        <v>14.767547857794</v>
      </c>
      <c r="U47" s="81"/>
      <c r="V47" s="81"/>
      <c r="W47" s="83">
        <f t="shared" si="16"/>
        <v>6117.58128228502</v>
      </c>
      <c r="X47" s="84">
        <f t="shared" si="17"/>
        <v>171.239137040413</v>
      </c>
      <c r="Y47" s="84"/>
      <c r="Z47" s="84"/>
      <c r="AA47" s="84">
        <f t="shared" si="18"/>
        <v>171.239137040413</v>
      </c>
      <c r="AB47" s="94">
        <v>7.17</v>
      </c>
      <c r="AC47" s="81">
        <f t="shared" si="19"/>
        <v>1227.78461257976</v>
      </c>
      <c r="AD47" s="81">
        <f t="shared" si="20"/>
        <v>7345.36589486478</v>
      </c>
      <c r="AE47" s="81">
        <f t="shared" si="21"/>
        <v>2454.63410513522</v>
      </c>
    </row>
    <row r="48" customFormat="1" spans="1:31">
      <c r="A48" s="19"/>
      <c r="B48" s="20"/>
      <c r="C48" s="21">
        <v>231227000004</v>
      </c>
      <c r="D48" s="22">
        <v>45293</v>
      </c>
      <c r="E48" s="22" t="s">
        <v>44</v>
      </c>
      <c r="F48" s="20" t="s">
        <v>45</v>
      </c>
      <c r="G48" s="20" t="s">
        <v>91</v>
      </c>
      <c r="H48" s="20">
        <v>0.19</v>
      </c>
      <c r="I48" s="43">
        <v>58</v>
      </c>
      <c r="J48" s="44"/>
      <c r="K48" s="45"/>
      <c r="L48" s="44"/>
      <c r="M48" s="46"/>
      <c r="N48" s="47"/>
      <c r="O48" s="48">
        <f t="shared" si="22"/>
        <v>58</v>
      </c>
      <c r="P48" s="54"/>
      <c r="Q48" s="54"/>
      <c r="R48" s="81">
        <f t="shared" si="14"/>
        <v>5.79767304770586</v>
      </c>
      <c r="S48" s="81"/>
      <c r="T48" s="82">
        <f t="shared" si="15"/>
        <v>0.0140291704649043</v>
      </c>
      <c r="U48" s="81"/>
      <c r="V48" s="81"/>
      <c r="W48" s="83">
        <f t="shared" si="16"/>
        <v>5.81170221817077</v>
      </c>
      <c r="X48" s="84">
        <f t="shared" si="17"/>
        <v>0.162677180188393</v>
      </c>
      <c r="Y48" s="84"/>
      <c r="Z48" s="84"/>
      <c r="AA48" s="84">
        <f t="shared" si="18"/>
        <v>0.162677180188393</v>
      </c>
      <c r="AB48" s="94">
        <v>7.17</v>
      </c>
      <c r="AC48" s="81">
        <f t="shared" si="19"/>
        <v>1.16639538195077</v>
      </c>
      <c r="AD48" s="81">
        <f t="shared" si="20"/>
        <v>6.97809760012154</v>
      </c>
      <c r="AE48" s="81">
        <f t="shared" si="21"/>
        <v>51.0219023998785</v>
      </c>
    </row>
    <row r="49" customFormat="1" spans="1:31">
      <c r="A49" s="19"/>
      <c r="B49" s="20"/>
      <c r="C49" s="21">
        <v>231227000008</v>
      </c>
      <c r="D49" s="22">
        <v>45293</v>
      </c>
      <c r="E49" s="22" t="s">
        <v>49</v>
      </c>
      <c r="F49" s="20" t="s">
        <v>50</v>
      </c>
      <c r="G49" s="20" t="s">
        <v>79</v>
      </c>
      <c r="H49" s="20">
        <v>6.5</v>
      </c>
      <c r="I49" s="50"/>
      <c r="J49" s="51">
        <v>62725</v>
      </c>
      <c r="K49" s="52"/>
      <c r="L49" s="51">
        <f>SUM(J49/M49)</f>
        <v>1384.04677846425</v>
      </c>
      <c r="M49" s="53">
        <v>45.32</v>
      </c>
      <c r="N49" s="47">
        <v>7.17</v>
      </c>
      <c r="O49" s="48">
        <f>SUM(M49*N49)</f>
        <v>324.9444</v>
      </c>
      <c r="P49" s="54"/>
      <c r="Q49" s="54"/>
      <c r="R49" s="81">
        <f t="shared" si="14"/>
        <v>198.341446368885</v>
      </c>
      <c r="S49" s="81"/>
      <c r="T49" s="82">
        <f t="shared" si="15"/>
        <v>0.479945305378304</v>
      </c>
      <c r="U49" s="81"/>
      <c r="V49" s="81"/>
      <c r="W49" s="83">
        <f t="shared" si="16"/>
        <v>198.821391674263</v>
      </c>
      <c r="X49" s="84">
        <f t="shared" si="17"/>
        <v>5.56527195381343</v>
      </c>
      <c r="Y49" s="84"/>
      <c r="Z49" s="84"/>
      <c r="AA49" s="84">
        <f t="shared" si="18"/>
        <v>5.56527195381343</v>
      </c>
      <c r="AB49" s="94">
        <v>7.17</v>
      </c>
      <c r="AC49" s="81">
        <f t="shared" si="19"/>
        <v>39.9029999088423</v>
      </c>
      <c r="AD49" s="81">
        <f t="shared" si="20"/>
        <v>238.724391583105</v>
      </c>
      <c r="AE49" s="81">
        <f t="shared" si="21"/>
        <v>86.220008416895</v>
      </c>
    </row>
    <row r="50" customFormat="1" spans="1:31">
      <c r="A50" s="19"/>
      <c r="B50" s="20"/>
      <c r="C50" s="21">
        <v>231227000012</v>
      </c>
      <c r="D50" s="22">
        <v>45293</v>
      </c>
      <c r="E50" s="25" t="s">
        <v>69</v>
      </c>
      <c r="F50" s="20" t="s">
        <v>69</v>
      </c>
      <c r="G50" s="20" t="s">
        <v>92</v>
      </c>
      <c r="H50" s="20">
        <v>23.5</v>
      </c>
      <c r="I50" s="50">
        <v>1057.5</v>
      </c>
      <c r="J50" s="59"/>
      <c r="K50" s="52"/>
      <c r="L50" s="59"/>
      <c r="M50" s="46"/>
      <c r="N50" s="47"/>
      <c r="O50" s="48">
        <f t="shared" ref="O50:O56" si="23">SUM(I50)</f>
        <v>1057.5</v>
      </c>
      <c r="P50" s="54"/>
      <c r="Q50" s="54"/>
      <c r="R50" s="81">
        <f t="shared" si="14"/>
        <v>717.080613795199</v>
      </c>
      <c r="S50" s="81"/>
      <c r="T50" s="82">
        <f t="shared" si="15"/>
        <v>1.73518687329079</v>
      </c>
      <c r="U50" s="81"/>
      <c r="V50" s="81"/>
      <c r="W50" s="83">
        <f t="shared" si="16"/>
        <v>718.81580066849</v>
      </c>
      <c r="X50" s="84">
        <f t="shared" si="17"/>
        <v>20.1205986022486</v>
      </c>
      <c r="Y50" s="84"/>
      <c r="Z50" s="84"/>
      <c r="AA50" s="84">
        <f t="shared" si="18"/>
        <v>20.1205986022486</v>
      </c>
      <c r="AB50" s="94">
        <v>7.17</v>
      </c>
      <c r="AC50" s="81">
        <f t="shared" si="19"/>
        <v>144.264691978122</v>
      </c>
      <c r="AD50" s="81">
        <f t="shared" si="20"/>
        <v>863.080492646612</v>
      </c>
      <c r="AE50" s="81">
        <f t="shared" si="21"/>
        <v>194.419507353388</v>
      </c>
    </row>
    <row r="51" customFormat="1" spans="1:31">
      <c r="A51" s="19"/>
      <c r="B51" s="20"/>
      <c r="C51" s="21">
        <v>231227000014</v>
      </c>
      <c r="D51" s="22">
        <v>45293</v>
      </c>
      <c r="E51" s="22" t="s">
        <v>37</v>
      </c>
      <c r="F51" s="20" t="s">
        <v>38</v>
      </c>
      <c r="G51" s="20" t="s">
        <v>93</v>
      </c>
      <c r="H51" s="20">
        <v>3</v>
      </c>
      <c r="I51" s="43">
        <v>168</v>
      </c>
      <c r="J51" s="44"/>
      <c r="K51" s="45"/>
      <c r="L51" s="44"/>
      <c r="M51" s="46"/>
      <c r="N51" s="47"/>
      <c r="O51" s="48">
        <f t="shared" si="23"/>
        <v>168</v>
      </c>
      <c r="P51" s="54"/>
      <c r="Q51" s="54"/>
      <c r="R51" s="81">
        <f t="shared" si="14"/>
        <v>91.5422060164084</v>
      </c>
      <c r="S51" s="81"/>
      <c r="T51" s="82">
        <f t="shared" si="15"/>
        <v>0.22151321786691</v>
      </c>
      <c r="U51" s="81"/>
      <c r="V51" s="81"/>
      <c r="W51" s="83">
        <f t="shared" si="16"/>
        <v>91.7637192342753</v>
      </c>
      <c r="X51" s="84">
        <f t="shared" si="17"/>
        <v>2.5685870556062</v>
      </c>
      <c r="Y51" s="84"/>
      <c r="Z51" s="84"/>
      <c r="AA51" s="84">
        <f t="shared" si="18"/>
        <v>2.5685870556062</v>
      </c>
      <c r="AB51" s="94">
        <v>7.17</v>
      </c>
      <c r="AC51" s="81">
        <f t="shared" si="19"/>
        <v>18.4167691886964</v>
      </c>
      <c r="AD51" s="81">
        <f t="shared" si="20"/>
        <v>110.180488422972</v>
      </c>
      <c r="AE51" s="81">
        <f t="shared" si="21"/>
        <v>57.819511577028</v>
      </c>
    </row>
    <row r="52" customFormat="1" spans="1:31">
      <c r="A52" s="19"/>
      <c r="B52" s="20"/>
      <c r="C52" s="21">
        <v>231227000015</v>
      </c>
      <c r="D52" s="22">
        <v>45293</v>
      </c>
      <c r="E52" s="22" t="s">
        <v>37</v>
      </c>
      <c r="F52" s="20" t="s">
        <v>38</v>
      </c>
      <c r="G52" s="20" t="s">
        <v>94</v>
      </c>
      <c r="H52" s="20">
        <v>2.5</v>
      </c>
      <c r="I52" s="43">
        <v>140.5</v>
      </c>
      <c r="J52" s="44"/>
      <c r="K52" s="45"/>
      <c r="L52" s="44"/>
      <c r="M52" s="46"/>
      <c r="N52" s="47"/>
      <c r="O52" s="48">
        <f t="shared" si="23"/>
        <v>140.5</v>
      </c>
      <c r="P52" s="54"/>
      <c r="Q52" s="54"/>
      <c r="R52" s="81">
        <f t="shared" si="14"/>
        <v>76.2851716803403</v>
      </c>
      <c r="S52" s="81"/>
      <c r="T52" s="82">
        <f t="shared" si="15"/>
        <v>0.184594348222425</v>
      </c>
      <c r="U52" s="81"/>
      <c r="V52" s="81"/>
      <c r="W52" s="83">
        <f t="shared" si="16"/>
        <v>76.4697660285627</v>
      </c>
      <c r="X52" s="84">
        <f t="shared" si="17"/>
        <v>2.14048921300517</v>
      </c>
      <c r="Y52" s="84"/>
      <c r="Z52" s="84"/>
      <c r="AA52" s="84">
        <f t="shared" si="18"/>
        <v>2.14048921300517</v>
      </c>
      <c r="AB52" s="94">
        <v>7.17</v>
      </c>
      <c r="AC52" s="81">
        <f t="shared" si="19"/>
        <v>15.347307657247</v>
      </c>
      <c r="AD52" s="81">
        <f t="shared" si="20"/>
        <v>91.8170736858098</v>
      </c>
      <c r="AE52" s="81">
        <f t="shared" si="21"/>
        <v>48.6829263141902</v>
      </c>
    </row>
    <row r="53" customFormat="1" spans="1:31">
      <c r="A53" s="19"/>
      <c r="B53" s="20"/>
      <c r="C53" s="21">
        <v>231227000018</v>
      </c>
      <c r="D53" s="22">
        <v>45293</v>
      </c>
      <c r="E53" s="22" t="s">
        <v>58</v>
      </c>
      <c r="F53" s="20" t="s">
        <v>59</v>
      </c>
      <c r="G53" s="20" t="s">
        <v>95</v>
      </c>
      <c r="H53" s="20">
        <v>1245</v>
      </c>
      <c r="I53" s="43">
        <v>65985</v>
      </c>
      <c r="J53" s="44"/>
      <c r="K53" s="45"/>
      <c r="L53" s="44"/>
      <c r="M53" s="46"/>
      <c r="N53" s="47"/>
      <c r="O53" s="48">
        <f t="shared" si="23"/>
        <v>65985</v>
      </c>
      <c r="P53" s="54"/>
      <c r="Q53" s="54"/>
      <c r="R53" s="81">
        <f t="shared" si="14"/>
        <v>37990.0154968095</v>
      </c>
      <c r="S53" s="81"/>
      <c r="T53" s="82">
        <f t="shared" si="15"/>
        <v>91.9279854147675</v>
      </c>
      <c r="U53" s="81">
        <v>120</v>
      </c>
      <c r="V53" s="81">
        <v>96</v>
      </c>
      <c r="W53" s="83">
        <f t="shared" si="16"/>
        <v>38297.9434822242</v>
      </c>
      <c r="X53" s="84">
        <f t="shared" si="17"/>
        <v>1065.96362807657</v>
      </c>
      <c r="Y53" s="84"/>
      <c r="Z53" s="84"/>
      <c r="AA53" s="84">
        <f t="shared" si="18"/>
        <v>1065.96362807657</v>
      </c>
      <c r="AB53" s="94">
        <v>7.17</v>
      </c>
      <c r="AC53" s="81">
        <f t="shared" si="19"/>
        <v>7642.95921330902</v>
      </c>
      <c r="AD53" s="81">
        <f t="shared" si="20"/>
        <v>45940.9026955333</v>
      </c>
      <c r="AE53" s="81">
        <f t="shared" si="21"/>
        <v>20044.0973044667</v>
      </c>
    </row>
    <row r="54" customFormat="1" spans="1:31">
      <c r="A54" s="19"/>
      <c r="B54" s="20"/>
      <c r="C54" s="21">
        <v>231227000025</v>
      </c>
      <c r="D54" s="22">
        <v>45293</v>
      </c>
      <c r="E54" s="22" t="s">
        <v>41</v>
      </c>
      <c r="F54" s="20" t="s">
        <v>42</v>
      </c>
      <c r="G54" s="20" t="s">
        <v>96</v>
      </c>
      <c r="H54" s="20">
        <v>4</v>
      </c>
      <c r="I54" s="43">
        <v>223</v>
      </c>
      <c r="J54" s="44"/>
      <c r="K54" s="45"/>
      <c r="L54" s="44"/>
      <c r="M54" s="46"/>
      <c r="N54" s="47"/>
      <c r="O54" s="48">
        <f t="shared" si="23"/>
        <v>223</v>
      </c>
      <c r="P54" s="54"/>
      <c r="Q54" s="54"/>
      <c r="R54" s="81">
        <f t="shared" si="14"/>
        <v>122.056274688545</v>
      </c>
      <c r="S54" s="81"/>
      <c r="T54" s="82">
        <f t="shared" si="15"/>
        <v>0.29535095715588</v>
      </c>
      <c r="U54" s="81"/>
      <c r="V54" s="81"/>
      <c r="W54" s="83">
        <f t="shared" si="16"/>
        <v>122.3516256457</v>
      </c>
      <c r="X54" s="84">
        <f t="shared" si="17"/>
        <v>3.42478274080826</v>
      </c>
      <c r="Y54" s="84"/>
      <c r="Z54" s="84"/>
      <c r="AA54" s="84">
        <f t="shared" si="18"/>
        <v>3.42478274080826</v>
      </c>
      <c r="AB54" s="94">
        <v>7.17</v>
      </c>
      <c r="AC54" s="81">
        <f t="shared" si="19"/>
        <v>24.5556922515953</v>
      </c>
      <c r="AD54" s="81">
        <f t="shared" si="20"/>
        <v>146.907317897296</v>
      </c>
      <c r="AE54" s="81">
        <f t="shared" si="21"/>
        <v>76.092682102704</v>
      </c>
    </row>
    <row r="55" customFormat="1" spans="1:31">
      <c r="A55" s="19"/>
      <c r="B55" s="20"/>
      <c r="C55" s="21">
        <v>231227000026</v>
      </c>
      <c r="D55" s="22">
        <v>45293</v>
      </c>
      <c r="E55" s="22" t="s">
        <v>49</v>
      </c>
      <c r="F55" s="20" t="s">
        <v>50</v>
      </c>
      <c r="G55" s="20" t="s">
        <v>97</v>
      </c>
      <c r="H55" s="20">
        <v>163</v>
      </c>
      <c r="I55" s="43">
        <v>6357</v>
      </c>
      <c r="J55" s="44"/>
      <c r="K55" s="45"/>
      <c r="L55" s="44"/>
      <c r="M55" s="46"/>
      <c r="N55" s="47"/>
      <c r="O55" s="48">
        <f t="shared" si="23"/>
        <v>6357</v>
      </c>
      <c r="P55" s="54"/>
      <c r="Q55" s="54"/>
      <c r="R55" s="81">
        <f t="shared" si="14"/>
        <v>4973.79319355819</v>
      </c>
      <c r="S55" s="81"/>
      <c r="T55" s="82">
        <f t="shared" si="15"/>
        <v>12.0355515041021</v>
      </c>
      <c r="U55" s="81"/>
      <c r="V55" s="81"/>
      <c r="W55" s="83">
        <f t="shared" si="16"/>
        <v>4985.82874506229</v>
      </c>
      <c r="X55" s="84">
        <f t="shared" si="17"/>
        <v>139.559896687937</v>
      </c>
      <c r="Y55" s="84"/>
      <c r="Z55" s="84"/>
      <c r="AA55" s="84">
        <f t="shared" si="18"/>
        <v>139.559896687937</v>
      </c>
      <c r="AB55" s="94">
        <v>7.17</v>
      </c>
      <c r="AC55" s="81">
        <f t="shared" si="19"/>
        <v>1000.64445925251</v>
      </c>
      <c r="AD55" s="81">
        <f t="shared" si="20"/>
        <v>5986.4732043148</v>
      </c>
      <c r="AE55" s="81">
        <f t="shared" si="21"/>
        <v>370.5267956852</v>
      </c>
    </row>
    <row r="56" customFormat="1" spans="1:31">
      <c r="A56" s="19"/>
      <c r="B56" s="20"/>
      <c r="C56" s="21">
        <v>231227000027</v>
      </c>
      <c r="D56" s="22">
        <v>45293</v>
      </c>
      <c r="E56" s="22" t="s">
        <v>44</v>
      </c>
      <c r="F56" s="20" t="s">
        <v>45</v>
      </c>
      <c r="G56" s="20" t="s">
        <v>98</v>
      </c>
      <c r="H56" s="20">
        <v>13.5</v>
      </c>
      <c r="I56" s="43">
        <v>828</v>
      </c>
      <c r="J56" s="44"/>
      <c r="K56" s="45"/>
      <c r="L56" s="44"/>
      <c r="M56" s="46"/>
      <c r="N56" s="47"/>
      <c r="O56" s="48">
        <f t="shared" si="23"/>
        <v>828</v>
      </c>
      <c r="P56" s="54"/>
      <c r="Q56" s="54"/>
      <c r="R56" s="81">
        <f t="shared" si="14"/>
        <v>411.939927073838</v>
      </c>
      <c r="S56" s="81"/>
      <c r="T56" s="82">
        <f t="shared" si="15"/>
        <v>0.996809480401094</v>
      </c>
      <c r="U56" s="81">
        <v>40</v>
      </c>
      <c r="V56" s="81"/>
      <c r="W56" s="83">
        <f t="shared" si="16"/>
        <v>452.936736554239</v>
      </c>
      <c r="X56" s="84">
        <f t="shared" si="17"/>
        <v>11.5586417502279</v>
      </c>
      <c r="Y56" s="84"/>
      <c r="Z56" s="84"/>
      <c r="AA56" s="84">
        <f t="shared" si="18"/>
        <v>11.5586417502279</v>
      </c>
      <c r="AB56" s="94">
        <v>7.17</v>
      </c>
      <c r="AC56" s="81">
        <f t="shared" si="19"/>
        <v>82.875461349134</v>
      </c>
      <c r="AD56" s="81">
        <f t="shared" si="20"/>
        <v>535.812197903373</v>
      </c>
      <c r="AE56" s="81">
        <f t="shared" si="21"/>
        <v>292.187802096627</v>
      </c>
    </row>
    <row r="57" customFormat="1" spans="1:31">
      <c r="A57" s="19"/>
      <c r="B57" s="20"/>
      <c r="C57" s="21">
        <v>231227000031</v>
      </c>
      <c r="D57" s="22">
        <v>45293</v>
      </c>
      <c r="E57" s="22" t="s">
        <v>99</v>
      </c>
      <c r="F57" s="20" t="s">
        <v>100</v>
      </c>
      <c r="G57" s="20" t="s">
        <v>101</v>
      </c>
      <c r="H57" s="20">
        <v>31</v>
      </c>
      <c r="I57" s="48"/>
      <c r="J57" s="55">
        <v>317289</v>
      </c>
      <c r="K57" s="56"/>
      <c r="L57" s="51">
        <f>SUM(J57/M57)</f>
        <v>1454.78679504814</v>
      </c>
      <c r="M57" s="53">
        <v>218.1</v>
      </c>
      <c r="N57" s="47">
        <v>7.17</v>
      </c>
      <c r="O57" s="48">
        <f>SUM(M57*N57)</f>
        <v>1563.777</v>
      </c>
      <c r="P57" s="54"/>
      <c r="Q57" s="54"/>
      <c r="R57" s="81">
        <f t="shared" si="14"/>
        <v>945.93612883622</v>
      </c>
      <c r="S57" s="81"/>
      <c r="T57" s="82">
        <f t="shared" si="15"/>
        <v>2.28896991795807</v>
      </c>
      <c r="U57" s="81"/>
      <c r="V57" s="81"/>
      <c r="W57" s="83">
        <f t="shared" si="16"/>
        <v>948.225098754178</v>
      </c>
      <c r="X57" s="84">
        <f t="shared" si="17"/>
        <v>26.542066241264</v>
      </c>
      <c r="Y57" s="84"/>
      <c r="Z57" s="84"/>
      <c r="AA57" s="84">
        <f t="shared" si="18"/>
        <v>26.542066241264</v>
      </c>
      <c r="AB57" s="94">
        <v>7.17</v>
      </c>
      <c r="AC57" s="81">
        <f t="shared" si="19"/>
        <v>190.306614949863</v>
      </c>
      <c r="AD57" s="81">
        <f t="shared" si="20"/>
        <v>1138.53171370404</v>
      </c>
      <c r="AE57" s="81">
        <f t="shared" si="21"/>
        <v>425.24528629596</v>
      </c>
    </row>
    <row r="58" customFormat="1" spans="1:31">
      <c r="A58" s="19"/>
      <c r="B58" s="20"/>
      <c r="C58" s="21">
        <v>231228000001</v>
      </c>
      <c r="D58" s="22">
        <v>45293</v>
      </c>
      <c r="E58" s="22" t="s">
        <v>41</v>
      </c>
      <c r="F58" s="20" t="s">
        <v>42</v>
      </c>
      <c r="G58" s="20" t="s">
        <v>102</v>
      </c>
      <c r="H58" s="20">
        <v>12.5</v>
      </c>
      <c r="I58" s="43">
        <v>656</v>
      </c>
      <c r="J58" s="44"/>
      <c r="K58" s="45"/>
      <c r="L58" s="44"/>
      <c r="M58" s="46"/>
      <c r="N58" s="47"/>
      <c r="O58" s="48">
        <f t="shared" ref="O58:O62" si="24">SUM(I58)</f>
        <v>656</v>
      </c>
      <c r="P58" s="54"/>
      <c r="Q58" s="54"/>
      <c r="R58" s="81">
        <f t="shared" si="14"/>
        <v>381.425858401702</v>
      </c>
      <c r="S58" s="81"/>
      <c r="T58" s="82">
        <f t="shared" si="15"/>
        <v>0.922971741112124</v>
      </c>
      <c r="U58" s="81"/>
      <c r="V58" s="81"/>
      <c r="W58" s="83">
        <f t="shared" si="16"/>
        <v>382.348830142814</v>
      </c>
      <c r="X58" s="84">
        <f t="shared" si="17"/>
        <v>10.7024460650258</v>
      </c>
      <c r="Y58" s="84"/>
      <c r="Z58" s="84"/>
      <c r="AA58" s="84">
        <f t="shared" si="18"/>
        <v>10.7024460650258</v>
      </c>
      <c r="AB58" s="94">
        <v>7.17</v>
      </c>
      <c r="AC58" s="81">
        <f t="shared" si="19"/>
        <v>76.7365382862352</v>
      </c>
      <c r="AD58" s="81">
        <f t="shared" si="20"/>
        <v>459.085368429049</v>
      </c>
      <c r="AE58" s="81">
        <f t="shared" si="21"/>
        <v>196.914631570951</v>
      </c>
    </row>
    <row r="59" customFormat="1" spans="1:31">
      <c r="A59" s="19"/>
      <c r="B59" s="20"/>
      <c r="C59" s="21">
        <v>231228000002</v>
      </c>
      <c r="D59" s="22">
        <v>45293</v>
      </c>
      <c r="E59" s="22" t="s">
        <v>37</v>
      </c>
      <c r="F59" s="20" t="s">
        <v>38</v>
      </c>
      <c r="G59" s="20" t="s">
        <v>103</v>
      </c>
      <c r="H59" s="20">
        <v>28.5</v>
      </c>
      <c r="I59" s="43">
        <v>1425</v>
      </c>
      <c r="J59" s="44"/>
      <c r="K59" s="45"/>
      <c r="L59" s="44"/>
      <c r="M59" s="46"/>
      <c r="N59" s="47"/>
      <c r="O59" s="48">
        <f t="shared" si="24"/>
        <v>1425</v>
      </c>
      <c r="P59" s="54"/>
      <c r="Q59" s="54"/>
      <c r="R59" s="81">
        <f t="shared" si="14"/>
        <v>869.65095715588</v>
      </c>
      <c r="S59" s="81"/>
      <c r="T59" s="82">
        <f t="shared" si="15"/>
        <v>2.10437556973564</v>
      </c>
      <c r="U59" s="81"/>
      <c r="V59" s="81"/>
      <c r="W59" s="83">
        <f t="shared" si="16"/>
        <v>871.755332725615</v>
      </c>
      <c r="X59" s="84">
        <f t="shared" si="17"/>
        <v>24.4015770282589</v>
      </c>
      <c r="Y59" s="84"/>
      <c r="Z59" s="84"/>
      <c r="AA59" s="84">
        <f t="shared" si="18"/>
        <v>24.4015770282589</v>
      </c>
      <c r="AB59" s="94">
        <v>7.17</v>
      </c>
      <c r="AC59" s="81">
        <f t="shared" si="19"/>
        <v>174.959307292616</v>
      </c>
      <c r="AD59" s="81">
        <f t="shared" si="20"/>
        <v>1046.71464001823</v>
      </c>
      <c r="AE59" s="81">
        <f t="shared" si="21"/>
        <v>378.28535998177</v>
      </c>
    </row>
    <row r="60" customFormat="1" spans="1:31">
      <c r="A60" s="19"/>
      <c r="B60" s="20"/>
      <c r="C60" s="21">
        <v>231228000003</v>
      </c>
      <c r="D60" s="22">
        <v>45293</v>
      </c>
      <c r="E60" s="22" t="s">
        <v>49</v>
      </c>
      <c r="F60" s="20" t="s">
        <v>50</v>
      </c>
      <c r="G60" s="20" t="s">
        <v>65</v>
      </c>
      <c r="H60" s="20">
        <v>0.32</v>
      </c>
      <c r="I60" s="43">
        <v>63</v>
      </c>
      <c r="J60" s="44"/>
      <c r="K60" s="45"/>
      <c r="L60" s="44"/>
      <c r="M60" s="46"/>
      <c r="N60" s="47"/>
      <c r="O60" s="48">
        <f t="shared" si="24"/>
        <v>63</v>
      </c>
      <c r="P60" s="54"/>
      <c r="Q60" s="54"/>
      <c r="R60" s="81">
        <f t="shared" si="14"/>
        <v>9.76450197508356</v>
      </c>
      <c r="S60" s="81"/>
      <c r="T60" s="82">
        <f t="shared" si="15"/>
        <v>0.0236280765724704</v>
      </c>
      <c r="U60" s="81"/>
      <c r="V60" s="81"/>
      <c r="W60" s="83">
        <f t="shared" si="16"/>
        <v>9.78813005165603</v>
      </c>
      <c r="X60" s="84">
        <f t="shared" si="17"/>
        <v>0.273982619264661</v>
      </c>
      <c r="Y60" s="84"/>
      <c r="Z60" s="84"/>
      <c r="AA60" s="84">
        <f t="shared" si="18"/>
        <v>0.273982619264661</v>
      </c>
      <c r="AB60" s="94">
        <v>7.17</v>
      </c>
      <c r="AC60" s="81">
        <f t="shared" si="19"/>
        <v>1.96445538012762</v>
      </c>
      <c r="AD60" s="81">
        <f t="shared" si="20"/>
        <v>11.7525854317837</v>
      </c>
      <c r="AE60" s="81">
        <f t="shared" si="21"/>
        <v>51.2474145682163</v>
      </c>
    </row>
    <row r="61" customFormat="1" spans="1:31">
      <c r="A61" s="19"/>
      <c r="B61" s="20"/>
      <c r="C61" s="21">
        <v>231228000009</v>
      </c>
      <c r="D61" s="22">
        <v>45293</v>
      </c>
      <c r="E61" s="22" t="s">
        <v>49</v>
      </c>
      <c r="F61" s="20" t="s">
        <v>50</v>
      </c>
      <c r="G61" s="20" t="s">
        <v>104</v>
      </c>
      <c r="H61" s="20">
        <v>7.5</v>
      </c>
      <c r="I61" s="43">
        <v>459</v>
      </c>
      <c r="J61" s="44"/>
      <c r="K61" s="45"/>
      <c r="L61" s="44"/>
      <c r="M61" s="46"/>
      <c r="N61" s="47"/>
      <c r="O61" s="48">
        <f t="shared" si="24"/>
        <v>459</v>
      </c>
      <c r="P61" s="54"/>
      <c r="Q61" s="54"/>
      <c r="R61" s="81">
        <f t="shared" si="14"/>
        <v>228.855515041021</v>
      </c>
      <c r="S61" s="81"/>
      <c r="T61" s="82">
        <f t="shared" si="15"/>
        <v>0.553783044667274</v>
      </c>
      <c r="U61" s="81"/>
      <c r="V61" s="82">
        <v>69</v>
      </c>
      <c r="W61" s="83">
        <f t="shared" si="16"/>
        <v>298.409298085688</v>
      </c>
      <c r="X61" s="84">
        <f t="shared" si="17"/>
        <v>6.4214676390155</v>
      </c>
      <c r="Y61" s="84"/>
      <c r="Z61" s="84"/>
      <c r="AA61" s="84">
        <f t="shared" si="18"/>
        <v>6.4214676390155</v>
      </c>
      <c r="AB61" s="94">
        <v>7.17</v>
      </c>
      <c r="AC61" s="81">
        <f t="shared" si="19"/>
        <v>46.0419229717411</v>
      </c>
      <c r="AD61" s="81">
        <f t="shared" si="20"/>
        <v>344.451221057429</v>
      </c>
      <c r="AE61" s="81">
        <f t="shared" si="21"/>
        <v>114.548778942571</v>
      </c>
    </row>
    <row r="62" customFormat="1" spans="1:31">
      <c r="A62" s="19"/>
      <c r="B62" s="20"/>
      <c r="C62" s="21">
        <v>231228000010</v>
      </c>
      <c r="D62" s="22">
        <v>45293</v>
      </c>
      <c r="E62" s="22" t="s">
        <v>49</v>
      </c>
      <c r="F62" s="20" t="s">
        <v>50</v>
      </c>
      <c r="G62" s="20" t="s">
        <v>66</v>
      </c>
      <c r="H62" s="20">
        <v>12</v>
      </c>
      <c r="I62" s="43">
        <v>540</v>
      </c>
      <c r="J62" s="44"/>
      <c r="K62" s="45"/>
      <c r="L62" s="44"/>
      <c r="M62" s="46"/>
      <c r="N62" s="47"/>
      <c r="O62" s="48">
        <f t="shared" si="24"/>
        <v>540</v>
      </c>
      <c r="P62" s="54"/>
      <c r="Q62" s="54"/>
      <c r="R62" s="81">
        <f t="shared" si="14"/>
        <v>366.168824065634</v>
      </c>
      <c r="S62" s="81"/>
      <c r="T62" s="82">
        <f t="shared" si="15"/>
        <v>0.886052871467639</v>
      </c>
      <c r="U62" s="81"/>
      <c r="V62" s="81"/>
      <c r="W62" s="83">
        <f t="shared" si="16"/>
        <v>367.054876937101</v>
      </c>
      <c r="X62" s="84">
        <f t="shared" si="17"/>
        <v>10.2743482224248</v>
      </c>
      <c r="Y62" s="84"/>
      <c r="Z62" s="84"/>
      <c r="AA62" s="84">
        <f t="shared" si="18"/>
        <v>10.2743482224248</v>
      </c>
      <c r="AB62" s="94">
        <v>7.17</v>
      </c>
      <c r="AC62" s="81">
        <f t="shared" si="19"/>
        <v>73.6670767547858</v>
      </c>
      <c r="AD62" s="81">
        <f t="shared" si="20"/>
        <v>440.721953691887</v>
      </c>
      <c r="AE62" s="81">
        <f t="shared" si="21"/>
        <v>99.278046308113</v>
      </c>
    </row>
    <row r="63" customFormat="1" spans="1:31">
      <c r="A63" s="19"/>
      <c r="B63" s="20"/>
      <c r="C63" s="21">
        <v>231228000018</v>
      </c>
      <c r="D63" s="22">
        <v>45293</v>
      </c>
      <c r="E63" s="22" t="s">
        <v>58</v>
      </c>
      <c r="F63" s="20" t="s">
        <v>59</v>
      </c>
      <c r="G63" s="20" t="s">
        <v>105</v>
      </c>
      <c r="H63" s="20">
        <v>1.5</v>
      </c>
      <c r="I63" s="48"/>
      <c r="J63" s="55">
        <v>19680</v>
      </c>
      <c r="K63" s="56"/>
      <c r="L63" s="51">
        <f>SUM(J63/M63)</f>
        <v>1644.11027568922</v>
      </c>
      <c r="M63" s="53">
        <v>11.97</v>
      </c>
      <c r="N63" s="47">
        <v>7.17</v>
      </c>
      <c r="O63" s="48">
        <f>SUM(M63*N63)</f>
        <v>85.8249</v>
      </c>
      <c r="P63" s="54"/>
      <c r="Q63" s="54"/>
      <c r="R63" s="81">
        <f t="shared" si="14"/>
        <v>45.7711030082042</v>
      </c>
      <c r="S63" s="81"/>
      <c r="T63" s="82">
        <f t="shared" si="15"/>
        <v>0.110756608933455</v>
      </c>
      <c r="U63" s="81"/>
      <c r="V63" s="81"/>
      <c r="W63" s="83">
        <f t="shared" si="16"/>
        <v>45.8818596171376</v>
      </c>
      <c r="X63" s="84">
        <f t="shared" si="17"/>
        <v>1.2842935278031</v>
      </c>
      <c r="Y63" s="84"/>
      <c r="Z63" s="84"/>
      <c r="AA63" s="84">
        <f t="shared" si="18"/>
        <v>1.2842935278031</v>
      </c>
      <c r="AB63" s="94">
        <v>7.17</v>
      </c>
      <c r="AC63" s="81">
        <f t="shared" si="19"/>
        <v>9.20838459434822</v>
      </c>
      <c r="AD63" s="81">
        <f t="shared" ref="AD63:AD88" si="25">SUM(W63+AC63)</f>
        <v>55.0902442114859</v>
      </c>
      <c r="AE63" s="81">
        <f t="shared" ref="AE63:AE88" si="26">SUM(O63-AD63)</f>
        <v>30.7346557885141</v>
      </c>
    </row>
    <row r="64" customFormat="1" spans="1:31">
      <c r="A64" s="19"/>
      <c r="B64" s="20"/>
      <c r="C64" s="21">
        <v>231228000023</v>
      </c>
      <c r="D64" s="22">
        <v>45293</v>
      </c>
      <c r="E64" s="22" t="s">
        <v>49</v>
      </c>
      <c r="F64" s="20" t="s">
        <v>50</v>
      </c>
      <c r="G64" s="20" t="s">
        <v>106</v>
      </c>
      <c r="H64" s="20">
        <v>23.5</v>
      </c>
      <c r="I64" s="50"/>
      <c r="J64" s="51">
        <v>186120</v>
      </c>
      <c r="K64" s="52"/>
      <c r="L64" s="51">
        <f>SUM(J64/M64)</f>
        <v>1262.0016273393</v>
      </c>
      <c r="M64" s="53">
        <v>147.48</v>
      </c>
      <c r="N64" s="47">
        <v>7.17</v>
      </c>
      <c r="O64" s="48">
        <f>SUM(M64*N64)</f>
        <v>1057.4316</v>
      </c>
      <c r="P64" s="60"/>
      <c r="Q64" s="60"/>
      <c r="R64" s="81">
        <f t="shared" si="14"/>
        <v>717.080613795199</v>
      </c>
      <c r="S64" s="81"/>
      <c r="T64" s="82">
        <f t="shared" si="15"/>
        <v>1.73518687329079</v>
      </c>
      <c r="U64" s="81"/>
      <c r="V64" s="81"/>
      <c r="W64" s="83">
        <f t="shared" ref="W64:W90" si="27">SUM(R64:V64)</f>
        <v>718.81580066849</v>
      </c>
      <c r="X64" s="84">
        <f t="shared" si="17"/>
        <v>20.1205986022486</v>
      </c>
      <c r="Y64" s="84"/>
      <c r="Z64" s="84"/>
      <c r="AA64" s="84">
        <f t="shared" ref="AA64:AA88" si="28">SUM(X64:Z64)</f>
        <v>20.1205986022486</v>
      </c>
      <c r="AB64" s="94">
        <v>7.17</v>
      </c>
      <c r="AC64" s="81">
        <f t="shared" si="19"/>
        <v>144.264691978122</v>
      </c>
      <c r="AD64" s="81">
        <f t="shared" si="25"/>
        <v>863.080492646612</v>
      </c>
      <c r="AE64" s="81">
        <f t="shared" si="26"/>
        <v>194.351107353388</v>
      </c>
    </row>
    <row r="65" customFormat="1" spans="1:31">
      <c r="A65" s="19" t="s">
        <v>107</v>
      </c>
      <c r="B65" s="20" t="s">
        <v>108</v>
      </c>
      <c r="C65" s="21">
        <v>231225000011</v>
      </c>
      <c r="D65" s="22">
        <v>45293</v>
      </c>
      <c r="E65" s="22" t="s">
        <v>37</v>
      </c>
      <c r="F65" s="20" t="s">
        <v>38</v>
      </c>
      <c r="G65" s="20" t="s">
        <v>54</v>
      </c>
      <c r="H65" s="20">
        <v>43</v>
      </c>
      <c r="I65" s="43">
        <v>2207</v>
      </c>
      <c r="J65" s="44"/>
      <c r="K65" s="45"/>
      <c r="L65" s="44"/>
      <c r="M65" s="46"/>
      <c r="N65" s="20"/>
      <c r="O65" s="48">
        <f t="shared" ref="O65:O77" si="29">SUM(I65)</f>
        <v>2207</v>
      </c>
      <c r="P65" s="49">
        <f>SUM(O65:O88)</f>
        <v>186465.9341717</v>
      </c>
      <c r="Q65" s="80" t="s">
        <v>109</v>
      </c>
      <c r="R65" s="81">
        <f>SUM(132810.4/4398)*H65</f>
        <v>1298.51005002274</v>
      </c>
      <c r="S65" s="81"/>
      <c r="T65" s="82">
        <f>SUM(222.2/4398)*H65</f>
        <v>2.1724874943156</v>
      </c>
      <c r="U65" s="81">
        <v>100</v>
      </c>
      <c r="V65" s="82">
        <v>153</v>
      </c>
      <c r="W65" s="83">
        <f t="shared" si="27"/>
        <v>1553.68253751705</v>
      </c>
      <c r="X65" s="84">
        <f>SUM(2355.12/4398)*H65</f>
        <v>23.026412005457</v>
      </c>
      <c r="Y65" s="84"/>
      <c r="Z65" s="84"/>
      <c r="AA65" s="84">
        <f t="shared" si="28"/>
        <v>23.026412005457</v>
      </c>
      <c r="AB65" s="94">
        <v>7.17</v>
      </c>
      <c r="AC65" s="81">
        <f t="shared" si="19"/>
        <v>165.099374079127</v>
      </c>
      <c r="AD65" s="81">
        <f t="shared" si="25"/>
        <v>1718.78191159618</v>
      </c>
      <c r="AE65" s="81">
        <f t="shared" si="26"/>
        <v>488.21808840382</v>
      </c>
    </row>
    <row r="66" customFormat="1" spans="1:31">
      <c r="A66" s="19"/>
      <c r="B66" s="20"/>
      <c r="C66" s="21">
        <v>231226000002</v>
      </c>
      <c r="D66" s="22">
        <v>45293</v>
      </c>
      <c r="E66" s="22" t="s">
        <v>110</v>
      </c>
      <c r="F66" s="20" t="s">
        <v>111</v>
      </c>
      <c r="G66" s="20" t="s">
        <v>112</v>
      </c>
      <c r="H66" s="20">
        <v>22</v>
      </c>
      <c r="I66" s="43">
        <v>1108</v>
      </c>
      <c r="J66" s="44"/>
      <c r="K66" s="45"/>
      <c r="L66" s="44"/>
      <c r="M66" s="46"/>
      <c r="N66" s="20"/>
      <c r="O66" s="48">
        <f t="shared" si="29"/>
        <v>1108</v>
      </c>
      <c r="P66" s="54"/>
      <c r="Q66" s="54"/>
      <c r="R66" s="81">
        <f t="shared" ref="R66:R88" si="30">SUM(132810.4/4398)*H66</f>
        <v>664.353979081401</v>
      </c>
      <c r="S66" s="81"/>
      <c r="T66" s="82">
        <f t="shared" ref="T66:T88" si="31">SUM(222.2/4398)*H66</f>
        <v>1.11150522964984</v>
      </c>
      <c r="U66" s="81"/>
      <c r="V66" s="81"/>
      <c r="W66" s="83">
        <f t="shared" si="27"/>
        <v>665.46548431105</v>
      </c>
      <c r="X66" s="84">
        <f t="shared" ref="X66:X88" si="32">SUM(2355.12/4398)*H66</f>
        <v>11.7809549795362</v>
      </c>
      <c r="Y66" s="84"/>
      <c r="Z66" s="84"/>
      <c r="AA66" s="84">
        <f t="shared" si="28"/>
        <v>11.7809549795362</v>
      </c>
      <c r="AB66" s="94">
        <v>7.17</v>
      </c>
      <c r="AC66" s="81">
        <f t="shared" ref="AC66:AC88" si="33">SUM(AA66*AB66)</f>
        <v>84.4694472032742</v>
      </c>
      <c r="AD66" s="81">
        <f t="shared" si="25"/>
        <v>749.934931514325</v>
      </c>
      <c r="AE66" s="81">
        <f t="shared" si="26"/>
        <v>358.065068485675</v>
      </c>
    </row>
    <row r="67" customFormat="1" spans="1:31">
      <c r="A67" s="19"/>
      <c r="B67" s="20"/>
      <c r="C67" s="21">
        <v>231226000007</v>
      </c>
      <c r="D67" s="22">
        <v>45293</v>
      </c>
      <c r="E67" s="22" t="s">
        <v>44</v>
      </c>
      <c r="F67" s="20" t="s">
        <v>45</v>
      </c>
      <c r="G67" s="20" t="s">
        <v>113</v>
      </c>
      <c r="H67" s="20">
        <v>561</v>
      </c>
      <c r="I67" s="43">
        <v>25926</v>
      </c>
      <c r="J67" s="44"/>
      <c r="K67" s="45"/>
      <c r="L67" s="44"/>
      <c r="M67" s="46"/>
      <c r="N67" s="20"/>
      <c r="O67" s="48">
        <f t="shared" si="29"/>
        <v>25926</v>
      </c>
      <c r="P67" s="54"/>
      <c r="Q67" s="54"/>
      <c r="R67" s="81">
        <f t="shared" si="30"/>
        <v>16941.0264665757</v>
      </c>
      <c r="S67" s="81"/>
      <c r="T67" s="82">
        <f t="shared" si="31"/>
        <v>28.3433833560709</v>
      </c>
      <c r="U67" s="81">
        <v>120</v>
      </c>
      <c r="V67" s="81"/>
      <c r="W67" s="83">
        <f t="shared" si="27"/>
        <v>17089.3698499318</v>
      </c>
      <c r="X67" s="84">
        <f t="shared" si="32"/>
        <v>300.414351978172</v>
      </c>
      <c r="Y67" s="84"/>
      <c r="Z67" s="84"/>
      <c r="AA67" s="84">
        <f t="shared" si="28"/>
        <v>300.414351978172</v>
      </c>
      <c r="AB67" s="94">
        <v>7.17</v>
      </c>
      <c r="AC67" s="81">
        <f t="shared" si="33"/>
        <v>2153.97090368349</v>
      </c>
      <c r="AD67" s="81">
        <f t="shared" si="25"/>
        <v>19243.3407536153</v>
      </c>
      <c r="AE67" s="81">
        <f t="shared" si="26"/>
        <v>6682.6592463847</v>
      </c>
    </row>
    <row r="68" customFormat="1" spans="1:31">
      <c r="A68" s="19"/>
      <c r="B68" s="20"/>
      <c r="C68" s="21">
        <v>231227000005</v>
      </c>
      <c r="D68" s="22">
        <v>45293</v>
      </c>
      <c r="E68" s="22" t="s">
        <v>41</v>
      </c>
      <c r="F68" s="20" t="s">
        <v>42</v>
      </c>
      <c r="G68" s="20" t="s">
        <v>114</v>
      </c>
      <c r="H68" s="20">
        <v>0.65</v>
      </c>
      <c r="I68" s="43">
        <v>63</v>
      </c>
      <c r="J68" s="44"/>
      <c r="K68" s="45"/>
      <c r="L68" s="44"/>
      <c r="M68" s="46"/>
      <c r="N68" s="20"/>
      <c r="O68" s="48">
        <f t="shared" si="29"/>
        <v>63</v>
      </c>
      <c r="P68" s="54"/>
      <c r="Q68" s="54"/>
      <c r="R68" s="81">
        <f t="shared" si="30"/>
        <v>19.6286402910414</v>
      </c>
      <c r="S68" s="81"/>
      <c r="T68" s="82">
        <f t="shared" si="31"/>
        <v>0.0328399272396544</v>
      </c>
      <c r="U68" s="81"/>
      <c r="V68" s="81"/>
      <c r="W68" s="83">
        <f t="shared" si="27"/>
        <v>19.661480218281</v>
      </c>
      <c r="X68" s="84">
        <f t="shared" si="32"/>
        <v>0.348073669849932</v>
      </c>
      <c r="Y68" s="84"/>
      <c r="Z68" s="84"/>
      <c r="AA68" s="84">
        <f t="shared" si="28"/>
        <v>0.348073669849932</v>
      </c>
      <c r="AB68" s="94">
        <v>7.17</v>
      </c>
      <c r="AC68" s="81">
        <f t="shared" si="33"/>
        <v>2.49568821282401</v>
      </c>
      <c r="AD68" s="81">
        <f t="shared" si="25"/>
        <v>22.157168431105</v>
      </c>
      <c r="AE68" s="81">
        <f t="shared" si="26"/>
        <v>40.842831568895</v>
      </c>
    </row>
    <row r="69" customFormat="1" spans="1:31">
      <c r="A69" s="19"/>
      <c r="B69" s="20"/>
      <c r="C69" s="21">
        <v>231227000006</v>
      </c>
      <c r="D69" s="22">
        <v>45293</v>
      </c>
      <c r="E69" s="22" t="s">
        <v>37</v>
      </c>
      <c r="F69" s="20" t="s">
        <v>38</v>
      </c>
      <c r="G69" s="20" t="s">
        <v>115</v>
      </c>
      <c r="H69" s="20">
        <v>11</v>
      </c>
      <c r="I69" s="43">
        <v>643</v>
      </c>
      <c r="J69" s="44"/>
      <c r="K69" s="45"/>
      <c r="L69" s="44"/>
      <c r="M69" s="46"/>
      <c r="N69" s="20"/>
      <c r="O69" s="48">
        <f t="shared" si="29"/>
        <v>643</v>
      </c>
      <c r="P69" s="54"/>
      <c r="Q69" s="54"/>
      <c r="R69" s="81">
        <f t="shared" si="30"/>
        <v>332.1769895407</v>
      </c>
      <c r="S69" s="81"/>
      <c r="T69" s="82">
        <f t="shared" si="31"/>
        <v>0.55575261482492</v>
      </c>
      <c r="U69" s="81"/>
      <c r="V69" s="81"/>
      <c r="W69" s="83">
        <f t="shared" si="27"/>
        <v>332.732742155525</v>
      </c>
      <c r="X69" s="84">
        <f t="shared" si="32"/>
        <v>5.89047748976808</v>
      </c>
      <c r="Y69" s="84"/>
      <c r="Z69" s="84"/>
      <c r="AA69" s="84">
        <f t="shared" si="28"/>
        <v>5.89047748976808</v>
      </c>
      <c r="AB69" s="94">
        <v>7.17</v>
      </c>
      <c r="AC69" s="81">
        <f t="shared" si="33"/>
        <v>42.2347236016371</v>
      </c>
      <c r="AD69" s="81">
        <f t="shared" si="25"/>
        <v>374.967465757162</v>
      </c>
      <c r="AE69" s="81">
        <f t="shared" si="26"/>
        <v>268.032534242838</v>
      </c>
    </row>
    <row r="70" customFormat="1" spans="1:31">
      <c r="A70" s="19"/>
      <c r="B70" s="20"/>
      <c r="C70" s="21">
        <v>231227000009</v>
      </c>
      <c r="D70" s="22">
        <v>45293</v>
      </c>
      <c r="E70" s="22" t="s">
        <v>49</v>
      </c>
      <c r="F70" s="20" t="s">
        <v>50</v>
      </c>
      <c r="G70" s="20" t="s">
        <v>116</v>
      </c>
      <c r="H70" s="20">
        <v>150</v>
      </c>
      <c r="I70" s="43">
        <v>6970</v>
      </c>
      <c r="J70" s="44"/>
      <c r="K70" s="45"/>
      <c r="L70" s="44"/>
      <c r="M70" s="46"/>
      <c r="N70" s="20"/>
      <c r="O70" s="48">
        <f t="shared" si="29"/>
        <v>6970</v>
      </c>
      <c r="P70" s="54"/>
      <c r="Q70" s="54"/>
      <c r="R70" s="81">
        <f t="shared" si="30"/>
        <v>4529.68622100955</v>
      </c>
      <c r="S70" s="81"/>
      <c r="T70" s="82">
        <f t="shared" si="31"/>
        <v>7.57844474761255</v>
      </c>
      <c r="U70" s="82">
        <v>70</v>
      </c>
      <c r="V70" s="81"/>
      <c r="W70" s="83">
        <f t="shared" si="27"/>
        <v>4607.26466575716</v>
      </c>
      <c r="X70" s="84">
        <f t="shared" si="32"/>
        <v>80.3246930422919</v>
      </c>
      <c r="Y70" s="84"/>
      <c r="Z70" s="84"/>
      <c r="AA70" s="84">
        <f t="shared" si="28"/>
        <v>80.3246930422919</v>
      </c>
      <c r="AB70" s="94">
        <v>7.17</v>
      </c>
      <c r="AC70" s="81">
        <f t="shared" si="33"/>
        <v>575.928049113233</v>
      </c>
      <c r="AD70" s="81">
        <f t="shared" si="25"/>
        <v>5183.1927148704</v>
      </c>
      <c r="AE70" s="81">
        <f t="shared" si="26"/>
        <v>1786.8072851296</v>
      </c>
    </row>
    <row r="71" customFormat="1" spans="1:31">
      <c r="A71" s="19"/>
      <c r="B71" s="20"/>
      <c r="C71" s="21">
        <v>231227000016</v>
      </c>
      <c r="D71" s="22">
        <v>45293</v>
      </c>
      <c r="E71" s="22" t="s">
        <v>49</v>
      </c>
      <c r="F71" s="20" t="s">
        <v>50</v>
      </c>
      <c r="G71" s="20" t="s">
        <v>117</v>
      </c>
      <c r="H71" s="20">
        <v>5.5</v>
      </c>
      <c r="I71" s="43">
        <v>318</v>
      </c>
      <c r="J71" s="44"/>
      <c r="K71" s="45"/>
      <c r="L71" s="44"/>
      <c r="M71" s="46"/>
      <c r="N71" s="20"/>
      <c r="O71" s="48">
        <f t="shared" si="29"/>
        <v>318</v>
      </c>
      <c r="P71" s="54"/>
      <c r="Q71" s="54"/>
      <c r="R71" s="81">
        <f t="shared" si="30"/>
        <v>166.08849477035</v>
      </c>
      <c r="S71" s="81"/>
      <c r="T71" s="82">
        <f t="shared" si="31"/>
        <v>0.27787630741246</v>
      </c>
      <c r="U71" s="81"/>
      <c r="V71" s="82">
        <v>43</v>
      </c>
      <c r="W71" s="83">
        <f t="shared" si="27"/>
        <v>209.366371077763</v>
      </c>
      <c r="X71" s="84">
        <f t="shared" si="32"/>
        <v>2.94523874488404</v>
      </c>
      <c r="Y71" s="84"/>
      <c r="Z71" s="84"/>
      <c r="AA71" s="84">
        <f t="shared" si="28"/>
        <v>2.94523874488404</v>
      </c>
      <c r="AB71" s="94">
        <v>7.17</v>
      </c>
      <c r="AC71" s="81">
        <f t="shared" si="33"/>
        <v>21.1173618008185</v>
      </c>
      <c r="AD71" s="81">
        <f t="shared" si="25"/>
        <v>230.483732878581</v>
      </c>
      <c r="AE71" s="81">
        <f t="shared" si="26"/>
        <v>87.516267121419</v>
      </c>
    </row>
    <row r="72" customFormat="1" spans="1:31">
      <c r="A72" s="19"/>
      <c r="B72" s="20"/>
      <c r="C72" s="21">
        <v>231227000019</v>
      </c>
      <c r="D72" s="22">
        <v>45293</v>
      </c>
      <c r="E72" s="22" t="s">
        <v>37</v>
      </c>
      <c r="F72" s="20" t="s">
        <v>38</v>
      </c>
      <c r="G72" s="20" t="s">
        <v>118</v>
      </c>
      <c r="H72" s="20">
        <v>7.5</v>
      </c>
      <c r="I72" s="43">
        <v>440</v>
      </c>
      <c r="J72" s="44"/>
      <c r="K72" s="45"/>
      <c r="L72" s="44"/>
      <c r="M72" s="46"/>
      <c r="N72" s="20"/>
      <c r="O72" s="48">
        <f t="shared" si="29"/>
        <v>440</v>
      </c>
      <c r="P72" s="54"/>
      <c r="Q72" s="54"/>
      <c r="R72" s="81">
        <f t="shared" si="30"/>
        <v>226.484311050477</v>
      </c>
      <c r="S72" s="81"/>
      <c r="T72" s="82">
        <f t="shared" si="31"/>
        <v>0.378922237380628</v>
      </c>
      <c r="U72" s="81"/>
      <c r="V72" s="81"/>
      <c r="W72" s="83">
        <f t="shared" si="27"/>
        <v>226.863233287858</v>
      </c>
      <c r="X72" s="84">
        <f t="shared" si="32"/>
        <v>4.0162346521146</v>
      </c>
      <c r="Y72" s="84"/>
      <c r="Z72" s="84"/>
      <c r="AA72" s="84">
        <f t="shared" si="28"/>
        <v>4.0162346521146</v>
      </c>
      <c r="AB72" s="94">
        <v>7.17</v>
      </c>
      <c r="AC72" s="81">
        <f t="shared" si="33"/>
        <v>28.7964024556617</v>
      </c>
      <c r="AD72" s="81">
        <f t="shared" si="25"/>
        <v>255.65963574352</v>
      </c>
      <c r="AE72" s="81">
        <f t="shared" si="26"/>
        <v>184.34036425648</v>
      </c>
    </row>
    <row r="73" customFormat="1" spans="1:31">
      <c r="A73" s="19"/>
      <c r="B73" s="20"/>
      <c r="C73" s="21">
        <v>231228000004</v>
      </c>
      <c r="D73" s="22">
        <v>45293</v>
      </c>
      <c r="E73" s="22" t="s">
        <v>37</v>
      </c>
      <c r="F73" s="20" t="s">
        <v>38</v>
      </c>
      <c r="G73" s="20" t="s">
        <v>119</v>
      </c>
      <c r="H73" s="20">
        <v>5</v>
      </c>
      <c r="I73" s="43">
        <v>278</v>
      </c>
      <c r="J73" s="44"/>
      <c r="K73" s="45"/>
      <c r="L73" s="44"/>
      <c r="M73" s="46"/>
      <c r="N73" s="20"/>
      <c r="O73" s="48">
        <f t="shared" si="29"/>
        <v>278</v>
      </c>
      <c r="P73" s="54"/>
      <c r="Q73" s="54"/>
      <c r="R73" s="81">
        <f t="shared" si="30"/>
        <v>150.989540700318</v>
      </c>
      <c r="S73" s="81"/>
      <c r="T73" s="82">
        <f t="shared" si="31"/>
        <v>0.252614824920418</v>
      </c>
      <c r="U73" s="81"/>
      <c r="V73" s="81"/>
      <c r="W73" s="83">
        <f t="shared" si="27"/>
        <v>151.242155525239</v>
      </c>
      <c r="X73" s="84">
        <f t="shared" si="32"/>
        <v>2.6774897680764</v>
      </c>
      <c r="Y73" s="84"/>
      <c r="Z73" s="84"/>
      <c r="AA73" s="84">
        <f t="shared" si="28"/>
        <v>2.6774897680764</v>
      </c>
      <c r="AB73" s="94">
        <v>7.17</v>
      </c>
      <c r="AC73" s="81">
        <f t="shared" si="33"/>
        <v>19.1976016371078</v>
      </c>
      <c r="AD73" s="81">
        <f t="shared" si="25"/>
        <v>170.439757162346</v>
      </c>
      <c r="AE73" s="81">
        <f t="shared" si="26"/>
        <v>107.560242837654</v>
      </c>
    </row>
    <row r="74" customFormat="1" spans="1:31">
      <c r="A74" s="19"/>
      <c r="B74" s="20"/>
      <c r="C74" s="21">
        <v>231228000008</v>
      </c>
      <c r="D74" s="22">
        <v>45293</v>
      </c>
      <c r="E74" s="22" t="s">
        <v>49</v>
      </c>
      <c r="F74" s="20" t="s">
        <v>50</v>
      </c>
      <c r="G74" s="20" t="s">
        <v>79</v>
      </c>
      <c r="H74" s="20">
        <v>1.5</v>
      </c>
      <c r="I74" s="43">
        <v>75</v>
      </c>
      <c r="J74" s="44"/>
      <c r="K74" s="45"/>
      <c r="L74" s="44"/>
      <c r="M74" s="46"/>
      <c r="N74" s="20"/>
      <c r="O74" s="48">
        <f t="shared" si="29"/>
        <v>75</v>
      </c>
      <c r="P74" s="54"/>
      <c r="Q74" s="54"/>
      <c r="R74" s="81">
        <f t="shared" si="30"/>
        <v>45.2968622100955</v>
      </c>
      <c r="S74" s="81"/>
      <c r="T74" s="82">
        <f t="shared" si="31"/>
        <v>0.0757844474761255</v>
      </c>
      <c r="U74" s="81"/>
      <c r="V74" s="81"/>
      <c r="W74" s="83">
        <f t="shared" si="27"/>
        <v>45.3726466575716</v>
      </c>
      <c r="X74" s="84">
        <f t="shared" si="32"/>
        <v>0.80324693042292</v>
      </c>
      <c r="Y74" s="84"/>
      <c r="Z74" s="84"/>
      <c r="AA74" s="84">
        <f t="shared" si="28"/>
        <v>0.80324693042292</v>
      </c>
      <c r="AB74" s="94">
        <v>7.17</v>
      </c>
      <c r="AC74" s="81">
        <f t="shared" si="33"/>
        <v>5.75928049113233</v>
      </c>
      <c r="AD74" s="81">
        <f t="shared" si="25"/>
        <v>51.131927148704</v>
      </c>
      <c r="AE74" s="81">
        <f t="shared" si="26"/>
        <v>23.868072851296</v>
      </c>
    </row>
    <row r="75" customFormat="1" spans="1:31">
      <c r="A75" s="19"/>
      <c r="B75" s="20"/>
      <c r="C75" s="21">
        <v>231228000011</v>
      </c>
      <c r="D75" s="22">
        <v>45293</v>
      </c>
      <c r="E75" s="22" t="s">
        <v>37</v>
      </c>
      <c r="F75" s="20" t="s">
        <v>38</v>
      </c>
      <c r="G75" s="20" t="s">
        <v>120</v>
      </c>
      <c r="H75" s="20">
        <v>9.5</v>
      </c>
      <c r="I75" s="43">
        <v>430</v>
      </c>
      <c r="J75" s="44"/>
      <c r="K75" s="45"/>
      <c r="L75" s="44"/>
      <c r="M75" s="46"/>
      <c r="N75" s="20"/>
      <c r="O75" s="48">
        <f t="shared" si="29"/>
        <v>430</v>
      </c>
      <c r="P75" s="54"/>
      <c r="Q75" s="54"/>
      <c r="R75" s="81">
        <f t="shared" si="30"/>
        <v>286.880127330605</v>
      </c>
      <c r="S75" s="81"/>
      <c r="T75" s="82">
        <f t="shared" si="31"/>
        <v>0.479968167348795</v>
      </c>
      <c r="U75" s="81"/>
      <c r="V75" s="81"/>
      <c r="W75" s="83">
        <f t="shared" si="27"/>
        <v>287.360095497954</v>
      </c>
      <c r="X75" s="84">
        <f t="shared" si="32"/>
        <v>5.08723055934516</v>
      </c>
      <c r="Y75" s="84"/>
      <c r="Z75" s="84"/>
      <c r="AA75" s="84">
        <f t="shared" si="28"/>
        <v>5.08723055934516</v>
      </c>
      <c r="AB75" s="94">
        <v>7.17</v>
      </c>
      <c r="AC75" s="81">
        <f t="shared" si="33"/>
        <v>36.4754431105048</v>
      </c>
      <c r="AD75" s="81">
        <f t="shared" si="25"/>
        <v>323.835538608458</v>
      </c>
      <c r="AE75" s="81">
        <f t="shared" si="26"/>
        <v>106.164461391542</v>
      </c>
    </row>
    <row r="76" customFormat="1" spans="1:31">
      <c r="A76" s="19"/>
      <c r="B76" s="20"/>
      <c r="C76" s="21">
        <v>231228000012</v>
      </c>
      <c r="D76" s="22">
        <v>45293</v>
      </c>
      <c r="E76" s="22" t="s">
        <v>44</v>
      </c>
      <c r="F76" s="20" t="s">
        <v>45</v>
      </c>
      <c r="G76" s="20" t="s">
        <v>121</v>
      </c>
      <c r="H76" s="20">
        <v>778.5</v>
      </c>
      <c r="I76" s="43">
        <v>36411</v>
      </c>
      <c r="J76" s="44"/>
      <c r="K76" s="45"/>
      <c r="L76" s="44"/>
      <c r="M76" s="46"/>
      <c r="N76" s="20"/>
      <c r="O76" s="48">
        <f t="shared" si="29"/>
        <v>36411</v>
      </c>
      <c r="P76" s="54"/>
      <c r="Q76" s="54"/>
      <c r="R76" s="81">
        <f t="shared" si="30"/>
        <v>23509.0714870396</v>
      </c>
      <c r="S76" s="81"/>
      <c r="T76" s="82">
        <f t="shared" si="31"/>
        <v>39.3321282401091</v>
      </c>
      <c r="U76" s="81"/>
      <c r="V76" s="81"/>
      <c r="W76" s="83">
        <f t="shared" si="27"/>
        <v>23548.4036152797</v>
      </c>
      <c r="X76" s="84">
        <f t="shared" si="32"/>
        <v>416.885156889495</v>
      </c>
      <c r="Y76" s="84"/>
      <c r="Z76" s="84"/>
      <c r="AA76" s="84">
        <f t="shared" si="28"/>
        <v>416.885156889495</v>
      </c>
      <c r="AB76" s="94">
        <v>7.17</v>
      </c>
      <c r="AC76" s="81">
        <f t="shared" si="33"/>
        <v>2989.06657489768</v>
      </c>
      <c r="AD76" s="81">
        <f t="shared" si="25"/>
        <v>26537.4701901773</v>
      </c>
      <c r="AE76" s="81">
        <f t="shared" si="26"/>
        <v>9873.5298098227</v>
      </c>
    </row>
    <row r="77" customFormat="1" spans="1:31">
      <c r="A77" s="19"/>
      <c r="B77" s="20"/>
      <c r="C77" s="21">
        <v>231228000015</v>
      </c>
      <c r="D77" s="22">
        <v>45293</v>
      </c>
      <c r="E77" s="22" t="s">
        <v>37</v>
      </c>
      <c r="F77" s="20" t="s">
        <v>38</v>
      </c>
      <c r="G77" s="20" t="s">
        <v>122</v>
      </c>
      <c r="H77" s="20">
        <v>0.9</v>
      </c>
      <c r="I77" s="43">
        <v>81</v>
      </c>
      <c r="J77" s="44"/>
      <c r="K77" s="45"/>
      <c r="L77" s="44"/>
      <c r="M77" s="46"/>
      <c r="N77" s="20"/>
      <c r="O77" s="48">
        <f t="shared" si="29"/>
        <v>81</v>
      </c>
      <c r="P77" s="54"/>
      <c r="Q77" s="54"/>
      <c r="R77" s="81">
        <f t="shared" si="30"/>
        <v>27.1781173260573</v>
      </c>
      <c r="S77" s="81"/>
      <c r="T77" s="82">
        <f t="shared" si="31"/>
        <v>0.0454706684856753</v>
      </c>
      <c r="U77" s="81"/>
      <c r="V77" s="82">
        <v>23</v>
      </c>
      <c r="W77" s="83">
        <f t="shared" si="27"/>
        <v>50.223587994543</v>
      </c>
      <c r="X77" s="84">
        <f t="shared" si="32"/>
        <v>0.481948158253752</v>
      </c>
      <c r="Y77" s="84"/>
      <c r="Z77" s="84"/>
      <c r="AA77" s="84">
        <f t="shared" si="28"/>
        <v>0.481948158253752</v>
      </c>
      <c r="AB77" s="94">
        <v>7.17</v>
      </c>
      <c r="AC77" s="81">
        <f t="shared" si="33"/>
        <v>3.4555682946794</v>
      </c>
      <c r="AD77" s="81">
        <f t="shared" si="25"/>
        <v>53.6791562892224</v>
      </c>
      <c r="AE77" s="81">
        <f t="shared" si="26"/>
        <v>27.3208437107776</v>
      </c>
    </row>
    <row r="78" customFormat="1" spans="1:31">
      <c r="A78" s="19"/>
      <c r="B78" s="20"/>
      <c r="C78" s="21">
        <v>231228000024</v>
      </c>
      <c r="D78" s="22">
        <v>45293</v>
      </c>
      <c r="E78" s="25" t="s">
        <v>69</v>
      </c>
      <c r="F78" s="20" t="s">
        <v>69</v>
      </c>
      <c r="G78" s="20" t="s">
        <v>123</v>
      </c>
      <c r="H78" s="20">
        <v>1189.5</v>
      </c>
      <c r="I78" s="50"/>
      <c r="J78" s="51">
        <v>8383750</v>
      </c>
      <c r="K78" s="52"/>
      <c r="L78" s="51">
        <f>SUM(J78/M78)</f>
        <v>1278.96794704573</v>
      </c>
      <c r="M78" s="53">
        <v>6555.09</v>
      </c>
      <c r="N78" s="20">
        <v>7.17</v>
      </c>
      <c r="O78" s="48">
        <f>SUM(M78*N78)</f>
        <v>46999.9953</v>
      </c>
      <c r="P78" s="54"/>
      <c r="Q78" s="54"/>
      <c r="R78" s="81">
        <f t="shared" si="30"/>
        <v>35920.4117326057</v>
      </c>
      <c r="S78" s="81"/>
      <c r="T78" s="82">
        <f t="shared" si="31"/>
        <v>60.0970668485675</v>
      </c>
      <c r="U78" s="81">
        <v>240</v>
      </c>
      <c r="V78" s="81"/>
      <c r="W78" s="83">
        <f t="shared" si="27"/>
        <v>36220.5087994543</v>
      </c>
      <c r="X78" s="84">
        <f t="shared" si="32"/>
        <v>636.974815825375</v>
      </c>
      <c r="Y78" s="84"/>
      <c r="Z78" s="84"/>
      <c r="AA78" s="84">
        <f t="shared" si="28"/>
        <v>636.974815825375</v>
      </c>
      <c r="AB78" s="94">
        <v>7.17</v>
      </c>
      <c r="AC78" s="81">
        <f t="shared" si="33"/>
        <v>4567.10942946794</v>
      </c>
      <c r="AD78" s="81">
        <f t="shared" si="25"/>
        <v>40787.6182289222</v>
      </c>
      <c r="AE78" s="81">
        <f t="shared" si="26"/>
        <v>6212.3770710778</v>
      </c>
    </row>
    <row r="79" customFormat="1" spans="1:31">
      <c r="A79" s="19"/>
      <c r="B79" s="20"/>
      <c r="C79" s="21">
        <v>231229000003</v>
      </c>
      <c r="D79" s="22">
        <v>45293</v>
      </c>
      <c r="E79" s="22" t="s">
        <v>44</v>
      </c>
      <c r="F79" s="20" t="s">
        <v>45</v>
      </c>
      <c r="G79" s="20" t="s">
        <v>113</v>
      </c>
      <c r="H79" s="20">
        <v>939.5</v>
      </c>
      <c r="I79" s="43">
        <v>34881</v>
      </c>
      <c r="J79" s="44"/>
      <c r="K79" s="45"/>
      <c r="L79" s="44"/>
      <c r="M79" s="46"/>
      <c r="N79" s="20"/>
      <c r="O79" s="48">
        <f t="shared" ref="O79:O83" si="34">SUM(I79)</f>
        <v>34881</v>
      </c>
      <c r="P79" s="54"/>
      <c r="Q79" s="54"/>
      <c r="R79" s="81">
        <f t="shared" si="30"/>
        <v>28370.9346975898</v>
      </c>
      <c r="S79" s="81"/>
      <c r="T79" s="82">
        <f t="shared" si="31"/>
        <v>47.4663256025466</v>
      </c>
      <c r="U79" s="81">
        <v>120</v>
      </c>
      <c r="V79" s="81"/>
      <c r="W79" s="83">
        <f t="shared" si="27"/>
        <v>28538.4010231924</v>
      </c>
      <c r="X79" s="84">
        <f t="shared" si="32"/>
        <v>503.100327421555</v>
      </c>
      <c r="Y79" s="84"/>
      <c r="Z79" s="84"/>
      <c r="AA79" s="84">
        <f t="shared" si="28"/>
        <v>503.100327421555</v>
      </c>
      <c r="AB79" s="94">
        <v>7.17</v>
      </c>
      <c r="AC79" s="81">
        <f t="shared" si="33"/>
        <v>3607.22934761255</v>
      </c>
      <c r="AD79" s="81">
        <f t="shared" si="25"/>
        <v>32145.6303708049</v>
      </c>
      <c r="AE79" s="81">
        <f t="shared" si="26"/>
        <v>2735.3696291951</v>
      </c>
    </row>
    <row r="80" customFormat="1" spans="1:31">
      <c r="A80" s="19"/>
      <c r="B80" s="20"/>
      <c r="C80" s="21">
        <v>231229000005</v>
      </c>
      <c r="D80" s="22">
        <v>45293</v>
      </c>
      <c r="E80" s="25" t="s">
        <v>69</v>
      </c>
      <c r="F80" s="20" t="s">
        <v>69</v>
      </c>
      <c r="G80" s="20" t="s">
        <v>124</v>
      </c>
      <c r="H80" s="20">
        <v>3</v>
      </c>
      <c r="I80" s="43">
        <v>168</v>
      </c>
      <c r="J80" s="44"/>
      <c r="K80" s="45"/>
      <c r="L80" s="44"/>
      <c r="M80" s="46"/>
      <c r="N80" s="20"/>
      <c r="O80" s="48">
        <f t="shared" si="34"/>
        <v>168</v>
      </c>
      <c r="P80" s="54"/>
      <c r="Q80" s="54"/>
      <c r="R80" s="81">
        <f t="shared" si="30"/>
        <v>90.593724420191</v>
      </c>
      <c r="S80" s="81"/>
      <c r="T80" s="82">
        <f t="shared" si="31"/>
        <v>0.151568894952251</v>
      </c>
      <c r="U80" s="81"/>
      <c r="V80" s="81"/>
      <c r="W80" s="83">
        <f t="shared" si="27"/>
        <v>90.7452933151432</v>
      </c>
      <c r="X80" s="84">
        <f t="shared" si="32"/>
        <v>1.60649386084584</v>
      </c>
      <c r="Y80" s="84"/>
      <c r="Z80" s="84"/>
      <c r="AA80" s="84">
        <f t="shared" si="28"/>
        <v>1.60649386084584</v>
      </c>
      <c r="AB80" s="94">
        <v>7.17</v>
      </c>
      <c r="AC80" s="81">
        <f t="shared" si="33"/>
        <v>11.5185609822647</v>
      </c>
      <c r="AD80" s="81">
        <f t="shared" si="25"/>
        <v>102.263854297408</v>
      </c>
      <c r="AE80" s="81">
        <f t="shared" si="26"/>
        <v>65.736145702592</v>
      </c>
    </row>
    <row r="81" customFormat="1" spans="1:31">
      <c r="A81" s="19"/>
      <c r="B81" s="20"/>
      <c r="C81" s="21">
        <v>231229000007</v>
      </c>
      <c r="D81" s="22">
        <v>45293</v>
      </c>
      <c r="E81" s="22" t="s">
        <v>69</v>
      </c>
      <c r="F81" s="20" t="s">
        <v>125</v>
      </c>
      <c r="G81" s="20" t="s">
        <v>126</v>
      </c>
      <c r="H81" s="20">
        <v>30</v>
      </c>
      <c r="I81" s="48"/>
      <c r="J81" s="55">
        <v>235773.6</v>
      </c>
      <c r="K81" s="56"/>
      <c r="L81" s="51">
        <f>SUM(J81/M81)</f>
        <v>1239.9999347849</v>
      </c>
      <c r="M81" s="53">
        <v>190.14001</v>
      </c>
      <c r="N81" s="20">
        <v>7.17</v>
      </c>
      <c r="O81" s="48">
        <f t="shared" ref="O81:O85" si="35">SUM(M81*N81)</f>
        <v>1363.3038717</v>
      </c>
      <c r="P81" s="54"/>
      <c r="Q81" s="54"/>
      <c r="R81" s="81">
        <f t="shared" si="30"/>
        <v>905.93724420191</v>
      </c>
      <c r="S81" s="81"/>
      <c r="T81" s="82">
        <f t="shared" si="31"/>
        <v>1.51568894952251</v>
      </c>
      <c r="U81" s="81"/>
      <c r="V81" s="81"/>
      <c r="W81" s="83">
        <f t="shared" si="27"/>
        <v>907.452933151432</v>
      </c>
      <c r="X81" s="84">
        <f t="shared" si="32"/>
        <v>16.0649386084584</v>
      </c>
      <c r="Y81" s="84"/>
      <c r="Z81" s="84"/>
      <c r="AA81" s="84">
        <f t="shared" si="28"/>
        <v>16.0649386084584</v>
      </c>
      <c r="AB81" s="94">
        <v>7.17</v>
      </c>
      <c r="AC81" s="81">
        <f t="shared" si="33"/>
        <v>115.185609822647</v>
      </c>
      <c r="AD81" s="81">
        <f t="shared" si="25"/>
        <v>1022.63854297408</v>
      </c>
      <c r="AE81" s="81">
        <f t="shared" si="26"/>
        <v>340.66532872592</v>
      </c>
    </row>
    <row r="82" customFormat="1" spans="1:31">
      <c r="A82" s="19"/>
      <c r="B82" s="20"/>
      <c r="C82" s="21">
        <v>231229000008</v>
      </c>
      <c r="D82" s="22">
        <v>45293</v>
      </c>
      <c r="E82" s="25" t="s">
        <v>69</v>
      </c>
      <c r="F82" s="20" t="s">
        <v>69</v>
      </c>
      <c r="G82" s="20" t="s">
        <v>127</v>
      </c>
      <c r="H82" s="20">
        <v>38.5</v>
      </c>
      <c r="I82" s="43">
        <v>2005</v>
      </c>
      <c r="J82" s="44"/>
      <c r="K82" s="45"/>
      <c r="L82" s="44"/>
      <c r="M82" s="46"/>
      <c r="N82" s="20"/>
      <c r="O82" s="48">
        <f t="shared" si="34"/>
        <v>2005</v>
      </c>
      <c r="P82" s="54"/>
      <c r="Q82" s="54"/>
      <c r="R82" s="81">
        <f t="shared" si="30"/>
        <v>1162.61946339245</v>
      </c>
      <c r="S82" s="81"/>
      <c r="T82" s="82">
        <f t="shared" si="31"/>
        <v>1.94513415188722</v>
      </c>
      <c r="U82" s="81"/>
      <c r="V82" s="81"/>
      <c r="W82" s="83">
        <f t="shared" si="27"/>
        <v>1164.56459754434</v>
      </c>
      <c r="X82" s="84">
        <f t="shared" si="32"/>
        <v>20.6166712141883</v>
      </c>
      <c r="Y82" s="84">
        <v>11.2</v>
      </c>
      <c r="Z82" s="84"/>
      <c r="AA82" s="84">
        <f t="shared" si="28"/>
        <v>31.8166712141883</v>
      </c>
      <c r="AB82" s="94">
        <v>7.17</v>
      </c>
      <c r="AC82" s="81">
        <f t="shared" si="33"/>
        <v>228.12553260573</v>
      </c>
      <c r="AD82" s="81">
        <f t="shared" si="25"/>
        <v>1392.69013015007</v>
      </c>
      <c r="AE82" s="81">
        <f t="shared" si="26"/>
        <v>612.30986984993</v>
      </c>
    </row>
    <row r="83" customFormat="1" spans="1:31">
      <c r="A83" s="19"/>
      <c r="B83" s="20"/>
      <c r="C83" s="21">
        <v>231229000010</v>
      </c>
      <c r="D83" s="22">
        <v>45293</v>
      </c>
      <c r="E83" s="22" t="s">
        <v>37</v>
      </c>
      <c r="F83" s="20" t="s">
        <v>38</v>
      </c>
      <c r="G83" s="20" t="s">
        <v>128</v>
      </c>
      <c r="H83" s="20">
        <v>208</v>
      </c>
      <c r="I83" s="43">
        <v>8944</v>
      </c>
      <c r="J83" s="44"/>
      <c r="K83" s="45"/>
      <c r="L83" s="44"/>
      <c r="M83" s="46"/>
      <c r="N83" s="20"/>
      <c r="O83" s="48">
        <f t="shared" si="34"/>
        <v>8944</v>
      </c>
      <c r="P83" s="54"/>
      <c r="Q83" s="54"/>
      <c r="R83" s="81">
        <f t="shared" si="30"/>
        <v>6281.16489313324</v>
      </c>
      <c r="S83" s="81"/>
      <c r="T83" s="82">
        <f t="shared" si="31"/>
        <v>10.5087767166894</v>
      </c>
      <c r="U83" s="81"/>
      <c r="V83" s="81"/>
      <c r="W83" s="83">
        <f t="shared" si="27"/>
        <v>6291.67366984993</v>
      </c>
      <c r="X83" s="84">
        <f t="shared" si="32"/>
        <v>111.383574351978</v>
      </c>
      <c r="Y83" s="84"/>
      <c r="Z83" s="84"/>
      <c r="AA83" s="84">
        <f t="shared" si="28"/>
        <v>111.383574351978</v>
      </c>
      <c r="AB83" s="94">
        <v>7.17</v>
      </c>
      <c r="AC83" s="81">
        <f t="shared" si="33"/>
        <v>798.620228103683</v>
      </c>
      <c r="AD83" s="81">
        <f t="shared" si="25"/>
        <v>7090.29389795361</v>
      </c>
      <c r="AE83" s="81">
        <f t="shared" si="26"/>
        <v>1853.70610204639</v>
      </c>
    </row>
    <row r="84" customFormat="1" spans="1:31">
      <c r="A84" s="19"/>
      <c r="B84" s="20"/>
      <c r="C84" s="21">
        <v>231229000014</v>
      </c>
      <c r="D84" s="22">
        <v>45293</v>
      </c>
      <c r="E84" s="22" t="s">
        <v>44</v>
      </c>
      <c r="F84" s="20" t="s">
        <v>45</v>
      </c>
      <c r="G84" s="20" t="s">
        <v>56</v>
      </c>
      <c r="H84" s="20">
        <v>0.26</v>
      </c>
      <c r="I84" s="48"/>
      <c r="J84" s="55">
        <v>10000.44</v>
      </c>
      <c r="K84" s="56"/>
      <c r="L84" s="51">
        <f>SUM(J84/M84)</f>
        <v>1234.62222222222</v>
      </c>
      <c r="M84" s="53">
        <v>8.1</v>
      </c>
      <c r="N84" s="20">
        <v>7.17</v>
      </c>
      <c r="O84" s="48">
        <f t="shared" si="35"/>
        <v>58.077</v>
      </c>
      <c r="P84" s="54"/>
      <c r="Q84" s="54"/>
      <c r="R84" s="81">
        <f t="shared" si="30"/>
        <v>7.85145611641655</v>
      </c>
      <c r="S84" s="81"/>
      <c r="T84" s="82">
        <f t="shared" si="31"/>
        <v>0.0131359708958618</v>
      </c>
      <c r="U84" s="81"/>
      <c r="V84" s="81"/>
      <c r="W84" s="83">
        <f t="shared" si="27"/>
        <v>7.86459208731241</v>
      </c>
      <c r="X84" s="84">
        <f t="shared" si="32"/>
        <v>0.139229467939973</v>
      </c>
      <c r="Y84" s="84"/>
      <c r="Z84" s="84"/>
      <c r="AA84" s="84">
        <f t="shared" si="28"/>
        <v>0.139229467939973</v>
      </c>
      <c r="AB84" s="94">
        <v>7.17</v>
      </c>
      <c r="AC84" s="81">
        <f t="shared" si="33"/>
        <v>0.998275285129604</v>
      </c>
      <c r="AD84" s="81">
        <f t="shared" si="25"/>
        <v>8.86286737244202</v>
      </c>
      <c r="AE84" s="81">
        <f t="shared" si="26"/>
        <v>49.214132627558</v>
      </c>
    </row>
    <row r="85" customFormat="1" spans="1:31">
      <c r="A85" s="19"/>
      <c r="B85" s="20"/>
      <c r="C85" s="21">
        <v>231229000017</v>
      </c>
      <c r="D85" s="22">
        <v>45293</v>
      </c>
      <c r="E85" s="22" t="s">
        <v>58</v>
      </c>
      <c r="F85" s="20" t="s">
        <v>59</v>
      </c>
      <c r="G85" s="20" t="s">
        <v>129</v>
      </c>
      <c r="H85" s="20">
        <v>33</v>
      </c>
      <c r="I85" s="48"/>
      <c r="J85" s="55">
        <v>288176</v>
      </c>
      <c r="K85" s="56"/>
      <c r="L85" s="51">
        <f>SUM(J85/M85)</f>
        <v>1240</v>
      </c>
      <c r="M85" s="53">
        <v>232.4</v>
      </c>
      <c r="N85" s="20">
        <v>7.17</v>
      </c>
      <c r="O85" s="48">
        <f t="shared" si="35"/>
        <v>1666.308</v>
      </c>
      <c r="P85" s="54"/>
      <c r="Q85" s="54"/>
      <c r="R85" s="81">
        <f t="shared" si="30"/>
        <v>996.530968622101</v>
      </c>
      <c r="S85" s="81"/>
      <c r="T85" s="82">
        <f t="shared" si="31"/>
        <v>1.66725784447476</v>
      </c>
      <c r="U85" s="81"/>
      <c r="V85" s="81"/>
      <c r="W85" s="83">
        <f t="shared" si="27"/>
        <v>998.198226466576</v>
      </c>
      <c r="X85" s="84">
        <f t="shared" si="32"/>
        <v>17.6714324693042</v>
      </c>
      <c r="Y85" s="84"/>
      <c r="Z85" s="84"/>
      <c r="AA85" s="84">
        <f t="shared" si="28"/>
        <v>17.6714324693042</v>
      </c>
      <c r="AB85" s="94">
        <v>7.17</v>
      </c>
      <c r="AC85" s="81">
        <f t="shared" si="33"/>
        <v>126.704170804911</v>
      </c>
      <c r="AD85" s="81">
        <f t="shared" si="25"/>
        <v>1124.90239727149</v>
      </c>
      <c r="AE85" s="81">
        <f t="shared" si="26"/>
        <v>541.40560272851</v>
      </c>
    </row>
    <row r="86" customFormat="1" spans="1:31">
      <c r="A86" s="19"/>
      <c r="B86" s="20"/>
      <c r="C86" s="21">
        <v>231229000029</v>
      </c>
      <c r="D86" s="22">
        <v>45293</v>
      </c>
      <c r="E86" s="22" t="s">
        <v>44</v>
      </c>
      <c r="F86" s="20" t="s">
        <v>45</v>
      </c>
      <c r="G86" s="20" t="s">
        <v>85</v>
      </c>
      <c r="H86" s="20">
        <v>7</v>
      </c>
      <c r="I86" s="57">
        <v>339</v>
      </c>
      <c r="J86" s="55"/>
      <c r="K86" s="58"/>
      <c r="L86" s="55"/>
      <c r="M86" s="46"/>
      <c r="N86" s="20"/>
      <c r="O86" s="48">
        <f>SUBTOTAL(9,I86)</f>
        <v>339</v>
      </c>
      <c r="P86" s="54"/>
      <c r="Q86" s="54"/>
      <c r="R86" s="81">
        <f t="shared" si="30"/>
        <v>211.385356980446</v>
      </c>
      <c r="S86" s="81"/>
      <c r="T86" s="82">
        <f t="shared" si="31"/>
        <v>0.353660754888586</v>
      </c>
      <c r="U86" s="81"/>
      <c r="V86" s="81"/>
      <c r="W86" s="83">
        <f t="shared" si="27"/>
        <v>211.739017735334</v>
      </c>
      <c r="X86" s="84">
        <f t="shared" si="32"/>
        <v>3.74848567530696</v>
      </c>
      <c r="Y86" s="84"/>
      <c r="Z86" s="84"/>
      <c r="AA86" s="84">
        <f t="shared" si="28"/>
        <v>3.74848567530696</v>
      </c>
      <c r="AB86" s="94">
        <v>7.17</v>
      </c>
      <c r="AC86" s="81">
        <f t="shared" si="33"/>
        <v>26.8766422919509</v>
      </c>
      <c r="AD86" s="81">
        <f t="shared" si="25"/>
        <v>238.615660027285</v>
      </c>
      <c r="AE86" s="81">
        <f t="shared" si="26"/>
        <v>100.384339972715</v>
      </c>
    </row>
    <row r="87" customFormat="1" spans="1:31">
      <c r="A87" s="19"/>
      <c r="B87" s="20"/>
      <c r="C87" s="21">
        <v>231229000031</v>
      </c>
      <c r="D87" s="22">
        <v>45293</v>
      </c>
      <c r="E87" s="25" t="s">
        <v>69</v>
      </c>
      <c r="F87" s="20" t="s">
        <v>69</v>
      </c>
      <c r="G87" s="20" t="s">
        <v>130</v>
      </c>
      <c r="H87" s="20">
        <v>364.5</v>
      </c>
      <c r="I87" s="43">
        <v>14033.25</v>
      </c>
      <c r="J87" s="44"/>
      <c r="K87" s="45"/>
      <c r="L87" s="44"/>
      <c r="M87" s="46"/>
      <c r="N87" s="20"/>
      <c r="O87" s="48">
        <f t="shared" ref="O87:O89" si="36">SUM(I87)</f>
        <v>14033.25</v>
      </c>
      <c r="P87" s="54"/>
      <c r="Q87" s="54"/>
      <c r="R87" s="81">
        <f t="shared" si="30"/>
        <v>11007.1375170532</v>
      </c>
      <c r="S87" s="81"/>
      <c r="T87" s="82">
        <f t="shared" si="31"/>
        <v>18.4156207366985</v>
      </c>
      <c r="U87" s="81"/>
      <c r="V87" s="81"/>
      <c r="W87" s="83">
        <f t="shared" si="27"/>
        <v>11025.5531377899</v>
      </c>
      <c r="X87" s="84">
        <f t="shared" si="32"/>
        <v>195.189004092769</v>
      </c>
      <c r="Y87" s="84"/>
      <c r="Z87" s="84"/>
      <c r="AA87" s="84">
        <f t="shared" si="28"/>
        <v>195.189004092769</v>
      </c>
      <c r="AB87" s="94">
        <v>7.17</v>
      </c>
      <c r="AC87" s="81">
        <f t="shared" si="33"/>
        <v>1399.50515934516</v>
      </c>
      <c r="AD87" s="81">
        <f t="shared" ref="AD87:AD92" si="37">SUM(W87+AC87)</f>
        <v>12425.0582971351</v>
      </c>
      <c r="AE87" s="81">
        <f t="shared" ref="AE87:AE92" si="38">SUM(O87-AD87)</f>
        <v>1608.1917028649</v>
      </c>
    </row>
    <row r="88" customFormat="1" spans="1:31">
      <c r="A88" s="19"/>
      <c r="B88" s="20"/>
      <c r="C88" s="21">
        <v>231229000033</v>
      </c>
      <c r="D88" s="22">
        <v>45293</v>
      </c>
      <c r="E88" s="25" t="s">
        <v>69</v>
      </c>
      <c r="F88" s="20" t="s">
        <v>69</v>
      </c>
      <c r="G88" s="20" t="s">
        <v>131</v>
      </c>
      <c r="H88" s="20">
        <v>21</v>
      </c>
      <c r="I88" s="43">
        <v>1058</v>
      </c>
      <c r="J88" s="44"/>
      <c r="K88" s="45"/>
      <c r="L88" s="44"/>
      <c r="M88" s="46"/>
      <c r="N88" s="20"/>
      <c r="O88" s="48">
        <f t="shared" si="36"/>
        <v>1058</v>
      </c>
      <c r="P88" s="60"/>
      <c r="Q88" s="60"/>
      <c r="R88" s="81">
        <f t="shared" si="30"/>
        <v>634.156070941337</v>
      </c>
      <c r="S88" s="81"/>
      <c r="T88" s="82">
        <f t="shared" si="31"/>
        <v>1.06098226466576</v>
      </c>
      <c r="U88" s="81"/>
      <c r="V88" s="81"/>
      <c r="W88" s="83">
        <f t="shared" si="27"/>
        <v>635.217053206003</v>
      </c>
      <c r="X88" s="84">
        <f t="shared" si="32"/>
        <v>11.2454570259209</v>
      </c>
      <c r="Y88" s="84"/>
      <c r="Z88" s="84"/>
      <c r="AA88" s="84">
        <f t="shared" ref="AA88:AA110" si="39">SUM(X88:Z88)</f>
        <v>11.2454570259209</v>
      </c>
      <c r="AB88" s="94">
        <v>7.17</v>
      </c>
      <c r="AC88" s="81">
        <f t="shared" si="33"/>
        <v>80.6299268758527</v>
      </c>
      <c r="AD88" s="81">
        <f t="shared" si="37"/>
        <v>715.846980081855</v>
      </c>
      <c r="AE88" s="81">
        <f t="shared" si="38"/>
        <v>342.153019918145</v>
      </c>
    </row>
    <row r="89" customFormat="1" spans="1:31">
      <c r="A89" s="19" t="s">
        <v>132</v>
      </c>
      <c r="B89" s="20" t="s">
        <v>133</v>
      </c>
      <c r="C89" s="21">
        <v>231017000004</v>
      </c>
      <c r="D89" s="22">
        <v>45295</v>
      </c>
      <c r="E89" s="22" t="s">
        <v>44</v>
      </c>
      <c r="F89" s="20" t="s">
        <v>45</v>
      </c>
      <c r="G89" s="20" t="s">
        <v>134</v>
      </c>
      <c r="H89" s="20">
        <v>7.4514</v>
      </c>
      <c r="I89" s="57">
        <v>22753.5</v>
      </c>
      <c r="J89" s="55"/>
      <c r="K89" s="58"/>
      <c r="L89" s="55"/>
      <c r="M89" s="46"/>
      <c r="N89" s="20"/>
      <c r="O89" s="48">
        <f t="shared" si="36"/>
        <v>22753.5</v>
      </c>
      <c r="P89" s="49">
        <f>SUM(O89:O91)</f>
        <v>28844.5</v>
      </c>
      <c r="Q89" s="49" t="s">
        <v>135</v>
      </c>
      <c r="R89" s="81">
        <v>12965.5</v>
      </c>
      <c r="S89" s="81"/>
      <c r="T89" s="81">
        <f>SUM(148/9.6595)*H89</f>
        <v>114.168145349138</v>
      </c>
      <c r="U89" s="81"/>
      <c r="V89" s="81"/>
      <c r="W89" s="83">
        <f t="shared" si="27"/>
        <v>13079.6681453491</v>
      </c>
      <c r="X89" s="84">
        <v>0</v>
      </c>
      <c r="Y89" s="84">
        <v>584.68</v>
      </c>
      <c r="Z89" s="84"/>
      <c r="AA89" s="84">
        <f t="shared" si="39"/>
        <v>584.68</v>
      </c>
      <c r="AB89" s="94">
        <v>7.17</v>
      </c>
      <c r="AC89" s="81">
        <f t="shared" ref="AC89:AC110" si="40">SUM(AA89*AB89)</f>
        <v>4192.1556</v>
      </c>
      <c r="AD89" s="81">
        <f t="shared" si="37"/>
        <v>17271.8237453491</v>
      </c>
      <c r="AE89" s="81">
        <f t="shared" si="38"/>
        <v>5481.6762546509</v>
      </c>
    </row>
    <row r="90" customFormat="1" spans="1:31">
      <c r="A90" s="19"/>
      <c r="B90" s="20"/>
      <c r="C90" s="21">
        <v>231020000043</v>
      </c>
      <c r="D90" s="22">
        <v>45295</v>
      </c>
      <c r="E90" s="22" t="s">
        <v>58</v>
      </c>
      <c r="F90" s="20" t="s">
        <v>59</v>
      </c>
      <c r="G90" s="20" t="s">
        <v>136</v>
      </c>
      <c r="H90" s="20">
        <v>2.0219</v>
      </c>
      <c r="I90" s="48"/>
      <c r="J90" s="55">
        <v>883344</v>
      </c>
      <c r="K90" s="56"/>
      <c r="L90" s="51">
        <f>SUM(J90/M90)</f>
        <v>1261.92</v>
      </c>
      <c r="M90" s="53">
        <v>700</v>
      </c>
      <c r="N90" s="20">
        <v>7.17</v>
      </c>
      <c r="O90" s="48">
        <f>SUM(M90*N90)</f>
        <v>5019</v>
      </c>
      <c r="P90" s="54"/>
      <c r="Q90" s="54"/>
      <c r="R90" s="81">
        <v>3518</v>
      </c>
      <c r="S90" s="81"/>
      <c r="T90" s="81">
        <f>SUM(148/9.6595)*H90</f>
        <v>30.9789533619753</v>
      </c>
      <c r="U90" s="81"/>
      <c r="V90" s="81"/>
      <c r="W90" s="83">
        <f t="shared" si="27"/>
        <v>3548.97895336198</v>
      </c>
      <c r="X90" s="84">
        <v>0</v>
      </c>
      <c r="Y90" s="84"/>
      <c r="Z90" s="84"/>
      <c r="AA90" s="84">
        <f t="shared" si="39"/>
        <v>0</v>
      </c>
      <c r="AB90" s="94">
        <v>7.17</v>
      </c>
      <c r="AC90" s="81">
        <f t="shared" si="40"/>
        <v>0</v>
      </c>
      <c r="AD90" s="81">
        <f t="shared" ref="AD90:AD110" si="41">SUM(W90+AC90)</f>
        <v>3548.97895336198</v>
      </c>
      <c r="AE90" s="81">
        <f t="shared" ref="AE90:AE110" si="42">SUM(O90-AD90)</f>
        <v>1470.02104663802</v>
      </c>
    </row>
    <row r="91" customFormat="1" spans="1:31">
      <c r="A91" s="19"/>
      <c r="B91" s="20"/>
      <c r="C91" s="21">
        <v>231027000021</v>
      </c>
      <c r="D91" s="22">
        <v>45295</v>
      </c>
      <c r="E91" s="22" t="s">
        <v>110</v>
      </c>
      <c r="F91" s="20" t="s">
        <v>111</v>
      </c>
      <c r="G91" s="20" t="s">
        <v>137</v>
      </c>
      <c r="H91" s="20">
        <v>0.1862</v>
      </c>
      <c r="I91" s="43">
        <v>1072</v>
      </c>
      <c r="J91" s="44"/>
      <c r="K91" s="45"/>
      <c r="L91" s="44"/>
      <c r="M91" s="46"/>
      <c r="N91" s="20"/>
      <c r="O91" s="48">
        <f t="shared" ref="O91:O97" si="43">SUM(I91)</f>
        <v>1072</v>
      </c>
      <c r="P91" s="60"/>
      <c r="Q91" s="60"/>
      <c r="R91" s="81">
        <v>324</v>
      </c>
      <c r="S91" s="81"/>
      <c r="T91" s="81">
        <f>SUM(148/9.6595)*H91</f>
        <v>2.85290128888659</v>
      </c>
      <c r="U91" s="81"/>
      <c r="V91" s="81"/>
      <c r="W91" s="83">
        <f t="shared" ref="W91:W110" si="44">SUM(R91:V91)</f>
        <v>326.852901288887</v>
      </c>
      <c r="X91" s="84">
        <v>0</v>
      </c>
      <c r="Y91" s="84"/>
      <c r="Z91" s="84"/>
      <c r="AA91" s="84">
        <f t="shared" si="39"/>
        <v>0</v>
      </c>
      <c r="AB91" s="94">
        <v>7.17</v>
      </c>
      <c r="AC91" s="81">
        <f t="shared" si="40"/>
        <v>0</v>
      </c>
      <c r="AD91" s="81">
        <f t="shared" si="41"/>
        <v>326.852901288887</v>
      </c>
      <c r="AE91" s="81">
        <f t="shared" si="42"/>
        <v>745.147098711113</v>
      </c>
    </row>
    <row r="92" customFormat="1" spans="1:31">
      <c r="A92" s="19" t="s">
        <v>138</v>
      </c>
      <c r="B92" s="20" t="s">
        <v>139</v>
      </c>
      <c r="C92" s="21">
        <v>231030000030</v>
      </c>
      <c r="D92" s="22">
        <v>45295</v>
      </c>
      <c r="E92" s="22" t="s">
        <v>37</v>
      </c>
      <c r="F92" s="20" t="s">
        <v>38</v>
      </c>
      <c r="G92" s="20" t="s">
        <v>140</v>
      </c>
      <c r="H92" s="20">
        <v>0.7848</v>
      </c>
      <c r="I92" s="43">
        <v>2008</v>
      </c>
      <c r="J92" s="44"/>
      <c r="K92" s="45"/>
      <c r="L92" s="44"/>
      <c r="M92" s="46"/>
      <c r="N92" s="20"/>
      <c r="O92" s="48">
        <f t="shared" si="43"/>
        <v>2008</v>
      </c>
      <c r="P92" s="48">
        <f>SUM(O92)</f>
        <v>2008</v>
      </c>
      <c r="Q92" s="56" t="s">
        <v>141</v>
      </c>
      <c r="R92" s="48">
        <v>1219.41</v>
      </c>
      <c r="S92" s="48"/>
      <c r="T92" s="81">
        <f>SUM(148/9.6595)*H92</f>
        <v>12.0244733164242</v>
      </c>
      <c r="U92" s="48"/>
      <c r="V92" s="48"/>
      <c r="W92" s="83">
        <f t="shared" si="44"/>
        <v>1231.43447331642</v>
      </c>
      <c r="X92" s="46">
        <v>0</v>
      </c>
      <c r="Y92" s="46"/>
      <c r="Z92" s="46"/>
      <c r="AA92" s="84">
        <f t="shared" si="39"/>
        <v>0</v>
      </c>
      <c r="AB92" s="94">
        <v>7.17</v>
      </c>
      <c r="AC92" s="81">
        <f t="shared" si="40"/>
        <v>0</v>
      </c>
      <c r="AD92" s="81">
        <f t="shared" si="41"/>
        <v>1231.43447331642</v>
      </c>
      <c r="AE92" s="81">
        <f t="shared" si="42"/>
        <v>776.56552668358</v>
      </c>
    </row>
    <row r="93" customFormat="1" spans="1:31">
      <c r="A93" s="19" t="s">
        <v>142</v>
      </c>
      <c r="B93" s="20" t="s">
        <v>143</v>
      </c>
      <c r="C93" s="21">
        <v>231227000020</v>
      </c>
      <c r="D93" s="22">
        <v>45296</v>
      </c>
      <c r="E93" s="22" t="s">
        <v>37</v>
      </c>
      <c r="F93" s="20" t="s">
        <v>144</v>
      </c>
      <c r="G93" s="20" t="s">
        <v>145</v>
      </c>
      <c r="H93" s="20">
        <v>0.94</v>
      </c>
      <c r="I93" s="48"/>
      <c r="J93" s="55">
        <v>21838</v>
      </c>
      <c r="K93" s="56"/>
      <c r="L93" s="51">
        <f>SUM(J93/M93)</f>
        <v>1240.09085746735</v>
      </c>
      <c r="M93" s="53">
        <v>17.61</v>
      </c>
      <c r="N93" s="20">
        <v>7.17</v>
      </c>
      <c r="O93" s="48">
        <f>SUM(M93*N93)</f>
        <v>126.2637</v>
      </c>
      <c r="P93" s="49">
        <f>SUM(O93:O110)</f>
        <v>13123.8228</v>
      </c>
      <c r="Q93" s="49" t="s">
        <v>146</v>
      </c>
      <c r="R93" s="81">
        <f>SUM(4400/64)*H93</f>
        <v>64.625</v>
      </c>
      <c r="S93" s="81"/>
      <c r="T93" s="82">
        <f>SUM(63.92/64)*H93</f>
        <v>0.938825</v>
      </c>
      <c r="U93" s="81"/>
      <c r="V93" s="81"/>
      <c r="W93" s="83">
        <f t="shared" si="44"/>
        <v>65.563825</v>
      </c>
      <c r="X93" s="84">
        <f>SUM(130.97/64)*H93</f>
        <v>1.923621875</v>
      </c>
      <c r="Y93" s="84"/>
      <c r="Z93" s="84"/>
      <c r="AA93" s="84">
        <f t="shared" si="39"/>
        <v>1.923621875</v>
      </c>
      <c r="AB93" s="94">
        <v>7.17</v>
      </c>
      <c r="AC93" s="81">
        <f t="shared" si="40"/>
        <v>13.79236884375</v>
      </c>
      <c r="AD93" s="81">
        <f t="shared" si="41"/>
        <v>79.35619384375</v>
      </c>
      <c r="AE93" s="81">
        <f t="shared" si="42"/>
        <v>46.90750615625</v>
      </c>
    </row>
    <row r="94" customFormat="1" spans="1:31">
      <c r="A94" s="19"/>
      <c r="B94" s="20"/>
      <c r="C94" s="21">
        <v>231229000016</v>
      </c>
      <c r="D94" s="22">
        <v>45296</v>
      </c>
      <c r="E94" s="22" t="s">
        <v>58</v>
      </c>
      <c r="F94" s="20" t="s">
        <v>59</v>
      </c>
      <c r="G94" s="20" t="s">
        <v>147</v>
      </c>
      <c r="H94" s="20">
        <v>0.38</v>
      </c>
      <c r="I94" s="43">
        <v>125</v>
      </c>
      <c r="J94" s="44"/>
      <c r="K94" s="45"/>
      <c r="L94" s="44"/>
      <c r="M94" s="46"/>
      <c r="N94" s="20"/>
      <c r="O94" s="48">
        <f t="shared" si="43"/>
        <v>125</v>
      </c>
      <c r="P94" s="54"/>
      <c r="Q94" s="54"/>
      <c r="R94" s="81">
        <f t="shared" ref="R94:R110" si="45">SUM(4400/64)*H94</f>
        <v>26.125</v>
      </c>
      <c r="S94" s="81"/>
      <c r="T94" s="82">
        <f t="shared" ref="T94:T110" si="46">SUM(63.92/64)*H94</f>
        <v>0.379525</v>
      </c>
      <c r="U94" s="81"/>
      <c r="V94" s="81"/>
      <c r="W94" s="83">
        <f t="shared" si="44"/>
        <v>26.504525</v>
      </c>
      <c r="X94" s="84">
        <f t="shared" ref="X94:X110" si="47">SUM(130.97/64)*H94</f>
        <v>0.777634375</v>
      </c>
      <c r="Y94" s="84"/>
      <c r="Z94" s="84"/>
      <c r="AA94" s="84">
        <f t="shared" si="39"/>
        <v>0.777634375</v>
      </c>
      <c r="AB94" s="94">
        <v>7.17</v>
      </c>
      <c r="AC94" s="81">
        <f t="shared" si="40"/>
        <v>5.57563846875</v>
      </c>
      <c r="AD94" s="81">
        <f t="shared" si="41"/>
        <v>32.08016346875</v>
      </c>
      <c r="AE94" s="81">
        <f t="shared" si="42"/>
        <v>92.91983653125</v>
      </c>
    </row>
    <row r="95" customFormat="1" spans="1:31">
      <c r="A95" s="19"/>
      <c r="B95" s="20"/>
      <c r="C95" s="21">
        <v>231229000032</v>
      </c>
      <c r="D95" s="22">
        <v>45296</v>
      </c>
      <c r="E95" s="22" t="s">
        <v>37</v>
      </c>
      <c r="F95" s="20" t="s">
        <v>38</v>
      </c>
      <c r="G95" s="20" t="s">
        <v>148</v>
      </c>
      <c r="H95" s="20">
        <v>0.83</v>
      </c>
      <c r="I95" s="43">
        <v>125</v>
      </c>
      <c r="J95" s="44"/>
      <c r="K95" s="45"/>
      <c r="L95" s="44"/>
      <c r="M95" s="46"/>
      <c r="N95" s="20"/>
      <c r="O95" s="48">
        <f t="shared" si="43"/>
        <v>125</v>
      </c>
      <c r="P95" s="54"/>
      <c r="Q95" s="54"/>
      <c r="R95" s="81">
        <f t="shared" si="45"/>
        <v>57.0625</v>
      </c>
      <c r="S95" s="81"/>
      <c r="T95" s="82">
        <f t="shared" si="46"/>
        <v>0.8289625</v>
      </c>
      <c r="U95" s="81"/>
      <c r="V95" s="81"/>
      <c r="W95" s="83">
        <f t="shared" si="44"/>
        <v>57.8914625</v>
      </c>
      <c r="X95" s="84">
        <f t="shared" si="47"/>
        <v>1.6985171875</v>
      </c>
      <c r="Y95" s="84"/>
      <c r="Z95" s="84"/>
      <c r="AA95" s="84">
        <f t="shared" si="39"/>
        <v>1.6985171875</v>
      </c>
      <c r="AB95" s="94">
        <v>7.17</v>
      </c>
      <c r="AC95" s="81">
        <f t="shared" si="40"/>
        <v>12.178368234375</v>
      </c>
      <c r="AD95" s="81">
        <f t="shared" si="41"/>
        <v>70.069830734375</v>
      </c>
      <c r="AE95" s="81">
        <f t="shared" si="42"/>
        <v>54.930169265625</v>
      </c>
    </row>
    <row r="96" customFormat="1" spans="1:31">
      <c r="A96" s="19"/>
      <c r="B96" s="20"/>
      <c r="C96" s="21">
        <v>231230000005</v>
      </c>
      <c r="D96" s="22">
        <v>45296</v>
      </c>
      <c r="E96" s="22" t="s">
        <v>99</v>
      </c>
      <c r="F96" s="20" t="s">
        <v>149</v>
      </c>
      <c r="G96" s="20" t="s">
        <v>150</v>
      </c>
      <c r="H96" s="20">
        <v>5.5</v>
      </c>
      <c r="I96" s="43">
        <v>715</v>
      </c>
      <c r="J96" s="44"/>
      <c r="K96" s="45"/>
      <c r="L96" s="44"/>
      <c r="M96" s="46"/>
      <c r="N96" s="20"/>
      <c r="O96" s="48">
        <f t="shared" si="43"/>
        <v>715</v>
      </c>
      <c r="P96" s="54"/>
      <c r="Q96" s="54"/>
      <c r="R96" s="81">
        <f t="shared" si="45"/>
        <v>378.125</v>
      </c>
      <c r="S96" s="81"/>
      <c r="T96" s="82">
        <f t="shared" si="46"/>
        <v>5.493125</v>
      </c>
      <c r="U96" s="81"/>
      <c r="V96" s="81"/>
      <c r="W96" s="83">
        <f t="shared" si="44"/>
        <v>383.618125</v>
      </c>
      <c r="X96" s="84">
        <f t="shared" si="47"/>
        <v>11.255234375</v>
      </c>
      <c r="Y96" s="84"/>
      <c r="Z96" s="84"/>
      <c r="AA96" s="84">
        <f t="shared" si="39"/>
        <v>11.255234375</v>
      </c>
      <c r="AB96" s="94">
        <v>7.17</v>
      </c>
      <c r="AC96" s="81">
        <f t="shared" si="40"/>
        <v>80.70003046875</v>
      </c>
      <c r="AD96" s="81">
        <f t="shared" si="41"/>
        <v>464.31815546875</v>
      </c>
      <c r="AE96" s="81">
        <f t="shared" si="42"/>
        <v>250.68184453125</v>
      </c>
    </row>
    <row r="97" customFormat="1" spans="1:31">
      <c r="A97" s="19"/>
      <c r="B97" s="20"/>
      <c r="C97" s="21">
        <v>231231000003</v>
      </c>
      <c r="D97" s="22">
        <v>45296</v>
      </c>
      <c r="E97" s="22" t="s">
        <v>110</v>
      </c>
      <c r="F97" s="20" t="s">
        <v>111</v>
      </c>
      <c r="G97" s="20" t="s">
        <v>151</v>
      </c>
      <c r="H97" s="20">
        <v>0.72</v>
      </c>
      <c r="I97" s="43">
        <v>130</v>
      </c>
      <c r="J97" s="44"/>
      <c r="K97" s="45"/>
      <c r="L97" s="44"/>
      <c r="M97" s="46"/>
      <c r="N97" s="20"/>
      <c r="O97" s="48">
        <f t="shared" si="43"/>
        <v>130</v>
      </c>
      <c r="P97" s="54"/>
      <c r="Q97" s="54"/>
      <c r="R97" s="81">
        <f t="shared" si="45"/>
        <v>49.5</v>
      </c>
      <c r="S97" s="81"/>
      <c r="T97" s="82">
        <f t="shared" si="46"/>
        <v>0.7191</v>
      </c>
      <c r="U97" s="81"/>
      <c r="V97" s="81"/>
      <c r="W97" s="83">
        <f t="shared" si="44"/>
        <v>50.2191</v>
      </c>
      <c r="X97" s="84">
        <f t="shared" si="47"/>
        <v>1.4734125</v>
      </c>
      <c r="Y97" s="84"/>
      <c r="Z97" s="84"/>
      <c r="AA97" s="84">
        <f t="shared" si="39"/>
        <v>1.4734125</v>
      </c>
      <c r="AB97" s="94">
        <v>7.17</v>
      </c>
      <c r="AC97" s="81">
        <f t="shared" si="40"/>
        <v>10.564367625</v>
      </c>
      <c r="AD97" s="81">
        <f t="shared" si="41"/>
        <v>60.783467625</v>
      </c>
      <c r="AE97" s="81">
        <f t="shared" si="42"/>
        <v>69.216532375</v>
      </c>
    </row>
    <row r="98" customFormat="1" spans="1:31">
      <c r="A98" s="19"/>
      <c r="B98" s="20"/>
      <c r="C98" s="21">
        <v>240102000013</v>
      </c>
      <c r="D98" s="22">
        <v>45296</v>
      </c>
      <c r="E98" s="22" t="s">
        <v>49</v>
      </c>
      <c r="F98" s="20" t="s">
        <v>50</v>
      </c>
      <c r="G98" s="20" t="s">
        <v>152</v>
      </c>
      <c r="H98" s="20">
        <v>0.5</v>
      </c>
      <c r="I98" s="50"/>
      <c r="J98" s="51">
        <v>22000</v>
      </c>
      <c r="K98" s="52"/>
      <c r="L98" s="51">
        <f>SUM(J98/M98)</f>
        <v>1262.19162363741</v>
      </c>
      <c r="M98" s="53">
        <v>17.43</v>
      </c>
      <c r="N98" s="20">
        <v>7.17</v>
      </c>
      <c r="O98" s="48">
        <f>SUM(M98*N98)</f>
        <v>124.9731</v>
      </c>
      <c r="P98" s="54"/>
      <c r="Q98" s="54"/>
      <c r="R98" s="81">
        <f t="shared" si="45"/>
        <v>34.375</v>
      </c>
      <c r="S98" s="81"/>
      <c r="T98" s="82">
        <f t="shared" si="46"/>
        <v>0.499375</v>
      </c>
      <c r="U98" s="81"/>
      <c r="V98" s="81"/>
      <c r="W98" s="83">
        <f t="shared" si="44"/>
        <v>34.874375</v>
      </c>
      <c r="X98" s="84">
        <f t="shared" si="47"/>
        <v>1.023203125</v>
      </c>
      <c r="Y98" s="84"/>
      <c r="Z98" s="84"/>
      <c r="AA98" s="84">
        <f t="shared" si="39"/>
        <v>1.023203125</v>
      </c>
      <c r="AB98" s="94">
        <v>7.17</v>
      </c>
      <c r="AC98" s="81">
        <f t="shared" si="40"/>
        <v>7.33636640625</v>
      </c>
      <c r="AD98" s="81">
        <f t="shared" si="41"/>
        <v>42.21074140625</v>
      </c>
      <c r="AE98" s="81">
        <f t="shared" si="42"/>
        <v>82.76235859375</v>
      </c>
    </row>
    <row r="99" customFormat="1" spans="1:31">
      <c r="A99" s="19"/>
      <c r="B99" s="20"/>
      <c r="C99" s="21">
        <v>240102000019</v>
      </c>
      <c r="D99" s="22">
        <v>45296</v>
      </c>
      <c r="E99" s="22" t="s">
        <v>37</v>
      </c>
      <c r="F99" s="20" t="s">
        <v>38</v>
      </c>
      <c r="G99" s="20" t="s">
        <v>153</v>
      </c>
      <c r="H99" s="20">
        <v>6.5</v>
      </c>
      <c r="I99" s="43">
        <v>1007.5</v>
      </c>
      <c r="J99" s="44"/>
      <c r="K99" s="45"/>
      <c r="L99" s="44"/>
      <c r="M99" s="46"/>
      <c r="N99" s="20"/>
      <c r="O99" s="48">
        <f t="shared" ref="O99:O104" si="48">SUM(I99)</f>
        <v>1007.5</v>
      </c>
      <c r="P99" s="54"/>
      <c r="Q99" s="54"/>
      <c r="R99" s="81">
        <f t="shared" si="45"/>
        <v>446.875</v>
      </c>
      <c r="S99" s="81"/>
      <c r="T99" s="82">
        <f t="shared" si="46"/>
        <v>6.491875</v>
      </c>
      <c r="U99" s="81"/>
      <c r="V99" s="81"/>
      <c r="W99" s="83">
        <f t="shared" si="44"/>
        <v>453.366875</v>
      </c>
      <c r="X99" s="84">
        <f t="shared" si="47"/>
        <v>13.301640625</v>
      </c>
      <c r="Y99" s="84"/>
      <c r="Z99" s="84"/>
      <c r="AA99" s="84">
        <f t="shared" si="39"/>
        <v>13.301640625</v>
      </c>
      <c r="AB99" s="94">
        <v>7.17</v>
      </c>
      <c r="AC99" s="81">
        <f t="shared" si="40"/>
        <v>95.37276328125</v>
      </c>
      <c r="AD99" s="81">
        <f t="shared" si="41"/>
        <v>548.73963828125</v>
      </c>
      <c r="AE99" s="81">
        <f t="shared" si="42"/>
        <v>458.76036171875</v>
      </c>
    </row>
    <row r="100" customFormat="1" spans="1:31">
      <c r="A100" s="19"/>
      <c r="B100" s="20"/>
      <c r="C100" s="21">
        <v>240102000021</v>
      </c>
      <c r="D100" s="22">
        <v>45296</v>
      </c>
      <c r="E100" s="22" t="s">
        <v>37</v>
      </c>
      <c r="F100" s="20" t="s">
        <v>38</v>
      </c>
      <c r="G100" s="20" t="s">
        <v>154</v>
      </c>
      <c r="H100" s="20">
        <v>3</v>
      </c>
      <c r="I100" s="43">
        <v>480</v>
      </c>
      <c r="J100" s="44"/>
      <c r="K100" s="45"/>
      <c r="L100" s="44"/>
      <c r="M100" s="46"/>
      <c r="N100" s="20"/>
      <c r="O100" s="48">
        <f t="shared" si="48"/>
        <v>480</v>
      </c>
      <c r="P100" s="54"/>
      <c r="Q100" s="54"/>
      <c r="R100" s="81">
        <f t="shared" si="45"/>
        <v>206.25</v>
      </c>
      <c r="S100" s="81"/>
      <c r="T100" s="82">
        <f t="shared" si="46"/>
        <v>2.99625</v>
      </c>
      <c r="U100" s="81"/>
      <c r="V100" s="81"/>
      <c r="W100" s="83">
        <f t="shared" si="44"/>
        <v>209.24625</v>
      </c>
      <c r="X100" s="84">
        <f t="shared" si="47"/>
        <v>6.13921875</v>
      </c>
      <c r="Y100" s="84"/>
      <c r="Z100" s="84"/>
      <c r="AA100" s="84">
        <f t="shared" si="39"/>
        <v>6.13921875</v>
      </c>
      <c r="AB100" s="94">
        <v>7.17</v>
      </c>
      <c r="AC100" s="81">
        <f t="shared" si="40"/>
        <v>44.0181984375</v>
      </c>
      <c r="AD100" s="81">
        <f t="shared" si="41"/>
        <v>253.2644484375</v>
      </c>
      <c r="AE100" s="81">
        <f t="shared" si="42"/>
        <v>226.7355515625</v>
      </c>
    </row>
    <row r="101" customFormat="1" spans="1:31">
      <c r="A101" s="19"/>
      <c r="B101" s="20"/>
      <c r="C101" s="21">
        <v>240102000022</v>
      </c>
      <c r="D101" s="22">
        <v>45296</v>
      </c>
      <c r="E101" s="22" t="s">
        <v>37</v>
      </c>
      <c r="F101" s="20" t="s">
        <v>38</v>
      </c>
      <c r="G101" s="20" t="s">
        <v>122</v>
      </c>
      <c r="H101" s="20">
        <v>0.48</v>
      </c>
      <c r="I101" s="43">
        <v>120</v>
      </c>
      <c r="J101" s="44"/>
      <c r="K101" s="45"/>
      <c r="L101" s="44"/>
      <c r="M101" s="46"/>
      <c r="N101" s="20"/>
      <c r="O101" s="48">
        <f t="shared" si="48"/>
        <v>120</v>
      </c>
      <c r="P101" s="54"/>
      <c r="Q101" s="54"/>
      <c r="R101" s="81">
        <f t="shared" si="45"/>
        <v>33</v>
      </c>
      <c r="S101" s="81"/>
      <c r="T101" s="82">
        <f t="shared" si="46"/>
        <v>0.4794</v>
      </c>
      <c r="U101" s="81"/>
      <c r="V101" s="81"/>
      <c r="W101" s="83">
        <f t="shared" si="44"/>
        <v>33.4794</v>
      </c>
      <c r="X101" s="84">
        <f t="shared" si="47"/>
        <v>0.982275</v>
      </c>
      <c r="Y101" s="84"/>
      <c r="Z101" s="84"/>
      <c r="AA101" s="84">
        <f t="shared" si="39"/>
        <v>0.982275</v>
      </c>
      <c r="AB101" s="94">
        <v>7.17</v>
      </c>
      <c r="AC101" s="81">
        <f t="shared" si="40"/>
        <v>7.04291175</v>
      </c>
      <c r="AD101" s="81">
        <f t="shared" si="41"/>
        <v>40.52231175</v>
      </c>
      <c r="AE101" s="81">
        <f t="shared" si="42"/>
        <v>79.47768825</v>
      </c>
    </row>
    <row r="102" customFormat="1" spans="1:31">
      <c r="A102" s="19"/>
      <c r="B102" s="20"/>
      <c r="C102" s="21">
        <v>240102000023</v>
      </c>
      <c r="D102" s="22">
        <v>45296</v>
      </c>
      <c r="E102" s="22" t="s">
        <v>37</v>
      </c>
      <c r="F102" s="20" t="s">
        <v>38</v>
      </c>
      <c r="G102" s="20" t="s">
        <v>148</v>
      </c>
      <c r="H102" s="20">
        <v>0.18</v>
      </c>
      <c r="I102" s="43">
        <v>125</v>
      </c>
      <c r="J102" s="44"/>
      <c r="K102" s="45"/>
      <c r="L102" s="44"/>
      <c r="M102" s="46"/>
      <c r="N102" s="20"/>
      <c r="O102" s="48">
        <f t="shared" si="48"/>
        <v>125</v>
      </c>
      <c r="P102" s="54"/>
      <c r="Q102" s="54"/>
      <c r="R102" s="81">
        <f t="shared" si="45"/>
        <v>12.375</v>
      </c>
      <c r="S102" s="81"/>
      <c r="T102" s="82">
        <f t="shared" si="46"/>
        <v>0.179775</v>
      </c>
      <c r="U102" s="81"/>
      <c r="V102" s="81"/>
      <c r="W102" s="83">
        <f t="shared" si="44"/>
        <v>12.554775</v>
      </c>
      <c r="X102" s="84">
        <f t="shared" si="47"/>
        <v>0.368353125</v>
      </c>
      <c r="Y102" s="84"/>
      <c r="Z102" s="84"/>
      <c r="AA102" s="84">
        <f t="shared" si="39"/>
        <v>0.368353125</v>
      </c>
      <c r="AB102" s="94">
        <v>7.17</v>
      </c>
      <c r="AC102" s="81">
        <f t="shared" si="40"/>
        <v>2.64109190625</v>
      </c>
      <c r="AD102" s="81">
        <f t="shared" si="41"/>
        <v>15.19586690625</v>
      </c>
      <c r="AE102" s="81">
        <f t="shared" si="42"/>
        <v>109.80413309375</v>
      </c>
    </row>
    <row r="103" customFormat="1" spans="1:31">
      <c r="A103" s="19"/>
      <c r="B103" s="20"/>
      <c r="C103" s="21">
        <v>240102000029</v>
      </c>
      <c r="D103" s="22">
        <v>45296</v>
      </c>
      <c r="E103" s="22" t="s">
        <v>37</v>
      </c>
      <c r="F103" s="20" t="s">
        <v>38</v>
      </c>
      <c r="G103" s="20" t="s">
        <v>155</v>
      </c>
      <c r="H103" s="20">
        <v>4</v>
      </c>
      <c r="I103" s="43">
        <v>520</v>
      </c>
      <c r="J103" s="44"/>
      <c r="K103" s="45"/>
      <c r="L103" s="44"/>
      <c r="M103" s="46"/>
      <c r="N103" s="20"/>
      <c r="O103" s="48">
        <f t="shared" si="48"/>
        <v>520</v>
      </c>
      <c r="P103" s="54"/>
      <c r="Q103" s="54"/>
      <c r="R103" s="81">
        <f t="shared" si="45"/>
        <v>275</v>
      </c>
      <c r="S103" s="81"/>
      <c r="T103" s="82">
        <f t="shared" si="46"/>
        <v>3.995</v>
      </c>
      <c r="U103" s="81"/>
      <c r="V103" s="81"/>
      <c r="W103" s="83">
        <f t="shared" si="44"/>
        <v>278.995</v>
      </c>
      <c r="X103" s="84">
        <f t="shared" si="47"/>
        <v>8.185625</v>
      </c>
      <c r="Y103" s="84"/>
      <c r="Z103" s="84"/>
      <c r="AA103" s="84">
        <f t="shared" si="39"/>
        <v>8.185625</v>
      </c>
      <c r="AB103" s="94">
        <v>7.17</v>
      </c>
      <c r="AC103" s="81">
        <f t="shared" si="40"/>
        <v>58.69093125</v>
      </c>
      <c r="AD103" s="81">
        <f t="shared" si="41"/>
        <v>337.68593125</v>
      </c>
      <c r="AE103" s="81">
        <f t="shared" si="42"/>
        <v>182.31406875</v>
      </c>
    </row>
    <row r="104" customFormat="1" spans="1:31">
      <c r="A104" s="19"/>
      <c r="B104" s="20"/>
      <c r="C104" s="21">
        <v>240102000035</v>
      </c>
      <c r="D104" s="22">
        <v>45296</v>
      </c>
      <c r="E104" s="22" t="s">
        <v>37</v>
      </c>
      <c r="F104" s="20" t="s">
        <v>38</v>
      </c>
      <c r="G104" s="20" t="s">
        <v>156</v>
      </c>
      <c r="H104" s="20">
        <v>0.7</v>
      </c>
      <c r="I104" s="43">
        <v>130</v>
      </c>
      <c r="J104" s="44"/>
      <c r="K104" s="45"/>
      <c r="L104" s="44"/>
      <c r="M104" s="46"/>
      <c r="N104" s="20"/>
      <c r="O104" s="48">
        <f t="shared" si="48"/>
        <v>130</v>
      </c>
      <c r="P104" s="54"/>
      <c r="Q104" s="54"/>
      <c r="R104" s="81">
        <f t="shared" si="45"/>
        <v>48.125</v>
      </c>
      <c r="S104" s="81"/>
      <c r="T104" s="82">
        <f t="shared" si="46"/>
        <v>0.699125</v>
      </c>
      <c r="U104" s="81"/>
      <c r="V104" s="81"/>
      <c r="W104" s="83">
        <f t="shared" si="44"/>
        <v>48.824125</v>
      </c>
      <c r="X104" s="84">
        <f t="shared" si="47"/>
        <v>1.432484375</v>
      </c>
      <c r="Y104" s="84"/>
      <c r="Z104" s="84"/>
      <c r="AA104" s="84">
        <f t="shared" si="39"/>
        <v>1.432484375</v>
      </c>
      <c r="AB104" s="94">
        <v>7.17</v>
      </c>
      <c r="AC104" s="81">
        <f t="shared" si="40"/>
        <v>10.27091296875</v>
      </c>
      <c r="AD104" s="81">
        <f t="shared" si="41"/>
        <v>59.09503796875</v>
      </c>
      <c r="AE104" s="81">
        <f t="shared" si="42"/>
        <v>70.90496203125</v>
      </c>
    </row>
    <row r="105" customFormat="1" spans="1:31">
      <c r="A105" s="19"/>
      <c r="B105" s="20"/>
      <c r="C105" s="21">
        <v>240102000052</v>
      </c>
      <c r="D105" s="22">
        <v>45296</v>
      </c>
      <c r="E105" s="22" t="s">
        <v>58</v>
      </c>
      <c r="F105" s="20">
        <v>13635229849</v>
      </c>
      <c r="G105" s="20" t="s">
        <v>157</v>
      </c>
      <c r="H105" s="20">
        <v>4</v>
      </c>
      <c r="I105" s="48"/>
      <c r="J105" s="55">
        <v>90817.6</v>
      </c>
      <c r="K105" s="56"/>
      <c r="L105" s="51">
        <f>SUM(J105/M105)</f>
        <v>1240</v>
      </c>
      <c r="M105" s="53">
        <v>73.24</v>
      </c>
      <c r="N105" s="20">
        <v>7.17</v>
      </c>
      <c r="O105" s="48">
        <f>SUM(M105*N105)</f>
        <v>525.1308</v>
      </c>
      <c r="P105" s="54"/>
      <c r="Q105" s="54"/>
      <c r="R105" s="81">
        <f t="shared" si="45"/>
        <v>275</v>
      </c>
      <c r="S105" s="81"/>
      <c r="T105" s="82">
        <f t="shared" si="46"/>
        <v>3.995</v>
      </c>
      <c r="U105" s="81"/>
      <c r="V105" s="81"/>
      <c r="W105" s="83">
        <f t="shared" si="44"/>
        <v>278.995</v>
      </c>
      <c r="X105" s="84">
        <f t="shared" si="47"/>
        <v>8.185625</v>
      </c>
      <c r="Y105" s="84"/>
      <c r="Z105" s="84"/>
      <c r="AA105" s="84">
        <f t="shared" si="39"/>
        <v>8.185625</v>
      </c>
      <c r="AB105" s="94">
        <v>7.17</v>
      </c>
      <c r="AC105" s="81">
        <f t="shared" si="40"/>
        <v>58.69093125</v>
      </c>
      <c r="AD105" s="81">
        <f t="shared" si="41"/>
        <v>337.68593125</v>
      </c>
      <c r="AE105" s="81">
        <f t="shared" si="42"/>
        <v>187.44486875</v>
      </c>
    </row>
    <row r="106" customFormat="1" spans="1:31">
      <c r="A106" s="19"/>
      <c r="B106" s="20"/>
      <c r="C106" s="21">
        <v>240103000001</v>
      </c>
      <c r="D106" s="22">
        <v>45296</v>
      </c>
      <c r="E106" s="22" t="s">
        <v>99</v>
      </c>
      <c r="F106" s="20" t="s">
        <v>149</v>
      </c>
      <c r="G106" s="20" t="s">
        <v>150</v>
      </c>
      <c r="H106" s="20">
        <v>1.5</v>
      </c>
      <c r="I106" s="43">
        <v>195</v>
      </c>
      <c r="J106" s="44"/>
      <c r="K106" s="45"/>
      <c r="L106" s="44"/>
      <c r="M106" s="46"/>
      <c r="N106" s="20"/>
      <c r="O106" s="48">
        <f t="shared" ref="O106:O113" si="49">SUM(I106)</f>
        <v>195</v>
      </c>
      <c r="P106" s="54"/>
      <c r="Q106" s="54"/>
      <c r="R106" s="81">
        <f t="shared" si="45"/>
        <v>103.125</v>
      </c>
      <c r="S106" s="81"/>
      <c r="T106" s="82">
        <f t="shared" si="46"/>
        <v>1.498125</v>
      </c>
      <c r="U106" s="81"/>
      <c r="V106" s="81"/>
      <c r="W106" s="83">
        <f t="shared" si="44"/>
        <v>104.623125</v>
      </c>
      <c r="X106" s="84">
        <f t="shared" si="47"/>
        <v>3.069609375</v>
      </c>
      <c r="Y106" s="84"/>
      <c r="Z106" s="84"/>
      <c r="AA106" s="84">
        <f t="shared" si="39"/>
        <v>3.069609375</v>
      </c>
      <c r="AB106" s="94">
        <v>7.17</v>
      </c>
      <c r="AC106" s="81">
        <f t="shared" si="40"/>
        <v>22.00909921875</v>
      </c>
      <c r="AD106" s="81">
        <f t="shared" si="41"/>
        <v>126.63222421875</v>
      </c>
      <c r="AE106" s="81">
        <f t="shared" si="42"/>
        <v>68.36777578125</v>
      </c>
    </row>
    <row r="107" customFormat="1" spans="1:31">
      <c r="A107" s="19"/>
      <c r="B107" s="20"/>
      <c r="C107" s="21">
        <v>240103000005</v>
      </c>
      <c r="D107" s="22">
        <v>45296</v>
      </c>
      <c r="E107" s="22" t="s">
        <v>49</v>
      </c>
      <c r="F107" s="20" t="s">
        <v>50</v>
      </c>
      <c r="G107" s="20" t="s">
        <v>158</v>
      </c>
      <c r="H107" s="20">
        <v>11.5</v>
      </c>
      <c r="I107" s="50"/>
      <c r="J107" s="51">
        <v>293480</v>
      </c>
      <c r="K107" s="52"/>
      <c r="L107" s="51">
        <f>SUM(J107/M107)</f>
        <v>1261.95390436877</v>
      </c>
      <c r="M107" s="53">
        <v>232.56</v>
      </c>
      <c r="N107" s="20">
        <v>7.17</v>
      </c>
      <c r="O107" s="48">
        <f>SUM(M107*N107)</f>
        <v>1667.4552</v>
      </c>
      <c r="P107" s="54"/>
      <c r="Q107" s="54"/>
      <c r="R107" s="81">
        <f t="shared" si="45"/>
        <v>790.625</v>
      </c>
      <c r="S107" s="81"/>
      <c r="T107" s="82">
        <f t="shared" si="46"/>
        <v>11.485625</v>
      </c>
      <c r="U107" s="81"/>
      <c r="V107" s="81"/>
      <c r="W107" s="83">
        <f t="shared" si="44"/>
        <v>802.110625</v>
      </c>
      <c r="X107" s="84">
        <f t="shared" si="47"/>
        <v>23.533671875</v>
      </c>
      <c r="Y107" s="84"/>
      <c r="Z107" s="84"/>
      <c r="AA107" s="84">
        <f t="shared" si="39"/>
        <v>23.533671875</v>
      </c>
      <c r="AB107" s="94">
        <v>7.17</v>
      </c>
      <c r="AC107" s="81">
        <f t="shared" si="40"/>
        <v>168.73642734375</v>
      </c>
      <c r="AD107" s="81">
        <f t="shared" si="41"/>
        <v>970.84705234375</v>
      </c>
      <c r="AE107" s="81">
        <f t="shared" si="42"/>
        <v>696.60814765625</v>
      </c>
    </row>
    <row r="108" customFormat="1" spans="1:31">
      <c r="A108" s="19"/>
      <c r="B108" s="20"/>
      <c r="C108" s="21">
        <v>240103000020</v>
      </c>
      <c r="D108" s="22">
        <v>45296</v>
      </c>
      <c r="E108" s="22" t="s">
        <v>37</v>
      </c>
      <c r="F108" s="20" t="s">
        <v>38</v>
      </c>
      <c r="G108" s="20" t="s">
        <v>159</v>
      </c>
      <c r="H108" s="20">
        <v>2</v>
      </c>
      <c r="I108" s="43">
        <v>187.5</v>
      </c>
      <c r="J108" s="44"/>
      <c r="K108" s="45"/>
      <c r="L108" s="44"/>
      <c r="M108" s="46"/>
      <c r="N108" s="20"/>
      <c r="O108" s="48">
        <f t="shared" si="49"/>
        <v>187.5</v>
      </c>
      <c r="P108" s="54"/>
      <c r="Q108" s="54"/>
      <c r="R108" s="81">
        <f t="shared" si="45"/>
        <v>137.5</v>
      </c>
      <c r="S108" s="81"/>
      <c r="T108" s="82">
        <f t="shared" si="46"/>
        <v>1.9975</v>
      </c>
      <c r="U108" s="81"/>
      <c r="V108" s="81"/>
      <c r="W108" s="83">
        <f t="shared" si="44"/>
        <v>139.4975</v>
      </c>
      <c r="X108" s="84">
        <f t="shared" si="47"/>
        <v>4.0928125</v>
      </c>
      <c r="Y108" s="84"/>
      <c r="Z108" s="84"/>
      <c r="AA108" s="84">
        <f t="shared" si="39"/>
        <v>4.0928125</v>
      </c>
      <c r="AB108" s="94">
        <v>7.17</v>
      </c>
      <c r="AC108" s="81">
        <f t="shared" si="40"/>
        <v>29.345465625</v>
      </c>
      <c r="AD108" s="81">
        <f t="shared" ref="AD108:AD155" si="50">SUM(W108+AC108)</f>
        <v>168.842965625</v>
      </c>
      <c r="AE108" s="81">
        <f t="shared" si="42"/>
        <v>18.657034375</v>
      </c>
    </row>
    <row r="109" customFormat="1" spans="1:31">
      <c r="A109" s="19"/>
      <c r="B109" s="20"/>
      <c r="C109" s="21">
        <v>240103000025</v>
      </c>
      <c r="D109" s="22">
        <v>45296</v>
      </c>
      <c r="E109" s="25" t="s">
        <v>69</v>
      </c>
      <c r="F109" s="20" t="s">
        <v>69</v>
      </c>
      <c r="G109" s="20" t="s">
        <v>160</v>
      </c>
      <c r="H109" s="20">
        <v>32</v>
      </c>
      <c r="I109" s="43">
        <v>5120</v>
      </c>
      <c r="J109" s="44"/>
      <c r="K109" s="45"/>
      <c r="L109" s="44"/>
      <c r="M109" s="46"/>
      <c r="N109" s="20"/>
      <c r="O109" s="48">
        <f t="shared" si="49"/>
        <v>5120</v>
      </c>
      <c r="P109" s="54"/>
      <c r="Q109" s="54"/>
      <c r="R109" s="81">
        <f t="shared" si="45"/>
        <v>2200</v>
      </c>
      <c r="S109" s="81"/>
      <c r="T109" s="82">
        <f t="shared" si="46"/>
        <v>31.96</v>
      </c>
      <c r="U109" s="81"/>
      <c r="V109" s="81"/>
      <c r="W109" s="83">
        <f t="shared" si="44"/>
        <v>2231.96</v>
      </c>
      <c r="X109" s="84">
        <f t="shared" si="47"/>
        <v>65.485</v>
      </c>
      <c r="Y109" s="84"/>
      <c r="Z109" s="84"/>
      <c r="AA109" s="84">
        <f t="shared" si="39"/>
        <v>65.485</v>
      </c>
      <c r="AB109" s="94">
        <v>7.17</v>
      </c>
      <c r="AC109" s="81">
        <f t="shared" si="40"/>
        <v>469.52745</v>
      </c>
      <c r="AD109" s="81">
        <f t="shared" si="50"/>
        <v>2701.48745</v>
      </c>
      <c r="AE109" s="81">
        <f t="shared" ref="AE109:AE155" si="51">SUM(O109-AD109)</f>
        <v>2418.51255</v>
      </c>
    </row>
    <row r="110" customFormat="1" spans="1:31">
      <c r="A110" s="19"/>
      <c r="B110" s="20"/>
      <c r="C110" s="21">
        <v>240103000037</v>
      </c>
      <c r="D110" s="22">
        <v>45296</v>
      </c>
      <c r="E110" s="22" t="s">
        <v>49</v>
      </c>
      <c r="F110" s="20" t="s">
        <v>50</v>
      </c>
      <c r="G110" s="20" t="s">
        <v>161</v>
      </c>
      <c r="H110" s="20">
        <v>6.5</v>
      </c>
      <c r="I110" s="43">
        <v>1700</v>
      </c>
      <c r="J110" s="44"/>
      <c r="K110" s="45"/>
      <c r="L110" s="44"/>
      <c r="M110" s="46"/>
      <c r="N110" s="20"/>
      <c r="O110" s="48">
        <f t="shared" si="49"/>
        <v>1700</v>
      </c>
      <c r="P110" s="60"/>
      <c r="Q110" s="60"/>
      <c r="R110" s="81">
        <f t="shared" si="45"/>
        <v>446.875</v>
      </c>
      <c r="S110" s="81"/>
      <c r="T110" s="82">
        <f t="shared" si="46"/>
        <v>6.491875</v>
      </c>
      <c r="U110" s="81"/>
      <c r="V110" s="81"/>
      <c r="W110" s="83">
        <f t="shared" ref="W110:W155" si="52">SUM(R110:V110)</f>
        <v>453.366875</v>
      </c>
      <c r="X110" s="84">
        <f t="shared" si="47"/>
        <v>13.301640625</v>
      </c>
      <c r="Y110" s="84"/>
      <c r="Z110" s="84"/>
      <c r="AA110" s="84">
        <f t="shared" si="39"/>
        <v>13.301640625</v>
      </c>
      <c r="AB110" s="94">
        <v>7.17</v>
      </c>
      <c r="AC110" s="81">
        <f t="shared" ref="AC110:AC155" si="53">SUM(AA110*AB110)</f>
        <v>95.37276328125</v>
      </c>
      <c r="AD110" s="81">
        <f t="shared" si="50"/>
        <v>548.73963828125</v>
      </c>
      <c r="AE110" s="81">
        <f t="shared" si="51"/>
        <v>1151.26036171875</v>
      </c>
    </row>
    <row r="111" customFormat="1" spans="1:31">
      <c r="A111" s="19" t="s">
        <v>162</v>
      </c>
      <c r="B111" s="20" t="s">
        <v>163</v>
      </c>
      <c r="C111" s="21">
        <v>231225000032</v>
      </c>
      <c r="D111" s="22">
        <v>45296</v>
      </c>
      <c r="E111" s="22" t="s">
        <v>41</v>
      </c>
      <c r="F111" s="20" t="s">
        <v>42</v>
      </c>
      <c r="G111" s="20" t="s">
        <v>164</v>
      </c>
      <c r="H111" s="20">
        <v>8</v>
      </c>
      <c r="I111" s="43">
        <v>590</v>
      </c>
      <c r="J111" s="44"/>
      <c r="K111" s="45"/>
      <c r="L111" s="44"/>
      <c r="M111" s="46"/>
      <c r="N111" s="20"/>
      <c r="O111" s="48">
        <f t="shared" si="49"/>
        <v>590</v>
      </c>
      <c r="P111" s="49">
        <f>SUM(O111:O155)</f>
        <v>234359.8597</v>
      </c>
      <c r="Q111" s="80" t="s">
        <v>165</v>
      </c>
      <c r="R111" s="81">
        <f>SUM(164411.5/3749)*H111</f>
        <v>350.838090157375</v>
      </c>
      <c r="S111" s="81"/>
      <c r="T111" s="82">
        <f>SUM(250/3749)*H111</f>
        <v>0.533475593491598</v>
      </c>
      <c r="U111" s="81"/>
      <c r="V111" s="81"/>
      <c r="W111" s="83">
        <f t="shared" si="52"/>
        <v>351.371565750867</v>
      </c>
      <c r="X111" s="84">
        <f>SUM(2863.85/3749)*H111</f>
        <v>6.11117631368365</v>
      </c>
      <c r="Y111" s="84"/>
      <c r="Z111" s="84"/>
      <c r="AA111" s="84">
        <f t="shared" ref="AA111:AA155" si="54">SUM(X111:Z111)</f>
        <v>6.11117631368365</v>
      </c>
      <c r="AB111" s="94">
        <v>7.17</v>
      </c>
      <c r="AC111" s="81">
        <f t="shared" si="53"/>
        <v>43.8171341691118</v>
      </c>
      <c r="AD111" s="81">
        <f t="shared" si="50"/>
        <v>395.188699919979</v>
      </c>
      <c r="AE111" s="81">
        <f t="shared" si="51"/>
        <v>194.811300080021</v>
      </c>
    </row>
    <row r="112" customFormat="1" spans="1:31">
      <c r="A112" s="19"/>
      <c r="B112" s="20"/>
      <c r="C112" s="21">
        <v>231226000008</v>
      </c>
      <c r="D112" s="22">
        <v>45296</v>
      </c>
      <c r="E112" s="22" t="s">
        <v>41</v>
      </c>
      <c r="F112" s="20" t="s">
        <v>42</v>
      </c>
      <c r="G112" s="20" t="s">
        <v>114</v>
      </c>
      <c r="H112" s="20">
        <v>11.5</v>
      </c>
      <c r="I112" s="43">
        <v>806.4</v>
      </c>
      <c r="J112" s="44"/>
      <c r="K112" s="45"/>
      <c r="L112" s="44"/>
      <c r="M112" s="46"/>
      <c r="N112" s="20"/>
      <c r="O112" s="48">
        <f t="shared" si="49"/>
        <v>806.4</v>
      </c>
      <c r="P112" s="54"/>
      <c r="Q112" s="54"/>
      <c r="R112" s="81">
        <f t="shared" ref="R112:R155" si="55">SUM(164411.5/3749)*H112</f>
        <v>504.329754601227</v>
      </c>
      <c r="S112" s="81"/>
      <c r="T112" s="82">
        <f t="shared" ref="T112:T155" si="56">SUM(250/3749)*H112</f>
        <v>0.766871165644172</v>
      </c>
      <c r="U112" s="81"/>
      <c r="V112" s="81"/>
      <c r="W112" s="83">
        <f t="shared" si="52"/>
        <v>505.096625766871</v>
      </c>
      <c r="X112" s="84">
        <f t="shared" ref="X112:X155" si="57">SUM(2863.85/3749)*H112</f>
        <v>8.78481595092025</v>
      </c>
      <c r="Y112" s="84"/>
      <c r="Z112" s="84"/>
      <c r="AA112" s="84">
        <f t="shared" si="54"/>
        <v>8.78481595092025</v>
      </c>
      <c r="AB112" s="94">
        <v>7.17</v>
      </c>
      <c r="AC112" s="81">
        <f t="shared" si="53"/>
        <v>62.9871303680982</v>
      </c>
      <c r="AD112" s="81">
        <f t="shared" si="50"/>
        <v>568.083756134969</v>
      </c>
      <c r="AE112" s="81">
        <f t="shared" si="51"/>
        <v>238.316243865031</v>
      </c>
    </row>
    <row r="113" customFormat="1" spans="1:31">
      <c r="A113" s="19"/>
      <c r="B113" s="20"/>
      <c r="C113" s="21">
        <v>231226000009</v>
      </c>
      <c r="D113" s="22">
        <v>45296</v>
      </c>
      <c r="E113" s="22" t="s">
        <v>41</v>
      </c>
      <c r="F113" s="20" t="s">
        <v>42</v>
      </c>
      <c r="G113" s="20" t="s">
        <v>96</v>
      </c>
      <c r="H113" s="20">
        <v>12.5</v>
      </c>
      <c r="I113" s="43">
        <v>787.2</v>
      </c>
      <c r="J113" s="44"/>
      <c r="K113" s="45"/>
      <c r="L113" s="44"/>
      <c r="M113" s="46"/>
      <c r="N113" s="20"/>
      <c r="O113" s="48">
        <f t="shared" si="49"/>
        <v>787.2</v>
      </c>
      <c r="P113" s="54"/>
      <c r="Q113" s="54"/>
      <c r="R113" s="81">
        <f t="shared" si="55"/>
        <v>548.184515870899</v>
      </c>
      <c r="S113" s="81"/>
      <c r="T113" s="82">
        <f t="shared" si="56"/>
        <v>0.833555614830622</v>
      </c>
      <c r="U113" s="81"/>
      <c r="V113" s="81"/>
      <c r="W113" s="83">
        <f t="shared" si="52"/>
        <v>549.018071485729</v>
      </c>
      <c r="X113" s="84">
        <f t="shared" si="57"/>
        <v>9.5487129901307</v>
      </c>
      <c r="Y113" s="84"/>
      <c r="Z113" s="84"/>
      <c r="AA113" s="84">
        <f t="shared" si="54"/>
        <v>9.5487129901307</v>
      </c>
      <c r="AB113" s="94">
        <v>7.17</v>
      </c>
      <c r="AC113" s="81">
        <f t="shared" si="53"/>
        <v>68.4642721392371</v>
      </c>
      <c r="AD113" s="81">
        <f t="shared" si="50"/>
        <v>617.482343624967</v>
      </c>
      <c r="AE113" s="81">
        <f t="shared" si="51"/>
        <v>169.717656375033</v>
      </c>
    </row>
    <row r="114" customFormat="1" spans="1:31">
      <c r="A114" s="19"/>
      <c r="B114" s="20"/>
      <c r="C114" s="21">
        <v>231226000022</v>
      </c>
      <c r="D114" s="22">
        <v>45296</v>
      </c>
      <c r="E114" s="22" t="s">
        <v>44</v>
      </c>
      <c r="F114" s="20" t="s">
        <v>45</v>
      </c>
      <c r="G114" s="20" t="s">
        <v>166</v>
      </c>
      <c r="H114" s="20">
        <v>29</v>
      </c>
      <c r="I114" s="48"/>
      <c r="J114" s="55">
        <v>431520</v>
      </c>
      <c r="K114" s="56"/>
      <c r="L114" s="51">
        <f>SUM(J114/M114)</f>
        <v>1628.37735849057</v>
      </c>
      <c r="M114" s="53">
        <v>265</v>
      </c>
      <c r="N114" s="20">
        <v>7.17</v>
      </c>
      <c r="O114" s="48">
        <f>SUM(M114*N114)</f>
        <v>1900.05</v>
      </c>
      <c r="P114" s="54"/>
      <c r="Q114" s="54"/>
      <c r="R114" s="81">
        <f t="shared" si="55"/>
        <v>1271.78807682049</v>
      </c>
      <c r="S114" s="81"/>
      <c r="T114" s="82">
        <f t="shared" si="56"/>
        <v>1.93384902640704</v>
      </c>
      <c r="U114" s="81"/>
      <c r="V114" s="81"/>
      <c r="W114" s="83">
        <f t="shared" si="52"/>
        <v>1273.72192584689</v>
      </c>
      <c r="X114" s="84">
        <f t="shared" si="57"/>
        <v>22.1530141371032</v>
      </c>
      <c r="Y114" s="84"/>
      <c r="Z114" s="84"/>
      <c r="AA114" s="84">
        <f t="shared" si="54"/>
        <v>22.1530141371032</v>
      </c>
      <c r="AB114" s="94">
        <v>7.17</v>
      </c>
      <c r="AC114" s="81">
        <f t="shared" si="53"/>
        <v>158.83711136303</v>
      </c>
      <c r="AD114" s="81">
        <f t="shared" si="50"/>
        <v>1432.55903720992</v>
      </c>
      <c r="AE114" s="81">
        <f t="shared" si="51"/>
        <v>467.49096279008</v>
      </c>
    </row>
    <row r="115" customFormat="1" spans="1:31">
      <c r="A115" s="19"/>
      <c r="B115" s="20"/>
      <c r="C115" s="21">
        <v>231226000028</v>
      </c>
      <c r="D115" s="22">
        <v>45296</v>
      </c>
      <c r="E115" s="22" t="s">
        <v>49</v>
      </c>
      <c r="F115" s="20" t="s">
        <v>50</v>
      </c>
      <c r="G115" s="20" t="s">
        <v>79</v>
      </c>
      <c r="H115" s="20">
        <v>1</v>
      </c>
      <c r="I115" s="43">
        <v>68</v>
      </c>
      <c r="J115" s="44"/>
      <c r="K115" s="45"/>
      <c r="L115" s="44"/>
      <c r="M115" s="46"/>
      <c r="N115" s="20"/>
      <c r="O115" s="48">
        <f t="shared" ref="O115:O125" si="58">SUM(I115)</f>
        <v>68</v>
      </c>
      <c r="P115" s="54"/>
      <c r="Q115" s="54"/>
      <c r="R115" s="81">
        <f t="shared" si="55"/>
        <v>43.8547612696719</v>
      </c>
      <c r="S115" s="81"/>
      <c r="T115" s="82">
        <f t="shared" si="56"/>
        <v>0.0666844491864497</v>
      </c>
      <c r="U115" s="81"/>
      <c r="V115" s="81"/>
      <c r="W115" s="83">
        <f t="shared" si="52"/>
        <v>43.9214457188584</v>
      </c>
      <c r="X115" s="84">
        <f t="shared" si="57"/>
        <v>0.763897039210456</v>
      </c>
      <c r="Y115" s="84"/>
      <c r="Z115" s="84"/>
      <c r="AA115" s="84">
        <f t="shared" si="54"/>
        <v>0.763897039210456</v>
      </c>
      <c r="AB115" s="94">
        <v>7.17</v>
      </c>
      <c r="AC115" s="81">
        <f t="shared" si="53"/>
        <v>5.47714177113897</v>
      </c>
      <c r="AD115" s="81">
        <f t="shared" si="50"/>
        <v>49.3985874899973</v>
      </c>
      <c r="AE115" s="81">
        <f t="shared" si="51"/>
        <v>18.6014125100027</v>
      </c>
    </row>
    <row r="116" customFormat="1" spans="1:31">
      <c r="A116" s="19"/>
      <c r="B116" s="20"/>
      <c r="C116" s="21">
        <v>231227000003</v>
      </c>
      <c r="D116" s="22">
        <v>45296</v>
      </c>
      <c r="E116" s="22" t="s">
        <v>44</v>
      </c>
      <c r="F116" s="20" t="s">
        <v>45</v>
      </c>
      <c r="G116" s="20" t="s">
        <v>98</v>
      </c>
      <c r="H116" s="20">
        <v>6.5</v>
      </c>
      <c r="I116" s="43">
        <v>459</v>
      </c>
      <c r="J116" s="44"/>
      <c r="K116" s="45"/>
      <c r="L116" s="44"/>
      <c r="M116" s="46"/>
      <c r="N116" s="20"/>
      <c r="O116" s="48">
        <f t="shared" si="58"/>
        <v>459</v>
      </c>
      <c r="P116" s="54"/>
      <c r="Q116" s="54"/>
      <c r="R116" s="81">
        <f t="shared" si="55"/>
        <v>285.055948252867</v>
      </c>
      <c r="S116" s="81"/>
      <c r="T116" s="82">
        <f t="shared" si="56"/>
        <v>0.433448919711923</v>
      </c>
      <c r="U116" s="81"/>
      <c r="V116" s="81"/>
      <c r="W116" s="83">
        <f t="shared" si="52"/>
        <v>285.489397172579</v>
      </c>
      <c r="X116" s="84">
        <f t="shared" si="57"/>
        <v>4.96533075486797</v>
      </c>
      <c r="Y116" s="84"/>
      <c r="Z116" s="84"/>
      <c r="AA116" s="84">
        <f t="shared" si="54"/>
        <v>4.96533075486797</v>
      </c>
      <c r="AB116" s="94">
        <v>7.17</v>
      </c>
      <c r="AC116" s="81">
        <f t="shared" si="53"/>
        <v>35.6014215124033</v>
      </c>
      <c r="AD116" s="81">
        <f t="shared" si="50"/>
        <v>321.090818684983</v>
      </c>
      <c r="AE116" s="81">
        <f t="shared" si="51"/>
        <v>137.909181315017</v>
      </c>
    </row>
    <row r="117" customFormat="1" spans="1:31">
      <c r="A117" s="19"/>
      <c r="B117" s="20"/>
      <c r="C117" s="21">
        <v>231227000010</v>
      </c>
      <c r="D117" s="22">
        <v>45296</v>
      </c>
      <c r="E117" s="22" t="s">
        <v>49</v>
      </c>
      <c r="F117" s="20" t="s">
        <v>50</v>
      </c>
      <c r="G117" s="20" t="s">
        <v>167</v>
      </c>
      <c r="H117" s="20">
        <v>3</v>
      </c>
      <c r="I117" s="48"/>
      <c r="J117" s="55">
        <v>35194</v>
      </c>
      <c r="K117" s="56"/>
      <c r="L117" s="51">
        <f>SUM(J117/M117)</f>
        <v>1248.01418439716</v>
      </c>
      <c r="M117" s="53">
        <v>28.2</v>
      </c>
      <c r="N117" s="20">
        <v>7.17</v>
      </c>
      <c r="O117" s="48">
        <f>SUM(M117*N117)</f>
        <v>202.194</v>
      </c>
      <c r="P117" s="54"/>
      <c r="Q117" s="54"/>
      <c r="R117" s="81">
        <f t="shared" si="55"/>
        <v>131.564283809016</v>
      </c>
      <c r="S117" s="81"/>
      <c r="T117" s="82">
        <f t="shared" si="56"/>
        <v>0.200053347559349</v>
      </c>
      <c r="U117" s="81"/>
      <c r="V117" s="81"/>
      <c r="W117" s="83">
        <f t="shared" si="52"/>
        <v>131.764337156575</v>
      </c>
      <c r="X117" s="84">
        <f t="shared" si="57"/>
        <v>2.29169111763137</v>
      </c>
      <c r="Y117" s="84"/>
      <c r="Z117" s="84"/>
      <c r="AA117" s="84">
        <f t="shared" si="54"/>
        <v>2.29169111763137</v>
      </c>
      <c r="AB117" s="94">
        <v>7.17</v>
      </c>
      <c r="AC117" s="81">
        <f t="shared" si="53"/>
        <v>16.4314253134169</v>
      </c>
      <c r="AD117" s="81">
        <f t="shared" si="50"/>
        <v>148.195762469992</v>
      </c>
      <c r="AE117" s="81">
        <f t="shared" si="51"/>
        <v>53.998237530008</v>
      </c>
    </row>
    <row r="118" customFormat="1" spans="1:31">
      <c r="A118" s="19"/>
      <c r="B118" s="20"/>
      <c r="C118" s="21">
        <v>231227000013</v>
      </c>
      <c r="D118" s="22">
        <v>45296</v>
      </c>
      <c r="E118" s="25" t="s">
        <v>69</v>
      </c>
      <c r="F118" s="20" t="s">
        <v>69</v>
      </c>
      <c r="G118" s="20" t="s">
        <v>92</v>
      </c>
      <c r="H118" s="20">
        <v>3.5</v>
      </c>
      <c r="I118" s="50">
        <v>227.5</v>
      </c>
      <c r="J118" s="59"/>
      <c r="K118" s="52"/>
      <c r="L118" s="59"/>
      <c r="M118" s="46"/>
      <c r="N118" s="20"/>
      <c r="O118" s="48">
        <f t="shared" si="58"/>
        <v>227.5</v>
      </c>
      <c r="P118" s="54"/>
      <c r="Q118" s="54"/>
      <c r="R118" s="81">
        <f t="shared" si="55"/>
        <v>153.491664443852</v>
      </c>
      <c r="S118" s="81"/>
      <c r="T118" s="82">
        <f t="shared" si="56"/>
        <v>0.233395572152574</v>
      </c>
      <c r="U118" s="81"/>
      <c r="V118" s="81"/>
      <c r="W118" s="83">
        <f t="shared" si="52"/>
        <v>153.725060016004</v>
      </c>
      <c r="X118" s="84">
        <f t="shared" si="57"/>
        <v>2.6736396372366</v>
      </c>
      <c r="Y118" s="84"/>
      <c r="Z118" s="84"/>
      <c r="AA118" s="84">
        <f t="shared" si="54"/>
        <v>2.6736396372366</v>
      </c>
      <c r="AB118" s="94">
        <v>7.17</v>
      </c>
      <c r="AC118" s="81">
        <f t="shared" si="53"/>
        <v>19.1699961989864</v>
      </c>
      <c r="AD118" s="81">
        <f t="shared" si="50"/>
        <v>172.895056214991</v>
      </c>
      <c r="AE118" s="81">
        <f t="shared" si="51"/>
        <v>54.604943785009</v>
      </c>
    </row>
    <row r="119" customFormat="1" spans="1:31">
      <c r="A119" s="19"/>
      <c r="B119" s="20"/>
      <c r="C119" s="21">
        <v>231227000029</v>
      </c>
      <c r="D119" s="22">
        <v>45296</v>
      </c>
      <c r="E119" s="25" t="s">
        <v>69</v>
      </c>
      <c r="F119" s="20" t="s">
        <v>69</v>
      </c>
      <c r="G119" s="20" t="s">
        <v>168</v>
      </c>
      <c r="H119" s="20">
        <v>1.5</v>
      </c>
      <c r="I119" s="43">
        <v>132</v>
      </c>
      <c r="J119" s="44"/>
      <c r="K119" s="45"/>
      <c r="L119" s="44"/>
      <c r="M119" s="46"/>
      <c r="N119" s="20"/>
      <c r="O119" s="48">
        <f t="shared" si="58"/>
        <v>132</v>
      </c>
      <c r="P119" s="54"/>
      <c r="Q119" s="54"/>
      <c r="R119" s="81">
        <f t="shared" si="55"/>
        <v>65.7821419045079</v>
      </c>
      <c r="S119" s="81"/>
      <c r="T119" s="82">
        <f t="shared" si="56"/>
        <v>0.100026673779675</v>
      </c>
      <c r="U119" s="81"/>
      <c r="V119" s="81"/>
      <c r="W119" s="83">
        <f t="shared" si="52"/>
        <v>65.8821685782875</v>
      </c>
      <c r="X119" s="84">
        <f t="shared" si="57"/>
        <v>1.14584555881568</v>
      </c>
      <c r="Y119" s="84"/>
      <c r="Z119" s="84"/>
      <c r="AA119" s="84">
        <f t="shared" si="54"/>
        <v>1.14584555881568</v>
      </c>
      <c r="AB119" s="94">
        <v>7.17</v>
      </c>
      <c r="AC119" s="81">
        <f t="shared" si="53"/>
        <v>8.21571265670845</v>
      </c>
      <c r="AD119" s="81">
        <f t="shared" si="50"/>
        <v>74.097881234996</v>
      </c>
      <c r="AE119" s="81">
        <f t="shared" si="51"/>
        <v>57.902118765004</v>
      </c>
    </row>
    <row r="120" customFormat="1" spans="1:31">
      <c r="A120" s="19"/>
      <c r="B120" s="20"/>
      <c r="C120" s="21">
        <v>231228000014</v>
      </c>
      <c r="D120" s="22">
        <v>45296</v>
      </c>
      <c r="E120" s="22" t="s">
        <v>41</v>
      </c>
      <c r="F120" s="20" t="s">
        <v>42</v>
      </c>
      <c r="G120" s="20" t="s">
        <v>169</v>
      </c>
      <c r="H120" s="20">
        <v>56</v>
      </c>
      <c r="I120" s="43">
        <v>3192</v>
      </c>
      <c r="J120" s="44"/>
      <c r="K120" s="45"/>
      <c r="L120" s="44"/>
      <c r="M120" s="46"/>
      <c r="N120" s="20"/>
      <c r="O120" s="48">
        <f t="shared" si="58"/>
        <v>3192</v>
      </c>
      <c r="P120" s="54"/>
      <c r="Q120" s="54"/>
      <c r="R120" s="81">
        <f t="shared" si="55"/>
        <v>2455.86663110163</v>
      </c>
      <c r="S120" s="81"/>
      <c r="T120" s="82">
        <f t="shared" si="56"/>
        <v>3.73432915444118</v>
      </c>
      <c r="U120" s="81"/>
      <c r="V120" s="81"/>
      <c r="W120" s="83">
        <f t="shared" si="52"/>
        <v>2459.60096025607</v>
      </c>
      <c r="X120" s="84">
        <f t="shared" si="57"/>
        <v>42.7782341957855</v>
      </c>
      <c r="Y120" s="84"/>
      <c r="Z120" s="84"/>
      <c r="AA120" s="84">
        <f t="shared" si="54"/>
        <v>42.7782341957855</v>
      </c>
      <c r="AB120" s="94">
        <v>7.17</v>
      </c>
      <c r="AC120" s="81">
        <f t="shared" si="53"/>
        <v>306.719939183782</v>
      </c>
      <c r="AD120" s="81">
        <f t="shared" si="50"/>
        <v>2766.32089943985</v>
      </c>
      <c r="AE120" s="81">
        <f t="shared" si="51"/>
        <v>425.67910056015</v>
      </c>
    </row>
    <row r="121" customFormat="1" spans="1:31">
      <c r="A121" s="19"/>
      <c r="B121" s="20"/>
      <c r="C121" s="21">
        <v>231228000020</v>
      </c>
      <c r="D121" s="22">
        <v>45296</v>
      </c>
      <c r="E121" s="22" t="s">
        <v>49</v>
      </c>
      <c r="F121" s="20" t="s">
        <v>50</v>
      </c>
      <c r="G121" s="20" t="s">
        <v>170</v>
      </c>
      <c r="H121" s="20">
        <v>13</v>
      </c>
      <c r="I121" s="43">
        <v>917.6</v>
      </c>
      <c r="J121" s="44"/>
      <c r="K121" s="45"/>
      <c r="L121" s="44"/>
      <c r="M121" s="46"/>
      <c r="N121" s="20"/>
      <c r="O121" s="48">
        <f t="shared" si="58"/>
        <v>917.6</v>
      </c>
      <c r="P121" s="54"/>
      <c r="Q121" s="54"/>
      <c r="R121" s="81">
        <f t="shared" si="55"/>
        <v>570.111896505735</v>
      </c>
      <c r="S121" s="81"/>
      <c r="T121" s="82">
        <f t="shared" si="56"/>
        <v>0.866897839423846</v>
      </c>
      <c r="U121" s="81">
        <v>30</v>
      </c>
      <c r="V121" s="81"/>
      <c r="W121" s="83">
        <f t="shared" si="52"/>
        <v>600.978794345159</v>
      </c>
      <c r="X121" s="84">
        <f t="shared" si="57"/>
        <v>9.93066150973593</v>
      </c>
      <c r="Y121" s="84"/>
      <c r="Z121" s="84"/>
      <c r="AA121" s="84">
        <f t="shared" si="54"/>
        <v>9.93066150973593</v>
      </c>
      <c r="AB121" s="94">
        <v>7.17</v>
      </c>
      <c r="AC121" s="81">
        <f t="shared" si="53"/>
        <v>71.2028430248066</v>
      </c>
      <c r="AD121" s="81">
        <f t="shared" si="50"/>
        <v>672.181637369965</v>
      </c>
      <c r="AE121" s="81">
        <f t="shared" si="51"/>
        <v>245.418362630035</v>
      </c>
    </row>
    <row r="122" customFormat="1" spans="1:31">
      <c r="A122" s="19"/>
      <c r="B122" s="20"/>
      <c r="C122" s="21">
        <v>231229000002</v>
      </c>
      <c r="D122" s="22">
        <v>45296</v>
      </c>
      <c r="E122" s="22" t="s">
        <v>44</v>
      </c>
      <c r="F122" s="20" t="s">
        <v>45</v>
      </c>
      <c r="G122" s="20" t="s">
        <v>91</v>
      </c>
      <c r="H122" s="20">
        <v>0.9</v>
      </c>
      <c r="I122" s="43">
        <v>70</v>
      </c>
      <c r="J122" s="44"/>
      <c r="K122" s="45"/>
      <c r="L122" s="44"/>
      <c r="M122" s="46"/>
      <c r="N122" s="20"/>
      <c r="O122" s="48">
        <f t="shared" si="58"/>
        <v>70</v>
      </c>
      <c r="P122" s="54"/>
      <c r="Q122" s="54"/>
      <c r="R122" s="81">
        <f t="shared" si="55"/>
        <v>39.4692851427047</v>
      </c>
      <c r="S122" s="81"/>
      <c r="T122" s="82">
        <f t="shared" si="56"/>
        <v>0.0600160042678048</v>
      </c>
      <c r="U122" s="81"/>
      <c r="V122" s="81"/>
      <c r="W122" s="83">
        <f t="shared" si="52"/>
        <v>39.5293011469725</v>
      </c>
      <c r="X122" s="84">
        <f t="shared" si="57"/>
        <v>0.687507335289411</v>
      </c>
      <c r="Y122" s="84"/>
      <c r="Z122" s="84"/>
      <c r="AA122" s="84">
        <f t="shared" si="54"/>
        <v>0.687507335289411</v>
      </c>
      <c r="AB122" s="94">
        <v>7.17</v>
      </c>
      <c r="AC122" s="81">
        <f t="shared" si="53"/>
        <v>4.92942759402507</v>
      </c>
      <c r="AD122" s="81">
        <f t="shared" si="50"/>
        <v>44.4587287409976</v>
      </c>
      <c r="AE122" s="81">
        <f t="shared" si="51"/>
        <v>25.5412712590024</v>
      </c>
    </row>
    <row r="123" customFormat="1" spans="1:31">
      <c r="A123" s="19"/>
      <c r="B123" s="20"/>
      <c r="C123" s="21">
        <v>231229000015</v>
      </c>
      <c r="D123" s="22">
        <v>45296</v>
      </c>
      <c r="E123" s="22" t="s">
        <v>41</v>
      </c>
      <c r="F123" s="20" t="s">
        <v>42</v>
      </c>
      <c r="G123" s="20" t="s">
        <v>171</v>
      </c>
      <c r="H123" s="20">
        <v>0.957</v>
      </c>
      <c r="I123" s="43">
        <v>100</v>
      </c>
      <c r="J123" s="44"/>
      <c r="K123" s="45"/>
      <c r="L123" s="44"/>
      <c r="M123" s="46"/>
      <c r="N123" s="20"/>
      <c r="O123" s="48">
        <f t="shared" si="58"/>
        <v>100</v>
      </c>
      <c r="P123" s="54"/>
      <c r="Q123" s="54"/>
      <c r="R123" s="81">
        <f t="shared" si="55"/>
        <v>41.969006535076</v>
      </c>
      <c r="S123" s="81"/>
      <c r="T123" s="82">
        <f t="shared" si="56"/>
        <v>0.0638170178714324</v>
      </c>
      <c r="U123" s="81"/>
      <c r="V123" s="82">
        <v>12</v>
      </c>
      <c r="W123" s="83">
        <f t="shared" si="52"/>
        <v>54.0328235529474</v>
      </c>
      <c r="X123" s="84">
        <f t="shared" si="57"/>
        <v>0.731049466524406</v>
      </c>
      <c r="Y123" s="84"/>
      <c r="Z123" s="84"/>
      <c r="AA123" s="84">
        <f t="shared" si="54"/>
        <v>0.731049466524406</v>
      </c>
      <c r="AB123" s="94">
        <v>7.17</v>
      </c>
      <c r="AC123" s="81">
        <f t="shared" si="53"/>
        <v>5.24162467497999</v>
      </c>
      <c r="AD123" s="81">
        <f t="shared" si="50"/>
        <v>59.2744482279274</v>
      </c>
      <c r="AE123" s="81">
        <f t="shared" si="51"/>
        <v>40.7255517720726</v>
      </c>
    </row>
    <row r="124" customFormat="1" spans="1:31">
      <c r="A124" s="19"/>
      <c r="B124" s="20"/>
      <c r="C124" s="21">
        <v>231229000018</v>
      </c>
      <c r="D124" s="22">
        <v>45296</v>
      </c>
      <c r="E124" s="22" t="s">
        <v>37</v>
      </c>
      <c r="F124" s="20" t="s">
        <v>38</v>
      </c>
      <c r="G124" s="20" t="s">
        <v>137</v>
      </c>
      <c r="H124" s="20">
        <v>80</v>
      </c>
      <c r="I124" s="43">
        <v>4809.6</v>
      </c>
      <c r="J124" s="44"/>
      <c r="K124" s="45"/>
      <c r="L124" s="44"/>
      <c r="M124" s="46"/>
      <c r="N124" s="20"/>
      <c r="O124" s="48">
        <f t="shared" si="58"/>
        <v>4809.6</v>
      </c>
      <c r="P124" s="54"/>
      <c r="Q124" s="54"/>
      <c r="R124" s="81">
        <f t="shared" si="55"/>
        <v>3508.38090157375</v>
      </c>
      <c r="S124" s="81"/>
      <c r="T124" s="82">
        <f t="shared" si="56"/>
        <v>5.33475593491598</v>
      </c>
      <c r="U124" s="81"/>
      <c r="V124" s="81"/>
      <c r="W124" s="83">
        <f t="shared" si="52"/>
        <v>3513.71565750867</v>
      </c>
      <c r="X124" s="84">
        <f t="shared" si="57"/>
        <v>61.1117631368365</v>
      </c>
      <c r="Y124" s="84"/>
      <c r="Z124" s="84"/>
      <c r="AA124" s="84">
        <f t="shared" si="54"/>
        <v>61.1117631368365</v>
      </c>
      <c r="AB124" s="94">
        <v>7.17</v>
      </c>
      <c r="AC124" s="81">
        <f t="shared" si="53"/>
        <v>438.171341691118</v>
      </c>
      <c r="AD124" s="81">
        <f t="shared" si="50"/>
        <v>3951.88699919979</v>
      </c>
      <c r="AE124" s="81">
        <f t="shared" si="51"/>
        <v>857.71300080021</v>
      </c>
    </row>
    <row r="125" customFormat="1" spans="1:31">
      <c r="A125" s="19"/>
      <c r="B125" s="20"/>
      <c r="C125" s="21">
        <v>231229000019</v>
      </c>
      <c r="D125" s="22">
        <v>45296</v>
      </c>
      <c r="E125" s="22" t="s">
        <v>37</v>
      </c>
      <c r="F125" s="20" t="s">
        <v>38</v>
      </c>
      <c r="G125" s="20" t="s">
        <v>172</v>
      </c>
      <c r="H125" s="20">
        <v>12</v>
      </c>
      <c r="I125" s="43">
        <v>841.2</v>
      </c>
      <c r="J125" s="44"/>
      <c r="K125" s="45"/>
      <c r="L125" s="44"/>
      <c r="M125" s="46"/>
      <c r="N125" s="20"/>
      <c r="O125" s="48">
        <f t="shared" si="58"/>
        <v>841.2</v>
      </c>
      <c r="P125" s="54"/>
      <c r="Q125" s="54"/>
      <c r="R125" s="81">
        <f t="shared" si="55"/>
        <v>526.257135236063</v>
      </c>
      <c r="S125" s="81"/>
      <c r="T125" s="82">
        <f t="shared" si="56"/>
        <v>0.800213390237397</v>
      </c>
      <c r="U125" s="81"/>
      <c r="V125" s="81"/>
      <c r="W125" s="83">
        <f t="shared" si="52"/>
        <v>527.0573486263</v>
      </c>
      <c r="X125" s="84">
        <f t="shared" si="57"/>
        <v>9.16676447052547</v>
      </c>
      <c r="Y125" s="84"/>
      <c r="Z125" s="84"/>
      <c r="AA125" s="84">
        <f t="shared" si="54"/>
        <v>9.16676447052547</v>
      </c>
      <c r="AB125" s="94">
        <v>7.17</v>
      </c>
      <c r="AC125" s="81">
        <f t="shared" si="53"/>
        <v>65.7257012536676</v>
      </c>
      <c r="AD125" s="81">
        <f t="shared" si="50"/>
        <v>592.783049879968</v>
      </c>
      <c r="AE125" s="81">
        <f t="shared" si="51"/>
        <v>248.416950120032</v>
      </c>
    </row>
    <row r="126" customFormat="1" spans="1:31">
      <c r="A126" s="19"/>
      <c r="B126" s="20"/>
      <c r="C126" s="21">
        <v>231229000021</v>
      </c>
      <c r="D126" s="22">
        <v>45296</v>
      </c>
      <c r="E126" s="22" t="s">
        <v>37</v>
      </c>
      <c r="F126" s="20" t="s">
        <v>38</v>
      </c>
      <c r="G126" s="20" t="s">
        <v>173</v>
      </c>
      <c r="H126" s="20">
        <v>12.5</v>
      </c>
      <c r="I126" s="48"/>
      <c r="J126" s="55">
        <v>155806</v>
      </c>
      <c r="K126" s="56"/>
      <c r="L126" s="51">
        <f>SUM(J126/M126)</f>
        <v>1240</v>
      </c>
      <c r="M126" s="53">
        <v>125.65</v>
      </c>
      <c r="N126" s="20">
        <v>7.17</v>
      </c>
      <c r="O126" s="48">
        <f>SUM(M126*N126)</f>
        <v>900.9105</v>
      </c>
      <c r="P126" s="54"/>
      <c r="Q126" s="54"/>
      <c r="R126" s="81">
        <f t="shared" si="55"/>
        <v>548.184515870899</v>
      </c>
      <c r="S126" s="81"/>
      <c r="T126" s="82">
        <f t="shared" si="56"/>
        <v>0.833555614830622</v>
      </c>
      <c r="U126" s="81"/>
      <c r="V126" s="81"/>
      <c r="W126" s="83">
        <f t="shared" si="52"/>
        <v>549.018071485729</v>
      </c>
      <c r="X126" s="84">
        <f t="shared" si="57"/>
        <v>9.5487129901307</v>
      </c>
      <c r="Y126" s="84"/>
      <c r="Z126" s="84"/>
      <c r="AA126" s="84">
        <f t="shared" si="54"/>
        <v>9.5487129901307</v>
      </c>
      <c r="AB126" s="94">
        <v>7.17</v>
      </c>
      <c r="AC126" s="81">
        <f t="shared" si="53"/>
        <v>68.4642721392371</v>
      </c>
      <c r="AD126" s="81">
        <f t="shared" si="50"/>
        <v>617.482343624967</v>
      </c>
      <c r="AE126" s="81">
        <f t="shared" si="51"/>
        <v>283.428156375033</v>
      </c>
    </row>
    <row r="127" customFormat="1" spans="1:31">
      <c r="A127" s="19"/>
      <c r="B127" s="20"/>
      <c r="C127" s="21">
        <v>231229000022</v>
      </c>
      <c r="D127" s="22">
        <v>45296</v>
      </c>
      <c r="E127" s="25" t="s">
        <v>69</v>
      </c>
      <c r="F127" s="20" t="s">
        <v>69</v>
      </c>
      <c r="G127" s="20" t="s">
        <v>130</v>
      </c>
      <c r="H127" s="20">
        <v>348.5</v>
      </c>
      <c r="I127" s="43">
        <v>20392.5</v>
      </c>
      <c r="J127" s="44"/>
      <c r="K127" s="45"/>
      <c r="L127" s="44"/>
      <c r="M127" s="46"/>
      <c r="N127" s="20"/>
      <c r="O127" s="48">
        <f t="shared" ref="O127:O137" si="59">SUM(I127)</f>
        <v>20392.5</v>
      </c>
      <c r="P127" s="54"/>
      <c r="Q127" s="54"/>
      <c r="R127" s="81">
        <f t="shared" si="55"/>
        <v>15283.3843024807</v>
      </c>
      <c r="S127" s="81"/>
      <c r="T127" s="82">
        <f t="shared" si="56"/>
        <v>23.2395305414777</v>
      </c>
      <c r="U127" s="81"/>
      <c r="V127" s="81"/>
      <c r="W127" s="83">
        <f t="shared" si="52"/>
        <v>15306.6238330221</v>
      </c>
      <c r="X127" s="84">
        <f t="shared" si="57"/>
        <v>266.218118164844</v>
      </c>
      <c r="Y127" s="84"/>
      <c r="Z127" s="84"/>
      <c r="AA127" s="84">
        <f t="shared" si="54"/>
        <v>266.218118164844</v>
      </c>
      <c r="AB127" s="94">
        <v>7.17</v>
      </c>
      <c r="AC127" s="81">
        <f t="shared" si="53"/>
        <v>1908.78390724193</v>
      </c>
      <c r="AD127" s="81">
        <f t="shared" si="50"/>
        <v>17215.4077402641</v>
      </c>
      <c r="AE127" s="81">
        <f t="shared" si="51"/>
        <v>3177.0922597359</v>
      </c>
    </row>
    <row r="128" customFormat="1" spans="1:31">
      <c r="A128" s="19"/>
      <c r="B128" s="20"/>
      <c r="C128" s="21">
        <v>231229000027</v>
      </c>
      <c r="D128" s="22">
        <v>45296</v>
      </c>
      <c r="E128" s="22" t="s">
        <v>44</v>
      </c>
      <c r="F128" s="20" t="s">
        <v>45</v>
      </c>
      <c r="G128" s="20" t="s">
        <v>174</v>
      </c>
      <c r="H128" s="20">
        <v>4.5</v>
      </c>
      <c r="I128" s="43">
        <v>324</v>
      </c>
      <c r="J128" s="44"/>
      <c r="K128" s="45"/>
      <c r="L128" s="44"/>
      <c r="M128" s="46"/>
      <c r="N128" s="20"/>
      <c r="O128" s="48">
        <f t="shared" si="59"/>
        <v>324</v>
      </c>
      <c r="P128" s="54"/>
      <c r="Q128" s="54"/>
      <c r="R128" s="81">
        <f t="shared" si="55"/>
        <v>197.346425713524</v>
      </c>
      <c r="S128" s="81"/>
      <c r="T128" s="82">
        <f t="shared" si="56"/>
        <v>0.300080021339024</v>
      </c>
      <c r="U128" s="81"/>
      <c r="V128" s="81"/>
      <c r="W128" s="83">
        <f t="shared" si="52"/>
        <v>197.646505734863</v>
      </c>
      <c r="X128" s="84">
        <f t="shared" si="57"/>
        <v>3.43753667644705</v>
      </c>
      <c r="Y128" s="84"/>
      <c r="Z128" s="84"/>
      <c r="AA128" s="84">
        <f t="shared" si="54"/>
        <v>3.43753667644705</v>
      </c>
      <c r="AB128" s="94">
        <v>7.17</v>
      </c>
      <c r="AC128" s="81">
        <f t="shared" si="53"/>
        <v>24.6471379701254</v>
      </c>
      <c r="AD128" s="81">
        <f t="shared" si="50"/>
        <v>222.293643704988</v>
      </c>
      <c r="AE128" s="81">
        <f t="shared" si="51"/>
        <v>101.706356295012</v>
      </c>
    </row>
    <row r="129" customFormat="1" spans="1:31">
      <c r="A129" s="19"/>
      <c r="B129" s="20"/>
      <c r="C129" s="21">
        <v>231229000028</v>
      </c>
      <c r="D129" s="22">
        <v>45296</v>
      </c>
      <c r="E129" s="22" t="s">
        <v>44</v>
      </c>
      <c r="F129" s="20" t="s">
        <v>45</v>
      </c>
      <c r="G129" s="20" t="s">
        <v>85</v>
      </c>
      <c r="H129" s="20">
        <v>307</v>
      </c>
      <c r="I129" s="57">
        <v>17683.2</v>
      </c>
      <c r="J129" s="55"/>
      <c r="K129" s="58"/>
      <c r="L129" s="55"/>
      <c r="M129" s="46"/>
      <c r="N129" s="20"/>
      <c r="O129" s="48">
        <f>SUBTOTAL(9,I129)</f>
        <v>17683.2</v>
      </c>
      <c r="P129" s="54"/>
      <c r="Q129" s="54"/>
      <c r="R129" s="81">
        <f t="shared" si="55"/>
        <v>13463.4117097893</v>
      </c>
      <c r="S129" s="81"/>
      <c r="T129" s="82">
        <f t="shared" si="56"/>
        <v>20.4721259002401</v>
      </c>
      <c r="U129" s="81"/>
      <c r="V129" s="81"/>
      <c r="W129" s="83">
        <f t="shared" si="52"/>
        <v>13483.8838356895</v>
      </c>
      <c r="X129" s="84">
        <f t="shared" si="57"/>
        <v>234.51639103761</v>
      </c>
      <c r="Y129" s="84"/>
      <c r="Z129" s="84"/>
      <c r="AA129" s="84">
        <f t="shared" si="54"/>
        <v>234.51639103761</v>
      </c>
      <c r="AB129" s="94">
        <v>7.17</v>
      </c>
      <c r="AC129" s="81">
        <f t="shared" si="53"/>
        <v>1681.48252373966</v>
      </c>
      <c r="AD129" s="81">
        <f t="shared" si="50"/>
        <v>15165.3663594292</v>
      </c>
      <c r="AE129" s="81">
        <f t="shared" si="51"/>
        <v>2517.8336405708</v>
      </c>
    </row>
    <row r="130" customFormat="1" spans="1:31">
      <c r="A130" s="19"/>
      <c r="B130" s="20"/>
      <c r="C130" s="21">
        <v>231229000035</v>
      </c>
      <c r="D130" s="22">
        <v>45296</v>
      </c>
      <c r="E130" s="25" t="s">
        <v>69</v>
      </c>
      <c r="F130" s="20" t="s">
        <v>69</v>
      </c>
      <c r="G130" s="20" t="s">
        <v>175</v>
      </c>
      <c r="H130" s="20">
        <v>308</v>
      </c>
      <c r="I130" s="43">
        <v>16940</v>
      </c>
      <c r="J130" s="44"/>
      <c r="K130" s="45"/>
      <c r="L130" s="44"/>
      <c r="M130" s="46"/>
      <c r="N130" s="20"/>
      <c r="O130" s="48">
        <f t="shared" si="59"/>
        <v>16940</v>
      </c>
      <c r="P130" s="54"/>
      <c r="Q130" s="54"/>
      <c r="R130" s="81">
        <f t="shared" si="55"/>
        <v>13507.2664710589</v>
      </c>
      <c r="S130" s="81"/>
      <c r="T130" s="82">
        <f t="shared" si="56"/>
        <v>20.5388103494265</v>
      </c>
      <c r="U130" s="81"/>
      <c r="V130" s="81"/>
      <c r="W130" s="83">
        <f t="shared" si="52"/>
        <v>13527.8052814084</v>
      </c>
      <c r="X130" s="84">
        <f t="shared" si="57"/>
        <v>235.28028807682</v>
      </c>
      <c r="Y130" s="84"/>
      <c r="Z130" s="84"/>
      <c r="AA130" s="84">
        <f t="shared" si="54"/>
        <v>235.28028807682</v>
      </c>
      <c r="AB130" s="94">
        <v>7.17</v>
      </c>
      <c r="AC130" s="81">
        <f t="shared" si="53"/>
        <v>1686.9596655108</v>
      </c>
      <c r="AD130" s="81">
        <f t="shared" si="50"/>
        <v>15214.7649469192</v>
      </c>
      <c r="AE130" s="81">
        <f t="shared" si="51"/>
        <v>1725.2350530808</v>
      </c>
    </row>
    <row r="131" customFormat="1" spans="1:31">
      <c r="A131" s="19"/>
      <c r="B131" s="20"/>
      <c r="C131" s="21">
        <v>231230000002</v>
      </c>
      <c r="D131" s="22">
        <v>45296</v>
      </c>
      <c r="E131" s="25" t="s">
        <v>69</v>
      </c>
      <c r="F131" s="20" t="s">
        <v>69</v>
      </c>
      <c r="G131" s="20" t="s">
        <v>70</v>
      </c>
      <c r="H131" s="20">
        <v>2</v>
      </c>
      <c r="I131" s="43">
        <v>147.5</v>
      </c>
      <c r="J131" s="44"/>
      <c r="K131" s="45"/>
      <c r="L131" s="44"/>
      <c r="M131" s="46"/>
      <c r="N131" s="20"/>
      <c r="O131" s="48">
        <f t="shared" si="59"/>
        <v>147.5</v>
      </c>
      <c r="P131" s="54"/>
      <c r="Q131" s="54"/>
      <c r="R131" s="81">
        <f t="shared" si="55"/>
        <v>87.7095225393438</v>
      </c>
      <c r="S131" s="81"/>
      <c r="T131" s="82">
        <f t="shared" si="56"/>
        <v>0.133368898372899</v>
      </c>
      <c r="U131" s="81"/>
      <c r="V131" s="81"/>
      <c r="W131" s="83">
        <f t="shared" si="52"/>
        <v>87.8428914377167</v>
      </c>
      <c r="X131" s="84">
        <f t="shared" si="57"/>
        <v>1.52779407842091</v>
      </c>
      <c r="Y131" s="84"/>
      <c r="Z131" s="84"/>
      <c r="AA131" s="84">
        <f t="shared" si="54"/>
        <v>1.52779407842091</v>
      </c>
      <c r="AB131" s="94">
        <v>7.17</v>
      </c>
      <c r="AC131" s="81">
        <f t="shared" si="53"/>
        <v>10.9542835422779</v>
      </c>
      <c r="AD131" s="81">
        <f t="shared" si="50"/>
        <v>98.7971749799947</v>
      </c>
      <c r="AE131" s="81">
        <f t="shared" si="51"/>
        <v>48.7028250200053</v>
      </c>
    </row>
    <row r="132" customFormat="1" spans="1:31">
      <c r="A132" s="19"/>
      <c r="B132" s="20"/>
      <c r="C132" s="23">
        <v>231230000006</v>
      </c>
      <c r="D132" s="24">
        <v>45296</v>
      </c>
      <c r="E132" s="22" t="s">
        <v>44</v>
      </c>
      <c r="F132" s="26" t="s">
        <v>45</v>
      </c>
      <c r="G132" s="26" t="s">
        <v>91</v>
      </c>
      <c r="H132" s="26">
        <v>22.5</v>
      </c>
      <c r="I132" s="43">
        <v>1390</v>
      </c>
      <c r="J132" s="44"/>
      <c r="K132" s="45"/>
      <c r="L132" s="44"/>
      <c r="M132" s="46"/>
      <c r="N132" s="20"/>
      <c r="O132" s="48">
        <f t="shared" si="59"/>
        <v>1390</v>
      </c>
      <c r="P132" s="54"/>
      <c r="Q132" s="54"/>
      <c r="R132" s="81">
        <f t="shared" si="55"/>
        <v>986.732128567618</v>
      </c>
      <c r="S132" s="81"/>
      <c r="T132" s="82">
        <f t="shared" si="56"/>
        <v>1.50040010669512</v>
      </c>
      <c r="U132" s="81">
        <v>30</v>
      </c>
      <c r="V132" s="81"/>
      <c r="W132" s="83">
        <f t="shared" si="52"/>
        <v>1018.23252867431</v>
      </c>
      <c r="X132" s="84">
        <f t="shared" si="57"/>
        <v>17.1876833822353</v>
      </c>
      <c r="Y132" s="84"/>
      <c r="Z132" s="84"/>
      <c r="AA132" s="84">
        <f t="shared" si="54"/>
        <v>17.1876833822353</v>
      </c>
      <c r="AB132" s="94">
        <v>7.17</v>
      </c>
      <c r="AC132" s="81">
        <f t="shared" si="53"/>
        <v>123.235689850627</v>
      </c>
      <c r="AD132" s="81">
        <f t="shared" si="50"/>
        <v>1141.46821852494</v>
      </c>
      <c r="AE132" s="81">
        <f t="shared" si="51"/>
        <v>248.53178147506</v>
      </c>
    </row>
    <row r="133" customFormat="1" spans="1:31">
      <c r="A133" s="19"/>
      <c r="B133" s="20"/>
      <c r="C133" s="21">
        <v>231230000008</v>
      </c>
      <c r="D133" s="22">
        <v>45296</v>
      </c>
      <c r="E133" s="22" t="s">
        <v>37</v>
      </c>
      <c r="F133" s="20" t="s">
        <v>38</v>
      </c>
      <c r="G133" s="20" t="s">
        <v>176</v>
      </c>
      <c r="H133" s="20">
        <v>51</v>
      </c>
      <c r="I133" s="43">
        <v>3465</v>
      </c>
      <c r="J133" s="44"/>
      <c r="K133" s="45"/>
      <c r="L133" s="44"/>
      <c r="M133" s="46"/>
      <c r="N133" s="20"/>
      <c r="O133" s="48">
        <f t="shared" si="59"/>
        <v>3465</v>
      </c>
      <c r="P133" s="54"/>
      <c r="Q133" s="54"/>
      <c r="R133" s="81">
        <f t="shared" si="55"/>
        <v>2236.59282475327</v>
      </c>
      <c r="S133" s="81"/>
      <c r="T133" s="82">
        <f t="shared" si="56"/>
        <v>3.40090690850894</v>
      </c>
      <c r="U133" s="81">
        <f>SUM(50+40)</f>
        <v>90</v>
      </c>
      <c r="V133" s="81"/>
      <c r="W133" s="83">
        <f t="shared" si="52"/>
        <v>2329.99373166178</v>
      </c>
      <c r="X133" s="84">
        <f t="shared" si="57"/>
        <v>38.9587489997333</v>
      </c>
      <c r="Y133" s="84"/>
      <c r="Z133" s="84"/>
      <c r="AA133" s="84">
        <f t="shared" si="54"/>
        <v>38.9587489997333</v>
      </c>
      <c r="AB133" s="94">
        <v>7.17</v>
      </c>
      <c r="AC133" s="81">
        <f t="shared" si="53"/>
        <v>279.334230328088</v>
      </c>
      <c r="AD133" s="81">
        <f t="shared" si="50"/>
        <v>2609.32796198986</v>
      </c>
      <c r="AE133" s="81">
        <f t="shared" si="51"/>
        <v>855.67203801014</v>
      </c>
    </row>
    <row r="134" customFormat="1" spans="1:31">
      <c r="A134" s="19"/>
      <c r="B134" s="20"/>
      <c r="C134" s="21">
        <v>231230000009</v>
      </c>
      <c r="D134" s="22">
        <v>45296</v>
      </c>
      <c r="E134" s="22" t="s">
        <v>37</v>
      </c>
      <c r="F134" s="20" t="s">
        <v>38</v>
      </c>
      <c r="G134" s="20" t="s">
        <v>177</v>
      </c>
      <c r="H134" s="20">
        <v>2.5</v>
      </c>
      <c r="I134" s="43">
        <v>276.7</v>
      </c>
      <c r="J134" s="44"/>
      <c r="K134" s="45"/>
      <c r="L134" s="44"/>
      <c r="M134" s="46"/>
      <c r="N134" s="20"/>
      <c r="O134" s="48">
        <f t="shared" si="59"/>
        <v>276.7</v>
      </c>
      <c r="P134" s="54"/>
      <c r="Q134" s="54"/>
      <c r="R134" s="81">
        <f t="shared" si="55"/>
        <v>109.63690317418</v>
      </c>
      <c r="S134" s="81"/>
      <c r="T134" s="82">
        <f t="shared" si="56"/>
        <v>0.166711122966124</v>
      </c>
      <c r="U134" s="81"/>
      <c r="V134" s="81"/>
      <c r="W134" s="83">
        <f t="shared" si="52"/>
        <v>109.803614297146</v>
      </c>
      <c r="X134" s="84">
        <f t="shared" si="57"/>
        <v>1.90974259802614</v>
      </c>
      <c r="Y134" s="84">
        <v>11.2</v>
      </c>
      <c r="Z134" s="84"/>
      <c r="AA134" s="84">
        <f t="shared" si="54"/>
        <v>13.1097425980261</v>
      </c>
      <c r="AB134" s="94">
        <v>7.17</v>
      </c>
      <c r="AC134" s="81">
        <f t="shared" si="53"/>
        <v>93.9968544278474</v>
      </c>
      <c r="AD134" s="81">
        <f t="shared" si="50"/>
        <v>203.800468724993</v>
      </c>
      <c r="AE134" s="81">
        <f t="shared" si="51"/>
        <v>72.899531275007</v>
      </c>
    </row>
    <row r="135" customFormat="1" spans="1:31">
      <c r="A135" s="19"/>
      <c r="B135" s="20"/>
      <c r="C135" s="21">
        <v>231231000002</v>
      </c>
      <c r="D135" s="22">
        <v>45296</v>
      </c>
      <c r="E135" s="22" t="s">
        <v>49</v>
      </c>
      <c r="F135" s="20" t="s">
        <v>50</v>
      </c>
      <c r="G135" s="20" t="s">
        <v>178</v>
      </c>
      <c r="H135" s="20">
        <v>1506</v>
      </c>
      <c r="I135" s="43">
        <v>104232</v>
      </c>
      <c r="J135" s="44"/>
      <c r="K135" s="45"/>
      <c r="L135" s="44"/>
      <c r="M135" s="46"/>
      <c r="N135" s="20"/>
      <c r="O135" s="48">
        <f t="shared" si="59"/>
        <v>104232</v>
      </c>
      <c r="P135" s="54"/>
      <c r="Q135" s="54"/>
      <c r="R135" s="81">
        <f t="shared" si="55"/>
        <v>66045.2704721259</v>
      </c>
      <c r="S135" s="81"/>
      <c r="T135" s="82">
        <f t="shared" si="56"/>
        <v>100.426780474793</v>
      </c>
      <c r="U135" s="81"/>
      <c r="V135" s="81"/>
      <c r="W135" s="83">
        <f t="shared" si="52"/>
        <v>66145.6972526007</v>
      </c>
      <c r="X135" s="84">
        <f t="shared" si="57"/>
        <v>1150.42894105095</v>
      </c>
      <c r="Y135" s="84">
        <v>462</v>
      </c>
      <c r="Z135" s="84"/>
      <c r="AA135" s="84">
        <f t="shared" si="54"/>
        <v>1612.42894105095</v>
      </c>
      <c r="AB135" s="94">
        <v>7.17</v>
      </c>
      <c r="AC135" s="81">
        <f t="shared" si="53"/>
        <v>11561.1155073353</v>
      </c>
      <c r="AD135" s="81">
        <f t="shared" si="50"/>
        <v>77706.812759936</v>
      </c>
      <c r="AE135" s="81">
        <f t="shared" si="51"/>
        <v>26525.187240064</v>
      </c>
    </row>
    <row r="136" customFormat="1" spans="1:31">
      <c r="A136" s="19"/>
      <c r="B136" s="20"/>
      <c r="C136" s="21">
        <v>240102000003</v>
      </c>
      <c r="D136" s="22">
        <v>45296</v>
      </c>
      <c r="E136" s="22" t="s">
        <v>49</v>
      </c>
      <c r="F136" s="20" t="s">
        <v>50</v>
      </c>
      <c r="G136" s="20" t="s">
        <v>78</v>
      </c>
      <c r="H136" s="20">
        <v>0.88</v>
      </c>
      <c r="I136" s="43">
        <v>68</v>
      </c>
      <c r="J136" s="44"/>
      <c r="K136" s="45"/>
      <c r="L136" s="44"/>
      <c r="M136" s="46"/>
      <c r="N136" s="20"/>
      <c r="O136" s="48">
        <f t="shared" si="59"/>
        <v>68</v>
      </c>
      <c r="P136" s="54"/>
      <c r="Q136" s="54"/>
      <c r="R136" s="81">
        <f t="shared" si="55"/>
        <v>38.5921899173113</v>
      </c>
      <c r="S136" s="81"/>
      <c r="T136" s="82">
        <f t="shared" si="56"/>
        <v>0.0586823152840758</v>
      </c>
      <c r="U136" s="81"/>
      <c r="V136" s="81"/>
      <c r="W136" s="83">
        <f t="shared" si="52"/>
        <v>38.6508722325954</v>
      </c>
      <c r="X136" s="84">
        <f t="shared" si="57"/>
        <v>0.672229394505201</v>
      </c>
      <c r="Y136" s="84"/>
      <c r="Z136" s="84"/>
      <c r="AA136" s="84">
        <f t="shared" si="54"/>
        <v>0.672229394505201</v>
      </c>
      <c r="AB136" s="94">
        <v>7.17</v>
      </c>
      <c r="AC136" s="81">
        <f t="shared" si="53"/>
        <v>4.81988475860229</v>
      </c>
      <c r="AD136" s="81">
        <f t="shared" si="50"/>
        <v>43.4707569911976</v>
      </c>
      <c r="AE136" s="81">
        <f t="shared" si="51"/>
        <v>24.5292430088024</v>
      </c>
    </row>
    <row r="137" customFormat="1" spans="1:31">
      <c r="A137" s="19"/>
      <c r="B137" s="20"/>
      <c r="C137" s="21">
        <v>240102000006</v>
      </c>
      <c r="D137" s="22">
        <v>45296</v>
      </c>
      <c r="E137" s="22" t="s">
        <v>49</v>
      </c>
      <c r="F137" s="20" t="s">
        <v>50</v>
      </c>
      <c r="G137" s="20" t="s">
        <v>178</v>
      </c>
      <c r="H137" s="20">
        <v>6</v>
      </c>
      <c r="I137" s="43">
        <v>312</v>
      </c>
      <c r="J137" s="44"/>
      <c r="K137" s="45"/>
      <c r="L137" s="44"/>
      <c r="M137" s="46"/>
      <c r="N137" s="20"/>
      <c r="O137" s="48">
        <f t="shared" si="59"/>
        <v>312</v>
      </c>
      <c r="P137" s="54"/>
      <c r="Q137" s="54"/>
      <c r="R137" s="81">
        <f t="shared" si="55"/>
        <v>263.128567618031</v>
      </c>
      <c r="S137" s="81"/>
      <c r="T137" s="82">
        <f t="shared" si="56"/>
        <v>0.400106695118698</v>
      </c>
      <c r="U137" s="81"/>
      <c r="V137" s="81"/>
      <c r="W137" s="83">
        <f t="shared" si="52"/>
        <v>263.52867431315</v>
      </c>
      <c r="X137" s="84">
        <f t="shared" si="57"/>
        <v>4.58338223526274</v>
      </c>
      <c r="Y137" s="84"/>
      <c r="Z137" s="84"/>
      <c r="AA137" s="84">
        <f t="shared" si="54"/>
        <v>4.58338223526274</v>
      </c>
      <c r="AB137" s="94">
        <v>7.17</v>
      </c>
      <c r="AC137" s="81">
        <f t="shared" si="53"/>
        <v>32.8628506268338</v>
      </c>
      <c r="AD137" s="81">
        <f t="shared" si="50"/>
        <v>296.391524939984</v>
      </c>
      <c r="AE137" s="81">
        <f t="shared" si="51"/>
        <v>15.608475060016</v>
      </c>
    </row>
    <row r="138" customFormat="1" spans="1:31">
      <c r="A138" s="19"/>
      <c r="B138" s="20"/>
      <c r="C138" s="21">
        <v>240102000012</v>
      </c>
      <c r="D138" s="22">
        <v>45296</v>
      </c>
      <c r="E138" s="22" t="s">
        <v>49</v>
      </c>
      <c r="F138" s="20" t="s">
        <v>50</v>
      </c>
      <c r="G138" s="20" t="s">
        <v>87</v>
      </c>
      <c r="H138" s="20">
        <v>80.5</v>
      </c>
      <c r="I138" s="50"/>
      <c r="J138" s="51">
        <v>780000</v>
      </c>
      <c r="K138" s="52"/>
      <c r="L138" s="51">
        <f>SUM(J138/M138)</f>
        <v>1333.49289658592</v>
      </c>
      <c r="M138" s="53">
        <v>584.93</v>
      </c>
      <c r="N138" s="20">
        <v>7.17</v>
      </c>
      <c r="O138" s="48">
        <f>SUM(M138*N138)</f>
        <v>4193.9481</v>
      </c>
      <c r="P138" s="54"/>
      <c r="Q138" s="54"/>
      <c r="R138" s="81">
        <f t="shared" si="55"/>
        <v>3530.30828220859</v>
      </c>
      <c r="S138" s="81"/>
      <c r="T138" s="82">
        <f t="shared" si="56"/>
        <v>5.3680981595092</v>
      </c>
      <c r="U138" s="81"/>
      <c r="V138" s="81"/>
      <c r="W138" s="83">
        <f t="shared" si="52"/>
        <v>3535.6763803681</v>
      </c>
      <c r="X138" s="84">
        <f t="shared" si="57"/>
        <v>61.4937116564417</v>
      </c>
      <c r="Y138" s="84"/>
      <c r="Z138" s="84"/>
      <c r="AA138" s="84">
        <f t="shared" si="54"/>
        <v>61.4937116564417</v>
      </c>
      <c r="AB138" s="94">
        <v>7.17</v>
      </c>
      <c r="AC138" s="81">
        <f t="shared" si="53"/>
        <v>440.909912576687</v>
      </c>
      <c r="AD138" s="81">
        <f t="shared" si="50"/>
        <v>3976.58629294479</v>
      </c>
      <c r="AE138" s="81">
        <f t="shared" si="51"/>
        <v>217.36180705521</v>
      </c>
    </row>
    <row r="139" customFormat="1" spans="1:31">
      <c r="A139" s="19"/>
      <c r="B139" s="20"/>
      <c r="C139" s="21">
        <v>240102000018</v>
      </c>
      <c r="D139" s="22">
        <v>45296</v>
      </c>
      <c r="E139" s="22" t="s">
        <v>37</v>
      </c>
      <c r="F139" s="20" t="s">
        <v>38</v>
      </c>
      <c r="G139" s="20" t="s">
        <v>179</v>
      </c>
      <c r="H139" s="20">
        <v>18</v>
      </c>
      <c r="I139" s="50"/>
      <c r="J139" s="51">
        <v>224471</v>
      </c>
      <c r="K139" s="52"/>
      <c r="L139" s="51">
        <f>SUM(J139/M139)</f>
        <v>1269.1298693956</v>
      </c>
      <c r="M139" s="53">
        <v>176.87</v>
      </c>
      <c r="N139" s="20">
        <v>7.17</v>
      </c>
      <c r="O139" s="48">
        <f>SUM(M139*N139)</f>
        <v>1268.1579</v>
      </c>
      <c r="P139" s="54"/>
      <c r="Q139" s="54"/>
      <c r="R139" s="81">
        <f t="shared" si="55"/>
        <v>789.385702854094</v>
      </c>
      <c r="S139" s="81"/>
      <c r="T139" s="82">
        <f t="shared" si="56"/>
        <v>1.2003200853561</v>
      </c>
      <c r="U139" s="81">
        <v>50</v>
      </c>
      <c r="V139" s="81"/>
      <c r="W139" s="83">
        <f t="shared" si="52"/>
        <v>840.586022939451</v>
      </c>
      <c r="X139" s="84">
        <f t="shared" si="57"/>
        <v>13.7501467057882</v>
      </c>
      <c r="Y139" s="84"/>
      <c r="Z139" s="84"/>
      <c r="AA139" s="84">
        <f t="shared" si="54"/>
        <v>13.7501467057882</v>
      </c>
      <c r="AB139" s="94">
        <v>7.17</v>
      </c>
      <c r="AC139" s="81">
        <f t="shared" si="53"/>
        <v>98.5885518805015</v>
      </c>
      <c r="AD139" s="81">
        <f t="shared" si="50"/>
        <v>939.174574819952</v>
      </c>
      <c r="AE139" s="81">
        <f t="shared" si="51"/>
        <v>328.983325180048</v>
      </c>
    </row>
    <row r="140" customFormat="1" spans="1:31">
      <c r="A140" s="19"/>
      <c r="B140" s="20"/>
      <c r="C140" s="21">
        <v>240102000024</v>
      </c>
      <c r="D140" s="22">
        <v>45296</v>
      </c>
      <c r="E140" s="22" t="s">
        <v>37</v>
      </c>
      <c r="F140" s="20" t="s">
        <v>38</v>
      </c>
      <c r="G140" s="20" t="s">
        <v>180</v>
      </c>
      <c r="H140" s="20">
        <v>5</v>
      </c>
      <c r="I140" s="43">
        <v>333.6</v>
      </c>
      <c r="J140" s="44"/>
      <c r="K140" s="45"/>
      <c r="L140" s="44"/>
      <c r="M140" s="46"/>
      <c r="N140" s="20"/>
      <c r="O140" s="48">
        <f t="shared" ref="O140:O149" si="60">SUM(I140)</f>
        <v>333.6</v>
      </c>
      <c r="P140" s="54"/>
      <c r="Q140" s="54"/>
      <c r="R140" s="81">
        <f t="shared" si="55"/>
        <v>219.27380634836</v>
      </c>
      <c r="S140" s="81"/>
      <c r="T140" s="82">
        <f t="shared" si="56"/>
        <v>0.333422245932249</v>
      </c>
      <c r="U140" s="81"/>
      <c r="V140" s="81"/>
      <c r="W140" s="83">
        <f t="shared" si="52"/>
        <v>219.607228594292</v>
      </c>
      <c r="X140" s="84">
        <f t="shared" si="57"/>
        <v>3.81948519605228</v>
      </c>
      <c r="Y140" s="84"/>
      <c r="Z140" s="84"/>
      <c r="AA140" s="84">
        <f t="shared" si="54"/>
        <v>3.81948519605228</v>
      </c>
      <c r="AB140" s="94">
        <v>7.17</v>
      </c>
      <c r="AC140" s="81">
        <f t="shared" si="53"/>
        <v>27.3857088556949</v>
      </c>
      <c r="AD140" s="81">
        <f t="shared" si="50"/>
        <v>246.992937449987</v>
      </c>
      <c r="AE140" s="81">
        <f t="shared" si="51"/>
        <v>86.607062550013</v>
      </c>
    </row>
    <row r="141" customFormat="1" spans="1:31">
      <c r="A141" s="19"/>
      <c r="B141" s="20"/>
      <c r="C141" s="21">
        <v>240102000025</v>
      </c>
      <c r="D141" s="22">
        <v>45296</v>
      </c>
      <c r="E141" s="22" t="s">
        <v>37</v>
      </c>
      <c r="F141" s="20" t="s">
        <v>38</v>
      </c>
      <c r="G141" s="20" t="s">
        <v>181</v>
      </c>
      <c r="H141" s="20">
        <v>18.5</v>
      </c>
      <c r="I141" s="43">
        <v>1355.2</v>
      </c>
      <c r="J141" s="44"/>
      <c r="K141" s="45"/>
      <c r="L141" s="44"/>
      <c r="M141" s="46"/>
      <c r="N141" s="20"/>
      <c r="O141" s="48">
        <f t="shared" si="60"/>
        <v>1355.2</v>
      </c>
      <c r="P141" s="54"/>
      <c r="Q141" s="54"/>
      <c r="R141" s="81">
        <f t="shared" si="55"/>
        <v>811.31308348893</v>
      </c>
      <c r="S141" s="81"/>
      <c r="T141" s="82">
        <f t="shared" si="56"/>
        <v>1.23366230994932</v>
      </c>
      <c r="U141" s="81"/>
      <c r="V141" s="81"/>
      <c r="W141" s="83">
        <f t="shared" si="52"/>
        <v>812.54674579888</v>
      </c>
      <c r="X141" s="84">
        <f t="shared" si="57"/>
        <v>14.1320952253934</v>
      </c>
      <c r="Y141" s="84"/>
      <c r="Z141" s="84"/>
      <c r="AA141" s="84">
        <f t="shared" si="54"/>
        <v>14.1320952253934</v>
      </c>
      <c r="AB141" s="94">
        <v>7.17</v>
      </c>
      <c r="AC141" s="81">
        <f t="shared" si="53"/>
        <v>101.327122766071</v>
      </c>
      <c r="AD141" s="81">
        <f t="shared" si="50"/>
        <v>913.873868564951</v>
      </c>
      <c r="AE141" s="81">
        <f t="shared" si="51"/>
        <v>441.326131435049</v>
      </c>
    </row>
    <row r="142" customFormat="1" spans="1:31">
      <c r="A142" s="19"/>
      <c r="B142" s="20"/>
      <c r="C142" s="21">
        <v>240102000027</v>
      </c>
      <c r="D142" s="22">
        <v>45296</v>
      </c>
      <c r="E142" s="22" t="s">
        <v>58</v>
      </c>
      <c r="F142" s="20" t="s">
        <v>59</v>
      </c>
      <c r="G142" s="20" t="s">
        <v>182</v>
      </c>
      <c r="H142" s="20">
        <v>3</v>
      </c>
      <c r="I142" s="43">
        <v>201.6</v>
      </c>
      <c r="J142" s="44"/>
      <c r="K142" s="45"/>
      <c r="L142" s="44"/>
      <c r="M142" s="46"/>
      <c r="N142" s="20"/>
      <c r="O142" s="48">
        <f t="shared" si="60"/>
        <v>201.6</v>
      </c>
      <c r="P142" s="54"/>
      <c r="Q142" s="54"/>
      <c r="R142" s="81">
        <f t="shared" si="55"/>
        <v>131.564283809016</v>
      </c>
      <c r="S142" s="81"/>
      <c r="T142" s="82">
        <f t="shared" si="56"/>
        <v>0.200053347559349</v>
      </c>
      <c r="U142" s="81"/>
      <c r="V142" s="81"/>
      <c r="W142" s="83">
        <f t="shared" si="52"/>
        <v>131.764337156575</v>
      </c>
      <c r="X142" s="84">
        <f t="shared" si="57"/>
        <v>2.29169111763137</v>
      </c>
      <c r="Y142" s="84"/>
      <c r="Z142" s="84"/>
      <c r="AA142" s="84">
        <f t="shared" si="54"/>
        <v>2.29169111763137</v>
      </c>
      <c r="AB142" s="94">
        <v>7.17</v>
      </c>
      <c r="AC142" s="81">
        <f t="shared" si="53"/>
        <v>16.4314253134169</v>
      </c>
      <c r="AD142" s="81">
        <f t="shared" si="50"/>
        <v>148.195762469992</v>
      </c>
      <c r="AE142" s="81">
        <f t="shared" si="51"/>
        <v>53.404237530008</v>
      </c>
    </row>
    <row r="143" customFormat="1" spans="1:31">
      <c r="A143" s="19"/>
      <c r="B143" s="20"/>
      <c r="C143" s="21">
        <v>240102000033</v>
      </c>
      <c r="D143" s="22">
        <v>45296</v>
      </c>
      <c r="E143" s="22" t="s">
        <v>44</v>
      </c>
      <c r="F143" s="20" t="s">
        <v>45</v>
      </c>
      <c r="G143" s="20" t="s">
        <v>183</v>
      </c>
      <c r="H143" s="20">
        <v>10</v>
      </c>
      <c r="I143" s="43">
        <v>631</v>
      </c>
      <c r="J143" s="44"/>
      <c r="K143" s="45"/>
      <c r="L143" s="44"/>
      <c r="M143" s="46"/>
      <c r="N143" s="20"/>
      <c r="O143" s="48">
        <f t="shared" si="60"/>
        <v>631</v>
      </c>
      <c r="P143" s="54"/>
      <c r="Q143" s="54"/>
      <c r="R143" s="81">
        <f t="shared" si="55"/>
        <v>438.547612696719</v>
      </c>
      <c r="S143" s="81"/>
      <c r="T143" s="82">
        <f t="shared" si="56"/>
        <v>0.666844491864497</v>
      </c>
      <c r="U143" s="81"/>
      <c r="V143" s="81"/>
      <c r="W143" s="83">
        <f t="shared" si="52"/>
        <v>439.214457188584</v>
      </c>
      <c r="X143" s="84">
        <f t="shared" si="57"/>
        <v>7.63897039210456</v>
      </c>
      <c r="Y143" s="84"/>
      <c r="Z143" s="84"/>
      <c r="AA143" s="84">
        <f t="shared" si="54"/>
        <v>7.63897039210456</v>
      </c>
      <c r="AB143" s="94">
        <v>7.17</v>
      </c>
      <c r="AC143" s="81">
        <f t="shared" si="53"/>
        <v>54.7714177113897</v>
      </c>
      <c r="AD143" s="81">
        <f t="shared" si="50"/>
        <v>493.985874899973</v>
      </c>
      <c r="AE143" s="81">
        <f t="shared" si="51"/>
        <v>137.014125100027</v>
      </c>
    </row>
    <row r="144" customFormat="1" spans="1:31">
      <c r="A144" s="19"/>
      <c r="B144" s="20"/>
      <c r="C144" s="21">
        <v>240102000045</v>
      </c>
      <c r="D144" s="22">
        <v>45296</v>
      </c>
      <c r="E144" s="25" t="s">
        <v>69</v>
      </c>
      <c r="F144" s="20" t="s">
        <v>69</v>
      </c>
      <c r="G144" s="20" t="s">
        <v>184</v>
      </c>
      <c r="H144" s="20">
        <v>37.5</v>
      </c>
      <c r="I144" s="43">
        <v>2484.5</v>
      </c>
      <c r="J144" s="44"/>
      <c r="K144" s="45"/>
      <c r="L144" s="44"/>
      <c r="M144" s="46"/>
      <c r="N144" s="20"/>
      <c r="O144" s="48">
        <f t="shared" si="60"/>
        <v>2484.5</v>
      </c>
      <c r="P144" s="54"/>
      <c r="Q144" s="54"/>
      <c r="R144" s="81">
        <f t="shared" si="55"/>
        <v>1644.5535476127</v>
      </c>
      <c r="S144" s="81"/>
      <c r="T144" s="82">
        <f t="shared" si="56"/>
        <v>2.50066684449186</v>
      </c>
      <c r="U144" s="81"/>
      <c r="V144" s="81"/>
      <c r="W144" s="83">
        <f t="shared" si="52"/>
        <v>1647.05421445719</v>
      </c>
      <c r="X144" s="84">
        <f t="shared" si="57"/>
        <v>28.6461389703921</v>
      </c>
      <c r="Y144" s="84"/>
      <c r="Z144" s="84"/>
      <c r="AA144" s="84">
        <f t="shared" si="54"/>
        <v>28.6461389703921</v>
      </c>
      <c r="AB144" s="94">
        <v>7.17</v>
      </c>
      <c r="AC144" s="81">
        <f t="shared" si="53"/>
        <v>205.392816417711</v>
      </c>
      <c r="AD144" s="81">
        <f t="shared" si="50"/>
        <v>1852.4470308749</v>
      </c>
      <c r="AE144" s="81">
        <f t="shared" si="51"/>
        <v>632.0529691251</v>
      </c>
    </row>
    <row r="145" customFormat="1" spans="1:31">
      <c r="A145" s="19"/>
      <c r="B145" s="20"/>
      <c r="C145" s="21">
        <v>240102000049</v>
      </c>
      <c r="D145" s="22">
        <v>45296</v>
      </c>
      <c r="E145" s="25" t="s">
        <v>69</v>
      </c>
      <c r="F145" s="20" t="s">
        <v>69</v>
      </c>
      <c r="G145" s="20" t="s">
        <v>130</v>
      </c>
      <c r="H145" s="20">
        <v>304.5</v>
      </c>
      <c r="I145" s="43">
        <v>16499</v>
      </c>
      <c r="J145" s="44"/>
      <c r="K145" s="45"/>
      <c r="L145" s="44"/>
      <c r="M145" s="46"/>
      <c r="N145" s="20"/>
      <c r="O145" s="48">
        <f t="shared" si="60"/>
        <v>16499</v>
      </c>
      <c r="P145" s="54"/>
      <c r="Q145" s="54"/>
      <c r="R145" s="81">
        <f t="shared" si="55"/>
        <v>13353.7748066151</v>
      </c>
      <c r="S145" s="81"/>
      <c r="T145" s="82">
        <f t="shared" si="56"/>
        <v>20.3054147772739</v>
      </c>
      <c r="U145" s="81"/>
      <c r="V145" s="81"/>
      <c r="W145" s="83">
        <f t="shared" si="52"/>
        <v>13374.0802213924</v>
      </c>
      <c r="X145" s="84">
        <f t="shared" si="57"/>
        <v>232.606648439584</v>
      </c>
      <c r="Y145" s="84"/>
      <c r="Z145" s="84"/>
      <c r="AA145" s="84">
        <f t="shared" si="54"/>
        <v>232.606648439584</v>
      </c>
      <c r="AB145" s="94">
        <v>7.17</v>
      </c>
      <c r="AC145" s="81">
        <f t="shared" si="53"/>
        <v>1667.78966931182</v>
      </c>
      <c r="AD145" s="81">
        <f t="shared" si="50"/>
        <v>15041.8698907042</v>
      </c>
      <c r="AE145" s="81">
        <f t="shared" si="51"/>
        <v>1457.1301092958</v>
      </c>
    </row>
    <row r="146" customFormat="1" spans="1:31">
      <c r="A146" s="19"/>
      <c r="B146" s="20"/>
      <c r="C146" s="21">
        <v>240102000051</v>
      </c>
      <c r="D146" s="22">
        <v>45296</v>
      </c>
      <c r="E146" s="22" t="s">
        <v>37</v>
      </c>
      <c r="F146" s="20" t="s">
        <v>38</v>
      </c>
      <c r="G146" s="20" t="s">
        <v>159</v>
      </c>
      <c r="H146" s="20">
        <v>6</v>
      </c>
      <c r="I146" s="43">
        <v>584</v>
      </c>
      <c r="J146" s="44"/>
      <c r="K146" s="45"/>
      <c r="L146" s="44"/>
      <c r="M146" s="46"/>
      <c r="N146" s="20"/>
      <c r="O146" s="48">
        <f t="shared" si="60"/>
        <v>584</v>
      </c>
      <c r="P146" s="54"/>
      <c r="Q146" s="54"/>
      <c r="R146" s="81">
        <f t="shared" si="55"/>
        <v>263.128567618031</v>
      </c>
      <c r="S146" s="81"/>
      <c r="T146" s="82">
        <f t="shared" si="56"/>
        <v>0.400106695118698</v>
      </c>
      <c r="U146" s="81"/>
      <c r="V146" s="81"/>
      <c r="W146" s="83">
        <f t="shared" si="52"/>
        <v>263.52867431315</v>
      </c>
      <c r="X146" s="84">
        <f t="shared" si="57"/>
        <v>4.58338223526274</v>
      </c>
      <c r="Y146" s="84"/>
      <c r="Z146" s="84"/>
      <c r="AA146" s="84">
        <f t="shared" si="54"/>
        <v>4.58338223526274</v>
      </c>
      <c r="AB146" s="94">
        <v>7.17</v>
      </c>
      <c r="AC146" s="81">
        <f t="shared" si="53"/>
        <v>32.8628506268338</v>
      </c>
      <c r="AD146" s="81">
        <f t="shared" si="50"/>
        <v>296.391524939984</v>
      </c>
      <c r="AE146" s="81">
        <f t="shared" si="51"/>
        <v>287.608475060016</v>
      </c>
    </row>
    <row r="147" customFormat="1" spans="1:31">
      <c r="A147" s="19"/>
      <c r="B147" s="20"/>
      <c r="C147" s="21">
        <v>240102000055</v>
      </c>
      <c r="D147" s="22">
        <v>45296</v>
      </c>
      <c r="E147" s="22" t="s">
        <v>41</v>
      </c>
      <c r="F147" s="20" t="s">
        <v>42</v>
      </c>
      <c r="G147" s="20" t="s">
        <v>185</v>
      </c>
      <c r="H147" s="20">
        <v>4</v>
      </c>
      <c r="I147" s="43">
        <v>267</v>
      </c>
      <c r="J147" s="44"/>
      <c r="K147" s="45"/>
      <c r="L147" s="44"/>
      <c r="M147" s="46"/>
      <c r="N147" s="20"/>
      <c r="O147" s="48">
        <f t="shared" si="60"/>
        <v>267</v>
      </c>
      <c r="P147" s="54"/>
      <c r="Q147" s="54"/>
      <c r="R147" s="81">
        <f t="shared" si="55"/>
        <v>175.419045078688</v>
      </c>
      <c r="S147" s="81"/>
      <c r="T147" s="82">
        <f t="shared" si="56"/>
        <v>0.266737796745799</v>
      </c>
      <c r="U147" s="81"/>
      <c r="V147" s="81"/>
      <c r="W147" s="83">
        <f t="shared" si="52"/>
        <v>175.685782875433</v>
      </c>
      <c r="X147" s="84">
        <f t="shared" si="57"/>
        <v>3.05558815684182</v>
      </c>
      <c r="Y147" s="84"/>
      <c r="Z147" s="84"/>
      <c r="AA147" s="84">
        <f t="shared" si="54"/>
        <v>3.05558815684182</v>
      </c>
      <c r="AB147" s="94">
        <v>7.17</v>
      </c>
      <c r="AC147" s="81">
        <f t="shared" si="53"/>
        <v>21.9085670845559</v>
      </c>
      <c r="AD147" s="81">
        <f t="shared" si="50"/>
        <v>197.594349959989</v>
      </c>
      <c r="AE147" s="81">
        <f t="shared" si="51"/>
        <v>69.405650040011</v>
      </c>
    </row>
    <row r="148" customFormat="1" spans="1:31">
      <c r="A148" s="19"/>
      <c r="B148" s="20"/>
      <c r="C148" s="21">
        <v>240103000004</v>
      </c>
      <c r="D148" s="22">
        <v>45296</v>
      </c>
      <c r="E148" s="22" t="s">
        <v>49</v>
      </c>
      <c r="F148" s="20" t="s">
        <v>50</v>
      </c>
      <c r="G148" s="20" t="s">
        <v>186</v>
      </c>
      <c r="H148" s="20">
        <v>8</v>
      </c>
      <c r="I148" s="43">
        <v>504</v>
      </c>
      <c r="J148" s="44"/>
      <c r="K148" s="45"/>
      <c r="L148" s="44"/>
      <c r="M148" s="46"/>
      <c r="N148" s="20"/>
      <c r="O148" s="48">
        <f t="shared" si="60"/>
        <v>504</v>
      </c>
      <c r="P148" s="54"/>
      <c r="Q148" s="54"/>
      <c r="R148" s="81">
        <f t="shared" si="55"/>
        <v>350.838090157375</v>
      </c>
      <c r="S148" s="81"/>
      <c r="T148" s="82">
        <f t="shared" si="56"/>
        <v>0.533475593491598</v>
      </c>
      <c r="U148" s="81"/>
      <c r="V148" s="81"/>
      <c r="W148" s="83">
        <f t="shared" si="52"/>
        <v>351.371565750867</v>
      </c>
      <c r="X148" s="84">
        <f t="shared" si="57"/>
        <v>6.11117631368365</v>
      </c>
      <c r="Y148" s="84"/>
      <c r="Z148" s="84"/>
      <c r="AA148" s="84">
        <f t="shared" si="54"/>
        <v>6.11117631368365</v>
      </c>
      <c r="AB148" s="94">
        <v>7.17</v>
      </c>
      <c r="AC148" s="81">
        <f t="shared" si="53"/>
        <v>43.8171341691118</v>
      </c>
      <c r="AD148" s="81">
        <f t="shared" si="50"/>
        <v>395.188699919979</v>
      </c>
      <c r="AE148" s="81">
        <f t="shared" si="51"/>
        <v>108.811300080021</v>
      </c>
    </row>
    <row r="149" customFormat="1" spans="1:31">
      <c r="A149" s="19"/>
      <c r="B149" s="20"/>
      <c r="C149" s="21">
        <v>240103000009</v>
      </c>
      <c r="D149" s="22">
        <v>45296</v>
      </c>
      <c r="E149" s="22" t="s">
        <v>37</v>
      </c>
      <c r="F149" s="20" t="s">
        <v>38</v>
      </c>
      <c r="G149" s="20" t="s">
        <v>154</v>
      </c>
      <c r="H149" s="20">
        <v>2.5</v>
      </c>
      <c r="I149" s="43">
        <v>183.6</v>
      </c>
      <c r="J149" s="44"/>
      <c r="K149" s="45"/>
      <c r="L149" s="44"/>
      <c r="M149" s="46"/>
      <c r="N149" s="20"/>
      <c r="O149" s="48">
        <f t="shared" si="60"/>
        <v>183.6</v>
      </c>
      <c r="P149" s="54"/>
      <c r="Q149" s="54"/>
      <c r="R149" s="81">
        <f t="shared" si="55"/>
        <v>109.63690317418</v>
      </c>
      <c r="S149" s="81"/>
      <c r="T149" s="82">
        <f t="shared" si="56"/>
        <v>0.166711122966124</v>
      </c>
      <c r="U149" s="81"/>
      <c r="V149" s="81"/>
      <c r="W149" s="83">
        <f t="shared" si="52"/>
        <v>109.803614297146</v>
      </c>
      <c r="X149" s="84">
        <f t="shared" si="57"/>
        <v>1.90974259802614</v>
      </c>
      <c r="Y149" s="84"/>
      <c r="Z149" s="84"/>
      <c r="AA149" s="84">
        <f t="shared" si="54"/>
        <v>1.90974259802614</v>
      </c>
      <c r="AB149" s="94">
        <v>7.17</v>
      </c>
      <c r="AC149" s="81">
        <f t="shared" si="53"/>
        <v>13.6928544278474</v>
      </c>
      <c r="AD149" s="81">
        <f t="shared" si="50"/>
        <v>123.496468724993</v>
      </c>
      <c r="AE149" s="81">
        <f t="shared" si="51"/>
        <v>60.103531275007</v>
      </c>
    </row>
    <row r="150" customFormat="1" spans="1:31">
      <c r="A150" s="19"/>
      <c r="B150" s="20"/>
      <c r="C150" s="21">
        <v>240103000010</v>
      </c>
      <c r="D150" s="22">
        <v>45296</v>
      </c>
      <c r="E150" s="22" t="s">
        <v>49</v>
      </c>
      <c r="F150" s="20" t="s">
        <v>50</v>
      </c>
      <c r="G150" s="20" t="s">
        <v>167</v>
      </c>
      <c r="H150" s="20">
        <v>2</v>
      </c>
      <c r="I150" s="95"/>
      <c r="J150" s="51">
        <v>19662</v>
      </c>
      <c r="K150" s="96"/>
      <c r="L150" s="51">
        <f>SUM(J150/M150)</f>
        <v>1247.58883248731</v>
      </c>
      <c r="M150" s="53">
        <v>15.76</v>
      </c>
      <c r="N150" s="20">
        <v>7.17</v>
      </c>
      <c r="O150" s="48">
        <f>SUM(M150*N150)</f>
        <v>112.9992</v>
      </c>
      <c r="P150" s="54"/>
      <c r="Q150" s="54"/>
      <c r="R150" s="81">
        <f t="shared" si="55"/>
        <v>87.7095225393438</v>
      </c>
      <c r="S150" s="81"/>
      <c r="T150" s="82">
        <f t="shared" si="56"/>
        <v>0.133368898372899</v>
      </c>
      <c r="U150" s="81"/>
      <c r="V150" s="81"/>
      <c r="W150" s="83">
        <f t="shared" si="52"/>
        <v>87.8428914377167</v>
      </c>
      <c r="X150" s="84">
        <f t="shared" si="57"/>
        <v>1.52779407842091</v>
      </c>
      <c r="Y150" s="84"/>
      <c r="Z150" s="84"/>
      <c r="AA150" s="84">
        <f t="shared" si="54"/>
        <v>1.52779407842091</v>
      </c>
      <c r="AB150" s="94">
        <v>7.17</v>
      </c>
      <c r="AC150" s="81">
        <f t="shared" si="53"/>
        <v>10.9542835422779</v>
      </c>
      <c r="AD150" s="81">
        <f t="shared" si="50"/>
        <v>98.7971749799947</v>
      </c>
      <c r="AE150" s="81">
        <f t="shared" si="51"/>
        <v>14.2020250200053</v>
      </c>
    </row>
    <row r="151" customFormat="1" spans="1:31">
      <c r="A151" s="19"/>
      <c r="B151" s="20"/>
      <c r="C151" s="21">
        <v>240103000011</v>
      </c>
      <c r="D151" s="22">
        <v>45296</v>
      </c>
      <c r="E151" s="22" t="s">
        <v>58</v>
      </c>
      <c r="F151" s="20" t="s">
        <v>59</v>
      </c>
      <c r="G151" s="20" t="s">
        <v>182</v>
      </c>
      <c r="H151" s="20">
        <v>2.5</v>
      </c>
      <c r="I151" s="43">
        <v>196.7</v>
      </c>
      <c r="J151" s="44"/>
      <c r="K151" s="45"/>
      <c r="L151" s="44"/>
      <c r="M151" s="46"/>
      <c r="N151" s="20"/>
      <c r="O151" s="48">
        <f t="shared" ref="O151:O162" si="61">SUM(I151)</f>
        <v>196.7</v>
      </c>
      <c r="P151" s="54"/>
      <c r="Q151" s="54"/>
      <c r="R151" s="81">
        <f t="shared" si="55"/>
        <v>109.63690317418</v>
      </c>
      <c r="S151" s="81"/>
      <c r="T151" s="82">
        <f t="shared" si="56"/>
        <v>0.166711122966124</v>
      </c>
      <c r="U151" s="81"/>
      <c r="V151" s="81"/>
      <c r="W151" s="83">
        <f t="shared" si="52"/>
        <v>109.803614297146</v>
      </c>
      <c r="X151" s="84">
        <f t="shared" si="57"/>
        <v>1.90974259802614</v>
      </c>
      <c r="Y151" s="84"/>
      <c r="Z151" s="84"/>
      <c r="AA151" s="84">
        <f t="shared" si="54"/>
        <v>1.90974259802614</v>
      </c>
      <c r="AB151" s="94">
        <v>7.17</v>
      </c>
      <c r="AC151" s="81">
        <f t="shared" si="53"/>
        <v>13.6928544278474</v>
      </c>
      <c r="AD151" s="81">
        <f t="shared" si="50"/>
        <v>123.496468724993</v>
      </c>
      <c r="AE151" s="81">
        <f t="shared" ref="AE151:AE162" si="62">SUM(O151-AD151)</f>
        <v>73.203531275007</v>
      </c>
    </row>
    <row r="152" customFormat="1" spans="1:31">
      <c r="A152" s="19"/>
      <c r="B152" s="20"/>
      <c r="C152" s="21">
        <v>240103000035</v>
      </c>
      <c r="D152" s="22">
        <v>45296</v>
      </c>
      <c r="E152" s="22" t="s">
        <v>44</v>
      </c>
      <c r="F152" s="20" t="s">
        <v>45</v>
      </c>
      <c r="G152" s="20" t="s">
        <v>187</v>
      </c>
      <c r="H152" s="20">
        <v>0.936</v>
      </c>
      <c r="I152" s="43">
        <v>75</v>
      </c>
      <c r="J152" s="44"/>
      <c r="K152" s="45"/>
      <c r="L152" s="44"/>
      <c r="M152" s="46"/>
      <c r="N152" s="20"/>
      <c r="O152" s="48">
        <f t="shared" si="61"/>
        <v>75</v>
      </c>
      <c r="P152" s="54"/>
      <c r="Q152" s="54"/>
      <c r="R152" s="81">
        <f t="shared" si="55"/>
        <v>41.0480565484129</v>
      </c>
      <c r="S152" s="81"/>
      <c r="T152" s="82">
        <f t="shared" si="56"/>
        <v>0.0624166444385169</v>
      </c>
      <c r="U152" s="81"/>
      <c r="V152" s="81"/>
      <c r="W152" s="83">
        <f t="shared" si="52"/>
        <v>41.1104731928514</v>
      </c>
      <c r="X152" s="84">
        <f t="shared" si="57"/>
        <v>0.715007628700987</v>
      </c>
      <c r="Y152" s="84"/>
      <c r="Z152" s="84"/>
      <c r="AA152" s="84">
        <f t="shared" si="54"/>
        <v>0.715007628700987</v>
      </c>
      <c r="AB152" s="94">
        <v>7.17</v>
      </c>
      <c r="AC152" s="81">
        <f t="shared" si="53"/>
        <v>5.12660469778608</v>
      </c>
      <c r="AD152" s="81">
        <f t="shared" ref="AD152:AD162" si="63">SUM(W152+AC152)</f>
        <v>46.2370778906375</v>
      </c>
      <c r="AE152" s="81">
        <f t="shared" si="62"/>
        <v>28.7629221093625</v>
      </c>
    </row>
    <row r="153" customFormat="1" spans="1:31">
      <c r="A153" s="19"/>
      <c r="B153" s="20"/>
      <c r="C153" s="21">
        <v>240103000040</v>
      </c>
      <c r="D153" s="22">
        <v>45296</v>
      </c>
      <c r="E153" s="22" t="s">
        <v>49</v>
      </c>
      <c r="F153" s="20" t="s">
        <v>50</v>
      </c>
      <c r="G153" s="20" t="s">
        <v>188</v>
      </c>
      <c r="H153" s="20">
        <v>5.5</v>
      </c>
      <c r="I153" s="43">
        <v>325</v>
      </c>
      <c r="J153" s="44"/>
      <c r="K153" s="45"/>
      <c r="L153" s="44"/>
      <c r="M153" s="46"/>
      <c r="N153" s="20"/>
      <c r="O153" s="48">
        <f t="shared" si="61"/>
        <v>325</v>
      </c>
      <c r="P153" s="54"/>
      <c r="Q153" s="54"/>
      <c r="R153" s="81">
        <f t="shared" si="55"/>
        <v>241.201186983195</v>
      </c>
      <c r="S153" s="81"/>
      <c r="T153" s="82">
        <f t="shared" si="56"/>
        <v>0.366764470525473</v>
      </c>
      <c r="U153" s="81"/>
      <c r="V153" s="81"/>
      <c r="W153" s="83">
        <f t="shared" si="52"/>
        <v>241.567951453721</v>
      </c>
      <c r="X153" s="84">
        <f t="shared" si="57"/>
        <v>4.20143371565751</v>
      </c>
      <c r="Y153" s="84"/>
      <c r="Z153" s="84"/>
      <c r="AA153" s="84">
        <f t="shared" si="54"/>
        <v>4.20143371565751</v>
      </c>
      <c r="AB153" s="94">
        <v>7.17</v>
      </c>
      <c r="AC153" s="81">
        <f t="shared" ref="AC153:AC162" si="64">SUM(AA153*AB153)</f>
        <v>30.1242797412643</v>
      </c>
      <c r="AD153" s="81">
        <f t="shared" si="63"/>
        <v>271.692231194985</v>
      </c>
      <c r="AE153" s="81">
        <f t="shared" si="62"/>
        <v>53.307768805015</v>
      </c>
    </row>
    <row r="154" customFormat="1" spans="1:31">
      <c r="A154" s="19"/>
      <c r="B154" s="20"/>
      <c r="C154" s="21">
        <v>240103000046</v>
      </c>
      <c r="D154" s="22">
        <v>45296</v>
      </c>
      <c r="E154" s="22" t="s">
        <v>49</v>
      </c>
      <c r="F154" s="20" t="s">
        <v>50</v>
      </c>
      <c r="G154" s="20" t="s">
        <v>189</v>
      </c>
      <c r="H154" s="20">
        <v>46.5</v>
      </c>
      <c r="I154" s="43">
        <v>2790</v>
      </c>
      <c r="J154" s="44"/>
      <c r="K154" s="45"/>
      <c r="L154" s="44"/>
      <c r="M154" s="46"/>
      <c r="N154" s="20"/>
      <c r="O154" s="48">
        <f t="shared" si="61"/>
        <v>2790</v>
      </c>
      <c r="P154" s="54"/>
      <c r="Q154" s="54"/>
      <c r="R154" s="81">
        <f t="shared" si="55"/>
        <v>2039.24639903974</v>
      </c>
      <c r="S154" s="81"/>
      <c r="T154" s="82">
        <f t="shared" si="56"/>
        <v>3.10082688716991</v>
      </c>
      <c r="U154" s="81"/>
      <c r="V154" s="81"/>
      <c r="W154" s="83">
        <f t="shared" ref="W154:W162" si="65">SUM(R154:V154)</f>
        <v>2042.34722592691</v>
      </c>
      <c r="X154" s="84">
        <f t="shared" si="57"/>
        <v>35.5212123232862</v>
      </c>
      <c r="Y154" s="84"/>
      <c r="Z154" s="84"/>
      <c r="AA154" s="84">
        <f t="shared" si="54"/>
        <v>35.5212123232862</v>
      </c>
      <c r="AB154" s="94">
        <v>7.17</v>
      </c>
      <c r="AC154" s="81">
        <f t="shared" si="64"/>
        <v>254.687092357962</v>
      </c>
      <c r="AD154" s="81">
        <f t="shared" si="63"/>
        <v>2297.03431828488</v>
      </c>
      <c r="AE154" s="81">
        <f t="shared" si="62"/>
        <v>492.96568171512</v>
      </c>
    </row>
    <row r="155" customFormat="1" spans="1:31">
      <c r="A155" s="19"/>
      <c r="B155" s="20"/>
      <c r="C155" s="21">
        <v>240103000053</v>
      </c>
      <c r="D155" s="22">
        <v>45296</v>
      </c>
      <c r="E155" s="25" t="s">
        <v>69</v>
      </c>
      <c r="F155" s="20" t="s">
        <v>69</v>
      </c>
      <c r="G155" s="20" t="s">
        <v>175</v>
      </c>
      <c r="H155" s="20">
        <v>384</v>
      </c>
      <c r="I155" s="43">
        <v>21120</v>
      </c>
      <c r="J155" s="44"/>
      <c r="K155" s="45"/>
      <c r="L155" s="44"/>
      <c r="M155" s="46"/>
      <c r="N155" s="20"/>
      <c r="O155" s="48">
        <f t="shared" si="61"/>
        <v>21120</v>
      </c>
      <c r="P155" s="60"/>
      <c r="Q155" s="60"/>
      <c r="R155" s="81">
        <f t="shared" si="55"/>
        <v>16840.228327554</v>
      </c>
      <c r="S155" s="81"/>
      <c r="T155" s="82">
        <f t="shared" si="56"/>
        <v>25.6068284875967</v>
      </c>
      <c r="U155" s="81"/>
      <c r="V155" s="81"/>
      <c r="W155" s="83">
        <f t="shared" si="65"/>
        <v>16865.8351560416</v>
      </c>
      <c r="X155" s="84">
        <f t="shared" si="57"/>
        <v>293.336463056815</v>
      </c>
      <c r="Y155" s="84"/>
      <c r="Z155" s="84"/>
      <c r="AA155" s="84">
        <f t="shared" si="54"/>
        <v>293.336463056815</v>
      </c>
      <c r="AB155" s="94">
        <v>7.17</v>
      </c>
      <c r="AC155" s="81">
        <f t="shared" si="64"/>
        <v>2103.22244011736</v>
      </c>
      <c r="AD155" s="81">
        <f t="shared" si="63"/>
        <v>18969.057596159</v>
      </c>
      <c r="AE155" s="81">
        <f t="shared" si="62"/>
        <v>2150.942403841</v>
      </c>
    </row>
    <row r="156" customFormat="1" spans="1:31">
      <c r="A156" s="19" t="s">
        <v>190</v>
      </c>
      <c r="B156" s="20" t="s">
        <v>191</v>
      </c>
      <c r="C156" s="21">
        <v>240102000001</v>
      </c>
      <c r="D156" s="22">
        <v>45297</v>
      </c>
      <c r="E156" s="22" t="s">
        <v>69</v>
      </c>
      <c r="F156" s="20" t="s">
        <v>192</v>
      </c>
      <c r="G156" s="20" t="s">
        <v>193</v>
      </c>
      <c r="H156" s="20">
        <v>3</v>
      </c>
      <c r="I156" s="43">
        <v>390</v>
      </c>
      <c r="J156" s="44"/>
      <c r="K156" s="45"/>
      <c r="L156" s="44"/>
      <c r="M156" s="46"/>
      <c r="N156" s="20"/>
      <c r="O156" s="48">
        <f t="shared" si="61"/>
        <v>390</v>
      </c>
      <c r="P156" s="49">
        <f>SUM(O156:O162)</f>
        <v>2602.5</v>
      </c>
      <c r="Q156" s="49" t="s">
        <v>146</v>
      </c>
      <c r="R156" s="81">
        <f>SUM(2200/32)*H156</f>
        <v>206.25</v>
      </c>
      <c r="S156" s="81"/>
      <c r="T156" s="81">
        <v>0</v>
      </c>
      <c r="U156" s="81"/>
      <c r="V156" s="81"/>
      <c r="W156" s="83">
        <f t="shared" si="65"/>
        <v>206.25</v>
      </c>
      <c r="X156" s="84">
        <f>SUM(39.19/32)*H156</f>
        <v>3.6740625</v>
      </c>
      <c r="Y156" s="84"/>
      <c r="Z156" s="84"/>
      <c r="AA156" s="84">
        <f t="shared" ref="AA156:AA162" si="66">SUM(X156:Z156)</f>
        <v>3.6740625</v>
      </c>
      <c r="AB156" s="94">
        <v>7.17</v>
      </c>
      <c r="AC156" s="81">
        <f t="shared" si="64"/>
        <v>26.343028125</v>
      </c>
      <c r="AD156" s="81">
        <f t="shared" si="63"/>
        <v>232.593028125</v>
      </c>
      <c r="AE156" s="81">
        <f t="shared" si="62"/>
        <v>157.406971875</v>
      </c>
    </row>
    <row r="157" customFormat="1" spans="1:31">
      <c r="A157" s="19"/>
      <c r="B157" s="20"/>
      <c r="C157" s="21">
        <v>240102000031</v>
      </c>
      <c r="D157" s="22">
        <v>45297</v>
      </c>
      <c r="E157" s="22" t="s">
        <v>49</v>
      </c>
      <c r="F157" s="20" t="s">
        <v>50</v>
      </c>
      <c r="G157" s="20" t="s">
        <v>189</v>
      </c>
      <c r="H157" s="20">
        <v>4</v>
      </c>
      <c r="I157" s="43">
        <v>520</v>
      </c>
      <c r="J157" s="44"/>
      <c r="K157" s="45"/>
      <c r="L157" s="44"/>
      <c r="M157" s="46"/>
      <c r="N157" s="20"/>
      <c r="O157" s="48">
        <f t="shared" si="61"/>
        <v>520</v>
      </c>
      <c r="P157" s="54"/>
      <c r="Q157" s="54"/>
      <c r="R157" s="81">
        <f t="shared" ref="R157:R162" si="67">SUM(2200/32)*H157</f>
        <v>275</v>
      </c>
      <c r="S157" s="81"/>
      <c r="T157" s="81">
        <v>0</v>
      </c>
      <c r="U157" s="81"/>
      <c r="V157" s="81"/>
      <c r="W157" s="83">
        <f t="shared" si="65"/>
        <v>275</v>
      </c>
      <c r="X157" s="84">
        <f t="shared" ref="X157:X162" si="68">SUM(39.19/32)*H157</f>
        <v>4.89875</v>
      </c>
      <c r="Y157" s="84"/>
      <c r="Z157" s="84"/>
      <c r="AA157" s="84">
        <f t="shared" si="66"/>
        <v>4.89875</v>
      </c>
      <c r="AB157" s="94">
        <v>7.17</v>
      </c>
      <c r="AC157" s="81">
        <f t="shared" si="64"/>
        <v>35.1240375</v>
      </c>
      <c r="AD157" s="81">
        <f t="shared" si="63"/>
        <v>310.1240375</v>
      </c>
      <c r="AE157" s="81">
        <f t="shared" si="62"/>
        <v>209.8759625</v>
      </c>
    </row>
    <row r="158" customFormat="1" spans="1:31">
      <c r="A158" s="19"/>
      <c r="B158" s="20"/>
      <c r="C158" s="21">
        <v>240102000037</v>
      </c>
      <c r="D158" s="22">
        <v>45297</v>
      </c>
      <c r="E158" s="22" t="s">
        <v>37</v>
      </c>
      <c r="F158" s="20" t="s">
        <v>38</v>
      </c>
      <c r="G158" s="20" t="s">
        <v>148</v>
      </c>
      <c r="H158" s="20">
        <v>0.22</v>
      </c>
      <c r="I158" s="43">
        <v>125</v>
      </c>
      <c r="J158" s="44"/>
      <c r="K158" s="45"/>
      <c r="L158" s="44"/>
      <c r="M158" s="46"/>
      <c r="N158" s="20"/>
      <c r="O158" s="48">
        <f t="shared" si="61"/>
        <v>125</v>
      </c>
      <c r="P158" s="54"/>
      <c r="Q158" s="54"/>
      <c r="R158" s="81">
        <f t="shared" si="67"/>
        <v>15.125</v>
      </c>
      <c r="S158" s="81"/>
      <c r="T158" s="81">
        <v>0</v>
      </c>
      <c r="U158" s="81"/>
      <c r="V158" s="81"/>
      <c r="W158" s="83">
        <f t="shared" si="65"/>
        <v>15.125</v>
      </c>
      <c r="X158" s="84">
        <f t="shared" si="68"/>
        <v>0.26943125</v>
      </c>
      <c r="Y158" s="84"/>
      <c r="Z158" s="84"/>
      <c r="AA158" s="84">
        <f t="shared" si="66"/>
        <v>0.26943125</v>
      </c>
      <c r="AB158" s="94">
        <v>7.17</v>
      </c>
      <c r="AC158" s="81">
        <f t="shared" si="64"/>
        <v>1.9318220625</v>
      </c>
      <c r="AD158" s="81">
        <f t="shared" si="63"/>
        <v>17.0568220625</v>
      </c>
      <c r="AE158" s="81">
        <f t="shared" si="62"/>
        <v>107.9431779375</v>
      </c>
    </row>
    <row r="159" customFormat="1" spans="1:31">
      <c r="A159" s="19"/>
      <c r="B159" s="20"/>
      <c r="C159" s="21">
        <v>240102000053</v>
      </c>
      <c r="D159" s="22">
        <v>45297</v>
      </c>
      <c r="E159" s="25" t="s">
        <v>69</v>
      </c>
      <c r="F159" s="20" t="s">
        <v>69</v>
      </c>
      <c r="G159" s="20" t="s">
        <v>131</v>
      </c>
      <c r="H159" s="20">
        <v>1.5</v>
      </c>
      <c r="I159" s="43">
        <v>187.5</v>
      </c>
      <c r="J159" s="44"/>
      <c r="K159" s="45"/>
      <c r="L159" s="44"/>
      <c r="M159" s="46"/>
      <c r="N159" s="20"/>
      <c r="O159" s="48">
        <f t="shared" si="61"/>
        <v>187.5</v>
      </c>
      <c r="P159" s="54"/>
      <c r="Q159" s="54"/>
      <c r="R159" s="81">
        <f t="shared" si="67"/>
        <v>103.125</v>
      </c>
      <c r="S159" s="81"/>
      <c r="T159" s="81">
        <v>0</v>
      </c>
      <c r="U159" s="81"/>
      <c r="V159" s="81"/>
      <c r="W159" s="83">
        <f t="shared" si="65"/>
        <v>103.125</v>
      </c>
      <c r="X159" s="84">
        <f t="shared" si="68"/>
        <v>1.83703125</v>
      </c>
      <c r="Y159" s="84"/>
      <c r="Z159" s="84"/>
      <c r="AA159" s="84">
        <f t="shared" si="66"/>
        <v>1.83703125</v>
      </c>
      <c r="AB159" s="94">
        <v>7.17</v>
      </c>
      <c r="AC159" s="81">
        <f t="shared" si="64"/>
        <v>13.1715140625</v>
      </c>
      <c r="AD159" s="81">
        <f t="shared" si="63"/>
        <v>116.2965140625</v>
      </c>
      <c r="AE159" s="81">
        <f t="shared" si="62"/>
        <v>71.2034859375</v>
      </c>
    </row>
    <row r="160" customFormat="1" spans="1:31">
      <c r="A160" s="19"/>
      <c r="B160" s="20"/>
      <c r="C160" s="21">
        <v>240103000021</v>
      </c>
      <c r="D160" s="22">
        <v>45297</v>
      </c>
      <c r="E160" s="22" t="s">
        <v>37</v>
      </c>
      <c r="F160" s="20" t="s">
        <v>38</v>
      </c>
      <c r="G160" s="20" t="s">
        <v>94</v>
      </c>
      <c r="H160" s="20">
        <v>7.5</v>
      </c>
      <c r="I160" s="43">
        <v>937.5</v>
      </c>
      <c r="J160" s="44"/>
      <c r="K160" s="45"/>
      <c r="L160" s="44"/>
      <c r="M160" s="46"/>
      <c r="N160" s="20"/>
      <c r="O160" s="48">
        <f t="shared" si="61"/>
        <v>937.5</v>
      </c>
      <c r="P160" s="54"/>
      <c r="Q160" s="54"/>
      <c r="R160" s="81">
        <f t="shared" si="67"/>
        <v>515.625</v>
      </c>
      <c r="S160" s="81"/>
      <c r="T160" s="81">
        <v>0</v>
      </c>
      <c r="U160" s="81"/>
      <c r="V160" s="81"/>
      <c r="W160" s="83">
        <f t="shared" si="65"/>
        <v>515.625</v>
      </c>
      <c r="X160" s="84">
        <f t="shared" si="68"/>
        <v>9.18515625</v>
      </c>
      <c r="Y160" s="84"/>
      <c r="Z160" s="84"/>
      <c r="AA160" s="84">
        <f t="shared" si="66"/>
        <v>9.18515625</v>
      </c>
      <c r="AB160" s="94">
        <v>7.17</v>
      </c>
      <c r="AC160" s="81">
        <f t="shared" si="64"/>
        <v>65.8575703125</v>
      </c>
      <c r="AD160" s="81">
        <f t="shared" ref="AD160:AD191" si="69">SUM(W160+AC160)</f>
        <v>581.4825703125</v>
      </c>
      <c r="AE160" s="81">
        <f t="shared" ref="AE160:AE191" si="70">SUM(O160-AD160)</f>
        <v>356.0174296875</v>
      </c>
    </row>
    <row r="161" customFormat="1" spans="1:31">
      <c r="A161" s="19"/>
      <c r="B161" s="20"/>
      <c r="C161" s="21">
        <v>240103000028</v>
      </c>
      <c r="D161" s="22">
        <v>45297</v>
      </c>
      <c r="E161" s="22" t="s">
        <v>58</v>
      </c>
      <c r="F161" s="20" t="s">
        <v>59</v>
      </c>
      <c r="G161" s="20" t="s">
        <v>194</v>
      </c>
      <c r="H161" s="20">
        <v>2.5</v>
      </c>
      <c r="I161" s="43">
        <v>312.5</v>
      </c>
      <c r="J161" s="44"/>
      <c r="K161" s="45"/>
      <c r="L161" s="44"/>
      <c r="M161" s="46"/>
      <c r="N161" s="20"/>
      <c r="O161" s="48">
        <f t="shared" si="61"/>
        <v>312.5</v>
      </c>
      <c r="P161" s="54"/>
      <c r="Q161" s="54"/>
      <c r="R161" s="81">
        <f t="shared" si="67"/>
        <v>171.875</v>
      </c>
      <c r="S161" s="81"/>
      <c r="T161" s="81">
        <v>0</v>
      </c>
      <c r="U161" s="81"/>
      <c r="V161" s="81"/>
      <c r="W161" s="83">
        <f t="shared" si="65"/>
        <v>171.875</v>
      </c>
      <c r="X161" s="84">
        <f t="shared" si="68"/>
        <v>3.06171875</v>
      </c>
      <c r="Y161" s="84"/>
      <c r="Z161" s="84"/>
      <c r="AA161" s="84">
        <f t="shared" ref="AA161:AA192" si="71">SUM(X161:Z161)</f>
        <v>3.06171875</v>
      </c>
      <c r="AB161" s="94">
        <v>7.17</v>
      </c>
      <c r="AC161" s="81">
        <f t="shared" si="64"/>
        <v>21.9525234375</v>
      </c>
      <c r="AD161" s="81">
        <f t="shared" si="69"/>
        <v>193.8275234375</v>
      </c>
      <c r="AE161" s="81">
        <f t="shared" si="70"/>
        <v>118.6724765625</v>
      </c>
    </row>
    <row r="162" customFormat="1" spans="1:31">
      <c r="A162" s="19"/>
      <c r="B162" s="20"/>
      <c r="C162" s="21">
        <v>240104000001</v>
      </c>
      <c r="D162" s="22">
        <v>45297</v>
      </c>
      <c r="E162" s="22" t="s">
        <v>69</v>
      </c>
      <c r="F162" s="20" t="s">
        <v>192</v>
      </c>
      <c r="G162" s="20" t="s">
        <v>193</v>
      </c>
      <c r="H162" s="20">
        <v>0.98</v>
      </c>
      <c r="I162" s="43">
        <v>130</v>
      </c>
      <c r="J162" s="44"/>
      <c r="K162" s="45"/>
      <c r="L162" s="44"/>
      <c r="M162" s="46"/>
      <c r="N162" s="20"/>
      <c r="O162" s="48">
        <f t="shared" si="61"/>
        <v>130</v>
      </c>
      <c r="P162" s="60"/>
      <c r="Q162" s="60"/>
      <c r="R162" s="81">
        <f t="shared" si="67"/>
        <v>67.375</v>
      </c>
      <c r="S162" s="81"/>
      <c r="T162" s="81">
        <v>0</v>
      </c>
      <c r="U162" s="81"/>
      <c r="V162" s="81"/>
      <c r="W162" s="83">
        <f t="shared" si="65"/>
        <v>67.375</v>
      </c>
      <c r="X162" s="84">
        <f t="shared" si="68"/>
        <v>1.20019375</v>
      </c>
      <c r="Y162" s="84"/>
      <c r="Z162" s="84"/>
      <c r="AA162" s="84">
        <f t="shared" si="71"/>
        <v>1.20019375</v>
      </c>
      <c r="AB162" s="94">
        <v>7.17</v>
      </c>
      <c r="AC162" s="81">
        <f t="shared" ref="AC162:AC193" si="72">SUM(AA162*AB162)</f>
        <v>8.6053891875</v>
      </c>
      <c r="AD162" s="81">
        <f t="shared" si="69"/>
        <v>75.9803891875</v>
      </c>
      <c r="AE162" s="81">
        <f t="shared" si="70"/>
        <v>54.0196108125</v>
      </c>
    </row>
    <row r="163" customFormat="1" spans="1:31">
      <c r="A163" s="19" t="s">
        <v>195</v>
      </c>
      <c r="B163" s="20" t="s">
        <v>196</v>
      </c>
      <c r="C163" s="21">
        <v>231227000011</v>
      </c>
      <c r="D163" s="22">
        <v>45299</v>
      </c>
      <c r="E163" s="22" t="s">
        <v>49</v>
      </c>
      <c r="F163" s="20" t="s">
        <v>50</v>
      </c>
      <c r="G163" s="20" t="s">
        <v>87</v>
      </c>
      <c r="H163" s="20">
        <v>9.5</v>
      </c>
      <c r="I163" s="50"/>
      <c r="J163" s="51">
        <v>98412</v>
      </c>
      <c r="K163" s="52"/>
      <c r="L163" s="51">
        <f>SUM(J163/M163)</f>
        <v>1269.1771988651</v>
      </c>
      <c r="M163" s="53">
        <v>77.54</v>
      </c>
      <c r="N163" s="20">
        <v>7.17</v>
      </c>
      <c r="O163" s="48">
        <f t="shared" ref="O163:O167" si="73">SUM(M163*N163)</f>
        <v>555.9618</v>
      </c>
      <c r="P163" s="49">
        <f>SUM(O163:O234)</f>
        <v>104922.8451</v>
      </c>
      <c r="Q163" s="80" t="s">
        <v>197</v>
      </c>
      <c r="R163" s="81">
        <f>SUM(68350.4/2048)*H163</f>
        <v>317.055078125</v>
      </c>
      <c r="S163" s="82">
        <v>41</v>
      </c>
      <c r="T163" s="82">
        <f>SUM(227.2/2048)*H163</f>
        <v>1.05390625</v>
      </c>
      <c r="U163" s="81"/>
      <c r="V163" s="81"/>
      <c r="W163" s="83">
        <f t="shared" ref="W163:W194" si="74">SUM(R163:V163)</f>
        <v>359.108984375</v>
      </c>
      <c r="X163" s="84">
        <f>SUM(1352.27/2048)*H163</f>
        <v>6.27273681640625</v>
      </c>
      <c r="Y163" s="84"/>
      <c r="Z163" s="84"/>
      <c r="AA163" s="84">
        <f t="shared" si="71"/>
        <v>6.27273681640625</v>
      </c>
      <c r="AB163" s="94">
        <v>7.17</v>
      </c>
      <c r="AC163" s="81">
        <f t="shared" si="72"/>
        <v>44.9755229736328</v>
      </c>
      <c r="AD163" s="81">
        <f t="shared" si="69"/>
        <v>404.084507348633</v>
      </c>
      <c r="AE163" s="81">
        <f t="shared" si="70"/>
        <v>151.877292651367</v>
      </c>
    </row>
    <row r="164" customFormat="1" spans="1:31">
      <c r="A164" s="19"/>
      <c r="B164" s="20"/>
      <c r="C164" s="21">
        <v>231227000017</v>
      </c>
      <c r="D164" s="22">
        <v>45299</v>
      </c>
      <c r="E164" s="22" t="s">
        <v>37</v>
      </c>
      <c r="F164" s="20" t="s">
        <v>38</v>
      </c>
      <c r="G164" s="20" t="s">
        <v>198</v>
      </c>
      <c r="H164" s="20">
        <v>1.5</v>
      </c>
      <c r="I164" s="50"/>
      <c r="J164" s="51">
        <v>15219</v>
      </c>
      <c r="K164" s="52"/>
      <c r="L164" s="51">
        <f>SUM(J164/M164)</f>
        <v>1276.76174496644</v>
      </c>
      <c r="M164" s="53">
        <v>11.92</v>
      </c>
      <c r="N164" s="20">
        <v>7.17</v>
      </c>
      <c r="O164" s="48">
        <f t="shared" si="73"/>
        <v>85.4664</v>
      </c>
      <c r="P164" s="54"/>
      <c r="Q164" s="54"/>
      <c r="R164" s="81">
        <f t="shared" ref="R164:R195" si="75">SUM(68350.4/2048)*H164</f>
        <v>50.061328125</v>
      </c>
      <c r="S164" s="82"/>
      <c r="T164" s="82">
        <f t="shared" ref="T164:T195" si="76">SUM(227.2/2048)*H164</f>
        <v>0.16640625</v>
      </c>
      <c r="U164" s="81"/>
      <c r="V164" s="81"/>
      <c r="W164" s="83">
        <f t="shared" si="74"/>
        <v>50.227734375</v>
      </c>
      <c r="X164" s="84">
        <f t="shared" ref="X164:X195" si="77">SUM(1352.27/2048)*H164</f>
        <v>0.99043212890625</v>
      </c>
      <c r="Y164" s="84"/>
      <c r="Z164" s="84"/>
      <c r="AA164" s="84">
        <f t="shared" si="71"/>
        <v>0.99043212890625</v>
      </c>
      <c r="AB164" s="94">
        <v>7.17</v>
      </c>
      <c r="AC164" s="81">
        <f t="shared" si="72"/>
        <v>7.10139836425781</v>
      </c>
      <c r="AD164" s="81">
        <f t="shared" si="69"/>
        <v>57.3291327392578</v>
      </c>
      <c r="AE164" s="81">
        <f t="shared" si="70"/>
        <v>28.1372672607422</v>
      </c>
    </row>
    <row r="165" customFormat="1" spans="1:31">
      <c r="A165" s="19"/>
      <c r="B165" s="20"/>
      <c r="C165" s="21">
        <v>231227000030</v>
      </c>
      <c r="D165" s="22">
        <v>45299</v>
      </c>
      <c r="E165" s="22" t="s">
        <v>58</v>
      </c>
      <c r="F165" s="20">
        <v>13635229849</v>
      </c>
      <c r="G165" s="20" t="s">
        <v>157</v>
      </c>
      <c r="H165" s="20">
        <v>5.5</v>
      </c>
      <c r="I165" s="48"/>
      <c r="J165" s="55">
        <v>57350</v>
      </c>
      <c r="K165" s="56"/>
      <c r="L165" s="51">
        <f>SUM(J165/M165)</f>
        <v>1240</v>
      </c>
      <c r="M165" s="53">
        <v>46.25</v>
      </c>
      <c r="N165" s="20">
        <v>7.17</v>
      </c>
      <c r="O165" s="48">
        <f t="shared" si="73"/>
        <v>331.6125</v>
      </c>
      <c r="P165" s="54"/>
      <c r="Q165" s="54"/>
      <c r="R165" s="81">
        <f t="shared" si="75"/>
        <v>183.558203125</v>
      </c>
      <c r="S165" s="82"/>
      <c r="T165" s="82">
        <f t="shared" si="76"/>
        <v>0.61015625</v>
      </c>
      <c r="U165" s="81"/>
      <c r="V165" s="81"/>
      <c r="W165" s="83">
        <f t="shared" si="74"/>
        <v>184.168359375</v>
      </c>
      <c r="X165" s="84">
        <f t="shared" si="77"/>
        <v>3.63158447265625</v>
      </c>
      <c r="Y165" s="84"/>
      <c r="Z165" s="84"/>
      <c r="AA165" s="84">
        <f t="shared" si="71"/>
        <v>3.63158447265625</v>
      </c>
      <c r="AB165" s="94">
        <v>7.17</v>
      </c>
      <c r="AC165" s="81">
        <f t="shared" si="72"/>
        <v>26.0384606689453</v>
      </c>
      <c r="AD165" s="81">
        <f t="shared" si="69"/>
        <v>210.206820043945</v>
      </c>
      <c r="AE165" s="81">
        <f t="shared" si="70"/>
        <v>121.405679956055</v>
      </c>
    </row>
    <row r="166" customFormat="1" spans="1:31">
      <c r="A166" s="19"/>
      <c r="B166" s="20"/>
      <c r="C166" s="21">
        <v>231228000007</v>
      </c>
      <c r="D166" s="22">
        <v>45299</v>
      </c>
      <c r="E166" s="22" t="s">
        <v>58</v>
      </c>
      <c r="F166" s="20" t="s">
        <v>59</v>
      </c>
      <c r="G166" s="20" t="s">
        <v>199</v>
      </c>
      <c r="H166" s="20">
        <v>3.5</v>
      </c>
      <c r="I166" s="48"/>
      <c r="J166" s="55">
        <v>36753</v>
      </c>
      <c r="K166" s="56"/>
      <c r="L166" s="51">
        <f>SUM(J166/M166)</f>
        <v>1239.56155143339</v>
      </c>
      <c r="M166" s="53">
        <v>29.65</v>
      </c>
      <c r="N166" s="20">
        <v>7.17</v>
      </c>
      <c r="O166" s="48">
        <f t="shared" si="73"/>
        <v>212.5905</v>
      </c>
      <c r="P166" s="54"/>
      <c r="Q166" s="54"/>
      <c r="R166" s="81">
        <f t="shared" si="75"/>
        <v>116.809765625</v>
      </c>
      <c r="S166" s="82"/>
      <c r="T166" s="82">
        <f t="shared" si="76"/>
        <v>0.38828125</v>
      </c>
      <c r="U166" s="81"/>
      <c r="V166" s="81"/>
      <c r="W166" s="83">
        <f t="shared" si="74"/>
        <v>117.198046875</v>
      </c>
      <c r="X166" s="84">
        <f t="shared" si="77"/>
        <v>2.31100830078125</v>
      </c>
      <c r="Y166" s="84"/>
      <c r="Z166" s="84"/>
      <c r="AA166" s="84">
        <f t="shared" si="71"/>
        <v>2.31100830078125</v>
      </c>
      <c r="AB166" s="94">
        <v>7.17</v>
      </c>
      <c r="AC166" s="81">
        <f t="shared" si="72"/>
        <v>16.5699295166016</v>
      </c>
      <c r="AD166" s="81">
        <f t="shared" si="69"/>
        <v>133.767976391602</v>
      </c>
      <c r="AE166" s="81">
        <f t="shared" si="70"/>
        <v>78.822523608398</v>
      </c>
    </row>
    <row r="167" customFormat="1" spans="1:31">
      <c r="A167" s="19"/>
      <c r="B167" s="20"/>
      <c r="C167" s="21">
        <v>231228000019</v>
      </c>
      <c r="D167" s="22">
        <v>45299</v>
      </c>
      <c r="E167" s="22" t="s">
        <v>49</v>
      </c>
      <c r="F167" s="20" t="s">
        <v>50</v>
      </c>
      <c r="G167" s="20" t="s">
        <v>200</v>
      </c>
      <c r="H167" s="20">
        <v>2</v>
      </c>
      <c r="I167" s="48"/>
      <c r="J167" s="55">
        <v>19592</v>
      </c>
      <c r="K167" s="56"/>
      <c r="L167" s="51">
        <f>SUM(J167/M167)</f>
        <v>1240</v>
      </c>
      <c r="M167" s="53">
        <v>15.8</v>
      </c>
      <c r="N167" s="20">
        <v>7.17</v>
      </c>
      <c r="O167" s="48">
        <f t="shared" si="73"/>
        <v>113.286</v>
      </c>
      <c r="P167" s="54"/>
      <c r="Q167" s="54"/>
      <c r="R167" s="81">
        <f t="shared" si="75"/>
        <v>66.7484375</v>
      </c>
      <c r="S167" s="82"/>
      <c r="T167" s="82">
        <f t="shared" si="76"/>
        <v>0.221875</v>
      </c>
      <c r="U167" s="81"/>
      <c r="V167" s="81"/>
      <c r="W167" s="83">
        <f t="shared" si="74"/>
        <v>66.9703125</v>
      </c>
      <c r="X167" s="84">
        <f t="shared" si="77"/>
        <v>1.320576171875</v>
      </c>
      <c r="Y167" s="84"/>
      <c r="Z167" s="84"/>
      <c r="AA167" s="84">
        <f t="shared" si="71"/>
        <v>1.320576171875</v>
      </c>
      <c r="AB167" s="94">
        <v>7.17</v>
      </c>
      <c r="AC167" s="81">
        <f t="shared" si="72"/>
        <v>9.46853115234375</v>
      </c>
      <c r="AD167" s="81">
        <f t="shared" si="69"/>
        <v>76.4388436523437</v>
      </c>
      <c r="AE167" s="81">
        <f t="shared" si="70"/>
        <v>36.8471563476563</v>
      </c>
    </row>
    <row r="168" customFormat="1" spans="1:31">
      <c r="A168" s="19"/>
      <c r="B168" s="20"/>
      <c r="C168" s="21">
        <v>231229000001</v>
      </c>
      <c r="D168" s="22">
        <v>45299</v>
      </c>
      <c r="E168" s="22" t="s">
        <v>44</v>
      </c>
      <c r="F168" s="20" t="s">
        <v>45</v>
      </c>
      <c r="G168" s="20" t="s">
        <v>183</v>
      </c>
      <c r="H168" s="20">
        <v>10.5</v>
      </c>
      <c r="I168" s="43">
        <v>552</v>
      </c>
      <c r="J168" s="44"/>
      <c r="K168" s="45"/>
      <c r="L168" s="44"/>
      <c r="M168" s="46"/>
      <c r="N168" s="20"/>
      <c r="O168" s="48">
        <f t="shared" ref="O168:O172" si="78">SUM(I168)</f>
        <v>552</v>
      </c>
      <c r="P168" s="54"/>
      <c r="Q168" s="54"/>
      <c r="R168" s="81">
        <f t="shared" si="75"/>
        <v>350.429296875</v>
      </c>
      <c r="S168" s="82"/>
      <c r="T168" s="82">
        <f t="shared" si="76"/>
        <v>1.16484375</v>
      </c>
      <c r="U168" s="81"/>
      <c r="V168" s="81"/>
      <c r="W168" s="83">
        <f t="shared" si="74"/>
        <v>351.594140625</v>
      </c>
      <c r="X168" s="84">
        <f t="shared" si="77"/>
        <v>6.93302490234375</v>
      </c>
      <c r="Y168" s="84"/>
      <c r="Z168" s="84"/>
      <c r="AA168" s="84">
        <f t="shared" si="71"/>
        <v>6.93302490234375</v>
      </c>
      <c r="AB168" s="94">
        <v>7.17</v>
      </c>
      <c r="AC168" s="81">
        <f t="shared" si="72"/>
        <v>49.7097885498047</v>
      </c>
      <c r="AD168" s="81">
        <f t="shared" si="69"/>
        <v>401.303929174805</v>
      </c>
      <c r="AE168" s="81">
        <f t="shared" si="70"/>
        <v>150.696070825195</v>
      </c>
    </row>
    <row r="169" customFormat="1" spans="1:31">
      <c r="A169" s="19"/>
      <c r="B169" s="20"/>
      <c r="C169" s="21">
        <v>231229000012</v>
      </c>
      <c r="D169" s="22">
        <v>45299</v>
      </c>
      <c r="E169" s="22" t="s">
        <v>44</v>
      </c>
      <c r="F169" s="20" t="s">
        <v>45</v>
      </c>
      <c r="G169" s="20" t="s">
        <v>56</v>
      </c>
      <c r="H169" s="20">
        <v>1.5</v>
      </c>
      <c r="I169" s="48"/>
      <c r="J169" s="55">
        <v>14705</v>
      </c>
      <c r="K169" s="56"/>
      <c r="L169" s="51">
        <f>SUM(J169/M169)</f>
        <v>1228.48788638262</v>
      </c>
      <c r="M169" s="53">
        <v>11.97</v>
      </c>
      <c r="N169" s="20">
        <v>7.17</v>
      </c>
      <c r="O169" s="48">
        <f t="shared" ref="O169:O173" si="79">SUM(M169*N169)</f>
        <v>85.8249</v>
      </c>
      <c r="P169" s="54"/>
      <c r="Q169" s="54"/>
      <c r="R169" s="81">
        <f t="shared" si="75"/>
        <v>50.061328125</v>
      </c>
      <c r="S169" s="82"/>
      <c r="T169" s="82">
        <f t="shared" si="76"/>
        <v>0.16640625</v>
      </c>
      <c r="U169" s="81"/>
      <c r="V169" s="81"/>
      <c r="W169" s="83">
        <f t="shared" si="74"/>
        <v>50.227734375</v>
      </c>
      <c r="X169" s="84">
        <f t="shared" si="77"/>
        <v>0.99043212890625</v>
      </c>
      <c r="Y169" s="84"/>
      <c r="Z169" s="84"/>
      <c r="AA169" s="84">
        <f t="shared" si="71"/>
        <v>0.99043212890625</v>
      </c>
      <c r="AB169" s="94">
        <v>7.17</v>
      </c>
      <c r="AC169" s="81">
        <f t="shared" si="72"/>
        <v>7.10139836425781</v>
      </c>
      <c r="AD169" s="81">
        <f t="shared" si="69"/>
        <v>57.3291327392578</v>
      </c>
      <c r="AE169" s="81">
        <f t="shared" si="70"/>
        <v>28.4957672607422</v>
      </c>
    </row>
    <row r="170" customFormat="1" spans="1:31">
      <c r="A170" s="19"/>
      <c r="B170" s="20"/>
      <c r="C170" s="21">
        <v>231229000013</v>
      </c>
      <c r="D170" s="22">
        <v>45299</v>
      </c>
      <c r="E170" s="22" t="s">
        <v>44</v>
      </c>
      <c r="F170" s="20" t="s">
        <v>45</v>
      </c>
      <c r="G170" s="20" t="s">
        <v>56</v>
      </c>
      <c r="H170" s="20">
        <v>15.5</v>
      </c>
      <c r="I170" s="48"/>
      <c r="J170" s="55">
        <v>137708</v>
      </c>
      <c r="K170" s="56"/>
      <c r="L170" s="51">
        <f>SUM(J170/M170)</f>
        <v>1240.05402971634</v>
      </c>
      <c r="M170" s="53">
        <v>111.05</v>
      </c>
      <c r="N170" s="20">
        <v>7.17</v>
      </c>
      <c r="O170" s="48">
        <f t="shared" si="79"/>
        <v>796.2285</v>
      </c>
      <c r="P170" s="54"/>
      <c r="Q170" s="54"/>
      <c r="R170" s="81">
        <f t="shared" si="75"/>
        <v>517.300390625</v>
      </c>
      <c r="S170" s="82"/>
      <c r="T170" s="82">
        <f t="shared" si="76"/>
        <v>1.71953125</v>
      </c>
      <c r="U170" s="81"/>
      <c r="V170" s="81"/>
      <c r="W170" s="83">
        <f t="shared" si="74"/>
        <v>519.019921875</v>
      </c>
      <c r="X170" s="84">
        <f t="shared" si="77"/>
        <v>10.2344653320313</v>
      </c>
      <c r="Y170" s="84"/>
      <c r="Z170" s="84"/>
      <c r="AA170" s="84">
        <f t="shared" si="71"/>
        <v>10.2344653320313</v>
      </c>
      <c r="AB170" s="94">
        <v>7.17</v>
      </c>
      <c r="AC170" s="81">
        <f t="shared" si="72"/>
        <v>73.3811164306641</v>
      </c>
      <c r="AD170" s="81">
        <f t="shared" si="69"/>
        <v>592.401038305664</v>
      </c>
      <c r="AE170" s="81">
        <f t="shared" si="70"/>
        <v>203.827461694336</v>
      </c>
    </row>
    <row r="171" customFormat="1" spans="1:31">
      <c r="A171" s="19"/>
      <c r="B171" s="20"/>
      <c r="C171" s="21">
        <v>231229000020</v>
      </c>
      <c r="D171" s="22">
        <v>45299</v>
      </c>
      <c r="E171" s="22" t="s">
        <v>37</v>
      </c>
      <c r="F171" s="20" t="s">
        <v>38</v>
      </c>
      <c r="G171" s="20" t="s">
        <v>201</v>
      </c>
      <c r="H171" s="20">
        <v>25.5</v>
      </c>
      <c r="I171" s="43">
        <v>1176.5</v>
      </c>
      <c r="J171" s="44"/>
      <c r="K171" s="45"/>
      <c r="L171" s="44"/>
      <c r="M171" s="46"/>
      <c r="N171" s="20"/>
      <c r="O171" s="48">
        <f t="shared" si="78"/>
        <v>1176.5</v>
      </c>
      <c r="P171" s="54"/>
      <c r="Q171" s="54"/>
      <c r="R171" s="81">
        <f t="shared" si="75"/>
        <v>851.042578125</v>
      </c>
      <c r="S171" s="82"/>
      <c r="T171" s="82">
        <f t="shared" si="76"/>
        <v>2.82890625</v>
      </c>
      <c r="U171" s="81"/>
      <c r="V171" s="82">
        <v>29</v>
      </c>
      <c r="W171" s="83">
        <f t="shared" si="74"/>
        <v>882.871484375</v>
      </c>
      <c r="X171" s="84">
        <f t="shared" si="77"/>
        <v>16.8373461914063</v>
      </c>
      <c r="Y171" s="84"/>
      <c r="Z171" s="84"/>
      <c r="AA171" s="84">
        <f t="shared" si="71"/>
        <v>16.8373461914063</v>
      </c>
      <c r="AB171" s="94">
        <v>7.17</v>
      </c>
      <c r="AC171" s="81">
        <f t="shared" si="72"/>
        <v>120.723772192383</v>
      </c>
      <c r="AD171" s="81">
        <f t="shared" si="69"/>
        <v>1003.59525656738</v>
      </c>
      <c r="AE171" s="81">
        <f t="shared" si="70"/>
        <v>172.90474343262</v>
      </c>
    </row>
    <row r="172" customFormat="1" spans="1:31">
      <c r="A172" s="19"/>
      <c r="B172" s="20"/>
      <c r="C172" s="21">
        <v>231229000023</v>
      </c>
      <c r="D172" s="22">
        <v>45299</v>
      </c>
      <c r="E172" s="22" t="s">
        <v>110</v>
      </c>
      <c r="F172" s="20" t="s">
        <v>111</v>
      </c>
      <c r="G172" s="20" t="s">
        <v>202</v>
      </c>
      <c r="H172" s="20">
        <v>9</v>
      </c>
      <c r="I172" s="43">
        <v>612</v>
      </c>
      <c r="J172" s="44"/>
      <c r="K172" s="45"/>
      <c r="L172" s="44"/>
      <c r="M172" s="46"/>
      <c r="N172" s="20"/>
      <c r="O172" s="48">
        <f t="shared" si="78"/>
        <v>612</v>
      </c>
      <c r="P172" s="54"/>
      <c r="Q172" s="54"/>
      <c r="R172" s="81">
        <f t="shared" si="75"/>
        <v>300.36796875</v>
      </c>
      <c r="S172" s="82"/>
      <c r="T172" s="82">
        <f t="shared" si="76"/>
        <v>0.9984375</v>
      </c>
      <c r="U172" s="81"/>
      <c r="V172" s="82">
        <f>SUM(50+35)</f>
        <v>85</v>
      </c>
      <c r="W172" s="83">
        <f t="shared" si="74"/>
        <v>386.36640625</v>
      </c>
      <c r="X172" s="84">
        <f t="shared" si="77"/>
        <v>5.9425927734375</v>
      </c>
      <c r="Y172" s="84"/>
      <c r="Z172" s="84"/>
      <c r="AA172" s="84">
        <f t="shared" si="71"/>
        <v>5.9425927734375</v>
      </c>
      <c r="AB172" s="94">
        <v>7.17</v>
      </c>
      <c r="AC172" s="81">
        <f t="shared" si="72"/>
        <v>42.6083901855469</v>
      </c>
      <c r="AD172" s="81">
        <f t="shared" si="69"/>
        <v>428.974796435547</v>
      </c>
      <c r="AE172" s="81">
        <f t="shared" si="70"/>
        <v>183.025203564453</v>
      </c>
    </row>
    <row r="173" customFormat="1" spans="1:31">
      <c r="A173" s="19"/>
      <c r="B173" s="20"/>
      <c r="C173" s="21">
        <v>231229000024</v>
      </c>
      <c r="D173" s="22">
        <v>45299</v>
      </c>
      <c r="E173" s="22" t="s">
        <v>44</v>
      </c>
      <c r="F173" s="20" t="s">
        <v>73</v>
      </c>
      <c r="G173" s="20" t="s">
        <v>74</v>
      </c>
      <c r="H173" s="20">
        <v>140.5</v>
      </c>
      <c r="I173" s="48"/>
      <c r="J173" s="55">
        <v>1055140.8</v>
      </c>
      <c r="K173" s="56"/>
      <c r="L173" s="51">
        <f>SUM(J173/M173)</f>
        <v>1270.0145641001</v>
      </c>
      <c r="M173" s="53">
        <v>830.81</v>
      </c>
      <c r="N173" s="20">
        <v>7.17</v>
      </c>
      <c r="O173" s="48">
        <f t="shared" si="79"/>
        <v>5956.9077</v>
      </c>
      <c r="P173" s="54"/>
      <c r="Q173" s="54"/>
      <c r="R173" s="81">
        <f t="shared" si="75"/>
        <v>4689.077734375</v>
      </c>
      <c r="S173" s="82"/>
      <c r="T173" s="82">
        <f t="shared" si="76"/>
        <v>15.58671875</v>
      </c>
      <c r="U173" s="81"/>
      <c r="V173" s="81"/>
      <c r="W173" s="83">
        <f t="shared" si="74"/>
        <v>4704.664453125</v>
      </c>
      <c r="X173" s="84">
        <f t="shared" si="77"/>
        <v>92.7704760742187</v>
      </c>
      <c r="Y173" s="84"/>
      <c r="Z173" s="84"/>
      <c r="AA173" s="84">
        <f t="shared" si="71"/>
        <v>92.7704760742187</v>
      </c>
      <c r="AB173" s="94">
        <v>7.17</v>
      </c>
      <c r="AC173" s="81">
        <f t="shared" si="72"/>
        <v>665.164313452148</v>
      </c>
      <c r="AD173" s="81">
        <f t="shared" si="69"/>
        <v>5369.82876657715</v>
      </c>
      <c r="AE173" s="81">
        <f t="shared" si="70"/>
        <v>587.078933422849</v>
      </c>
    </row>
    <row r="174" customFormat="1" spans="1:31">
      <c r="A174" s="19"/>
      <c r="B174" s="20"/>
      <c r="C174" s="21">
        <v>231229000034</v>
      </c>
      <c r="D174" s="22">
        <v>45299</v>
      </c>
      <c r="E174" s="22" t="s">
        <v>37</v>
      </c>
      <c r="F174" s="20" t="s">
        <v>203</v>
      </c>
      <c r="G174" s="20" t="s">
        <v>122</v>
      </c>
      <c r="H174" s="20">
        <v>1.5</v>
      </c>
      <c r="I174" s="43">
        <v>85.5</v>
      </c>
      <c r="J174" s="44"/>
      <c r="K174" s="45"/>
      <c r="L174" s="44"/>
      <c r="M174" s="46"/>
      <c r="N174" s="20"/>
      <c r="O174" s="48">
        <f>SUM(I174)</f>
        <v>85.5</v>
      </c>
      <c r="P174" s="54"/>
      <c r="Q174" s="54"/>
      <c r="R174" s="81">
        <f t="shared" si="75"/>
        <v>50.061328125</v>
      </c>
      <c r="S174" s="82"/>
      <c r="T174" s="82">
        <f t="shared" si="76"/>
        <v>0.16640625</v>
      </c>
      <c r="U174" s="81"/>
      <c r="V174" s="81"/>
      <c r="W174" s="83">
        <f t="shared" si="74"/>
        <v>50.227734375</v>
      </c>
      <c r="X174" s="84">
        <f t="shared" si="77"/>
        <v>0.99043212890625</v>
      </c>
      <c r="Y174" s="84"/>
      <c r="Z174" s="84"/>
      <c r="AA174" s="84">
        <f t="shared" si="71"/>
        <v>0.99043212890625</v>
      </c>
      <c r="AB174" s="94">
        <v>7.17</v>
      </c>
      <c r="AC174" s="81">
        <f t="shared" si="72"/>
        <v>7.10139836425781</v>
      </c>
      <c r="AD174" s="81">
        <f t="shared" si="69"/>
        <v>57.3291327392578</v>
      </c>
      <c r="AE174" s="81">
        <f t="shared" si="70"/>
        <v>28.1708672607422</v>
      </c>
    </row>
    <row r="175" customFormat="1" spans="1:31">
      <c r="A175" s="19"/>
      <c r="B175" s="20"/>
      <c r="C175" s="21">
        <v>231230000001</v>
      </c>
      <c r="D175" s="22">
        <v>45299</v>
      </c>
      <c r="E175" s="25" t="s">
        <v>69</v>
      </c>
      <c r="F175" s="20" t="s">
        <v>69</v>
      </c>
      <c r="G175" s="20" t="s">
        <v>77</v>
      </c>
      <c r="H175" s="20">
        <v>204.5</v>
      </c>
      <c r="I175" s="48"/>
      <c r="J175" s="55">
        <v>2004814</v>
      </c>
      <c r="K175" s="56"/>
      <c r="L175" s="51">
        <f>SUM(J175/M175)</f>
        <v>1276.26062322946</v>
      </c>
      <c r="M175" s="53">
        <v>1570.85</v>
      </c>
      <c r="N175" s="20">
        <v>7.17</v>
      </c>
      <c r="O175" s="48">
        <f t="shared" ref="O175:O180" si="80">SUM(M175*N175)</f>
        <v>11262.9945</v>
      </c>
      <c r="P175" s="54"/>
      <c r="Q175" s="54"/>
      <c r="R175" s="81">
        <f t="shared" si="75"/>
        <v>6825.027734375</v>
      </c>
      <c r="S175" s="82"/>
      <c r="T175" s="82">
        <f t="shared" si="76"/>
        <v>22.68671875</v>
      </c>
      <c r="U175" s="81"/>
      <c r="V175" s="82">
        <v>220</v>
      </c>
      <c r="W175" s="83">
        <f t="shared" si="74"/>
        <v>7067.714453125</v>
      </c>
      <c r="X175" s="84">
        <f t="shared" si="77"/>
        <v>135.028913574219</v>
      </c>
      <c r="Y175" s="84"/>
      <c r="Z175" s="84"/>
      <c r="AA175" s="84">
        <f t="shared" si="71"/>
        <v>135.028913574219</v>
      </c>
      <c r="AB175" s="94">
        <v>7.17</v>
      </c>
      <c r="AC175" s="81">
        <f t="shared" si="72"/>
        <v>968.157310327148</v>
      </c>
      <c r="AD175" s="81">
        <f t="shared" si="69"/>
        <v>8035.87176345215</v>
      </c>
      <c r="AE175" s="81">
        <f t="shared" si="70"/>
        <v>3227.12273654785</v>
      </c>
    </row>
    <row r="176" customFormat="1" spans="1:31">
      <c r="A176" s="19"/>
      <c r="B176" s="20"/>
      <c r="C176" s="21">
        <v>231230000003</v>
      </c>
      <c r="D176" s="22">
        <v>45299</v>
      </c>
      <c r="E176" s="25" t="s">
        <v>69</v>
      </c>
      <c r="F176" s="20" t="s">
        <v>69</v>
      </c>
      <c r="G176" s="20" t="s">
        <v>92</v>
      </c>
      <c r="H176" s="20">
        <v>29</v>
      </c>
      <c r="I176" s="95">
        <v>1131</v>
      </c>
      <c r="J176" s="51"/>
      <c r="K176" s="52"/>
      <c r="L176" s="51" t="e">
        <f>SUM(J176/M176)</f>
        <v>#DIV/0!</v>
      </c>
      <c r="M176" s="53"/>
      <c r="N176" s="20"/>
      <c r="O176" s="48">
        <f>SUBTOTAL(9,I176)</f>
        <v>1131</v>
      </c>
      <c r="P176" s="54"/>
      <c r="Q176" s="54"/>
      <c r="R176" s="81">
        <f t="shared" si="75"/>
        <v>967.85234375</v>
      </c>
      <c r="S176" s="82"/>
      <c r="T176" s="82">
        <f t="shared" si="76"/>
        <v>3.2171875</v>
      </c>
      <c r="U176" s="81"/>
      <c r="V176" s="81"/>
      <c r="W176" s="83">
        <f t="shared" si="74"/>
        <v>971.06953125</v>
      </c>
      <c r="X176" s="84">
        <f t="shared" si="77"/>
        <v>19.1483544921875</v>
      </c>
      <c r="Y176" s="84"/>
      <c r="Z176" s="84"/>
      <c r="AA176" s="84">
        <f t="shared" si="71"/>
        <v>19.1483544921875</v>
      </c>
      <c r="AB176" s="94">
        <v>7.17</v>
      </c>
      <c r="AC176" s="81">
        <f t="shared" si="72"/>
        <v>137.293701708984</v>
      </c>
      <c r="AD176" s="81">
        <f t="shared" si="69"/>
        <v>1108.36323295898</v>
      </c>
      <c r="AE176" s="81">
        <f t="shared" si="70"/>
        <v>22.63676704102</v>
      </c>
    </row>
    <row r="177" customFormat="1" spans="1:31">
      <c r="A177" s="19"/>
      <c r="B177" s="20"/>
      <c r="C177" s="21">
        <v>231230000004</v>
      </c>
      <c r="D177" s="22">
        <v>45299</v>
      </c>
      <c r="E177" s="22" t="s">
        <v>44</v>
      </c>
      <c r="F177" s="20" t="s">
        <v>45</v>
      </c>
      <c r="G177" s="20" t="s">
        <v>184</v>
      </c>
      <c r="H177" s="20">
        <v>0.6</v>
      </c>
      <c r="I177" s="57">
        <v>59</v>
      </c>
      <c r="J177" s="97"/>
      <c r="K177" s="98"/>
      <c r="L177" s="99"/>
      <c r="M177" s="46"/>
      <c r="N177" s="47"/>
      <c r="O177" s="48">
        <f>SUBTOTAL(9,I177)</f>
        <v>59</v>
      </c>
      <c r="P177" s="54"/>
      <c r="Q177" s="54"/>
      <c r="R177" s="81">
        <f t="shared" si="75"/>
        <v>20.02453125</v>
      </c>
      <c r="S177" s="82"/>
      <c r="T177" s="82">
        <f t="shared" si="76"/>
        <v>0.0665625</v>
      </c>
      <c r="U177" s="81"/>
      <c r="V177" s="81"/>
      <c r="W177" s="83">
        <f t="shared" si="74"/>
        <v>20.09109375</v>
      </c>
      <c r="X177" s="84">
        <f t="shared" si="77"/>
        <v>0.3961728515625</v>
      </c>
      <c r="Y177" s="84"/>
      <c r="Z177" s="84"/>
      <c r="AA177" s="84">
        <f t="shared" si="71"/>
        <v>0.3961728515625</v>
      </c>
      <c r="AB177" s="94">
        <v>7.17</v>
      </c>
      <c r="AC177" s="81">
        <f t="shared" si="72"/>
        <v>2.84055934570312</v>
      </c>
      <c r="AD177" s="81">
        <f t="shared" si="69"/>
        <v>22.9316530957031</v>
      </c>
      <c r="AE177" s="81">
        <f t="shared" si="70"/>
        <v>36.0683469042969</v>
      </c>
    </row>
    <row r="178" customFormat="1" spans="1:31">
      <c r="A178" s="19"/>
      <c r="B178" s="20"/>
      <c r="C178" s="21">
        <v>231230000007</v>
      </c>
      <c r="D178" s="22">
        <v>45299</v>
      </c>
      <c r="E178" s="22" t="s">
        <v>44</v>
      </c>
      <c r="F178" s="20" t="s">
        <v>45</v>
      </c>
      <c r="G178" s="20" t="s">
        <v>204</v>
      </c>
      <c r="H178" s="20">
        <v>8.5</v>
      </c>
      <c r="I178" s="48"/>
      <c r="J178" s="55">
        <v>76074</v>
      </c>
      <c r="K178" s="56"/>
      <c r="L178" s="51">
        <f>SUM(J178/M178)</f>
        <v>1240</v>
      </c>
      <c r="M178" s="53">
        <v>61.35</v>
      </c>
      <c r="N178" s="20">
        <v>7.17</v>
      </c>
      <c r="O178" s="48">
        <f t="shared" si="80"/>
        <v>439.8795</v>
      </c>
      <c r="P178" s="54"/>
      <c r="Q178" s="54"/>
      <c r="R178" s="81">
        <f t="shared" si="75"/>
        <v>283.680859375</v>
      </c>
      <c r="S178" s="82"/>
      <c r="T178" s="82">
        <f t="shared" si="76"/>
        <v>0.94296875</v>
      </c>
      <c r="U178" s="81"/>
      <c r="V178" s="81"/>
      <c r="W178" s="83">
        <f t="shared" si="74"/>
        <v>284.623828125</v>
      </c>
      <c r="X178" s="84">
        <f t="shared" si="77"/>
        <v>5.61244873046875</v>
      </c>
      <c r="Y178" s="84"/>
      <c r="Z178" s="84"/>
      <c r="AA178" s="84">
        <f t="shared" si="71"/>
        <v>5.61244873046875</v>
      </c>
      <c r="AB178" s="94">
        <v>7.17</v>
      </c>
      <c r="AC178" s="81">
        <f t="shared" si="72"/>
        <v>40.2412573974609</v>
      </c>
      <c r="AD178" s="81">
        <f t="shared" si="69"/>
        <v>324.865085522461</v>
      </c>
      <c r="AE178" s="81">
        <f t="shared" si="70"/>
        <v>115.014414477539</v>
      </c>
    </row>
    <row r="179" customFormat="1" spans="1:31">
      <c r="A179" s="19"/>
      <c r="B179" s="20"/>
      <c r="C179" s="21">
        <v>231230000010</v>
      </c>
      <c r="D179" s="22">
        <v>45299</v>
      </c>
      <c r="E179" s="22" t="s">
        <v>37</v>
      </c>
      <c r="F179" s="20" t="s">
        <v>38</v>
      </c>
      <c r="G179" s="20" t="s">
        <v>205</v>
      </c>
      <c r="H179" s="20">
        <v>0.49</v>
      </c>
      <c r="I179" s="50"/>
      <c r="J179" s="51">
        <v>10300</v>
      </c>
      <c r="K179" s="52"/>
      <c r="L179" s="51">
        <f>SUM(J179/M179)</f>
        <v>1274.75247524752</v>
      </c>
      <c r="M179" s="53">
        <v>8.08</v>
      </c>
      <c r="N179" s="20">
        <v>7.17</v>
      </c>
      <c r="O179" s="48">
        <f t="shared" si="80"/>
        <v>57.9336</v>
      </c>
      <c r="P179" s="54"/>
      <c r="Q179" s="54"/>
      <c r="R179" s="81">
        <f t="shared" si="75"/>
        <v>16.3533671875</v>
      </c>
      <c r="S179" s="82"/>
      <c r="T179" s="82">
        <f t="shared" si="76"/>
        <v>0.054359375</v>
      </c>
      <c r="U179" s="81"/>
      <c r="V179" s="81"/>
      <c r="W179" s="83">
        <f t="shared" si="74"/>
        <v>16.4077265625</v>
      </c>
      <c r="X179" s="84">
        <f t="shared" si="77"/>
        <v>0.323541162109375</v>
      </c>
      <c r="Y179" s="84"/>
      <c r="Z179" s="84"/>
      <c r="AA179" s="84">
        <f t="shared" si="71"/>
        <v>0.323541162109375</v>
      </c>
      <c r="AB179" s="94">
        <v>7.17</v>
      </c>
      <c r="AC179" s="81">
        <f t="shared" si="72"/>
        <v>2.31979013232422</v>
      </c>
      <c r="AD179" s="81">
        <f t="shared" si="69"/>
        <v>18.7275166948242</v>
      </c>
      <c r="AE179" s="81">
        <f t="shared" si="70"/>
        <v>39.2060833051758</v>
      </c>
    </row>
    <row r="180" customFormat="1" spans="1:31">
      <c r="A180" s="19"/>
      <c r="B180" s="20"/>
      <c r="C180" s="21">
        <v>231231000001</v>
      </c>
      <c r="D180" s="22">
        <v>45299</v>
      </c>
      <c r="E180" s="22" t="s">
        <v>58</v>
      </c>
      <c r="F180" s="20" t="s">
        <v>206</v>
      </c>
      <c r="G180" s="20" t="s">
        <v>207</v>
      </c>
      <c r="H180" s="20">
        <v>23.5</v>
      </c>
      <c r="I180" s="48"/>
      <c r="J180" s="55">
        <v>205344</v>
      </c>
      <c r="K180" s="56"/>
      <c r="L180" s="51">
        <f>SUM(J180/M180)</f>
        <v>1240</v>
      </c>
      <c r="M180" s="53">
        <v>165.6</v>
      </c>
      <c r="N180" s="20">
        <v>7.17</v>
      </c>
      <c r="O180" s="48">
        <f t="shared" si="80"/>
        <v>1187.352</v>
      </c>
      <c r="P180" s="54"/>
      <c r="Q180" s="54"/>
      <c r="R180" s="81">
        <f t="shared" si="75"/>
        <v>784.294140625</v>
      </c>
      <c r="S180" s="82"/>
      <c r="T180" s="82">
        <f t="shared" si="76"/>
        <v>2.60703125</v>
      </c>
      <c r="U180" s="81"/>
      <c r="V180" s="81"/>
      <c r="W180" s="83">
        <f t="shared" si="74"/>
        <v>786.901171875</v>
      </c>
      <c r="X180" s="84">
        <f t="shared" si="77"/>
        <v>15.5167700195313</v>
      </c>
      <c r="Y180" s="84"/>
      <c r="Z180" s="84"/>
      <c r="AA180" s="84">
        <f t="shared" si="71"/>
        <v>15.5167700195313</v>
      </c>
      <c r="AB180" s="94">
        <v>7.17</v>
      </c>
      <c r="AC180" s="81">
        <f t="shared" si="72"/>
        <v>111.255241040039</v>
      </c>
      <c r="AD180" s="81">
        <f t="shared" si="69"/>
        <v>898.156412915039</v>
      </c>
      <c r="AE180" s="81">
        <f t="shared" si="70"/>
        <v>289.195587084961</v>
      </c>
    </row>
    <row r="181" customFormat="1" spans="1:31">
      <c r="A181" s="19"/>
      <c r="B181" s="20"/>
      <c r="C181" s="21">
        <v>231231000004</v>
      </c>
      <c r="D181" s="22">
        <v>45299</v>
      </c>
      <c r="E181" s="25" t="s">
        <v>69</v>
      </c>
      <c r="F181" s="20" t="s">
        <v>69</v>
      </c>
      <c r="G181" s="20" t="s">
        <v>131</v>
      </c>
      <c r="H181" s="20">
        <v>2</v>
      </c>
      <c r="I181" s="43">
        <v>140</v>
      </c>
      <c r="J181" s="44"/>
      <c r="K181" s="45"/>
      <c r="L181" s="44"/>
      <c r="M181" s="46"/>
      <c r="N181" s="20"/>
      <c r="O181" s="48">
        <f>SUM(I181)</f>
        <v>140</v>
      </c>
      <c r="P181" s="54"/>
      <c r="Q181" s="54"/>
      <c r="R181" s="81">
        <f t="shared" si="75"/>
        <v>66.7484375</v>
      </c>
      <c r="S181" s="82"/>
      <c r="T181" s="82">
        <f t="shared" si="76"/>
        <v>0.221875</v>
      </c>
      <c r="U181" s="81"/>
      <c r="V181" s="82">
        <v>27</v>
      </c>
      <c r="W181" s="83">
        <f t="shared" si="74"/>
        <v>93.9703125</v>
      </c>
      <c r="X181" s="84">
        <f t="shared" si="77"/>
        <v>1.320576171875</v>
      </c>
      <c r="Y181" s="84"/>
      <c r="Z181" s="84"/>
      <c r="AA181" s="84">
        <f t="shared" si="71"/>
        <v>1.320576171875</v>
      </c>
      <c r="AB181" s="94">
        <v>7.17</v>
      </c>
      <c r="AC181" s="81">
        <f t="shared" si="72"/>
        <v>9.46853115234375</v>
      </c>
      <c r="AD181" s="81">
        <f t="shared" si="69"/>
        <v>103.438843652344</v>
      </c>
      <c r="AE181" s="81">
        <f t="shared" si="70"/>
        <v>36.561156347656</v>
      </c>
    </row>
    <row r="182" customFormat="1" spans="1:31">
      <c r="A182" s="19"/>
      <c r="B182" s="20"/>
      <c r="C182" s="21">
        <v>240101000001</v>
      </c>
      <c r="D182" s="22">
        <v>45299</v>
      </c>
      <c r="E182" s="25" t="s">
        <v>69</v>
      </c>
      <c r="F182" s="20" t="s">
        <v>69</v>
      </c>
      <c r="G182" s="20" t="s">
        <v>92</v>
      </c>
      <c r="H182" s="20">
        <v>8.5</v>
      </c>
      <c r="I182" s="95">
        <v>357</v>
      </c>
      <c r="J182" s="51"/>
      <c r="K182" s="52"/>
      <c r="L182" s="51" t="e">
        <f>SUM(J182/M182)</f>
        <v>#DIV/0!</v>
      </c>
      <c r="M182" s="53"/>
      <c r="N182" s="20"/>
      <c r="O182" s="48">
        <f>SUBTOTAL(9,I182)</f>
        <v>357</v>
      </c>
      <c r="P182" s="54"/>
      <c r="Q182" s="54"/>
      <c r="R182" s="81">
        <f t="shared" si="75"/>
        <v>283.680859375</v>
      </c>
      <c r="S182" s="82"/>
      <c r="T182" s="82">
        <f t="shared" si="76"/>
        <v>0.94296875</v>
      </c>
      <c r="U182" s="81"/>
      <c r="V182" s="81"/>
      <c r="W182" s="83">
        <f t="shared" si="74"/>
        <v>284.623828125</v>
      </c>
      <c r="X182" s="84">
        <f t="shared" si="77"/>
        <v>5.61244873046875</v>
      </c>
      <c r="Y182" s="84"/>
      <c r="Z182" s="84"/>
      <c r="AA182" s="84">
        <f t="shared" si="71"/>
        <v>5.61244873046875</v>
      </c>
      <c r="AB182" s="94">
        <v>7.17</v>
      </c>
      <c r="AC182" s="81">
        <f t="shared" si="72"/>
        <v>40.2412573974609</v>
      </c>
      <c r="AD182" s="81">
        <f t="shared" si="69"/>
        <v>324.865085522461</v>
      </c>
      <c r="AE182" s="81">
        <f t="shared" si="70"/>
        <v>32.134914477539</v>
      </c>
    </row>
    <row r="183" customFormat="1" spans="1:31">
      <c r="A183" s="19"/>
      <c r="B183" s="20"/>
      <c r="C183" s="21">
        <v>240102000002</v>
      </c>
      <c r="D183" s="22">
        <v>45299</v>
      </c>
      <c r="E183" s="22" t="s">
        <v>49</v>
      </c>
      <c r="F183" s="20" t="s">
        <v>50</v>
      </c>
      <c r="G183" s="20" t="s">
        <v>208</v>
      </c>
      <c r="H183" s="20">
        <v>9.5</v>
      </c>
      <c r="I183" s="50">
        <v>556</v>
      </c>
      <c r="J183" s="59"/>
      <c r="K183" s="52"/>
      <c r="L183" s="59"/>
      <c r="M183" s="46"/>
      <c r="N183" s="20"/>
      <c r="O183" s="48">
        <f t="shared" ref="O183:O191" si="81">SUM(I183)</f>
        <v>556</v>
      </c>
      <c r="P183" s="54"/>
      <c r="Q183" s="54"/>
      <c r="R183" s="81">
        <f t="shared" si="75"/>
        <v>317.055078125</v>
      </c>
      <c r="S183" s="82"/>
      <c r="T183" s="82">
        <f t="shared" si="76"/>
        <v>1.05390625</v>
      </c>
      <c r="U183" s="81"/>
      <c r="V183" s="81"/>
      <c r="W183" s="83">
        <f t="shared" si="74"/>
        <v>318.108984375</v>
      </c>
      <c r="X183" s="84">
        <f t="shared" si="77"/>
        <v>6.27273681640625</v>
      </c>
      <c r="Y183" s="84"/>
      <c r="Z183" s="84"/>
      <c r="AA183" s="84">
        <f t="shared" si="71"/>
        <v>6.27273681640625</v>
      </c>
      <c r="AB183" s="94">
        <v>7.17</v>
      </c>
      <c r="AC183" s="81">
        <f t="shared" si="72"/>
        <v>44.9755229736328</v>
      </c>
      <c r="AD183" s="81">
        <f t="shared" si="69"/>
        <v>363.084507348633</v>
      </c>
      <c r="AE183" s="81">
        <f t="shared" si="70"/>
        <v>192.915492651367</v>
      </c>
    </row>
    <row r="184" customFormat="1" spans="1:31">
      <c r="A184" s="19"/>
      <c r="B184" s="20"/>
      <c r="C184" s="21">
        <v>240102000005</v>
      </c>
      <c r="D184" s="22">
        <v>45299</v>
      </c>
      <c r="E184" s="22" t="s">
        <v>49</v>
      </c>
      <c r="F184" s="20" t="s">
        <v>50</v>
      </c>
      <c r="G184" s="20" t="s">
        <v>64</v>
      </c>
      <c r="H184" s="20">
        <v>4</v>
      </c>
      <c r="I184" s="50"/>
      <c r="J184" s="51">
        <v>43600</v>
      </c>
      <c r="K184" s="52"/>
      <c r="L184" s="51">
        <f>SUM(J184/M184)</f>
        <v>1563.28433130154</v>
      </c>
      <c r="M184" s="53">
        <v>27.89</v>
      </c>
      <c r="N184" s="20">
        <v>7.17</v>
      </c>
      <c r="O184" s="48">
        <f t="shared" ref="O182:O186" si="82">SUM(M184*N184)</f>
        <v>199.9713</v>
      </c>
      <c r="P184" s="54"/>
      <c r="Q184" s="54"/>
      <c r="R184" s="81">
        <f t="shared" si="75"/>
        <v>133.496875</v>
      </c>
      <c r="S184" s="82"/>
      <c r="T184" s="82">
        <f t="shared" si="76"/>
        <v>0.44375</v>
      </c>
      <c r="U184" s="81"/>
      <c r="V184" s="81"/>
      <c r="W184" s="83">
        <f t="shared" si="74"/>
        <v>133.940625</v>
      </c>
      <c r="X184" s="84">
        <f t="shared" si="77"/>
        <v>2.64115234375</v>
      </c>
      <c r="Y184" s="84"/>
      <c r="Z184" s="84"/>
      <c r="AA184" s="84">
        <f t="shared" si="71"/>
        <v>2.64115234375</v>
      </c>
      <c r="AB184" s="94">
        <v>7.17</v>
      </c>
      <c r="AC184" s="81">
        <f t="shared" si="72"/>
        <v>18.9370623046875</v>
      </c>
      <c r="AD184" s="81">
        <f t="shared" si="69"/>
        <v>152.877687304687</v>
      </c>
      <c r="AE184" s="81">
        <f t="shared" si="70"/>
        <v>47.093612695313</v>
      </c>
    </row>
    <row r="185" customFormat="1" spans="1:31">
      <c r="A185" s="19"/>
      <c r="B185" s="20"/>
      <c r="C185" s="21">
        <v>240102000010</v>
      </c>
      <c r="D185" s="22">
        <v>45299</v>
      </c>
      <c r="E185" s="22" t="s">
        <v>44</v>
      </c>
      <c r="F185" s="20" t="s">
        <v>45</v>
      </c>
      <c r="G185" s="20" t="s">
        <v>56</v>
      </c>
      <c r="H185" s="20">
        <v>31</v>
      </c>
      <c r="I185" s="48"/>
      <c r="J185" s="55">
        <v>270399</v>
      </c>
      <c r="K185" s="56"/>
      <c r="L185" s="51">
        <f>SUM(J185/M185)</f>
        <v>1239.79367262724</v>
      </c>
      <c r="M185" s="53">
        <v>218.1</v>
      </c>
      <c r="N185" s="20">
        <v>7.17</v>
      </c>
      <c r="O185" s="48">
        <f t="shared" si="82"/>
        <v>1563.777</v>
      </c>
      <c r="P185" s="54"/>
      <c r="Q185" s="54"/>
      <c r="R185" s="81">
        <f t="shared" si="75"/>
        <v>1034.60078125</v>
      </c>
      <c r="S185" s="82"/>
      <c r="T185" s="82">
        <f t="shared" si="76"/>
        <v>3.4390625</v>
      </c>
      <c r="U185" s="81"/>
      <c r="V185" s="81"/>
      <c r="W185" s="83">
        <f t="shared" si="74"/>
        <v>1038.03984375</v>
      </c>
      <c r="X185" s="84">
        <f t="shared" si="77"/>
        <v>20.4689306640625</v>
      </c>
      <c r="Y185" s="84"/>
      <c r="Z185" s="84"/>
      <c r="AA185" s="84">
        <f t="shared" si="71"/>
        <v>20.4689306640625</v>
      </c>
      <c r="AB185" s="94">
        <v>7.17</v>
      </c>
      <c r="AC185" s="81">
        <f t="shared" si="72"/>
        <v>146.762232861328</v>
      </c>
      <c r="AD185" s="81">
        <f t="shared" si="69"/>
        <v>1184.80207661133</v>
      </c>
      <c r="AE185" s="81">
        <f t="shared" si="70"/>
        <v>378.97492338867</v>
      </c>
    </row>
    <row r="186" customFormat="1" spans="1:31">
      <c r="A186" s="19"/>
      <c r="B186" s="20"/>
      <c r="C186" s="23">
        <v>240102000011</v>
      </c>
      <c r="D186" s="24">
        <v>45299</v>
      </c>
      <c r="E186" s="22" t="s">
        <v>44</v>
      </c>
      <c r="F186" s="26" t="s">
        <v>45</v>
      </c>
      <c r="G186" s="26" t="s">
        <v>56</v>
      </c>
      <c r="H186" s="26">
        <v>1.5</v>
      </c>
      <c r="I186" s="50"/>
      <c r="J186" s="51">
        <v>14705</v>
      </c>
      <c r="K186" s="52"/>
      <c r="L186" s="51">
        <f>SUM(J186/M186)</f>
        <v>1228.48788638262</v>
      </c>
      <c r="M186" s="100">
        <v>11.97</v>
      </c>
      <c r="N186" s="20">
        <v>7.17</v>
      </c>
      <c r="O186" s="48">
        <f t="shared" si="82"/>
        <v>85.8249</v>
      </c>
      <c r="P186" s="54"/>
      <c r="Q186" s="54"/>
      <c r="R186" s="81">
        <f t="shared" si="75"/>
        <v>50.061328125</v>
      </c>
      <c r="S186" s="82"/>
      <c r="T186" s="82">
        <f t="shared" si="76"/>
        <v>0.16640625</v>
      </c>
      <c r="U186" s="81"/>
      <c r="V186" s="81"/>
      <c r="W186" s="83">
        <f t="shared" si="74"/>
        <v>50.227734375</v>
      </c>
      <c r="X186" s="84">
        <f t="shared" si="77"/>
        <v>0.99043212890625</v>
      </c>
      <c r="Y186" s="84"/>
      <c r="Z186" s="84"/>
      <c r="AA186" s="84">
        <f t="shared" si="71"/>
        <v>0.99043212890625</v>
      </c>
      <c r="AB186" s="94">
        <v>7.17</v>
      </c>
      <c r="AC186" s="81">
        <f t="shared" si="72"/>
        <v>7.10139836425781</v>
      </c>
      <c r="AD186" s="81">
        <f t="shared" si="69"/>
        <v>57.3291327392578</v>
      </c>
      <c r="AE186" s="81">
        <f t="shared" si="70"/>
        <v>28.4957672607422</v>
      </c>
    </row>
    <row r="187" customFormat="1" spans="1:31">
      <c r="A187" s="19"/>
      <c r="B187" s="20"/>
      <c r="C187" s="21">
        <v>240102000014</v>
      </c>
      <c r="D187" s="22">
        <v>45299</v>
      </c>
      <c r="E187" s="22" t="s">
        <v>44</v>
      </c>
      <c r="F187" s="20" t="s">
        <v>45</v>
      </c>
      <c r="G187" s="20" t="s">
        <v>209</v>
      </c>
      <c r="H187" s="20">
        <v>19</v>
      </c>
      <c r="I187" s="43">
        <v>994</v>
      </c>
      <c r="J187" s="44"/>
      <c r="K187" s="45"/>
      <c r="L187" s="44"/>
      <c r="M187" s="46"/>
      <c r="N187" s="20"/>
      <c r="O187" s="48">
        <f t="shared" si="81"/>
        <v>994</v>
      </c>
      <c r="P187" s="54"/>
      <c r="Q187" s="54"/>
      <c r="R187" s="81">
        <f t="shared" si="75"/>
        <v>634.11015625</v>
      </c>
      <c r="S187" s="82"/>
      <c r="T187" s="82">
        <f t="shared" si="76"/>
        <v>2.1078125</v>
      </c>
      <c r="U187" s="81"/>
      <c r="V187" s="81"/>
      <c r="W187" s="83">
        <f t="shared" si="74"/>
        <v>636.21796875</v>
      </c>
      <c r="X187" s="84">
        <f t="shared" si="77"/>
        <v>12.5454736328125</v>
      </c>
      <c r="Y187" s="84"/>
      <c r="Z187" s="84"/>
      <c r="AA187" s="84">
        <f t="shared" si="71"/>
        <v>12.5454736328125</v>
      </c>
      <c r="AB187" s="94">
        <v>7.17</v>
      </c>
      <c r="AC187" s="81">
        <f t="shared" si="72"/>
        <v>89.9510459472656</v>
      </c>
      <c r="AD187" s="81">
        <f t="shared" si="69"/>
        <v>726.169014697266</v>
      </c>
      <c r="AE187" s="81">
        <f t="shared" si="70"/>
        <v>267.830985302734</v>
      </c>
    </row>
    <row r="188" customFormat="1" spans="1:31">
      <c r="A188" s="19"/>
      <c r="B188" s="20"/>
      <c r="C188" s="21">
        <v>240102000015</v>
      </c>
      <c r="D188" s="22">
        <v>45299</v>
      </c>
      <c r="E188" s="22" t="s">
        <v>49</v>
      </c>
      <c r="F188" s="20" t="s">
        <v>50</v>
      </c>
      <c r="G188" s="20" t="s">
        <v>210</v>
      </c>
      <c r="H188" s="20">
        <v>7.5</v>
      </c>
      <c r="I188" s="43">
        <v>450</v>
      </c>
      <c r="J188" s="44"/>
      <c r="K188" s="45"/>
      <c r="L188" s="44"/>
      <c r="M188" s="46"/>
      <c r="N188" s="20"/>
      <c r="O188" s="48">
        <f t="shared" si="81"/>
        <v>450</v>
      </c>
      <c r="P188" s="54"/>
      <c r="Q188" s="54"/>
      <c r="R188" s="81">
        <f t="shared" si="75"/>
        <v>250.306640625</v>
      </c>
      <c r="S188" s="82"/>
      <c r="T188" s="82">
        <f t="shared" si="76"/>
        <v>0.83203125</v>
      </c>
      <c r="U188" s="81"/>
      <c r="V188" s="81"/>
      <c r="W188" s="83">
        <f t="shared" si="74"/>
        <v>251.138671875</v>
      </c>
      <c r="X188" s="84">
        <f t="shared" si="77"/>
        <v>4.95216064453125</v>
      </c>
      <c r="Y188" s="84"/>
      <c r="Z188" s="84"/>
      <c r="AA188" s="84">
        <f t="shared" si="71"/>
        <v>4.95216064453125</v>
      </c>
      <c r="AB188" s="94">
        <v>7.17</v>
      </c>
      <c r="AC188" s="81">
        <f t="shared" si="72"/>
        <v>35.5069918212891</v>
      </c>
      <c r="AD188" s="81">
        <f t="shared" si="69"/>
        <v>286.645663696289</v>
      </c>
      <c r="AE188" s="81">
        <f t="shared" si="70"/>
        <v>163.354336303711</v>
      </c>
    </row>
    <row r="189" customFormat="1" spans="1:31">
      <c r="A189" s="19"/>
      <c r="B189" s="20"/>
      <c r="C189" s="21">
        <v>240102000016</v>
      </c>
      <c r="D189" s="22">
        <v>45299</v>
      </c>
      <c r="E189" s="22" t="s">
        <v>44</v>
      </c>
      <c r="F189" s="20" t="s">
        <v>45</v>
      </c>
      <c r="G189" s="20" t="s">
        <v>211</v>
      </c>
      <c r="H189" s="20">
        <v>4.5</v>
      </c>
      <c r="I189" s="43">
        <v>200</v>
      </c>
      <c r="J189" s="44"/>
      <c r="K189" s="45"/>
      <c r="L189" s="44"/>
      <c r="M189" s="46"/>
      <c r="N189" s="20"/>
      <c r="O189" s="48">
        <f t="shared" si="81"/>
        <v>200</v>
      </c>
      <c r="P189" s="54"/>
      <c r="Q189" s="54"/>
      <c r="R189" s="81">
        <f t="shared" si="75"/>
        <v>150.183984375</v>
      </c>
      <c r="S189" s="82"/>
      <c r="T189" s="82">
        <f t="shared" si="76"/>
        <v>0.49921875</v>
      </c>
      <c r="U189" s="81"/>
      <c r="V189" s="81"/>
      <c r="W189" s="83">
        <f t="shared" si="74"/>
        <v>150.683203125</v>
      </c>
      <c r="X189" s="84">
        <f t="shared" si="77"/>
        <v>2.97129638671875</v>
      </c>
      <c r="Y189" s="84"/>
      <c r="Z189" s="84"/>
      <c r="AA189" s="84">
        <f t="shared" si="71"/>
        <v>2.97129638671875</v>
      </c>
      <c r="AB189" s="94">
        <v>7.17</v>
      </c>
      <c r="AC189" s="81">
        <f t="shared" si="72"/>
        <v>21.3041950927734</v>
      </c>
      <c r="AD189" s="81">
        <f t="shared" si="69"/>
        <v>171.987398217773</v>
      </c>
      <c r="AE189" s="81">
        <f t="shared" si="70"/>
        <v>28.012601782227</v>
      </c>
    </row>
    <row r="190" customFormat="1" spans="1:31">
      <c r="A190" s="19"/>
      <c r="B190" s="20"/>
      <c r="C190" s="21">
        <v>240102000020</v>
      </c>
      <c r="D190" s="22">
        <v>45299</v>
      </c>
      <c r="E190" s="22" t="s">
        <v>37</v>
      </c>
      <c r="F190" s="20" t="s">
        <v>38</v>
      </c>
      <c r="G190" s="20" t="s">
        <v>118</v>
      </c>
      <c r="H190" s="20">
        <v>3</v>
      </c>
      <c r="I190" s="43">
        <v>183</v>
      </c>
      <c r="J190" s="44"/>
      <c r="K190" s="45"/>
      <c r="L190" s="44"/>
      <c r="M190" s="46"/>
      <c r="N190" s="20"/>
      <c r="O190" s="48">
        <f t="shared" si="81"/>
        <v>183</v>
      </c>
      <c r="P190" s="54"/>
      <c r="Q190" s="54"/>
      <c r="R190" s="81">
        <f t="shared" si="75"/>
        <v>100.12265625</v>
      </c>
      <c r="S190" s="82"/>
      <c r="T190" s="82">
        <f t="shared" si="76"/>
        <v>0.3328125</v>
      </c>
      <c r="U190" s="81"/>
      <c r="V190" s="81"/>
      <c r="W190" s="83">
        <f t="shared" si="74"/>
        <v>100.45546875</v>
      </c>
      <c r="X190" s="84">
        <f t="shared" si="77"/>
        <v>1.9808642578125</v>
      </c>
      <c r="Y190" s="84"/>
      <c r="Z190" s="84"/>
      <c r="AA190" s="84">
        <f t="shared" si="71"/>
        <v>1.9808642578125</v>
      </c>
      <c r="AB190" s="94">
        <v>7.17</v>
      </c>
      <c r="AC190" s="81">
        <f t="shared" si="72"/>
        <v>14.2027967285156</v>
      </c>
      <c r="AD190" s="81">
        <f t="shared" si="69"/>
        <v>114.658265478516</v>
      </c>
      <c r="AE190" s="81">
        <f t="shared" si="70"/>
        <v>68.341734521484</v>
      </c>
    </row>
    <row r="191" customFormat="1" spans="1:31">
      <c r="A191" s="19"/>
      <c r="B191" s="20"/>
      <c r="C191" s="21">
        <v>240102000026</v>
      </c>
      <c r="D191" s="22">
        <v>45299</v>
      </c>
      <c r="E191" s="22" t="s">
        <v>37</v>
      </c>
      <c r="F191" s="20" t="s">
        <v>38</v>
      </c>
      <c r="G191" s="20" t="s">
        <v>212</v>
      </c>
      <c r="H191" s="20">
        <v>114</v>
      </c>
      <c r="I191" s="43">
        <v>4902</v>
      </c>
      <c r="J191" s="44"/>
      <c r="K191" s="45"/>
      <c r="L191" s="44"/>
      <c r="M191" s="46"/>
      <c r="N191" s="20"/>
      <c r="O191" s="48">
        <f t="shared" si="81"/>
        <v>4902</v>
      </c>
      <c r="P191" s="54"/>
      <c r="Q191" s="54"/>
      <c r="R191" s="81">
        <f t="shared" si="75"/>
        <v>3804.6609375</v>
      </c>
      <c r="S191" s="82"/>
      <c r="T191" s="82">
        <f t="shared" si="76"/>
        <v>12.646875</v>
      </c>
      <c r="U191" s="81"/>
      <c r="V191" s="81"/>
      <c r="W191" s="83">
        <f t="shared" si="74"/>
        <v>3817.3078125</v>
      </c>
      <c r="X191" s="84">
        <f t="shared" si="77"/>
        <v>75.272841796875</v>
      </c>
      <c r="Y191" s="84"/>
      <c r="Z191" s="84"/>
      <c r="AA191" s="84">
        <f t="shared" si="71"/>
        <v>75.272841796875</v>
      </c>
      <c r="AB191" s="94">
        <v>7.17</v>
      </c>
      <c r="AC191" s="81">
        <f t="shared" si="72"/>
        <v>539.706275683594</v>
      </c>
      <c r="AD191" s="81">
        <f t="shared" si="69"/>
        <v>4357.01408818359</v>
      </c>
      <c r="AE191" s="81">
        <f t="shared" si="70"/>
        <v>544.98591181641</v>
      </c>
    </row>
    <row r="192" customFormat="1" spans="1:31">
      <c r="A192" s="19"/>
      <c r="B192" s="20"/>
      <c r="C192" s="21">
        <v>240102000028</v>
      </c>
      <c r="D192" s="22">
        <v>45299</v>
      </c>
      <c r="E192" s="22" t="s">
        <v>58</v>
      </c>
      <c r="F192" s="20" t="s">
        <v>59</v>
      </c>
      <c r="G192" s="20" t="s">
        <v>213</v>
      </c>
      <c r="H192" s="20">
        <v>13</v>
      </c>
      <c r="I192" s="50"/>
      <c r="J192" s="51">
        <v>120714</v>
      </c>
      <c r="K192" s="52"/>
      <c r="L192" s="51">
        <f>SUM(J192/M192)</f>
        <v>1269.20407948691</v>
      </c>
      <c r="M192" s="53">
        <v>95.11</v>
      </c>
      <c r="N192" s="20">
        <v>7.17</v>
      </c>
      <c r="O192" s="48">
        <f t="shared" ref="O192:O197" si="83">SUM(M192*N192)</f>
        <v>681.9387</v>
      </c>
      <c r="P192" s="54"/>
      <c r="Q192" s="54"/>
      <c r="R192" s="81">
        <f t="shared" si="75"/>
        <v>433.86484375</v>
      </c>
      <c r="S192" s="82"/>
      <c r="T192" s="82">
        <f t="shared" si="76"/>
        <v>1.4421875</v>
      </c>
      <c r="U192" s="81"/>
      <c r="V192" s="81"/>
      <c r="W192" s="83">
        <f t="shared" si="74"/>
        <v>435.30703125</v>
      </c>
      <c r="X192" s="84">
        <f t="shared" si="77"/>
        <v>8.5837451171875</v>
      </c>
      <c r="Y192" s="84"/>
      <c r="Z192" s="84"/>
      <c r="AA192" s="84">
        <f t="shared" si="71"/>
        <v>8.5837451171875</v>
      </c>
      <c r="AB192" s="94">
        <v>7.17</v>
      </c>
      <c r="AC192" s="81">
        <f t="shared" si="72"/>
        <v>61.5454524902344</v>
      </c>
      <c r="AD192" s="81">
        <f t="shared" ref="AD192:AD234" si="84">SUM(W192+AC192)</f>
        <v>496.852483740234</v>
      </c>
      <c r="AE192" s="81">
        <f t="shared" ref="AE192:AE234" si="85">SUM(O192-AD192)</f>
        <v>185.086216259766</v>
      </c>
    </row>
    <row r="193" customFormat="1" spans="1:31">
      <c r="A193" s="19"/>
      <c r="B193" s="20"/>
      <c r="C193" s="21">
        <v>240102000030</v>
      </c>
      <c r="D193" s="22">
        <v>45299</v>
      </c>
      <c r="E193" s="22" t="s">
        <v>44</v>
      </c>
      <c r="F193" s="20" t="s">
        <v>45</v>
      </c>
      <c r="G193" s="20" t="s">
        <v>214</v>
      </c>
      <c r="H193" s="20">
        <v>19</v>
      </c>
      <c r="I193" s="43">
        <v>1235</v>
      </c>
      <c r="J193" s="44"/>
      <c r="K193" s="45"/>
      <c r="L193" s="44"/>
      <c r="M193" s="46"/>
      <c r="N193" s="20"/>
      <c r="O193" s="48">
        <f>SUM(I193)</f>
        <v>1235</v>
      </c>
      <c r="P193" s="54"/>
      <c r="Q193" s="54"/>
      <c r="R193" s="81">
        <f t="shared" si="75"/>
        <v>634.11015625</v>
      </c>
      <c r="S193" s="82"/>
      <c r="T193" s="82">
        <f t="shared" si="76"/>
        <v>2.1078125</v>
      </c>
      <c r="U193" s="81"/>
      <c r="V193" s="81"/>
      <c r="W193" s="83">
        <f t="shared" si="74"/>
        <v>636.21796875</v>
      </c>
      <c r="X193" s="84">
        <f t="shared" si="77"/>
        <v>12.5454736328125</v>
      </c>
      <c r="Y193" s="84"/>
      <c r="Z193" s="84"/>
      <c r="AA193" s="84">
        <f t="shared" ref="AA193:AA235" si="86">SUM(X193:Z193)</f>
        <v>12.5454736328125</v>
      </c>
      <c r="AB193" s="94">
        <v>7.17</v>
      </c>
      <c r="AC193" s="81">
        <f t="shared" si="72"/>
        <v>89.9510459472656</v>
      </c>
      <c r="AD193" s="81">
        <f t="shared" si="84"/>
        <v>726.169014697266</v>
      </c>
      <c r="AE193" s="81">
        <f t="shared" si="85"/>
        <v>508.830985302734</v>
      </c>
    </row>
    <row r="194" customFormat="1" spans="1:31">
      <c r="A194" s="19"/>
      <c r="B194" s="20"/>
      <c r="C194" s="21">
        <v>240102000034</v>
      </c>
      <c r="D194" s="22">
        <v>45299</v>
      </c>
      <c r="E194" s="22" t="s">
        <v>49</v>
      </c>
      <c r="F194" s="20" t="s">
        <v>50</v>
      </c>
      <c r="G194" s="20" t="s">
        <v>79</v>
      </c>
      <c r="H194" s="20">
        <v>19</v>
      </c>
      <c r="I194" s="50"/>
      <c r="J194" s="51">
        <v>161348</v>
      </c>
      <c r="K194" s="52"/>
      <c r="L194" s="51">
        <f>SUM(J194/M194)</f>
        <v>1380.57670916403</v>
      </c>
      <c r="M194" s="53">
        <v>116.87</v>
      </c>
      <c r="N194" s="20">
        <v>7.17</v>
      </c>
      <c r="O194" s="48">
        <f t="shared" si="83"/>
        <v>837.9579</v>
      </c>
      <c r="P194" s="54"/>
      <c r="Q194" s="54"/>
      <c r="R194" s="81">
        <f t="shared" si="75"/>
        <v>634.11015625</v>
      </c>
      <c r="S194" s="82"/>
      <c r="T194" s="82">
        <f t="shared" si="76"/>
        <v>2.1078125</v>
      </c>
      <c r="U194" s="81"/>
      <c r="V194" s="81"/>
      <c r="W194" s="83">
        <f t="shared" si="74"/>
        <v>636.21796875</v>
      </c>
      <c r="X194" s="84">
        <f t="shared" si="77"/>
        <v>12.5454736328125</v>
      </c>
      <c r="Y194" s="84"/>
      <c r="Z194" s="84"/>
      <c r="AA194" s="84">
        <f t="shared" si="86"/>
        <v>12.5454736328125</v>
      </c>
      <c r="AB194" s="94">
        <v>7.17</v>
      </c>
      <c r="AC194" s="81">
        <f t="shared" ref="AC194:AC234" si="87">SUM(AA194*AB194)</f>
        <v>89.9510459472656</v>
      </c>
      <c r="AD194" s="81">
        <f t="shared" si="84"/>
        <v>726.169014697266</v>
      </c>
      <c r="AE194" s="81">
        <f t="shared" si="85"/>
        <v>111.788885302734</v>
      </c>
    </row>
    <row r="195" customFormat="1" spans="1:31">
      <c r="A195" s="19"/>
      <c r="B195" s="20"/>
      <c r="C195" s="21">
        <v>240102000036</v>
      </c>
      <c r="D195" s="22">
        <v>45299</v>
      </c>
      <c r="E195" s="22" t="s">
        <v>99</v>
      </c>
      <c r="F195" s="20" t="s">
        <v>100</v>
      </c>
      <c r="G195" s="20" t="s">
        <v>101</v>
      </c>
      <c r="H195" s="20">
        <v>18.5</v>
      </c>
      <c r="I195" s="48"/>
      <c r="J195" s="51">
        <v>192711</v>
      </c>
      <c r="K195" s="56"/>
      <c r="L195" s="51">
        <f>SUM(J195/M195)</f>
        <v>1456.07102380053</v>
      </c>
      <c r="M195" s="53">
        <v>132.35</v>
      </c>
      <c r="N195" s="20">
        <v>7.17</v>
      </c>
      <c r="O195" s="48">
        <f t="shared" si="83"/>
        <v>948.9495</v>
      </c>
      <c r="P195" s="54"/>
      <c r="Q195" s="54"/>
      <c r="R195" s="81">
        <f t="shared" si="75"/>
        <v>617.423046875</v>
      </c>
      <c r="S195" s="82"/>
      <c r="T195" s="82">
        <f t="shared" si="76"/>
        <v>2.05234375</v>
      </c>
      <c r="U195" s="81"/>
      <c r="V195" s="81"/>
      <c r="W195" s="83">
        <f t="shared" ref="W195:W235" si="88">SUM(R195:V195)</f>
        <v>619.475390625</v>
      </c>
      <c r="X195" s="84">
        <f t="shared" si="77"/>
        <v>12.2153295898437</v>
      </c>
      <c r="Y195" s="84"/>
      <c r="Z195" s="84"/>
      <c r="AA195" s="84">
        <f t="shared" si="86"/>
        <v>12.2153295898437</v>
      </c>
      <c r="AB195" s="94">
        <v>7.17</v>
      </c>
      <c r="AC195" s="81">
        <f t="shared" si="87"/>
        <v>87.5839131591797</v>
      </c>
      <c r="AD195" s="81">
        <f t="shared" si="84"/>
        <v>707.05930378418</v>
      </c>
      <c r="AE195" s="81">
        <f t="shared" si="85"/>
        <v>241.89019621582</v>
      </c>
    </row>
    <row r="196" customFormat="1" spans="1:31">
      <c r="A196" s="19"/>
      <c r="B196" s="20"/>
      <c r="C196" s="21">
        <v>240102000038</v>
      </c>
      <c r="D196" s="22">
        <v>45299</v>
      </c>
      <c r="E196" s="22" t="s">
        <v>49</v>
      </c>
      <c r="F196" s="20" t="s">
        <v>50</v>
      </c>
      <c r="G196" s="20" t="s">
        <v>215</v>
      </c>
      <c r="H196" s="20">
        <v>662.5</v>
      </c>
      <c r="I196" s="50"/>
      <c r="J196" s="51">
        <v>5871075</v>
      </c>
      <c r="K196" s="52"/>
      <c r="L196" s="51">
        <f>SUM(J196/M196)</f>
        <v>1512.871223346</v>
      </c>
      <c r="M196" s="53">
        <v>3880.75</v>
      </c>
      <c r="N196" s="20">
        <v>7.17</v>
      </c>
      <c r="O196" s="48">
        <f t="shared" si="83"/>
        <v>27824.9775</v>
      </c>
      <c r="P196" s="54"/>
      <c r="Q196" s="54"/>
      <c r="R196" s="81">
        <f t="shared" ref="R196:R234" si="89">SUM(68350.4/2048)*H196</f>
        <v>22110.419921875</v>
      </c>
      <c r="S196" s="82"/>
      <c r="T196" s="82">
        <f t="shared" ref="T196:T234" si="90">SUM(227.2/2048)*H196</f>
        <v>73.49609375</v>
      </c>
      <c r="U196" s="81"/>
      <c r="V196" s="81"/>
      <c r="W196" s="83">
        <f t="shared" si="88"/>
        <v>22183.916015625</v>
      </c>
      <c r="X196" s="84">
        <f t="shared" ref="X196:X234" si="91">SUM(1352.27/2048)*H196</f>
        <v>437.440856933594</v>
      </c>
      <c r="Y196" s="84"/>
      <c r="Z196" s="84"/>
      <c r="AA196" s="84">
        <f t="shared" si="86"/>
        <v>437.440856933594</v>
      </c>
      <c r="AB196" s="94">
        <v>7.17</v>
      </c>
      <c r="AC196" s="81">
        <f t="shared" si="87"/>
        <v>3136.45094421387</v>
      </c>
      <c r="AD196" s="81">
        <f t="shared" si="84"/>
        <v>25320.3669598389</v>
      </c>
      <c r="AE196" s="81">
        <f t="shared" si="85"/>
        <v>2504.6105401611</v>
      </c>
    </row>
    <row r="197" customFormat="1" spans="1:31">
      <c r="A197" s="19"/>
      <c r="B197" s="20"/>
      <c r="C197" s="21">
        <v>240102000041</v>
      </c>
      <c r="D197" s="22">
        <v>45299</v>
      </c>
      <c r="E197" s="22" t="s">
        <v>99</v>
      </c>
      <c r="F197" s="20" t="s">
        <v>216</v>
      </c>
      <c r="G197" s="20" t="s">
        <v>217</v>
      </c>
      <c r="H197" s="20">
        <v>2.5</v>
      </c>
      <c r="I197" s="48"/>
      <c r="J197" s="55">
        <v>31306</v>
      </c>
      <c r="K197" s="56"/>
      <c r="L197" s="51">
        <f>SUM(J197/M197)</f>
        <v>1270.02028397566</v>
      </c>
      <c r="M197" s="53">
        <v>24.65</v>
      </c>
      <c r="N197" s="20">
        <v>7.17</v>
      </c>
      <c r="O197" s="48">
        <f t="shared" si="83"/>
        <v>176.7405</v>
      </c>
      <c r="P197" s="54"/>
      <c r="Q197" s="54"/>
      <c r="R197" s="81">
        <f t="shared" si="89"/>
        <v>83.435546875</v>
      </c>
      <c r="S197" s="82"/>
      <c r="T197" s="82">
        <f t="shared" si="90"/>
        <v>0.27734375</v>
      </c>
      <c r="U197" s="81">
        <v>35</v>
      </c>
      <c r="V197" s="81"/>
      <c r="W197" s="83">
        <f t="shared" si="88"/>
        <v>118.712890625</v>
      </c>
      <c r="X197" s="84">
        <f t="shared" si="91"/>
        <v>1.65072021484375</v>
      </c>
      <c r="Y197" s="84"/>
      <c r="Z197" s="84"/>
      <c r="AA197" s="84">
        <f t="shared" si="86"/>
        <v>1.65072021484375</v>
      </c>
      <c r="AB197" s="94">
        <v>7.17</v>
      </c>
      <c r="AC197" s="81">
        <f t="shared" si="87"/>
        <v>11.8356639404297</v>
      </c>
      <c r="AD197" s="81">
        <f t="shared" si="84"/>
        <v>130.54855456543</v>
      </c>
      <c r="AE197" s="81">
        <f t="shared" si="85"/>
        <v>46.19194543457</v>
      </c>
    </row>
    <row r="198" customFormat="1" spans="1:31">
      <c r="A198" s="19"/>
      <c r="B198" s="20"/>
      <c r="C198" s="21">
        <v>240102000042</v>
      </c>
      <c r="D198" s="22">
        <v>45299</v>
      </c>
      <c r="E198" s="22" t="s">
        <v>49</v>
      </c>
      <c r="F198" s="20" t="s">
        <v>50</v>
      </c>
      <c r="G198" s="20" t="s">
        <v>79</v>
      </c>
      <c r="H198" s="20">
        <v>0.28</v>
      </c>
      <c r="I198" s="43">
        <v>45</v>
      </c>
      <c r="J198" s="44"/>
      <c r="K198" s="45"/>
      <c r="L198" s="44"/>
      <c r="M198" s="46"/>
      <c r="N198" s="20"/>
      <c r="O198" s="48">
        <f t="shared" ref="O198:O202" si="92">SUM(I198)</f>
        <v>45</v>
      </c>
      <c r="P198" s="54"/>
      <c r="Q198" s="54"/>
      <c r="R198" s="81">
        <f t="shared" si="89"/>
        <v>9.34478125</v>
      </c>
      <c r="S198" s="82"/>
      <c r="T198" s="82">
        <f t="shared" si="90"/>
        <v>0.0310625</v>
      </c>
      <c r="U198" s="81"/>
      <c r="V198" s="81"/>
      <c r="W198" s="83">
        <f t="shared" si="88"/>
        <v>9.37584375</v>
      </c>
      <c r="X198" s="84">
        <f t="shared" si="91"/>
        <v>0.1848806640625</v>
      </c>
      <c r="Y198" s="84"/>
      <c r="Z198" s="84"/>
      <c r="AA198" s="84">
        <f t="shared" si="86"/>
        <v>0.1848806640625</v>
      </c>
      <c r="AB198" s="94">
        <v>7.17</v>
      </c>
      <c r="AC198" s="81">
        <f t="shared" si="87"/>
        <v>1.32559436132812</v>
      </c>
      <c r="AD198" s="81">
        <f t="shared" si="84"/>
        <v>10.7014381113281</v>
      </c>
      <c r="AE198" s="81">
        <f t="shared" si="85"/>
        <v>34.2985618886719</v>
      </c>
    </row>
    <row r="199" customFormat="1" spans="1:31">
      <c r="A199" s="19"/>
      <c r="B199" s="20"/>
      <c r="C199" s="21">
        <v>240102000043</v>
      </c>
      <c r="D199" s="22">
        <v>45299</v>
      </c>
      <c r="E199" s="22" t="s">
        <v>37</v>
      </c>
      <c r="F199" s="20" t="s">
        <v>38</v>
      </c>
      <c r="G199" s="20" t="s">
        <v>218</v>
      </c>
      <c r="H199" s="20">
        <v>3</v>
      </c>
      <c r="I199" s="43">
        <v>207</v>
      </c>
      <c r="J199" s="44"/>
      <c r="K199" s="45"/>
      <c r="L199" s="44"/>
      <c r="M199" s="46"/>
      <c r="N199" s="20"/>
      <c r="O199" s="48">
        <f t="shared" si="92"/>
        <v>207</v>
      </c>
      <c r="P199" s="54"/>
      <c r="Q199" s="54"/>
      <c r="R199" s="81">
        <f t="shared" si="89"/>
        <v>100.12265625</v>
      </c>
      <c r="S199" s="82"/>
      <c r="T199" s="82">
        <f t="shared" si="90"/>
        <v>0.3328125</v>
      </c>
      <c r="U199" s="81"/>
      <c r="V199" s="81"/>
      <c r="W199" s="83">
        <f t="shared" si="88"/>
        <v>100.45546875</v>
      </c>
      <c r="X199" s="84">
        <f t="shared" si="91"/>
        <v>1.9808642578125</v>
      </c>
      <c r="Y199" s="84"/>
      <c r="Z199" s="84"/>
      <c r="AA199" s="84">
        <f t="shared" si="86"/>
        <v>1.9808642578125</v>
      </c>
      <c r="AB199" s="94">
        <v>7.17</v>
      </c>
      <c r="AC199" s="81">
        <f t="shared" si="87"/>
        <v>14.2027967285156</v>
      </c>
      <c r="AD199" s="81">
        <f t="shared" si="84"/>
        <v>114.658265478516</v>
      </c>
      <c r="AE199" s="81">
        <f t="shared" si="85"/>
        <v>92.341734521484</v>
      </c>
    </row>
    <row r="200" customFormat="1" spans="1:31">
      <c r="A200" s="19"/>
      <c r="B200" s="20"/>
      <c r="C200" s="21">
        <v>240102000044</v>
      </c>
      <c r="D200" s="22">
        <v>45299</v>
      </c>
      <c r="E200" s="22" t="s">
        <v>49</v>
      </c>
      <c r="F200" s="20" t="s">
        <v>50</v>
      </c>
      <c r="G200" s="20" t="s">
        <v>219</v>
      </c>
      <c r="H200" s="20">
        <v>3.5</v>
      </c>
      <c r="I200" s="48"/>
      <c r="J200" s="55">
        <v>27515</v>
      </c>
      <c r="K200" s="56"/>
      <c r="L200" s="51">
        <f>SUM(J200/M200)</f>
        <v>1239.97296079315</v>
      </c>
      <c r="M200" s="53">
        <v>22.19</v>
      </c>
      <c r="N200" s="20">
        <v>7.17</v>
      </c>
      <c r="O200" s="48">
        <f>SUM(M200*N200)</f>
        <v>159.1023</v>
      </c>
      <c r="P200" s="54"/>
      <c r="Q200" s="54"/>
      <c r="R200" s="81">
        <f t="shared" si="89"/>
        <v>116.809765625</v>
      </c>
      <c r="S200" s="82"/>
      <c r="T200" s="82">
        <f t="shared" si="90"/>
        <v>0.38828125</v>
      </c>
      <c r="U200" s="81"/>
      <c r="V200" s="81"/>
      <c r="W200" s="83">
        <f t="shared" si="88"/>
        <v>117.198046875</v>
      </c>
      <c r="X200" s="84">
        <f t="shared" si="91"/>
        <v>2.31100830078125</v>
      </c>
      <c r="Y200" s="84"/>
      <c r="Z200" s="84"/>
      <c r="AA200" s="84">
        <f t="shared" si="86"/>
        <v>2.31100830078125</v>
      </c>
      <c r="AB200" s="94">
        <v>7.17</v>
      </c>
      <c r="AC200" s="81">
        <f t="shared" si="87"/>
        <v>16.5699295166016</v>
      </c>
      <c r="AD200" s="81">
        <f t="shared" si="84"/>
        <v>133.767976391602</v>
      </c>
      <c r="AE200" s="81">
        <f t="shared" si="85"/>
        <v>25.334323608398</v>
      </c>
    </row>
    <row r="201" customFormat="1" spans="1:31">
      <c r="A201" s="19"/>
      <c r="B201" s="20"/>
      <c r="C201" s="21">
        <v>240102000046</v>
      </c>
      <c r="D201" s="22">
        <v>45299</v>
      </c>
      <c r="E201" s="22" t="s">
        <v>37</v>
      </c>
      <c r="F201" s="20" t="s">
        <v>203</v>
      </c>
      <c r="G201" s="20" t="s">
        <v>122</v>
      </c>
      <c r="H201" s="20">
        <v>0.82</v>
      </c>
      <c r="I201" s="43">
        <v>43</v>
      </c>
      <c r="J201" s="44"/>
      <c r="K201" s="45"/>
      <c r="L201" s="44"/>
      <c r="M201" s="46"/>
      <c r="N201" s="20"/>
      <c r="O201" s="48">
        <f t="shared" si="92"/>
        <v>43</v>
      </c>
      <c r="P201" s="54"/>
      <c r="Q201" s="54"/>
      <c r="R201" s="81">
        <f t="shared" si="89"/>
        <v>27.366859375</v>
      </c>
      <c r="S201" s="82"/>
      <c r="T201" s="82">
        <f t="shared" si="90"/>
        <v>0.09096875</v>
      </c>
      <c r="U201" s="81"/>
      <c r="V201" s="81"/>
      <c r="W201" s="83">
        <f t="shared" si="88"/>
        <v>27.457828125</v>
      </c>
      <c r="X201" s="84">
        <f t="shared" si="91"/>
        <v>0.54143623046875</v>
      </c>
      <c r="Y201" s="84"/>
      <c r="Z201" s="84"/>
      <c r="AA201" s="84">
        <f t="shared" si="86"/>
        <v>0.54143623046875</v>
      </c>
      <c r="AB201" s="94">
        <v>7.17</v>
      </c>
      <c r="AC201" s="81">
        <f t="shared" si="87"/>
        <v>3.88209777246094</v>
      </c>
      <c r="AD201" s="81">
        <f t="shared" si="84"/>
        <v>31.3399258974609</v>
      </c>
      <c r="AE201" s="81">
        <f t="shared" si="85"/>
        <v>11.6600741025391</v>
      </c>
    </row>
    <row r="202" customFormat="1" spans="1:31">
      <c r="A202" s="19"/>
      <c r="B202" s="20"/>
      <c r="C202" s="21">
        <v>240102000048</v>
      </c>
      <c r="D202" s="22">
        <v>45299</v>
      </c>
      <c r="E202" s="22" t="s">
        <v>49</v>
      </c>
      <c r="F202" s="20" t="s">
        <v>50</v>
      </c>
      <c r="G202" s="20" t="s">
        <v>66</v>
      </c>
      <c r="H202" s="20">
        <v>3</v>
      </c>
      <c r="I202" s="43">
        <v>135</v>
      </c>
      <c r="J202" s="44"/>
      <c r="K202" s="45"/>
      <c r="L202" s="44"/>
      <c r="M202" s="46"/>
      <c r="N202" s="20"/>
      <c r="O202" s="48">
        <f t="shared" si="92"/>
        <v>135</v>
      </c>
      <c r="P202" s="54"/>
      <c r="Q202" s="54"/>
      <c r="R202" s="81">
        <f t="shared" si="89"/>
        <v>100.12265625</v>
      </c>
      <c r="S202" s="82"/>
      <c r="T202" s="82">
        <f t="shared" si="90"/>
        <v>0.3328125</v>
      </c>
      <c r="U202" s="81"/>
      <c r="V202" s="81"/>
      <c r="W202" s="83">
        <f t="shared" si="88"/>
        <v>100.45546875</v>
      </c>
      <c r="X202" s="84">
        <f t="shared" si="91"/>
        <v>1.9808642578125</v>
      </c>
      <c r="Y202" s="84"/>
      <c r="Z202" s="84"/>
      <c r="AA202" s="84">
        <f t="shared" si="86"/>
        <v>1.9808642578125</v>
      </c>
      <c r="AB202" s="94">
        <v>7.17</v>
      </c>
      <c r="AC202" s="81">
        <f t="shared" si="87"/>
        <v>14.2027967285156</v>
      </c>
      <c r="AD202" s="81">
        <f t="shared" si="84"/>
        <v>114.658265478516</v>
      </c>
      <c r="AE202" s="81">
        <f t="shared" si="85"/>
        <v>20.341734521484</v>
      </c>
    </row>
    <row r="203" customFormat="1" spans="1:31">
      <c r="A203" s="19"/>
      <c r="B203" s="20"/>
      <c r="C203" s="21">
        <v>240103000002</v>
      </c>
      <c r="D203" s="22">
        <v>45299</v>
      </c>
      <c r="E203" s="22" t="s">
        <v>49</v>
      </c>
      <c r="F203" s="20" t="s">
        <v>50</v>
      </c>
      <c r="G203" s="20" t="s">
        <v>64</v>
      </c>
      <c r="H203" s="20">
        <v>16.5</v>
      </c>
      <c r="I203" s="50"/>
      <c r="J203" s="51">
        <v>179850</v>
      </c>
      <c r="K203" s="52"/>
      <c r="L203" s="51">
        <f>SUM(J203/M203)</f>
        <v>1563.09751434034</v>
      </c>
      <c r="M203" s="53">
        <v>115.06</v>
      </c>
      <c r="N203" s="20">
        <v>7.17</v>
      </c>
      <c r="O203" s="48">
        <f>SUM(M203*N203)</f>
        <v>824.9802</v>
      </c>
      <c r="P203" s="54"/>
      <c r="Q203" s="54"/>
      <c r="R203" s="81">
        <f t="shared" si="89"/>
        <v>550.674609375</v>
      </c>
      <c r="S203" s="82"/>
      <c r="T203" s="82">
        <f t="shared" si="90"/>
        <v>1.83046875</v>
      </c>
      <c r="U203" s="81"/>
      <c r="V203" s="81"/>
      <c r="W203" s="83">
        <f t="shared" si="88"/>
        <v>552.505078125</v>
      </c>
      <c r="X203" s="84">
        <f t="shared" si="91"/>
        <v>10.8947534179687</v>
      </c>
      <c r="Y203" s="84"/>
      <c r="Z203" s="84"/>
      <c r="AA203" s="84">
        <f t="shared" si="86"/>
        <v>10.8947534179687</v>
      </c>
      <c r="AB203" s="94">
        <v>7.17</v>
      </c>
      <c r="AC203" s="81">
        <f t="shared" si="87"/>
        <v>78.1153820068359</v>
      </c>
      <c r="AD203" s="81">
        <f t="shared" si="84"/>
        <v>630.620460131836</v>
      </c>
      <c r="AE203" s="81">
        <f t="shared" si="85"/>
        <v>194.359739868164</v>
      </c>
    </row>
    <row r="204" customFormat="1" spans="1:31">
      <c r="A204" s="19"/>
      <c r="B204" s="20"/>
      <c r="C204" s="21">
        <v>240103000012</v>
      </c>
      <c r="D204" s="22">
        <v>45299</v>
      </c>
      <c r="E204" s="22" t="s">
        <v>49</v>
      </c>
      <c r="F204" s="20" t="s">
        <v>50</v>
      </c>
      <c r="G204" s="20" t="s">
        <v>178</v>
      </c>
      <c r="H204" s="20">
        <v>21</v>
      </c>
      <c r="I204" s="43">
        <v>924</v>
      </c>
      <c r="J204" s="44"/>
      <c r="K204" s="45"/>
      <c r="L204" s="44"/>
      <c r="M204" s="46"/>
      <c r="N204" s="20"/>
      <c r="O204" s="48">
        <f t="shared" ref="O204:O208" si="93">SUM(I204)</f>
        <v>924</v>
      </c>
      <c r="P204" s="54"/>
      <c r="Q204" s="54"/>
      <c r="R204" s="81">
        <f t="shared" si="89"/>
        <v>700.85859375</v>
      </c>
      <c r="S204" s="82"/>
      <c r="T204" s="82">
        <f t="shared" si="90"/>
        <v>2.3296875</v>
      </c>
      <c r="U204" s="81"/>
      <c r="V204" s="81"/>
      <c r="W204" s="83">
        <f t="shared" si="88"/>
        <v>703.18828125</v>
      </c>
      <c r="X204" s="84">
        <f t="shared" si="91"/>
        <v>13.8660498046875</v>
      </c>
      <c r="Y204" s="84"/>
      <c r="Z204" s="84"/>
      <c r="AA204" s="84">
        <f t="shared" si="86"/>
        <v>13.8660498046875</v>
      </c>
      <c r="AB204" s="94">
        <v>7.17</v>
      </c>
      <c r="AC204" s="81">
        <f t="shared" si="87"/>
        <v>99.4195770996094</v>
      </c>
      <c r="AD204" s="81">
        <f t="shared" si="84"/>
        <v>802.607858349609</v>
      </c>
      <c r="AE204" s="81">
        <f t="shared" si="85"/>
        <v>121.392141650391</v>
      </c>
    </row>
    <row r="205" customFormat="1" spans="1:31">
      <c r="A205" s="19"/>
      <c r="B205" s="20"/>
      <c r="C205" s="21">
        <v>240103000013</v>
      </c>
      <c r="D205" s="22">
        <v>45299</v>
      </c>
      <c r="E205" s="22" t="s">
        <v>37</v>
      </c>
      <c r="F205" s="20" t="s">
        <v>203</v>
      </c>
      <c r="G205" s="20" t="s">
        <v>122</v>
      </c>
      <c r="H205" s="20">
        <v>10.5</v>
      </c>
      <c r="I205" s="43">
        <v>451.5</v>
      </c>
      <c r="J205" s="44"/>
      <c r="K205" s="45"/>
      <c r="L205" s="44"/>
      <c r="M205" s="46"/>
      <c r="N205" s="20"/>
      <c r="O205" s="48">
        <f t="shared" si="93"/>
        <v>451.5</v>
      </c>
      <c r="P205" s="54"/>
      <c r="Q205" s="54"/>
      <c r="R205" s="81">
        <f t="shared" si="89"/>
        <v>350.429296875</v>
      </c>
      <c r="S205" s="82"/>
      <c r="T205" s="82">
        <f t="shared" si="90"/>
        <v>1.16484375</v>
      </c>
      <c r="U205" s="81"/>
      <c r="V205" s="81"/>
      <c r="W205" s="83">
        <f t="shared" si="88"/>
        <v>351.594140625</v>
      </c>
      <c r="X205" s="84">
        <f t="shared" si="91"/>
        <v>6.93302490234375</v>
      </c>
      <c r="Y205" s="84"/>
      <c r="Z205" s="84"/>
      <c r="AA205" s="84">
        <f t="shared" si="86"/>
        <v>6.93302490234375</v>
      </c>
      <c r="AB205" s="94">
        <v>7.17</v>
      </c>
      <c r="AC205" s="81">
        <f t="shared" si="87"/>
        <v>49.7097885498047</v>
      </c>
      <c r="AD205" s="81">
        <f t="shared" si="84"/>
        <v>401.303929174805</v>
      </c>
      <c r="AE205" s="81">
        <f t="shared" si="85"/>
        <v>50.196070825195</v>
      </c>
    </row>
    <row r="206" customFormat="1" spans="1:31">
      <c r="A206" s="19"/>
      <c r="B206" s="20"/>
      <c r="C206" s="21">
        <v>240103000014</v>
      </c>
      <c r="D206" s="22">
        <v>45299</v>
      </c>
      <c r="E206" s="22" t="s">
        <v>49</v>
      </c>
      <c r="F206" s="20" t="s">
        <v>50</v>
      </c>
      <c r="G206" s="20" t="s">
        <v>63</v>
      </c>
      <c r="H206" s="20">
        <v>0.5</v>
      </c>
      <c r="I206" s="50"/>
      <c r="J206" s="51">
        <v>11400</v>
      </c>
      <c r="K206" s="52"/>
      <c r="L206" s="51">
        <f>SUM(J206/M206)</f>
        <v>1363.63636363636</v>
      </c>
      <c r="M206" s="53">
        <v>8.36</v>
      </c>
      <c r="N206" s="20">
        <v>7.17</v>
      </c>
      <c r="O206" s="48">
        <f t="shared" ref="O206:O211" si="94">SUM(M206*N206)</f>
        <v>59.9412</v>
      </c>
      <c r="P206" s="54"/>
      <c r="Q206" s="54"/>
      <c r="R206" s="81">
        <f t="shared" si="89"/>
        <v>16.687109375</v>
      </c>
      <c r="S206" s="82"/>
      <c r="T206" s="82">
        <f t="shared" si="90"/>
        <v>0.05546875</v>
      </c>
      <c r="U206" s="81"/>
      <c r="V206" s="81"/>
      <c r="W206" s="83">
        <f t="shared" si="88"/>
        <v>16.742578125</v>
      </c>
      <c r="X206" s="84">
        <f t="shared" si="91"/>
        <v>0.33014404296875</v>
      </c>
      <c r="Y206" s="84"/>
      <c r="Z206" s="84"/>
      <c r="AA206" s="84">
        <f t="shared" si="86"/>
        <v>0.33014404296875</v>
      </c>
      <c r="AB206" s="94">
        <v>7.17</v>
      </c>
      <c r="AC206" s="81">
        <f t="shared" si="87"/>
        <v>2.36713278808594</v>
      </c>
      <c r="AD206" s="81">
        <f t="shared" si="84"/>
        <v>19.1097109130859</v>
      </c>
      <c r="AE206" s="81">
        <f t="shared" si="85"/>
        <v>40.8314890869141</v>
      </c>
    </row>
    <row r="207" customFormat="1" spans="1:31">
      <c r="A207" s="19"/>
      <c r="B207" s="20"/>
      <c r="C207" s="21">
        <v>240103000016</v>
      </c>
      <c r="D207" s="22">
        <v>45299</v>
      </c>
      <c r="E207" s="22" t="s">
        <v>44</v>
      </c>
      <c r="F207" s="20" t="s">
        <v>45</v>
      </c>
      <c r="G207" s="20" t="s">
        <v>91</v>
      </c>
      <c r="H207" s="20">
        <v>7.5</v>
      </c>
      <c r="I207" s="43">
        <v>476</v>
      </c>
      <c r="J207" s="44"/>
      <c r="K207" s="45"/>
      <c r="L207" s="44"/>
      <c r="M207" s="46"/>
      <c r="N207" s="20"/>
      <c r="O207" s="48">
        <f t="shared" si="93"/>
        <v>476</v>
      </c>
      <c r="P207" s="54"/>
      <c r="Q207" s="54"/>
      <c r="R207" s="81">
        <f t="shared" si="89"/>
        <v>250.306640625</v>
      </c>
      <c r="S207" s="82"/>
      <c r="T207" s="82">
        <f t="shared" si="90"/>
        <v>0.83203125</v>
      </c>
      <c r="U207" s="81"/>
      <c r="V207" s="81"/>
      <c r="W207" s="83">
        <f t="shared" si="88"/>
        <v>251.138671875</v>
      </c>
      <c r="X207" s="84">
        <f t="shared" si="91"/>
        <v>4.95216064453125</v>
      </c>
      <c r="Y207" s="84"/>
      <c r="Z207" s="84"/>
      <c r="AA207" s="84">
        <f t="shared" si="86"/>
        <v>4.95216064453125</v>
      </c>
      <c r="AB207" s="94">
        <v>7.17</v>
      </c>
      <c r="AC207" s="81">
        <f t="shared" si="87"/>
        <v>35.5069918212891</v>
      </c>
      <c r="AD207" s="81">
        <f t="shared" si="84"/>
        <v>286.645663696289</v>
      </c>
      <c r="AE207" s="81">
        <f t="shared" si="85"/>
        <v>189.354336303711</v>
      </c>
    </row>
    <row r="208" customFormat="1" spans="1:31">
      <c r="A208" s="19"/>
      <c r="B208" s="20"/>
      <c r="C208" s="21">
        <v>240103000018</v>
      </c>
      <c r="D208" s="22">
        <v>45299</v>
      </c>
      <c r="E208" s="22" t="s">
        <v>37</v>
      </c>
      <c r="F208" s="20" t="s">
        <v>38</v>
      </c>
      <c r="G208" s="20" t="s">
        <v>62</v>
      </c>
      <c r="H208" s="20">
        <v>0.83</v>
      </c>
      <c r="I208" s="43">
        <v>100</v>
      </c>
      <c r="J208" s="44"/>
      <c r="K208" s="45"/>
      <c r="L208" s="44"/>
      <c r="M208" s="46"/>
      <c r="N208" s="20"/>
      <c r="O208" s="48">
        <f t="shared" si="93"/>
        <v>100</v>
      </c>
      <c r="P208" s="54"/>
      <c r="Q208" s="54"/>
      <c r="R208" s="81">
        <f t="shared" si="89"/>
        <v>27.7006015625</v>
      </c>
      <c r="S208" s="82"/>
      <c r="T208" s="82">
        <f t="shared" si="90"/>
        <v>0.092078125</v>
      </c>
      <c r="U208" s="81"/>
      <c r="V208" s="81"/>
      <c r="W208" s="83">
        <f t="shared" si="88"/>
        <v>27.7926796875</v>
      </c>
      <c r="X208" s="84">
        <f t="shared" si="91"/>
        <v>0.548039111328125</v>
      </c>
      <c r="Y208" s="84"/>
      <c r="Z208" s="84"/>
      <c r="AA208" s="84">
        <f t="shared" si="86"/>
        <v>0.548039111328125</v>
      </c>
      <c r="AB208" s="94">
        <v>7.17</v>
      </c>
      <c r="AC208" s="81">
        <f t="shared" si="87"/>
        <v>3.92944042822266</v>
      </c>
      <c r="AD208" s="81">
        <f t="shared" si="84"/>
        <v>31.7221201157227</v>
      </c>
      <c r="AE208" s="81">
        <f t="shared" si="85"/>
        <v>68.2778798842773</v>
      </c>
    </row>
    <row r="209" customFormat="1" spans="1:31">
      <c r="A209" s="19"/>
      <c r="B209" s="20"/>
      <c r="C209" s="21">
        <v>240103000022</v>
      </c>
      <c r="D209" s="22">
        <v>45299</v>
      </c>
      <c r="E209" s="22" t="s">
        <v>44</v>
      </c>
      <c r="F209" s="20" t="s">
        <v>45</v>
      </c>
      <c r="G209" s="20" t="s">
        <v>56</v>
      </c>
      <c r="H209" s="20">
        <v>4</v>
      </c>
      <c r="I209" s="48"/>
      <c r="J209" s="55">
        <v>38579</v>
      </c>
      <c r="K209" s="56"/>
      <c r="L209" s="51">
        <f>SUM(J209/M209)</f>
        <v>1236.50641025641</v>
      </c>
      <c r="M209" s="53">
        <v>31.2</v>
      </c>
      <c r="N209" s="20">
        <v>7.17</v>
      </c>
      <c r="O209" s="48">
        <f t="shared" si="94"/>
        <v>223.704</v>
      </c>
      <c r="P209" s="54"/>
      <c r="Q209" s="54"/>
      <c r="R209" s="81">
        <f t="shared" si="89"/>
        <v>133.496875</v>
      </c>
      <c r="S209" s="82"/>
      <c r="T209" s="82">
        <f t="shared" si="90"/>
        <v>0.44375</v>
      </c>
      <c r="U209" s="81"/>
      <c r="V209" s="81"/>
      <c r="W209" s="83">
        <f t="shared" si="88"/>
        <v>133.940625</v>
      </c>
      <c r="X209" s="84">
        <f t="shared" si="91"/>
        <v>2.64115234375</v>
      </c>
      <c r="Y209" s="84"/>
      <c r="Z209" s="84"/>
      <c r="AA209" s="84">
        <f t="shared" si="86"/>
        <v>2.64115234375</v>
      </c>
      <c r="AB209" s="94">
        <v>7.17</v>
      </c>
      <c r="AC209" s="81">
        <f t="shared" si="87"/>
        <v>18.9370623046875</v>
      </c>
      <c r="AD209" s="81">
        <f t="shared" si="84"/>
        <v>152.877687304687</v>
      </c>
      <c r="AE209" s="81">
        <f t="shared" si="85"/>
        <v>70.826312695313</v>
      </c>
    </row>
    <row r="210" customFormat="1" spans="1:31">
      <c r="A210" s="19"/>
      <c r="B210" s="20"/>
      <c r="C210" s="23">
        <v>240103000026</v>
      </c>
      <c r="D210" s="24">
        <v>45299</v>
      </c>
      <c r="E210" s="25" t="s">
        <v>69</v>
      </c>
      <c r="F210" s="26" t="s">
        <v>69</v>
      </c>
      <c r="G210" s="26" t="s">
        <v>220</v>
      </c>
      <c r="H210" s="26">
        <v>3.5</v>
      </c>
      <c r="I210" s="43">
        <v>195.5</v>
      </c>
      <c r="J210" s="44"/>
      <c r="K210" s="45"/>
      <c r="L210" s="44"/>
      <c r="M210" s="46"/>
      <c r="N210" s="20"/>
      <c r="O210" s="48">
        <f t="shared" ref="O210:O213" si="95">SUM(I210)</f>
        <v>195.5</v>
      </c>
      <c r="P210" s="54"/>
      <c r="Q210" s="54"/>
      <c r="R210" s="81">
        <f t="shared" si="89"/>
        <v>116.809765625</v>
      </c>
      <c r="S210" s="82"/>
      <c r="T210" s="82">
        <f t="shared" si="90"/>
        <v>0.38828125</v>
      </c>
      <c r="U210" s="81"/>
      <c r="V210" s="81"/>
      <c r="W210" s="83">
        <f t="shared" si="88"/>
        <v>117.198046875</v>
      </c>
      <c r="X210" s="84">
        <f t="shared" si="91"/>
        <v>2.31100830078125</v>
      </c>
      <c r="Y210" s="84"/>
      <c r="Z210" s="84"/>
      <c r="AA210" s="84">
        <f t="shared" si="86"/>
        <v>2.31100830078125</v>
      </c>
      <c r="AB210" s="94">
        <v>7.17</v>
      </c>
      <c r="AC210" s="81">
        <f t="shared" si="87"/>
        <v>16.5699295166016</v>
      </c>
      <c r="AD210" s="81">
        <f t="shared" si="84"/>
        <v>133.767976391602</v>
      </c>
      <c r="AE210" s="81">
        <f t="shared" si="85"/>
        <v>61.732023608398</v>
      </c>
    </row>
    <row r="211" customFormat="1" spans="1:31">
      <c r="A211" s="19"/>
      <c r="B211" s="20"/>
      <c r="C211" s="21">
        <v>240103000027</v>
      </c>
      <c r="D211" s="22">
        <v>45299</v>
      </c>
      <c r="E211" s="22" t="s">
        <v>49</v>
      </c>
      <c r="F211" s="20" t="s">
        <v>50</v>
      </c>
      <c r="G211" s="20" t="s">
        <v>221</v>
      </c>
      <c r="H211" s="20">
        <v>3</v>
      </c>
      <c r="I211" s="50"/>
      <c r="J211" s="51">
        <v>23625</v>
      </c>
      <c r="K211" s="52"/>
      <c r="L211" s="51">
        <f>SUM(J211/M211)</f>
        <v>1255.31349628055</v>
      </c>
      <c r="M211" s="53">
        <v>18.82</v>
      </c>
      <c r="N211" s="20">
        <v>7.17</v>
      </c>
      <c r="O211" s="48">
        <f t="shared" si="94"/>
        <v>134.9394</v>
      </c>
      <c r="P211" s="54"/>
      <c r="Q211" s="54"/>
      <c r="R211" s="81">
        <f t="shared" si="89"/>
        <v>100.12265625</v>
      </c>
      <c r="S211" s="82"/>
      <c r="T211" s="82">
        <f t="shared" si="90"/>
        <v>0.3328125</v>
      </c>
      <c r="U211" s="81"/>
      <c r="V211" s="81"/>
      <c r="W211" s="83">
        <f t="shared" si="88"/>
        <v>100.45546875</v>
      </c>
      <c r="X211" s="84">
        <f t="shared" si="91"/>
        <v>1.9808642578125</v>
      </c>
      <c r="Y211" s="84"/>
      <c r="Z211" s="84"/>
      <c r="AA211" s="84">
        <f t="shared" si="86"/>
        <v>1.9808642578125</v>
      </c>
      <c r="AB211" s="94">
        <v>7.17</v>
      </c>
      <c r="AC211" s="81">
        <f t="shared" si="87"/>
        <v>14.2027967285156</v>
      </c>
      <c r="AD211" s="81">
        <f t="shared" si="84"/>
        <v>114.658265478516</v>
      </c>
      <c r="AE211" s="81">
        <f t="shared" si="85"/>
        <v>20.281134521484</v>
      </c>
    </row>
    <row r="212" customFormat="1" spans="1:31">
      <c r="A212" s="19"/>
      <c r="B212" s="20"/>
      <c r="C212" s="21">
        <v>240103000029</v>
      </c>
      <c r="D212" s="22">
        <v>45299</v>
      </c>
      <c r="E212" s="22" t="s">
        <v>49</v>
      </c>
      <c r="F212" s="20" t="s">
        <v>50</v>
      </c>
      <c r="G212" s="20" t="s">
        <v>222</v>
      </c>
      <c r="H212" s="20">
        <v>2</v>
      </c>
      <c r="I212" s="43">
        <v>123</v>
      </c>
      <c r="J212" s="44"/>
      <c r="K212" s="45"/>
      <c r="L212" s="44"/>
      <c r="M212" s="46"/>
      <c r="N212" s="20"/>
      <c r="O212" s="48">
        <f t="shared" si="95"/>
        <v>123</v>
      </c>
      <c r="P212" s="54"/>
      <c r="Q212" s="54"/>
      <c r="R212" s="81">
        <f t="shared" si="89"/>
        <v>66.7484375</v>
      </c>
      <c r="S212" s="82"/>
      <c r="T212" s="82">
        <f t="shared" si="90"/>
        <v>0.221875</v>
      </c>
      <c r="U212" s="81"/>
      <c r="V212" s="81"/>
      <c r="W212" s="83">
        <f t="shared" si="88"/>
        <v>66.9703125</v>
      </c>
      <c r="X212" s="84">
        <f t="shared" si="91"/>
        <v>1.320576171875</v>
      </c>
      <c r="Y212" s="84"/>
      <c r="Z212" s="84"/>
      <c r="AA212" s="84">
        <f t="shared" si="86"/>
        <v>1.320576171875</v>
      </c>
      <c r="AB212" s="94">
        <v>7.17</v>
      </c>
      <c r="AC212" s="81">
        <f t="shared" si="87"/>
        <v>9.46853115234375</v>
      </c>
      <c r="AD212" s="81">
        <f t="shared" si="84"/>
        <v>76.4388436523437</v>
      </c>
      <c r="AE212" s="81">
        <f t="shared" si="85"/>
        <v>46.5611563476563</v>
      </c>
    </row>
    <row r="213" customFormat="1" spans="1:31">
      <c r="A213" s="19"/>
      <c r="B213" s="20"/>
      <c r="C213" s="21">
        <v>240103000031</v>
      </c>
      <c r="D213" s="22">
        <v>45299</v>
      </c>
      <c r="E213" s="22" t="s">
        <v>44</v>
      </c>
      <c r="F213" s="20" t="s">
        <v>45</v>
      </c>
      <c r="G213" s="20" t="s">
        <v>187</v>
      </c>
      <c r="H213" s="20">
        <v>0.61</v>
      </c>
      <c r="I213" s="43">
        <v>63</v>
      </c>
      <c r="J213" s="44"/>
      <c r="K213" s="45"/>
      <c r="L213" s="44"/>
      <c r="M213" s="46"/>
      <c r="N213" s="20"/>
      <c r="O213" s="48">
        <f t="shared" si="95"/>
        <v>63</v>
      </c>
      <c r="P213" s="54"/>
      <c r="Q213" s="54"/>
      <c r="R213" s="81">
        <f t="shared" si="89"/>
        <v>20.3582734375</v>
      </c>
      <c r="S213" s="82"/>
      <c r="T213" s="82">
        <f t="shared" si="90"/>
        <v>0.067671875</v>
      </c>
      <c r="U213" s="81"/>
      <c r="V213" s="81"/>
      <c r="W213" s="83">
        <f t="shared" si="88"/>
        <v>20.4259453125</v>
      </c>
      <c r="X213" s="84">
        <f t="shared" si="91"/>
        <v>0.402775732421875</v>
      </c>
      <c r="Y213" s="84"/>
      <c r="Z213" s="84"/>
      <c r="AA213" s="84">
        <f t="shared" si="86"/>
        <v>0.402775732421875</v>
      </c>
      <c r="AB213" s="94">
        <v>7.17</v>
      </c>
      <c r="AC213" s="81">
        <f t="shared" si="87"/>
        <v>2.88790200146484</v>
      </c>
      <c r="AD213" s="81">
        <f t="shared" si="84"/>
        <v>23.3138473139648</v>
      </c>
      <c r="AE213" s="81">
        <f t="shared" si="85"/>
        <v>39.6861526860352</v>
      </c>
    </row>
    <row r="214" customFormat="1" spans="1:31">
      <c r="A214" s="19"/>
      <c r="B214" s="20"/>
      <c r="C214" s="21">
        <v>240103000039</v>
      </c>
      <c r="D214" s="22">
        <v>45299</v>
      </c>
      <c r="E214" s="22" t="s">
        <v>58</v>
      </c>
      <c r="F214" s="20" t="s">
        <v>59</v>
      </c>
      <c r="G214" s="20" t="s">
        <v>199</v>
      </c>
      <c r="H214" s="20">
        <v>26</v>
      </c>
      <c r="I214" s="48"/>
      <c r="J214" s="55">
        <v>231088</v>
      </c>
      <c r="K214" s="56"/>
      <c r="L214" s="51">
        <f>SUM(J214/M214)</f>
        <v>1262.08629164391</v>
      </c>
      <c r="M214" s="53">
        <v>183.1</v>
      </c>
      <c r="N214" s="20">
        <v>7.17</v>
      </c>
      <c r="O214" s="48">
        <f t="shared" ref="O214:O216" si="96">SUM(M214*N214)</f>
        <v>1312.827</v>
      </c>
      <c r="P214" s="54"/>
      <c r="Q214" s="54"/>
      <c r="R214" s="81">
        <f t="shared" si="89"/>
        <v>867.7296875</v>
      </c>
      <c r="S214" s="82"/>
      <c r="T214" s="82">
        <f t="shared" si="90"/>
        <v>2.884375</v>
      </c>
      <c r="U214" s="81"/>
      <c r="V214" s="81"/>
      <c r="W214" s="83">
        <f t="shared" si="88"/>
        <v>870.6140625</v>
      </c>
      <c r="X214" s="84">
        <f t="shared" si="91"/>
        <v>17.167490234375</v>
      </c>
      <c r="Y214" s="84"/>
      <c r="Z214" s="84"/>
      <c r="AA214" s="84">
        <f t="shared" si="86"/>
        <v>17.167490234375</v>
      </c>
      <c r="AB214" s="94">
        <v>7.17</v>
      </c>
      <c r="AC214" s="81">
        <f t="shared" si="87"/>
        <v>123.090904980469</v>
      </c>
      <c r="AD214" s="81">
        <f t="shared" si="84"/>
        <v>993.704967480469</v>
      </c>
      <c r="AE214" s="81">
        <f t="shared" si="85"/>
        <v>319.122032519531</v>
      </c>
    </row>
    <row r="215" customFormat="1" spans="1:31">
      <c r="A215" s="19"/>
      <c r="B215" s="20"/>
      <c r="C215" s="21">
        <v>240103000041</v>
      </c>
      <c r="D215" s="22">
        <v>45299</v>
      </c>
      <c r="E215" s="22" t="s">
        <v>49</v>
      </c>
      <c r="F215" s="20" t="s">
        <v>50</v>
      </c>
      <c r="G215" s="20" t="s">
        <v>223</v>
      </c>
      <c r="H215" s="20">
        <v>0.56</v>
      </c>
      <c r="I215" s="48"/>
      <c r="J215" s="55">
        <v>11036</v>
      </c>
      <c r="K215" s="56"/>
      <c r="L215" s="51">
        <f>SUM(J215/M215)</f>
        <v>1240</v>
      </c>
      <c r="M215" s="53">
        <v>8.9</v>
      </c>
      <c r="N215" s="20">
        <v>7.17</v>
      </c>
      <c r="O215" s="48">
        <f t="shared" si="96"/>
        <v>63.813</v>
      </c>
      <c r="P215" s="54"/>
      <c r="Q215" s="54"/>
      <c r="R215" s="81">
        <f t="shared" si="89"/>
        <v>18.6895625</v>
      </c>
      <c r="S215" s="82"/>
      <c r="T215" s="82">
        <f t="shared" si="90"/>
        <v>0.062125</v>
      </c>
      <c r="U215" s="81"/>
      <c r="V215" s="81"/>
      <c r="W215" s="83">
        <f t="shared" si="88"/>
        <v>18.7516875</v>
      </c>
      <c r="X215" s="84">
        <f t="shared" si="91"/>
        <v>0.369761328125</v>
      </c>
      <c r="Y215" s="84"/>
      <c r="Z215" s="84"/>
      <c r="AA215" s="84">
        <f t="shared" si="86"/>
        <v>0.369761328125</v>
      </c>
      <c r="AB215" s="94">
        <v>7.17</v>
      </c>
      <c r="AC215" s="81">
        <f t="shared" si="87"/>
        <v>2.65118872265625</v>
      </c>
      <c r="AD215" s="81">
        <f t="shared" si="84"/>
        <v>21.4028762226563</v>
      </c>
      <c r="AE215" s="81">
        <f t="shared" si="85"/>
        <v>42.4101237773437</v>
      </c>
    </row>
    <row r="216" customFormat="1" spans="1:31">
      <c r="A216" s="19"/>
      <c r="B216" s="20"/>
      <c r="C216" s="21">
        <v>240103000050</v>
      </c>
      <c r="D216" s="22">
        <v>45299</v>
      </c>
      <c r="E216" s="22" t="s">
        <v>99</v>
      </c>
      <c r="F216" s="20" t="s">
        <v>216</v>
      </c>
      <c r="G216" s="20" t="s">
        <v>217</v>
      </c>
      <c r="H216" s="20">
        <v>3</v>
      </c>
      <c r="I216" s="48"/>
      <c r="J216" s="55">
        <v>29140</v>
      </c>
      <c r="K216" s="56"/>
      <c r="L216" s="51">
        <f>SUM(J216/M216)</f>
        <v>1240</v>
      </c>
      <c r="M216" s="53">
        <v>23.5</v>
      </c>
      <c r="N216" s="20">
        <v>7.17</v>
      </c>
      <c r="O216" s="48">
        <f t="shared" si="96"/>
        <v>168.495</v>
      </c>
      <c r="P216" s="54"/>
      <c r="Q216" s="54"/>
      <c r="R216" s="81">
        <f t="shared" si="89"/>
        <v>100.12265625</v>
      </c>
      <c r="S216" s="82"/>
      <c r="T216" s="82">
        <f t="shared" si="90"/>
        <v>0.3328125</v>
      </c>
      <c r="U216" s="81"/>
      <c r="V216" s="81"/>
      <c r="W216" s="83">
        <f t="shared" si="88"/>
        <v>100.45546875</v>
      </c>
      <c r="X216" s="84">
        <f t="shared" si="91"/>
        <v>1.9808642578125</v>
      </c>
      <c r="Y216" s="84"/>
      <c r="Z216" s="84"/>
      <c r="AA216" s="84">
        <f t="shared" si="86"/>
        <v>1.9808642578125</v>
      </c>
      <c r="AB216" s="94">
        <v>7.17</v>
      </c>
      <c r="AC216" s="81">
        <f t="shared" si="87"/>
        <v>14.2027967285156</v>
      </c>
      <c r="AD216" s="81">
        <f t="shared" si="84"/>
        <v>114.658265478516</v>
      </c>
      <c r="AE216" s="81">
        <f t="shared" si="85"/>
        <v>53.836734521484</v>
      </c>
    </row>
    <row r="217" customFormat="1" spans="1:31">
      <c r="A217" s="19"/>
      <c r="B217" s="20"/>
      <c r="C217" s="21">
        <v>240103000052</v>
      </c>
      <c r="D217" s="22">
        <v>45299</v>
      </c>
      <c r="E217" s="22" t="s">
        <v>44</v>
      </c>
      <c r="F217" s="20" t="s">
        <v>45</v>
      </c>
      <c r="G217" s="20" t="s">
        <v>224</v>
      </c>
      <c r="H217" s="20">
        <v>0.61</v>
      </c>
      <c r="I217" s="43">
        <v>58</v>
      </c>
      <c r="J217" s="44"/>
      <c r="K217" s="45"/>
      <c r="L217" s="44"/>
      <c r="M217" s="46"/>
      <c r="N217" s="20"/>
      <c r="O217" s="48">
        <f t="shared" ref="O217:O226" si="97">SUM(I217)</f>
        <v>58</v>
      </c>
      <c r="P217" s="54"/>
      <c r="Q217" s="54"/>
      <c r="R217" s="81">
        <f t="shared" si="89"/>
        <v>20.3582734375</v>
      </c>
      <c r="S217" s="82"/>
      <c r="T217" s="82">
        <f t="shared" si="90"/>
        <v>0.067671875</v>
      </c>
      <c r="U217" s="81"/>
      <c r="V217" s="81"/>
      <c r="W217" s="83">
        <f t="shared" si="88"/>
        <v>20.4259453125</v>
      </c>
      <c r="X217" s="84">
        <f t="shared" si="91"/>
        <v>0.402775732421875</v>
      </c>
      <c r="Y217" s="84"/>
      <c r="Z217" s="84"/>
      <c r="AA217" s="84">
        <f t="shared" si="86"/>
        <v>0.402775732421875</v>
      </c>
      <c r="AB217" s="94">
        <v>7.17</v>
      </c>
      <c r="AC217" s="81">
        <f t="shared" si="87"/>
        <v>2.88790200146484</v>
      </c>
      <c r="AD217" s="81">
        <f t="shared" si="84"/>
        <v>23.3138473139648</v>
      </c>
      <c r="AE217" s="81">
        <f t="shared" si="85"/>
        <v>34.6861526860352</v>
      </c>
    </row>
    <row r="218" customFormat="1" spans="1:31">
      <c r="A218" s="19"/>
      <c r="B218" s="20"/>
      <c r="C218" s="21">
        <v>240103000054</v>
      </c>
      <c r="D218" s="22">
        <v>45299</v>
      </c>
      <c r="E218" s="22" t="s">
        <v>49</v>
      </c>
      <c r="F218" s="20" t="s">
        <v>50</v>
      </c>
      <c r="G218" s="20" t="s">
        <v>225</v>
      </c>
      <c r="H218" s="20">
        <v>0.32</v>
      </c>
      <c r="I218" s="43">
        <v>58</v>
      </c>
      <c r="J218" s="44"/>
      <c r="K218" s="45"/>
      <c r="L218" s="44"/>
      <c r="M218" s="46"/>
      <c r="N218" s="20"/>
      <c r="O218" s="48">
        <f t="shared" si="97"/>
        <v>58</v>
      </c>
      <c r="P218" s="54"/>
      <c r="Q218" s="54"/>
      <c r="R218" s="81">
        <f t="shared" si="89"/>
        <v>10.67975</v>
      </c>
      <c r="S218" s="82"/>
      <c r="T218" s="82">
        <f t="shared" si="90"/>
        <v>0.0355</v>
      </c>
      <c r="U218" s="81"/>
      <c r="V218" s="81"/>
      <c r="W218" s="83">
        <f t="shared" si="88"/>
        <v>10.71525</v>
      </c>
      <c r="X218" s="84">
        <f t="shared" si="91"/>
        <v>0.2112921875</v>
      </c>
      <c r="Y218" s="84"/>
      <c r="Z218" s="84"/>
      <c r="AA218" s="84">
        <f t="shared" si="86"/>
        <v>0.2112921875</v>
      </c>
      <c r="AB218" s="94">
        <v>7.17</v>
      </c>
      <c r="AC218" s="81">
        <f t="shared" si="87"/>
        <v>1.514964984375</v>
      </c>
      <c r="AD218" s="81">
        <f t="shared" si="84"/>
        <v>12.230214984375</v>
      </c>
      <c r="AE218" s="81">
        <f t="shared" si="85"/>
        <v>45.769785015625</v>
      </c>
    </row>
    <row r="219" customFormat="1" spans="1:31">
      <c r="A219" s="19"/>
      <c r="B219" s="20"/>
      <c r="C219" s="21">
        <v>240104000006</v>
      </c>
      <c r="D219" s="22">
        <v>45299</v>
      </c>
      <c r="E219" s="22" t="s">
        <v>44</v>
      </c>
      <c r="F219" s="20" t="s">
        <v>45</v>
      </c>
      <c r="G219" s="20" t="s">
        <v>204</v>
      </c>
      <c r="H219" s="20">
        <v>4.5</v>
      </c>
      <c r="I219" s="48"/>
      <c r="J219" s="55">
        <v>43462</v>
      </c>
      <c r="K219" s="56"/>
      <c r="L219" s="51">
        <f>SUM(J219/M219)</f>
        <v>1240</v>
      </c>
      <c r="M219" s="53">
        <v>35.05</v>
      </c>
      <c r="N219" s="20">
        <v>7.17</v>
      </c>
      <c r="O219" s="48">
        <f>SUM(M219*N219)</f>
        <v>251.3085</v>
      </c>
      <c r="P219" s="54"/>
      <c r="Q219" s="54"/>
      <c r="R219" s="81">
        <f t="shared" si="89"/>
        <v>150.183984375</v>
      </c>
      <c r="S219" s="82"/>
      <c r="T219" s="82">
        <f t="shared" si="90"/>
        <v>0.49921875</v>
      </c>
      <c r="U219" s="81"/>
      <c r="V219" s="81"/>
      <c r="W219" s="83">
        <f t="shared" si="88"/>
        <v>150.683203125</v>
      </c>
      <c r="X219" s="84">
        <f t="shared" si="91"/>
        <v>2.97129638671875</v>
      </c>
      <c r="Y219" s="84"/>
      <c r="Z219" s="84"/>
      <c r="AA219" s="84">
        <f t="shared" si="86"/>
        <v>2.97129638671875</v>
      </c>
      <c r="AB219" s="94">
        <v>7.17</v>
      </c>
      <c r="AC219" s="81">
        <f t="shared" si="87"/>
        <v>21.3041950927734</v>
      </c>
      <c r="AD219" s="81">
        <f t="shared" si="84"/>
        <v>171.987398217773</v>
      </c>
      <c r="AE219" s="81">
        <f t="shared" si="85"/>
        <v>79.321101782227</v>
      </c>
    </row>
    <row r="220" customFormat="1" spans="1:31">
      <c r="A220" s="19"/>
      <c r="B220" s="20"/>
      <c r="C220" s="21">
        <v>240104000007</v>
      </c>
      <c r="D220" s="22">
        <v>45299</v>
      </c>
      <c r="E220" s="22" t="s">
        <v>44</v>
      </c>
      <c r="F220" s="20" t="s">
        <v>45</v>
      </c>
      <c r="G220" s="20" t="s">
        <v>91</v>
      </c>
      <c r="H220" s="20">
        <v>2</v>
      </c>
      <c r="I220" s="43">
        <v>113</v>
      </c>
      <c r="J220" s="44"/>
      <c r="K220" s="45"/>
      <c r="L220" s="44"/>
      <c r="M220" s="46"/>
      <c r="N220" s="20"/>
      <c r="O220" s="48">
        <f t="shared" si="97"/>
        <v>113</v>
      </c>
      <c r="P220" s="54"/>
      <c r="Q220" s="54"/>
      <c r="R220" s="81">
        <f t="shared" si="89"/>
        <v>66.7484375</v>
      </c>
      <c r="S220" s="82"/>
      <c r="T220" s="82">
        <f t="shared" si="90"/>
        <v>0.221875</v>
      </c>
      <c r="U220" s="81"/>
      <c r="V220" s="81"/>
      <c r="W220" s="83">
        <f t="shared" si="88"/>
        <v>66.9703125</v>
      </c>
      <c r="X220" s="84">
        <f t="shared" si="91"/>
        <v>1.320576171875</v>
      </c>
      <c r="Y220" s="84"/>
      <c r="Z220" s="84"/>
      <c r="AA220" s="84">
        <f t="shared" si="86"/>
        <v>1.320576171875</v>
      </c>
      <c r="AB220" s="94">
        <v>7.17</v>
      </c>
      <c r="AC220" s="81">
        <f t="shared" si="87"/>
        <v>9.46853115234375</v>
      </c>
      <c r="AD220" s="81">
        <f t="shared" si="84"/>
        <v>76.4388436523437</v>
      </c>
      <c r="AE220" s="81">
        <f t="shared" si="85"/>
        <v>36.5611563476563</v>
      </c>
    </row>
    <row r="221" customFormat="1" spans="1:31">
      <c r="A221" s="19"/>
      <c r="B221" s="20"/>
      <c r="C221" s="21">
        <v>240104000008</v>
      </c>
      <c r="D221" s="22">
        <v>45299</v>
      </c>
      <c r="E221" s="22" t="s">
        <v>37</v>
      </c>
      <c r="F221" s="20" t="s">
        <v>203</v>
      </c>
      <c r="G221" s="20" t="s">
        <v>122</v>
      </c>
      <c r="H221" s="20">
        <v>12</v>
      </c>
      <c r="I221" s="43">
        <v>866</v>
      </c>
      <c r="J221" s="44"/>
      <c r="K221" s="45"/>
      <c r="L221" s="44"/>
      <c r="M221" s="46"/>
      <c r="N221" s="20"/>
      <c r="O221" s="48">
        <f t="shared" si="97"/>
        <v>866</v>
      </c>
      <c r="P221" s="54"/>
      <c r="Q221" s="54"/>
      <c r="R221" s="81">
        <f t="shared" si="89"/>
        <v>400.490625</v>
      </c>
      <c r="S221" s="82"/>
      <c r="T221" s="82">
        <f t="shared" si="90"/>
        <v>1.33125</v>
      </c>
      <c r="U221" s="81"/>
      <c r="V221" s="81"/>
      <c r="W221" s="83">
        <f t="shared" si="88"/>
        <v>401.821875</v>
      </c>
      <c r="X221" s="84">
        <f t="shared" si="91"/>
        <v>7.92345703125</v>
      </c>
      <c r="Y221" s="84"/>
      <c r="Z221" s="84"/>
      <c r="AA221" s="84">
        <f t="shared" si="86"/>
        <v>7.92345703125</v>
      </c>
      <c r="AB221" s="94">
        <v>7.17</v>
      </c>
      <c r="AC221" s="81">
        <f t="shared" si="87"/>
        <v>56.8111869140625</v>
      </c>
      <c r="AD221" s="81">
        <f t="shared" si="84"/>
        <v>458.633061914062</v>
      </c>
      <c r="AE221" s="81">
        <f t="shared" si="85"/>
        <v>407.366938085938</v>
      </c>
    </row>
    <row r="222" customFormat="1" spans="1:31">
      <c r="A222" s="19"/>
      <c r="B222" s="20"/>
      <c r="C222" s="21">
        <v>240104000009</v>
      </c>
      <c r="D222" s="22">
        <v>45299</v>
      </c>
      <c r="E222" s="22" t="s">
        <v>37</v>
      </c>
      <c r="F222" s="20" t="s">
        <v>203</v>
      </c>
      <c r="G222" s="20" t="s">
        <v>122</v>
      </c>
      <c r="H222" s="20">
        <v>9.5</v>
      </c>
      <c r="I222" s="43">
        <v>408.5</v>
      </c>
      <c r="J222" s="44"/>
      <c r="K222" s="45"/>
      <c r="L222" s="44"/>
      <c r="M222" s="46"/>
      <c r="N222" s="20"/>
      <c r="O222" s="48">
        <f t="shared" si="97"/>
        <v>408.5</v>
      </c>
      <c r="P222" s="54"/>
      <c r="Q222" s="54"/>
      <c r="R222" s="81">
        <f t="shared" si="89"/>
        <v>317.055078125</v>
      </c>
      <c r="S222" s="82"/>
      <c r="T222" s="82">
        <f t="shared" si="90"/>
        <v>1.05390625</v>
      </c>
      <c r="U222" s="81"/>
      <c r="V222" s="81"/>
      <c r="W222" s="83">
        <f t="shared" si="88"/>
        <v>318.108984375</v>
      </c>
      <c r="X222" s="84">
        <f t="shared" si="91"/>
        <v>6.27273681640625</v>
      </c>
      <c r="Y222" s="84"/>
      <c r="Z222" s="84"/>
      <c r="AA222" s="84">
        <f t="shared" si="86"/>
        <v>6.27273681640625</v>
      </c>
      <c r="AB222" s="94">
        <v>7.17</v>
      </c>
      <c r="AC222" s="81">
        <f t="shared" si="87"/>
        <v>44.9755229736328</v>
      </c>
      <c r="AD222" s="81">
        <f t="shared" si="84"/>
        <v>363.084507348633</v>
      </c>
      <c r="AE222" s="81">
        <f t="shared" si="85"/>
        <v>45.415492651367</v>
      </c>
    </row>
    <row r="223" customFormat="1" spans="1:31">
      <c r="A223" s="19"/>
      <c r="B223" s="20"/>
      <c r="C223" s="21">
        <v>240104000010</v>
      </c>
      <c r="D223" s="22">
        <v>45299</v>
      </c>
      <c r="E223" s="22" t="s">
        <v>44</v>
      </c>
      <c r="F223" s="20" t="s">
        <v>45</v>
      </c>
      <c r="G223" s="20" t="s">
        <v>91</v>
      </c>
      <c r="H223" s="20">
        <v>0.25</v>
      </c>
      <c r="I223" s="43">
        <v>58</v>
      </c>
      <c r="J223" s="44"/>
      <c r="K223" s="45"/>
      <c r="L223" s="44"/>
      <c r="M223" s="46"/>
      <c r="N223" s="20"/>
      <c r="O223" s="48">
        <f t="shared" si="97"/>
        <v>58</v>
      </c>
      <c r="P223" s="54"/>
      <c r="Q223" s="54"/>
      <c r="R223" s="81">
        <f t="shared" si="89"/>
        <v>8.3435546875</v>
      </c>
      <c r="S223" s="82"/>
      <c r="T223" s="82">
        <f t="shared" si="90"/>
        <v>0.027734375</v>
      </c>
      <c r="U223" s="81"/>
      <c r="V223" s="81"/>
      <c r="W223" s="83">
        <f t="shared" si="88"/>
        <v>8.3712890625</v>
      </c>
      <c r="X223" s="84">
        <f t="shared" si="91"/>
        <v>0.165072021484375</v>
      </c>
      <c r="Y223" s="84"/>
      <c r="Z223" s="84"/>
      <c r="AA223" s="84">
        <f t="shared" si="86"/>
        <v>0.165072021484375</v>
      </c>
      <c r="AB223" s="94">
        <v>7.17</v>
      </c>
      <c r="AC223" s="81">
        <f t="shared" si="87"/>
        <v>1.18356639404297</v>
      </c>
      <c r="AD223" s="81">
        <f t="shared" si="84"/>
        <v>9.55485545654297</v>
      </c>
      <c r="AE223" s="81">
        <f t="shared" si="85"/>
        <v>48.445144543457</v>
      </c>
    </row>
    <row r="224" customFormat="1" spans="1:31">
      <c r="A224" s="19"/>
      <c r="B224" s="20"/>
      <c r="C224" s="21">
        <v>240104000012</v>
      </c>
      <c r="D224" s="22">
        <v>45299</v>
      </c>
      <c r="E224" s="22" t="s">
        <v>49</v>
      </c>
      <c r="F224" s="20" t="s">
        <v>50</v>
      </c>
      <c r="G224" s="20" t="s">
        <v>87</v>
      </c>
      <c r="H224" s="20">
        <v>7</v>
      </c>
      <c r="I224" s="43">
        <v>315</v>
      </c>
      <c r="J224" s="44"/>
      <c r="K224" s="45"/>
      <c r="L224" s="44"/>
      <c r="M224" s="46"/>
      <c r="N224" s="20"/>
      <c r="O224" s="48">
        <f t="shared" si="97"/>
        <v>315</v>
      </c>
      <c r="P224" s="54"/>
      <c r="Q224" s="54"/>
      <c r="R224" s="81">
        <f t="shared" si="89"/>
        <v>233.61953125</v>
      </c>
      <c r="S224" s="82"/>
      <c r="T224" s="82">
        <f t="shared" si="90"/>
        <v>0.7765625</v>
      </c>
      <c r="U224" s="81"/>
      <c r="V224" s="81"/>
      <c r="W224" s="83">
        <f t="shared" si="88"/>
        <v>234.39609375</v>
      </c>
      <c r="X224" s="84">
        <f t="shared" si="91"/>
        <v>4.6220166015625</v>
      </c>
      <c r="Y224" s="84"/>
      <c r="Z224" s="84"/>
      <c r="AA224" s="84">
        <f t="shared" si="86"/>
        <v>4.6220166015625</v>
      </c>
      <c r="AB224" s="94">
        <v>7.17</v>
      </c>
      <c r="AC224" s="81">
        <f t="shared" si="87"/>
        <v>33.1398590332031</v>
      </c>
      <c r="AD224" s="81">
        <f t="shared" si="84"/>
        <v>267.535952783203</v>
      </c>
      <c r="AE224" s="81">
        <f t="shared" si="85"/>
        <v>47.464047216797</v>
      </c>
    </row>
    <row r="225" customFormat="1" spans="1:31">
      <c r="A225" s="19"/>
      <c r="B225" s="20"/>
      <c r="C225" s="21">
        <v>240104000014</v>
      </c>
      <c r="D225" s="22">
        <v>45299</v>
      </c>
      <c r="E225" s="22" t="s">
        <v>37</v>
      </c>
      <c r="F225" s="20" t="s">
        <v>38</v>
      </c>
      <c r="G225" s="20" t="s">
        <v>226</v>
      </c>
      <c r="H225" s="20">
        <v>0.25</v>
      </c>
      <c r="I225" s="43">
        <v>33</v>
      </c>
      <c r="J225" s="44"/>
      <c r="K225" s="45"/>
      <c r="L225" s="44"/>
      <c r="M225" s="46"/>
      <c r="N225" s="20"/>
      <c r="O225" s="48">
        <f t="shared" si="97"/>
        <v>33</v>
      </c>
      <c r="P225" s="54"/>
      <c r="Q225" s="54"/>
      <c r="R225" s="81">
        <f t="shared" si="89"/>
        <v>8.3435546875</v>
      </c>
      <c r="S225" s="82"/>
      <c r="T225" s="82">
        <f t="shared" si="90"/>
        <v>0.027734375</v>
      </c>
      <c r="U225" s="81"/>
      <c r="V225" s="81"/>
      <c r="W225" s="83">
        <f t="shared" si="88"/>
        <v>8.3712890625</v>
      </c>
      <c r="X225" s="84">
        <f t="shared" si="91"/>
        <v>0.165072021484375</v>
      </c>
      <c r="Y225" s="84"/>
      <c r="Z225" s="84"/>
      <c r="AA225" s="84">
        <f t="shared" si="86"/>
        <v>0.165072021484375</v>
      </c>
      <c r="AB225" s="94">
        <v>7.17</v>
      </c>
      <c r="AC225" s="81">
        <f t="shared" si="87"/>
        <v>1.18356639404297</v>
      </c>
      <c r="AD225" s="81">
        <f t="shared" si="84"/>
        <v>9.55485545654297</v>
      </c>
      <c r="AE225" s="81">
        <f t="shared" si="85"/>
        <v>23.445144543457</v>
      </c>
    </row>
    <row r="226" customFormat="1" spans="1:31">
      <c r="A226" s="19"/>
      <c r="B226" s="20"/>
      <c r="C226" s="21">
        <v>240104000016</v>
      </c>
      <c r="D226" s="22">
        <v>45299</v>
      </c>
      <c r="E226" s="22" t="s">
        <v>44</v>
      </c>
      <c r="F226" s="20" t="s">
        <v>45</v>
      </c>
      <c r="G226" s="20" t="s">
        <v>214</v>
      </c>
      <c r="H226" s="20">
        <v>1.5</v>
      </c>
      <c r="I226" s="43">
        <v>97</v>
      </c>
      <c r="J226" s="44"/>
      <c r="K226" s="45"/>
      <c r="L226" s="44"/>
      <c r="M226" s="46"/>
      <c r="N226" s="20"/>
      <c r="O226" s="48">
        <f t="shared" si="97"/>
        <v>97</v>
      </c>
      <c r="P226" s="54"/>
      <c r="Q226" s="54"/>
      <c r="R226" s="81">
        <f t="shared" si="89"/>
        <v>50.061328125</v>
      </c>
      <c r="S226" s="82"/>
      <c r="T226" s="82">
        <f t="shared" si="90"/>
        <v>0.16640625</v>
      </c>
      <c r="U226" s="81"/>
      <c r="V226" s="81"/>
      <c r="W226" s="83">
        <f t="shared" si="88"/>
        <v>50.227734375</v>
      </c>
      <c r="X226" s="84">
        <f t="shared" si="91"/>
        <v>0.99043212890625</v>
      </c>
      <c r="Y226" s="84"/>
      <c r="Z226" s="84"/>
      <c r="AA226" s="84">
        <f t="shared" si="86"/>
        <v>0.99043212890625</v>
      </c>
      <c r="AB226" s="94">
        <v>7.17</v>
      </c>
      <c r="AC226" s="81">
        <f t="shared" si="87"/>
        <v>7.10139836425781</v>
      </c>
      <c r="AD226" s="81">
        <f t="shared" si="84"/>
        <v>57.3291327392578</v>
      </c>
      <c r="AE226" s="81">
        <f t="shared" si="85"/>
        <v>39.6708672607422</v>
      </c>
    </row>
    <row r="227" customFormat="1" spans="1:31">
      <c r="A227" s="19"/>
      <c r="B227" s="20"/>
      <c r="C227" s="21">
        <v>240104000019</v>
      </c>
      <c r="D227" s="22">
        <v>45299</v>
      </c>
      <c r="E227" s="22" t="s">
        <v>44</v>
      </c>
      <c r="F227" s="20" t="s">
        <v>45</v>
      </c>
      <c r="G227" s="20" t="s">
        <v>166</v>
      </c>
      <c r="H227" s="20">
        <v>401.5</v>
      </c>
      <c r="I227" s="48"/>
      <c r="J227" s="55">
        <v>5259527</v>
      </c>
      <c r="K227" s="56"/>
      <c r="L227" s="51">
        <f>SUM(J227/M227)</f>
        <v>1455.47720977084</v>
      </c>
      <c r="M227" s="53">
        <v>3613.61</v>
      </c>
      <c r="N227" s="20">
        <v>7.17</v>
      </c>
      <c r="O227" s="48">
        <f>SUM(M227*N227)</f>
        <v>25909.5837</v>
      </c>
      <c r="P227" s="54"/>
      <c r="Q227" s="54"/>
      <c r="R227" s="81">
        <f t="shared" si="89"/>
        <v>13399.748828125</v>
      </c>
      <c r="S227" s="82"/>
      <c r="T227" s="82">
        <f t="shared" si="90"/>
        <v>44.54140625</v>
      </c>
      <c r="U227" s="81"/>
      <c r="V227" s="81"/>
      <c r="W227" s="83">
        <f t="shared" si="88"/>
        <v>13444.290234375</v>
      </c>
      <c r="X227" s="84">
        <f t="shared" si="91"/>
        <v>265.105666503906</v>
      </c>
      <c r="Y227" s="84"/>
      <c r="Z227" s="84"/>
      <c r="AA227" s="84">
        <f t="shared" si="86"/>
        <v>265.105666503906</v>
      </c>
      <c r="AB227" s="94">
        <v>7.17</v>
      </c>
      <c r="AC227" s="81">
        <f t="shared" si="87"/>
        <v>1900.80762883301</v>
      </c>
      <c r="AD227" s="81">
        <f t="shared" si="84"/>
        <v>15345.097863208</v>
      </c>
      <c r="AE227" s="81">
        <f t="shared" si="85"/>
        <v>10564.485836792</v>
      </c>
    </row>
    <row r="228" customFormat="1" spans="1:31">
      <c r="A228" s="19"/>
      <c r="B228" s="20"/>
      <c r="C228" s="21">
        <v>240105000001</v>
      </c>
      <c r="D228" s="22">
        <v>45299</v>
      </c>
      <c r="E228" s="22" t="s">
        <v>37</v>
      </c>
      <c r="F228" s="20" t="s">
        <v>203</v>
      </c>
      <c r="G228" s="20" t="s">
        <v>122</v>
      </c>
      <c r="H228" s="20">
        <v>0.67</v>
      </c>
      <c r="I228" s="43">
        <v>43</v>
      </c>
      <c r="J228" s="44"/>
      <c r="K228" s="45"/>
      <c r="L228" s="44"/>
      <c r="M228" s="46"/>
      <c r="N228" s="20"/>
      <c r="O228" s="48">
        <f t="shared" ref="O228:O231" si="98">SUM(I228)</f>
        <v>43</v>
      </c>
      <c r="P228" s="54"/>
      <c r="Q228" s="54"/>
      <c r="R228" s="81">
        <f t="shared" si="89"/>
        <v>22.3607265625</v>
      </c>
      <c r="S228" s="82"/>
      <c r="T228" s="82">
        <f t="shared" si="90"/>
        <v>0.074328125</v>
      </c>
      <c r="U228" s="81"/>
      <c r="V228" s="81"/>
      <c r="W228" s="83">
        <f t="shared" si="88"/>
        <v>22.4350546875</v>
      </c>
      <c r="X228" s="84">
        <f t="shared" si="91"/>
        <v>0.442393017578125</v>
      </c>
      <c r="Y228" s="84"/>
      <c r="Z228" s="84"/>
      <c r="AA228" s="84">
        <f t="shared" si="86"/>
        <v>0.442393017578125</v>
      </c>
      <c r="AB228" s="94">
        <v>7.17</v>
      </c>
      <c r="AC228" s="81">
        <f t="shared" si="87"/>
        <v>3.17195793603516</v>
      </c>
      <c r="AD228" s="81">
        <f t="shared" si="84"/>
        <v>25.6070126235352</v>
      </c>
      <c r="AE228" s="81">
        <f t="shared" si="85"/>
        <v>17.3929873764648</v>
      </c>
    </row>
    <row r="229" customFormat="1" spans="1:31">
      <c r="A229" s="19"/>
      <c r="B229" s="20"/>
      <c r="C229" s="21">
        <v>240105000005</v>
      </c>
      <c r="D229" s="22">
        <v>45299</v>
      </c>
      <c r="E229" s="22" t="s">
        <v>44</v>
      </c>
      <c r="F229" s="20" t="s">
        <v>45</v>
      </c>
      <c r="G229" s="20" t="s">
        <v>91</v>
      </c>
      <c r="H229" s="20">
        <v>2.5</v>
      </c>
      <c r="I229" s="43">
        <v>141</v>
      </c>
      <c r="J229" s="44"/>
      <c r="K229" s="45"/>
      <c r="L229" s="44"/>
      <c r="M229" s="46"/>
      <c r="N229" s="20"/>
      <c r="O229" s="48">
        <f t="shared" si="98"/>
        <v>141</v>
      </c>
      <c r="P229" s="54"/>
      <c r="Q229" s="54"/>
      <c r="R229" s="81">
        <f t="shared" si="89"/>
        <v>83.435546875</v>
      </c>
      <c r="S229" s="82"/>
      <c r="T229" s="82">
        <f t="shared" si="90"/>
        <v>0.27734375</v>
      </c>
      <c r="U229" s="81"/>
      <c r="V229" s="81"/>
      <c r="W229" s="83">
        <f t="shared" si="88"/>
        <v>83.712890625</v>
      </c>
      <c r="X229" s="84">
        <f t="shared" si="91"/>
        <v>1.65072021484375</v>
      </c>
      <c r="Y229" s="84"/>
      <c r="Z229" s="84"/>
      <c r="AA229" s="84">
        <f t="shared" si="86"/>
        <v>1.65072021484375</v>
      </c>
      <c r="AB229" s="94">
        <v>7.17</v>
      </c>
      <c r="AC229" s="81">
        <f t="shared" si="87"/>
        <v>11.8356639404297</v>
      </c>
      <c r="AD229" s="81">
        <f t="shared" si="84"/>
        <v>95.5485545654297</v>
      </c>
      <c r="AE229" s="81">
        <f t="shared" si="85"/>
        <v>45.4514454345703</v>
      </c>
    </row>
    <row r="230" customFormat="1" spans="1:31">
      <c r="A230" s="19"/>
      <c r="B230" s="20"/>
      <c r="C230" s="21">
        <v>240105000010</v>
      </c>
      <c r="D230" s="22">
        <v>45299</v>
      </c>
      <c r="E230" s="22" t="s">
        <v>44</v>
      </c>
      <c r="F230" s="20" t="s">
        <v>45</v>
      </c>
      <c r="G230" s="20" t="s">
        <v>91</v>
      </c>
      <c r="H230" s="20">
        <v>12</v>
      </c>
      <c r="I230" s="43">
        <v>670</v>
      </c>
      <c r="J230" s="44"/>
      <c r="K230" s="45"/>
      <c r="L230" s="44"/>
      <c r="M230" s="46"/>
      <c r="N230" s="20"/>
      <c r="O230" s="48">
        <f t="shared" si="98"/>
        <v>670</v>
      </c>
      <c r="P230" s="54"/>
      <c r="Q230" s="54"/>
      <c r="R230" s="81">
        <f t="shared" si="89"/>
        <v>400.490625</v>
      </c>
      <c r="S230" s="82"/>
      <c r="T230" s="82">
        <f t="shared" si="90"/>
        <v>1.33125</v>
      </c>
      <c r="U230" s="81">
        <v>40</v>
      </c>
      <c r="V230" s="81"/>
      <c r="W230" s="83">
        <f t="shared" si="88"/>
        <v>441.821875</v>
      </c>
      <c r="X230" s="84">
        <f t="shared" si="91"/>
        <v>7.92345703125</v>
      </c>
      <c r="Y230" s="84"/>
      <c r="Z230" s="84"/>
      <c r="AA230" s="84">
        <f t="shared" si="86"/>
        <v>7.92345703125</v>
      </c>
      <c r="AB230" s="94">
        <v>7.17</v>
      </c>
      <c r="AC230" s="81">
        <f t="shared" si="87"/>
        <v>56.8111869140625</v>
      </c>
      <c r="AD230" s="81">
        <f t="shared" si="84"/>
        <v>498.633061914062</v>
      </c>
      <c r="AE230" s="81">
        <f t="shared" si="85"/>
        <v>171.366938085938</v>
      </c>
    </row>
    <row r="231" customFormat="1" spans="1:31">
      <c r="A231" s="19"/>
      <c r="B231" s="20"/>
      <c r="C231" s="21">
        <v>240105000019</v>
      </c>
      <c r="D231" s="22">
        <v>45299</v>
      </c>
      <c r="E231" s="22" t="s">
        <v>49</v>
      </c>
      <c r="F231" s="20" t="s">
        <v>50</v>
      </c>
      <c r="G231" s="20" t="s">
        <v>188</v>
      </c>
      <c r="H231" s="20">
        <v>0.73</v>
      </c>
      <c r="I231" s="43">
        <v>50</v>
      </c>
      <c r="J231" s="44"/>
      <c r="K231" s="45"/>
      <c r="L231" s="44"/>
      <c r="M231" s="46"/>
      <c r="N231" s="20"/>
      <c r="O231" s="48">
        <f t="shared" si="98"/>
        <v>50</v>
      </c>
      <c r="P231" s="54"/>
      <c r="Q231" s="54"/>
      <c r="R231" s="81">
        <f t="shared" si="89"/>
        <v>24.3631796875</v>
      </c>
      <c r="S231" s="82"/>
      <c r="T231" s="82">
        <f t="shared" si="90"/>
        <v>0.080984375</v>
      </c>
      <c r="U231" s="81"/>
      <c r="V231" s="81"/>
      <c r="W231" s="83">
        <f t="shared" si="88"/>
        <v>24.4441640625</v>
      </c>
      <c r="X231" s="84">
        <f t="shared" si="91"/>
        <v>0.482010302734375</v>
      </c>
      <c r="Y231" s="84"/>
      <c r="Z231" s="84"/>
      <c r="AA231" s="84">
        <f t="shared" si="86"/>
        <v>0.482010302734375</v>
      </c>
      <c r="AB231" s="94">
        <v>7.17</v>
      </c>
      <c r="AC231" s="81">
        <f t="shared" si="87"/>
        <v>3.45601387060547</v>
      </c>
      <c r="AD231" s="81">
        <f t="shared" si="84"/>
        <v>27.9001779331055</v>
      </c>
      <c r="AE231" s="81">
        <f t="shared" si="85"/>
        <v>22.0998220668945</v>
      </c>
    </row>
    <row r="232" customFormat="1" spans="1:31">
      <c r="A232" s="19"/>
      <c r="B232" s="20"/>
      <c r="C232" s="21">
        <v>240105000023</v>
      </c>
      <c r="D232" s="22">
        <v>45299</v>
      </c>
      <c r="E232" s="22" t="s">
        <v>49</v>
      </c>
      <c r="F232" s="20" t="s">
        <v>50</v>
      </c>
      <c r="G232" s="20" t="s">
        <v>79</v>
      </c>
      <c r="H232" s="20">
        <v>5</v>
      </c>
      <c r="I232" s="50"/>
      <c r="J232" s="51">
        <v>42460</v>
      </c>
      <c r="K232" s="52"/>
      <c r="L232" s="51">
        <f>SUM(J232/M232)</f>
        <v>1383.96349413299</v>
      </c>
      <c r="M232" s="53">
        <v>30.68</v>
      </c>
      <c r="N232" s="20">
        <v>7.17</v>
      </c>
      <c r="O232" s="48">
        <f t="shared" ref="O232:O239" si="99">SUM(M232*N232)</f>
        <v>219.9756</v>
      </c>
      <c r="P232" s="54"/>
      <c r="Q232" s="54"/>
      <c r="R232" s="81">
        <f t="shared" si="89"/>
        <v>166.87109375</v>
      </c>
      <c r="S232" s="82"/>
      <c r="T232" s="82">
        <f t="shared" si="90"/>
        <v>0.5546875</v>
      </c>
      <c r="U232" s="81"/>
      <c r="V232" s="81"/>
      <c r="W232" s="83">
        <f t="shared" si="88"/>
        <v>167.42578125</v>
      </c>
      <c r="X232" s="84">
        <f t="shared" si="91"/>
        <v>3.3014404296875</v>
      </c>
      <c r="Y232" s="84"/>
      <c r="Z232" s="84"/>
      <c r="AA232" s="84">
        <f t="shared" si="86"/>
        <v>3.3014404296875</v>
      </c>
      <c r="AB232" s="94">
        <v>7.17</v>
      </c>
      <c r="AC232" s="81">
        <f t="shared" si="87"/>
        <v>23.6713278808594</v>
      </c>
      <c r="AD232" s="81">
        <f t="shared" si="84"/>
        <v>191.097109130859</v>
      </c>
      <c r="AE232" s="81">
        <f t="shared" si="85"/>
        <v>28.878490869141</v>
      </c>
    </row>
    <row r="233" customFormat="1" spans="1:31">
      <c r="A233" s="19"/>
      <c r="B233" s="20"/>
      <c r="C233" s="21">
        <v>240105000028</v>
      </c>
      <c r="D233" s="22">
        <v>45299</v>
      </c>
      <c r="E233" s="22" t="s">
        <v>49</v>
      </c>
      <c r="F233" s="20" t="s">
        <v>227</v>
      </c>
      <c r="G233" s="20" t="s">
        <v>228</v>
      </c>
      <c r="H233" s="20">
        <v>9.5</v>
      </c>
      <c r="I233" s="57">
        <v>598.5</v>
      </c>
      <c r="J233" s="99"/>
      <c r="K233" s="56"/>
      <c r="L233" s="99"/>
      <c r="M233" s="46"/>
      <c r="N233" s="20"/>
      <c r="O233" s="48">
        <f>SUBTOTAL(9,I233)</f>
        <v>598.5</v>
      </c>
      <c r="P233" s="54"/>
      <c r="Q233" s="54"/>
      <c r="R233" s="81">
        <f t="shared" si="89"/>
        <v>317.055078125</v>
      </c>
      <c r="S233" s="82"/>
      <c r="T233" s="82">
        <f t="shared" si="90"/>
        <v>1.05390625</v>
      </c>
      <c r="U233" s="81"/>
      <c r="V233" s="81"/>
      <c r="W233" s="83">
        <f t="shared" si="88"/>
        <v>318.108984375</v>
      </c>
      <c r="X233" s="84">
        <f t="shared" si="91"/>
        <v>6.27273681640625</v>
      </c>
      <c r="Y233" s="84"/>
      <c r="Z233" s="84"/>
      <c r="AA233" s="84">
        <f t="shared" si="86"/>
        <v>6.27273681640625</v>
      </c>
      <c r="AB233" s="94">
        <v>7.17</v>
      </c>
      <c r="AC233" s="81">
        <f t="shared" si="87"/>
        <v>44.9755229736328</v>
      </c>
      <c r="AD233" s="81">
        <f t="shared" si="84"/>
        <v>363.084507348633</v>
      </c>
      <c r="AE233" s="81">
        <f t="shared" si="85"/>
        <v>235.415492651367</v>
      </c>
    </row>
    <row r="234" customFormat="1" spans="1:31">
      <c r="A234" s="19"/>
      <c r="B234" s="20"/>
      <c r="C234" s="21">
        <v>240105000031</v>
      </c>
      <c r="D234" s="22">
        <v>45299</v>
      </c>
      <c r="E234" s="25" t="s">
        <v>69</v>
      </c>
      <c r="F234" s="20" t="s">
        <v>69</v>
      </c>
      <c r="G234" s="20" t="s">
        <v>92</v>
      </c>
      <c r="H234" s="20">
        <v>65.5</v>
      </c>
      <c r="I234" s="50">
        <v>3283</v>
      </c>
      <c r="J234" s="59"/>
      <c r="K234" s="52"/>
      <c r="L234" s="59"/>
      <c r="M234" s="46"/>
      <c r="N234" s="20"/>
      <c r="O234" s="48">
        <f>SUM(I234)</f>
        <v>3283</v>
      </c>
      <c r="P234" s="60"/>
      <c r="Q234" s="60"/>
      <c r="R234" s="81">
        <f t="shared" si="89"/>
        <v>2186.011328125</v>
      </c>
      <c r="S234" s="82"/>
      <c r="T234" s="82">
        <f t="shared" si="90"/>
        <v>7.26640625</v>
      </c>
      <c r="U234" s="81"/>
      <c r="V234" s="81"/>
      <c r="W234" s="83">
        <f t="shared" si="88"/>
        <v>2193.277734375</v>
      </c>
      <c r="X234" s="84">
        <f t="shared" si="91"/>
        <v>43.2488696289062</v>
      </c>
      <c r="Y234" s="84"/>
      <c r="Z234" s="84"/>
      <c r="AA234" s="84">
        <f t="shared" si="86"/>
        <v>43.2488696289062</v>
      </c>
      <c r="AB234" s="94">
        <v>7.17</v>
      </c>
      <c r="AC234" s="81">
        <f t="shared" si="87"/>
        <v>310.094395239258</v>
      </c>
      <c r="AD234" s="81">
        <f t="shared" si="84"/>
        <v>2503.37212961426</v>
      </c>
      <c r="AE234" s="81">
        <f t="shared" si="85"/>
        <v>779.62787038574</v>
      </c>
    </row>
    <row r="235" customFormat="1" spans="1:31">
      <c r="A235" s="19" t="s">
        <v>229</v>
      </c>
      <c r="B235" s="20" t="s">
        <v>230</v>
      </c>
      <c r="C235" s="21">
        <v>231013000020</v>
      </c>
      <c r="D235" s="22">
        <v>45301</v>
      </c>
      <c r="E235" s="22" t="s">
        <v>49</v>
      </c>
      <c r="F235" s="20" t="s">
        <v>50</v>
      </c>
      <c r="G235" s="20" t="s">
        <v>231</v>
      </c>
      <c r="H235" s="20">
        <v>0.388</v>
      </c>
      <c r="I235" s="43">
        <v>1650</v>
      </c>
      <c r="J235" s="44"/>
      <c r="K235" s="45"/>
      <c r="L235" s="44"/>
      <c r="M235" s="46"/>
      <c r="N235" s="48"/>
      <c r="O235" s="48">
        <f>SUM(I235)</f>
        <v>1650</v>
      </c>
      <c r="P235" s="49">
        <f>SUM(O235:O236)</f>
        <v>10125.9438</v>
      </c>
      <c r="Q235" s="49" t="s">
        <v>135</v>
      </c>
      <c r="R235" s="81">
        <v>675</v>
      </c>
      <c r="S235" s="81"/>
      <c r="T235" s="81">
        <f>SUM(86.21/2.7697)*H235</f>
        <v>12.0769325197675</v>
      </c>
      <c r="U235" s="81"/>
      <c r="V235" s="81"/>
      <c r="W235" s="83">
        <f t="shared" si="88"/>
        <v>687.076932519768</v>
      </c>
      <c r="X235" s="84">
        <v>0</v>
      </c>
      <c r="Z235" s="84"/>
      <c r="AA235" s="84">
        <f t="shared" si="86"/>
        <v>0</v>
      </c>
      <c r="AB235" s="94">
        <v>7.17</v>
      </c>
      <c r="AC235" s="81">
        <f t="shared" ref="AC235:AC260" si="100">SUM(AA235*AB235)</f>
        <v>0</v>
      </c>
      <c r="AD235" s="81">
        <f t="shared" ref="AD235:AD260" si="101">SUM(W235+AC235)</f>
        <v>687.076932519768</v>
      </c>
      <c r="AE235" s="81">
        <f t="shared" ref="AE235:AE260" si="102">SUM(O235-AD235)</f>
        <v>962.923067480232</v>
      </c>
    </row>
    <row r="236" customFormat="1" spans="1:31">
      <c r="A236" s="19"/>
      <c r="B236" s="20"/>
      <c r="C236" s="21">
        <v>231023000046</v>
      </c>
      <c r="D236" s="22">
        <v>45301</v>
      </c>
      <c r="E236" s="22" t="s">
        <v>49</v>
      </c>
      <c r="F236" s="20" t="s">
        <v>50</v>
      </c>
      <c r="G236" s="20" t="s">
        <v>232</v>
      </c>
      <c r="H236" s="20">
        <v>2.3417</v>
      </c>
      <c r="I236" s="50"/>
      <c r="J236" s="51">
        <v>1525680</v>
      </c>
      <c r="K236" s="52"/>
      <c r="L236" s="51">
        <f>SUM(J236/M236)</f>
        <v>1290.60855736207</v>
      </c>
      <c r="M236" s="53">
        <v>1182.14</v>
      </c>
      <c r="N236" s="20">
        <v>7.17</v>
      </c>
      <c r="O236" s="48">
        <f t="shared" si="99"/>
        <v>8475.9438</v>
      </c>
      <c r="P236" s="60"/>
      <c r="Q236" s="60"/>
      <c r="R236" s="81">
        <v>4074.5</v>
      </c>
      <c r="S236" s="81"/>
      <c r="T236" s="81">
        <f>SUM(86.21/2.7697)*H236</f>
        <v>72.8880228905658</v>
      </c>
      <c r="U236" s="81"/>
      <c r="V236" s="81"/>
      <c r="W236" s="83">
        <f t="shared" ref="W236:W260" si="103">SUM(R236:V236)</f>
        <v>4147.38802289057</v>
      </c>
      <c r="X236" s="84">
        <v>0</v>
      </c>
      <c r="Y236" s="84">
        <v>38.82</v>
      </c>
      <c r="Z236" s="84"/>
      <c r="AA236" s="84">
        <f t="shared" ref="AA236:AA260" si="104">SUM(X236:Z236)</f>
        <v>38.82</v>
      </c>
      <c r="AB236" s="94">
        <v>7.17</v>
      </c>
      <c r="AC236" s="81">
        <f t="shared" si="100"/>
        <v>278.3394</v>
      </c>
      <c r="AD236" s="81">
        <f t="shared" si="101"/>
        <v>4425.72742289057</v>
      </c>
      <c r="AE236" s="81">
        <f t="shared" si="102"/>
        <v>4050.21637710943</v>
      </c>
    </row>
    <row r="237" customFormat="1" spans="1:31">
      <c r="A237" s="19" t="s">
        <v>233</v>
      </c>
      <c r="B237" s="20" t="s">
        <v>234</v>
      </c>
      <c r="C237" s="21">
        <v>231031000025</v>
      </c>
      <c r="D237" s="22">
        <v>45301</v>
      </c>
      <c r="E237" s="22" t="s">
        <v>49</v>
      </c>
      <c r="F237" s="20" t="s">
        <v>50</v>
      </c>
      <c r="G237" s="20" t="s">
        <v>235</v>
      </c>
      <c r="H237" s="20">
        <v>2.82</v>
      </c>
      <c r="I237" s="50"/>
      <c r="J237" s="51">
        <v>927700</v>
      </c>
      <c r="K237" s="52"/>
      <c r="L237" s="51">
        <f>SUM(J237/M237)</f>
        <v>1265.29276176707</v>
      </c>
      <c r="M237" s="53">
        <v>733.19</v>
      </c>
      <c r="N237" s="20">
        <v>7.17</v>
      </c>
      <c r="O237" s="48">
        <f t="shared" si="99"/>
        <v>5256.9723</v>
      </c>
      <c r="P237" s="48">
        <f>SUM(O237)</f>
        <v>5256.9723</v>
      </c>
      <c r="Q237" s="101" t="s">
        <v>141</v>
      </c>
      <c r="R237" s="102">
        <v>4503.73</v>
      </c>
      <c r="S237" s="102"/>
      <c r="T237" s="103">
        <v>140</v>
      </c>
      <c r="U237" s="102"/>
      <c r="V237" s="102"/>
      <c r="W237" s="83">
        <f t="shared" si="103"/>
        <v>4643.73</v>
      </c>
      <c r="X237" s="104">
        <v>0</v>
      </c>
      <c r="Y237" s="104"/>
      <c r="Z237" s="104"/>
      <c r="AA237" s="84">
        <f t="shared" si="104"/>
        <v>0</v>
      </c>
      <c r="AB237" s="94">
        <v>7.17</v>
      </c>
      <c r="AC237" s="81">
        <f t="shared" si="100"/>
        <v>0</v>
      </c>
      <c r="AD237" s="81">
        <f t="shared" si="101"/>
        <v>4643.73</v>
      </c>
      <c r="AE237" s="81">
        <f t="shared" si="102"/>
        <v>613.242300000001</v>
      </c>
    </row>
    <row r="238" customFormat="1" spans="1:31">
      <c r="A238" s="19" t="s">
        <v>236</v>
      </c>
      <c r="B238" s="20" t="s">
        <v>237</v>
      </c>
      <c r="C238" s="21">
        <v>231226000011</v>
      </c>
      <c r="D238" s="22">
        <v>45302</v>
      </c>
      <c r="E238" s="22" t="s">
        <v>41</v>
      </c>
      <c r="F238" s="20" t="s">
        <v>42</v>
      </c>
      <c r="G238" s="20" t="s">
        <v>238</v>
      </c>
      <c r="H238" s="20">
        <v>4.5</v>
      </c>
      <c r="I238" s="50"/>
      <c r="J238" s="51">
        <v>99562.5</v>
      </c>
      <c r="K238" s="52"/>
      <c r="L238" s="51">
        <f>SUM(J238/M238)</f>
        <v>1269.12045889101</v>
      </c>
      <c r="M238" s="53">
        <v>78.45</v>
      </c>
      <c r="N238" s="20">
        <v>7.17</v>
      </c>
      <c r="O238" s="48">
        <f t="shared" si="99"/>
        <v>562.4865</v>
      </c>
      <c r="P238" s="49">
        <f>SUM(O238:O260)</f>
        <v>17371.77929283</v>
      </c>
      <c r="Q238" s="49" t="s">
        <v>146</v>
      </c>
      <c r="R238" s="81">
        <f>SUM(6900/96)*H238</f>
        <v>323.4375</v>
      </c>
      <c r="S238" s="81"/>
      <c r="T238" s="82">
        <f>SUM(136.84/96)*H238</f>
        <v>6.414375</v>
      </c>
      <c r="U238" s="81"/>
      <c r="V238" s="81"/>
      <c r="W238" s="83">
        <f t="shared" si="103"/>
        <v>329.851875</v>
      </c>
      <c r="X238" s="84">
        <f>SUM(456.51/96)*H238</f>
        <v>21.39890625</v>
      </c>
      <c r="Y238" s="84"/>
      <c r="Z238" s="84"/>
      <c r="AA238" s="84">
        <f t="shared" si="104"/>
        <v>21.39890625</v>
      </c>
      <c r="AB238" s="94">
        <v>7.17</v>
      </c>
      <c r="AC238" s="81">
        <f t="shared" si="100"/>
        <v>153.4301578125</v>
      </c>
      <c r="AD238" s="81">
        <f t="shared" si="101"/>
        <v>483.2820328125</v>
      </c>
      <c r="AE238" s="81">
        <f t="shared" si="102"/>
        <v>79.2044671875</v>
      </c>
    </row>
    <row r="239" customFormat="1" spans="1:31">
      <c r="A239" s="19"/>
      <c r="B239" s="20"/>
      <c r="C239" s="21">
        <v>240103000006</v>
      </c>
      <c r="D239" s="22">
        <v>45302</v>
      </c>
      <c r="E239" s="22" t="s">
        <v>49</v>
      </c>
      <c r="F239" s="20" t="s">
        <v>50</v>
      </c>
      <c r="G239" s="20" t="s">
        <v>239</v>
      </c>
      <c r="H239" s="20">
        <v>11</v>
      </c>
      <c r="I239" s="50"/>
      <c r="J239" s="51">
        <v>244750</v>
      </c>
      <c r="K239" s="52"/>
      <c r="L239" s="51">
        <f>SUM(J239/M239)</f>
        <v>1276.26844657663</v>
      </c>
      <c r="M239" s="53">
        <v>191.77</v>
      </c>
      <c r="N239" s="20">
        <v>7.17</v>
      </c>
      <c r="O239" s="48">
        <f t="shared" si="99"/>
        <v>1374.9909</v>
      </c>
      <c r="P239" s="54"/>
      <c r="Q239" s="54"/>
      <c r="R239" s="81">
        <f t="shared" ref="R239:R260" si="105">SUM(6900/96)*H239</f>
        <v>790.625</v>
      </c>
      <c r="S239" s="81"/>
      <c r="T239" s="82">
        <f t="shared" ref="T239:T260" si="106">SUM(136.84/96)*H239</f>
        <v>15.6795833333333</v>
      </c>
      <c r="U239" s="81"/>
      <c r="V239" s="81"/>
      <c r="W239" s="83">
        <f t="shared" si="103"/>
        <v>806.304583333333</v>
      </c>
      <c r="X239" s="84">
        <f t="shared" ref="X239:X260" si="107">SUM(456.51/96)*H239</f>
        <v>52.3084375</v>
      </c>
      <c r="Y239" s="84"/>
      <c r="Z239" s="84"/>
      <c r="AA239" s="84">
        <f t="shared" si="104"/>
        <v>52.3084375</v>
      </c>
      <c r="AB239" s="94">
        <v>7.17</v>
      </c>
      <c r="AC239" s="81">
        <f t="shared" si="100"/>
        <v>375.051496875</v>
      </c>
      <c r="AD239" s="81">
        <f t="shared" si="101"/>
        <v>1181.35608020833</v>
      </c>
      <c r="AE239" s="81">
        <f t="shared" si="102"/>
        <v>193.63481979167</v>
      </c>
    </row>
    <row r="240" customFormat="1" spans="1:31">
      <c r="A240" s="19"/>
      <c r="B240" s="20"/>
      <c r="C240" s="21">
        <v>240103000007</v>
      </c>
      <c r="D240" s="22">
        <v>45302</v>
      </c>
      <c r="E240" s="22" t="s">
        <v>37</v>
      </c>
      <c r="F240" s="20" t="s">
        <v>38</v>
      </c>
      <c r="G240" s="20" t="s">
        <v>148</v>
      </c>
      <c r="H240" s="20">
        <v>0.49</v>
      </c>
      <c r="I240" s="43">
        <v>125</v>
      </c>
      <c r="J240" s="44"/>
      <c r="K240" s="45"/>
      <c r="L240" s="44"/>
      <c r="M240" s="46"/>
      <c r="N240" s="20"/>
      <c r="O240" s="48">
        <f t="shared" ref="O240:O243" si="108">SUM(I240)</f>
        <v>125</v>
      </c>
      <c r="P240" s="54"/>
      <c r="Q240" s="54"/>
      <c r="R240" s="81">
        <f t="shared" si="105"/>
        <v>35.21875</v>
      </c>
      <c r="S240" s="81"/>
      <c r="T240" s="82">
        <f t="shared" si="106"/>
        <v>0.698454166666667</v>
      </c>
      <c r="U240" s="81"/>
      <c r="V240" s="81"/>
      <c r="W240" s="83">
        <f t="shared" si="103"/>
        <v>35.9172041666667</v>
      </c>
      <c r="X240" s="84">
        <f t="shared" si="107"/>
        <v>2.330103125</v>
      </c>
      <c r="Y240" s="84"/>
      <c r="Z240" s="84"/>
      <c r="AA240" s="84">
        <f t="shared" si="104"/>
        <v>2.330103125</v>
      </c>
      <c r="AB240" s="94">
        <v>7.17</v>
      </c>
      <c r="AC240" s="81">
        <f t="shared" si="100"/>
        <v>16.70683940625</v>
      </c>
      <c r="AD240" s="81">
        <f t="shared" si="101"/>
        <v>52.6240435729167</v>
      </c>
      <c r="AE240" s="81">
        <f t="shared" si="102"/>
        <v>72.3759564270833</v>
      </c>
    </row>
    <row r="241" customFormat="1" spans="1:31">
      <c r="A241" s="19"/>
      <c r="B241" s="20"/>
      <c r="C241" s="21">
        <v>240104000003</v>
      </c>
      <c r="D241" s="22">
        <v>45302</v>
      </c>
      <c r="E241" s="22" t="s">
        <v>69</v>
      </c>
      <c r="F241" s="20" t="s">
        <v>192</v>
      </c>
      <c r="G241" s="20" t="s">
        <v>193</v>
      </c>
      <c r="H241" s="20">
        <v>3</v>
      </c>
      <c r="I241" s="43">
        <v>390</v>
      </c>
      <c r="J241" s="44"/>
      <c r="K241" s="45"/>
      <c r="L241" s="44"/>
      <c r="M241" s="46"/>
      <c r="N241" s="20"/>
      <c r="O241" s="48">
        <f t="shared" si="108"/>
        <v>390</v>
      </c>
      <c r="P241" s="54"/>
      <c r="Q241" s="54"/>
      <c r="R241" s="81">
        <f t="shared" si="105"/>
        <v>215.625</v>
      </c>
      <c r="S241" s="81"/>
      <c r="T241" s="82">
        <f t="shared" si="106"/>
        <v>4.27625</v>
      </c>
      <c r="U241" s="81"/>
      <c r="V241" s="81"/>
      <c r="W241" s="83">
        <f t="shared" si="103"/>
        <v>219.90125</v>
      </c>
      <c r="X241" s="84">
        <f t="shared" si="107"/>
        <v>14.2659375</v>
      </c>
      <c r="Y241" s="84"/>
      <c r="Z241" s="84"/>
      <c r="AA241" s="84">
        <f t="shared" si="104"/>
        <v>14.2659375</v>
      </c>
      <c r="AB241" s="94">
        <v>7.17</v>
      </c>
      <c r="AC241" s="81">
        <f t="shared" si="100"/>
        <v>102.286771875</v>
      </c>
      <c r="AD241" s="81">
        <f t="shared" si="101"/>
        <v>322.188021875</v>
      </c>
      <c r="AE241" s="81">
        <f t="shared" si="102"/>
        <v>67.811978125</v>
      </c>
    </row>
    <row r="242" customFormat="1" spans="1:31">
      <c r="A242" s="19"/>
      <c r="B242" s="20"/>
      <c r="C242" s="21">
        <v>240104000004</v>
      </c>
      <c r="D242" s="22">
        <v>45302</v>
      </c>
      <c r="E242" s="22" t="s">
        <v>69</v>
      </c>
      <c r="F242" s="20" t="s">
        <v>192</v>
      </c>
      <c r="G242" s="20" t="s">
        <v>193</v>
      </c>
      <c r="H242" s="20">
        <v>11</v>
      </c>
      <c r="I242" s="43">
        <v>1430</v>
      </c>
      <c r="J242" s="44"/>
      <c r="K242" s="45"/>
      <c r="L242" s="44"/>
      <c r="M242" s="46"/>
      <c r="N242" s="20"/>
      <c r="O242" s="48">
        <f t="shared" si="108"/>
        <v>1430</v>
      </c>
      <c r="P242" s="54"/>
      <c r="Q242" s="54"/>
      <c r="R242" s="81">
        <f t="shared" si="105"/>
        <v>790.625</v>
      </c>
      <c r="S242" s="81"/>
      <c r="T242" s="82">
        <f t="shared" si="106"/>
        <v>15.6795833333333</v>
      </c>
      <c r="U242" s="81"/>
      <c r="V242" s="81"/>
      <c r="W242" s="83">
        <f t="shared" si="103"/>
        <v>806.304583333333</v>
      </c>
      <c r="X242" s="84">
        <f t="shared" si="107"/>
        <v>52.3084375</v>
      </c>
      <c r="Y242" s="84"/>
      <c r="Z242" s="84"/>
      <c r="AA242" s="84">
        <f t="shared" si="104"/>
        <v>52.3084375</v>
      </c>
      <c r="AB242" s="94">
        <v>7.17</v>
      </c>
      <c r="AC242" s="81">
        <f t="shared" si="100"/>
        <v>375.051496875</v>
      </c>
      <c r="AD242" s="81">
        <f t="shared" si="101"/>
        <v>1181.35608020833</v>
      </c>
      <c r="AE242" s="81">
        <f t="shared" si="102"/>
        <v>248.64391979167</v>
      </c>
    </row>
    <row r="243" customFormat="1" spans="1:31">
      <c r="A243" s="19"/>
      <c r="B243" s="20"/>
      <c r="C243" s="21">
        <v>240104000017</v>
      </c>
      <c r="D243" s="22">
        <v>45302</v>
      </c>
      <c r="E243" s="25" t="s">
        <v>69</v>
      </c>
      <c r="F243" s="20" t="s">
        <v>69</v>
      </c>
      <c r="G243" s="20" t="s">
        <v>240</v>
      </c>
      <c r="H243" s="20">
        <v>4.5</v>
      </c>
      <c r="I243" s="43">
        <v>730.5</v>
      </c>
      <c r="J243" s="44"/>
      <c r="K243" s="45"/>
      <c r="L243" s="44"/>
      <c r="M243" s="46"/>
      <c r="N243" s="20"/>
      <c r="O243" s="48">
        <f t="shared" si="108"/>
        <v>730.5</v>
      </c>
      <c r="P243" s="54"/>
      <c r="Q243" s="54"/>
      <c r="R243" s="81">
        <f t="shared" si="105"/>
        <v>323.4375</v>
      </c>
      <c r="S243" s="81"/>
      <c r="T243" s="82">
        <f t="shared" si="106"/>
        <v>6.414375</v>
      </c>
      <c r="U243" s="81"/>
      <c r="V243" s="82">
        <v>48</v>
      </c>
      <c r="W243" s="83">
        <f t="shared" si="103"/>
        <v>377.851875</v>
      </c>
      <c r="X243" s="84">
        <f t="shared" si="107"/>
        <v>21.39890625</v>
      </c>
      <c r="Y243" s="84"/>
      <c r="Z243" s="84"/>
      <c r="AA243" s="84">
        <f t="shared" si="104"/>
        <v>21.39890625</v>
      </c>
      <c r="AB243" s="94">
        <v>7.17</v>
      </c>
      <c r="AC243" s="81">
        <f t="shared" si="100"/>
        <v>153.4301578125</v>
      </c>
      <c r="AD243" s="81">
        <f t="shared" si="101"/>
        <v>531.2820328125</v>
      </c>
      <c r="AE243" s="81">
        <f t="shared" si="102"/>
        <v>199.2179671875</v>
      </c>
    </row>
    <row r="244" customFormat="1" spans="1:31">
      <c r="A244" s="19"/>
      <c r="B244" s="20"/>
      <c r="C244" s="21">
        <v>240104000018</v>
      </c>
      <c r="D244" s="22">
        <v>45302</v>
      </c>
      <c r="E244" s="22" t="s">
        <v>58</v>
      </c>
      <c r="F244" s="20" t="s">
        <v>59</v>
      </c>
      <c r="G244" s="20" t="s">
        <v>241</v>
      </c>
      <c r="H244" s="20">
        <v>2.5</v>
      </c>
      <c r="I244" s="50"/>
      <c r="J244" s="51">
        <v>58473</v>
      </c>
      <c r="K244" s="52"/>
      <c r="L244" s="51">
        <f>SUM(J244/M244)</f>
        <v>1276.42436149312</v>
      </c>
      <c r="M244" s="53">
        <v>45.81</v>
      </c>
      <c r="N244" s="20">
        <v>7.17</v>
      </c>
      <c r="O244" s="48">
        <f t="shared" ref="O244:O248" si="109">SUM(M244*N244)</f>
        <v>328.4577</v>
      </c>
      <c r="P244" s="54"/>
      <c r="Q244" s="54"/>
      <c r="R244" s="81">
        <f t="shared" si="105"/>
        <v>179.6875</v>
      </c>
      <c r="S244" s="81"/>
      <c r="T244" s="82">
        <f t="shared" si="106"/>
        <v>3.56354166666667</v>
      </c>
      <c r="U244" s="81"/>
      <c r="V244" s="82">
        <v>16</v>
      </c>
      <c r="W244" s="83">
        <f t="shared" si="103"/>
        <v>199.251041666667</v>
      </c>
      <c r="X244" s="84">
        <f t="shared" si="107"/>
        <v>11.88828125</v>
      </c>
      <c r="Y244" s="84"/>
      <c r="Z244" s="84"/>
      <c r="AA244" s="84">
        <f t="shared" si="104"/>
        <v>11.88828125</v>
      </c>
      <c r="AB244" s="94">
        <v>7.17</v>
      </c>
      <c r="AC244" s="81">
        <f t="shared" si="100"/>
        <v>85.2389765625</v>
      </c>
      <c r="AD244" s="81">
        <f t="shared" si="101"/>
        <v>284.490018229167</v>
      </c>
      <c r="AE244" s="81">
        <f t="shared" si="102"/>
        <v>43.967681770833</v>
      </c>
    </row>
    <row r="245" customFormat="1" spans="1:31">
      <c r="A245" s="19"/>
      <c r="B245" s="20"/>
      <c r="C245" s="21">
        <v>240105000003</v>
      </c>
      <c r="D245" s="22">
        <v>45302</v>
      </c>
      <c r="E245" s="22" t="s">
        <v>58</v>
      </c>
      <c r="F245" s="20" t="s">
        <v>59</v>
      </c>
      <c r="G245" s="20" t="s">
        <v>241</v>
      </c>
      <c r="H245" s="20">
        <v>1.5</v>
      </c>
      <c r="I245" s="48"/>
      <c r="J245" s="55">
        <v>35200</v>
      </c>
      <c r="K245" s="56"/>
      <c r="L245" s="51">
        <f>SUM(J245/M245)</f>
        <v>1240.74731197558</v>
      </c>
      <c r="M245" s="53">
        <v>28.369999</v>
      </c>
      <c r="N245" s="20">
        <v>7.17</v>
      </c>
      <c r="O245" s="48">
        <f t="shared" si="109"/>
        <v>203.41289283</v>
      </c>
      <c r="P245" s="54"/>
      <c r="Q245" s="54"/>
      <c r="R245" s="81">
        <f t="shared" si="105"/>
        <v>107.8125</v>
      </c>
      <c r="S245" s="81"/>
      <c r="T245" s="82">
        <f t="shared" si="106"/>
        <v>2.138125</v>
      </c>
      <c r="U245" s="81"/>
      <c r="V245" s="82">
        <v>14</v>
      </c>
      <c r="W245" s="83">
        <f t="shared" si="103"/>
        <v>123.950625</v>
      </c>
      <c r="X245" s="84">
        <f t="shared" si="107"/>
        <v>7.13296875</v>
      </c>
      <c r="Y245" s="84"/>
      <c r="Z245" s="84"/>
      <c r="AA245" s="84">
        <f t="shared" si="104"/>
        <v>7.13296875</v>
      </c>
      <c r="AB245" s="94">
        <v>7.17</v>
      </c>
      <c r="AC245" s="81">
        <f t="shared" si="100"/>
        <v>51.1433859375</v>
      </c>
      <c r="AD245" s="81">
        <f t="shared" si="101"/>
        <v>175.0940109375</v>
      </c>
      <c r="AE245" s="81">
        <f t="shared" si="102"/>
        <v>28.3188818925</v>
      </c>
    </row>
    <row r="246" customFormat="1" spans="1:31">
      <c r="A246" s="19"/>
      <c r="B246" s="20"/>
      <c r="C246" s="21">
        <v>240105000008</v>
      </c>
      <c r="D246" s="22">
        <v>45302</v>
      </c>
      <c r="E246" s="22" t="s">
        <v>49</v>
      </c>
      <c r="F246" s="20" t="s">
        <v>50</v>
      </c>
      <c r="G246" s="20" t="s">
        <v>242</v>
      </c>
      <c r="H246" s="20">
        <v>5</v>
      </c>
      <c r="I246" s="43">
        <v>800</v>
      </c>
      <c r="J246" s="44"/>
      <c r="K246" s="45"/>
      <c r="L246" s="44"/>
      <c r="M246" s="46"/>
      <c r="N246" s="20"/>
      <c r="O246" s="48">
        <f t="shared" ref="O246:O256" si="110">SUM(I246)</f>
        <v>800</v>
      </c>
      <c r="P246" s="54"/>
      <c r="Q246" s="54"/>
      <c r="R246" s="81">
        <f t="shared" si="105"/>
        <v>359.375</v>
      </c>
      <c r="S246" s="81"/>
      <c r="T246" s="82">
        <f t="shared" si="106"/>
        <v>7.12708333333333</v>
      </c>
      <c r="U246" s="81"/>
      <c r="V246" s="81"/>
      <c r="W246" s="83">
        <f t="shared" si="103"/>
        <v>366.502083333333</v>
      </c>
      <c r="X246" s="84">
        <f t="shared" si="107"/>
        <v>23.7765625</v>
      </c>
      <c r="Y246" s="84"/>
      <c r="Z246" s="84"/>
      <c r="AA246" s="84">
        <f t="shared" si="104"/>
        <v>23.7765625</v>
      </c>
      <c r="AB246" s="94">
        <v>7.17</v>
      </c>
      <c r="AC246" s="81">
        <f t="shared" si="100"/>
        <v>170.477953125</v>
      </c>
      <c r="AD246" s="81">
        <f t="shared" si="101"/>
        <v>536.980036458333</v>
      </c>
      <c r="AE246" s="81">
        <f t="shared" si="102"/>
        <v>263.019963541667</v>
      </c>
    </row>
    <row r="247" customFormat="1" spans="1:31">
      <c r="A247" s="19"/>
      <c r="B247" s="20"/>
      <c r="C247" s="21">
        <v>240105000012</v>
      </c>
      <c r="D247" s="22">
        <v>45302</v>
      </c>
      <c r="E247" s="22" t="s">
        <v>110</v>
      </c>
      <c r="F247" s="20" t="s">
        <v>111</v>
      </c>
      <c r="G247" s="20" t="s">
        <v>116</v>
      </c>
      <c r="H247" s="20">
        <v>7</v>
      </c>
      <c r="I247" s="43">
        <v>910</v>
      </c>
      <c r="J247" s="44"/>
      <c r="K247" s="45"/>
      <c r="L247" s="44"/>
      <c r="M247" s="46"/>
      <c r="N247" s="20"/>
      <c r="O247" s="48">
        <f t="shared" si="110"/>
        <v>910</v>
      </c>
      <c r="P247" s="54"/>
      <c r="Q247" s="54"/>
      <c r="R247" s="81">
        <f t="shared" si="105"/>
        <v>503.125</v>
      </c>
      <c r="S247" s="81"/>
      <c r="T247" s="82">
        <f t="shared" si="106"/>
        <v>9.97791666666667</v>
      </c>
      <c r="U247" s="81"/>
      <c r="V247" s="81"/>
      <c r="W247" s="83">
        <f t="shared" si="103"/>
        <v>513.102916666667</v>
      </c>
      <c r="X247" s="84">
        <f t="shared" si="107"/>
        <v>33.2871875</v>
      </c>
      <c r="Y247" s="84"/>
      <c r="Z247" s="84"/>
      <c r="AA247" s="84">
        <f t="shared" si="104"/>
        <v>33.2871875</v>
      </c>
      <c r="AB247" s="94">
        <v>7.17</v>
      </c>
      <c r="AC247" s="81">
        <f t="shared" si="100"/>
        <v>238.669134375</v>
      </c>
      <c r="AD247" s="81">
        <f t="shared" si="101"/>
        <v>751.772051041667</v>
      </c>
      <c r="AE247" s="81">
        <f t="shared" si="102"/>
        <v>158.227948958333</v>
      </c>
    </row>
    <row r="248" customFormat="1" spans="1:31">
      <c r="A248" s="19"/>
      <c r="B248" s="20"/>
      <c r="C248" s="21">
        <v>240105000027</v>
      </c>
      <c r="D248" s="22">
        <v>45302</v>
      </c>
      <c r="E248" s="22" t="s">
        <v>49</v>
      </c>
      <c r="F248" s="20" t="s">
        <v>50</v>
      </c>
      <c r="G248" s="20" t="s">
        <v>243</v>
      </c>
      <c r="H248" s="20">
        <v>2.5</v>
      </c>
      <c r="I248" s="50"/>
      <c r="J248" s="51">
        <v>61885</v>
      </c>
      <c r="K248" s="52"/>
      <c r="L248" s="51">
        <f>SUM(J248/M248)</f>
        <v>1277.03260420966</v>
      </c>
      <c r="M248" s="53">
        <v>48.46</v>
      </c>
      <c r="N248" s="20">
        <v>7.17</v>
      </c>
      <c r="O248" s="48">
        <f t="shared" si="109"/>
        <v>347.4582</v>
      </c>
      <c r="P248" s="54"/>
      <c r="Q248" s="54"/>
      <c r="R248" s="81">
        <f t="shared" si="105"/>
        <v>179.6875</v>
      </c>
      <c r="S248" s="81"/>
      <c r="T248" s="82">
        <f t="shared" si="106"/>
        <v>3.56354166666667</v>
      </c>
      <c r="U248" s="81"/>
      <c r="V248" s="81"/>
      <c r="W248" s="83">
        <f t="shared" si="103"/>
        <v>183.251041666667</v>
      </c>
      <c r="X248" s="84">
        <f t="shared" si="107"/>
        <v>11.88828125</v>
      </c>
      <c r="Y248" s="84"/>
      <c r="Z248" s="84"/>
      <c r="AA248" s="84">
        <f t="shared" si="104"/>
        <v>11.88828125</v>
      </c>
      <c r="AB248" s="94">
        <v>7.17</v>
      </c>
      <c r="AC248" s="81">
        <f t="shared" si="100"/>
        <v>85.2389765625</v>
      </c>
      <c r="AD248" s="81">
        <f t="shared" si="101"/>
        <v>268.490018229167</v>
      </c>
      <c r="AE248" s="81">
        <f t="shared" si="102"/>
        <v>78.968181770833</v>
      </c>
    </row>
    <row r="249" customFormat="1" spans="1:31">
      <c r="A249" s="19"/>
      <c r="B249" s="20"/>
      <c r="C249" s="21">
        <v>240106000001</v>
      </c>
      <c r="D249" s="22">
        <v>45302</v>
      </c>
      <c r="E249" s="22" t="s">
        <v>37</v>
      </c>
      <c r="F249" s="20" t="s">
        <v>38</v>
      </c>
      <c r="G249" s="20" t="s">
        <v>148</v>
      </c>
      <c r="H249" s="20">
        <v>0.48</v>
      </c>
      <c r="I249" s="43">
        <v>125</v>
      </c>
      <c r="J249" s="44"/>
      <c r="K249" s="45"/>
      <c r="L249" s="44"/>
      <c r="M249" s="46"/>
      <c r="N249" s="20"/>
      <c r="O249" s="48">
        <f t="shared" si="110"/>
        <v>125</v>
      </c>
      <c r="P249" s="54"/>
      <c r="Q249" s="54"/>
      <c r="R249" s="81">
        <f t="shared" si="105"/>
        <v>34.5</v>
      </c>
      <c r="S249" s="81"/>
      <c r="T249" s="82">
        <f t="shared" si="106"/>
        <v>0.6842</v>
      </c>
      <c r="U249" s="81"/>
      <c r="V249" s="81"/>
      <c r="W249" s="83">
        <f t="shared" si="103"/>
        <v>35.1842</v>
      </c>
      <c r="X249" s="84">
        <f t="shared" si="107"/>
        <v>2.28255</v>
      </c>
      <c r="Y249" s="84"/>
      <c r="Z249" s="84"/>
      <c r="AA249" s="84">
        <f t="shared" si="104"/>
        <v>2.28255</v>
      </c>
      <c r="AB249" s="94">
        <v>7.17</v>
      </c>
      <c r="AC249" s="81">
        <f t="shared" si="100"/>
        <v>16.3658835</v>
      </c>
      <c r="AD249" s="81">
        <f t="shared" si="101"/>
        <v>51.5500835</v>
      </c>
      <c r="AE249" s="81">
        <f t="shared" si="102"/>
        <v>73.4499165</v>
      </c>
    </row>
    <row r="250" customFormat="1" spans="1:31">
      <c r="A250" s="19"/>
      <c r="B250" s="20"/>
      <c r="C250" s="21">
        <v>240106000007</v>
      </c>
      <c r="D250" s="22">
        <v>45302</v>
      </c>
      <c r="E250" s="22" t="s">
        <v>37</v>
      </c>
      <c r="F250" s="20" t="s">
        <v>38</v>
      </c>
      <c r="G250" s="20" t="s">
        <v>244</v>
      </c>
      <c r="H250" s="20">
        <v>6</v>
      </c>
      <c r="I250" s="43">
        <v>750</v>
      </c>
      <c r="J250" s="44"/>
      <c r="K250" s="45"/>
      <c r="L250" s="44"/>
      <c r="M250" s="46"/>
      <c r="N250" s="20"/>
      <c r="O250" s="48">
        <f t="shared" si="110"/>
        <v>750</v>
      </c>
      <c r="P250" s="54"/>
      <c r="Q250" s="54"/>
      <c r="R250" s="81">
        <f t="shared" si="105"/>
        <v>431.25</v>
      </c>
      <c r="S250" s="81"/>
      <c r="T250" s="82">
        <f t="shared" si="106"/>
        <v>8.5525</v>
      </c>
      <c r="U250" s="81"/>
      <c r="V250" s="81"/>
      <c r="W250" s="83">
        <f t="shared" si="103"/>
        <v>439.8025</v>
      </c>
      <c r="X250" s="84">
        <f t="shared" si="107"/>
        <v>28.531875</v>
      </c>
      <c r="Y250" s="84"/>
      <c r="Z250" s="84"/>
      <c r="AA250" s="84">
        <f t="shared" si="104"/>
        <v>28.531875</v>
      </c>
      <c r="AB250" s="94">
        <v>7.17</v>
      </c>
      <c r="AC250" s="81">
        <f t="shared" si="100"/>
        <v>204.57354375</v>
      </c>
      <c r="AD250" s="81">
        <f t="shared" si="101"/>
        <v>644.37604375</v>
      </c>
      <c r="AE250" s="81">
        <f t="shared" si="102"/>
        <v>105.62395625</v>
      </c>
    </row>
    <row r="251" customFormat="1" spans="1:31">
      <c r="A251" s="19"/>
      <c r="B251" s="20"/>
      <c r="C251" s="21">
        <v>240106000011</v>
      </c>
      <c r="D251" s="22">
        <v>45302</v>
      </c>
      <c r="E251" s="22" t="s">
        <v>49</v>
      </c>
      <c r="F251" s="20" t="s">
        <v>50</v>
      </c>
      <c r="G251" s="20" t="s">
        <v>228</v>
      </c>
      <c r="H251" s="20">
        <v>1</v>
      </c>
      <c r="I251" s="43">
        <v>125</v>
      </c>
      <c r="J251" s="44"/>
      <c r="K251" s="45"/>
      <c r="L251" s="44"/>
      <c r="M251" s="46"/>
      <c r="N251" s="20"/>
      <c r="O251" s="48">
        <f t="shared" si="110"/>
        <v>125</v>
      </c>
      <c r="P251" s="54"/>
      <c r="Q251" s="54"/>
      <c r="R251" s="81">
        <f t="shared" si="105"/>
        <v>71.875</v>
      </c>
      <c r="S251" s="81"/>
      <c r="T251" s="82">
        <f t="shared" si="106"/>
        <v>1.42541666666667</v>
      </c>
      <c r="U251" s="81"/>
      <c r="V251" s="81"/>
      <c r="W251" s="83">
        <f t="shared" si="103"/>
        <v>73.3004166666667</v>
      </c>
      <c r="X251" s="84">
        <f t="shared" si="107"/>
        <v>4.7553125</v>
      </c>
      <c r="Y251" s="84"/>
      <c r="Z251" s="84"/>
      <c r="AA251" s="84">
        <f t="shared" si="104"/>
        <v>4.7553125</v>
      </c>
      <c r="AB251" s="94">
        <v>7.17</v>
      </c>
      <c r="AC251" s="81">
        <f t="shared" si="100"/>
        <v>34.095590625</v>
      </c>
      <c r="AD251" s="81">
        <f t="shared" si="101"/>
        <v>107.396007291667</v>
      </c>
      <c r="AE251" s="81">
        <f t="shared" si="102"/>
        <v>17.603992708333</v>
      </c>
    </row>
    <row r="252" customFormat="1" spans="1:31">
      <c r="A252" s="19"/>
      <c r="B252" s="20"/>
      <c r="C252" s="21">
        <v>240106000018</v>
      </c>
      <c r="D252" s="22">
        <v>45302</v>
      </c>
      <c r="E252" s="22" t="s">
        <v>44</v>
      </c>
      <c r="F252" s="20" t="s">
        <v>45</v>
      </c>
      <c r="G252" s="20" t="s">
        <v>245</v>
      </c>
      <c r="H252" s="20">
        <v>3.5</v>
      </c>
      <c r="I252" s="43">
        <v>475</v>
      </c>
      <c r="J252" s="44"/>
      <c r="K252" s="45"/>
      <c r="L252" s="44"/>
      <c r="M252" s="46"/>
      <c r="N252" s="20"/>
      <c r="O252" s="48">
        <f t="shared" si="110"/>
        <v>475</v>
      </c>
      <c r="P252" s="54"/>
      <c r="Q252" s="54"/>
      <c r="R252" s="81">
        <f t="shared" si="105"/>
        <v>251.5625</v>
      </c>
      <c r="S252" s="81"/>
      <c r="T252" s="82">
        <f t="shared" si="106"/>
        <v>4.98895833333333</v>
      </c>
      <c r="U252" s="81"/>
      <c r="V252" s="81"/>
      <c r="W252" s="83">
        <f t="shared" si="103"/>
        <v>256.551458333333</v>
      </c>
      <c r="X252" s="84">
        <f t="shared" si="107"/>
        <v>16.64359375</v>
      </c>
      <c r="Y252" s="84"/>
      <c r="Z252" s="84"/>
      <c r="AA252" s="84">
        <f t="shared" si="104"/>
        <v>16.64359375</v>
      </c>
      <c r="AB252" s="94">
        <v>7.17</v>
      </c>
      <c r="AC252" s="81">
        <f t="shared" si="100"/>
        <v>119.3345671875</v>
      </c>
      <c r="AD252" s="81">
        <f t="shared" si="101"/>
        <v>375.886025520833</v>
      </c>
      <c r="AE252" s="81">
        <f t="shared" si="102"/>
        <v>99.113974479167</v>
      </c>
    </row>
    <row r="253" customFormat="1" spans="1:31">
      <c r="A253" s="19"/>
      <c r="B253" s="20"/>
      <c r="C253" s="21">
        <v>240107000005</v>
      </c>
      <c r="D253" s="22">
        <v>45302</v>
      </c>
      <c r="E253" s="22" t="s">
        <v>69</v>
      </c>
      <c r="F253" s="20" t="s">
        <v>192</v>
      </c>
      <c r="G253" s="20" t="s">
        <v>193</v>
      </c>
      <c r="H253" s="20">
        <v>3</v>
      </c>
      <c r="I253" s="43">
        <v>390</v>
      </c>
      <c r="J253" s="44"/>
      <c r="K253" s="45"/>
      <c r="L253" s="44"/>
      <c r="M253" s="46"/>
      <c r="N253" s="20"/>
      <c r="O253" s="48">
        <f t="shared" si="110"/>
        <v>390</v>
      </c>
      <c r="P253" s="54"/>
      <c r="Q253" s="54"/>
      <c r="R253" s="81">
        <f t="shared" si="105"/>
        <v>215.625</v>
      </c>
      <c r="S253" s="81"/>
      <c r="T253" s="82">
        <f t="shared" si="106"/>
        <v>4.27625</v>
      </c>
      <c r="U253" s="81"/>
      <c r="V253" s="81"/>
      <c r="W253" s="83">
        <f t="shared" si="103"/>
        <v>219.90125</v>
      </c>
      <c r="X253" s="84">
        <f t="shared" si="107"/>
        <v>14.2659375</v>
      </c>
      <c r="Y253" s="84"/>
      <c r="Z253" s="84"/>
      <c r="AA253" s="84">
        <f t="shared" si="104"/>
        <v>14.2659375</v>
      </c>
      <c r="AB253" s="94">
        <v>7.17</v>
      </c>
      <c r="AC253" s="81">
        <f t="shared" si="100"/>
        <v>102.286771875</v>
      </c>
      <c r="AD253" s="81">
        <f t="shared" si="101"/>
        <v>322.188021875</v>
      </c>
      <c r="AE253" s="81">
        <f t="shared" si="102"/>
        <v>67.811978125</v>
      </c>
    </row>
    <row r="254" customFormat="1" spans="1:31">
      <c r="A254" s="19"/>
      <c r="B254" s="20"/>
      <c r="C254" s="21">
        <v>240108000014</v>
      </c>
      <c r="D254" s="22">
        <v>45302</v>
      </c>
      <c r="E254" s="22" t="s">
        <v>49</v>
      </c>
      <c r="F254" s="20" t="s">
        <v>50</v>
      </c>
      <c r="G254" s="20" t="s">
        <v>246</v>
      </c>
      <c r="H254" s="20">
        <v>8</v>
      </c>
      <c r="I254" s="43">
        <v>1040</v>
      </c>
      <c r="J254" s="44"/>
      <c r="K254" s="45"/>
      <c r="L254" s="44"/>
      <c r="M254" s="46"/>
      <c r="N254" s="20"/>
      <c r="O254" s="48">
        <f t="shared" si="110"/>
        <v>1040</v>
      </c>
      <c r="P254" s="54"/>
      <c r="Q254" s="54"/>
      <c r="R254" s="81">
        <f t="shared" si="105"/>
        <v>575</v>
      </c>
      <c r="S254" s="81"/>
      <c r="T254" s="82">
        <f t="shared" si="106"/>
        <v>11.4033333333333</v>
      </c>
      <c r="U254" s="81"/>
      <c r="V254" s="81"/>
      <c r="W254" s="83">
        <f t="shared" si="103"/>
        <v>586.403333333333</v>
      </c>
      <c r="X254" s="84">
        <f t="shared" si="107"/>
        <v>38.0425</v>
      </c>
      <c r="Y254" s="84"/>
      <c r="Z254" s="84"/>
      <c r="AA254" s="84">
        <f t="shared" si="104"/>
        <v>38.0425</v>
      </c>
      <c r="AB254" s="94">
        <v>7.17</v>
      </c>
      <c r="AC254" s="81">
        <f t="shared" si="100"/>
        <v>272.764725</v>
      </c>
      <c r="AD254" s="81">
        <f t="shared" si="101"/>
        <v>859.168058333333</v>
      </c>
      <c r="AE254" s="81">
        <f t="shared" si="102"/>
        <v>180.831941666667</v>
      </c>
    </row>
    <row r="255" customFormat="1" spans="1:31">
      <c r="A255" s="19"/>
      <c r="B255" s="20"/>
      <c r="C255" s="21">
        <v>240108000042</v>
      </c>
      <c r="D255" s="22">
        <v>45302</v>
      </c>
      <c r="E255" s="22" t="s">
        <v>69</v>
      </c>
      <c r="F255" s="20" t="s">
        <v>192</v>
      </c>
      <c r="G255" s="20" t="s">
        <v>193</v>
      </c>
      <c r="H255" s="20">
        <v>11.5</v>
      </c>
      <c r="I255" s="43">
        <v>1495</v>
      </c>
      <c r="J255" s="44"/>
      <c r="K255" s="45"/>
      <c r="L255" s="44"/>
      <c r="M255" s="46"/>
      <c r="N255" s="20"/>
      <c r="O255" s="48">
        <f t="shared" si="110"/>
        <v>1495</v>
      </c>
      <c r="P255" s="54"/>
      <c r="Q255" s="54"/>
      <c r="R255" s="81">
        <f t="shared" si="105"/>
        <v>826.5625</v>
      </c>
      <c r="S255" s="81"/>
      <c r="T255" s="82">
        <f t="shared" si="106"/>
        <v>16.3922916666667</v>
      </c>
      <c r="U255" s="81"/>
      <c r="V255" s="81"/>
      <c r="W255" s="83">
        <f t="shared" si="103"/>
        <v>842.954791666667</v>
      </c>
      <c r="X255" s="84">
        <f t="shared" si="107"/>
        <v>54.68609375</v>
      </c>
      <c r="Y255" s="84"/>
      <c r="Z255" s="84"/>
      <c r="AA255" s="84">
        <f t="shared" si="104"/>
        <v>54.68609375</v>
      </c>
      <c r="AB255" s="94">
        <v>7.17</v>
      </c>
      <c r="AC255" s="81">
        <f t="shared" si="100"/>
        <v>392.0992921875</v>
      </c>
      <c r="AD255" s="81">
        <f t="shared" si="101"/>
        <v>1235.05408385417</v>
      </c>
      <c r="AE255" s="81">
        <f t="shared" si="102"/>
        <v>259.94591614583</v>
      </c>
    </row>
    <row r="256" customFormat="1" spans="1:31">
      <c r="A256" s="19"/>
      <c r="B256" s="20"/>
      <c r="C256" s="21">
        <v>240109000004</v>
      </c>
      <c r="D256" s="22">
        <v>45302</v>
      </c>
      <c r="E256" s="22" t="s">
        <v>44</v>
      </c>
      <c r="F256" s="20" t="s">
        <v>45</v>
      </c>
      <c r="G256" s="20" t="s">
        <v>247</v>
      </c>
      <c r="H256" s="20">
        <v>14.5</v>
      </c>
      <c r="I256" s="43">
        <v>1812</v>
      </c>
      <c r="J256" s="44"/>
      <c r="K256" s="45"/>
      <c r="L256" s="44"/>
      <c r="M256" s="46"/>
      <c r="N256" s="20"/>
      <c r="O256" s="48">
        <f t="shared" si="110"/>
        <v>1812</v>
      </c>
      <c r="P256" s="54"/>
      <c r="Q256" s="54"/>
      <c r="R256" s="81">
        <f t="shared" si="105"/>
        <v>1042.1875</v>
      </c>
      <c r="S256" s="81"/>
      <c r="T256" s="82">
        <f t="shared" si="106"/>
        <v>20.6685416666667</v>
      </c>
      <c r="U256" s="81"/>
      <c r="V256" s="81"/>
      <c r="W256" s="83">
        <f t="shared" si="103"/>
        <v>1062.85604166667</v>
      </c>
      <c r="X256" s="84">
        <f t="shared" si="107"/>
        <v>68.95203125</v>
      </c>
      <c r="Y256" s="84"/>
      <c r="Z256" s="84"/>
      <c r="AA256" s="84">
        <f t="shared" si="104"/>
        <v>68.95203125</v>
      </c>
      <c r="AB256" s="94">
        <v>7.17</v>
      </c>
      <c r="AC256" s="81">
        <f t="shared" si="100"/>
        <v>494.3860640625</v>
      </c>
      <c r="AD256" s="81">
        <f t="shared" si="101"/>
        <v>1557.24210572917</v>
      </c>
      <c r="AE256" s="81">
        <f t="shared" si="102"/>
        <v>254.75789427083</v>
      </c>
    </row>
    <row r="257" customFormat="1" spans="1:31">
      <c r="A257" s="19"/>
      <c r="B257" s="20"/>
      <c r="C257" s="21">
        <v>240109000012</v>
      </c>
      <c r="D257" s="22">
        <v>45302</v>
      </c>
      <c r="E257" s="22" t="s">
        <v>41</v>
      </c>
      <c r="F257" s="20" t="s">
        <v>42</v>
      </c>
      <c r="G257" s="20" t="s">
        <v>248</v>
      </c>
      <c r="H257" s="20">
        <v>0.67</v>
      </c>
      <c r="I257" s="50"/>
      <c r="J257" s="51">
        <v>22125</v>
      </c>
      <c r="K257" s="52"/>
      <c r="L257" s="51">
        <f>SUM(J257/M257)</f>
        <v>1269.36316695353</v>
      </c>
      <c r="M257" s="53">
        <v>17.43</v>
      </c>
      <c r="N257" s="20">
        <v>7.17</v>
      </c>
      <c r="O257" s="48">
        <f>SUM(M257*N257)</f>
        <v>124.9731</v>
      </c>
      <c r="P257" s="54"/>
      <c r="Q257" s="54"/>
      <c r="R257" s="81">
        <f t="shared" si="105"/>
        <v>48.15625</v>
      </c>
      <c r="S257" s="81"/>
      <c r="T257" s="82">
        <f t="shared" si="106"/>
        <v>0.955029166666667</v>
      </c>
      <c r="U257" s="81"/>
      <c r="V257" s="81"/>
      <c r="W257" s="83">
        <f t="shared" si="103"/>
        <v>49.1112791666667</v>
      </c>
      <c r="X257" s="84">
        <f t="shared" si="107"/>
        <v>3.186059375</v>
      </c>
      <c r="Y257" s="84"/>
      <c r="Z257" s="84"/>
      <c r="AA257" s="84">
        <f t="shared" si="104"/>
        <v>3.186059375</v>
      </c>
      <c r="AB257" s="94">
        <v>7.17</v>
      </c>
      <c r="AC257" s="81">
        <f t="shared" si="100"/>
        <v>22.84404571875</v>
      </c>
      <c r="AD257" s="81">
        <f t="shared" si="101"/>
        <v>71.9553248854167</v>
      </c>
      <c r="AE257" s="81">
        <f t="shared" si="102"/>
        <v>53.0177751145833</v>
      </c>
    </row>
    <row r="258" customFormat="1" spans="1:31">
      <c r="A258" s="19"/>
      <c r="B258" s="20"/>
      <c r="C258" s="21">
        <v>240109000017</v>
      </c>
      <c r="D258" s="22">
        <v>45302</v>
      </c>
      <c r="E258" s="22" t="s">
        <v>49</v>
      </c>
      <c r="F258" s="20" t="s">
        <v>50</v>
      </c>
      <c r="G258" s="20" t="s">
        <v>249</v>
      </c>
      <c r="H258" s="20">
        <v>8.5</v>
      </c>
      <c r="I258" s="43">
        <v>2400</v>
      </c>
      <c r="J258" s="44"/>
      <c r="K258" s="45"/>
      <c r="L258" s="44"/>
      <c r="M258" s="46"/>
      <c r="N258" s="20"/>
      <c r="O258" s="48">
        <f t="shared" ref="O258:O265" si="111">SUM(I258)</f>
        <v>2400</v>
      </c>
      <c r="P258" s="54"/>
      <c r="Q258" s="54"/>
      <c r="R258" s="81">
        <f t="shared" si="105"/>
        <v>610.9375</v>
      </c>
      <c r="S258" s="81"/>
      <c r="T258" s="82">
        <f t="shared" si="106"/>
        <v>12.1160416666667</v>
      </c>
      <c r="U258" s="81"/>
      <c r="V258" s="81"/>
      <c r="W258" s="83">
        <f t="shared" si="103"/>
        <v>623.053541666667</v>
      </c>
      <c r="X258" s="84">
        <f t="shared" si="107"/>
        <v>40.42015625</v>
      </c>
      <c r="Y258" s="84"/>
      <c r="Z258" s="84"/>
      <c r="AA258" s="84">
        <f t="shared" si="104"/>
        <v>40.42015625</v>
      </c>
      <c r="AB258" s="94">
        <v>7.17</v>
      </c>
      <c r="AC258" s="81">
        <f t="shared" si="100"/>
        <v>289.8125203125</v>
      </c>
      <c r="AD258" s="81">
        <f t="shared" si="101"/>
        <v>912.866061979167</v>
      </c>
      <c r="AE258" s="81">
        <f t="shared" si="102"/>
        <v>1487.13393802083</v>
      </c>
    </row>
    <row r="259" customFormat="1" spans="1:31">
      <c r="A259" s="19"/>
      <c r="B259" s="20"/>
      <c r="C259" s="21">
        <v>240109000018</v>
      </c>
      <c r="D259" s="22">
        <v>45302</v>
      </c>
      <c r="E259" s="22" t="s">
        <v>49</v>
      </c>
      <c r="F259" s="20" t="s">
        <v>50</v>
      </c>
      <c r="G259" s="20" t="s">
        <v>249</v>
      </c>
      <c r="H259" s="20">
        <v>4.5</v>
      </c>
      <c r="I259" s="43">
        <v>1120</v>
      </c>
      <c r="J259" s="44"/>
      <c r="K259" s="45"/>
      <c r="L259" s="44"/>
      <c r="M259" s="46"/>
      <c r="N259" s="20"/>
      <c r="O259" s="48">
        <f t="shared" si="111"/>
        <v>1120</v>
      </c>
      <c r="P259" s="54"/>
      <c r="Q259" s="54"/>
      <c r="R259" s="81">
        <f t="shared" si="105"/>
        <v>323.4375</v>
      </c>
      <c r="S259" s="81"/>
      <c r="T259" s="82">
        <f t="shared" si="106"/>
        <v>6.414375</v>
      </c>
      <c r="U259" s="81"/>
      <c r="V259" s="81"/>
      <c r="W259" s="83">
        <f t="shared" si="103"/>
        <v>329.851875</v>
      </c>
      <c r="X259" s="84">
        <f t="shared" si="107"/>
        <v>21.39890625</v>
      </c>
      <c r="Y259" s="84"/>
      <c r="Z259" s="84"/>
      <c r="AA259" s="84">
        <f t="shared" si="104"/>
        <v>21.39890625</v>
      </c>
      <c r="AB259" s="94">
        <v>7.17</v>
      </c>
      <c r="AC259" s="81">
        <f t="shared" ref="AC259:AC269" si="112">SUM(AA259*AB259)</f>
        <v>153.4301578125</v>
      </c>
      <c r="AD259" s="81">
        <f t="shared" ref="AD259:AD269" si="113">SUM(W259+AC259)</f>
        <v>483.2820328125</v>
      </c>
      <c r="AE259" s="81">
        <f t="shared" si="102"/>
        <v>636.7179671875</v>
      </c>
    </row>
    <row r="260" customFormat="1" spans="1:31">
      <c r="A260" s="19"/>
      <c r="B260" s="20"/>
      <c r="C260" s="21">
        <v>240109000022</v>
      </c>
      <c r="D260" s="22">
        <v>45302</v>
      </c>
      <c r="E260" s="25" t="s">
        <v>69</v>
      </c>
      <c r="F260" s="20" t="s">
        <v>69</v>
      </c>
      <c r="G260" s="20" t="s">
        <v>131</v>
      </c>
      <c r="H260" s="20">
        <v>2.5</v>
      </c>
      <c r="I260" s="43">
        <v>312.5</v>
      </c>
      <c r="J260" s="44"/>
      <c r="K260" s="45"/>
      <c r="L260" s="44"/>
      <c r="M260" s="46"/>
      <c r="N260" s="20"/>
      <c r="O260" s="48">
        <f t="shared" si="111"/>
        <v>312.5</v>
      </c>
      <c r="P260" s="60"/>
      <c r="Q260" s="60"/>
      <c r="R260" s="81">
        <f t="shared" si="105"/>
        <v>179.6875</v>
      </c>
      <c r="S260" s="81"/>
      <c r="T260" s="82">
        <f t="shared" si="106"/>
        <v>3.56354166666667</v>
      </c>
      <c r="U260" s="81"/>
      <c r="V260" s="81"/>
      <c r="W260" s="83">
        <f t="shared" si="103"/>
        <v>183.251041666667</v>
      </c>
      <c r="X260" s="84">
        <f t="shared" si="107"/>
        <v>11.88828125</v>
      </c>
      <c r="Y260" s="84"/>
      <c r="Z260" s="84"/>
      <c r="AA260" s="84">
        <f t="shared" si="104"/>
        <v>11.88828125</v>
      </c>
      <c r="AB260" s="94">
        <v>7.17</v>
      </c>
      <c r="AC260" s="81">
        <f t="shared" si="112"/>
        <v>85.2389765625</v>
      </c>
      <c r="AD260" s="81">
        <f t="shared" si="113"/>
        <v>268.490018229167</v>
      </c>
      <c r="AE260" s="81">
        <f t="shared" ref="AE260:AE269" si="114">SUM(O260-AD260)</f>
        <v>44.009981770833</v>
      </c>
    </row>
    <row r="261" customFormat="1" spans="1:31">
      <c r="A261" s="19" t="s">
        <v>250</v>
      </c>
      <c r="B261" s="20" t="s">
        <v>251</v>
      </c>
      <c r="C261" s="21">
        <v>240108000002</v>
      </c>
      <c r="D261" s="22">
        <v>45303</v>
      </c>
      <c r="E261" s="22" t="s">
        <v>49</v>
      </c>
      <c r="F261" s="20" t="s">
        <v>50</v>
      </c>
      <c r="G261" s="20" t="s">
        <v>242</v>
      </c>
      <c r="H261" s="20">
        <v>2.5</v>
      </c>
      <c r="I261" s="43">
        <v>312.5</v>
      </c>
      <c r="J261" s="44"/>
      <c r="K261" s="45"/>
      <c r="L261" s="44"/>
      <c r="M261" s="46"/>
      <c r="N261" s="20"/>
      <c r="O261" s="48">
        <f t="shared" si="111"/>
        <v>312.5</v>
      </c>
      <c r="P261" s="49">
        <f>SUM(O261:O269)</f>
        <v>20222.263566</v>
      </c>
      <c r="Q261" s="49" t="s">
        <v>146</v>
      </c>
      <c r="R261" s="81">
        <f>SUM(11600/160)*H261</f>
        <v>181.25</v>
      </c>
      <c r="S261" s="81"/>
      <c r="T261" s="82">
        <f>SUM(68.81/160)*H261</f>
        <v>1.07515625</v>
      </c>
      <c r="U261" s="81"/>
      <c r="V261" s="81"/>
      <c r="W261" s="83">
        <f t="shared" ref="W261:W269" si="115">SUM(R261:V261)</f>
        <v>182.32515625</v>
      </c>
      <c r="X261" s="84">
        <f>SUM(310.51/160)*H261</f>
        <v>4.85171875</v>
      </c>
      <c r="Y261" s="84"/>
      <c r="Z261" s="84"/>
      <c r="AA261" s="84">
        <f t="shared" ref="AA261:AA269" si="116">SUM(X261:Z261)</f>
        <v>4.85171875</v>
      </c>
      <c r="AB261" s="94">
        <v>7.17</v>
      </c>
      <c r="AC261" s="81">
        <f t="shared" si="112"/>
        <v>34.7868234375</v>
      </c>
      <c r="AD261" s="81">
        <f t="shared" si="113"/>
        <v>217.1119796875</v>
      </c>
      <c r="AE261" s="81">
        <f t="shared" si="114"/>
        <v>95.3880203125</v>
      </c>
    </row>
    <row r="262" customFormat="1" spans="1:31">
      <c r="A262" s="19"/>
      <c r="B262" s="20"/>
      <c r="C262" s="21">
        <v>240109000021</v>
      </c>
      <c r="D262" s="22">
        <v>45303</v>
      </c>
      <c r="E262" s="22" t="s">
        <v>49</v>
      </c>
      <c r="F262" s="20" t="s">
        <v>50</v>
      </c>
      <c r="G262" s="20" t="s">
        <v>249</v>
      </c>
      <c r="H262" s="20">
        <v>4.5</v>
      </c>
      <c r="I262" s="43">
        <v>1280</v>
      </c>
      <c r="J262" s="44"/>
      <c r="K262" s="45"/>
      <c r="L262" s="44"/>
      <c r="M262" s="46"/>
      <c r="N262" s="20"/>
      <c r="O262" s="48">
        <f t="shared" si="111"/>
        <v>1280</v>
      </c>
      <c r="P262" s="54"/>
      <c r="Q262" s="54"/>
      <c r="R262" s="81">
        <f t="shared" ref="R262:R269" si="117">SUM(11600/160)*H262</f>
        <v>326.25</v>
      </c>
      <c r="S262" s="81"/>
      <c r="T262" s="82">
        <f t="shared" ref="T262:T269" si="118">SUM(68.81/160)*H262</f>
        <v>1.93528125</v>
      </c>
      <c r="U262" s="81"/>
      <c r="V262" s="81"/>
      <c r="W262" s="83">
        <f t="shared" si="115"/>
        <v>328.18528125</v>
      </c>
      <c r="X262" s="84">
        <f t="shared" ref="X262:X269" si="119">SUM(310.51/160)*H262</f>
        <v>8.73309375</v>
      </c>
      <c r="Y262" s="84"/>
      <c r="Z262" s="84"/>
      <c r="AA262" s="84">
        <f t="shared" si="116"/>
        <v>8.73309375</v>
      </c>
      <c r="AB262" s="94">
        <v>7.17</v>
      </c>
      <c r="AC262" s="81">
        <f t="shared" si="112"/>
        <v>62.6162821875</v>
      </c>
      <c r="AD262" s="81">
        <f t="shared" si="113"/>
        <v>390.8015634375</v>
      </c>
      <c r="AE262" s="81">
        <f t="shared" si="114"/>
        <v>889.1984365625</v>
      </c>
    </row>
    <row r="263" customFormat="1" spans="1:31">
      <c r="A263" s="19"/>
      <c r="B263" s="20"/>
      <c r="C263" s="21">
        <v>240109000039</v>
      </c>
      <c r="D263" s="22">
        <v>45303</v>
      </c>
      <c r="E263" s="25" t="s">
        <v>69</v>
      </c>
      <c r="F263" s="20" t="s">
        <v>69</v>
      </c>
      <c r="G263" s="20" t="s">
        <v>252</v>
      </c>
      <c r="H263" s="20">
        <v>1.5</v>
      </c>
      <c r="I263" s="43">
        <v>187.5</v>
      </c>
      <c r="J263" s="44"/>
      <c r="K263" s="45"/>
      <c r="L263" s="44"/>
      <c r="M263" s="46"/>
      <c r="N263" s="20"/>
      <c r="O263" s="48">
        <f t="shared" si="111"/>
        <v>187.5</v>
      </c>
      <c r="P263" s="54"/>
      <c r="Q263" s="54"/>
      <c r="R263" s="81">
        <f t="shared" si="117"/>
        <v>108.75</v>
      </c>
      <c r="S263" s="81"/>
      <c r="T263" s="82">
        <f t="shared" si="118"/>
        <v>0.64509375</v>
      </c>
      <c r="U263" s="81"/>
      <c r="V263" s="81"/>
      <c r="W263" s="83">
        <f t="shared" si="115"/>
        <v>109.39509375</v>
      </c>
      <c r="X263" s="84">
        <f t="shared" si="119"/>
        <v>2.91103125</v>
      </c>
      <c r="Y263" s="84"/>
      <c r="Z263" s="84"/>
      <c r="AA263" s="84">
        <f t="shared" si="116"/>
        <v>2.91103125</v>
      </c>
      <c r="AB263" s="94">
        <v>7.17</v>
      </c>
      <c r="AC263" s="81">
        <f t="shared" si="112"/>
        <v>20.8720940625</v>
      </c>
      <c r="AD263" s="81">
        <f t="shared" si="113"/>
        <v>130.2671878125</v>
      </c>
      <c r="AE263" s="81">
        <f t="shared" si="114"/>
        <v>57.2328121875</v>
      </c>
    </row>
    <row r="264" customFormat="1" spans="1:31">
      <c r="A264" s="19"/>
      <c r="B264" s="20"/>
      <c r="C264" s="21">
        <v>240109000040</v>
      </c>
      <c r="D264" s="22">
        <v>45303</v>
      </c>
      <c r="E264" s="25" t="s">
        <v>69</v>
      </c>
      <c r="F264" s="20" t="s">
        <v>69</v>
      </c>
      <c r="G264" s="20" t="s">
        <v>131</v>
      </c>
      <c r="H264" s="20">
        <v>1.5</v>
      </c>
      <c r="I264" s="43">
        <v>232.5</v>
      </c>
      <c r="J264" s="44"/>
      <c r="K264" s="45"/>
      <c r="L264" s="44"/>
      <c r="M264" s="46"/>
      <c r="N264" s="20"/>
      <c r="O264" s="48">
        <f t="shared" si="111"/>
        <v>232.5</v>
      </c>
      <c r="P264" s="54"/>
      <c r="Q264" s="54"/>
      <c r="R264" s="81">
        <f t="shared" si="117"/>
        <v>108.75</v>
      </c>
      <c r="S264" s="81"/>
      <c r="T264" s="82">
        <f t="shared" si="118"/>
        <v>0.64509375</v>
      </c>
      <c r="U264" s="81"/>
      <c r="V264" s="81"/>
      <c r="W264" s="83">
        <f t="shared" si="115"/>
        <v>109.39509375</v>
      </c>
      <c r="X264" s="84">
        <f t="shared" si="119"/>
        <v>2.91103125</v>
      </c>
      <c r="Y264" s="84"/>
      <c r="Z264" s="84"/>
      <c r="AA264" s="84">
        <f t="shared" si="116"/>
        <v>2.91103125</v>
      </c>
      <c r="AB264" s="94">
        <v>7.17</v>
      </c>
      <c r="AC264" s="81">
        <f t="shared" si="112"/>
        <v>20.8720940625</v>
      </c>
      <c r="AD264" s="81">
        <f t="shared" si="113"/>
        <v>130.2671878125</v>
      </c>
      <c r="AE264" s="81">
        <f t="shared" si="114"/>
        <v>102.2328121875</v>
      </c>
    </row>
    <row r="265" customFormat="1" spans="1:31">
      <c r="A265" s="19"/>
      <c r="B265" s="20"/>
      <c r="C265" s="21">
        <v>240110000027</v>
      </c>
      <c r="D265" s="22">
        <v>45303</v>
      </c>
      <c r="E265" s="22" t="s">
        <v>58</v>
      </c>
      <c r="F265" s="20" t="s">
        <v>59</v>
      </c>
      <c r="G265" s="20" t="s">
        <v>253</v>
      </c>
      <c r="H265" s="20">
        <v>12</v>
      </c>
      <c r="I265" s="43">
        <v>1440</v>
      </c>
      <c r="J265" s="44"/>
      <c r="K265" s="45"/>
      <c r="L265" s="44"/>
      <c r="M265" s="46"/>
      <c r="N265" s="20"/>
      <c r="O265" s="48">
        <f t="shared" si="111"/>
        <v>1440</v>
      </c>
      <c r="P265" s="54"/>
      <c r="Q265" s="54"/>
      <c r="R265" s="81">
        <f t="shared" si="117"/>
        <v>870</v>
      </c>
      <c r="S265" s="81"/>
      <c r="T265" s="82">
        <f t="shared" si="118"/>
        <v>5.16075</v>
      </c>
      <c r="U265" s="81"/>
      <c r="V265" s="81"/>
      <c r="W265" s="83">
        <f t="shared" si="115"/>
        <v>875.16075</v>
      </c>
      <c r="X265" s="84">
        <f t="shared" si="119"/>
        <v>23.28825</v>
      </c>
      <c r="Y265" s="84"/>
      <c r="Z265" s="84"/>
      <c r="AA265" s="84">
        <f t="shared" si="116"/>
        <v>23.28825</v>
      </c>
      <c r="AB265" s="94">
        <v>7.17</v>
      </c>
      <c r="AC265" s="81">
        <f t="shared" si="112"/>
        <v>166.9767525</v>
      </c>
      <c r="AD265" s="81">
        <f t="shared" si="113"/>
        <v>1042.1375025</v>
      </c>
      <c r="AE265" s="81">
        <f t="shared" si="114"/>
        <v>397.8624975</v>
      </c>
    </row>
    <row r="266" customFormat="1" spans="1:31">
      <c r="A266" s="19"/>
      <c r="B266" s="20"/>
      <c r="C266" s="21">
        <v>240110000034</v>
      </c>
      <c r="D266" s="22">
        <v>45303</v>
      </c>
      <c r="E266" s="22" t="s">
        <v>41</v>
      </c>
      <c r="F266" s="20" t="s">
        <v>42</v>
      </c>
      <c r="G266" s="20" t="s">
        <v>238</v>
      </c>
      <c r="H266" s="20">
        <v>6</v>
      </c>
      <c r="I266" s="50"/>
      <c r="J266" s="51">
        <v>164610</v>
      </c>
      <c r="K266" s="52"/>
      <c r="L266" s="51">
        <f>SUM(J266/M266)</f>
        <v>1269.15959907479</v>
      </c>
      <c r="M266" s="53">
        <v>129.7</v>
      </c>
      <c r="N266" s="20">
        <v>7.17</v>
      </c>
      <c r="O266" s="48">
        <f t="shared" ref="O266:O272" si="120">SUM(M266*N266)</f>
        <v>929.949</v>
      </c>
      <c r="P266" s="54"/>
      <c r="Q266" s="54"/>
      <c r="R266" s="81">
        <f t="shared" si="117"/>
        <v>435</v>
      </c>
      <c r="S266" s="81"/>
      <c r="T266" s="82">
        <f t="shared" si="118"/>
        <v>2.580375</v>
      </c>
      <c r="U266" s="81"/>
      <c r="V266" s="81"/>
      <c r="W266" s="83">
        <f t="shared" si="115"/>
        <v>437.580375</v>
      </c>
      <c r="X266" s="84">
        <f t="shared" si="119"/>
        <v>11.644125</v>
      </c>
      <c r="Y266" s="84"/>
      <c r="Z266" s="84"/>
      <c r="AA266" s="84">
        <f t="shared" si="116"/>
        <v>11.644125</v>
      </c>
      <c r="AB266" s="94">
        <v>7.17</v>
      </c>
      <c r="AC266" s="81">
        <f t="shared" ref="AC266:AC297" si="121">SUM(AA266*AB266)</f>
        <v>83.48837625</v>
      </c>
      <c r="AD266" s="81">
        <f t="shared" ref="AD266:AD297" si="122">SUM(W266+AC266)</f>
        <v>521.06875125</v>
      </c>
      <c r="AE266" s="81">
        <f t="shared" ref="AE266:AE297" si="123">SUM(O266-AD266)</f>
        <v>408.88024875</v>
      </c>
    </row>
    <row r="267" customFormat="1" spans="1:31">
      <c r="A267" s="19"/>
      <c r="B267" s="20"/>
      <c r="C267" s="21">
        <v>240111000007</v>
      </c>
      <c r="D267" s="22">
        <v>45303</v>
      </c>
      <c r="E267" s="22" t="s">
        <v>58</v>
      </c>
      <c r="F267" s="20" t="s">
        <v>59</v>
      </c>
      <c r="G267" s="20" t="s">
        <v>231</v>
      </c>
      <c r="H267" s="20">
        <v>4</v>
      </c>
      <c r="I267" s="43">
        <v>455</v>
      </c>
      <c r="J267" s="44"/>
      <c r="K267" s="45"/>
      <c r="L267" s="44"/>
      <c r="M267" s="46"/>
      <c r="N267" s="20"/>
      <c r="O267" s="48">
        <f t="shared" ref="O267:O270" si="124">SUM(I267)</f>
        <v>455</v>
      </c>
      <c r="P267" s="54"/>
      <c r="Q267" s="54"/>
      <c r="R267" s="81">
        <f t="shared" si="117"/>
        <v>290</v>
      </c>
      <c r="S267" s="81"/>
      <c r="T267" s="82">
        <f t="shared" si="118"/>
        <v>1.72025</v>
      </c>
      <c r="U267" s="81"/>
      <c r="V267" s="81"/>
      <c r="W267" s="83">
        <f t="shared" si="115"/>
        <v>291.72025</v>
      </c>
      <c r="X267" s="84">
        <f t="shared" si="119"/>
        <v>7.76275</v>
      </c>
      <c r="Y267" s="84"/>
      <c r="Z267" s="84"/>
      <c r="AA267" s="84">
        <f t="shared" si="116"/>
        <v>7.76275</v>
      </c>
      <c r="AB267" s="94">
        <v>7.17</v>
      </c>
      <c r="AC267" s="81">
        <f t="shared" si="121"/>
        <v>55.6589175</v>
      </c>
      <c r="AD267" s="81">
        <f t="shared" si="122"/>
        <v>347.3791675</v>
      </c>
      <c r="AE267" s="81">
        <f t="shared" si="123"/>
        <v>107.6208325</v>
      </c>
    </row>
    <row r="268" customFormat="1" spans="1:31">
      <c r="A268" s="19"/>
      <c r="B268" s="20"/>
      <c r="C268" s="21">
        <v>240111000032</v>
      </c>
      <c r="D268" s="22">
        <v>45303</v>
      </c>
      <c r="E268" s="22" t="s">
        <v>110</v>
      </c>
      <c r="F268" s="20" t="s">
        <v>111</v>
      </c>
      <c r="G268" s="20" t="s">
        <v>254</v>
      </c>
      <c r="H268" s="20">
        <v>0.36</v>
      </c>
      <c r="I268" s="43">
        <v>150</v>
      </c>
      <c r="J268" s="44"/>
      <c r="K268" s="45"/>
      <c r="L268" s="44"/>
      <c r="M268" s="46"/>
      <c r="N268" s="20"/>
      <c r="O268" s="48">
        <f t="shared" si="124"/>
        <v>150</v>
      </c>
      <c r="P268" s="54"/>
      <c r="Q268" s="54"/>
      <c r="R268" s="81">
        <f t="shared" si="117"/>
        <v>26.1</v>
      </c>
      <c r="S268" s="81"/>
      <c r="T268" s="82">
        <f t="shared" si="118"/>
        <v>0.1548225</v>
      </c>
      <c r="U268" s="81"/>
      <c r="V268" s="81"/>
      <c r="W268" s="83">
        <f t="shared" si="115"/>
        <v>26.2548225</v>
      </c>
      <c r="X268" s="84">
        <f t="shared" si="119"/>
        <v>0.6986475</v>
      </c>
      <c r="Y268" s="84"/>
      <c r="Z268" s="84"/>
      <c r="AA268" s="84">
        <f t="shared" si="116"/>
        <v>0.6986475</v>
      </c>
      <c r="AB268" s="94">
        <v>7.17</v>
      </c>
      <c r="AC268" s="81">
        <f t="shared" si="121"/>
        <v>5.009302575</v>
      </c>
      <c r="AD268" s="81">
        <f t="shared" si="122"/>
        <v>31.264125075</v>
      </c>
      <c r="AE268" s="81">
        <f t="shared" si="123"/>
        <v>118.735874925</v>
      </c>
    </row>
    <row r="269" customFormat="1" spans="1:31">
      <c r="A269" s="19"/>
      <c r="B269" s="20"/>
      <c r="C269" s="21">
        <v>240111000042</v>
      </c>
      <c r="D269" s="22">
        <v>45303</v>
      </c>
      <c r="E269" s="25" t="s">
        <v>69</v>
      </c>
      <c r="F269" s="20" t="s">
        <v>69</v>
      </c>
      <c r="G269" s="20" t="s">
        <v>255</v>
      </c>
      <c r="H269" s="20">
        <v>128</v>
      </c>
      <c r="I269" s="48"/>
      <c r="J269" s="55">
        <v>2698500</v>
      </c>
      <c r="K269" s="56"/>
      <c r="L269" s="51">
        <f>SUM(J269/M269)</f>
        <v>1270.00200207097</v>
      </c>
      <c r="M269" s="53">
        <v>2124.7998</v>
      </c>
      <c r="N269" s="20">
        <v>7.17</v>
      </c>
      <c r="O269" s="48">
        <f t="shared" si="120"/>
        <v>15234.814566</v>
      </c>
      <c r="P269" s="60"/>
      <c r="Q269" s="60"/>
      <c r="R269" s="81">
        <f t="shared" si="117"/>
        <v>9280</v>
      </c>
      <c r="S269" s="81"/>
      <c r="T269" s="82">
        <f t="shared" si="118"/>
        <v>55.048</v>
      </c>
      <c r="U269" s="81"/>
      <c r="V269" s="81"/>
      <c r="W269" s="83">
        <f t="shared" ref="W269:W300" si="125">SUM(R269:V269)</f>
        <v>9335.048</v>
      </c>
      <c r="X269" s="84">
        <f t="shared" si="119"/>
        <v>248.408</v>
      </c>
      <c r="Y269" s="84"/>
      <c r="Z269" s="84"/>
      <c r="AA269" s="84">
        <f t="shared" ref="AA269:AA300" si="126">SUM(X269:Z269)</f>
        <v>248.408</v>
      </c>
      <c r="AB269" s="94">
        <v>7.17</v>
      </c>
      <c r="AC269" s="81">
        <f t="shared" si="121"/>
        <v>1781.08536</v>
      </c>
      <c r="AD269" s="81">
        <f t="shared" si="122"/>
        <v>11116.13336</v>
      </c>
      <c r="AE269" s="81">
        <f t="shared" si="123"/>
        <v>4118.681206</v>
      </c>
    </row>
    <row r="270" customFormat="1" spans="1:31">
      <c r="A270" s="19" t="s">
        <v>256</v>
      </c>
      <c r="B270" s="20" t="s">
        <v>257</v>
      </c>
      <c r="C270" s="21">
        <v>231221000024</v>
      </c>
      <c r="D270" s="22">
        <v>45303</v>
      </c>
      <c r="E270" s="25" t="s">
        <v>69</v>
      </c>
      <c r="F270" s="20" t="s">
        <v>69</v>
      </c>
      <c r="G270" s="20" t="s">
        <v>258</v>
      </c>
      <c r="H270" s="20">
        <v>36.5</v>
      </c>
      <c r="I270" s="43">
        <v>2199.6</v>
      </c>
      <c r="J270" s="44"/>
      <c r="K270" s="45"/>
      <c r="L270" s="44"/>
      <c r="M270" s="46"/>
      <c r="N270" s="20"/>
      <c r="O270" s="48">
        <f t="shared" si="124"/>
        <v>2199.6</v>
      </c>
      <c r="P270" s="49">
        <f>SUM(O270:O329)</f>
        <v>115497.25350717</v>
      </c>
      <c r="Q270" s="80" t="s">
        <v>165</v>
      </c>
      <c r="R270" s="81">
        <f>SUM(84676/1916)*H270</f>
        <v>1613.0866388309</v>
      </c>
      <c r="S270" s="81"/>
      <c r="T270" s="82">
        <f>SUM(130/1916)*H270</f>
        <v>2.47651356993737</v>
      </c>
      <c r="U270" s="81"/>
      <c r="V270" s="81"/>
      <c r="W270" s="83">
        <f t="shared" si="125"/>
        <v>1615.56315240084</v>
      </c>
      <c r="X270" s="84">
        <f>SUM(1383.72/1916)*H270</f>
        <v>26.3600104384134</v>
      </c>
      <c r="Y270" s="84"/>
      <c r="Z270" s="84"/>
      <c r="AA270" s="84">
        <f t="shared" si="126"/>
        <v>26.3600104384134</v>
      </c>
      <c r="AB270" s="94">
        <v>7.17</v>
      </c>
      <c r="AC270" s="81">
        <f t="shared" si="121"/>
        <v>189.001274843424</v>
      </c>
      <c r="AD270" s="81">
        <f t="shared" si="122"/>
        <v>1804.56442724426</v>
      </c>
      <c r="AE270" s="81">
        <f t="shared" si="123"/>
        <v>395.03557275574</v>
      </c>
    </row>
    <row r="271" customFormat="1" spans="1:31">
      <c r="A271" s="19"/>
      <c r="B271" s="20"/>
      <c r="C271" s="21">
        <v>240102000007</v>
      </c>
      <c r="D271" s="22">
        <v>45303</v>
      </c>
      <c r="E271" s="22" t="s">
        <v>49</v>
      </c>
      <c r="F271" s="20" t="s">
        <v>50</v>
      </c>
      <c r="G271" s="20" t="s">
        <v>53</v>
      </c>
      <c r="H271" s="20">
        <v>2</v>
      </c>
      <c r="I271" s="50"/>
      <c r="J271" s="51">
        <v>25086</v>
      </c>
      <c r="K271" s="52"/>
      <c r="L271" s="51">
        <f>SUM(J271/M271)</f>
        <v>1383.67346938776</v>
      </c>
      <c r="M271" s="53">
        <v>18.13</v>
      </c>
      <c r="N271" s="20">
        <v>7.17</v>
      </c>
      <c r="O271" s="48">
        <f t="shared" si="120"/>
        <v>129.9921</v>
      </c>
      <c r="P271" s="54"/>
      <c r="Q271" s="54"/>
      <c r="R271" s="81">
        <f t="shared" ref="R271:R302" si="127">SUM(84676/1916)*H271</f>
        <v>88.3883089770355</v>
      </c>
      <c r="S271" s="81"/>
      <c r="T271" s="82">
        <f t="shared" ref="T271:T302" si="128">SUM(130/1916)*H271</f>
        <v>0.135699373695198</v>
      </c>
      <c r="U271" s="81"/>
      <c r="V271" s="81"/>
      <c r="W271" s="83">
        <f t="shared" si="125"/>
        <v>88.5240083507307</v>
      </c>
      <c r="X271" s="84">
        <f t="shared" ref="X271:X302" si="129">SUM(1383.72/1916)*H271</f>
        <v>1.44438413361169</v>
      </c>
      <c r="Y271" s="84"/>
      <c r="Z271" s="84"/>
      <c r="AA271" s="84">
        <f t="shared" si="126"/>
        <v>1.44438413361169</v>
      </c>
      <c r="AB271" s="94">
        <v>7.17</v>
      </c>
      <c r="AC271" s="81">
        <f t="shared" si="121"/>
        <v>10.3562342379958</v>
      </c>
      <c r="AD271" s="81">
        <f t="shared" si="122"/>
        <v>98.8802425887265</v>
      </c>
      <c r="AE271" s="81">
        <f t="shared" si="123"/>
        <v>31.1118574112735</v>
      </c>
    </row>
    <row r="272" customFormat="1" spans="1:31">
      <c r="A272" s="19"/>
      <c r="B272" s="20"/>
      <c r="C272" s="21">
        <v>240102000008</v>
      </c>
      <c r="D272" s="22">
        <v>45303</v>
      </c>
      <c r="E272" s="22" t="s">
        <v>49</v>
      </c>
      <c r="F272" s="20" t="s">
        <v>50</v>
      </c>
      <c r="G272" s="20" t="s">
        <v>53</v>
      </c>
      <c r="H272" s="20">
        <v>15.5</v>
      </c>
      <c r="I272" s="50"/>
      <c r="J272" s="51">
        <v>180264</v>
      </c>
      <c r="K272" s="52"/>
      <c r="L272" s="51">
        <f>SUM(J272/M272)</f>
        <v>1436.13766730402</v>
      </c>
      <c r="M272" s="53">
        <v>125.52</v>
      </c>
      <c r="N272" s="20">
        <v>7.17</v>
      </c>
      <c r="O272" s="48">
        <f t="shared" si="120"/>
        <v>899.9784</v>
      </c>
      <c r="P272" s="54"/>
      <c r="Q272" s="54"/>
      <c r="R272" s="81">
        <f t="shared" si="127"/>
        <v>685.009394572025</v>
      </c>
      <c r="S272" s="81"/>
      <c r="T272" s="82">
        <f t="shared" si="128"/>
        <v>1.05167014613779</v>
      </c>
      <c r="U272" s="81"/>
      <c r="V272" s="81"/>
      <c r="W272" s="83">
        <f t="shared" si="125"/>
        <v>686.061064718163</v>
      </c>
      <c r="X272" s="84">
        <f t="shared" si="129"/>
        <v>11.1939770354906</v>
      </c>
      <c r="Y272" s="84"/>
      <c r="Z272" s="84"/>
      <c r="AA272" s="84">
        <f t="shared" si="126"/>
        <v>11.1939770354906</v>
      </c>
      <c r="AB272" s="94">
        <v>7.17</v>
      </c>
      <c r="AC272" s="81">
        <f t="shared" si="121"/>
        <v>80.2608153444676</v>
      </c>
      <c r="AD272" s="81">
        <f t="shared" si="122"/>
        <v>766.321880062631</v>
      </c>
      <c r="AE272" s="81">
        <f t="shared" si="123"/>
        <v>133.656519937369</v>
      </c>
    </row>
    <row r="273" customFormat="1" spans="1:31">
      <c r="A273" s="19"/>
      <c r="B273" s="20"/>
      <c r="C273" s="21">
        <v>240102000017</v>
      </c>
      <c r="D273" s="22">
        <v>45303</v>
      </c>
      <c r="E273" s="22" t="s">
        <v>44</v>
      </c>
      <c r="F273" s="20" t="s">
        <v>45</v>
      </c>
      <c r="G273" s="20" t="s">
        <v>174</v>
      </c>
      <c r="H273" s="20">
        <v>2.5</v>
      </c>
      <c r="I273" s="43">
        <v>153</v>
      </c>
      <c r="J273" s="44"/>
      <c r="K273" s="45"/>
      <c r="L273" s="44"/>
      <c r="M273" s="46"/>
      <c r="N273" s="20"/>
      <c r="O273" s="48">
        <f t="shared" ref="O273:O280" si="130">SUM(I273)</f>
        <v>153</v>
      </c>
      <c r="P273" s="54"/>
      <c r="Q273" s="54"/>
      <c r="R273" s="81">
        <f t="shared" si="127"/>
        <v>110.485386221294</v>
      </c>
      <c r="S273" s="81"/>
      <c r="T273" s="82">
        <f t="shared" si="128"/>
        <v>0.169624217118998</v>
      </c>
      <c r="U273" s="81"/>
      <c r="V273" s="81"/>
      <c r="W273" s="83">
        <f t="shared" si="125"/>
        <v>110.655010438413</v>
      </c>
      <c r="X273" s="84">
        <f t="shared" si="129"/>
        <v>1.80548016701461</v>
      </c>
      <c r="Y273" s="84"/>
      <c r="Z273" s="84"/>
      <c r="AA273" s="84">
        <f t="shared" si="126"/>
        <v>1.80548016701461</v>
      </c>
      <c r="AB273" s="94">
        <v>7.17</v>
      </c>
      <c r="AC273" s="81">
        <f t="shared" si="121"/>
        <v>12.9452927974948</v>
      </c>
      <c r="AD273" s="81">
        <f t="shared" si="122"/>
        <v>123.600303235908</v>
      </c>
      <c r="AE273" s="81">
        <f t="shared" si="123"/>
        <v>29.399696764092</v>
      </c>
    </row>
    <row r="274" customFormat="1" spans="1:31">
      <c r="A274" s="19"/>
      <c r="B274" s="20"/>
      <c r="C274" s="21">
        <v>240102000040</v>
      </c>
      <c r="D274" s="22">
        <v>45303</v>
      </c>
      <c r="E274" s="22" t="s">
        <v>58</v>
      </c>
      <c r="F274" s="20" t="s">
        <v>59</v>
      </c>
      <c r="G274" s="20" t="s">
        <v>259</v>
      </c>
      <c r="H274" s="20">
        <v>36</v>
      </c>
      <c r="I274" s="43">
        <v>2579.5</v>
      </c>
      <c r="J274" s="44"/>
      <c r="K274" s="45"/>
      <c r="L274" s="44"/>
      <c r="M274" s="46"/>
      <c r="N274" s="20"/>
      <c r="O274" s="48">
        <f t="shared" si="130"/>
        <v>2579.5</v>
      </c>
      <c r="P274" s="54"/>
      <c r="Q274" s="54"/>
      <c r="R274" s="81">
        <f t="shared" si="127"/>
        <v>1590.98956158664</v>
      </c>
      <c r="S274" s="81"/>
      <c r="T274" s="82">
        <f t="shared" si="128"/>
        <v>2.44258872651357</v>
      </c>
      <c r="U274" s="81"/>
      <c r="V274" s="81"/>
      <c r="W274" s="83">
        <f t="shared" si="125"/>
        <v>1593.43215031315</v>
      </c>
      <c r="X274" s="84">
        <f t="shared" si="129"/>
        <v>25.9989144050104</v>
      </c>
      <c r="Y274" s="84"/>
      <c r="Z274" s="84"/>
      <c r="AA274" s="84">
        <f t="shared" si="126"/>
        <v>25.9989144050104</v>
      </c>
      <c r="AB274" s="94">
        <v>7.17</v>
      </c>
      <c r="AC274" s="81">
        <f t="shared" si="121"/>
        <v>186.412216283925</v>
      </c>
      <c r="AD274" s="81">
        <f t="shared" si="122"/>
        <v>1779.84436659708</v>
      </c>
      <c r="AE274" s="81">
        <f t="shared" si="123"/>
        <v>799.65563340292</v>
      </c>
    </row>
    <row r="275" customFormat="1" spans="1:31">
      <c r="A275" s="19"/>
      <c r="B275" s="20"/>
      <c r="C275" s="21">
        <v>240102000054</v>
      </c>
      <c r="D275" s="22">
        <v>45303</v>
      </c>
      <c r="E275" s="25" t="s">
        <v>69</v>
      </c>
      <c r="F275" s="20" t="s">
        <v>69</v>
      </c>
      <c r="G275" s="20" t="s">
        <v>260</v>
      </c>
      <c r="H275" s="20">
        <v>23</v>
      </c>
      <c r="I275" s="43">
        <v>1621.2</v>
      </c>
      <c r="J275" s="44"/>
      <c r="K275" s="45"/>
      <c r="L275" s="44"/>
      <c r="M275" s="46"/>
      <c r="N275" s="20"/>
      <c r="O275" s="48">
        <f t="shared" si="130"/>
        <v>1621.2</v>
      </c>
      <c r="P275" s="54"/>
      <c r="Q275" s="54"/>
      <c r="R275" s="81">
        <f t="shared" si="127"/>
        <v>1016.46555323591</v>
      </c>
      <c r="S275" s="81"/>
      <c r="T275" s="82">
        <f t="shared" si="128"/>
        <v>1.56054279749478</v>
      </c>
      <c r="U275" s="81"/>
      <c r="V275" s="81"/>
      <c r="W275" s="83">
        <f t="shared" si="125"/>
        <v>1018.0260960334</v>
      </c>
      <c r="X275" s="84">
        <f t="shared" si="129"/>
        <v>16.6104175365344</v>
      </c>
      <c r="Y275" s="84"/>
      <c r="Z275" s="84"/>
      <c r="AA275" s="84">
        <f t="shared" si="126"/>
        <v>16.6104175365344</v>
      </c>
      <c r="AB275" s="94">
        <v>7.17</v>
      </c>
      <c r="AC275" s="81">
        <f t="shared" si="121"/>
        <v>119.096693736952</v>
      </c>
      <c r="AD275" s="81">
        <f t="shared" si="122"/>
        <v>1137.12278977035</v>
      </c>
      <c r="AE275" s="81">
        <f t="shared" si="123"/>
        <v>484.07721022965</v>
      </c>
    </row>
    <row r="276" customFormat="1" spans="1:31">
      <c r="A276" s="19"/>
      <c r="B276" s="20"/>
      <c r="C276" s="21">
        <v>240103000003</v>
      </c>
      <c r="D276" s="22">
        <v>45303</v>
      </c>
      <c r="E276" s="22" t="s">
        <v>49</v>
      </c>
      <c r="F276" s="20" t="s">
        <v>50</v>
      </c>
      <c r="G276" s="20" t="s">
        <v>186</v>
      </c>
      <c r="H276" s="20">
        <v>9</v>
      </c>
      <c r="I276" s="43">
        <v>535.5</v>
      </c>
      <c r="J276" s="44"/>
      <c r="K276" s="45"/>
      <c r="L276" s="44"/>
      <c r="M276" s="46"/>
      <c r="N276" s="20"/>
      <c r="O276" s="48">
        <f t="shared" si="130"/>
        <v>535.5</v>
      </c>
      <c r="P276" s="54"/>
      <c r="Q276" s="54"/>
      <c r="R276" s="81">
        <f t="shared" si="127"/>
        <v>397.74739039666</v>
      </c>
      <c r="S276" s="81"/>
      <c r="T276" s="82">
        <f t="shared" si="128"/>
        <v>0.610647181628392</v>
      </c>
      <c r="U276" s="81"/>
      <c r="V276" s="81"/>
      <c r="W276" s="83">
        <f t="shared" si="125"/>
        <v>398.358037578288</v>
      </c>
      <c r="X276" s="84">
        <f t="shared" si="129"/>
        <v>6.49972860125261</v>
      </c>
      <c r="Y276" s="84"/>
      <c r="Z276" s="84"/>
      <c r="AA276" s="84">
        <f t="shared" si="126"/>
        <v>6.49972860125261</v>
      </c>
      <c r="AB276" s="94">
        <v>7.17</v>
      </c>
      <c r="AC276" s="81">
        <f t="shared" si="121"/>
        <v>46.6030540709812</v>
      </c>
      <c r="AD276" s="81">
        <f t="shared" si="122"/>
        <v>444.961091649269</v>
      </c>
      <c r="AE276" s="81">
        <f t="shared" si="123"/>
        <v>90.538908350731</v>
      </c>
    </row>
    <row r="277" customFormat="1" spans="1:31">
      <c r="A277" s="19"/>
      <c r="B277" s="20"/>
      <c r="C277" s="21">
        <v>240103000017</v>
      </c>
      <c r="D277" s="22">
        <v>45303</v>
      </c>
      <c r="E277" s="22" t="s">
        <v>37</v>
      </c>
      <c r="F277" s="20" t="s">
        <v>38</v>
      </c>
      <c r="G277" s="20" t="s">
        <v>261</v>
      </c>
      <c r="H277" s="20">
        <v>10</v>
      </c>
      <c r="I277" s="43">
        <v>1034</v>
      </c>
      <c r="J277" s="44"/>
      <c r="K277" s="45"/>
      <c r="L277" s="44"/>
      <c r="M277" s="46"/>
      <c r="N277" s="20"/>
      <c r="O277" s="48">
        <f t="shared" si="130"/>
        <v>1034</v>
      </c>
      <c r="P277" s="54"/>
      <c r="Q277" s="54"/>
      <c r="R277" s="81">
        <f t="shared" si="127"/>
        <v>441.941544885177</v>
      </c>
      <c r="S277" s="81"/>
      <c r="T277" s="82">
        <f t="shared" si="128"/>
        <v>0.678496868475992</v>
      </c>
      <c r="U277" s="81"/>
      <c r="V277" s="81"/>
      <c r="W277" s="83">
        <f t="shared" si="125"/>
        <v>442.620041753653</v>
      </c>
      <c r="X277" s="84">
        <f t="shared" si="129"/>
        <v>7.22192066805846</v>
      </c>
      <c r="Y277" s="84">
        <v>21</v>
      </c>
      <c r="Z277" s="84"/>
      <c r="AA277" s="84">
        <f t="shared" si="126"/>
        <v>28.2219206680585</v>
      </c>
      <c r="AB277" s="94">
        <v>7.17</v>
      </c>
      <c r="AC277" s="81">
        <f t="shared" si="121"/>
        <v>202.351171189979</v>
      </c>
      <c r="AD277" s="81">
        <f t="shared" si="122"/>
        <v>644.971212943633</v>
      </c>
      <c r="AE277" s="81">
        <f t="shared" si="123"/>
        <v>389.028787056367</v>
      </c>
    </row>
    <row r="278" customFormat="1" spans="1:31">
      <c r="A278" s="19"/>
      <c r="B278" s="20"/>
      <c r="C278" s="21">
        <v>240103000019</v>
      </c>
      <c r="D278" s="22">
        <v>45303</v>
      </c>
      <c r="E278" s="22" t="s">
        <v>37</v>
      </c>
      <c r="F278" s="20" t="s">
        <v>38</v>
      </c>
      <c r="G278" s="20" t="s">
        <v>262</v>
      </c>
      <c r="H278" s="20">
        <v>0.58</v>
      </c>
      <c r="I278" s="43">
        <v>70</v>
      </c>
      <c r="J278" s="44"/>
      <c r="K278" s="45"/>
      <c r="L278" s="44"/>
      <c r="M278" s="46"/>
      <c r="N278" s="20"/>
      <c r="O278" s="48">
        <f t="shared" si="130"/>
        <v>70</v>
      </c>
      <c r="P278" s="54"/>
      <c r="Q278" s="54"/>
      <c r="R278" s="81">
        <f t="shared" si="127"/>
        <v>25.6326096033403</v>
      </c>
      <c r="S278" s="81"/>
      <c r="T278" s="82">
        <f t="shared" si="128"/>
        <v>0.0393528183716075</v>
      </c>
      <c r="U278" s="81"/>
      <c r="V278" s="81"/>
      <c r="W278" s="83">
        <f t="shared" si="125"/>
        <v>25.6719624217119</v>
      </c>
      <c r="X278" s="84">
        <f t="shared" si="129"/>
        <v>0.41887139874739</v>
      </c>
      <c r="Y278" s="84"/>
      <c r="Z278" s="84"/>
      <c r="AA278" s="84">
        <f t="shared" si="126"/>
        <v>0.41887139874739</v>
      </c>
      <c r="AB278" s="94">
        <v>7.17</v>
      </c>
      <c r="AC278" s="81">
        <f t="shared" si="121"/>
        <v>3.00330792901879</v>
      </c>
      <c r="AD278" s="81">
        <f t="shared" si="122"/>
        <v>28.6752703507307</v>
      </c>
      <c r="AE278" s="81">
        <f t="shared" si="123"/>
        <v>41.3247296492693</v>
      </c>
    </row>
    <row r="279" customFormat="1" spans="1:31">
      <c r="A279" s="19"/>
      <c r="B279" s="20"/>
      <c r="C279" s="21">
        <v>240103000023</v>
      </c>
      <c r="D279" s="22">
        <v>45303</v>
      </c>
      <c r="E279" s="22" t="s">
        <v>37</v>
      </c>
      <c r="F279" s="20" t="s">
        <v>38</v>
      </c>
      <c r="G279" s="20" t="s">
        <v>263</v>
      </c>
      <c r="H279" s="20">
        <v>0.88</v>
      </c>
      <c r="I279" s="43">
        <v>69.6</v>
      </c>
      <c r="J279" s="44"/>
      <c r="K279" s="45"/>
      <c r="L279" s="44"/>
      <c r="M279" s="46"/>
      <c r="N279" s="20"/>
      <c r="O279" s="48">
        <f t="shared" si="130"/>
        <v>69.6</v>
      </c>
      <c r="P279" s="54"/>
      <c r="Q279" s="54"/>
      <c r="R279" s="81">
        <f t="shared" si="127"/>
        <v>38.8908559498956</v>
      </c>
      <c r="S279" s="81"/>
      <c r="T279" s="82">
        <f t="shared" si="128"/>
        <v>0.0597077244258873</v>
      </c>
      <c r="U279" s="81"/>
      <c r="V279" s="81"/>
      <c r="W279" s="83">
        <f t="shared" si="125"/>
        <v>38.9505636743215</v>
      </c>
      <c r="X279" s="84">
        <f t="shared" si="129"/>
        <v>0.635529018789144</v>
      </c>
      <c r="Y279" s="84"/>
      <c r="Z279" s="84"/>
      <c r="AA279" s="84">
        <f t="shared" si="126"/>
        <v>0.635529018789144</v>
      </c>
      <c r="AB279" s="94">
        <v>7.17</v>
      </c>
      <c r="AC279" s="81">
        <f t="shared" si="121"/>
        <v>4.55674306471816</v>
      </c>
      <c r="AD279" s="81">
        <f t="shared" si="122"/>
        <v>43.5073067390397</v>
      </c>
      <c r="AE279" s="81">
        <f t="shared" si="123"/>
        <v>26.0926932609603</v>
      </c>
    </row>
    <row r="280" customFormat="1" spans="1:31">
      <c r="A280" s="19"/>
      <c r="B280" s="20"/>
      <c r="C280" s="21">
        <v>240103000036</v>
      </c>
      <c r="D280" s="22">
        <v>45303</v>
      </c>
      <c r="E280" s="25" t="s">
        <v>69</v>
      </c>
      <c r="F280" s="20" t="s">
        <v>69</v>
      </c>
      <c r="G280" s="20" t="s">
        <v>131</v>
      </c>
      <c r="H280" s="20">
        <v>17.5</v>
      </c>
      <c r="I280" s="43">
        <v>1099.2</v>
      </c>
      <c r="J280" s="44"/>
      <c r="K280" s="45"/>
      <c r="L280" s="44"/>
      <c r="M280" s="46"/>
      <c r="N280" s="20"/>
      <c r="O280" s="48">
        <f t="shared" si="130"/>
        <v>1099.2</v>
      </c>
      <c r="P280" s="54"/>
      <c r="Q280" s="54"/>
      <c r="R280" s="81">
        <f t="shared" si="127"/>
        <v>773.397703549061</v>
      </c>
      <c r="S280" s="81"/>
      <c r="T280" s="82">
        <f t="shared" si="128"/>
        <v>1.18736951983299</v>
      </c>
      <c r="U280" s="81"/>
      <c r="V280" s="81"/>
      <c r="W280" s="83">
        <f t="shared" si="125"/>
        <v>774.585073068894</v>
      </c>
      <c r="X280" s="84">
        <f t="shared" si="129"/>
        <v>12.6383611691023</v>
      </c>
      <c r="Y280" s="84"/>
      <c r="Z280" s="84"/>
      <c r="AA280" s="84">
        <f t="shared" si="126"/>
        <v>12.6383611691023</v>
      </c>
      <c r="AB280" s="94">
        <v>7.17</v>
      </c>
      <c r="AC280" s="81">
        <f t="shared" si="121"/>
        <v>90.6170495824635</v>
      </c>
      <c r="AD280" s="81">
        <f t="shared" si="122"/>
        <v>865.202122651357</v>
      </c>
      <c r="AE280" s="81">
        <f t="shared" si="123"/>
        <v>233.997877348643</v>
      </c>
    </row>
    <row r="281" customFormat="1" spans="1:31">
      <c r="A281" s="19"/>
      <c r="B281" s="20"/>
      <c r="C281" s="21">
        <v>240103000043</v>
      </c>
      <c r="D281" s="22">
        <v>45303</v>
      </c>
      <c r="E281" s="22" t="s">
        <v>44</v>
      </c>
      <c r="F281" s="20" t="s">
        <v>45</v>
      </c>
      <c r="G281" s="20" t="s">
        <v>85</v>
      </c>
      <c r="H281" s="20">
        <v>1.5</v>
      </c>
      <c r="I281" s="57">
        <v>139.5</v>
      </c>
      <c r="J281" s="55"/>
      <c r="K281" s="58"/>
      <c r="L281" s="55"/>
      <c r="M281" s="46"/>
      <c r="N281" s="20"/>
      <c r="O281" s="48">
        <f>SUBTOTAL(9,I281)</f>
        <v>139.5</v>
      </c>
      <c r="P281" s="54"/>
      <c r="Q281" s="54"/>
      <c r="R281" s="81">
        <f t="shared" si="127"/>
        <v>66.2912317327766</v>
      </c>
      <c r="S281" s="81"/>
      <c r="T281" s="82">
        <f t="shared" si="128"/>
        <v>0.101774530271399</v>
      </c>
      <c r="U281" s="81"/>
      <c r="V281" s="81"/>
      <c r="W281" s="83">
        <f t="shared" si="125"/>
        <v>66.393006263048</v>
      </c>
      <c r="X281" s="84">
        <f t="shared" si="129"/>
        <v>1.08328810020877</v>
      </c>
      <c r="Y281" s="84"/>
      <c r="Z281" s="84"/>
      <c r="AA281" s="84">
        <f t="shared" si="126"/>
        <v>1.08328810020877</v>
      </c>
      <c r="AB281" s="94">
        <v>7.17</v>
      </c>
      <c r="AC281" s="81">
        <f t="shared" si="121"/>
        <v>7.76717567849687</v>
      </c>
      <c r="AD281" s="81">
        <f t="shared" si="122"/>
        <v>74.1601819415449</v>
      </c>
      <c r="AE281" s="81">
        <f t="shared" si="123"/>
        <v>65.3398180584551</v>
      </c>
    </row>
    <row r="282" customFormat="1" spans="1:31">
      <c r="A282" s="19"/>
      <c r="B282" s="20"/>
      <c r="C282" s="21">
        <v>240103000051</v>
      </c>
      <c r="D282" s="22">
        <v>45303</v>
      </c>
      <c r="E282" s="22" t="s">
        <v>49</v>
      </c>
      <c r="F282" s="20" t="s">
        <v>50</v>
      </c>
      <c r="G282" s="20" t="s">
        <v>264</v>
      </c>
      <c r="H282" s="20">
        <v>13.5</v>
      </c>
      <c r="I282" s="50"/>
      <c r="J282" s="51">
        <v>164430</v>
      </c>
      <c r="K282" s="52"/>
      <c r="L282" s="51">
        <f>SUM(J282/M282)</f>
        <v>1505.76923076923</v>
      </c>
      <c r="M282" s="53">
        <v>109.2</v>
      </c>
      <c r="N282" s="20">
        <v>7.17</v>
      </c>
      <c r="O282" s="48">
        <f t="shared" ref="O282:O287" si="131">SUM(M282*N282)</f>
        <v>782.964</v>
      </c>
      <c r="P282" s="54"/>
      <c r="Q282" s="54"/>
      <c r="R282" s="81">
        <f t="shared" si="127"/>
        <v>596.62108559499</v>
      </c>
      <c r="S282" s="81"/>
      <c r="T282" s="82">
        <f t="shared" si="128"/>
        <v>0.915970772442589</v>
      </c>
      <c r="U282" s="81"/>
      <c r="V282" s="81"/>
      <c r="W282" s="83">
        <f t="shared" si="125"/>
        <v>597.537056367432</v>
      </c>
      <c r="X282" s="84">
        <f t="shared" si="129"/>
        <v>9.74959290187891</v>
      </c>
      <c r="Y282" s="84"/>
      <c r="Z282" s="84"/>
      <c r="AA282" s="84">
        <f t="shared" si="126"/>
        <v>9.74959290187891</v>
      </c>
      <c r="AB282" s="94">
        <v>7.17</v>
      </c>
      <c r="AC282" s="81">
        <f t="shared" si="121"/>
        <v>69.9045811064718</v>
      </c>
      <c r="AD282" s="81">
        <f t="shared" si="122"/>
        <v>667.441637473904</v>
      </c>
      <c r="AE282" s="81">
        <f t="shared" si="123"/>
        <v>115.522362526096</v>
      </c>
    </row>
    <row r="283" customFormat="1" spans="1:31">
      <c r="A283" s="19"/>
      <c r="B283" s="20"/>
      <c r="C283" s="21">
        <v>240104000002</v>
      </c>
      <c r="D283" s="22">
        <v>45303</v>
      </c>
      <c r="E283" s="22" t="s">
        <v>69</v>
      </c>
      <c r="F283" s="20" t="s">
        <v>192</v>
      </c>
      <c r="G283" s="20" t="s">
        <v>193</v>
      </c>
      <c r="H283" s="20">
        <v>0.48</v>
      </c>
      <c r="I283" s="43">
        <v>88.2</v>
      </c>
      <c r="J283" s="44"/>
      <c r="K283" s="45"/>
      <c r="L283" s="44"/>
      <c r="M283" s="46"/>
      <c r="N283" s="20"/>
      <c r="O283" s="48">
        <f t="shared" ref="O283:O292" si="132">SUM(I283)</f>
        <v>88.2</v>
      </c>
      <c r="P283" s="54"/>
      <c r="Q283" s="54"/>
      <c r="R283" s="81">
        <f t="shared" si="127"/>
        <v>21.2131941544885</v>
      </c>
      <c r="S283" s="81"/>
      <c r="T283" s="82">
        <f t="shared" si="128"/>
        <v>0.0325678496868476</v>
      </c>
      <c r="U283" s="81"/>
      <c r="V283" s="81"/>
      <c r="W283" s="83">
        <f t="shared" si="125"/>
        <v>21.2457620041754</v>
      </c>
      <c r="X283" s="84">
        <f t="shared" si="129"/>
        <v>0.346652192066806</v>
      </c>
      <c r="Y283" s="84"/>
      <c r="Z283" s="84"/>
      <c r="AA283" s="84">
        <f t="shared" si="126"/>
        <v>0.346652192066806</v>
      </c>
      <c r="AB283" s="94">
        <v>7.17</v>
      </c>
      <c r="AC283" s="81">
        <f t="shared" si="121"/>
        <v>2.485496217119</v>
      </c>
      <c r="AD283" s="81">
        <f t="shared" si="122"/>
        <v>23.7312582212944</v>
      </c>
      <c r="AE283" s="81">
        <f t="shared" si="123"/>
        <v>64.4687417787056</v>
      </c>
    </row>
    <row r="284" customFormat="1" spans="1:31">
      <c r="A284" s="19"/>
      <c r="B284" s="20"/>
      <c r="C284" s="21">
        <v>240104000013</v>
      </c>
      <c r="D284" s="22">
        <v>45303</v>
      </c>
      <c r="E284" s="22" t="s">
        <v>37</v>
      </c>
      <c r="F284" s="20" t="s">
        <v>38</v>
      </c>
      <c r="G284" s="20" t="s">
        <v>148</v>
      </c>
      <c r="H284" s="20">
        <v>0.2</v>
      </c>
      <c r="I284" s="43">
        <v>69.6</v>
      </c>
      <c r="J284" s="44"/>
      <c r="K284" s="45"/>
      <c r="L284" s="44"/>
      <c r="M284" s="46"/>
      <c r="N284" s="20"/>
      <c r="O284" s="48">
        <f t="shared" si="132"/>
        <v>69.6</v>
      </c>
      <c r="P284" s="54"/>
      <c r="Q284" s="54"/>
      <c r="R284" s="81">
        <f t="shared" si="127"/>
        <v>8.83883089770355</v>
      </c>
      <c r="S284" s="81"/>
      <c r="T284" s="82">
        <f t="shared" si="128"/>
        <v>0.0135699373695198</v>
      </c>
      <c r="U284" s="81"/>
      <c r="V284" s="81"/>
      <c r="W284" s="83">
        <f t="shared" si="125"/>
        <v>8.85240083507307</v>
      </c>
      <c r="X284" s="84">
        <f t="shared" si="129"/>
        <v>0.144438413361169</v>
      </c>
      <c r="Y284" s="84"/>
      <c r="Z284" s="84"/>
      <c r="AA284" s="84">
        <f t="shared" si="126"/>
        <v>0.144438413361169</v>
      </c>
      <c r="AB284" s="94">
        <v>7.17</v>
      </c>
      <c r="AC284" s="81">
        <f t="shared" si="121"/>
        <v>1.03562342379958</v>
      </c>
      <c r="AD284" s="81">
        <f t="shared" si="122"/>
        <v>9.88802425887265</v>
      </c>
      <c r="AE284" s="81">
        <f t="shared" si="123"/>
        <v>59.7119757411273</v>
      </c>
    </row>
    <row r="285" customFormat="1" spans="1:31">
      <c r="A285" s="19"/>
      <c r="B285" s="20"/>
      <c r="C285" s="21">
        <v>240104000021</v>
      </c>
      <c r="D285" s="22">
        <v>45303</v>
      </c>
      <c r="E285" s="22" t="s">
        <v>99</v>
      </c>
      <c r="F285" s="20" t="s">
        <v>265</v>
      </c>
      <c r="G285" s="20" t="s">
        <v>266</v>
      </c>
      <c r="H285" s="20">
        <v>0.36</v>
      </c>
      <c r="I285" s="48"/>
      <c r="J285" s="55">
        <v>13655</v>
      </c>
      <c r="K285" s="56"/>
      <c r="L285" s="51">
        <f>SUM(J285/M285)</f>
        <v>1404.8353909465</v>
      </c>
      <c r="M285" s="53">
        <v>9.72</v>
      </c>
      <c r="N285" s="20">
        <v>7.17</v>
      </c>
      <c r="O285" s="48">
        <f t="shared" si="131"/>
        <v>69.6924</v>
      </c>
      <c r="P285" s="54"/>
      <c r="Q285" s="54"/>
      <c r="R285" s="81">
        <f t="shared" si="127"/>
        <v>15.9098956158664</v>
      </c>
      <c r="S285" s="81"/>
      <c r="T285" s="82">
        <f t="shared" si="128"/>
        <v>0.0244258872651357</v>
      </c>
      <c r="U285" s="81"/>
      <c r="V285" s="81"/>
      <c r="W285" s="83">
        <f t="shared" si="125"/>
        <v>15.9343215031315</v>
      </c>
      <c r="X285" s="84">
        <f t="shared" si="129"/>
        <v>0.259989144050104</v>
      </c>
      <c r="Y285" s="84"/>
      <c r="Z285" s="84"/>
      <c r="AA285" s="84">
        <f t="shared" si="126"/>
        <v>0.259989144050104</v>
      </c>
      <c r="AB285" s="94">
        <v>7.17</v>
      </c>
      <c r="AC285" s="81">
        <f t="shared" si="121"/>
        <v>1.86412216283925</v>
      </c>
      <c r="AD285" s="81">
        <f t="shared" si="122"/>
        <v>17.7984436659708</v>
      </c>
      <c r="AE285" s="81">
        <f t="shared" si="123"/>
        <v>51.8939563340292</v>
      </c>
    </row>
    <row r="286" customFormat="1" spans="1:31">
      <c r="A286" s="19"/>
      <c r="B286" s="20"/>
      <c r="C286" s="21">
        <v>240105000002</v>
      </c>
      <c r="D286" s="22">
        <v>45303</v>
      </c>
      <c r="E286" s="22" t="s">
        <v>44</v>
      </c>
      <c r="F286" s="20" t="s">
        <v>45</v>
      </c>
      <c r="G286" s="20" t="s">
        <v>267</v>
      </c>
      <c r="H286" s="20">
        <v>2</v>
      </c>
      <c r="I286" s="48"/>
      <c r="J286" s="55">
        <v>29647</v>
      </c>
      <c r="K286" s="56"/>
      <c r="L286" s="51">
        <f>SUM(J286/M286)</f>
        <v>1436.3855893224</v>
      </c>
      <c r="M286" s="53">
        <v>20.640001</v>
      </c>
      <c r="N286" s="20">
        <v>7.17</v>
      </c>
      <c r="O286" s="48">
        <f t="shared" si="131"/>
        <v>147.98880717</v>
      </c>
      <c r="P286" s="54"/>
      <c r="Q286" s="54"/>
      <c r="R286" s="81">
        <f t="shared" si="127"/>
        <v>88.3883089770355</v>
      </c>
      <c r="S286" s="81"/>
      <c r="T286" s="82">
        <f t="shared" si="128"/>
        <v>0.135699373695198</v>
      </c>
      <c r="U286" s="81"/>
      <c r="V286" s="81"/>
      <c r="W286" s="83">
        <f t="shared" si="125"/>
        <v>88.5240083507307</v>
      </c>
      <c r="X286" s="84">
        <f t="shared" si="129"/>
        <v>1.44438413361169</v>
      </c>
      <c r="Y286" s="84"/>
      <c r="Z286" s="84"/>
      <c r="AA286" s="84">
        <f t="shared" si="126"/>
        <v>1.44438413361169</v>
      </c>
      <c r="AB286" s="94">
        <v>7.17</v>
      </c>
      <c r="AC286" s="81">
        <f t="shared" si="121"/>
        <v>10.3562342379958</v>
      </c>
      <c r="AD286" s="81">
        <f t="shared" si="122"/>
        <v>98.8802425887265</v>
      </c>
      <c r="AE286" s="81">
        <f t="shared" si="123"/>
        <v>49.1085645812735</v>
      </c>
    </row>
    <row r="287" customFormat="1" spans="1:31">
      <c r="A287" s="19"/>
      <c r="B287" s="20"/>
      <c r="C287" s="21">
        <v>240105000004</v>
      </c>
      <c r="D287" s="22">
        <v>45303</v>
      </c>
      <c r="E287" s="22" t="s">
        <v>44</v>
      </c>
      <c r="F287" s="20" t="s">
        <v>45</v>
      </c>
      <c r="G287" s="20" t="s">
        <v>268</v>
      </c>
      <c r="H287" s="20">
        <v>24.5</v>
      </c>
      <c r="I287" s="50"/>
      <c r="J287" s="51">
        <v>303585</v>
      </c>
      <c r="K287" s="52"/>
      <c r="L287" s="51">
        <f>SUM(J287/M287)</f>
        <v>1326.45169747018</v>
      </c>
      <c r="M287" s="53">
        <v>228.87</v>
      </c>
      <c r="N287" s="20">
        <v>7.17</v>
      </c>
      <c r="O287" s="48">
        <f t="shared" si="131"/>
        <v>1640.9979</v>
      </c>
      <c r="P287" s="54"/>
      <c r="Q287" s="54"/>
      <c r="R287" s="81">
        <f t="shared" si="127"/>
        <v>1082.75678496868</v>
      </c>
      <c r="S287" s="81"/>
      <c r="T287" s="82">
        <f t="shared" si="128"/>
        <v>1.66231732776618</v>
      </c>
      <c r="U287" s="81"/>
      <c r="V287" s="81"/>
      <c r="W287" s="83">
        <f t="shared" si="125"/>
        <v>1084.41910229645</v>
      </c>
      <c r="X287" s="84">
        <f t="shared" si="129"/>
        <v>17.6937056367432</v>
      </c>
      <c r="Y287" s="84"/>
      <c r="Z287" s="84"/>
      <c r="AA287" s="84">
        <f t="shared" si="126"/>
        <v>17.6937056367432</v>
      </c>
      <c r="AB287" s="94">
        <v>7.17</v>
      </c>
      <c r="AC287" s="81">
        <f t="shared" si="121"/>
        <v>126.863869415449</v>
      </c>
      <c r="AD287" s="81">
        <f t="shared" si="122"/>
        <v>1211.2829717119</v>
      </c>
      <c r="AE287" s="81">
        <f t="shared" si="123"/>
        <v>429.7149282881</v>
      </c>
    </row>
    <row r="288" customFormat="1" spans="1:31">
      <c r="A288" s="19"/>
      <c r="B288" s="20"/>
      <c r="C288" s="21">
        <v>240105000009</v>
      </c>
      <c r="D288" s="22">
        <v>45303</v>
      </c>
      <c r="E288" s="22" t="s">
        <v>49</v>
      </c>
      <c r="F288" s="20" t="s">
        <v>50</v>
      </c>
      <c r="G288" s="20" t="s">
        <v>189</v>
      </c>
      <c r="H288" s="20">
        <v>5</v>
      </c>
      <c r="I288" s="43">
        <v>329</v>
      </c>
      <c r="J288" s="44"/>
      <c r="K288" s="45"/>
      <c r="L288" s="44"/>
      <c r="M288" s="46"/>
      <c r="N288" s="20"/>
      <c r="O288" s="48">
        <f t="shared" si="132"/>
        <v>329</v>
      </c>
      <c r="P288" s="54"/>
      <c r="Q288" s="54"/>
      <c r="R288" s="81">
        <f t="shared" si="127"/>
        <v>220.970772442589</v>
      </c>
      <c r="S288" s="81"/>
      <c r="T288" s="82">
        <f t="shared" si="128"/>
        <v>0.339248434237996</v>
      </c>
      <c r="U288" s="81"/>
      <c r="V288" s="81"/>
      <c r="W288" s="83">
        <f t="shared" si="125"/>
        <v>221.310020876827</v>
      </c>
      <c r="X288" s="84">
        <f t="shared" si="129"/>
        <v>3.61096033402923</v>
      </c>
      <c r="Y288" s="84"/>
      <c r="Z288" s="84"/>
      <c r="AA288" s="84">
        <f t="shared" si="126"/>
        <v>3.61096033402923</v>
      </c>
      <c r="AB288" s="94">
        <v>7.17</v>
      </c>
      <c r="AC288" s="81">
        <f t="shared" si="121"/>
        <v>25.8905855949896</v>
      </c>
      <c r="AD288" s="81">
        <f t="shared" si="122"/>
        <v>247.200606471816</v>
      </c>
      <c r="AE288" s="81">
        <f t="shared" si="123"/>
        <v>81.799393528184</v>
      </c>
    </row>
    <row r="289" customFormat="1" spans="1:31">
      <c r="A289" s="19"/>
      <c r="B289" s="20"/>
      <c r="C289" s="21">
        <v>240105000013</v>
      </c>
      <c r="D289" s="22">
        <v>45303</v>
      </c>
      <c r="E289" s="22" t="s">
        <v>41</v>
      </c>
      <c r="F289" s="20" t="s">
        <v>42</v>
      </c>
      <c r="G289" s="20" t="s">
        <v>238</v>
      </c>
      <c r="H289" s="20">
        <v>17.5</v>
      </c>
      <c r="I289" s="43">
        <v>1282</v>
      </c>
      <c r="J289" s="44"/>
      <c r="K289" s="45"/>
      <c r="L289" s="44"/>
      <c r="M289" s="46"/>
      <c r="N289" s="20"/>
      <c r="O289" s="48">
        <f t="shared" si="132"/>
        <v>1282</v>
      </c>
      <c r="P289" s="54"/>
      <c r="Q289" s="54"/>
      <c r="R289" s="81">
        <f t="shared" si="127"/>
        <v>773.397703549061</v>
      </c>
      <c r="S289" s="81"/>
      <c r="T289" s="82">
        <f t="shared" si="128"/>
        <v>1.18736951983299</v>
      </c>
      <c r="U289" s="81"/>
      <c r="V289" s="81"/>
      <c r="W289" s="83">
        <f t="shared" si="125"/>
        <v>774.585073068894</v>
      </c>
      <c r="X289" s="84">
        <f t="shared" si="129"/>
        <v>12.6383611691023</v>
      </c>
      <c r="Y289" s="84"/>
      <c r="Z289" s="84"/>
      <c r="AA289" s="84">
        <f t="shared" si="126"/>
        <v>12.6383611691023</v>
      </c>
      <c r="AB289" s="94">
        <v>7.17</v>
      </c>
      <c r="AC289" s="81">
        <f t="shared" si="121"/>
        <v>90.6170495824635</v>
      </c>
      <c r="AD289" s="81">
        <f t="shared" si="122"/>
        <v>865.202122651357</v>
      </c>
      <c r="AE289" s="81">
        <f t="shared" si="123"/>
        <v>416.797877348643</v>
      </c>
    </row>
    <row r="290" customFormat="1" spans="1:31">
      <c r="A290" s="19"/>
      <c r="B290" s="20"/>
      <c r="C290" s="21">
        <v>240105000014</v>
      </c>
      <c r="D290" s="22">
        <v>45303</v>
      </c>
      <c r="E290" s="22" t="s">
        <v>41</v>
      </c>
      <c r="F290" s="20" t="s">
        <v>42</v>
      </c>
      <c r="G290" s="20" t="s">
        <v>238</v>
      </c>
      <c r="H290" s="20">
        <v>17</v>
      </c>
      <c r="I290" s="43">
        <v>1246</v>
      </c>
      <c r="J290" s="44"/>
      <c r="K290" s="45"/>
      <c r="L290" s="44"/>
      <c r="M290" s="46"/>
      <c r="N290" s="20"/>
      <c r="O290" s="48">
        <f t="shared" si="132"/>
        <v>1246</v>
      </c>
      <c r="P290" s="54"/>
      <c r="Q290" s="54"/>
      <c r="R290" s="81">
        <f t="shared" si="127"/>
        <v>751.300626304802</v>
      </c>
      <c r="S290" s="81"/>
      <c r="T290" s="82">
        <f t="shared" si="128"/>
        <v>1.15344467640919</v>
      </c>
      <c r="U290" s="81"/>
      <c r="V290" s="81"/>
      <c r="W290" s="83">
        <f t="shared" si="125"/>
        <v>752.454070981211</v>
      </c>
      <c r="X290" s="84">
        <f t="shared" si="129"/>
        <v>12.2772651356994</v>
      </c>
      <c r="Y290" s="84"/>
      <c r="Z290" s="84"/>
      <c r="AA290" s="84">
        <f t="shared" si="126"/>
        <v>12.2772651356994</v>
      </c>
      <c r="AB290" s="94">
        <v>7.17</v>
      </c>
      <c r="AC290" s="81">
        <f t="shared" si="121"/>
        <v>88.0279910229645</v>
      </c>
      <c r="AD290" s="81">
        <f t="shared" si="122"/>
        <v>840.482062004175</v>
      </c>
      <c r="AE290" s="81">
        <f t="shared" si="123"/>
        <v>405.517937995825</v>
      </c>
    </row>
    <row r="291" customFormat="1" spans="1:31">
      <c r="A291" s="19"/>
      <c r="B291" s="20"/>
      <c r="C291" s="23">
        <v>240105000016</v>
      </c>
      <c r="D291" s="24">
        <v>45303</v>
      </c>
      <c r="E291" s="22" t="s">
        <v>41</v>
      </c>
      <c r="F291" s="26" t="s">
        <v>42</v>
      </c>
      <c r="G291" s="26" t="s">
        <v>269</v>
      </c>
      <c r="H291" s="26">
        <v>3</v>
      </c>
      <c r="I291" s="43">
        <v>196</v>
      </c>
      <c r="J291" s="44"/>
      <c r="K291" s="45"/>
      <c r="L291" s="44"/>
      <c r="M291" s="46"/>
      <c r="N291" s="20"/>
      <c r="O291" s="48">
        <f t="shared" si="132"/>
        <v>196</v>
      </c>
      <c r="P291" s="54"/>
      <c r="Q291" s="54"/>
      <c r="R291" s="81">
        <f t="shared" si="127"/>
        <v>132.582463465553</v>
      </c>
      <c r="S291" s="81"/>
      <c r="T291" s="82">
        <f t="shared" si="128"/>
        <v>0.203549060542797</v>
      </c>
      <c r="U291" s="81"/>
      <c r="V291" s="81"/>
      <c r="W291" s="83">
        <f t="shared" si="125"/>
        <v>132.786012526096</v>
      </c>
      <c r="X291" s="84">
        <f t="shared" si="129"/>
        <v>2.16657620041754</v>
      </c>
      <c r="Y291" s="84"/>
      <c r="Z291" s="84"/>
      <c r="AA291" s="84">
        <f t="shared" si="126"/>
        <v>2.16657620041754</v>
      </c>
      <c r="AB291" s="94">
        <v>7.17</v>
      </c>
      <c r="AC291" s="81">
        <f t="shared" si="121"/>
        <v>15.5343513569937</v>
      </c>
      <c r="AD291" s="81">
        <f t="shared" si="122"/>
        <v>148.32036388309</v>
      </c>
      <c r="AE291" s="81">
        <f t="shared" si="123"/>
        <v>47.67963611691</v>
      </c>
    </row>
    <row r="292" customFormat="1" spans="1:31">
      <c r="A292" s="19"/>
      <c r="B292" s="20"/>
      <c r="C292" s="21">
        <v>240105000018</v>
      </c>
      <c r="D292" s="22">
        <v>45303</v>
      </c>
      <c r="E292" s="22" t="s">
        <v>41</v>
      </c>
      <c r="F292" s="20" t="s">
        <v>42</v>
      </c>
      <c r="G292" s="20" t="s">
        <v>270</v>
      </c>
      <c r="H292" s="20">
        <v>8.5</v>
      </c>
      <c r="I292" s="43">
        <v>537</v>
      </c>
      <c r="J292" s="44"/>
      <c r="K292" s="45"/>
      <c r="L292" s="44"/>
      <c r="M292" s="46"/>
      <c r="N292" s="20"/>
      <c r="O292" s="48">
        <f t="shared" si="132"/>
        <v>537</v>
      </c>
      <c r="P292" s="54"/>
      <c r="Q292" s="54"/>
      <c r="R292" s="81">
        <f t="shared" si="127"/>
        <v>375.650313152401</v>
      </c>
      <c r="S292" s="81"/>
      <c r="T292" s="82">
        <f t="shared" si="128"/>
        <v>0.576722338204593</v>
      </c>
      <c r="U292" s="81"/>
      <c r="V292" s="81"/>
      <c r="W292" s="83">
        <f t="shared" si="125"/>
        <v>376.227035490605</v>
      </c>
      <c r="X292" s="84">
        <f t="shared" si="129"/>
        <v>6.13863256784969</v>
      </c>
      <c r="Y292" s="84"/>
      <c r="Z292" s="84"/>
      <c r="AA292" s="84">
        <f t="shared" si="126"/>
        <v>6.13863256784969</v>
      </c>
      <c r="AB292" s="94">
        <v>7.17</v>
      </c>
      <c r="AC292" s="81">
        <f t="shared" si="121"/>
        <v>44.0139955114823</v>
      </c>
      <c r="AD292" s="81">
        <f t="shared" si="122"/>
        <v>420.241031002088</v>
      </c>
      <c r="AE292" s="81">
        <f t="shared" si="123"/>
        <v>116.758968997912</v>
      </c>
    </row>
    <row r="293" customFormat="1" spans="1:31">
      <c r="A293" s="19"/>
      <c r="B293" s="20"/>
      <c r="C293" s="21">
        <v>240105000021</v>
      </c>
      <c r="D293" s="22">
        <v>45303</v>
      </c>
      <c r="E293" s="22" t="s">
        <v>44</v>
      </c>
      <c r="F293" s="20" t="s">
        <v>45</v>
      </c>
      <c r="G293" s="20" t="s">
        <v>166</v>
      </c>
      <c r="H293" s="20">
        <v>4</v>
      </c>
      <c r="I293" s="48"/>
      <c r="J293" s="55">
        <v>69832</v>
      </c>
      <c r="K293" s="56"/>
      <c r="L293" s="51">
        <f>SUM(J293/M293)</f>
        <v>1454.83333333333</v>
      </c>
      <c r="M293" s="53">
        <v>48</v>
      </c>
      <c r="N293" s="20">
        <v>7.17</v>
      </c>
      <c r="O293" s="48">
        <f>SUM(M293*N293)</f>
        <v>344.16</v>
      </c>
      <c r="P293" s="54"/>
      <c r="Q293" s="54"/>
      <c r="R293" s="81">
        <f t="shared" si="127"/>
        <v>176.776617954071</v>
      </c>
      <c r="S293" s="81"/>
      <c r="T293" s="82">
        <f t="shared" si="128"/>
        <v>0.271398747390397</v>
      </c>
      <c r="U293" s="81"/>
      <c r="V293" s="81"/>
      <c r="W293" s="83">
        <f t="shared" si="125"/>
        <v>177.048016701461</v>
      </c>
      <c r="X293" s="84">
        <f t="shared" si="129"/>
        <v>2.88876826722338</v>
      </c>
      <c r="Y293" s="84"/>
      <c r="Z293" s="84"/>
      <c r="AA293" s="84">
        <f t="shared" si="126"/>
        <v>2.88876826722338</v>
      </c>
      <c r="AB293" s="94">
        <v>7.17</v>
      </c>
      <c r="AC293" s="81">
        <f t="shared" si="121"/>
        <v>20.7124684759917</v>
      </c>
      <c r="AD293" s="81">
        <f t="shared" si="122"/>
        <v>197.760485177453</v>
      </c>
      <c r="AE293" s="81">
        <f t="shared" si="123"/>
        <v>146.399514822547</v>
      </c>
    </row>
    <row r="294" customFormat="1" spans="1:31">
      <c r="A294" s="19"/>
      <c r="B294" s="20"/>
      <c r="C294" s="21">
        <v>240105000022</v>
      </c>
      <c r="D294" s="22">
        <v>45303</v>
      </c>
      <c r="E294" s="22" t="s">
        <v>49</v>
      </c>
      <c r="F294" s="20" t="s">
        <v>50</v>
      </c>
      <c r="G294" s="20" t="s">
        <v>271</v>
      </c>
      <c r="H294" s="20">
        <v>5</v>
      </c>
      <c r="I294" s="43">
        <v>308</v>
      </c>
      <c r="J294" s="44"/>
      <c r="K294" s="45"/>
      <c r="L294" s="44"/>
      <c r="M294" s="46"/>
      <c r="N294" s="20"/>
      <c r="O294" s="48">
        <f t="shared" ref="O294:O301" si="133">SUM(I294)</f>
        <v>308</v>
      </c>
      <c r="P294" s="54"/>
      <c r="Q294" s="54"/>
      <c r="R294" s="81">
        <f t="shared" si="127"/>
        <v>220.970772442589</v>
      </c>
      <c r="S294" s="81"/>
      <c r="T294" s="82">
        <f t="shared" si="128"/>
        <v>0.339248434237996</v>
      </c>
      <c r="U294" s="81"/>
      <c r="V294" s="81"/>
      <c r="W294" s="83">
        <f t="shared" si="125"/>
        <v>221.310020876827</v>
      </c>
      <c r="X294" s="84">
        <f t="shared" si="129"/>
        <v>3.61096033402923</v>
      </c>
      <c r="Y294" s="84">
        <v>4.2</v>
      </c>
      <c r="Z294" s="84"/>
      <c r="AA294" s="84">
        <f t="shared" si="126"/>
        <v>7.81096033402923</v>
      </c>
      <c r="AB294" s="94">
        <v>7.17</v>
      </c>
      <c r="AC294" s="81">
        <f t="shared" si="121"/>
        <v>56.0045855949896</v>
      </c>
      <c r="AD294" s="81">
        <f t="shared" si="122"/>
        <v>277.314606471816</v>
      </c>
      <c r="AE294" s="81">
        <f t="shared" si="123"/>
        <v>30.685393528184</v>
      </c>
    </row>
    <row r="295" customFormat="1" spans="1:31">
      <c r="A295" s="19"/>
      <c r="B295" s="20"/>
      <c r="C295" s="21">
        <v>240105000025</v>
      </c>
      <c r="D295" s="22">
        <v>45303</v>
      </c>
      <c r="E295" s="25" t="s">
        <v>69</v>
      </c>
      <c r="F295" s="20" t="s">
        <v>69</v>
      </c>
      <c r="G295" s="20" t="s">
        <v>130</v>
      </c>
      <c r="H295" s="20">
        <v>312</v>
      </c>
      <c r="I295" s="43">
        <v>17785.5</v>
      </c>
      <c r="J295" s="44"/>
      <c r="K295" s="45"/>
      <c r="L295" s="44"/>
      <c r="M295" s="46"/>
      <c r="N295" s="20"/>
      <c r="O295" s="48">
        <f t="shared" si="133"/>
        <v>17785.5</v>
      </c>
      <c r="P295" s="54"/>
      <c r="Q295" s="54"/>
      <c r="R295" s="81">
        <f t="shared" si="127"/>
        <v>13788.5762004175</v>
      </c>
      <c r="S295" s="81"/>
      <c r="T295" s="82">
        <f t="shared" si="128"/>
        <v>21.1691022964509</v>
      </c>
      <c r="U295" s="81"/>
      <c r="V295" s="81"/>
      <c r="W295" s="83">
        <f t="shared" si="125"/>
        <v>13809.745302714</v>
      </c>
      <c r="X295" s="84">
        <f t="shared" si="129"/>
        <v>225.323924843424</v>
      </c>
      <c r="Y295" s="84"/>
      <c r="Z295" s="84"/>
      <c r="AA295" s="84">
        <f t="shared" si="126"/>
        <v>225.323924843424</v>
      </c>
      <c r="AB295" s="94">
        <v>7.17</v>
      </c>
      <c r="AC295" s="81">
        <f t="shared" si="121"/>
        <v>1615.57254112735</v>
      </c>
      <c r="AD295" s="81">
        <f t="shared" si="122"/>
        <v>15425.3178438413</v>
      </c>
      <c r="AE295" s="81">
        <f t="shared" si="123"/>
        <v>2360.1821561587</v>
      </c>
    </row>
    <row r="296" customFormat="1" spans="1:31">
      <c r="A296" s="19"/>
      <c r="B296" s="20"/>
      <c r="C296" s="21">
        <v>240105000032</v>
      </c>
      <c r="D296" s="22">
        <v>45303</v>
      </c>
      <c r="E296" s="25" t="s">
        <v>69</v>
      </c>
      <c r="F296" s="20" t="s">
        <v>69</v>
      </c>
      <c r="G296" s="20" t="s">
        <v>92</v>
      </c>
      <c r="H296" s="20">
        <v>10</v>
      </c>
      <c r="I296" s="50"/>
      <c r="J296" s="51">
        <v>104160</v>
      </c>
      <c r="K296" s="52"/>
      <c r="L296" s="51">
        <f>SUM(J296/M296)</f>
        <v>1333.6747759283</v>
      </c>
      <c r="M296" s="53">
        <v>78.1</v>
      </c>
      <c r="N296" s="20">
        <v>7.17</v>
      </c>
      <c r="O296" s="48">
        <f>SUM(M296*N296)</f>
        <v>559.977</v>
      </c>
      <c r="P296" s="54"/>
      <c r="Q296" s="54"/>
      <c r="R296" s="81">
        <f t="shared" si="127"/>
        <v>441.941544885177</v>
      </c>
      <c r="S296" s="81"/>
      <c r="T296" s="82">
        <f t="shared" si="128"/>
        <v>0.678496868475992</v>
      </c>
      <c r="U296" s="81"/>
      <c r="V296" s="81"/>
      <c r="W296" s="83">
        <f t="shared" si="125"/>
        <v>442.620041753653</v>
      </c>
      <c r="X296" s="84">
        <f t="shared" si="129"/>
        <v>7.22192066805846</v>
      </c>
      <c r="Y296" s="84"/>
      <c r="Z296" s="84"/>
      <c r="AA296" s="84">
        <f t="shared" si="126"/>
        <v>7.22192066805846</v>
      </c>
      <c r="AB296" s="94">
        <v>7.17</v>
      </c>
      <c r="AC296" s="81">
        <f t="shared" si="121"/>
        <v>51.7811711899791</v>
      </c>
      <c r="AD296" s="81">
        <f t="shared" si="122"/>
        <v>494.401212943633</v>
      </c>
      <c r="AE296" s="81">
        <f t="shared" si="123"/>
        <v>65.5757870563669</v>
      </c>
    </row>
    <row r="297" customFormat="1" spans="1:31">
      <c r="A297" s="19"/>
      <c r="B297" s="20"/>
      <c r="C297" s="21">
        <v>240106000002</v>
      </c>
      <c r="D297" s="22">
        <v>45303</v>
      </c>
      <c r="E297" s="22" t="s">
        <v>37</v>
      </c>
      <c r="F297" s="20" t="s">
        <v>38</v>
      </c>
      <c r="G297" s="20" t="s">
        <v>272</v>
      </c>
      <c r="H297" s="20">
        <v>4</v>
      </c>
      <c r="I297" s="43">
        <v>416.8</v>
      </c>
      <c r="J297" s="44"/>
      <c r="K297" s="45"/>
      <c r="L297" s="44"/>
      <c r="M297" s="46"/>
      <c r="N297" s="20"/>
      <c r="O297" s="48">
        <f t="shared" si="133"/>
        <v>416.8</v>
      </c>
      <c r="P297" s="54"/>
      <c r="Q297" s="54"/>
      <c r="R297" s="81">
        <f t="shared" si="127"/>
        <v>176.776617954071</v>
      </c>
      <c r="S297" s="81"/>
      <c r="T297" s="82">
        <f t="shared" si="128"/>
        <v>0.271398747390397</v>
      </c>
      <c r="U297" s="81"/>
      <c r="V297" s="81"/>
      <c r="W297" s="83">
        <f t="shared" si="125"/>
        <v>177.048016701461</v>
      </c>
      <c r="X297" s="84">
        <f t="shared" si="129"/>
        <v>2.88876826722338</v>
      </c>
      <c r="Y297" s="84">
        <v>8.4</v>
      </c>
      <c r="Z297" s="84"/>
      <c r="AA297" s="84">
        <f t="shared" si="126"/>
        <v>11.2887682672234</v>
      </c>
      <c r="AB297" s="94">
        <v>7.17</v>
      </c>
      <c r="AC297" s="81">
        <f t="shared" si="121"/>
        <v>80.9404684759917</v>
      </c>
      <c r="AD297" s="81">
        <f t="shared" si="122"/>
        <v>257.988485177453</v>
      </c>
      <c r="AE297" s="81">
        <f t="shared" si="123"/>
        <v>158.811514822547</v>
      </c>
    </row>
    <row r="298" customFormat="1" spans="1:31">
      <c r="A298" s="19"/>
      <c r="B298" s="20"/>
      <c r="C298" s="21">
        <v>240106000010</v>
      </c>
      <c r="D298" s="22">
        <v>45303</v>
      </c>
      <c r="E298" s="22" t="s">
        <v>37</v>
      </c>
      <c r="F298" s="20" t="s">
        <v>38</v>
      </c>
      <c r="G298" s="20" t="s">
        <v>93</v>
      </c>
      <c r="H298" s="20">
        <v>40.5</v>
      </c>
      <c r="I298" s="43">
        <v>2268.5</v>
      </c>
      <c r="J298" s="44"/>
      <c r="K298" s="45"/>
      <c r="L298" s="44"/>
      <c r="M298" s="46"/>
      <c r="N298" s="20"/>
      <c r="O298" s="48">
        <f t="shared" si="133"/>
        <v>2268.5</v>
      </c>
      <c r="P298" s="54"/>
      <c r="Q298" s="54"/>
      <c r="R298" s="81">
        <f t="shared" si="127"/>
        <v>1789.86325678497</v>
      </c>
      <c r="S298" s="81"/>
      <c r="T298" s="82">
        <f t="shared" si="128"/>
        <v>2.74791231732777</v>
      </c>
      <c r="U298" s="81"/>
      <c r="V298" s="81"/>
      <c r="W298" s="83">
        <f t="shared" si="125"/>
        <v>1792.6111691023</v>
      </c>
      <c r="X298" s="84">
        <f t="shared" si="129"/>
        <v>29.2487787056367</v>
      </c>
      <c r="Y298" s="84"/>
      <c r="Z298" s="84"/>
      <c r="AA298" s="84">
        <f t="shared" si="126"/>
        <v>29.2487787056367</v>
      </c>
      <c r="AB298" s="94">
        <v>7.17</v>
      </c>
      <c r="AC298" s="81">
        <f t="shared" ref="AC298:AC329" si="134">SUM(AA298*AB298)</f>
        <v>209.713743319415</v>
      </c>
      <c r="AD298" s="81">
        <f t="shared" ref="AD298:AD329" si="135">SUM(W298+AC298)</f>
        <v>2002.32491242171</v>
      </c>
      <c r="AE298" s="81">
        <f t="shared" ref="AE298:AE329" si="136">SUM(O298-AD298)</f>
        <v>266.17508757829</v>
      </c>
    </row>
    <row r="299" customFormat="1" spans="1:31">
      <c r="A299" s="19"/>
      <c r="B299" s="20"/>
      <c r="C299" s="21">
        <v>240106000012</v>
      </c>
      <c r="D299" s="22">
        <v>45303</v>
      </c>
      <c r="E299" s="22" t="s">
        <v>37</v>
      </c>
      <c r="F299" s="20" t="s">
        <v>38</v>
      </c>
      <c r="G299" s="20" t="s">
        <v>273</v>
      </c>
      <c r="H299" s="20">
        <v>7.5</v>
      </c>
      <c r="I299" s="43">
        <v>528</v>
      </c>
      <c r="J299" s="44"/>
      <c r="K299" s="45"/>
      <c r="L299" s="44"/>
      <c r="M299" s="46"/>
      <c r="N299" s="20"/>
      <c r="O299" s="48">
        <f t="shared" si="133"/>
        <v>528</v>
      </c>
      <c r="P299" s="54"/>
      <c r="Q299" s="54"/>
      <c r="R299" s="81">
        <f t="shared" si="127"/>
        <v>331.456158663883</v>
      </c>
      <c r="S299" s="81"/>
      <c r="T299" s="82">
        <f t="shared" si="128"/>
        <v>0.508872651356994</v>
      </c>
      <c r="U299" s="81"/>
      <c r="V299" s="81"/>
      <c r="W299" s="83">
        <f t="shared" si="125"/>
        <v>331.96503131524</v>
      </c>
      <c r="X299" s="84">
        <f t="shared" si="129"/>
        <v>5.41644050104384</v>
      </c>
      <c r="Y299" s="84"/>
      <c r="Z299" s="84"/>
      <c r="AA299" s="84">
        <f t="shared" si="126"/>
        <v>5.41644050104384</v>
      </c>
      <c r="AB299" s="94">
        <v>7.17</v>
      </c>
      <c r="AC299" s="81">
        <f t="shared" si="134"/>
        <v>38.8358783924843</v>
      </c>
      <c r="AD299" s="81">
        <f t="shared" si="135"/>
        <v>370.800909707724</v>
      </c>
      <c r="AE299" s="81">
        <f t="shared" si="136"/>
        <v>157.199090292276</v>
      </c>
    </row>
    <row r="300" customFormat="1" spans="1:31">
      <c r="A300" s="19"/>
      <c r="B300" s="20"/>
      <c r="C300" s="21">
        <v>240106000019</v>
      </c>
      <c r="D300" s="22">
        <v>45303</v>
      </c>
      <c r="E300" s="25" t="s">
        <v>69</v>
      </c>
      <c r="F300" s="20" t="s">
        <v>69</v>
      </c>
      <c r="G300" s="20" t="s">
        <v>274</v>
      </c>
      <c r="H300" s="20">
        <v>0.5</v>
      </c>
      <c r="I300" s="43">
        <v>69.6</v>
      </c>
      <c r="J300" s="44"/>
      <c r="K300" s="45"/>
      <c r="L300" s="44"/>
      <c r="M300" s="46"/>
      <c r="N300" s="20"/>
      <c r="O300" s="48">
        <f t="shared" si="133"/>
        <v>69.6</v>
      </c>
      <c r="P300" s="54"/>
      <c r="Q300" s="54"/>
      <c r="R300" s="81">
        <f t="shared" si="127"/>
        <v>22.0970772442589</v>
      </c>
      <c r="S300" s="81"/>
      <c r="T300" s="82">
        <f t="shared" si="128"/>
        <v>0.0339248434237996</v>
      </c>
      <c r="U300" s="81"/>
      <c r="V300" s="81"/>
      <c r="W300" s="83">
        <f t="shared" si="125"/>
        <v>22.1310020876827</v>
      </c>
      <c r="X300" s="84">
        <f t="shared" si="129"/>
        <v>0.361096033402923</v>
      </c>
      <c r="Y300" s="84"/>
      <c r="Z300" s="84"/>
      <c r="AA300" s="84">
        <f t="shared" si="126"/>
        <v>0.361096033402923</v>
      </c>
      <c r="AB300" s="94">
        <v>7.17</v>
      </c>
      <c r="AC300" s="81">
        <f t="shared" si="134"/>
        <v>2.58905855949896</v>
      </c>
      <c r="AD300" s="81">
        <f t="shared" si="135"/>
        <v>24.7200606471816</v>
      </c>
      <c r="AE300" s="81">
        <f t="shared" si="136"/>
        <v>44.8799393528184</v>
      </c>
    </row>
    <row r="301" customFormat="1" spans="1:31">
      <c r="A301" s="19"/>
      <c r="B301" s="20"/>
      <c r="C301" s="21">
        <v>240106000020</v>
      </c>
      <c r="D301" s="22">
        <v>45303</v>
      </c>
      <c r="E301" s="25" t="s">
        <v>69</v>
      </c>
      <c r="F301" s="20" t="s">
        <v>69</v>
      </c>
      <c r="G301" s="20" t="s">
        <v>175</v>
      </c>
      <c r="H301" s="20">
        <v>263.5</v>
      </c>
      <c r="I301" s="43">
        <v>13965.5</v>
      </c>
      <c r="J301" s="44"/>
      <c r="K301" s="45"/>
      <c r="L301" s="44"/>
      <c r="M301" s="46"/>
      <c r="N301" s="20"/>
      <c r="O301" s="48">
        <f t="shared" si="133"/>
        <v>13965.5</v>
      </c>
      <c r="P301" s="54"/>
      <c r="Q301" s="54"/>
      <c r="R301" s="81">
        <f t="shared" si="127"/>
        <v>11645.1597077244</v>
      </c>
      <c r="S301" s="81"/>
      <c r="T301" s="82">
        <f t="shared" si="128"/>
        <v>17.8783924843424</v>
      </c>
      <c r="U301" s="81"/>
      <c r="V301" s="81"/>
      <c r="W301" s="83">
        <f t="shared" ref="W301:W329" si="137">SUM(R301:V301)</f>
        <v>11663.0381002088</v>
      </c>
      <c r="X301" s="84">
        <f t="shared" si="129"/>
        <v>190.29760960334</v>
      </c>
      <c r="Y301" s="84"/>
      <c r="Z301" s="84"/>
      <c r="AA301" s="84">
        <f t="shared" ref="AA301:AA329" si="138">SUM(X301:Z301)</f>
        <v>190.29760960334</v>
      </c>
      <c r="AB301" s="94">
        <v>7.17</v>
      </c>
      <c r="AC301" s="81">
        <f t="shared" si="134"/>
        <v>1364.43386085595</v>
      </c>
      <c r="AD301" s="81">
        <f t="shared" si="135"/>
        <v>13027.4719610647</v>
      </c>
      <c r="AE301" s="81">
        <f t="shared" si="136"/>
        <v>938.028038935299</v>
      </c>
    </row>
    <row r="302" customFormat="1" spans="1:31">
      <c r="A302" s="19"/>
      <c r="B302" s="20"/>
      <c r="C302" s="21">
        <v>240107000001</v>
      </c>
      <c r="D302" s="22">
        <v>45303</v>
      </c>
      <c r="E302" s="22" t="s">
        <v>99</v>
      </c>
      <c r="F302" s="20" t="s">
        <v>275</v>
      </c>
      <c r="G302" s="20" t="s">
        <v>276</v>
      </c>
      <c r="H302" s="20">
        <v>40.5</v>
      </c>
      <c r="I302" s="48"/>
      <c r="J302" s="55">
        <v>393317.2</v>
      </c>
      <c r="K302" s="56"/>
      <c r="L302" s="51">
        <f>SUM(J302/M302)</f>
        <v>1382</v>
      </c>
      <c r="M302" s="53">
        <v>284.6</v>
      </c>
      <c r="N302" s="20">
        <v>7.17</v>
      </c>
      <c r="O302" s="48">
        <f>SUM(M302*N302)</f>
        <v>2040.582</v>
      </c>
      <c r="P302" s="54"/>
      <c r="Q302" s="54"/>
      <c r="R302" s="81">
        <f t="shared" si="127"/>
        <v>1789.86325678497</v>
      </c>
      <c r="S302" s="81"/>
      <c r="T302" s="82">
        <f t="shared" si="128"/>
        <v>2.74791231732777</v>
      </c>
      <c r="U302" s="81"/>
      <c r="V302" s="81"/>
      <c r="W302" s="83">
        <f t="shared" si="137"/>
        <v>1792.6111691023</v>
      </c>
      <c r="X302" s="84">
        <f t="shared" si="129"/>
        <v>29.2487787056367</v>
      </c>
      <c r="Y302" s="84"/>
      <c r="Z302" s="84"/>
      <c r="AA302" s="84">
        <f t="shared" si="138"/>
        <v>29.2487787056367</v>
      </c>
      <c r="AB302" s="94">
        <v>7.17</v>
      </c>
      <c r="AC302" s="81">
        <f t="shared" si="134"/>
        <v>209.713743319415</v>
      </c>
      <c r="AD302" s="81">
        <f t="shared" si="135"/>
        <v>2002.32491242171</v>
      </c>
      <c r="AE302" s="81">
        <f t="shared" si="136"/>
        <v>38.2570875782901</v>
      </c>
    </row>
    <row r="303" customFormat="1" spans="1:31">
      <c r="A303" s="19"/>
      <c r="B303" s="20"/>
      <c r="C303" s="21">
        <v>240107000003</v>
      </c>
      <c r="D303" s="22">
        <v>45303</v>
      </c>
      <c r="E303" s="22" t="s">
        <v>58</v>
      </c>
      <c r="F303" s="20" t="s">
        <v>277</v>
      </c>
      <c r="G303" s="20" t="s">
        <v>278</v>
      </c>
      <c r="H303" s="20">
        <v>6</v>
      </c>
      <c r="I303" s="43">
        <v>445.2</v>
      </c>
      <c r="J303" s="44"/>
      <c r="K303" s="45"/>
      <c r="L303" s="44"/>
      <c r="M303" s="46"/>
      <c r="N303" s="20"/>
      <c r="O303" s="48">
        <f t="shared" ref="O303:O308" si="139">SUM(I303)</f>
        <v>445.2</v>
      </c>
      <c r="P303" s="54"/>
      <c r="Q303" s="54"/>
      <c r="R303" s="81">
        <f t="shared" ref="R303:R329" si="140">SUM(84676/1916)*H303</f>
        <v>265.164926931106</v>
      </c>
      <c r="S303" s="81"/>
      <c r="T303" s="82">
        <f t="shared" ref="T303:T329" si="141">SUM(130/1916)*H303</f>
        <v>0.407098121085595</v>
      </c>
      <c r="U303" s="81"/>
      <c r="V303" s="81"/>
      <c r="W303" s="83">
        <f t="shared" si="137"/>
        <v>265.572025052192</v>
      </c>
      <c r="X303" s="84">
        <f t="shared" ref="X303:X329" si="142">SUM(1383.72/1916)*H303</f>
        <v>4.33315240083507</v>
      </c>
      <c r="Y303" s="84"/>
      <c r="Z303" s="84"/>
      <c r="AA303" s="84">
        <f t="shared" si="138"/>
        <v>4.33315240083507</v>
      </c>
      <c r="AB303" s="94">
        <v>7.17</v>
      </c>
      <c r="AC303" s="81">
        <f t="shared" si="134"/>
        <v>31.0687027139875</v>
      </c>
      <c r="AD303" s="81">
        <f t="shared" si="135"/>
        <v>296.64072776618</v>
      </c>
      <c r="AE303" s="81">
        <f t="shared" si="136"/>
        <v>148.55927223382</v>
      </c>
    </row>
    <row r="304" customFormat="1" spans="1:31">
      <c r="A304" s="19"/>
      <c r="B304" s="20"/>
      <c r="C304" s="21">
        <v>240108000001</v>
      </c>
      <c r="D304" s="22">
        <v>45303</v>
      </c>
      <c r="E304" s="22" t="s">
        <v>49</v>
      </c>
      <c r="F304" s="20" t="s">
        <v>50</v>
      </c>
      <c r="G304" s="20" t="s">
        <v>242</v>
      </c>
      <c r="H304" s="20">
        <v>11</v>
      </c>
      <c r="I304" s="43">
        <v>660</v>
      </c>
      <c r="J304" s="44"/>
      <c r="K304" s="45"/>
      <c r="L304" s="44"/>
      <c r="M304" s="46"/>
      <c r="N304" s="20"/>
      <c r="O304" s="48">
        <f t="shared" si="139"/>
        <v>660</v>
      </c>
      <c r="P304" s="54"/>
      <c r="Q304" s="54"/>
      <c r="R304" s="81">
        <f t="shared" si="140"/>
        <v>486.135699373695</v>
      </c>
      <c r="S304" s="81"/>
      <c r="T304" s="82">
        <f t="shared" si="141"/>
        <v>0.746346555323591</v>
      </c>
      <c r="U304" s="81"/>
      <c r="V304" s="81"/>
      <c r="W304" s="83">
        <f t="shared" si="137"/>
        <v>486.882045929019</v>
      </c>
      <c r="X304" s="84">
        <f t="shared" si="142"/>
        <v>7.9441127348643</v>
      </c>
      <c r="Y304" s="84"/>
      <c r="Z304" s="84"/>
      <c r="AA304" s="84">
        <f t="shared" si="138"/>
        <v>7.9441127348643</v>
      </c>
      <c r="AB304" s="94">
        <v>7.17</v>
      </c>
      <c r="AC304" s="81">
        <f t="shared" si="134"/>
        <v>56.959288308977</v>
      </c>
      <c r="AD304" s="81">
        <f t="shared" si="135"/>
        <v>543.841334237996</v>
      </c>
      <c r="AE304" s="81">
        <f t="shared" si="136"/>
        <v>116.158665762004</v>
      </c>
    </row>
    <row r="305" customFormat="1" spans="1:31">
      <c r="A305" s="19"/>
      <c r="B305" s="20"/>
      <c r="C305" s="21">
        <v>240108000006</v>
      </c>
      <c r="D305" s="22">
        <v>45303</v>
      </c>
      <c r="E305" s="22" t="s">
        <v>58</v>
      </c>
      <c r="F305" s="20" t="s">
        <v>59</v>
      </c>
      <c r="G305" s="20" t="s">
        <v>279</v>
      </c>
      <c r="H305" s="20">
        <v>1.5</v>
      </c>
      <c r="I305" s="43">
        <v>169.8</v>
      </c>
      <c r="J305" s="44"/>
      <c r="K305" s="45"/>
      <c r="L305" s="44"/>
      <c r="M305" s="46"/>
      <c r="N305" s="20"/>
      <c r="O305" s="48">
        <f t="shared" si="139"/>
        <v>169.8</v>
      </c>
      <c r="P305" s="54"/>
      <c r="Q305" s="54"/>
      <c r="R305" s="81">
        <f t="shared" si="140"/>
        <v>66.2912317327766</v>
      </c>
      <c r="S305" s="81"/>
      <c r="T305" s="82">
        <f t="shared" si="141"/>
        <v>0.101774530271399</v>
      </c>
      <c r="U305" s="81"/>
      <c r="V305" s="81"/>
      <c r="W305" s="83">
        <f t="shared" si="137"/>
        <v>66.393006263048</v>
      </c>
      <c r="X305" s="84">
        <f t="shared" si="142"/>
        <v>1.08328810020877</v>
      </c>
      <c r="Y305" s="84"/>
      <c r="Z305" s="84"/>
      <c r="AA305" s="84">
        <f t="shared" si="138"/>
        <v>1.08328810020877</v>
      </c>
      <c r="AB305" s="94">
        <v>7.17</v>
      </c>
      <c r="AC305" s="81">
        <f t="shared" si="134"/>
        <v>7.76717567849687</v>
      </c>
      <c r="AD305" s="81">
        <f t="shared" si="135"/>
        <v>74.1601819415449</v>
      </c>
      <c r="AE305" s="81">
        <f t="shared" si="136"/>
        <v>95.6398180584551</v>
      </c>
    </row>
    <row r="306" customFormat="1" spans="1:31">
      <c r="A306" s="19"/>
      <c r="B306" s="20"/>
      <c r="C306" s="21">
        <v>240108000021</v>
      </c>
      <c r="D306" s="22">
        <v>45303</v>
      </c>
      <c r="E306" s="22" t="s">
        <v>37</v>
      </c>
      <c r="F306" s="20" t="s">
        <v>38</v>
      </c>
      <c r="G306" s="20" t="s">
        <v>62</v>
      </c>
      <c r="H306" s="20">
        <v>3</v>
      </c>
      <c r="I306" s="43">
        <v>201.6</v>
      </c>
      <c r="J306" s="44"/>
      <c r="K306" s="45"/>
      <c r="L306" s="44"/>
      <c r="M306" s="46"/>
      <c r="N306" s="20"/>
      <c r="O306" s="48">
        <f t="shared" si="139"/>
        <v>201.6</v>
      </c>
      <c r="P306" s="54"/>
      <c r="Q306" s="54"/>
      <c r="R306" s="81">
        <f t="shared" si="140"/>
        <v>132.582463465553</v>
      </c>
      <c r="S306" s="81"/>
      <c r="T306" s="82">
        <f t="shared" si="141"/>
        <v>0.203549060542797</v>
      </c>
      <c r="U306" s="81"/>
      <c r="V306" s="81"/>
      <c r="W306" s="83">
        <f t="shared" si="137"/>
        <v>132.786012526096</v>
      </c>
      <c r="X306" s="84">
        <f t="shared" si="142"/>
        <v>2.16657620041754</v>
      </c>
      <c r="Y306" s="84"/>
      <c r="Z306" s="84"/>
      <c r="AA306" s="84">
        <f t="shared" si="138"/>
        <v>2.16657620041754</v>
      </c>
      <c r="AB306" s="94">
        <v>7.17</v>
      </c>
      <c r="AC306" s="81">
        <f t="shared" si="134"/>
        <v>15.5343513569937</v>
      </c>
      <c r="AD306" s="81">
        <f t="shared" si="135"/>
        <v>148.32036388309</v>
      </c>
      <c r="AE306" s="81">
        <f t="shared" si="136"/>
        <v>53.27963611691</v>
      </c>
    </row>
    <row r="307" customFormat="1" spans="1:31">
      <c r="A307" s="19"/>
      <c r="B307" s="20"/>
      <c r="C307" s="21">
        <v>240108000028</v>
      </c>
      <c r="D307" s="22">
        <v>45303</v>
      </c>
      <c r="E307" s="22" t="s">
        <v>44</v>
      </c>
      <c r="F307" s="20" t="s">
        <v>45</v>
      </c>
      <c r="G307" s="20" t="s">
        <v>280</v>
      </c>
      <c r="H307" s="20">
        <v>1.5</v>
      </c>
      <c r="I307" s="43">
        <v>120</v>
      </c>
      <c r="J307" s="44"/>
      <c r="K307" s="45"/>
      <c r="L307" s="44"/>
      <c r="M307" s="46"/>
      <c r="N307" s="20"/>
      <c r="O307" s="48">
        <f t="shared" si="139"/>
        <v>120</v>
      </c>
      <c r="P307" s="54"/>
      <c r="Q307" s="54"/>
      <c r="R307" s="81">
        <f t="shared" si="140"/>
        <v>66.2912317327766</v>
      </c>
      <c r="S307" s="81"/>
      <c r="T307" s="82">
        <f t="shared" si="141"/>
        <v>0.101774530271399</v>
      </c>
      <c r="U307" s="81"/>
      <c r="V307" s="81"/>
      <c r="W307" s="83">
        <f t="shared" si="137"/>
        <v>66.393006263048</v>
      </c>
      <c r="X307" s="84">
        <f t="shared" si="142"/>
        <v>1.08328810020877</v>
      </c>
      <c r="Y307" s="84"/>
      <c r="Z307" s="84"/>
      <c r="AA307" s="84">
        <f t="shared" si="138"/>
        <v>1.08328810020877</v>
      </c>
      <c r="AB307" s="94">
        <v>7.17</v>
      </c>
      <c r="AC307" s="81">
        <f t="shared" si="134"/>
        <v>7.76717567849687</v>
      </c>
      <c r="AD307" s="81">
        <f t="shared" si="135"/>
        <v>74.1601819415449</v>
      </c>
      <c r="AE307" s="81">
        <f t="shared" si="136"/>
        <v>45.8398180584551</v>
      </c>
    </row>
    <row r="308" customFormat="1" spans="1:31">
      <c r="A308" s="19"/>
      <c r="B308" s="20"/>
      <c r="C308" s="21">
        <v>240108000029</v>
      </c>
      <c r="D308" s="22">
        <v>45303</v>
      </c>
      <c r="E308" s="22" t="s">
        <v>49</v>
      </c>
      <c r="F308" s="20" t="s">
        <v>50</v>
      </c>
      <c r="G308" s="20" t="s">
        <v>170</v>
      </c>
      <c r="H308" s="20">
        <v>3.5</v>
      </c>
      <c r="I308" s="43">
        <v>227.5</v>
      </c>
      <c r="J308" s="44"/>
      <c r="K308" s="45"/>
      <c r="L308" s="44"/>
      <c r="M308" s="46"/>
      <c r="N308" s="20"/>
      <c r="O308" s="48">
        <f t="shared" si="139"/>
        <v>227.5</v>
      </c>
      <c r="P308" s="54"/>
      <c r="Q308" s="54"/>
      <c r="R308" s="81">
        <f t="shared" si="140"/>
        <v>154.679540709812</v>
      </c>
      <c r="S308" s="81"/>
      <c r="T308" s="82">
        <f t="shared" si="141"/>
        <v>0.237473903966597</v>
      </c>
      <c r="U308" s="81"/>
      <c r="V308" s="81"/>
      <c r="W308" s="83">
        <f t="shared" si="137"/>
        <v>154.917014613779</v>
      </c>
      <c r="X308" s="84">
        <f t="shared" si="142"/>
        <v>2.52767223382046</v>
      </c>
      <c r="Y308" s="84"/>
      <c r="Z308" s="84"/>
      <c r="AA308" s="84">
        <f t="shared" si="138"/>
        <v>2.52767223382046</v>
      </c>
      <c r="AB308" s="94">
        <v>7.17</v>
      </c>
      <c r="AC308" s="81">
        <f t="shared" si="134"/>
        <v>18.1234099164927</v>
      </c>
      <c r="AD308" s="81">
        <f t="shared" si="135"/>
        <v>173.040424530271</v>
      </c>
      <c r="AE308" s="81">
        <f t="shared" si="136"/>
        <v>54.459575469729</v>
      </c>
    </row>
    <row r="309" customFormat="1" spans="1:31">
      <c r="A309" s="19"/>
      <c r="B309" s="20"/>
      <c r="C309" s="21">
        <v>240108000034</v>
      </c>
      <c r="D309" s="22">
        <v>45303</v>
      </c>
      <c r="E309" s="22" t="s">
        <v>44</v>
      </c>
      <c r="F309" s="20" t="s">
        <v>45</v>
      </c>
      <c r="G309" s="20" t="s">
        <v>267</v>
      </c>
      <c r="H309" s="20">
        <v>6.5</v>
      </c>
      <c r="I309" s="48"/>
      <c r="J309" s="55">
        <v>89242</v>
      </c>
      <c r="K309" s="56"/>
      <c r="L309" s="51">
        <f>SUM(J309/M309)</f>
        <v>1370.0030703101</v>
      </c>
      <c r="M309" s="53">
        <v>65.14</v>
      </c>
      <c r="N309" s="20">
        <v>7.17</v>
      </c>
      <c r="O309" s="48">
        <f>SUM(M309*N309)</f>
        <v>467.0538</v>
      </c>
      <c r="P309" s="54"/>
      <c r="Q309" s="54"/>
      <c r="R309" s="81">
        <f t="shared" si="140"/>
        <v>287.262004175365</v>
      </c>
      <c r="S309" s="81"/>
      <c r="T309" s="82">
        <f t="shared" si="141"/>
        <v>0.441022964509395</v>
      </c>
      <c r="U309" s="81"/>
      <c r="V309" s="81"/>
      <c r="W309" s="83">
        <f t="shared" si="137"/>
        <v>287.703027139875</v>
      </c>
      <c r="X309" s="84">
        <f t="shared" si="142"/>
        <v>4.694248434238</v>
      </c>
      <c r="Y309" s="84"/>
      <c r="Z309" s="84"/>
      <c r="AA309" s="84">
        <f t="shared" si="138"/>
        <v>4.694248434238</v>
      </c>
      <c r="AB309" s="94">
        <v>7.17</v>
      </c>
      <c r="AC309" s="81">
        <f t="shared" si="134"/>
        <v>33.6577612734864</v>
      </c>
      <c r="AD309" s="81">
        <f t="shared" si="135"/>
        <v>321.360788413361</v>
      </c>
      <c r="AE309" s="81">
        <f t="shared" si="136"/>
        <v>145.693011586639</v>
      </c>
    </row>
    <row r="310" customFormat="1" spans="1:31">
      <c r="A310" s="19"/>
      <c r="B310" s="20"/>
      <c r="C310" s="21">
        <v>240108000035</v>
      </c>
      <c r="D310" s="22">
        <v>45303</v>
      </c>
      <c r="E310" s="22" t="s">
        <v>44</v>
      </c>
      <c r="F310" s="20" t="s">
        <v>45</v>
      </c>
      <c r="G310" s="20" t="s">
        <v>281</v>
      </c>
      <c r="H310" s="20">
        <v>5</v>
      </c>
      <c r="I310" s="43">
        <v>389</v>
      </c>
      <c r="J310" s="44"/>
      <c r="K310" s="45"/>
      <c r="L310" s="44"/>
      <c r="M310" s="46"/>
      <c r="N310" s="20"/>
      <c r="O310" s="48">
        <f t="shared" ref="O310:O318" si="143">SUM(I310)</f>
        <v>389</v>
      </c>
      <c r="P310" s="54"/>
      <c r="Q310" s="54"/>
      <c r="R310" s="81">
        <f t="shared" si="140"/>
        <v>220.970772442589</v>
      </c>
      <c r="S310" s="81"/>
      <c r="T310" s="82">
        <f t="shared" si="141"/>
        <v>0.339248434237996</v>
      </c>
      <c r="U310" s="81"/>
      <c r="V310" s="81"/>
      <c r="W310" s="83">
        <f t="shared" si="137"/>
        <v>221.310020876827</v>
      </c>
      <c r="X310" s="84">
        <f t="shared" si="142"/>
        <v>3.61096033402923</v>
      </c>
      <c r="Y310" s="84"/>
      <c r="Z310" s="84"/>
      <c r="AA310" s="84">
        <f t="shared" si="138"/>
        <v>3.61096033402923</v>
      </c>
      <c r="AB310" s="94">
        <v>7.17</v>
      </c>
      <c r="AC310" s="81">
        <f t="shared" si="134"/>
        <v>25.8905855949896</v>
      </c>
      <c r="AD310" s="81">
        <f t="shared" si="135"/>
        <v>247.200606471816</v>
      </c>
      <c r="AE310" s="81">
        <f t="shared" si="136"/>
        <v>141.799393528184</v>
      </c>
    </row>
    <row r="311" customFormat="1" spans="1:31">
      <c r="A311" s="19"/>
      <c r="B311" s="20"/>
      <c r="C311" s="21">
        <v>240108000036</v>
      </c>
      <c r="D311" s="22">
        <v>45303</v>
      </c>
      <c r="E311" s="22" t="s">
        <v>41</v>
      </c>
      <c r="F311" s="20" t="s">
        <v>42</v>
      </c>
      <c r="G311" s="20" t="s">
        <v>238</v>
      </c>
      <c r="H311" s="20">
        <v>20</v>
      </c>
      <c r="I311" s="43">
        <v>1247</v>
      </c>
      <c r="J311" s="44"/>
      <c r="K311" s="45"/>
      <c r="L311" s="44"/>
      <c r="M311" s="46"/>
      <c r="N311" s="20"/>
      <c r="O311" s="48">
        <f t="shared" si="143"/>
        <v>1247</v>
      </c>
      <c r="P311" s="54"/>
      <c r="Q311" s="54"/>
      <c r="R311" s="81">
        <f t="shared" si="140"/>
        <v>883.883089770355</v>
      </c>
      <c r="S311" s="81"/>
      <c r="T311" s="82">
        <f t="shared" si="141"/>
        <v>1.35699373695198</v>
      </c>
      <c r="U311" s="81"/>
      <c r="V311" s="81"/>
      <c r="W311" s="83">
        <f t="shared" si="137"/>
        <v>885.240083507307</v>
      </c>
      <c r="X311" s="84">
        <f t="shared" si="142"/>
        <v>14.4438413361169</v>
      </c>
      <c r="Y311" s="84"/>
      <c r="Z311" s="84"/>
      <c r="AA311" s="84">
        <f t="shared" si="138"/>
        <v>14.4438413361169</v>
      </c>
      <c r="AB311" s="94">
        <v>7.17</v>
      </c>
      <c r="AC311" s="81">
        <f t="shared" si="134"/>
        <v>103.562342379958</v>
      </c>
      <c r="AD311" s="81">
        <f t="shared" si="135"/>
        <v>988.802425887265</v>
      </c>
      <c r="AE311" s="81">
        <f t="shared" si="136"/>
        <v>258.197574112735</v>
      </c>
    </row>
    <row r="312" customFormat="1" spans="1:31">
      <c r="A312" s="19"/>
      <c r="B312" s="20"/>
      <c r="C312" s="21">
        <v>240108000037</v>
      </c>
      <c r="D312" s="22">
        <v>45303</v>
      </c>
      <c r="E312" s="22" t="s">
        <v>37</v>
      </c>
      <c r="F312" s="20" t="s">
        <v>38</v>
      </c>
      <c r="G312" s="20" t="s">
        <v>282</v>
      </c>
      <c r="H312" s="20">
        <v>16</v>
      </c>
      <c r="I312" s="43">
        <v>1158</v>
      </c>
      <c r="J312" s="44"/>
      <c r="K312" s="45"/>
      <c r="L312" s="44"/>
      <c r="M312" s="46"/>
      <c r="N312" s="20"/>
      <c r="O312" s="48">
        <f t="shared" si="143"/>
        <v>1158</v>
      </c>
      <c r="P312" s="54"/>
      <c r="Q312" s="54"/>
      <c r="R312" s="81">
        <f t="shared" si="140"/>
        <v>707.106471816284</v>
      </c>
      <c r="S312" s="81"/>
      <c r="T312" s="82">
        <f t="shared" si="141"/>
        <v>1.08559498956159</v>
      </c>
      <c r="U312" s="81">
        <v>50</v>
      </c>
      <c r="V312" s="81"/>
      <c r="W312" s="83">
        <f t="shared" si="137"/>
        <v>758.192066805846</v>
      </c>
      <c r="X312" s="84">
        <f t="shared" si="142"/>
        <v>11.5550730688935</v>
      </c>
      <c r="Y312" s="84"/>
      <c r="Z312" s="84"/>
      <c r="AA312" s="84">
        <f t="shared" si="138"/>
        <v>11.5550730688935</v>
      </c>
      <c r="AB312" s="94">
        <v>7.17</v>
      </c>
      <c r="AC312" s="81">
        <f t="shared" si="134"/>
        <v>82.8498739039666</v>
      </c>
      <c r="AD312" s="81">
        <f t="shared" si="135"/>
        <v>841.041940709812</v>
      </c>
      <c r="AE312" s="81">
        <f t="shared" si="136"/>
        <v>316.958059290188</v>
      </c>
    </row>
    <row r="313" customFormat="1" spans="1:31">
      <c r="A313" s="19"/>
      <c r="B313" s="20"/>
      <c r="C313" s="23">
        <v>240108000039</v>
      </c>
      <c r="D313" s="24">
        <v>45303</v>
      </c>
      <c r="E313" s="22" t="s">
        <v>49</v>
      </c>
      <c r="F313" s="26" t="s">
        <v>50</v>
      </c>
      <c r="G313" s="26" t="s">
        <v>283</v>
      </c>
      <c r="H313" s="26">
        <v>9</v>
      </c>
      <c r="I313" s="43">
        <v>585</v>
      </c>
      <c r="J313" s="44"/>
      <c r="K313" s="45"/>
      <c r="L313" s="44"/>
      <c r="M313" s="46"/>
      <c r="N313" s="20"/>
      <c r="O313" s="48">
        <f t="shared" si="143"/>
        <v>585</v>
      </c>
      <c r="P313" s="54"/>
      <c r="Q313" s="54"/>
      <c r="R313" s="81">
        <f t="shared" si="140"/>
        <v>397.74739039666</v>
      </c>
      <c r="S313" s="81"/>
      <c r="T313" s="82">
        <f t="shared" si="141"/>
        <v>0.610647181628392</v>
      </c>
      <c r="U313" s="81"/>
      <c r="V313" s="81"/>
      <c r="W313" s="83">
        <f t="shared" si="137"/>
        <v>398.358037578288</v>
      </c>
      <c r="X313" s="84">
        <f t="shared" si="142"/>
        <v>6.49972860125261</v>
      </c>
      <c r="Y313" s="84"/>
      <c r="Z313" s="84"/>
      <c r="AA313" s="84">
        <f t="shared" si="138"/>
        <v>6.49972860125261</v>
      </c>
      <c r="AB313" s="94">
        <v>7.17</v>
      </c>
      <c r="AC313" s="81">
        <f t="shared" si="134"/>
        <v>46.6030540709812</v>
      </c>
      <c r="AD313" s="81">
        <f t="shared" si="135"/>
        <v>444.961091649269</v>
      </c>
      <c r="AE313" s="81">
        <f t="shared" si="136"/>
        <v>140.038908350731</v>
      </c>
    </row>
    <row r="314" customFormat="1" spans="1:31">
      <c r="A314" s="19"/>
      <c r="B314" s="20"/>
      <c r="C314" s="21">
        <v>240109000002</v>
      </c>
      <c r="D314" s="22">
        <v>45303</v>
      </c>
      <c r="E314" s="22" t="s">
        <v>41</v>
      </c>
      <c r="F314" s="20" t="s">
        <v>42</v>
      </c>
      <c r="G314" s="20" t="s">
        <v>284</v>
      </c>
      <c r="H314" s="20">
        <v>55.5</v>
      </c>
      <c r="I314" s="43">
        <v>3330</v>
      </c>
      <c r="J314" s="44"/>
      <c r="K314" s="45"/>
      <c r="L314" s="44"/>
      <c r="M314" s="46"/>
      <c r="N314" s="20"/>
      <c r="O314" s="48">
        <f t="shared" si="143"/>
        <v>3330</v>
      </c>
      <c r="P314" s="54"/>
      <c r="Q314" s="54"/>
      <c r="R314" s="81">
        <f t="shared" si="140"/>
        <v>2452.77557411273</v>
      </c>
      <c r="S314" s="81"/>
      <c r="T314" s="82">
        <f t="shared" si="141"/>
        <v>3.76565762004175</v>
      </c>
      <c r="U314" s="81"/>
      <c r="V314" s="81"/>
      <c r="W314" s="83">
        <f t="shared" si="137"/>
        <v>2456.54123173278</v>
      </c>
      <c r="X314" s="84">
        <f t="shared" si="142"/>
        <v>40.0816597077244</v>
      </c>
      <c r="Y314" s="84"/>
      <c r="Z314" s="84"/>
      <c r="AA314" s="84">
        <f t="shared" si="138"/>
        <v>40.0816597077244</v>
      </c>
      <c r="AB314" s="94">
        <v>7.17</v>
      </c>
      <c r="AC314" s="81">
        <f t="shared" si="134"/>
        <v>287.385500104384</v>
      </c>
      <c r="AD314" s="81">
        <f t="shared" si="135"/>
        <v>2743.92673183716</v>
      </c>
      <c r="AE314" s="81">
        <f t="shared" si="136"/>
        <v>586.07326816284</v>
      </c>
    </row>
    <row r="315" customFormat="1" spans="1:31">
      <c r="A315" s="19"/>
      <c r="B315" s="20"/>
      <c r="C315" s="21">
        <v>240109000003</v>
      </c>
      <c r="D315" s="22">
        <v>45303</v>
      </c>
      <c r="E315" s="25" t="s">
        <v>69</v>
      </c>
      <c r="F315" s="20" t="s">
        <v>69</v>
      </c>
      <c r="G315" s="20" t="s">
        <v>130</v>
      </c>
      <c r="H315" s="20">
        <v>187.5</v>
      </c>
      <c r="I315" s="43">
        <v>11058.5</v>
      </c>
      <c r="J315" s="44"/>
      <c r="K315" s="45"/>
      <c r="L315" s="44"/>
      <c r="M315" s="46"/>
      <c r="N315" s="20"/>
      <c r="O315" s="48">
        <f t="shared" si="143"/>
        <v>11058.5</v>
      </c>
      <c r="P315" s="54"/>
      <c r="Q315" s="54"/>
      <c r="R315" s="81">
        <f t="shared" si="140"/>
        <v>8286.40396659708</v>
      </c>
      <c r="S315" s="81"/>
      <c r="T315" s="82">
        <f t="shared" si="141"/>
        <v>12.7218162839248</v>
      </c>
      <c r="U315" s="81"/>
      <c r="V315" s="81"/>
      <c r="W315" s="83">
        <f t="shared" si="137"/>
        <v>8299.125782881</v>
      </c>
      <c r="X315" s="84">
        <f t="shared" si="142"/>
        <v>135.411012526096</v>
      </c>
      <c r="Y315" s="84"/>
      <c r="Z315" s="84"/>
      <c r="AA315" s="84">
        <f t="shared" si="138"/>
        <v>135.411012526096</v>
      </c>
      <c r="AB315" s="94">
        <v>7.17</v>
      </c>
      <c r="AC315" s="81">
        <f t="shared" si="134"/>
        <v>970.896959812109</v>
      </c>
      <c r="AD315" s="81">
        <f t="shared" si="135"/>
        <v>9270.02274269311</v>
      </c>
      <c r="AE315" s="81">
        <f t="shared" si="136"/>
        <v>1788.47725730689</v>
      </c>
    </row>
    <row r="316" customFormat="1" spans="1:31">
      <c r="A316" s="19"/>
      <c r="B316" s="20"/>
      <c r="C316" s="21">
        <v>240109000005</v>
      </c>
      <c r="D316" s="22">
        <v>45303</v>
      </c>
      <c r="E316" s="22" t="s">
        <v>49</v>
      </c>
      <c r="F316" s="20" t="s">
        <v>50</v>
      </c>
      <c r="G316" s="20" t="s">
        <v>285</v>
      </c>
      <c r="H316" s="20">
        <v>2</v>
      </c>
      <c r="I316" s="43">
        <v>154.5</v>
      </c>
      <c r="J316" s="44"/>
      <c r="K316" s="45"/>
      <c r="L316" s="44"/>
      <c r="M316" s="46"/>
      <c r="N316" s="20"/>
      <c r="O316" s="48">
        <f t="shared" si="143"/>
        <v>154.5</v>
      </c>
      <c r="P316" s="54"/>
      <c r="Q316" s="54"/>
      <c r="R316" s="81">
        <f t="shared" si="140"/>
        <v>88.3883089770355</v>
      </c>
      <c r="S316" s="81"/>
      <c r="T316" s="82">
        <f t="shared" si="141"/>
        <v>0.135699373695198</v>
      </c>
      <c r="U316" s="81"/>
      <c r="V316" s="81"/>
      <c r="W316" s="83">
        <f t="shared" si="137"/>
        <v>88.5240083507307</v>
      </c>
      <c r="X316" s="84">
        <f t="shared" si="142"/>
        <v>1.44438413361169</v>
      </c>
      <c r="Y316" s="84"/>
      <c r="Z316" s="84"/>
      <c r="AA316" s="84">
        <f t="shared" si="138"/>
        <v>1.44438413361169</v>
      </c>
      <c r="AB316" s="94">
        <v>7.17</v>
      </c>
      <c r="AC316" s="81">
        <f t="shared" si="134"/>
        <v>10.3562342379958</v>
      </c>
      <c r="AD316" s="81">
        <f t="shared" si="135"/>
        <v>98.8802425887265</v>
      </c>
      <c r="AE316" s="81">
        <f t="shared" si="136"/>
        <v>55.6197574112735</v>
      </c>
    </row>
    <row r="317" customFormat="1" spans="1:31">
      <c r="A317" s="19"/>
      <c r="B317" s="20"/>
      <c r="C317" s="21">
        <v>240109000013</v>
      </c>
      <c r="D317" s="22">
        <v>45303</v>
      </c>
      <c r="E317" s="22" t="s">
        <v>49</v>
      </c>
      <c r="F317" s="20" t="s">
        <v>50</v>
      </c>
      <c r="G317" s="20" t="s">
        <v>286</v>
      </c>
      <c r="H317" s="20">
        <v>1.5</v>
      </c>
      <c r="I317" s="43">
        <v>111.6</v>
      </c>
      <c r="J317" s="44"/>
      <c r="K317" s="45"/>
      <c r="L317" s="44"/>
      <c r="M317" s="46"/>
      <c r="N317" s="20"/>
      <c r="O317" s="48">
        <f t="shared" si="143"/>
        <v>111.6</v>
      </c>
      <c r="P317" s="54"/>
      <c r="Q317" s="54"/>
      <c r="R317" s="81">
        <f t="shared" si="140"/>
        <v>66.2912317327766</v>
      </c>
      <c r="S317" s="81"/>
      <c r="T317" s="82">
        <f t="shared" si="141"/>
        <v>0.101774530271399</v>
      </c>
      <c r="U317" s="81"/>
      <c r="V317" s="81"/>
      <c r="W317" s="83">
        <f t="shared" si="137"/>
        <v>66.393006263048</v>
      </c>
      <c r="X317" s="84">
        <f t="shared" si="142"/>
        <v>1.08328810020877</v>
      </c>
      <c r="Y317" s="84"/>
      <c r="Z317" s="84"/>
      <c r="AA317" s="84">
        <f t="shared" si="138"/>
        <v>1.08328810020877</v>
      </c>
      <c r="AB317" s="94">
        <v>7.17</v>
      </c>
      <c r="AC317" s="81">
        <f t="shared" si="134"/>
        <v>7.76717567849687</v>
      </c>
      <c r="AD317" s="81">
        <f t="shared" si="135"/>
        <v>74.1601819415449</v>
      </c>
      <c r="AE317" s="81">
        <f t="shared" si="136"/>
        <v>37.4398180584551</v>
      </c>
    </row>
    <row r="318" customFormat="1" spans="1:31">
      <c r="A318" s="19"/>
      <c r="B318" s="20"/>
      <c r="C318" s="21">
        <v>240109000014</v>
      </c>
      <c r="D318" s="22">
        <v>45303</v>
      </c>
      <c r="E318" s="22" t="s">
        <v>41</v>
      </c>
      <c r="F318" s="20" t="s">
        <v>42</v>
      </c>
      <c r="G318" s="20" t="s">
        <v>238</v>
      </c>
      <c r="H318" s="20">
        <v>6</v>
      </c>
      <c r="I318" s="43">
        <v>318</v>
      </c>
      <c r="J318" s="44"/>
      <c r="K318" s="45"/>
      <c r="L318" s="44"/>
      <c r="M318" s="46"/>
      <c r="N318" s="20"/>
      <c r="O318" s="48">
        <f t="shared" si="143"/>
        <v>318</v>
      </c>
      <c r="P318" s="54"/>
      <c r="Q318" s="54"/>
      <c r="R318" s="81">
        <f t="shared" si="140"/>
        <v>265.164926931106</v>
      </c>
      <c r="S318" s="81"/>
      <c r="T318" s="82">
        <f t="shared" si="141"/>
        <v>0.407098121085595</v>
      </c>
      <c r="U318" s="81"/>
      <c r="V318" s="81"/>
      <c r="W318" s="83">
        <f t="shared" si="137"/>
        <v>265.572025052192</v>
      </c>
      <c r="X318" s="84">
        <f t="shared" si="142"/>
        <v>4.33315240083507</v>
      </c>
      <c r="Y318" s="84"/>
      <c r="Z318" s="84"/>
      <c r="AA318" s="84">
        <f t="shared" si="138"/>
        <v>4.33315240083507</v>
      </c>
      <c r="AB318" s="94">
        <v>7.17</v>
      </c>
      <c r="AC318" s="81">
        <f t="shared" si="134"/>
        <v>31.0687027139875</v>
      </c>
      <c r="AD318" s="81">
        <f t="shared" si="135"/>
        <v>296.64072776618</v>
      </c>
      <c r="AE318" s="81">
        <f t="shared" si="136"/>
        <v>21.35927223382</v>
      </c>
    </row>
    <row r="319" customFormat="1" spans="1:31">
      <c r="A319" s="19"/>
      <c r="B319" s="20"/>
      <c r="C319" s="21">
        <v>240109000027</v>
      </c>
      <c r="D319" s="22">
        <v>45303</v>
      </c>
      <c r="E319" s="22" t="s">
        <v>49</v>
      </c>
      <c r="F319" s="20" t="s">
        <v>50</v>
      </c>
      <c r="G319" s="20" t="s">
        <v>87</v>
      </c>
      <c r="H319" s="20">
        <v>0.73</v>
      </c>
      <c r="I319" s="50"/>
      <c r="J319" s="51">
        <v>14250</v>
      </c>
      <c r="K319" s="52"/>
      <c r="L319" s="51">
        <f>SUM(J319/M319)</f>
        <v>1362.3326959847</v>
      </c>
      <c r="M319" s="53">
        <v>10.46</v>
      </c>
      <c r="N319" s="20">
        <v>7.17</v>
      </c>
      <c r="O319" s="48">
        <f t="shared" ref="O319:O322" si="144">SUM(M319*N319)</f>
        <v>74.9982</v>
      </c>
      <c r="P319" s="54"/>
      <c r="Q319" s="54"/>
      <c r="R319" s="81">
        <f t="shared" si="140"/>
        <v>32.261732776618</v>
      </c>
      <c r="S319" s="81"/>
      <c r="T319" s="82">
        <f t="shared" si="141"/>
        <v>0.0495302713987474</v>
      </c>
      <c r="U319" s="81"/>
      <c r="V319" s="81"/>
      <c r="W319" s="83">
        <f t="shared" si="137"/>
        <v>32.3112630480167</v>
      </c>
      <c r="X319" s="84">
        <f t="shared" si="142"/>
        <v>0.527200208768267</v>
      </c>
      <c r="Y319" s="84"/>
      <c r="Z319" s="84"/>
      <c r="AA319" s="84">
        <f t="shared" si="138"/>
        <v>0.527200208768267</v>
      </c>
      <c r="AB319" s="94">
        <v>7.17</v>
      </c>
      <c r="AC319" s="81">
        <f t="shared" si="134"/>
        <v>3.78002549686848</v>
      </c>
      <c r="AD319" s="81">
        <f t="shared" si="135"/>
        <v>36.0912885448852</v>
      </c>
      <c r="AE319" s="81">
        <f t="shared" si="136"/>
        <v>38.9069114551148</v>
      </c>
    </row>
    <row r="320" customFormat="1" spans="1:31">
      <c r="A320" s="19"/>
      <c r="B320" s="20"/>
      <c r="C320" s="21">
        <v>240109000030</v>
      </c>
      <c r="D320" s="22">
        <v>45303</v>
      </c>
      <c r="E320" s="22" t="s">
        <v>49</v>
      </c>
      <c r="F320" s="20" t="s">
        <v>50</v>
      </c>
      <c r="G320" s="20" t="s">
        <v>53</v>
      </c>
      <c r="H320" s="20">
        <v>0.2</v>
      </c>
      <c r="I320" s="50"/>
      <c r="J320" s="51">
        <v>17000</v>
      </c>
      <c r="K320" s="52"/>
      <c r="L320" s="51">
        <f>SUM(J320/M320)</f>
        <v>1793.24894514768</v>
      </c>
      <c r="M320" s="53">
        <v>9.48</v>
      </c>
      <c r="N320" s="20">
        <v>7.17</v>
      </c>
      <c r="O320" s="48">
        <f t="shared" si="144"/>
        <v>67.9716</v>
      </c>
      <c r="P320" s="54"/>
      <c r="Q320" s="54"/>
      <c r="R320" s="81">
        <f t="shared" si="140"/>
        <v>8.83883089770355</v>
      </c>
      <c r="S320" s="81"/>
      <c r="T320" s="82">
        <f t="shared" si="141"/>
        <v>0.0135699373695198</v>
      </c>
      <c r="U320" s="81"/>
      <c r="V320" s="81"/>
      <c r="W320" s="83">
        <f t="shared" si="137"/>
        <v>8.85240083507307</v>
      </c>
      <c r="X320" s="84">
        <f t="shared" si="142"/>
        <v>0.144438413361169</v>
      </c>
      <c r="Y320" s="84"/>
      <c r="Z320" s="84"/>
      <c r="AA320" s="84">
        <f t="shared" si="138"/>
        <v>0.144438413361169</v>
      </c>
      <c r="AB320" s="94">
        <v>7.17</v>
      </c>
      <c r="AC320" s="81">
        <f t="shared" si="134"/>
        <v>1.03562342379958</v>
      </c>
      <c r="AD320" s="81">
        <f t="shared" si="135"/>
        <v>9.88802425887265</v>
      </c>
      <c r="AE320" s="81">
        <f t="shared" si="136"/>
        <v>58.0835757411274</v>
      </c>
    </row>
    <row r="321" customFormat="1" spans="1:31">
      <c r="A321" s="19"/>
      <c r="B321" s="20"/>
      <c r="C321" s="21">
        <v>240109000033</v>
      </c>
      <c r="D321" s="22">
        <v>45303</v>
      </c>
      <c r="E321" s="22" t="s">
        <v>49</v>
      </c>
      <c r="F321" s="20" t="s">
        <v>50</v>
      </c>
      <c r="G321" s="20" t="s">
        <v>287</v>
      </c>
      <c r="H321" s="20">
        <v>26.5</v>
      </c>
      <c r="I321" s="50"/>
      <c r="J321" s="51">
        <v>376565</v>
      </c>
      <c r="K321" s="52"/>
      <c r="L321" s="51">
        <f>SUM(J321/M321)</f>
        <v>1455.54868385451</v>
      </c>
      <c r="M321" s="53">
        <v>258.71</v>
      </c>
      <c r="N321" s="20">
        <v>7.17</v>
      </c>
      <c r="O321" s="48">
        <f t="shared" si="144"/>
        <v>1854.9507</v>
      </c>
      <c r="P321" s="54"/>
      <c r="Q321" s="54"/>
      <c r="R321" s="81">
        <f t="shared" si="140"/>
        <v>1171.14509394572</v>
      </c>
      <c r="S321" s="81"/>
      <c r="T321" s="82">
        <f t="shared" si="141"/>
        <v>1.79801670146138</v>
      </c>
      <c r="U321" s="81"/>
      <c r="V321" s="81"/>
      <c r="W321" s="83">
        <f t="shared" si="137"/>
        <v>1172.94311064718</v>
      </c>
      <c r="X321" s="84">
        <f t="shared" si="142"/>
        <v>19.1380897703549</v>
      </c>
      <c r="Y321" s="84"/>
      <c r="Z321" s="84"/>
      <c r="AA321" s="84">
        <f t="shared" si="138"/>
        <v>19.1380897703549</v>
      </c>
      <c r="AB321" s="94">
        <v>7.17</v>
      </c>
      <c r="AC321" s="81">
        <f t="shared" si="134"/>
        <v>137.220103653445</v>
      </c>
      <c r="AD321" s="81">
        <f t="shared" si="135"/>
        <v>1310.16321430063</v>
      </c>
      <c r="AE321" s="81">
        <f t="shared" si="136"/>
        <v>544.78748569937</v>
      </c>
    </row>
    <row r="322" customFormat="1" spans="1:31">
      <c r="A322" s="19"/>
      <c r="B322" s="20"/>
      <c r="C322" s="21">
        <v>240109000036</v>
      </c>
      <c r="D322" s="22">
        <v>45303</v>
      </c>
      <c r="E322" s="22" t="s">
        <v>49</v>
      </c>
      <c r="F322" s="20" t="s">
        <v>50</v>
      </c>
      <c r="G322" s="20" t="s">
        <v>288</v>
      </c>
      <c r="H322" s="20">
        <v>4</v>
      </c>
      <c r="I322" s="50"/>
      <c r="J322" s="51">
        <v>65000</v>
      </c>
      <c r="K322" s="52"/>
      <c r="L322" s="51">
        <f>SUM(J322/M322)</f>
        <v>1792.60893546608</v>
      </c>
      <c r="M322" s="53">
        <v>36.26</v>
      </c>
      <c r="N322" s="20">
        <v>7.17</v>
      </c>
      <c r="O322" s="48">
        <f t="shared" si="144"/>
        <v>259.9842</v>
      </c>
      <c r="P322" s="54"/>
      <c r="Q322" s="54"/>
      <c r="R322" s="81">
        <f t="shared" si="140"/>
        <v>176.776617954071</v>
      </c>
      <c r="S322" s="81"/>
      <c r="T322" s="82">
        <f t="shared" si="141"/>
        <v>0.271398747390397</v>
      </c>
      <c r="U322" s="81"/>
      <c r="V322" s="81"/>
      <c r="W322" s="83">
        <f t="shared" si="137"/>
        <v>177.048016701461</v>
      </c>
      <c r="X322" s="84">
        <f t="shared" si="142"/>
        <v>2.88876826722338</v>
      </c>
      <c r="Y322" s="84"/>
      <c r="Z322" s="84"/>
      <c r="AA322" s="84">
        <f t="shared" si="138"/>
        <v>2.88876826722338</v>
      </c>
      <c r="AB322" s="94">
        <v>7.17</v>
      </c>
      <c r="AC322" s="81">
        <f t="shared" si="134"/>
        <v>20.7124684759917</v>
      </c>
      <c r="AD322" s="81">
        <f t="shared" si="135"/>
        <v>197.760485177453</v>
      </c>
      <c r="AE322" s="81">
        <f t="shared" si="136"/>
        <v>62.223714822547</v>
      </c>
    </row>
    <row r="323" customFormat="1" spans="1:31">
      <c r="A323" s="19"/>
      <c r="B323" s="20"/>
      <c r="C323" s="21">
        <v>240109000038</v>
      </c>
      <c r="D323" s="22">
        <v>45303</v>
      </c>
      <c r="E323" s="22" t="s">
        <v>44</v>
      </c>
      <c r="F323" s="20" t="s">
        <v>45</v>
      </c>
      <c r="G323" s="20" t="s">
        <v>85</v>
      </c>
      <c r="H323" s="20">
        <v>68</v>
      </c>
      <c r="I323" s="43">
        <v>6188</v>
      </c>
      <c r="J323" s="44"/>
      <c r="K323" s="45"/>
      <c r="L323" s="44"/>
      <c r="M323" s="46"/>
      <c r="N323" s="20"/>
      <c r="O323" s="48">
        <f t="shared" ref="O323:O326" si="145">SUM(I323)</f>
        <v>6188</v>
      </c>
      <c r="P323" s="54"/>
      <c r="Q323" s="54"/>
      <c r="R323" s="81">
        <f t="shared" si="140"/>
        <v>3005.20250521921</v>
      </c>
      <c r="S323" s="81"/>
      <c r="T323" s="82">
        <f t="shared" si="141"/>
        <v>4.61377870563674</v>
      </c>
      <c r="U323" s="81"/>
      <c r="V323" s="81"/>
      <c r="W323" s="83">
        <f t="shared" si="137"/>
        <v>3009.81628392484</v>
      </c>
      <c r="X323" s="84">
        <f t="shared" si="142"/>
        <v>49.1090605427975</v>
      </c>
      <c r="Y323" s="84"/>
      <c r="Z323" s="84"/>
      <c r="AA323" s="84">
        <f t="shared" si="138"/>
        <v>49.1090605427975</v>
      </c>
      <c r="AB323" s="94">
        <v>7.17</v>
      </c>
      <c r="AC323" s="81">
        <f t="shared" si="134"/>
        <v>352.111964091858</v>
      </c>
      <c r="AD323" s="81">
        <f t="shared" si="135"/>
        <v>3361.9282480167</v>
      </c>
      <c r="AE323" s="81">
        <f t="shared" si="136"/>
        <v>2826.0717519833</v>
      </c>
    </row>
    <row r="324" customFormat="1" spans="1:31">
      <c r="A324" s="19"/>
      <c r="B324" s="20"/>
      <c r="C324" s="21">
        <v>240109000042</v>
      </c>
      <c r="D324" s="22">
        <v>45303</v>
      </c>
      <c r="E324" s="25" t="s">
        <v>69</v>
      </c>
      <c r="F324" s="20" t="s">
        <v>69</v>
      </c>
      <c r="G324" s="20" t="s">
        <v>124</v>
      </c>
      <c r="H324" s="20">
        <v>1.5</v>
      </c>
      <c r="I324" s="43">
        <v>102.6</v>
      </c>
      <c r="J324" s="44"/>
      <c r="K324" s="45"/>
      <c r="L324" s="44"/>
      <c r="M324" s="46"/>
      <c r="N324" s="20"/>
      <c r="O324" s="48">
        <f t="shared" si="145"/>
        <v>102.6</v>
      </c>
      <c r="P324" s="54"/>
      <c r="Q324" s="54"/>
      <c r="R324" s="81">
        <f t="shared" si="140"/>
        <v>66.2912317327766</v>
      </c>
      <c r="S324" s="81"/>
      <c r="T324" s="82">
        <f t="shared" si="141"/>
        <v>0.101774530271399</v>
      </c>
      <c r="U324" s="81"/>
      <c r="V324" s="81"/>
      <c r="W324" s="83">
        <f t="shared" si="137"/>
        <v>66.393006263048</v>
      </c>
      <c r="X324" s="84">
        <f t="shared" si="142"/>
        <v>1.08328810020877</v>
      </c>
      <c r="Y324" s="84"/>
      <c r="Z324" s="84"/>
      <c r="AA324" s="84">
        <f t="shared" si="138"/>
        <v>1.08328810020877</v>
      </c>
      <c r="AB324" s="94">
        <v>7.17</v>
      </c>
      <c r="AC324" s="81">
        <f t="shared" si="134"/>
        <v>7.76717567849687</v>
      </c>
      <c r="AD324" s="81">
        <f t="shared" si="135"/>
        <v>74.1601819415449</v>
      </c>
      <c r="AE324" s="81">
        <f t="shared" si="136"/>
        <v>28.4398180584551</v>
      </c>
    </row>
    <row r="325" customFormat="1" spans="1:31">
      <c r="A325" s="19"/>
      <c r="B325" s="20"/>
      <c r="C325" s="21">
        <v>240109000043</v>
      </c>
      <c r="D325" s="22">
        <v>45303</v>
      </c>
      <c r="E325" s="25" t="s">
        <v>69</v>
      </c>
      <c r="F325" s="20" t="s">
        <v>69</v>
      </c>
      <c r="G325" s="20" t="s">
        <v>175</v>
      </c>
      <c r="H325" s="20">
        <v>508.5</v>
      </c>
      <c r="I325" s="43">
        <v>25933.5</v>
      </c>
      <c r="J325" s="44"/>
      <c r="K325" s="45"/>
      <c r="L325" s="44"/>
      <c r="M325" s="46"/>
      <c r="N325" s="20"/>
      <c r="O325" s="48">
        <f t="shared" si="145"/>
        <v>25933.5</v>
      </c>
      <c r="P325" s="54"/>
      <c r="Q325" s="54"/>
      <c r="R325" s="81">
        <f t="shared" si="140"/>
        <v>22472.7275574113</v>
      </c>
      <c r="S325" s="81"/>
      <c r="T325" s="82">
        <f t="shared" si="141"/>
        <v>34.5015657620042</v>
      </c>
      <c r="U325" s="81"/>
      <c r="V325" s="81"/>
      <c r="W325" s="83">
        <f t="shared" si="137"/>
        <v>22507.2291231733</v>
      </c>
      <c r="X325" s="84">
        <f t="shared" si="142"/>
        <v>367.234665970772</v>
      </c>
      <c r="Y325" s="84"/>
      <c r="Z325" s="84"/>
      <c r="AA325" s="84">
        <f t="shared" si="138"/>
        <v>367.234665970772</v>
      </c>
      <c r="AB325" s="94">
        <v>7.17</v>
      </c>
      <c r="AC325" s="81">
        <f t="shared" si="134"/>
        <v>2633.07255501044</v>
      </c>
      <c r="AD325" s="81">
        <f t="shared" si="135"/>
        <v>25140.3016781837</v>
      </c>
      <c r="AE325" s="81">
        <f t="shared" si="136"/>
        <v>793.1983218163</v>
      </c>
    </row>
    <row r="326" customFormat="1" spans="1:31">
      <c r="A326" s="19"/>
      <c r="B326" s="20"/>
      <c r="C326" s="21">
        <v>240110000007</v>
      </c>
      <c r="D326" s="22">
        <v>45303</v>
      </c>
      <c r="E326" s="22" t="s">
        <v>49</v>
      </c>
      <c r="F326" s="20" t="s">
        <v>50</v>
      </c>
      <c r="G326" s="20" t="s">
        <v>242</v>
      </c>
      <c r="H326" s="20">
        <v>2</v>
      </c>
      <c r="I326" s="43">
        <v>130</v>
      </c>
      <c r="J326" s="44"/>
      <c r="K326" s="45"/>
      <c r="L326" s="44"/>
      <c r="M326" s="46"/>
      <c r="N326" s="20"/>
      <c r="O326" s="48">
        <f t="shared" si="145"/>
        <v>130</v>
      </c>
      <c r="P326" s="54"/>
      <c r="Q326" s="54"/>
      <c r="R326" s="81">
        <f t="shared" si="140"/>
        <v>88.3883089770355</v>
      </c>
      <c r="S326" s="81"/>
      <c r="T326" s="82">
        <f t="shared" si="141"/>
        <v>0.135699373695198</v>
      </c>
      <c r="U326" s="81"/>
      <c r="V326" s="81"/>
      <c r="W326" s="83">
        <f t="shared" si="137"/>
        <v>88.5240083507307</v>
      </c>
      <c r="X326" s="84">
        <f t="shared" si="142"/>
        <v>1.44438413361169</v>
      </c>
      <c r="Y326" s="84"/>
      <c r="Z326" s="84"/>
      <c r="AA326" s="84">
        <f t="shared" si="138"/>
        <v>1.44438413361169</v>
      </c>
      <c r="AB326" s="94">
        <v>7.17</v>
      </c>
      <c r="AC326" s="81">
        <f t="shared" si="134"/>
        <v>10.3562342379958</v>
      </c>
      <c r="AD326" s="81">
        <f t="shared" si="135"/>
        <v>98.8802425887265</v>
      </c>
      <c r="AE326" s="81">
        <f t="shared" si="136"/>
        <v>31.1197574112735</v>
      </c>
    </row>
    <row r="327" customFormat="1" spans="1:31">
      <c r="A327" s="19"/>
      <c r="B327" s="20"/>
      <c r="C327" s="21">
        <v>240110000014</v>
      </c>
      <c r="D327" s="22">
        <v>45303</v>
      </c>
      <c r="E327" s="22" t="s">
        <v>44</v>
      </c>
      <c r="F327" s="20" t="s">
        <v>45</v>
      </c>
      <c r="G327" s="20" t="s">
        <v>56</v>
      </c>
      <c r="H327" s="20">
        <v>78.5</v>
      </c>
      <c r="I327" s="48"/>
      <c r="J327" s="55">
        <v>887884</v>
      </c>
      <c r="K327" s="56"/>
      <c r="L327" s="51">
        <f>SUM(J327/M327)</f>
        <v>1343.81281026759</v>
      </c>
      <c r="M327" s="53">
        <v>660.72</v>
      </c>
      <c r="N327" s="20">
        <v>7.17</v>
      </c>
      <c r="O327" s="48">
        <f>SUM(M327*N327)</f>
        <v>4737.3624</v>
      </c>
      <c r="P327" s="54"/>
      <c r="Q327" s="54"/>
      <c r="R327" s="81">
        <f t="shared" si="140"/>
        <v>3469.24112734864</v>
      </c>
      <c r="S327" s="81"/>
      <c r="T327" s="82">
        <f t="shared" si="141"/>
        <v>5.32620041753653</v>
      </c>
      <c r="U327" s="81"/>
      <c r="V327" s="81"/>
      <c r="W327" s="83">
        <f t="shared" si="137"/>
        <v>3474.56732776618</v>
      </c>
      <c r="X327" s="84">
        <f t="shared" si="142"/>
        <v>56.6920772442589</v>
      </c>
      <c r="Y327" s="84"/>
      <c r="Z327" s="84"/>
      <c r="AA327" s="84">
        <f t="shared" si="138"/>
        <v>56.6920772442589</v>
      </c>
      <c r="AB327" s="94">
        <v>7.17</v>
      </c>
      <c r="AC327" s="81">
        <f t="shared" si="134"/>
        <v>406.482193841336</v>
      </c>
      <c r="AD327" s="81">
        <f t="shared" ref="AD327:AD350" si="146">SUM(W327+AC327)</f>
        <v>3881.04952160752</v>
      </c>
      <c r="AE327" s="81">
        <f t="shared" si="136"/>
        <v>856.31287839248</v>
      </c>
    </row>
    <row r="328" customFormat="1" spans="1:31">
      <c r="A328" s="19"/>
      <c r="B328" s="20"/>
      <c r="C328" s="21">
        <v>240110000022</v>
      </c>
      <c r="D328" s="22">
        <v>45303</v>
      </c>
      <c r="E328" s="22" t="s">
        <v>58</v>
      </c>
      <c r="F328" s="20" t="s">
        <v>289</v>
      </c>
      <c r="G328" s="20" t="s">
        <v>290</v>
      </c>
      <c r="H328" s="20">
        <v>0.16</v>
      </c>
      <c r="I328" s="43">
        <v>90</v>
      </c>
      <c r="J328" s="44"/>
      <c r="K328" s="45"/>
      <c r="L328" s="44"/>
      <c r="M328" s="46"/>
      <c r="N328" s="20"/>
      <c r="O328" s="48">
        <f t="shared" ref="O328:O331" si="147">SUM(I328)</f>
        <v>90</v>
      </c>
      <c r="P328" s="54"/>
      <c r="Q328" s="54"/>
      <c r="R328" s="81">
        <f t="shared" si="140"/>
        <v>7.07106471816284</v>
      </c>
      <c r="S328" s="81"/>
      <c r="T328" s="82">
        <f t="shared" si="141"/>
        <v>0.0108559498956159</v>
      </c>
      <c r="U328" s="81"/>
      <c r="V328" s="81"/>
      <c r="W328" s="83">
        <f t="shared" si="137"/>
        <v>7.08192066805845</v>
      </c>
      <c r="X328" s="84">
        <f t="shared" si="142"/>
        <v>0.115550730688935</v>
      </c>
      <c r="Y328" s="84"/>
      <c r="Z328" s="84"/>
      <c r="AA328" s="84">
        <f t="shared" ref="AA328:AA350" si="148">SUM(X328:Z328)</f>
        <v>0.115550730688935</v>
      </c>
      <c r="AB328" s="94">
        <v>7.17</v>
      </c>
      <c r="AC328" s="81">
        <f t="shared" si="134"/>
        <v>0.828498739039666</v>
      </c>
      <c r="AD328" s="81">
        <f t="shared" si="146"/>
        <v>7.91041940709812</v>
      </c>
      <c r="AE328" s="81">
        <f t="shared" ref="AE328:AE350" si="149">SUM(O328-AD328)</f>
        <v>82.0895805929019</v>
      </c>
    </row>
    <row r="329" customFormat="1" spans="1:31">
      <c r="A329" s="19"/>
      <c r="B329" s="20"/>
      <c r="C329" s="21">
        <v>240110000031</v>
      </c>
      <c r="D329" s="22">
        <v>45303</v>
      </c>
      <c r="E329" s="22" t="s">
        <v>44</v>
      </c>
      <c r="F329" s="20" t="s">
        <v>45</v>
      </c>
      <c r="G329" s="20" t="s">
        <v>91</v>
      </c>
      <c r="H329" s="20">
        <v>3</v>
      </c>
      <c r="I329" s="43">
        <v>208</v>
      </c>
      <c r="J329" s="44"/>
      <c r="K329" s="45"/>
      <c r="L329" s="44"/>
      <c r="M329" s="46"/>
      <c r="N329" s="20"/>
      <c r="O329" s="48">
        <f t="shared" si="147"/>
        <v>208</v>
      </c>
      <c r="P329" s="60"/>
      <c r="Q329" s="60"/>
      <c r="R329" s="81">
        <f t="shared" si="140"/>
        <v>132.582463465553</v>
      </c>
      <c r="S329" s="81"/>
      <c r="T329" s="82">
        <f t="shared" si="141"/>
        <v>0.203549060542797</v>
      </c>
      <c r="U329" s="81">
        <v>40</v>
      </c>
      <c r="V329" s="81"/>
      <c r="W329" s="83">
        <f t="shared" ref="W329:W350" si="150">SUM(R329:V329)</f>
        <v>172.786012526096</v>
      </c>
      <c r="X329" s="84">
        <f t="shared" si="142"/>
        <v>2.16657620041754</v>
      </c>
      <c r="Y329" s="84"/>
      <c r="Z329" s="84"/>
      <c r="AA329" s="84">
        <f t="shared" si="148"/>
        <v>2.16657620041754</v>
      </c>
      <c r="AB329" s="94">
        <v>7.17</v>
      </c>
      <c r="AC329" s="81">
        <f t="shared" ref="AC329:AC350" si="151">SUM(AA329*AB329)</f>
        <v>15.5343513569937</v>
      </c>
      <c r="AD329" s="81">
        <f t="shared" si="146"/>
        <v>188.32036388309</v>
      </c>
      <c r="AE329" s="81">
        <f t="shared" si="149"/>
        <v>19.67963611691</v>
      </c>
    </row>
    <row r="330" customFormat="1" spans="1:31">
      <c r="A330" s="19" t="s">
        <v>291</v>
      </c>
      <c r="B330" s="20" t="s">
        <v>292</v>
      </c>
      <c r="C330" s="21">
        <v>240102000032</v>
      </c>
      <c r="D330" s="22">
        <v>45304</v>
      </c>
      <c r="E330" s="22" t="s">
        <v>49</v>
      </c>
      <c r="F330" s="20" t="s">
        <v>50</v>
      </c>
      <c r="G330" s="20" t="s">
        <v>79</v>
      </c>
      <c r="H330" s="20">
        <v>71</v>
      </c>
      <c r="I330" s="43">
        <v>13500</v>
      </c>
      <c r="J330" s="44">
        <v>632654</v>
      </c>
      <c r="K330" s="45"/>
      <c r="L330" s="51">
        <f>SUM(J330/M330)</f>
        <v>1383.81818977208</v>
      </c>
      <c r="M330" s="53">
        <v>457.18</v>
      </c>
      <c r="N330" s="20">
        <v>7.17</v>
      </c>
      <c r="O330" s="48">
        <f>SUM(M330*N330)+I330</f>
        <v>16777.9806</v>
      </c>
      <c r="P330" s="49">
        <f>SUM(O330:O350)</f>
        <v>220516.5271</v>
      </c>
      <c r="Q330" s="80" t="s">
        <v>165</v>
      </c>
      <c r="R330" s="81">
        <f>SUM(134223/4276)*H330</f>
        <v>2228.67937324602</v>
      </c>
      <c r="S330" s="81"/>
      <c r="T330" s="82">
        <f>SUM(130/4276)*H330</f>
        <v>2.15855940130964</v>
      </c>
      <c r="U330" s="82">
        <v>140</v>
      </c>
      <c r="V330" s="81"/>
      <c r="W330" s="83">
        <f t="shared" si="150"/>
        <v>2370.83793264733</v>
      </c>
      <c r="X330" s="84">
        <f>SUM(2999.02/4276)*H330</f>
        <v>49.7966370439663</v>
      </c>
      <c r="Y330" s="84"/>
      <c r="Z330" s="84"/>
      <c r="AA330" s="84">
        <f t="shared" si="148"/>
        <v>49.7966370439663</v>
      </c>
      <c r="AB330" s="94">
        <v>7.17</v>
      </c>
      <c r="AC330" s="81">
        <f t="shared" si="151"/>
        <v>357.041887605239</v>
      </c>
      <c r="AD330" s="81">
        <f t="shared" si="146"/>
        <v>2727.87982025257</v>
      </c>
      <c r="AE330" s="81">
        <f t="shared" si="149"/>
        <v>14050.1007797474</v>
      </c>
    </row>
    <row r="331" customFormat="1" spans="1:31">
      <c r="A331" s="19"/>
      <c r="B331" s="20"/>
      <c r="C331" s="21">
        <v>240103000045</v>
      </c>
      <c r="D331" s="22">
        <v>45304</v>
      </c>
      <c r="E331" s="22" t="s">
        <v>37</v>
      </c>
      <c r="F331" s="20" t="s">
        <v>38</v>
      </c>
      <c r="G331" s="20" t="s">
        <v>293</v>
      </c>
      <c r="H331" s="20">
        <v>575</v>
      </c>
      <c r="I331" s="43">
        <v>33350</v>
      </c>
      <c r="J331" s="44"/>
      <c r="K331" s="45"/>
      <c r="L331" s="44"/>
      <c r="M331" s="46"/>
      <c r="N331" s="20"/>
      <c r="O331" s="48">
        <f t="shared" si="147"/>
        <v>33350</v>
      </c>
      <c r="P331" s="54"/>
      <c r="Q331" s="54"/>
      <c r="R331" s="81">
        <f t="shared" ref="R331:R350" si="152">SUM(134223/4276)*H331</f>
        <v>18049.1639382601</v>
      </c>
      <c r="S331" s="81"/>
      <c r="T331" s="82">
        <f t="shared" ref="T331:T350" si="153">SUM(130/4276)*H331</f>
        <v>17.4812909260992</v>
      </c>
      <c r="U331" s="81"/>
      <c r="V331" s="81"/>
      <c r="W331" s="83">
        <f t="shared" si="150"/>
        <v>18066.6452291862</v>
      </c>
      <c r="X331" s="84">
        <f t="shared" ref="X331:X350" si="154">SUM(2999.02/4276)*H331</f>
        <v>403.282623947615</v>
      </c>
      <c r="Y331" s="84"/>
      <c r="Z331" s="84"/>
      <c r="AA331" s="84">
        <f t="shared" si="148"/>
        <v>403.282623947615</v>
      </c>
      <c r="AB331" s="94">
        <v>7.17</v>
      </c>
      <c r="AC331" s="81">
        <f t="shared" si="151"/>
        <v>2891.5364137044</v>
      </c>
      <c r="AD331" s="81">
        <f t="shared" si="146"/>
        <v>20958.1816428906</v>
      </c>
      <c r="AE331" s="81">
        <f t="shared" si="149"/>
        <v>12391.8183571094</v>
      </c>
    </row>
    <row r="332" customFormat="1" spans="1:31">
      <c r="A332" s="19"/>
      <c r="B332" s="20"/>
      <c r="C332" s="21">
        <v>240103000049</v>
      </c>
      <c r="D332" s="22">
        <v>45304</v>
      </c>
      <c r="E332" s="22" t="s">
        <v>49</v>
      </c>
      <c r="F332" s="20" t="s">
        <v>50</v>
      </c>
      <c r="G332" s="20" t="s">
        <v>64</v>
      </c>
      <c r="H332" s="20">
        <v>63</v>
      </c>
      <c r="I332" s="50"/>
      <c r="J332" s="51">
        <v>659232</v>
      </c>
      <c r="K332" s="52"/>
      <c r="L332" s="51">
        <f>SUM(J332/M332)</f>
        <v>1563.08713692946</v>
      </c>
      <c r="M332" s="53">
        <v>421.75</v>
      </c>
      <c r="N332" s="20">
        <v>7.17</v>
      </c>
      <c r="O332" s="48">
        <f>SUM(M332*N332)</f>
        <v>3023.9475</v>
      </c>
      <c r="P332" s="54"/>
      <c r="Q332" s="54"/>
      <c r="R332" s="81">
        <f t="shared" si="152"/>
        <v>1977.56057062675</v>
      </c>
      <c r="S332" s="81"/>
      <c r="T332" s="82">
        <f t="shared" si="153"/>
        <v>1.91534144059869</v>
      </c>
      <c r="U332" s="81"/>
      <c r="V332" s="81"/>
      <c r="W332" s="83">
        <f t="shared" si="150"/>
        <v>1979.47591206735</v>
      </c>
      <c r="X332" s="84">
        <f t="shared" si="154"/>
        <v>44.185748362956</v>
      </c>
      <c r="Y332" s="84"/>
      <c r="Z332" s="84"/>
      <c r="AA332" s="84">
        <f t="shared" si="148"/>
        <v>44.185748362956</v>
      </c>
      <c r="AB332" s="94">
        <v>7.17</v>
      </c>
      <c r="AC332" s="81">
        <f t="shared" si="151"/>
        <v>316.811815762395</v>
      </c>
      <c r="AD332" s="81">
        <f t="shared" si="146"/>
        <v>2296.28772782975</v>
      </c>
      <c r="AE332" s="81">
        <f t="shared" si="149"/>
        <v>727.65977217025</v>
      </c>
    </row>
    <row r="333" customFormat="1" spans="1:31">
      <c r="A333" s="19"/>
      <c r="B333" s="20"/>
      <c r="C333" s="21">
        <v>240105000026</v>
      </c>
      <c r="D333" s="22">
        <v>45304</v>
      </c>
      <c r="E333" s="22" t="s">
        <v>37</v>
      </c>
      <c r="F333" s="20" t="s">
        <v>38</v>
      </c>
      <c r="G333" s="20" t="s">
        <v>294</v>
      </c>
      <c r="H333" s="20">
        <v>32</v>
      </c>
      <c r="I333" s="43">
        <v>1376</v>
      </c>
      <c r="J333" s="44"/>
      <c r="K333" s="45"/>
      <c r="L333" s="44"/>
      <c r="M333" s="46"/>
      <c r="N333" s="20"/>
      <c r="O333" s="48">
        <f t="shared" ref="O333:O339" si="155">SUM(I333)</f>
        <v>1376</v>
      </c>
      <c r="P333" s="54"/>
      <c r="Q333" s="54"/>
      <c r="R333" s="81">
        <f t="shared" si="152"/>
        <v>1004.47521047708</v>
      </c>
      <c r="S333" s="81"/>
      <c r="T333" s="82">
        <f t="shared" si="153"/>
        <v>0.972871842843779</v>
      </c>
      <c r="U333" s="81"/>
      <c r="V333" s="81"/>
      <c r="W333" s="83">
        <f t="shared" si="150"/>
        <v>1005.44808231993</v>
      </c>
      <c r="X333" s="84">
        <f t="shared" si="154"/>
        <v>22.4435547240412</v>
      </c>
      <c r="Y333" s="84"/>
      <c r="Z333" s="84"/>
      <c r="AA333" s="84">
        <f t="shared" si="148"/>
        <v>22.4435547240412</v>
      </c>
      <c r="AB333" s="94">
        <v>7.17</v>
      </c>
      <c r="AC333" s="81">
        <f t="shared" si="151"/>
        <v>160.920287371375</v>
      </c>
      <c r="AD333" s="81">
        <f t="shared" si="146"/>
        <v>1166.3683696913</v>
      </c>
      <c r="AE333" s="81">
        <f t="shared" si="149"/>
        <v>209.6316303087</v>
      </c>
    </row>
    <row r="334" customFormat="1" spans="1:31">
      <c r="A334" s="19"/>
      <c r="B334" s="20"/>
      <c r="C334" s="21">
        <v>240105000030</v>
      </c>
      <c r="D334" s="22">
        <v>45304</v>
      </c>
      <c r="E334" s="22" t="s">
        <v>37</v>
      </c>
      <c r="F334" s="20" t="s">
        <v>38</v>
      </c>
      <c r="G334" s="20" t="s">
        <v>293</v>
      </c>
      <c r="H334" s="20">
        <v>614</v>
      </c>
      <c r="I334" s="43">
        <v>30472</v>
      </c>
      <c r="J334" s="44"/>
      <c r="K334" s="45"/>
      <c r="L334" s="44"/>
      <c r="M334" s="46"/>
      <c r="N334" s="20"/>
      <c r="O334" s="48">
        <f t="shared" si="155"/>
        <v>30472</v>
      </c>
      <c r="P334" s="54"/>
      <c r="Q334" s="54"/>
      <c r="R334" s="81">
        <f t="shared" si="152"/>
        <v>19273.368101029</v>
      </c>
      <c r="S334" s="81"/>
      <c r="T334" s="82">
        <f t="shared" si="153"/>
        <v>18.666978484565</v>
      </c>
      <c r="U334" s="81"/>
      <c r="V334" s="81"/>
      <c r="W334" s="83">
        <f t="shared" si="150"/>
        <v>19292.0350795136</v>
      </c>
      <c r="X334" s="84">
        <f t="shared" si="154"/>
        <v>430.63570626754</v>
      </c>
      <c r="Y334" s="84"/>
      <c r="Z334" s="84"/>
      <c r="AA334" s="84">
        <f t="shared" si="148"/>
        <v>430.63570626754</v>
      </c>
      <c r="AB334" s="94">
        <v>7.17</v>
      </c>
      <c r="AC334" s="81">
        <f t="shared" si="151"/>
        <v>3087.65801393826</v>
      </c>
      <c r="AD334" s="81">
        <f t="shared" si="146"/>
        <v>22379.6930934518</v>
      </c>
      <c r="AE334" s="81">
        <f t="shared" si="149"/>
        <v>8092.3069065482</v>
      </c>
    </row>
    <row r="335" customFormat="1" spans="1:31">
      <c r="A335" s="19"/>
      <c r="B335" s="20"/>
      <c r="C335" s="21">
        <v>240106000004</v>
      </c>
      <c r="D335" s="22">
        <v>45304</v>
      </c>
      <c r="E335" s="22" t="s">
        <v>37</v>
      </c>
      <c r="F335" s="20" t="s">
        <v>38</v>
      </c>
      <c r="G335" s="20" t="s">
        <v>295</v>
      </c>
      <c r="H335" s="20">
        <v>218.5</v>
      </c>
      <c r="I335" s="43">
        <v>9395.5</v>
      </c>
      <c r="J335" s="44"/>
      <c r="K335" s="45"/>
      <c r="L335" s="44"/>
      <c r="M335" s="46"/>
      <c r="N335" s="20"/>
      <c r="O335" s="48">
        <f t="shared" si="155"/>
        <v>9395.5</v>
      </c>
      <c r="P335" s="54"/>
      <c r="Q335" s="54"/>
      <c r="R335" s="81">
        <f t="shared" si="152"/>
        <v>6858.68229653882</v>
      </c>
      <c r="S335" s="81"/>
      <c r="T335" s="82">
        <f t="shared" si="153"/>
        <v>6.64289055191768</v>
      </c>
      <c r="U335" s="81"/>
      <c r="V335" s="81"/>
      <c r="W335" s="83">
        <f t="shared" si="150"/>
        <v>6865.32518709074</v>
      </c>
      <c r="X335" s="84">
        <f t="shared" si="154"/>
        <v>153.247397100094</v>
      </c>
      <c r="Y335" s="84"/>
      <c r="Z335" s="84"/>
      <c r="AA335" s="84">
        <f t="shared" si="148"/>
        <v>153.247397100094</v>
      </c>
      <c r="AB335" s="94">
        <v>7.17</v>
      </c>
      <c r="AC335" s="81">
        <f t="shared" si="151"/>
        <v>1098.78383720767</v>
      </c>
      <c r="AD335" s="81">
        <f t="shared" si="146"/>
        <v>7964.10902429841</v>
      </c>
      <c r="AE335" s="81">
        <f t="shared" si="149"/>
        <v>1431.39097570159</v>
      </c>
    </row>
    <row r="336" customFormat="1" spans="1:31">
      <c r="A336" s="19"/>
      <c r="B336" s="20"/>
      <c r="C336" s="21">
        <v>240106000016</v>
      </c>
      <c r="D336" s="22">
        <v>45304</v>
      </c>
      <c r="E336" s="22" t="s">
        <v>44</v>
      </c>
      <c r="F336" s="20" t="s">
        <v>45</v>
      </c>
      <c r="G336" s="20" t="s">
        <v>296</v>
      </c>
      <c r="H336" s="20">
        <v>248</v>
      </c>
      <c r="I336" s="43">
        <v>11560</v>
      </c>
      <c r="J336" s="44"/>
      <c r="K336" s="45"/>
      <c r="L336" s="44"/>
      <c r="M336" s="46"/>
      <c r="N336" s="20"/>
      <c r="O336" s="48">
        <f t="shared" si="155"/>
        <v>11560</v>
      </c>
      <c r="P336" s="54"/>
      <c r="Q336" s="54"/>
      <c r="R336" s="81">
        <f t="shared" si="152"/>
        <v>7784.68288119738</v>
      </c>
      <c r="S336" s="81"/>
      <c r="T336" s="82">
        <f t="shared" si="153"/>
        <v>7.53975678203929</v>
      </c>
      <c r="U336" s="81"/>
      <c r="V336" s="81"/>
      <c r="W336" s="83">
        <f t="shared" si="150"/>
        <v>7792.22263797942</v>
      </c>
      <c r="X336" s="84">
        <f t="shared" si="154"/>
        <v>173.937549111319</v>
      </c>
      <c r="Y336" s="84">
        <v>55.7</v>
      </c>
      <c r="Z336" s="84"/>
      <c r="AA336" s="84">
        <f t="shared" si="148"/>
        <v>229.637549111319</v>
      </c>
      <c r="AB336" s="94">
        <v>7.17</v>
      </c>
      <c r="AC336" s="81">
        <f t="shared" si="151"/>
        <v>1646.50122712816</v>
      </c>
      <c r="AD336" s="81">
        <f t="shared" si="146"/>
        <v>9438.72386510758</v>
      </c>
      <c r="AE336" s="81">
        <f t="shared" si="149"/>
        <v>2121.27613489242</v>
      </c>
    </row>
    <row r="337" customFormat="1" spans="1:31">
      <c r="A337" s="19"/>
      <c r="B337" s="20"/>
      <c r="C337" s="21">
        <v>240108000003</v>
      </c>
      <c r="D337" s="22">
        <v>45304</v>
      </c>
      <c r="E337" s="22" t="s">
        <v>37</v>
      </c>
      <c r="F337" s="20" t="s">
        <v>38</v>
      </c>
      <c r="G337" s="20" t="s">
        <v>297</v>
      </c>
      <c r="H337" s="20">
        <v>764</v>
      </c>
      <c r="I337" s="43">
        <v>33492</v>
      </c>
      <c r="J337" s="44"/>
      <c r="K337" s="45"/>
      <c r="L337" s="44"/>
      <c r="M337" s="46"/>
      <c r="N337" s="20"/>
      <c r="O337" s="48">
        <f t="shared" si="155"/>
        <v>33492</v>
      </c>
      <c r="P337" s="54"/>
      <c r="Q337" s="54"/>
      <c r="R337" s="81">
        <f t="shared" si="152"/>
        <v>23981.8456501403</v>
      </c>
      <c r="S337" s="81"/>
      <c r="T337" s="82">
        <f t="shared" si="153"/>
        <v>23.2273152478952</v>
      </c>
      <c r="U337" s="81"/>
      <c r="V337" s="81"/>
      <c r="W337" s="83">
        <f t="shared" si="150"/>
        <v>24005.0729653882</v>
      </c>
      <c r="X337" s="84">
        <f t="shared" si="154"/>
        <v>535.839869036483</v>
      </c>
      <c r="Y337" s="84"/>
      <c r="Z337" s="84"/>
      <c r="AA337" s="84">
        <f t="shared" si="148"/>
        <v>535.839869036483</v>
      </c>
      <c r="AB337" s="94">
        <v>7.17</v>
      </c>
      <c r="AC337" s="81">
        <f t="shared" si="151"/>
        <v>3841.97186099158</v>
      </c>
      <c r="AD337" s="81">
        <f t="shared" si="146"/>
        <v>27847.0448263798</v>
      </c>
      <c r="AE337" s="81">
        <f t="shared" si="149"/>
        <v>5644.9551736202</v>
      </c>
    </row>
    <row r="338" customFormat="1" spans="1:31">
      <c r="A338" s="19"/>
      <c r="B338" s="20"/>
      <c r="C338" s="21">
        <v>240108000012</v>
      </c>
      <c r="D338" s="22">
        <v>45304</v>
      </c>
      <c r="E338" s="22" t="s">
        <v>58</v>
      </c>
      <c r="F338" s="20" t="s">
        <v>59</v>
      </c>
      <c r="G338" s="20" t="s">
        <v>298</v>
      </c>
      <c r="H338" s="20">
        <v>82.5</v>
      </c>
      <c r="I338" s="43">
        <v>3647.5</v>
      </c>
      <c r="J338" s="44"/>
      <c r="K338" s="45"/>
      <c r="L338" s="44"/>
      <c r="M338" s="46"/>
      <c r="N338" s="20"/>
      <c r="O338" s="48">
        <f t="shared" si="155"/>
        <v>3647.5</v>
      </c>
      <c r="P338" s="54"/>
      <c r="Q338" s="54"/>
      <c r="R338" s="81">
        <f t="shared" si="152"/>
        <v>2589.66265201123</v>
      </c>
      <c r="S338" s="81"/>
      <c r="T338" s="82">
        <f t="shared" si="153"/>
        <v>2.50818521983162</v>
      </c>
      <c r="U338" s="81">
        <v>100</v>
      </c>
      <c r="V338" s="81"/>
      <c r="W338" s="83">
        <f t="shared" si="150"/>
        <v>2692.17083723106</v>
      </c>
      <c r="X338" s="84">
        <f t="shared" si="154"/>
        <v>57.8622895229186</v>
      </c>
      <c r="Y338" s="84"/>
      <c r="Z338" s="84"/>
      <c r="AA338" s="84">
        <f t="shared" si="148"/>
        <v>57.8622895229186</v>
      </c>
      <c r="AB338" s="94">
        <v>7.17</v>
      </c>
      <c r="AC338" s="81">
        <f t="shared" si="151"/>
        <v>414.872615879326</v>
      </c>
      <c r="AD338" s="81">
        <f t="shared" si="146"/>
        <v>3107.04345311038</v>
      </c>
      <c r="AE338" s="81">
        <f t="shared" si="149"/>
        <v>540.45654688962</v>
      </c>
    </row>
    <row r="339" customFormat="1" spans="1:31">
      <c r="A339" s="19"/>
      <c r="B339" s="20"/>
      <c r="C339" s="21">
        <v>240109000007</v>
      </c>
      <c r="D339" s="22">
        <v>45304</v>
      </c>
      <c r="E339" s="22" t="s">
        <v>49</v>
      </c>
      <c r="F339" s="20" t="s">
        <v>50</v>
      </c>
      <c r="G339" s="20" t="s">
        <v>299</v>
      </c>
      <c r="H339" s="20">
        <v>25.5</v>
      </c>
      <c r="I339" s="43">
        <v>1542.5</v>
      </c>
      <c r="J339" s="44"/>
      <c r="K339" s="45"/>
      <c r="L339" s="44"/>
      <c r="M339" s="46"/>
      <c r="N339" s="20"/>
      <c r="O339" s="48">
        <f t="shared" si="155"/>
        <v>1542.5</v>
      </c>
      <c r="P339" s="54"/>
      <c r="Q339" s="54"/>
      <c r="R339" s="81">
        <f t="shared" si="152"/>
        <v>800.441183348924</v>
      </c>
      <c r="S339" s="81"/>
      <c r="T339" s="82">
        <f t="shared" si="153"/>
        <v>0.775257249766137</v>
      </c>
      <c r="U339" s="82">
        <v>140</v>
      </c>
      <c r="V339" s="81"/>
      <c r="W339" s="83">
        <f t="shared" si="150"/>
        <v>941.21644059869</v>
      </c>
      <c r="X339" s="84">
        <f t="shared" si="154"/>
        <v>17.8847076707203</v>
      </c>
      <c r="Y339" s="84"/>
      <c r="Z339" s="84"/>
      <c r="AA339" s="84">
        <f t="shared" si="148"/>
        <v>17.8847076707203</v>
      </c>
      <c r="AB339" s="94">
        <v>7.17</v>
      </c>
      <c r="AC339" s="81">
        <f t="shared" si="151"/>
        <v>128.233353999065</v>
      </c>
      <c r="AD339" s="81">
        <f t="shared" si="146"/>
        <v>1069.44979459776</v>
      </c>
      <c r="AE339" s="81">
        <f t="shared" si="149"/>
        <v>473.05020540224</v>
      </c>
    </row>
    <row r="340" customFormat="1" spans="1:31">
      <c r="A340" s="19"/>
      <c r="B340" s="20"/>
      <c r="C340" s="21">
        <v>240109000031</v>
      </c>
      <c r="D340" s="22">
        <v>45304</v>
      </c>
      <c r="E340" s="22" t="s">
        <v>49</v>
      </c>
      <c r="F340" s="20" t="s">
        <v>50</v>
      </c>
      <c r="G340" s="20" t="s">
        <v>300</v>
      </c>
      <c r="H340" s="20">
        <v>58</v>
      </c>
      <c r="I340" s="50"/>
      <c r="J340" s="51">
        <v>704440</v>
      </c>
      <c r="K340" s="52"/>
      <c r="L340" s="51">
        <f>SUM(J340/M340)</f>
        <v>1577.41054234404</v>
      </c>
      <c r="M340" s="53">
        <v>446.58</v>
      </c>
      <c r="N340" s="20">
        <v>7.17</v>
      </c>
      <c r="O340" s="48">
        <f>SUM(M340*N340)</f>
        <v>3201.9786</v>
      </c>
      <c r="P340" s="54"/>
      <c r="Q340" s="54"/>
      <c r="R340" s="81">
        <f t="shared" si="152"/>
        <v>1820.61131898971</v>
      </c>
      <c r="S340" s="81"/>
      <c r="T340" s="82">
        <f t="shared" si="153"/>
        <v>1.76333021515435</v>
      </c>
      <c r="U340" s="82">
        <v>70</v>
      </c>
      <c r="V340" s="81"/>
      <c r="W340" s="83">
        <f t="shared" si="150"/>
        <v>1892.37464920486</v>
      </c>
      <c r="X340" s="84">
        <f t="shared" si="154"/>
        <v>40.6789429373246</v>
      </c>
      <c r="Y340" s="84"/>
      <c r="Z340" s="84"/>
      <c r="AA340" s="84">
        <f t="shared" si="148"/>
        <v>40.6789429373246</v>
      </c>
      <c r="AB340" s="94">
        <v>7.17</v>
      </c>
      <c r="AC340" s="81">
        <f t="shared" si="151"/>
        <v>291.668020860617</v>
      </c>
      <c r="AD340" s="81">
        <f t="shared" si="146"/>
        <v>2184.04267006548</v>
      </c>
      <c r="AE340" s="81">
        <f t="shared" si="149"/>
        <v>1017.93592993452</v>
      </c>
    </row>
    <row r="341" customFormat="1" spans="1:31">
      <c r="A341" s="19"/>
      <c r="B341" s="20"/>
      <c r="C341" s="21">
        <v>240109000037</v>
      </c>
      <c r="D341" s="22">
        <v>45304</v>
      </c>
      <c r="E341" s="22" t="s">
        <v>44</v>
      </c>
      <c r="F341" s="20" t="s">
        <v>45</v>
      </c>
      <c r="G341" s="20" t="s">
        <v>85</v>
      </c>
      <c r="H341" s="20">
        <v>136</v>
      </c>
      <c r="I341" s="43">
        <v>6696.8</v>
      </c>
      <c r="J341" s="44"/>
      <c r="K341" s="45"/>
      <c r="L341" s="44"/>
      <c r="M341" s="46"/>
      <c r="N341" s="20"/>
      <c r="O341" s="48">
        <f t="shared" ref="O341:O344" si="156">SUM(I341)</f>
        <v>6696.8</v>
      </c>
      <c r="P341" s="54"/>
      <c r="Q341" s="54"/>
      <c r="R341" s="81">
        <f t="shared" si="152"/>
        <v>4269.0196445276</v>
      </c>
      <c r="S341" s="82">
        <v>400</v>
      </c>
      <c r="T341" s="82">
        <f t="shared" si="153"/>
        <v>4.13470533208606</v>
      </c>
      <c r="U341" s="81"/>
      <c r="V341" s="81"/>
      <c r="W341" s="83">
        <f t="shared" si="150"/>
        <v>4673.15434985968</v>
      </c>
      <c r="X341" s="84">
        <f t="shared" si="154"/>
        <v>95.3851075771749</v>
      </c>
      <c r="Y341" s="84"/>
      <c r="Z341" s="84"/>
      <c r="AA341" s="84">
        <f t="shared" si="148"/>
        <v>95.3851075771749</v>
      </c>
      <c r="AB341" s="94">
        <v>7.17</v>
      </c>
      <c r="AC341" s="81">
        <f t="shared" si="151"/>
        <v>683.911221328344</v>
      </c>
      <c r="AD341" s="81">
        <f t="shared" si="146"/>
        <v>5357.06557118803</v>
      </c>
      <c r="AE341" s="81">
        <f t="shared" si="149"/>
        <v>1339.73442881197</v>
      </c>
    </row>
    <row r="342" customFormat="1" spans="1:31">
      <c r="A342" s="19"/>
      <c r="B342" s="20"/>
      <c r="C342" s="21">
        <v>240110000018</v>
      </c>
      <c r="D342" s="22">
        <v>45304</v>
      </c>
      <c r="E342" s="22" t="s">
        <v>58</v>
      </c>
      <c r="F342" s="20" t="s">
        <v>59</v>
      </c>
      <c r="G342" s="20" t="s">
        <v>301</v>
      </c>
      <c r="H342" s="20">
        <v>54.5</v>
      </c>
      <c r="I342" s="48"/>
      <c r="J342" s="55">
        <v>585984</v>
      </c>
      <c r="K342" s="56"/>
      <c r="L342" s="51">
        <f>SUM(J342/M342)</f>
        <v>1343.1682215142</v>
      </c>
      <c r="M342" s="53">
        <v>436.27</v>
      </c>
      <c r="N342" s="20">
        <v>7.17</v>
      </c>
      <c r="O342" s="48">
        <f>SUM(M342*N342)</f>
        <v>3128.0559</v>
      </c>
      <c r="P342" s="54"/>
      <c r="Q342" s="54"/>
      <c r="R342" s="81">
        <f t="shared" si="152"/>
        <v>1710.74684284378</v>
      </c>
      <c r="S342" s="81"/>
      <c r="T342" s="82">
        <f t="shared" si="153"/>
        <v>1.65692235734331</v>
      </c>
      <c r="U342" s="81"/>
      <c r="V342" s="81"/>
      <c r="W342" s="83">
        <f t="shared" si="150"/>
        <v>1712.40376520112</v>
      </c>
      <c r="X342" s="84">
        <f t="shared" si="154"/>
        <v>38.2241791393826</v>
      </c>
      <c r="Y342" s="84"/>
      <c r="Z342" s="84"/>
      <c r="AA342" s="84">
        <f t="shared" si="148"/>
        <v>38.2241791393826</v>
      </c>
      <c r="AB342" s="94">
        <v>7.17</v>
      </c>
      <c r="AC342" s="81">
        <f t="shared" si="151"/>
        <v>274.067364429373</v>
      </c>
      <c r="AD342" s="81">
        <f t="shared" si="146"/>
        <v>1986.4711296305</v>
      </c>
      <c r="AE342" s="81">
        <f t="shared" si="149"/>
        <v>1141.5847703695</v>
      </c>
    </row>
    <row r="343" customFormat="1" spans="1:31">
      <c r="A343" s="19"/>
      <c r="B343" s="20"/>
      <c r="C343" s="21">
        <v>240110000024</v>
      </c>
      <c r="D343" s="22">
        <v>45304</v>
      </c>
      <c r="E343" s="25" t="s">
        <v>69</v>
      </c>
      <c r="F343" s="20" t="s">
        <v>69</v>
      </c>
      <c r="G343" s="20" t="s">
        <v>252</v>
      </c>
      <c r="H343" s="20">
        <v>100</v>
      </c>
      <c r="I343" s="43">
        <v>5208</v>
      </c>
      <c r="J343" s="44"/>
      <c r="K343" s="45"/>
      <c r="L343" s="44"/>
      <c r="M343" s="46"/>
      <c r="N343" s="20"/>
      <c r="O343" s="48">
        <f t="shared" si="156"/>
        <v>5208</v>
      </c>
      <c r="P343" s="54"/>
      <c r="Q343" s="54"/>
      <c r="R343" s="81">
        <f t="shared" si="152"/>
        <v>3138.98503274088</v>
      </c>
      <c r="S343" s="81"/>
      <c r="T343" s="82">
        <f t="shared" si="153"/>
        <v>3.04022450888681</v>
      </c>
      <c r="U343" s="81"/>
      <c r="V343" s="81"/>
      <c r="W343" s="83">
        <f t="shared" si="150"/>
        <v>3142.02525724977</v>
      </c>
      <c r="X343" s="84">
        <f t="shared" si="154"/>
        <v>70.1361085126286</v>
      </c>
      <c r="Y343" s="84"/>
      <c r="Z343" s="84"/>
      <c r="AA343" s="84">
        <f t="shared" si="148"/>
        <v>70.1361085126286</v>
      </c>
      <c r="AB343" s="94">
        <v>7.17</v>
      </c>
      <c r="AC343" s="81">
        <f t="shared" si="151"/>
        <v>502.875898035547</v>
      </c>
      <c r="AD343" s="81">
        <f t="shared" si="146"/>
        <v>3644.90115528531</v>
      </c>
      <c r="AE343" s="81">
        <f t="shared" si="149"/>
        <v>1563.09884471469</v>
      </c>
    </row>
    <row r="344" customFormat="1" spans="1:31">
      <c r="A344" s="19"/>
      <c r="B344" s="20"/>
      <c r="C344" s="21">
        <v>240111000009</v>
      </c>
      <c r="D344" s="22">
        <v>45304</v>
      </c>
      <c r="E344" s="22" t="s">
        <v>58</v>
      </c>
      <c r="F344" s="20" t="s">
        <v>59</v>
      </c>
      <c r="G344" s="20" t="s">
        <v>302</v>
      </c>
      <c r="H344" s="20">
        <v>237.5</v>
      </c>
      <c r="I344" s="43">
        <v>10880</v>
      </c>
      <c r="J344" s="44"/>
      <c r="K344" s="45"/>
      <c r="L344" s="44"/>
      <c r="M344" s="46"/>
      <c r="N344" s="20"/>
      <c r="O344" s="48">
        <f t="shared" si="156"/>
        <v>10880</v>
      </c>
      <c r="P344" s="54"/>
      <c r="Q344" s="54"/>
      <c r="R344" s="81">
        <f t="shared" si="152"/>
        <v>7455.08945275959</v>
      </c>
      <c r="S344" s="81"/>
      <c r="T344" s="82">
        <f t="shared" si="153"/>
        <v>7.22053320860617</v>
      </c>
      <c r="U344" s="81"/>
      <c r="V344" s="81"/>
      <c r="W344" s="83">
        <f t="shared" si="150"/>
        <v>7462.30998596819</v>
      </c>
      <c r="X344" s="84">
        <f t="shared" si="154"/>
        <v>166.573257717493</v>
      </c>
      <c r="Y344" s="84">
        <v>11.2</v>
      </c>
      <c r="Z344" s="84"/>
      <c r="AA344" s="84">
        <f t="shared" si="148"/>
        <v>177.773257717493</v>
      </c>
      <c r="AB344" s="94">
        <v>7.17</v>
      </c>
      <c r="AC344" s="81">
        <f t="shared" si="151"/>
        <v>1274.63425783442</v>
      </c>
      <c r="AD344" s="81">
        <f t="shared" si="146"/>
        <v>8736.94424380262</v>
      </c>
      <c r="AE344" s="81">
        <f t="shared" si="149"/>
        <v>2143.05575619738</v>
      </c>
    </row>
    <row r="345" customFormat="1" spans="1:31">
      <c r="A345" s="19"/>
      <c r="B345" s="20"/>
      <c r="C345" s="21">
        <v>240111000018</v>
      </c>
      <c r="D345" s="22">
        <v>45304</v>
      </c>
      <c r="E345" s="22" t="s">
        <v>49</v>
      </c>
      <c r="F345" s="20" t="s">
        <v>50</v>
      </c>
      <c r="G345" s="20" t="s">
        <v>303</v>
      </c>
      <c r="H345" s="20">
        <v>160</v>
      </c>
      <c r="I345" s="95">
        <v>-34012.46</v>
      </c>
      <c r="J345" s="51">
        <v>7415200</v>
      </c>
      <c r="K345" s="96"/>
      <c r="L345" s="51">
        <f>SUM(J345/M345)</f>
        <v>1265.50694858067</v>
      </c>
      <c r="M345" s="53">
        <v>5859.47</v>
      </c>
      <c r="N345" s="20">
        <v>7.17</v>
      </c>
      <c r="O345" s="48">
        <f t="shared" ref="O345:O348" si="157">SUM(M345*N345+I345)</f>
        <v>7999.9399</v>
      </c>
      <c r="P345" s="54"/>
      <c r="Q345" s="54"/>
      <c r="R345" s="81">
        <f t="shared" si="152"/>
        <v>5022.37605238541</v>
      </c>
      <c r="S345" s="81"/>
      <c r="T345" s="82">
        <f t="shared" si="153"/>
        <v>4.8643592142189</v>
      </c>
      <c r="U345" s="81"/>
      <c r="V345" s="81"/>
      <c r="W345" s="83">
        <f t="shared" si="150"/>
        <v>5027.24041159963</v>
      </c>
      <c r="X345" s="84">
        <f t="shared" si="154"/>
        <v>112.217773620206</v>
      </c>
      <c r="Y345" s="84"/>
      <c r="Z345" s="84"/>
      <c r="AA345" s="84">
        <f t="shared" si="148"/>
        <v>112.217773620206</v>
      </c>
      <c r="AB345" s="94">
        <v>7.17</v>
      </c>
      <c r="AC345" s="81">
        <f t="shared" si="151"/>
        <v>804.601436856876</v>
      </c>
      <c r="AD345" s="81">
        <f t="shared" si="146"/>
        <v>5831.8418484565</v>
      </c>
      <c r="AE345" s="81">
        <f t="shared" ref="AE345:AE376" si="158">SUM(O345-AD345)</f>
        <v>2168.0980515435</v>
      </c>
    </row>
    <row r="346" customFormat="1" spans="1:31">
      <c r="A346" s="19"/>
      <c r="B346" s="20"/>
      <c r="C346" s="21">
        <v>240111000024</v>
      </c>
      <c r="D346" s="22">
        <v>45304</v>
      </c>
      <c r="E346" s="22" t="s">
        <v>58</v>
      </c>
      <c r="F346" s="20" t="s">
        <v>59</v>
      </c>
      <c r="G346" s="20" t="s">
        <v>304</v>
      </c>
      <c r="H346" s="20">
        <v>401</v>
      </c>
      <c r="I346" s="43">
        <v>17071</v>
      </c>
      <c r="J346" s="44"/>
      <c r="K346" s="45"/>
      <c r="L346" s="44"/>
      <c r="M346" s="46"/>
      <c r="N346" s="20"/>
      <c r="O346" s="48">
        <f t="shared" ref="O346:O353" si="159">SUM(I346)</f>
        <v>17071</v>
      </c>
      <c r="P346" s="54"/>
      <c r="Q346" s="54"/>
      <c r="R346" s="81">
        <f t="shared" si="152"/>
        <v>12587.3299812909</v>
      </c>
      <c r="S346" s="81"/>
      <c r="T346" s="82">
        <f t="shared" si="153"/>
        <v>12.1913002806361</v>
      </c>
      <c r="U346" s="81"/>
      <c r="V346" s="81"/>
      <c r="W346" s="83">
        <f t="shared" si="150"/>
        <v>12599.5212815716</v>
      </c>
      <c r="X346" s="84">
        <f t="shared" si="154"/>
        <v>281.245795135641</v>
      </c>
      <c r="Y346" s="84"/>
      <c r="Z346" s="84"/>
      <c r="AA346" s="84">
        <f t="shared" si="148"/>
        <v>281.245795135641</v>
      </c>
      <c r="AB346" s="94">
        <v>7.17</v>
      </c>
      <c r="AC346" s="81">
        <f t="shared" si="151"/>
        <v>2016.53235112254</v>
      </c>
      <c r="AD346" s="81">
        <f t="shared" si="146"/>
        <v>14616.0536326941</v>
      </c>
      <c r="AE346" s="81">
        <f t="shared" si="158"/>
        <v>2454.9463673059</v>
      </c>
    </row>
    <row r="347" customFormat="1" spans="1:31">
      <c r="A347" s="19"/>
      <c r="B347" s="20"/>
      <c r="C347" s="21">
        <v>240111000028</v>
      </c>
      <c r="D347" s="22">
        <v>45304</v>
      </c>
      <c r="E347" s="25" t="s">
        <v>69</v>
      </c>
      <c r="F347" s="20" t="s">
        <v>69</v>
      </c>
      <c r="G347" s="20" t="s">
        <v>305</v>
      </c>
      <c r="H347" s="20">
        <v>105</v>
      </c>
      <c r="I347" s="50"/>
      <c r="J347" s="51">
        <v>1222556</v>
      </c>
      <c r="K347" s="52"/>
      <c r="L347" s="51">
        <f>SUM(J347/M347)</f>
        <v>1552.8464371904</v>
      </c>
      <c r="M347" s="53">
        <v>787.3</v>
      </c>
      <c r="N347" s="20">
        <v>7.17</v>
      </c>
      <c r="O347" s="48">
        <f t="shared" si="157"/>
        <v>5644.941</v>
      </c>
      <c r="P347" s="54"/>
      <c r="Q347" s="54"/>
      <c r="R347" s="81">
        <f t="shared" si="152"/>
        <v>3295.93428437792</v>
      </c>
      <c r="S347" s="81"/>
      <c r="T347" s="82">
        <f t="shared" si="153"/>
        <v>3.19223573433115</v>
      </c>
      <c r="U347" s="81"/>
      <c r="V347" s="81"/>
      <c r="W347" s="83">
        <f t="shared" si="150"/>
        <v>3299.12652011225</v>
      </c>
      <c r="X347" s="84">
        <f t="shared" si="154"/>
        <v>73.6429139382601</v>
      </c>
      <c r="Y347" s="84"/>
      <c r="Z347" s="84"/>
      <c r="AA347" s="84">
        <f t="shared" si="148"/>
        <v>73.6429139382601</v>
      </c>
      <c r="AB347" s="94">
        <v>7.17</v>
      </c>
      <c r="AC347" s="81">
        <f t="shared" si="151"/>
        <v>528.019692937325</v>
      </c>
      <c r="AD347" s="81">
        <f t="shared" si="146"/>
        <v>3827.14621304958</v>
      </c>
      <c r="AE347" s="81">
        <f t="shared" si="158"/>
        <v>1817.79478695042</v>
      </c>
    </row>
    <row r="348" customFormat="1" spans="1:31">
      <c r="A348" s="19"/>
      <c r="B348" s="20"/>
      <c r="C348" s="21">
        <v>240111000048</v>
      </c>
      <c r="D348" s="22">
        <v>45304</v>
      </c>
      <c r="E348" s="22" t="s">
        <v>49</v>
      </c>
      <c r="F348" s="20" t="s">
        <v>50</v>
      </c>
      <c r="G348" s="20" t="s">
        <v>64</v>
      </c>
      <c r="H348" s="20">
        <v>76</v>
      </c>
      <c r="I348" s="50"/>
      <c r="J348" s="51">
        <v>795264</v>
      </c>
      <c r="K348" s="52"/>
      <c r="L348" s="51">
        <f>SUM(J348/M348)</f>
        <v>1563.0803097606</v>
      </c>
      <c r="M348" s="53">
        <v>508.78</v>
      </c>
      <c r="N348" s="20">
        <v>7.17</v>
      </c>
      <c r="O348" s="48">
        <f t="shared" si="157"/>
        <v>3647.9526</v>
      </c>
      <c r="P348" s="54"/>
      <c r="Q348" s="54"/>
      <c r="R348" s="81">
        <f t="shared" si="152"/>
        <v>2385.62862488307</v>
      </c>
      <c r="S348" s="81"/>
      <c r="T348" s="82">
        <f t="shared" si="153"/>
        <v>2.31057062675398</v>
      </c>
      <c r="U348" s="81"/>
      <c r="V348" s="81"/>
      <c r="W348" s="83">
        <f t="shared" si="150"/>
        <v>2387.93919550982</v>
      </c>
      <c r="X348" s="84">
        <f t="shared" si="154"/>
        <v>53.3034424695978</v>
      </c>
      <c r="Y348" s="84"/>
      <c r="Z348" s="84"/>
      <c r="AA348" s="84">
        <f t="shared" si="148"/>
        <v>53.3034424695978</v>
      </c>
      <c r="AB348" s="94">
        <v>7.17</v>
      </c>
      <c r="AC348" s="81">
        <f t="shared" ref="AC348:AC379" si="160">SUM(AA348*AB348)</f>
        <v>382.185682507016</v>
      </c>
      <c r="AD348" s="81">
        <f t="shared" ref="AD348:AD379" si="161">SUM(W348+AC348)</f>
        <v>2770.12487801684</v>
      </c>
      <c r="AE348" s="81">
        <f t="shared" si="158"/>
        <v>877.82772198316</v>
      </c>
    </row>
    <row r="349" customFormat="1" spans="1:31">
      <c r="A349" s="19"/>
      <c r="B349" s="20"/>
      <c r="C349" s="21">
        <v>240111000050</v>
      </c>
      <c r="D349" s="22">
        <v>45304</v>
      </c>
      <c r="E349" s="25" t="s">
        <v>69</v>
      </c>
      <c r="F349" s="20" t="s">
        <v>69</v>
      </c>
      <c r="G349" s="20" t="s">
        <v>274</v>
      </c>
      <c r="H349" s="20">
        <v>174.5</v>
      </c>
      <c r="I349" s="43">
        <v>7852.5</v>
      </c>
      <c r="J349" s="44"/>
      <c r="K349" s="45"/>
      <c r="L349" s="44"/>
      <c r="M349" s="46"/>
      <c r="N349" s="20"/>
      <c r="O349" s="48">
        <f t="shared" si="159"/>
        <v>7852.5</v>
      </c>
      <c r="P349" s="54"/>
      <c r="Q349" s="54"/>
      <c r="R349" s="81">
        <f t="shared" si="152"/>
        <v>5477.52888213283</v>
      </c>
      <c r="S349" s="81"/>
      <c r="T349" s="82">
        <f t="shared" si="153"/>
        <v>5.30519176800748</v>
      </c>
      <c r="U349" s="81"/>
      <c r="V349" s="81"/>
      <c r="W349" s="83">
        <f t="shared" ref="W349:W380" si="162">SUM(R349:V349)</f>
        <v>5482.83407390084</v>
      </c>
      <c r="X349" s="84">
        <f t="shared" si="154"/>
        <v>122.387509354537</v>
      </c>
      <c r="Y349" s="84"/>
      <c r="Z349" s="84"/>
      <c r="AA349" s="84">
        <f t="shared" si="148"/>
        <v>122.387509354537</v>
      </c>
      <c r="AB349" s="94">
        <v>7.17</v>
      </c>
      <c r="AC349" s="81">
        <f t="shared" si="160"/>
        <v>877.51844207203</v>
      </c>
      <c r="AD349" s="81">
        <f t="shared" si="161"/>
        <v>6360.35251597287</v>
      </c>
      <c r="AE349" s="81">
        <f t="shared" si="158"/>
        <v>1492.14748402713</v>
      </c>
    </row>
    <row r="350" customFormat="1" spans="1:31">
      <c r="A350" s="19"/>
      <c r="B350" s="20"/>
      <c r="C350" s="21">
        <v>240111000052</v>
      </c>
      <c r="D350" s="22">
        <v>45304</v>
      </c>
      <c r="E350" s="25" t="s">
        <v>69</v>
      </c>
      <c r="F350" s="20" t="s">
        <v>69</v>
      </c>
      <c r="G350" s="20" t="s">
        <v>306</v>
      </c>
      <c r="H350" s="20">
        <v>80</v>
      </c>
      <c r="I350" s="50"/>
      <c r="J350" s="51">
        <v>895956</v>
      </c>
      <c r="K350" s="52"/>
      <c r="L350" s="51">
        <f>SUM(J350/M350)</f>
        <v>1412.51142992275</v>
      </c>
      <c r="M350" s="53">
        <v>634.3</v>
      </c>
      <c r="N350" s="20">
        <v>7.17</v>
      </c>
      <c r="O350" s="48">
        <f>SUM(M350*N350)</f>
        <v>4547.931</v>
      </c>
      <c r="P350" s="60"/>
      <c r="Q350" s="60"/>
      <c r="R350" s="81">
        <f t="shared" si="152"/>
        <v>2511.1880261927</v>
      </c>
      <c r="S350" s="81"/>
      <c r="T350" s="82">
        <f t="shared" si="153"/>
        <v>2.43217960710945</v>
      </c>
      <c r="U350" s="81">
        <f>SUM(80+60)</f>
        <v>140</v>
      </c>
      <c r="V350" s="81"/>
      <c r="W350" s="83">
        <f t="shared" si="162"/>
        <v>2653.62020579981</v>
      </c>
      <c r="X350" s="84">
        <f t="shared" si="154"/>
        <v>56.1088868101029</v>
      </c>
      <c r="Y350" s="84"/>
      <c r="Z350" s="84"/>
      <c r="AA350" s="84">
        <f t="shared" si="148"/>
        <v>56.1088868101029</v>
      </c>
      <c r="AB350" s="94">
        <v>7.17</v>
      </c>
      <c r="AC350" s="81">
        <f t="shared" si="160"/>
        <v>402.300718428438</v>
      </c>
      <c r="AD350" s="81">
        <f t="shared" si="161"/>
        <v>3055.92092422825</v>
      </c>
      <c r="AE350" s="81">
        <f t="shared" si="158"/>
        <v>1492.01007577175</v>
      </c>
    </row>
    <row r="351" customFormat="1" spans="1:31">
      <c r="A351" s="19" t="s">
        <v>307</v>
      </c>
      <c r="B351" s="20" t="s">
        <v>308</v>
      </c>
      <c r="C351" s="21">
        <v>231229000004</v>
      </c>
      <c r="D351" s="22">
        <v>45304</v>
      </c>
      <c r="E351" s="22" t="s">
        <v>58</v>
      </c>
      <c r="F351" s="20" t="s">
        <v>59</v>
      </c>
      <c r="G351" s="20" t="s">
        <v>182</v>
      </c>
      <c r="H351" s="20">
        <v>1.5</v>
      </c>
      <c r="I351" s="43">
        <v>58</v>
      </c>
      <c r="J351" s="44"/>
      <c r="K351" s="45"/>
      <c r="L351" s="44"/>
      <c r="M351" s="46"/>
      <c r="N351" s="20"/>
      <c r="O351" s="48">
        <f t="shared" si="159"/>
        <v>58</v>
      </c>
      <c r="P351" s="49">
        <f>SUM(O351:O423)</f>
        <v>59536.0812434</v>
      </c>
      <c r="Q351" s="80" t="s">
        <v>165</v>
      </c>
      <c r="R351" s="81">
        <f>SUM(37571/1152)*H351</f>
        <v>48.9205729166667</v>
      </c>
      <c r="S351" s="81"/>
      <c r="T351" s="82">
        <f>SUM(227.2/1152)*H351</f>
        <v>0.295833333333333</v>
      </c>
      <c r="U351" s="81"/>
      <c r="V351" s="81"/>
      <c r="W351" s="83">
        <f t="shared" si="162"/>
        <v>49.21640625</v>
      </c>
      <c r="X351" s="84">
        <f>SUM(895.28/1152)*H351</f>
        <v>1.16572916666667</v>
      </c>
      <c r="Y351" s="84"/>
      <c r="Z351" s="84"/>
      <c r="AA351" s="84">
        <f t="shared" ref="AA351:AA382" si="163">SUM(X351:Z351)</f>
        <v>1.16572916666667</v>
      </c>
      <c r="AB351" s="94">
        <v>7.17</v>
      </c>
      <c r="AC351" s="81">
        <f t="shared" si="160"/>
        <v>8.358278125</v>
      </c>
      <c r="AD351" s="81">
        <f t="shared" si="161"/>
        <v>57.574684375</v>
      </c>
      <c r="AE351" s="81">
        <f t="shared" si="158"/>
        <v>0.425315625000003</v>
      </c>
    </row>
    <row r="352" customFormat="1" spans="1:31">
      <c r="A352" s="19"/>
      <c r="B352" s="20"/>
      <c r="C352" s="21">
        <v>240103000033</v>
      </c>
      <c r="D352" s="22">
        <v>45304</v>
      </c>
      <c r="E352" s="22" t="s">
        <v>37</v>
      </c>
      <c r="F352" s="20" t="s">
        <v>38</v>
      </c>
      <c r="G352" s="20" t="s">
        <v>309</v>
      </c>
      <c r="H352" s="20">
        <v>6</v>
      </c>
      <c r="I352" s="43">
        <v>318</v>
      </c>
      <c r="J352" s="44"/>
      <c r="K352" s="45"/>
      <c r="L352" s="44"/>
      <c r="M352" s="46"/>
      <c r="N352" s="20"/>
      <c r="O352" s="48">
        <f t="shared" si="159"/>
        <v>318</v>
      </c>
      <c r="P352" s="54"/>
      <c r="Q352" s="54"/>
      <c r="R352" s="81">
        <f t="shared" ref="R352:R383" si="164">SUM(37571/1152)*H352</f>
        <v>195.682291666667</v>
      </c>
      <c r="S352" s="81"/>
      <c r="T352" s="82">
        <f t="shared" ref="T352:T383" si="165">SUM(227.2/1152)*H352</f>
        <v>1.18333333333333</v>
      </c>
      <c r="U352" s="81"/>
      <c r="V352" s="81"/>
      <c r="W352" s="83">
        <f t="shared" si="162"/>
        <v>196.865625</v>
      </c>
      <c r="X352" s="84">
        <f t="shared" ref="X352:X383" si="166">SUM(895.28/1152)*H352</f>
        <v>4.66291666666667</v>
      </c>
      <c r="Y352" s="84"/>
      <c r="Z352" s="84"/>
      <c r="AA352" s="84">
        <f t="shared" si="163"/>
        <v>4.66291666666667</v>
      </c>
      <c r="AB352" s="94">
        <v>7.17</v>
      </c>
      <c r="AC352" s="81">
        <f t="shared" si="160"/>
        <v>33.4331125</v>
      </c>
      <c r="AD352" s="81">
        <f t="shared" si="161"/>
        <v>230.2987375</v>
      </c>
      <c r="AE352" s="81">
        <f t="shared" si="158"/>
        <v>87.7012625</v>
      </c>
    </row>
    <row r="353" customFormat="1" spans="1:31">
      <c r="A353" s="19"/>
      <c r="B353" s="20"/>
      <c r="C353" s="21">
        <v>240103000034</v>
      </c>
      <c r="D353" s="22">
        <v>45304</v>
      </c>
      <c r="E353" s="22" t="s">
        <v>49</v>
      </c>
      <c r="F353" s="20" t="s">
        <v>50</v>
      </c>
      <c r="G353" s="20" t="s">
        <v>310</v>
      </c>
      <c r="H353" s="20">
        <v>3</v>
      </c>
      <c r="I353" s="43">
        <v>208</v>
      </c>
      <c r="J353" s="44"/>
      <c r="K353" s="45"/>
      <c r="L353" s="44"/>
      <c r="M353" s="46"/>
      <c r="N353" s="20"/>
      <c r="O353" s="48">
        <f t="shared" si="159"/>
        <v>208</v>
      </c>
      <c r="P353" s="54"/>
      <c r="Q353" s="54"/>
      <c r="R353" s="81">
        <f t="shared" si="164"/>
        <v>97.8411458333333</v>
      </c>
      <c r="S353" s="81"/>
      <c r="T353" s="82">
        <f t="shared" si="165"/>
        <v>0.591666666666667</v>
      </c>
      <c r="U353" s="81"/>
      <c r="V353" s="81"/>
      <c r="W353" s="83">
        <f t="shared" si="162"/>
        <v>98.4328125</v>
      </c>
      <c r="X353" s="84">
        <f t="shared" si="166"/>
        <v>2.33145833333333</v>
      </c>
      <c r="Y353" s="84">
        <v>5.6</v>
      </c>
      <c r="Z353" s="84"/>
      <c r="AA353" s="84">
        <f t="shared" si="163"/>
        <v>7.93145833333333</v>
      </c>
      <c r="AB353" s="94">
        <v>7.17</v>
      </c>
      <c r="AC353" s="81">
        <f t="shared" si="160"/>
        <v>56.86855625</v>
      </c>
      <c r="AD353" s="81">
        <f t="shared" si="161"/>
        <v>155.30136875</v>
      </c>
      <c r="AE353" s="81">
        <f t="shared" si="158"/>
        <v>52.69863125</v>
      </c>
    </row>
    <row r="354" customFormat="1" spans="1:31">
      <c r="A354" s="19"/>
      <c r="B354" s="20"/>
      <c r="C354" s="21">
        <v>240103000038</v>
      </c>
      <c r="D354" s="22">
        <v>45304</v>
      </c>
      <c r="E354" s="22" t="s">
        <v>49</v>
      </c>
      <c r="F354" s="20" t="s">
        <v>50</v>
      </c>
      <c r="G354" s="20" t="s">
        <v>53</v>
      </c>
      <c r="H354" s="20">
        <v>4</v>
      </c>
      <c r="I354" s="50"/>
      <c r="J354" s="51">
        <v>41255</v>
      </c>
      <c r="K354" s="52"/>
      <c r="L354" s="51">
        <f>SUM(J354/M354)</f>
        <v>1326.52733118971</v>
      </c>
      <c r="M354" s="53">
        <v>31.1</v>
      </c>
      <c r="N354" s="20">
        <v>7.17</v>
      </c>
      <c r="O354" s="48">
        <f t="shared" ref="O354:O361" si="167">SUM(M354*N354+I354)</f>
        <v>222.987</v>
      </c>
      <c r="P354" s="54"/>
      <c r="Q354" s="54"/>
      <c r="R354" s="81">
        <f t="shared" si="164"/>
        <v>130.454861111111</v>
      </c>
      <c r="S354" s="81"/>
      <c r="T354" s="82">
        <f t="shared" si="165"/>
        <v>0.788888888888889</v>
      </c>
      <c r="U354" s="81"/>
      <c r="V354" s="81"/>
      <c r="W354" s="83">
        <f t="shared" si="162"/>
        <v>131.24375</v>
      </c>
      <c r="X354" s="84">
        <f t="shared" si="166"/>
        <v>3.10861111111111</v>
      </c>
      <c r="Y354" s="84"/>
      <c r="Z354" s="84"/>
      <c r="AA354" s="84">
        <f t="shared" si="163"/>
        <v>3.10861111111111</v>
      </c>
      <c r="AB354" s="94">
        <v>7.17</v>
      </c>
      <c r="AC354" s="81">
        <f t="shared" si="160"/>
        <v>22.2887416666667</v>
      </c>
      <c r="AD354" s="81">
        <f t="shared" si="161"/>
        <v>153.532491666667</v>
      </c>
      <c r="AE354" s="81">
        <f t="shared" si="158"/>
        <v>69.454508333333</v>
      </c>
    </row>
    <row r="355" customFormat="1" spans="1:31">
      <c r="A355" s="19"/>
      <c r="B355" s="20"/>
      <c r="C355" s="21">
        <v>240105000011</v>
      </c>
      <c r="D355" s="22">
        <v>45304</v>
      </c>
      <c r="E355" s="22" t="s">
        <v>110</v>
      </c>
      <c r="F355" s="20" t="s">
        <v>111</v>
      </c>
      <c r="G355" s="20" t="s">
        <v>311</v>
      </c>
      <c r="H355" s="20">
        <v>0.68</v>
      </c>
      <c r="I355" s="43">
        <v>63</v>
      </c>
      <c r="J355" s="44"/>
      <c r="K355" s="45"/>
      <c r="L355" s="44"/>
      <c r="M355" s="46"/>
      <c r="N355" s="20"/>
      <c r="O355" s="48">
        <f t="shared" ref="O355:O357" si="168">SUM(I355)</f>
        <v>63</v>
      </c>
      <c r="P355" s="54"/>
      <c r="Q355" s="54"/>
      <c r="R355" s="81">
        <f t="shared" si="164"/>
        <v>22.1773263888889</v>
      </c>
      <c r="S355" s="81"/>
      <c r="T355" s="82">
        <f t="shared" si="165"/>
        <v>0.134111111111111</v>
      </c>
      <c r="U355" s="81"/>
      <c r="V355" s="81"/>
      <c r="W355" s="83">
        <f t="shared" si="162"/>
        <v>22.3114375</v>
      </c>
      <c r="X355" s="84">
        <f t="shared" si="166"/>
        <v>0.528463888888889</v>
      </c>
      <c r="Y355" s="84"/>
      <c r="Z355" s="84"/>
      <c r="AA355" s="84">
        <f t="shared" si="163"/>
        <v>0.528463888888889</v>
      </c>
      <c r="AB355" s="94">
        <v>7.17</v>
      </c>
      <c r="AC355" s="81">
        <f t="shared" si="160"/>
        <v>3.78908608333333</v>
      </c>
      <c r="AD355" s="81">
        <f t="shared" si="161"/>
        <v>26.1005235833333</v>
      </c>
      <c r="AE355" s="81">
        <f t="shared" si="158"/>
        <v>36.8994764166667</v>
      </c>
    </row>
    <row r="356" customFormat="1" spans="1:31">
      <c r="A356" s="19"/>
      <c r="B356" s="20"/>
      <c r="C356" s="21">
        <v>240105000015</v>
      </c>
      <c r="D356" s="22">
        <v>45304</v>
      </c>
      <c r="E356" s="22" t="s">
        <v>41</v>
      </c>
      <c r="F356" s="20" t="s">
        <v>42</v>
      </c>
      <c r="G356" s="20" t="s">
        <v>312</v>
      </c>
      <c r="H356" s="20">
        <v>20.5</v>
      </c>
      <c r="I356" s="43">
        <v>1072</v>
      </c>
      <c r="J356" s="44"/>
      <c r="K356" s="45"/>
      <c r="L356" s="44"/>
      <c r="M356" s="46"/>
      <c r="N356" s="20"/>
      <c r="O356" s="48">
        <f t="shared" si="168"/>
        <v>1072</v>
      </c>
      <c r="P356" s="54"/>
      <c r="Q356" s="54"/>
      <c r="R356" s="81">
        <f t="shared" si="164"/>
        <v>668.581163194444</v>
      </c>
      <c r="S356" s="81"/>
      <c r="T356" s="82">
        <f t="shared" si="165"/>
        <v>4.04305555555556</v>
      </c>
      <c r="U356" s="81"/>
      <c r="V356" s="81"/>
      <c r="W356" s="83">
        <f t="shared" si="162"/>
        <v>672.62421875</v>
      </c>
      <c r="X356" s="84">
        <f t="shared" si="166"/>
        <v>15.9316319444444</v>
      </c>
      <c r="Y356" s="84"/>
      <c r="Z356" s="84"/>
      <c r="AA356" s="84">
        <f t="shared" si="163"/>
        <v>15.9316319444444</v>
      </c>
      <c r="AB356" s="94">
        <v>7.17</v>
      </c>
      <c r="AC356" s="81">
        <f t="shared" si="160"/>
        <v>114.229801041667</v>
      </c>
      <c r="AD356" s="81">
        <f t="shared" si="161"/>
        <v>786.854019791667</v>
      </c>
      <c r="AE356" s="81">
        <f t="shared" si="158"/>
        <v>285.145980208333</v>
      </c>
    </row>
    <row r="357" customFormat="1" spans="1:31">
      <c r="A357" s="19"/>
      <c r="B357" s="20"/>
      <c r="C357" s="21">
        <v>240105000017</v>
      </c>
      <c r="D357" s="22">
        <v>45304</v>
      </c>
      <c r="E357" s="22" t="s">
        <v>44</v>
      </c>
      <c r="F357" s="20" t="s">
        <v>45</v>
      </c>
      <c r="G357" s="20" t="s">
        <v>91</v>
      </c>
      <c r="H357" s="20">
        <v>0.8</v>
      </c>
      <c r="I357" s="43">
        <v>58</v>
      </c>
      <c r="J357" s="44"/>
      <c r="K357" s="45"/>
      <c r="L357" s="44"/>
      <c r="M357" s="46"/>
      <c r="N357" s="20"/>
      <c r="O357" s="48">
        <f t="shared" si="168"/>
        <v>58</v>
      </c>
      <c r="P357" s="54"/>
      <c r="Q357" s="54"/>
      <c r="R357" s="81">
        <f t="shared" si="164"/>
        <v>26.0909722222222</v>
      </c>
      <c r="S357" s="81"/>
      <c r="T357" s="82">
        <f t="shared" si="165"/>
        <v>0.157777777777778</v>
      </c>
      <c r="U357" s="81"/>
      <c r="V357" s="81"/>
      <c r="W357" s="83">
        <f t="shared" si="162"/>
        <v>26.24875</v>
      </c>
      <c r="X357" s="84">
        <f t="shared" si="166"/>
        <v>0.621722222222222</v>
      </c>
      <c r="Y357" s="84"/>
      <c r="Z357" s="84"/>
      <c r="AA357" s="84">
        <f t="shared" si="163"/>
        <v>0.621722222222222</v>
      </c>
      <c r="AB357" s="94">
        <v>7.17</v>
      </c>
      <c r="AC357" s="81">
        <f t="shared" si="160"/>
        <v>4.45774833333333</v>
      </c>
      <c r="AD357" s="81">
        <f t="shared" si="161"/>
        <v>30.7064983333333</v>
      </c>
      <c r="AE357" s="81">
        <f t="shared" si="158"/>
        <v>27.2935016666667</v>
      </c>
    </row>
    <row r="358" customFormat="1" spans="1:31">
      <c r="A358" s="19"/>
      <c r="B358" s="20"/>
      <c r="C358" s="21">
        <v>240105000020</v>
      </c>
      <c r="D358" s="22">
        <v>45304</v>
      </c>
      <c r="E358" s="22" t="s">
        <v>41</v>
      </c>
      <c r="F358" s="20" t="s">
        <v>42</v>
      </c>
      <c r="G358" s="20" t="s">
        <v>313</v>
      </c>
      <c r="H358" s="20">
        <v>4</v>
      </c>
      <c r="I358" s="50"/>
      <c r="J358" s="51">
        <v>41478</v>
      </c>
      <c r="K358" s="52"/>
      <c r="L358" s="51">
        <f>SUM(J358/M358)</f>
        <v>1333.69774919614</v>
      </c>
      <c r="M358" s="53">
        <v>31.1</v>
      </c>
      <c r="N358" s="20">
        <v>7.17</v>
      </c>
      <c r="O358" s="48">
        <f t="shared" si="167"/>
        <v>222.987</v>
      </c>
      <c r="P358" s="54"/>
      <c r="Q358" s="54"/>
      <c r="R358" s="81">
        <f t="shared" si="164"/>
        <v>130.454861111111</v>
      </c>
      <c r="S358" s="81"/>
      <c r="T358" s="82">
        <f t="shared" si="165"/>
        <v>0.788888888888889</v>
      </c>
      <c r="U358" s="81"/>
      <c r="V358" s="81"/>
      <c r="W358" s="83">
        <f t="shared" si="162"/>
        <v>131.24375</v>
      </c>
      <c r="X358" s="84">
        <f t="shared" si="166"/>
        <v>3.10861111111111</v>
      </c>
      <c r="Y358" s="84"/>
      <c r="Z358" s="84"/>
      <c r="AA358" s="84">
        <f t="shared" si="163"/>
        <v>3.10861111111111</v>
      </c>
      <c r="AB358" s="94">
        <v>7.17</v>
      </c>
      <c r="AC358" s="81">
        <f t="shared" si="160"/>
        <v>22.2887416666667</v>
      </c>
      <c r="AD358" s="81">
        <f t="shared" si="161"/>
        <v>153.532491666667</v>
      </c>
      <c r="AE358" s="81">
        <f t="shared" si="158"/>
        <v>69.454508333333</v>
      </c>
    </row>
    <row r="359" customFormat="1" spans="1:31">
      <c r="A359" s="19"/>
      <c r="B359" s="20"/>
      <c r="C359" s="21">
        <v>240105000029</v>
      </c>
      <c r="D359" s="22">
        <v>45304</v>
      </c>
      <c r="E359" s="22" t="s">
        <v>49</v>
      </c>
      <c r="F359" s="20" t="s">
        <v>50</v>
      </c>
      <c r="G359" s="20" t="s">
        <v>314</v>
      </c>
      <c r="H359" s="20">
        <v>9</v>
      </c>
      <c r="I359" s="50"/>
      <c r="J359" s="51">
        <v>97020</v>
      </c>
      <c r="K359" s="52"/>
      <c r="L359" s="51">
        <f>SUM(J359/M359)</f>
        <v>1577.56097560976</v>
      </c>
      <c r="M359" s="53">
        <v>61.5</v>
      </c>
      <c r="N359" s="20">
        <v>7.17</v>
      </c>
      <c r="O359" s="48">
        <f t="shared" si="167"/>
        <v>440.955</v>
      </c>
      <c r="P359" s="54"/>
      <c r="Q359" s="54"/>
      <c r="R359" s="81">
        <f t="shared" si="164"/>
        <v>293.5234375</v>
      </c>
      <c r="S359" s="81"/>
      <c r="T359" s="82">
        <f t="shared" si="165"/>
        <v>1.775</v>
      </c>
      <c r="U359" s="81"/>
      <c r="V359" s="81"/>
      <c r="W359" s="83">
        <f t="shared" si="162"/>
        <v>295.2984375</v>
      </c>
      <c r="X359" s="84">
        <f t="shared" si="166"/>
        <v>6.994375</v>
      </c>
      <c r="Y359" s="84"/>
      <c r="Z359" s="84"/>
      <c r="AA359" s="84">
        <f t="shared" si="163"/>
        <v>6.994375</v>
      </c>
      <c r="AB359" s="94">
        <v>7.17</v>
      </c>
      <c r="AC359" s="81">
        <f t="shared" si="160"/>
        <v>50.14966875</v>
      </c>
      <c r="AD359" s="81">
        <f t="shared" si="161"/>
        <v>345.44810625</v>
      </c>
      <c r="AE359" s="81">
        <f t="shared" si="158"/>
        <v>95.50689375</v>
      </c>
    </row>
    <row r="360" customFormat="1" spans="1:31">
      <c r="A360" s="19"/>
      <c r="B360" s="20"/>
      <c r="C360" s="21">
        <v>240106000003</v>
      </c>
      <c r="D360" s="22">
        <v>45304</v>
      </c>
      <c r="E360" s="22" t="s">
        <v>37</v>
      </c>
      <c r="F360" s="20" t="s">
        <v>38</v>
      </c>
      <c r="G360" s="20" t="s">
        <v>315</v>
      </c>
      <c r="H360" s="20">
        <v>3.5</v>
      </c>
      <c r="I360" s="50"/>
      <c r="J360" s="51">
        <v>36363</v>
      </c>
      <c r="K360" s="52"/>
      <c r="L360" s="51">
        <f>SUM(J360/M360)</f>
        <v>1333.93250183419</v>
      </c>
      <c r="M360" s="53">
        <v>27.26</v>
      </c>
      <c r="N360" s="20">
        <v>7.17</v>
      </c>
      <c r="O360" s="48">
        <f t="shared" si="167"/>
        <v>195.4542</v>
      </c>
      <c r="P360" s="54"/>
      <c r="Q360" s="54"/>
      <c r="R360" s="81">
        <f t="shared" si="164"/>
        <v>114.148003472222</v>
      </c>
      <c r="S360" s="81"/>
      <c r="T360" s="82">
        <f t="shared" si="165"/>
        <v>0.690277777777778</v>
      </c>
      <c r="U360" s="81"/>
      <c r="V360" s="81"/>
      <c r="W360" s="83">
        <f t="shared" si="162"/>
        <v>114.83828125</v>
      </c>
      <c r="X360" s="84">
        <f t="shared" si="166"/>
        <v>2.72003472222222</v>
      </c>
      <c r="Y360" s="84"/>
      <c r="Z360" s="84"/>
      <c r="AA360" s="84">
        <f t="shared" si="163"/>
        <v>2.72003472222222</v>
      </c>
      <c r="AB360" s="94">
        <v>7.17</v>
      </c>
      <c r="AC360" s="81">
        <f t="shared" si="160"/>
        <v>19.5026489583333</v>
      </c>
      <c r="AD360" s="81">
        <f t="shared" si="161"/>
        <v>134.340930208333</v>
      </c>
      <c r="AE360" s="81">
        <f t="shared" si="158"/>
        <v>61.113269791667</v>
      </c>
    </row>
    <row r="361" customFormat="1" spans="1:31">
      <c r="A361" s="19"/>
      <c r="B361" s="20"/>
      <c r="C361" s="21">
        <v>240106000005</v>
      </c>
      <c r="D361" s="22">
        <v>45304</v>
      </c>
      <c r="E361" s="22" t="s">
        <v>37</v>
      </c>
      <c r="F361" s="20" t="s">
        <v>38</v>
      </c>
      <c r="G361" s="20" t="s">
        <v>179</v>
      </c>
      <c r="H361" s="20">
        <v>9</v>
      </c>
      <c r="I361" s="50"/>
      <c r="J361" s="51">
        <v>107730</v>
      </c>
      <c r="K361" s="52"/>
      <c r="L361" s="51">
        <f>SUM(J361/M361)</f>
        <v>1362.46363981282</v>
      </c>
      <c r="M361" s="53">
        <v>79.07</v>
      </c>
      <c r="N361" s="20">
        <v>7.17</v>
      </c>
      <c r="O361" s="48">
        <f t="shared" si="167"/>
        <v>566.9319</v>
      </c>
      <c r="P361" s="54"/>
      <c r="Q361" s="54"/>
      <c r="R361" s="81">
        <f t="shared" si="164"/>
        <v>293.5234375</v>
      </c>
      <c r="S361" s="81"/>
      <c r="T361" s="82">
        <f t="shared" si="165"/>
        <v>1.775</v>
      </c>
      <c r="U361" s="81">
        <v>40</v>
      </c>
      <c r="V361" s="81"/>
      <c r="W361" s="83">
        <f t="shared" si="162"/>
        <v>335.2984375</v>
      </c>
      <c r="X361" s="84">
        <f t="shared" si="166"/>
        <v>6.994375</v>
      </c>
      <c r="Y361" s="84"/>
      <c r="Z361" s="84"/>
      <c r="AA361" s="84">
        <f t="shared" si="163"/>
        <v>6.994375</v>
      </c>
      <c r="AB361" s="94">
        <v>7.17</v>
      </c>
      <c r="AC361" s="81">
        <f t="shared" si="160"/>
        <v>50.14966875</v>
      </c>
      <c r="AD361" s="81">
        <f t="shared" si="161"/>
        <v>385.44810625</v>
      </c>
      <c r="AE361" s="81">
        <f t="shared" si="158"/>
        <v>181.48379375</v>
      </c>
    </row>
    <row r="362" customFormat="1" spans="1:31">
      <c r="A362" s="19"/>
      <c r="B362" s="20"/>
      <c r="C362" s="21">
        <v>240106000006</v>
      </c>
      <c r="D362" s="22">
        <v>45304</v>
      </c>
      <c r="E362" s="22" t="s">
        <v>37</v>
      </c>
      <c r="F362" s="20" t="s">
        <v>38</v>
      </c>
      <c r="G362" s="20" t="s">
        <v>316</v>
      </c>
      <c r="H362" s="20">
        <v>17</v>
      </c>
      <c r="I362" s="43">
        <v>860</v>
      </c>
      <c r="J362" s="44"/>
      <c r="K362" s="45"/>
      <c r="L362" s="44"/>
      <c r="M362" s="46"/>
      <c r="N362" s="20"/>
      <c r="O362" s="48">
        <f t="shared" ref="O362:O367" si="169">SUM(I362)</f>
        <v>860</v>
      </c>
      <c r="P362" s="54"/>
      <c r="Q362" s="54"/>
      <c r="R362" s="81">
        <f t="shared" si="164"/>
        <v>554.433159722222</v>
      </c>
      <c r="S362" s="81"/>
      <c r="T362" s="82">
        <f t="shared" si="165"/>
        <v>3.35277777777778</v>
      </c>
      <c r="U362" s="81"/>
      <c r="V362" s="81"/>
      <c r="W362" s="83">
        <f t="shared" si="162"/>
        <v>557.7859375</v>
      </c>
      <c r="X362" s="84">
        <f t="shared" si="166"/>
        <v>13.2115972222222</v>
      </c>
      <c r="Y362" s="84"/>
      <c r="Z362" s="84"/>
      <c r="AA362" s="84">
        <f t="shared" si="163"/>
        <v>13.2115972222222</v>
      </c>
      <c r="AB362" s="94">
        <v>7.17</v>
      </c>
      <c r="AC362" s="81">
        <f t="shared" si="160"/>
        <v>94.7271520833333</v>
      </c>
      <c r="AD362" s="81">
        <f t="shared" si="161"/>
        <v>652.513089583333</v>
      </c>
      <c r="AE362" s="81">
        <f t="shared" si="158"/>
        <v>207.486910416667</v>
      </c>
    </row>
    <row r="363" customFormat="1" spans="1:31">
      <c r="A363" s="19"/>
      <c r="B363" s="20"/>
      <c r="C363" s="21">
        <v>240106000008</v>
      </c>
      <c r="D363" s="22">
        <v>45304</v>
      </c>
      <c r="E363" s="22" t="s">
        <v>37</v>
      </c>
      <c r="F363" s="20" t="s">
        <v>38</v>
      </c>
      <c r="G363" s="20" t="s">
        <v>317</v>
      </c>
      <c r="H363" s="20">
        <v>2.5</v>
      </c>
      <c r="I363" s="50"/>
      <c r="J363" s="51">
        <v>30141</v>
      </c>
      <c r="K363" s="52"/>
      <c r="L363" s="51">
        <f>SUM(J363/M363)</f>
        <v>1413.08016877637</v>
      </c>
      <c r="M363" s="53">
        <v>21.33</v>
      </c>
      <c r="N363" s="20">
        <v>7.17</v>
      </c>
      <c r="O363" s="48">
        <f t="shared" ref="O363:O366" si="170">SUM(M363*N363+I363)</f>
        <v>152.9361</v>
      </c>
      <c r="P363" s="54"/>
      <c r="Q363" s="54"/>
      <c r="R363" s="81">
        <f t="shared" si="164"/>
        <v>81.5342881944444</v>
      </c>
      <c r="S363" s="81"/>
      <c r="T363" s="82">
        <f t="shared" si="165"/>
        <v>0.493055555555556</v>
      </c>
      <c r="U363" s="81"/>
      <c r="V363" s="81"/>
      <c r="W363" s="83">
        <f t="shared" si="162"/>
        <v>82.02734375</v>
      </c>
      <c r="X363" s="84">
        <f t="shared" si="166"/>
        <v>1.94288194444444</v>
      </c>
      <c r="Y363" s="84"/>
      <c r="Z363" s="84"/>
      <c r="AA363" s="84">
        <f t="shared" si="163"/>
        <v>1.94288194444444</v>
      </c>
      <c r="AB363" s="94">
        <v>7.17</v>
      </c>
      <c r="AC363" s="81">
        <f t="shared" si="160"/>
        <v>13.9304635416667</v>
      </c>
      <c r="AD363" s="81">
        <f t="shared" si="161"/>
        <v>95.9578072916667</v>
      </c>
      <c r="AE363" s="81">
        <f t="shared" si="158"/>
        <v>56.9782927083333</v>
      </c>
    </row>
    <row r="364" customFormat="1" spans="1:31">
      <c r="A364" s="19"/>
      <c r="B364" s="20"/>
      <c r="C364" s="21">
        <v>240106000009</v>
      </c>
      <c r="D364" s="22">
        <v>45304</v>
      </c>
      <c r="E364" s="22" t="s">
        <v>37</v>
      </c>
      <c r="F364" s="20" t="s">
        <v>38</v>
      </c>
      <c r="G364" s="20" t="s">
        <v>155</v>
      </c>
      <c r="H364" s="20">
        <v>2</v>
      </c>
      <c r="I364" s="43">
        <v>123</v>
      </c>
      <c r="J364" s="44"/>
      <c r="K364" s="45"/>
      <c r="L364" s="44"/>
      <c r="M364" s="46"/>
      <c r="N364" s="20"/>
      <c r="O364" s="48">
        <f t="shared" si="169"/>
        <v>123</v>
      </c>
      <c r="P364" s="54"/>
      <c r="Q364" s="54"/>
      <c r="R364" s="81">
        <f t="shared" si="164"/>
        <v>65.2274305555556</v>
      </c>
      <c r="S364" s="81"/>
      <c r="T364" s="82">
        <f t="shared" si="165"/>
        <v>0.394444444444444</v>
      </c>
      <c r="U364" s="81"/>
      <c r="V364" s="81"/>
      <c r="W364" s="83">
        <f t="shared" si="162"/>
        <v>65.621875</v>
      </c>
      <c r="X364" s="84">
        <f t="shared" si="166"/>
        <v>1.55430555555556</v>
      </c>
      <c r="Y364" s="84"/>
      <c r="Z364" s="84"/>
      <c r="AA364" s="84">
        <f t="shared" si="163"/>
        <v>1.55430555555556</v>
      </c>
      <c r="AB364" s="94">
        <v>7.17</v>
      </c>
      <c r="AC364" s="81">
        <f t="shared" si="160"/>
        <v>11.1443708333333</v>
      </c>
      <c r="AD364" s="81">
        <f t="shared" si="161"/>
        <v>76.7662458333333</v>
      </c>
      <c r="AE364" s="81">
        <f t="shared" si="158"/>
        <v>46.2337541666667</v>
      </c>
    </row>
    <row r="365" customFormat="1" spans="1:31">
      <c r="A365" s="19"/>
      <c r="B365" s="20"/>
      <c r="C365" s="21">
        <v>240106000013</v>
      </c>
      <c r="D365" s="22">
        <v>45304</v>
      </c>
      <c r="E365" s="22" t="s">
        <v>49</v>
      </c>
      <c r="F365" s="20" t="s">
        <v>50</v>
      </c>
      <c r="G365" s="20" t="s">
        <v>288</v>
      </c>
      <c r="H365" s="20">
        <v>5.5</v>
      </c>
      <c r="I365" s="50"/>
      <c r="J365" s="51">
        <v>68305</v>
      </c>
      <c r="K365" s="52"/>
      <c r="L365" s="51">
        <f>SUM(J365/M365)</f>
        <v>1362.55735088769</v>
      </c>
      <c r="M365" s="53">
        <v>50.13</v>
      </c>
      <c r="N365" s="20">
        <v>7.17</v>
      </c>
      <c r="O365" s="48">
        <f t="shared" si="170"/>
        <v>359.4321</v>
      </c>
      <c r="P365" s="54"/>
      <c r="Q365" s="54"/>
      <c r="R365" s="81">
        <f t="shared" si="164"/>
        <v>179.375434027778</v>
      </c>
      <c r="S365" s="81"/>
      <c r="T365" s="82">
        <f t="shared" si="165"/>
        <v>1.08472222222222</v>
      </c>
      <c r="U365" s="81"/>
      <c r="V365" s="81">
        <v>54</v>
      </c>
      <c r="W365" s="83">
        <f t="shared" si="162"/>
        <v>234.46015625</v>
      </c>
      <c r="X365" s="84">
        <f t="shared" si="166"/>
        <v>4.27434027777778</v>
      </c>
      <c r="Y365" s="84"/>
      <c r="Z365" s="84"/>
      <c r="AA365" s="84">
        <f t="shared" si="163"/>
        <v>4.27434027777778</v>
      </c>
      <c r="AB365" s="94">
        <v>7.17</v>
      </c>
      <c r="AC365" s="81">
        <f t="shared" si="160"/>
        <v>30.6470197916667</v>
      </c>
      <c r="AD365" s="81">
        <f t="shared" si="161"/>
        <v>265.107176041667</v>
      </c>
      <c r="AE365" s="81">
        <f t="shared" si="158"/>
        <v>94.324923958333</v>
      </c>
    </row>
    <row r="366" customFormat="1" spans="1:31">
      <c r="A366" s="19"/>
      <c r="B366" s="20"/>
      <c r="C366" s="21">
        <v>240106000014</v>
      </c>
      <c r="D366" s="22">
        <v>45304</v>
      </c>
      <c r="E366" s="22" t="s">
        <v>49</v>
      </c>
      <c r="F366" s="20" t="s">
        <v>50</v>
      </c>
      <c r="G366" s="20" t="s">
        <v>53</v>
      </c>
      <c r="H366" s="20">
        <v>5.5</v>
      </c>
      <c r="I366" s="50"/>
      <c r="J366" s="51">
        <v>56517.5</v>
      </c>
      <c r="K366" s="52"/>
      <c r="L366" s="51">
        <f>SUM(J366/M366)</f>
        <v>1326.70187793427</v>
      </c>
      <c r="M366" s="53">
        <v>42.6</v>
      </c>
      <c r="N366" s="20">
        <v>7.17</v>
      </c>
      <c r="O366" s="48">
        <f t="shared" si="170"/>
        <v>305.442</v>
      </c>
      <c r="P366" s="54"/>
      <c r="Q366" s="54"/>
      <c r="R366" s="81">
        <f t="shared" si="164"/>
        <v>179.375434027778</v>
      </c>
      <c r="S366" s="81"/>
      <c r="T366" s="82">
        <f t="shared" si="165"/>
        <v>1.08472222222222</v>
      </c>
      <c r="U366" s="81"/>
      <c r="V366" s="81"/>
      <c r="W366" s="83">
        <f t="shared" si="162"/>
        <v>180.46015625</v>
      </c>
      <c r="X366" s="84">
        <f t="shared" si="166"/>
        <v>4.27434027777778</v>
      </c>
      <c r="Y366" s="84"/>
      <c r="Z366" s="84"/>
      <c r="AA366" s="84">
        <f t="shared" si="163"/>
        <v>4.27434027777778</v>
      </c>
      <c r="AB366" s="94">
        <v>7.17</v>
      </c>
      <c r="AC366" s="81">
        <f t="shared" si="160"/>
        <v>30.6470197916667</v>
      </c>
      <c r="AD366" s="81">
        <f t="shared" si="161"/>
        <v>211.107176041667</v>
      </c>
      <c r="AE366" s="81">
        <f t="shared" si="158"/>
        <v>94.334823958333</v>
      </c>
    </row>
    <row r="367" customFormat="1" spans="1:31">
      <c r="A367" s="19"/>
      <c r="B367" s="20"/>
      <c r="C367" s="21">
        <v>240106000015</v>
      </c>
      <c r="D367" s="22">
        <v>45304</v>
      </c>
      <c r="E367" s="22" t="s">
        <v>37</v>
      </c>
      <c r="F367" s="20" t="s">
        <v>38</v>
      </c>
      <c r="G367" s="20" t="s">
        <v>318</v>
      </c>
      <c r="H367" s="20">
        <v>3</v>
      </c>
      <c r="I367" s="43">
        <v>253</v>
      </c>
      <c r="J367" s="44"/>
      <c r="K367" s="45"/>
      <c r="L367" s="44"/>
      <c r="M367" s="46"/>
      <c r="N367" s="20"/>
      <c r="O367" s="48">
        <f t="shared" si="169"/>
        <v>253</v>
      </c>
      <c r="P367" s="54"/>
      <c r="Q367" s="54"/>
      <c r="R367" s="81">
        <f t="shared" si="164"/>
        <v>97.8411458333333</v>
      </c>
      <c r="S367" s="81"/>
      <c r="T367" s="82">
        <f t="shared" si="165"/>
        <v>0.591666666666667</v>
      </c>
      <c r="U367" s="81"/>
      <c r="V367" s="81"/>
      <c r="W367" s="83">
        <f t="shared" si="162"/>
        <v>98.4328125</v>
      </c>
      <c r="X367" s="84">
        <f t="shared" si="166"/>
        <v>2.33145833333333</v>
      </c>
      <c r="Y367" s="84"/>
      <c r="Z367" s="84"/>
      <c r="AA367" s="84">
        <f t="shared" si="163"/>
        <v>2.33145833333333</v>
      </c>
      <c r="AB367" s="94">
        <v>7.17</v>
      </c>
      <c r="AC367" s="81">
        <f t="shared" si="160"/>
        <v>16.71655625</v>
      </c>
      <c r="AD367" s="81">
        <f t="shared" si="161"/>
        <v>115.14936875</v>
      </c>
      <c r="AE367" s="81">
        <f t="shared" si="158"/>
        <v>137.85063125</v>
      </c>
    </row>
    <row r="368" customFormat="1" spans="1:31">
      <c r="A368" s="19"/>
      <c r="B368" s="20"/>
      <c r="C368" s="21">
        <v>240106000021</v>
      </c>
      <c r="D368" s="22">
        <v>45304</v>
      </c>
      <c r="E368" s="22" t="s">
        <v>58</v>
      </c>
      <c r="F368" s="20">
        <v>13635229849</v>
      </c>
      <c r="G368" s="20" t="s">
        <v>157</v>
      </c>
      <c r="H368" s="20">
        <v>6</v>
      </c>
      <c r="I368" s="48"/>
      <c r="J368" s="55">
        <v>67678</v>
      </c>
      <c r="K368" s="56"/>
      <c r="L368" s="51">
        <f>SUM(J368/M368)</f>
        <v>1370</v>
      </c>
      <c r="M368" s="53">
        <v>49.4</v>
      </c>
      <c r="N368" s="20">
        <v>7.17</v>
      </c>
      <c r="O368" s="48">
        <f t="shared" ref="O368:O372" si="171">SUM(M368*N368)</f>
        <v>354.198</v>
      </c>
      <c r="P368" s="54"/>
      <c r="Q368" s="54"/>
      <c r="R368" s="81">
        <f t="shared" si="164"/>
        <v>195.682291666667</v>
      </c>
      <c r="S368" s="81"/>
      <c r="T368" s="82">
        <f t="shared" si="165"/>
        <v>1.18333333333333</v>
      </c>
      <c r="U368" s="81"/>
      <c r="V368" s="81"/>
      <c r="W368" s="83">
        <f t="shared" si="162"/>
        <v>196.865625</v>
      </c>
      <c r="X368" s="84">
        <f t="shared" si="166"/>
        <v>4.66291666666667</v>
      </c>
      <c r="Y368" s="84"/>
      <c r="Z368" s="84"/>
      <c r="AA368" s="84">
        <f t="shared" si="163"/>
        <v>4.66291666666667</v>
      </c>
      <c r="AB368" s="94">
        <v>7.17</v>
      </c>
      <c r="AC368" s="81">
        <f t="shared" si="160"/>
        <v>33.4331125</v>
      </c>
      <c r="AD368" s="81">
        <f t="shared" si="161"/>
        <v>230.2987375</v>
      </c>
      <c r="AE368" s="81">
        <f t="shared" si="158"/>
        <v>123.8992625</v>
      </c>
    </row>
    <row r="369" customFormat="1" spans="1:31">
      <c r="A369" s="19"/>
      <c r="B369" s="20"/>
      <c r="C369" s="21">
        <v>240107000002</v>
      </c>
      <c r="D369" s="22">
        <v>45304</v>
      </c>
      <c r="E369" s="22" t="s">
        <v>58</v>
      </c>
      <c r="F369" s="20" t="s">
        <v>277</v>
      </c>
      <c r="G369" s="20" t="s">
        <v>278</v>
      </c>
      <c r="H369" s="20">
        <v>3</v>
      </c>
      <c r="I369" s="43">
        <v>168</v>
      </c>
      <c r="J369" s="44"/>
      <c r="K369" s="45"/>
      <c r="L369" s="44"/>
      <c r="M369" s="46"/>
      <c r="N369" s="20"/>
      <c r="O369" s="48">
        <f t="shared" ref="O369:O379" si="172">SUM(I369)</f>
        <v>168</v>
      </c>
      <c r="P369" s="54"/>
      <c r="Q369" s="54"/>
      <c r="R369" s="81">
        <f t="shared" si="164"/>
        <v>97.8411458333333</v>
      </c>
      <c r="S369" s="81"/>
      <c r="T369" s="82">
        <f t="shared" si="165"/>
        <v>0.591666666666667</v>
      </c>
      <c r="U369" s="81"/>
      <c r="V369" s="81"/>
      <c r="W369" s="83">
        <f t="shared" si="162"/>
        <v>98.4328125</v>
      </c>
      <c r="X369" s="84">
        <f t="shared" si="166"/>
        <v>2.33145833333333</v>
      </c>
      <c r="Y369" s="84"/>
      <c r="Z369" s="84"/>
      <c r="AA369" s="84">
        <f t="shared" si="163"/>
        <v>2.33145833333333</v>
      </c>
      <c r="AB369" s="94">
        <v>7.17</v>
      </c>
      <c r="AC369" s="81">
        <f t="shared" si="160"/>
        <v>16.71655625</v>
      </c>
      <c r="AD369" s="81">
        <f t="shared" si="161"/>
        <v>115.14936875</v>
      </c>
      <c r="AE369" s="81">
        <f t="shared" si="158"/>
        <v>52.85063125</v>
      </c>
    </row>
    <row r="370" customFormat="1" spans="1:31">
      <c r="A370" s="19"/>
      <c r="B370" s="20"/>
      <c r="C370" s="21">
        <v>240107000004</v>
      </c>
      <c r="D370" s="22">
        <v>45304</v>
      </c>
      <c r="E370" s="25" t="s">
        <v>69</v>
      </c>
      <c r="F370" s="20" t="s">
        <v>69</v>
      </c>
      <c r="G370" s="20" t="s">
        <v>319</v>
      </c>
      <c r="H370" s="20">
        <v>11</v>
      </c>
      <c r="I370" s="43">
        <v>578</v>
      </c>
      <c r="J370" s="44"/>
      <c r="K370" s="45"/>
      <c r="L370" s="44"/>
      <c r="M370" s="46"/>
      <c r="N370" s="20"/>
      <c r="O370" s="48">
        <f t="shared" si="172"/>
        <v>578</v>
      </c>
      <c r="P370" s="54"/>
      <c r="Q370" s="54"/>
      <c r="R370" s="81">
        <f t="shared" si="164"/>
        <v>358.750868055556</v>
      </c>
      <c r="S370" s="81"/>
      <c r="T370" s="82">
        <f t="shared" si="165"/>
        <v>2.16944444444444</v>
      </c>
      <c r="U370" s="81"/>
      <c r="V370" s="81"/>
      <c r="W370" s="83">
        <f t="shared" si="162"/>
        <v>360.9203125</v>
      </c>
      <c r="X370" s="84">
        <f t="shared" si="166"/>
        <v>8.54868055555556</v>
      </c>
      <c r="Y370" s="84"/>
      <c r="Z370" s="84"/>
      <c r="AA370" s="84">
        <f t="shared" si="163"/>
        <v>8.54868055555556</v>
      </c>
      <c r="AB370" s="94">
        <v>7.17</v>
      </c>
      <c r="AC370" s="81">
        <f t="shared" si="160"/>
        <v>61.2940395833333</v>
      </c>
      <c r="AD370" s="81">
        <f t="shared" si="161"/>
        <v>422.214352083333</v>
      </c>
      <c r="AE370" s="81">
        <f t="shared" si="158"/>
        <v>155.785647916667</v>
      </c>
    </row>
    <row r="371" customFormat="1" spans="1:31">
      <c r="A371" s="19"/>
      <c r="B371" s="20"/>
      <c r="C371" s="21">
        <v>240108000004</v>
      </c>
      <c r="D371" s="22">
        <v>45304</v>
      </c>
      <c r="E371" s="22" t="s">
        <v>49</v>
      </c>
      <c r="F371" s="20" t="s">
        <v>50</v>
      </c>
      <c r="G371" s="20" t="s">
        <v>87</v>
      </c>
      <c r="H371" s="20">
        <v>1</v>
      </c>
      <c r="I371" s="50"/>
      <c r="J371" s="51">
        <v>11970</v>
      </c>
      <c r="K371" s="52"/>
      <c r="L371" s="51">
        <f>SUM(J371/M371)</f>
        <v>1363.32574031891</v>
      </c>
      <c r="M371" s="53">
        <v>8.78</v>
      </c>
      <c r="N371" s="20">
        <v>7.17</v>
      </c>
      <c r="O371" s="48">
        <f t="shared" si="171"/>
        <v>62.9526</v>
      </c>
      <c r="P371" s="54"/>
      <c r="Q371" s="54"/>
      <c r="R371" s="81">
        <f t="shared" si="164"/>
        <v>32.6137152777778</v>
      </c>
      <c r="S371" s="81"/>
      <c r="T371" s="82">
        <f t="shared" si="165"/>
        <v>0.197222222222222</v>
      </c>
      <c r="U371" s="81"/>
      <c r="V371" s="81"/>
      <c r="W371" s="83">
        <f t="shared" si="162"/>
        <v>32.8109375</v>
      </c>
      <c r="X371" s="84">
        <f t="shared" si="166"/>
        <v>0.777152777777778</v>
      </c>
      <c r="Y371" s="84"/>
      <c r="Z371" s="84"/>
      <c r="AA371" s="84">
        <f t="shared" si="163"/>
        <v>0.777152777777778</v>
      </c>
      <c r="AB371" s="94">
        <v>7.17</v>
      </c>
      <c r="AC371" s="81">
        <f t="shared" si="160"/>
        <v>5.57218541666667</v>
      </c>
      <c r="AD371" s="81">
        <f t="shared" si="161"/>
        <v>38.3831229166667</v>
      </c>
      <c r="AE371" s="81">
        <f t="shared" si="158"/>
        <v>24.5694770833333</v>
      </c>
    </row>
    <row r="372" customFormat="1" spans="1:31">
      <c r="A372" s="19"/>
      <c r="B372" s="20"/>
      <c r="C372" s="23">
        <v>240108000005</v>
      </c>
      <c r="D372" s="24">
        <v>45304</v>
      </c>
      <c r="E372" s="22" t="s">
        <v>49</v>
      </c>
      <c r="F372" s="26" t="s">
        <v>50</v>
      </c>
      <c r="G372" s="26" t="s">
        <v>87</v>
      </c>
      <c r="H372" s="26">
        <v>4</v>
      </c>
      <c r="I372" s="50"/>
      <c r="J372" s="51">
        <v>45600</v>
      </c>
      <c r="K372" s="52"/>
      <c r="L372" s="51">
        <f>SUM(J372/M372)</f>
        <v>1362.41410218106</v>
      </c>
      <c r="M372" s="53">
        <v>33.47</v>
      </c>
      <c r="N372" s="20">
        <v>7.17</v>
      </c>
      <c r="O372" s="48">
        <f t="shared" si="171"/>
        <v>239.9799</v>
      </c>
      <c r="P372" s="54"/>
      <c r="Q372" s="54"/>
      <c r="R372" s="81">
        <f t="shared" si="164"/>
        <v>130.454861111111</v>
      </c>
      <c r="S372" s="81"/>
      <c r="T372" s="82">
        <f t="shared" si="165"/>
        <v>0.788888888888889</v>
      </c>
      <c r="U372" s="81"/>
      <c r="V372" s="81"/>
      <c r="W372" s="83">
        <f t="shared" si="162"/>
        <v>131.24375</v>
      </c>
      <c r="X372" s="84">
        <f t="shared" si="166"/>
        <v>3.10861111111111</v>
      </c>
      <c r="Y372" s="84"/>
      <c r="Z372" s="84"/>
      <c r="AA372" s="84">
        <f t="shared" si="163"/>
        <v>3.10861111111111</v>
      </c>
      <c r="AB372" s="94">
        <v>7.17</v>
      </c>
      <c r="AC372" s="81">
        <f t="shared" si="160"/>
        <v>22.2887416666667</v>
      </c>
      <c r="AD372" s="81">
        <f t="shared" si="161"/>
        <v>153.532491666667</v>
      </c>
      <c r="AE372" s="81">
        <f t="shared" si="158"/>
        <v>86.447408333333</v>
      </c>
    </row>
    <row r="373" customFormat="1" spans="1:31">
      <c r="A373" s="19"/>
      <c r="B373" s="20"/>
      <c r="C373" s="21">
        <v>240108000011</v>
      </c>
      <c r="D373" s="22">
        <v>45304</v>
      </c>
      <c r="E373" s="22" t="s">
        <v>49</v>
      </c>
      <c r="F373" s="20" t="s">
        <v>50</v>
      </c>
      <c r="G373" s="20" t="s">
        <v>64</v>
      </c>
      <c r="H373" s="20">
        <v>2</v>
      </c>
      <c r="I373" s="43">
        <v>110</v>
      </c>
      <c r="J373" s="44"/>
      <c r="K373" s="45"/>
      <c r="L373" s="44"/>
      <c r="M373" s="46"/>
      <c r="N373" s="20"/>
      <c r="O373" s="48">
        <f t="shared" si="172"/>
        <v>110</v>
      </c>
      <c r="P373" s="54"/>
      <c r="Q373" s="54"/>
      <c r="R373" s="81">
        <f t="shared" si="164"/>
        <v>65.2274305555556</v>
      </c>
      <c r="S373" s="81"/>
      <c r="T373" s="82">
        <f t="shared" si="165"/>
        <v>0.394444444444444</v>
      </c>
      <c r="U373" s="81"/>
      <c r="V373" s="81"/>
      <c r="W373" s="83">
        <f t="shared" si="162"/>
        <v>65.621875</v>
      </c>
      <c r="X373" s="84">
        <f t="shared" si="166"/>
        <v>1.55430555555556</v>
      </c>
      <c r="Y373" s="84"/>
      <c r="Z373" s="84"/>
      <c r="AA373" s="84">
        <f t="shared" si="163"/>
        <v>1.55430555555556</v>
      </c>
      <c r="AB373" s="94">
        <v>7.17</v>
      </c>
      <c r="AC373" s="81">
        <f t="shared" si="160"/>
        <v>11.1443708333333</v>
      </c>
      <c r="AD373" s="81">
        <f t="shared" si="161"/>
        <v>76.7662458333333</v>
      </c>
      <c r="AE373" s="81">
        <f t="shared" si="158"/>
        <v>33.2337541666667</v>
      </c>
    </row>
    <row r="374" customFormat="1" spans="1:31">
      <c r="A374" s="19"/>
      <c r="B374" s="20"/>
      <c r="C374" s="21">
        <v>240108000013</v>
      </c>
      <c r="D374" s="22">
        <v>45304</v>
      </c>
      <c r="E374" s="22" t="s">
        <v>58</v>
      </c>
      <c r="F374" s="20" t="s">
        <v>59</v>
      </c>
      <c r="G374" s="20" t="s">
        <v>320</v>
      </c>
      <c r="H374" s="20">
        <v>14</v>
      </c>
      <c r="I374" s="43">
        <v>734</v>
      </c>
      <c r="J374" s="44"/>
      <c r="K374" s="45"/>
      <c r="L374" s="44"/>
      <c r="M374" s="46"/>
      <c r="N374" s="20"/>
      <c r="O374" s="48">
        <f t="shared" si="172"/>
        <v>734</v>
      </c>
      <c r="P374" s="54"/>
      <c r="Q374" s="54"/>
      <c r="R374" s="81">
        <f t="shared" si="164"/>
        <v>456.592013888889</v>
      </c>
      <c r="S374" s="81"/>
      <c r="T374" s="82">
        <f t="shared" si="165"/>
        <v>2.76111111111111</v>
      </c>
      <c r="U374" s="81"/>
      <c r="V374" s="81"/>
      <c r="W374" s="83">
        <f t="shared" si="162"/>
        <v>459.353125</v>
      </c>
      <c r="X374" s="84">
        <f t="shared" si="166"/>
        <v>10.8801388888889</v>
      </c>
      <c r="Y374" s="84"/>
      <c r="Z374" s="84"/>
      <c r="AA374" s="84">
        <f t="shared" si="163"/>
        <v>10.8801388888889</v>
      </c>
      <c r="AB374" s="94">
        <v>7.17</v>
      </c>
      <c r="AC374" s="81">
        <f t="shared" si="160"/>
        <v>78.0105958333333</v>
      </c>
      <c r="AD374" s="81">
        <f t="shared" si="161"/>
        <v>537.363720833333</v>
      </c>
      <c r="AE374" s="81">
        <f t="shared" si="158"/>
        <v>196.636279166667</v>
      </c>
    </row>
    <row r="375" customFormat="1" spans="1:31">
      <c r="A375" s="19"/>
      <c r="B375" s="20"/>
      <c r="C375" s="21">
        <v>240108000015</v>
      </c>
      <c r="D375" s="22">
        <v>45304</v>
      </c>
      <c r="E375" s="22" t="s">
        <v>37</v>
      </c>
      <c r="F375" s="20" t="s">
        <v>38</v>
      </c>
      <c r="G375" s="20" t="s">
        <v>62</v>
      </c>
      <c r="H375" s="20">
        <v>5.5</v>
      </c>
      <c r="I375" s="43">
        <v>350.5</v>
      </c>
      <c r="J375" s="44"/>
      <c r="K375" s="45"/>
      <c r="L375" s="44"/>
      <c r="M375" s="46"/>
      <c r="N375" s="20"/>
      <c r="O375" s="48">
        <f t="shared" si="172"/>
        <v>350.5</v>
      </c>
      <c r="P375" s="54"/>
      <c r="Q375" s="54"/>
      <c r="R375" s="81">
        <f t="shared" si="164"/>
        <v>179.375434027778</v>
      </c>
      <c r="S375" s="81"/>
      <c r="T375" s="82">
        <f t="shared" si="165"/>
        <v>1.08472222222222</v>
      </c>
      <c r="U375" s="81"/>
      <c r="V375" s="81"/>
      <c r="W375" s="83">
        <f t="shared" si="162"/>
        <v>180.46015625</v>
      </c>
      <c r="X375" s="84">
        <f t="shared" si="166"/>
        <v>4.27434027777778</v>
      </c>
      <c r="Y375" s="84">
        <v>6.3</v>
      </c>
      <c r="Z375" s="84"/>
      <c r="AA375" s="84">
        <f t="shared" si="163"/>
        <v>10.5743402777778</v>
      </c>
      <c r="AB375" s="94">
        <v>7.17</v>
      </c>
      <c r="AC375" s="81">
        <f t="shared" si="160"/>
        <v>75.8180197916667</v>
      </c>
      <c r="AD375" s="81">
        <f t="shared" si="161"/>
        <v>256.278176041667</v>
      </c>
      <c r="AE375" s="81">
        <f t="shared" si="158"/>
        <v>94.221823958333</v>
      </c>
    </row>
    <row r="376" customFormat="1" spans="1:31">
      <c r="A376" s="19"/>
      <c r="B376" s="20"/>
      <c r="C376" s="21">
        <v>240108000016</v>
      </c>
      <c r="D376" s="22">
        <v>45304</v>
      </c>
      <c r="E376" s="22" t="s">
        <v>49</v>
      </c>
      <c r="F376" s="20" t="s">
        <v>50</v>
      </c>
      <c r="G376" s="20" t="s">
        <v>321</v>
      </c>
      <c r="H376" s="20">
        <v>3</v>
      </c>
      <c r="I376" s="43">
        <v>168</v>
      </c>
      <c r="J376" s="44"/>
      <c r="K376" s="45"/>
      <c r="L376" s="44"/>
      <c r="M376" s="46"/>
      <c r="N376" s="20"/>
      <c r="O376" s="48">
        <f t="shared" si="172"/>
        <v>168</v>
      </c>
      <c r="P376" s="54"/>
      <c r="Q376" s="54"/>
      <c r="R376" s="81">
        <f t="shared" si="164"/>
        <v>97.8411458333333</v>
      </c>
      <c r="S376" s="81"/>
      <c r="T376" s="82">
        <f t="shared" si="165"/>
        <v>0.591666666666667</v>
      </c>
      <c r="U376" s="81"/>
      <c r="V376" s="81"/>
      <c r="W376" s="83">
        <f t="shared" si="162"/>
        <v>98.4328125</v>
      </c>
      <c r="X376" s="84">
        <f t="shared" si="166"/>
        <v>2.33145833333333</v>
      </c>
      <c r="Y376" s="84"/>
      <c r="Z376" s="84"/>
      <c r="AA376" s="84">
        <f t="shared" si="163"/>
        <v>2.33145833333333</v>
      </c>
      <c r="AB376" s="94">
        <v>7.17</v>
      </c>
      <c r="AC376" s="81">
        <f t="shared" si="160"/>
        <v>16.71655625</v>
      </c>
      <c r="AD376" s="81">
        <f t="shared" si="161"/>
        <v>115.14936875</v>
      </c>
      <c r="AE376" s="81">
        <f t="shared" si="158"/>
        <v>52.85063125</v>
      </c>
    </row>
    <row r="377" customFormat="1" spans="1:31">
      <c r="A377" s="19"/>
      <c r="B377" s="20"/>
      <c r="C377" s="21">
        <v>240108000019</v>
      </c>
      <c r="D377" s="22">
        <v>45304</v>
      </c>
      <c r="E377" s="25" t="s">
        <v>69</v>
      </c>
      <c r="F377" s="20" t="s">
        <v>69</v>
      </c>
      <c r="G377" s="20" t="s">
        <v>322</v>
      </c>
      <c r="H377" s="20">
        <v>4</v>
      </c>
      <c r="I377" s="43">
        <v>180</v>
      </c>
      <c r="J377" s="44"/>
      <c r="K377" s="45"/>
      <c r="L377" s="44"/>
      <c r="M377" s="46"/>
      <c r="N377" s="20"/>
      <c r="O377" s="48">
        <f t="shared" si="172"/>
        <v>180</v>
      </c>
      <c r="P377" s="54"/>
      <c r="Q377" s="54"/>
      <c r="R377" s="81">
        <f t="shared" si="164"/>
        <v>130.454861111111</v>
      </c>
      <c r="S377" s="81"/>
      <c r="T377" s="82">
        <f t="shared" si="165"/>
        <v>0.788888888888889</v>
      </c>
      <c r="U377" s="81"/>
      <c r="V377" s="81"/>
      <c r="W377" s="83">
        <f t="shared" si="162"/>
        <v>131.24375</v>
      </c>
      <c r="X377" s="84">
        <f t="shared" si="166"/>
        <v>3.10861111111111</v>
      </c>
      <c r="Y377" s="84"/>
      <c r="Z377" s="84"/>
      <c r="AA377" s="84">
        <f t="shared" si="163"/>
        <v>3.10861111111111</v>
      </c>
      <c r="AB377" s="94">
        <v>7.17</v>
      </c>
      <c r="AC377" s="81">
        <f t="shared" si="160"/>
        <v>22.2887416666667</v>
      </c>
      <c r="AD377" s="81">
        <f t="shared" si="161"/>
        <v>153.532491666667</v>
      </c>
      <c r="AE377" s="81">
        <f t="shared" ref="AE377:AE421" si="173">SUM(O377-AD377)</f>
        <v>26.467508333333</v>
      </c>
    </row>
    <row r="378" customFormat="1" spans="1:31">
      <c r="A378" s="19"/>
      <c r="B378" s="20"/>
      <c r="C378" s="21">
        <v>240108000020</v>
      </c>
      <c r="D378" s="22">
        <v>45304</v>
      </c>
      <c r="E378" s="22" t="s">
        <v>37</v>
      </c>
      <c r="F378" s="20" t="s">
        <v>38</v>
      </c>
      <c r="G378" s="20" t="s">
        <v>75</v>
      </c>
      <c r="H378" s="20">
        <v>11.5</v>
      </c>
      <c r="I378" s="43">
        <v>604</v>
      </c>
      <c r="J378" s="44"/>
      <c r="K378" s="45"/>
      <c r="L378" s="44"/>
      <c r="M378" s="46"/>
      <c r="N378" s="20"/>
      <c r="O378" s="48">
        <f t="shared" si="172"/>
        <v>604</v>
      </c>
      <c r="P378" s="54"/>
      <c r="Q378" s="54"/>
      <c r="R378" s="81">
        <f t="shared" si="164"/>
        <v>375.057725694444</v>
      </c>
      <c r="S378" s="81"/>
      <c r="T378" s="82">
        <f t="shared" si="165"/>
        <v>2.26805555555556</v>
      </c>
      <c r="U378" s="81"/>
      <c r="V378" s="81"/>
      <c r="W378" s="83">
        <f t="shared" si="162"/>
        <v>377.32578125</v>
      </c>
      <c r="X378" s="84">
        <f t="shared" si="166"/>
        <v>8.93725694444444</v>
      </c>
      <c r="Y378" s="84"/>
      <c r="Z378" s="84"/>
      <c r="AA378" s="84">
        <f t="shared" si="163"/>
        <v>8.93725694444444</v>
      </c>
      <c r="AB378" s="94">
        <v>7.17</v>
      </c>
      <c r="AC378" s="81">
        <f t="shared" si="160"/>
        <v>64.0801322916667</v>
      </c>
      <c r="AD378" s="81">
        <f t="shared" si="161"/>
        <v>441.405913541667</v>
      </c>
      <c r="AE378" s="81">
        <f t="shared" si="173"/>
        <v>162.594086458333</v>
      </c>
    </row>
    <row r="379" customFormat="1" spans="1:31">
      <c r="A379" s="19"/>
      <c r="B379" s="20"/>
      <c r="C379" s="21">
        <v>240108000022</v>
      </c>
      <c r="D379" s="22">
        <v>45304</v>
      </c>
      <c r="E379" s="22" t="s">
        <v>58</v>
      </c>
      <c r="F379" s="20" t="s">
        <v>59</v>
      </c>
      <c r="G379" s="20" t="s">
        <v>323</v>
      </c>
      <c r="H379" s="20">
        <v>74.5</v>
      </c>
      <c r="I379" s="43">
        <v>3303.5</v>
      </c>
      <c r="J379" s="44"/>
      <c r="K379" s="45"/>
      <c r="L379" s="44"/>
      <c r="M379" s="46"/>
      <c r="N379" s="20"/>
      <c r="O379" s="48">
        <f t="shared" si="172"/>
        <v>3303.5</v>
      </c>
      <c r="P379" s="54"/>
      <c r="Q379" s="54"/>
      <c r="R379" s="81">
        <f t="shared" si="164"/>
        <v>2429.72178819444</v>
      </c>
      <c r="S379" s="81"/>
      <c r="T379" s="82">
        <f t="shared" si="165"/>
        <v>14.6930555555556</v>
      </c>
      <c r="U379" s="81"/>
      <c r="V379" s="81"/>
      <c r="W379" s="83">
        <f t="shared" si="162"/>
        <v>2444.41484375</v>
      </c>
      <c r="X379" s="84">
        <f t="shared" si="166"/>
        <v>57.8978819444444</v>
      </c>
      <c r="Y379" s="84"/>
      <c r="Z379" s="84"/>
      <c r="AA379" s="84">
        <f t="shared" si="163"/>
        <v>57.8978819444444</v>
      </c>
      <c r="AB379" s="94">
        <v>7.17</v>
      </c>
      <c r="AC379" s="81">
        <f t="shared" si="160"/>
        <v>415.127813541667</v>
      </c>
      <c r="AD379" s="81">
        <f t="shared" si="161"/>
        <v>2859.54265729167</v>
      </c>
      <c r="AE379" s="81">
        <f t="shared" si="173"/>
        <v>443.95734270833</v>
      </c>
    </row>
    <row r="380" customFormat="1" spans="1:31">
      <c r="A380" s="19"/>
      <c r="B380" s="20"/>
      <c r="C380" s="21">
        <v>240108000023</v>
      </c>
      <c r="D380" s="22">
        <v>45304</v>
      </c>
      <c r="E380" s="22" t="s">
        <v>49</v>
      </c>
      <c r="F380" s="20" t="s">
        <v>50</v>
      </c>
      <c r="G380" s="20" t="s">
        <v>219</v>
      </c>
      <c r="H380" s="20">
        <v>0.504</v>
      </c>
      <c r="I380" s="48"/>
      <c r="J380" s="55">
        <v>8305</v>
      </c>
      <c r="K380" s="56"/>
      <c r="L380" s="51">
        <f>SUM(J380/M380)</f>
        <v>1309.93690851735</v>
      </c>
      <c r="M380" s="53">
        <v>6.34</v>
      </c>
      <c r="N380" s="20">
        <v>7.17</v>
      </c>
      <c r="O380" s="48">
        <f t="shared" ref="O380:O383" si="174">SUM(M380*N380)</f>
        <v>45.4578</v>
      </c>
      <c r="P380" s="54"/>
      <c r="Q380" s="54"/>
      <c r="R380" s="81">
        <f t="shared" si="164"/>
        <v>16.4373125</v>
      </c>
      <c r="S380" s="81"/>
      <c r="T380" s="82">
        <f t="shared" si="165"/>
        <v>0.0994</v>
      </c>
      <c r="U380" s="81"/>
      <c r="V380" s="81"/>
      <c r="W380" s="83">
        <f t="shared" si="162"/>
        <v>16.5367125</v>
      </c>
      <c r="X380" s="84">
        <f t="shared" si="166"/>
        <v>0.391685</v>
      </c>
      <c r="Y380" s="84"/>
      <c r="Z380" s="84"/>
      <c r="AA380" s="84">
        <f t="shared" si="163"/>
        <v>0.391685</v>
      </c>
      <c r="AB380" s="94">
        <v>7.17</v>
      </c>
      <c r="AC380" s="81">
        <f t="shared" ref="AC380:AC427" si="175">SUM(AA380*AB380)</f>
        <v>2.80838145</v>
      </c>
      <c r="AD380" s="81">
        <f t="shared" ref="AD380:AD421" si="176">SUM(W380+AC380)</f>
        <v>19.34509395</v>
      </c>
      <c r="AE380" s="81">
        <f t="shared" si="173"/>
        <v>26.11270605</v>
      </c>
    </row>
    <row r="381" customFormat="1" spans="1:31">
      <c r="A381" s="19"/>
      <c r="B381" s="20"/>
      <c r="C381" s="21">
        <v>240108000024</v>
      </c>
      <c r="D381" s="22">
        <v>45304</v>
      </c>
      <c r="E381" s="22" t="s">
        <v>49</v>
      </c>
      <c r="F381" s="20" t="s">
        <v>50</v>
      </c>
      <c r="G381" s="20" t="s">
        <v>298</v>
      </c>
      <c r="H381" s="20">
        <v>4</v>
      </c>
      <c r="I381" s="43">
        <v>223</v>
      </c>
      <c r="J381" s="44"/>
      <c r="K381" s="45"/>
      <c r="L381" s="44"/>
      <c r="M381" s="46"/>
      <c r="N381" s="20"/>
      <c r="O381" s="48">
        <f t="shared" ref="O381:O385" si="177">SUM(I381)</f>
        <v>223</v>
      </c>
      <c r="P381" s="54"/>
      <c r="Q381" s="54"/>
      <c r="R381" s="81">
        <f t="shared" si="164"/>
        <v>130.454861111111</v>
      </c>
      <c r="S381" s="81"/>
      <c r="T381" s="82">
        <f t="shared" si="165"/>
        <v>0.788888888888889</v>
      </c>
      <c r="U381" s="81"/>
      <c r="V381" s="81"/>
      <c r="W381" s="83">
        <f t="shared" ref="W381:W426" si="178">SUM(R381:V381)</f>
        <v>131.24375</v>
      </c>
      <c r="X381" s="84">
        <f t="shared" si="166"/>
        <v>3.10861111111111</v>
      </c>
      <c r="Y381" s="84"/>
      <c r="Z381" s="84"/>
      <c r="AA381" s="84">
        <f t="shared" si="163"/>
        <v>3.10861111111111</v>
      </c>
      <c r="AB381" s="94">
        <v>7.17</v>
      </c>
      <c r="AC381" s="81">
        <f t="shared" si="175"/>
        <v>22.2887416666667</v>
      </c>
      <c r="AD381" s="81">
        <f t="shared" si="176"/>
        <v>153.532491666667</v>
      </c>
      <c r="AE381" s="81">
        <f t="shared" si="173"/>
        <v>69.467508333333</v>
      </c>
    </row>
    <row r="382" customFormat="1" spans="1:31">
      <c r="A382" s="19"/>
      <c r="B382" s="20"/>
      <c r="C382" s="21">
        <v>240108000025</v>
      </c>
      <c r="D382" s="22">
        <v>45304</v>
      </c>
      <c r="E382" s="22" t="s">
        <v>49</v>
      </c>
      <c r="F382" s="20" t="s">
        <v>50</v>
      </c>
      <c r="G382" s="20" t="s">
        <v>288</v>
      </c>
      <c r="H382" s="20">
        <v>16.5</v>
      </c>
      <c r="I382" s="50"/>
      <c r="J382" s="51">
        <v>163020</v>
      </c>
      <c r="K382" s="52"/>
      <c r="L382" s="51">
        <f>SUM(J382/M382)</f>
        <v>1362.36002005683</v>
      </c>
      <c r="M382" s="53">
        <v>119.66</v>
      </c>
      <c r="N382" s="20">
        <v>7.17</v>
      </c>
      <c r="O382" s="48">
        <f t="shared" si="174"/>
        <v>857.9622</v>
      </c>
      <c r="P382" s="54"/>
      <c r="Q382" s="54"/>
      <c r="R382" s="81">
        <f t="shared" si="164"/>
        <v>538.126302083333</v>
      </c>
      <c r="S382" s="81"/>
      <c r="T382" s="82">
        <f t="shared" si="165"/>
        <v>3.25416666666667</v>
      </c>
      <c r="U382" s="81"/>
      <c r="V382" s="81"/>
      <c r="W382" s="83">
        <f t="shared" si="178"/>
        <v>541.38046875</v>
      </c>
      <c r="X382" s="84">
        <f t="shared" si="166"/>
        <v>12.8230208333333</v>
      </c>
      <c r="Y382" s="84"/>
      <c r="Z382" s="84"/>
      <c r="AA382" s="84">
        <f t="shared" si="163"/>
        <v>12.8230208333333</v>
      </c>
      <c r="AB382" s="94">
        <v>7.17</v>
      </c>
      <c r="AC382" s="81">
        <f t="shared" si="175"/>
        <v>91.941059375</v>
      </c>
      <c r="AD382" s="81">
        <f t="shared" si="176"/>
        <v>633.321528125</v>
      </c>
      <c r="AE382" s="81">
        <f t="shared" si="173"/>
        <v>224.640671875</v>
      </c>
    </row>
    <row r="383" customFormat="1" spans="1:31">
      <c r="A383" s="19"/>
      <c r="B383" s="20"/>
      <c r="C383" s="21">
        <v>240108000026</v>
      </c>
      <c r="D383" s="22">
        <v>45304</v>
      </c>
      <c r="E383" s="22" t="s">
        <v>49</v>
      </c>
      <c r="F383" s="20" t="s">
        <v>50</v>
      </c>
      <c r="G383" s="20" t="s">
        <v>64</v>
      </c>
      <c r="H383" s="20">
        <v>16</v>
      </c>
      <c r="I383" s="50"/>
      <c r="J383" s="51">
        <v>167424</v>
      </c>
      <c r="K383" s="52"/>
      <c r="L383" s="51">
        <f>SUM(J383/M383)</f>
        <v>1563.10335169452</v>
      </c>
      <c r="M383" s="53">
        <v>107.11</v>
      </c>
      <c r="N383" s="20">
        <v>7.17</v>
      </c>
      <c r="O383" s="48">
        <f t="shared" si="174"/>
        <v>767.9787</v>
      </c>
      <c r="P383" s="54"/>
      <c r="Q383" s="54"/>
      <c r="R383" s="81">
        <f t="shared" si="164"/>
        <v>521.819444444444</v>
      </c>
      <c r="S383" s="81"/>
      <c r="T383" s="82">
        <f t="shared" si="165"/>
        <v>3.15555555555556</v>
      </c>
      <c r="U383" s="81"/>
      <c r="V383" s="81"/>
      <c r="W383" s="83">
        <f t="shared" si="178"/>
        <v>524.975</v>
      </c>
      <c r="X383" s="84">
        <f t="shared" si="166"/>
        <v>12.4344444444444</v>
      </c>
      <c r="Y383" s="84"/>
      <c r="Z383" s="84"/>
      <c r="AA383" s="84">
        <f t="shared" ref="AA383:AA425" si="179">SUM(X383:Z383)</f>
        <v>12.4344444444444</v>
      </c>
      <c r="AB383" s="94">
        <v>7.17</v>
      </c>
      <c r="AC383" s="81">
        <f t="shared" si="175"/>
        <v>89.1549666666667</v>
      </c>
      <c r="AD383" s="81">
        <f t="shared" si="176"/>
        <v>614.129966666667</v>
      </c>
      <c r="AE383" s="81">
        <f t="shared" si="173"/>
        <v>153.848733333333</v>
      </c>
    </row>
    <row r="384" customFormat="1" spans="1:31">
      <c r="A384" s="19"/>
      <c r="B384" s="20"/>
      <c r="C384" s="21">
        <v>240108000027</v>
      </c>
      <c r="D384" s="22">
        <v>45304</v>
      </c>
      <c r="E384" s="22" t="s">
        <v>49</v>
      </c>
      <c r="F384" s="20" t="s">
        <v>50</v>
      </c>
      <c r="G384" s="20" t="s">
        <v>79</v>
      </c>
      <c r="H384" s="20">
        <v>1.5</v>
      </c>
      <c r="I384" s="43">
        <v>67.5</v>
      </c>
      <c r="J384" s="44"/>
      <c r="K384" s="45"/>
      <c r="L384" s="44"/>
      <c r="M384" s="46"/>
      <c r="N384" s="20"/>
      <c r="O384" s="48">
        <f t="shared" si="177"/>
        <v>67.5</v>
      </c>
      <c r="P384" s="54"/>
      <c r="Q384" s="54"/>
      <c r="R384" s="81">
        <f t="shared" ref="R384:R423" si="180">SUM(37571/1152)*H384</f>
        <v>48.9205729166667</v>
      </c>
      <c r="S384" s="81"/>
      <c r="T384" s="82">
        <f t="shared" ref="T384:T423" si="181">SUM(227.2/1152)*H384</f>
        <v>0.295833333333333</v>
      </c>
      <c r="U384" s="81"/>
      <c r="V384" s="81"/>
      <c r="W384" s="83">
        <f t="shared" si="178"/>
        <v>49.21640625</v>
      </c>
      <c r="X384" s="84">
        <f t="shared" ref="X384:X423" si="182">SUM(895.28/1152)*H384</f>
        <v>1.16572916666667</v>
      </c>
      <c r="Y384" s="84"/>
      <c r="Z384" s="84"/>
      <c r="AA384" s="84">
        <f t="shared" si="179"/>
        <v>1.16572916666667</v>
      </c>
      <c r="AB384" s="94">
        <v>7.17</v>
      </c>
      <c r="AC384" s="81">
        <f t="shared" si="175"/>
        <v>8.358278125</v>
      </c>
      <c r="AD384" s="81">
        <f t="shared" si="176"/>
        <v>57.574684375</v>
      </c>
      <c r="AE384" s="81">
        <f t="shared" si="173"/>
        <v>9.925315625</v>
      </c>
    </row>
    <row r="385" customFormat="1" spans="1:31">
      <c r="A385" s="19"/>
      <c r="B385" s="20"/>
      <c r="C385" s="21">
        <v>240108000031</v>
      </c>
      <c r="D385" s="22">
        <v>45304</v>
      </c>
      <c r="E385" s="22" t="s">
        <v>44</v>
      </c>
      <c r="F385" s="20" t="s">
        <v>45</v>
      </c>
      <c r="G385" s="20" t="s">
        <v>280</v>
      </c>
      <c r="H385" s="20">
        <v>7</v>
      </c>
      <c r="I385" s="43">
        <v>450</v>
      </c>
      <c r="J385" s="44"/>
      <c r="K385" s="45"/>
      <c r="L385" s="44"/>
      <c r="M385" s="46"/>
      <c r="N385" s="20"/>
      <c r="O385" s="48">
        <f t="shared" si="177"/>
        <v>450</v>
      </c>
      <c r="P385" s="54"/>
      <c r="Q385" s="54"/>
      <c r="R385" s="81">
        <f t="shared" si="180"/>
        <v>228.296006944444</v>
      </c>
      <c r="S385" s="81"/>
      <c r="T385" s="82">
        <f t="shared" si="181"/>
        <v>1.38055555555556</v>
      </c>
      <c r="U385" s="81"/>
      <c r="V385" s="81"/>
      <c r="W385" s="83">
        <f t="shared" si="178"/>
        <v>229.6765625</v>
      </c>
      <c r="X385" s="84">
        <f t="shared" si="182"/>
        <v>5.44006944444445</v>
      </c>
      <c r="Y385" s="84">
        <v>11</v>
      </c>
      <c r="Z385" s="84"/>
      <c r="AA385" s="84">
        <f t="shared" si="179"/>
        <v>16.4400694444444</v>
      </c>
      <c r="AB385" s="94">
        <v>7.17</v>
      </c>
      <c r="AC385" s="81">
        <f t="shared" si="175"/>
        <v>117.875297916667</v>
      </c>
      <c r="AD385" s="81">
        <f t="shared" si="176"/>
        <v>347.551860416667</v>
      </c>
      <c r="AE385" s="81">
        <f t="shared" si="173"/>
        <v>102.448139583333</v>
      </c>
    </row>
    <row r="386" customFormat="1" spans="1:31">
      <c r="A386" s="19"/>
      <c r="B386" s="20"/>
      <c r="C386" s="21">
        <v>240108000032</v>
      </c>
      <c r="D386" s="22">
        <v>45304</v>
      </c>
      <c r="E386" s="22" t="s">
        <v>44</v>
      </c>
      <c r="F386" s="20" t="s">
        <v>45</v>
      </c>
      <c r="G386" s="20" t="s">
        <v>267</v>
      </c>
      <c r="H386" s="20">
        <v>7</v>
      </c>
      <c r="I386" s="48"/>
      <c r="J386" s="55">
        <v>87858</v>
      </c>
      <c r="K386" s="56"/>
      <c r="L386" s="51">
        <f>SUM(J386/M386)</f>
        <v>1369.99844066739</v>
      </c>
      <c r="M386" s="53">
        <v>64.13</v>
      </c>
      <c r="N386" s="20">
        <v>7.17</v>
      </c>
      <c r="O386" s="48">
        <f t="shared" ref="O386:O390" si="183">SUM(M386*N386)</f>
        <v>459.8121</v>
      </c>
      <c r="P386" s="54"/>
      <c r="Q386" s="54"/>
      <c r="R386" s="81">
        <f t="shared" si="180"/>
        <v>228.296006944444</v>
      </c>
      <c r="S386" s="81"/>
      <c r="T386" s="82">
        <f t="shared" si="181"/>
        <v>1.38055555555556</v>
      </c>
      <c r="U386" s="81">
        <v>40</v>
      </c>
      <c r="V386" s="81"/>
      <c r="W386" s="83">
        <f t="shared" si="178"/>
        <v>269.6765625</v>
      </c>
      <c r="X386" s="84">
        <f t="shared" si="182"/>
        <v>5.44006944444445</v>
      </c>
      <c r="Y386" s="84"/>
      <c r="Z386" s="84"/>
      <c r="AA386" s="84">
        <f t="shared" si="179"/>
        <v>5.44006944444445</v>
      </c>
      <c r="AB386" s="94">
        <v>7.17</v>
      </c>
      <c r="AC386" s="81">
        <f t="shared" si="175"/>
        <v>39.0052979166667</v>
      </c>
      <c r="AD386" s="81">
        <f t="shared" si="176"/>
        <v>308.681860416667</v>
      </c>
      <c r="AE386" s="81">
        <f t="shared" si="173"/>
        <v>151.130239583333</v>
      </c>
    </row>
    <row r="387" customFormat="1" spans="1:31">
      <c r="A387" s="19"/>
      <c r="B387" s="20"/>
      <c r="C387" s="21">
        <v>240108000033</v>
      </c>
      <c r="D387" s="22">
        <v>45304</v>
      </c>
      <c r="E387" s="22" t="s">
        <v>41</v>
      </c>
      <c r="F387" s="20" t="s">
        <v>42</v>
      </c>
      <c r="G387" s="20" t="s">
        <v>96</v>
      </c>
      <c r="H387" s="20">
        <v>4.5</v>
      </c>
      <c r="I387" s="43">
        <v>250.5</v>
      </c>
      <c r="J387" s="44"/>
      <c r="K387" s="45"/>
      <c r="L387" s="44"/>
      <c r="M387" s="46"/>
      <c r="N387" s="20"/>
      <c r="O387" s="48">
        <f>SUM(I387)</f>
        <v>250.5</v>
      </c>
      <c r="P387" s="54"/>
      <c r="Q387" s="54"/>
      <c r="R387" s="81">
        <f t="shared" si="180"/>
        <v>146.76171875</v>
      </c>
      <c r="S387" s="81"/>
      <c r="T387" s="82">
        <f t="shared" si="181"/>
        <v>0.8875</v>
      </c>
      <c r="U387" s="81"/>
      <c r="V387" s="81"/>
      <c r="W387" s="83">
        <f t="shared" si="178"/>
        <v>147.64921875</v>
      </c>
      <c r="X387" s="84">
        <f t="shared" si="182"/>
        <v>3.4971875</v>
      </c>
      <c r="Y387" s="84"/>
      <c r="Z387" s="84"/>
      <c r="AA387" s="84">
        <f t="shared" si="179"/>
        <v>3.4971875</v>
      </c>
      <c r="AB387" s="94">
        <v>7.17</v>
      </c>
      <c r="AC387" s="81">
        <f t="shared" si="175"/>
        <v>25.074834375</v>
      </c>
      <c r="AD387" s="81">
        <f t="shared" si="176"/>
        <v>172.724053125</v>
      </c>
      <c r="AE387" s="81">
        <f t="shared" si="173"/>
        <v>77.775946875</v>
      </c>
    </row>
    <row r="388" customFormat="1" spans="1:31">
      <c r="A388" s="19"/>
      <c r="B388" s="20"/>
      <c r="C388" s="21">
        <v>240108000038</v>
      </c>
      <c r="D388" s="22">
        <v>45304</v>
      </c>
      <c r="E388" s="22" t="s">
        <v>49</v>
      </c>
      <c r="F388" s="20" t="s">
        <v>50</v>
      </c>
      <c r="G388" s="20" t="s">
        <v>52</v>
      </c>
      <c r="H388" s="20">
        <v>0.34</v>
      </c>
      <c r="I388" s="50"/>
      <c r="J388" s="51">
        <v>9500</v>
      </c>
      <c r="K388" s="52"/>
      <c r="L388" s="51">
        <f>SUM(J388/M388)</f>
        <v>1362.98421807747</v>
      </c>
      <c r="M388" s="53">
        <v>6.97</v>
      </c>
      <c r="N388" s="20">
        <v>7.17</v>
      </c>
      <c r="O388" s="48">
        <f t="shared" si="183"/>
        <v>49.9749</v>
      </c>
      <c r="P388" s="54"/>
      <c r="Q388" s="54"/>
      <c r="R388" s="81">
        <f t="shared" si="180"/>
        <v>11.0886631944444</v>
      </c>
      <c r="S388" s="81"/>
      <c r="T388" s="82">
        <f t="shared" si="181"/>
        <v>0.0670555555555556</v>
      </c>
      <c r="U388" s="81"/>
      <c r="V388" s="81"/>
      <c r="W388" s="83">
        <f t="shared" si="178"/>
        <v>11.15571875</v>
      </c>
      <c r="X388" s="84">
        <f t="shared" si="182"/>
        <v>0.264231944444444</v>
      </c>
      <c r="Y388" s="84"/>
      <c r="Z388" s="84"/>
      <c r="AA388" s="84">
        <f t="shared" si="179"/>
        <v>0.264231944444444</v>
      </c>
      <c r="AB388" s="94">
        <v>7.17</v>
      </c>
      <c r="AC388" s="81">
        <f t="shared" si="175"/>
        <v>1.89454304166667</v>
      </c>
      <c r="AD388" s="81">
        <f t="shared" si="176"/>
        <v>13.0502617916667</v>
      </c>
      <c r="AE388" s="81">
        <f t="shared" si="173"/>
        <v>36.9246382083333</v>
      </c>
    </row>
    <row r="389" customFormat="1" spans="1:31">
      <c r="A389" s="19"/>
      <c r="B389" s="20"/>
      <c r="C389" s="21">
        <v>240108000040</v>
      </c>
      <c r="D389" s="22">
        <v>45304</v>
      </c>
      <c r="E389" s="22" t="s">
        <v>49</v>
      </c>
      <c r="F389" s="20" t="s">
        <v>50</v>
      </c>
      <c r="G389" s="20" t="s">
        <v>79</v>
      </c>
      <c r="H389" s="20">
        <v>10.5</v>
      </c>
      <c r="I389" s="50"/>
      <c r="J389" s="51">
        <v>101640</v>
      </c>
      <c r="K389" s="52"/>
      <c r="L389" s="51">
        <f>SUM(J389/M389)</f>
        <v>1577.52599720627</v>
      </c>
      <c r="M389" s="53">
        <v>64.43</v>
      </c>
      <c r="N389" s="20">
        <v>7.17</v>
      </c>
      <c r="O389" s="48">
        <f t="shared" si="183"/>
        <v>461.9631</v>
      </c>
      <c r="P389" s="54"/>
      <c r="Q389" s="54"/>
      <c r="R389" s="81">
        <f t="shared" si="180"/>
        <v>342.444010416667</v>
      </c>
      <c r="S389" s="81"/>
      <c r="T389" s="82">
        <f t="shared" si="181"/>
        <v>2.07083333333333</v>
      </c>
      <c r="U389" s="81"/>
      <c r="V389" s="81"/>
      <c r="W389" s="83">
        <f t="shared" si="178"/>
        <v>344.51484375</v>
      </c>
      <c r="X389" s="84">
        <f t="shared" si="182"/>
        <v>8.16010416666667</v>
      </c>
      <c r="Y389" s="84"/>
      <c r="Z389" s="84"/>
      <c r="AA389" s="84">
        <f t="shared" si="179"/>
        <v>8.16010416666667</v>
      </c>
      <c r="AB389" s="94">
        <v>7.17</v>
      </c>
      <c r="AC389" s="81">
        <f t="shared" si="175"/>
        <v>58.507946875</v>
      </c>
      <c r="AD389" s="81">
        <f t="shared" si="176"/>
        <v>403.022790625</v>
      </c>
      <c r="AE389" s="81">
        <f t="shared" si="173"/>
        <v>58.940309375</v>
      </c>
    </row>
    <row r="390" customFormat="1" spans="1:31">
      <c r="A390" s="19"/>
      <c r="B390" s="20"/>
      <c r="C390" s="21">
        <v>240109000001</v>
      </c>
      <c r="D390" s="22">
        <v>45304</v>
      </c>
      <c r="E390" s="22" t="s">
        <v>44</v>
      </c>
      <c r="F390" s="20" t="s">
        <v>45</v>
      </c>
      <c r="G390" s="20" t="s">
        <v>324</v>
      </c>
      <c r="H390" s="20">
        <v>44.5</v>
      </c>
      <c r="I390" s="48"/>
      <c r="J390" s="105"/>
      <c r="K390" s="106">
        <v>315.27</v>
      </c>
      <c r="L390" s="51">
        <f>SUM(J390/M390)</f>
        <v>0</v>
      </c>
      <c r="M390" s="53">
        <v>315.27002</v>
      </c>
      <c r="N390" s="20">
        <v>7.17</v>
      </c>
      <c r="O390" s="48">
        <f t="shared" si="183"/>
        <v>2260.4860434</v>
      </c>
      <c r="P390" s="54"/>
      <c r="Q390" s="54"/>
      <c r="R390" s="81">
        <f t="shared" si="180"/>
        <v>1451.31032986111</v>
      </c>
      <c r="S390" s="81"/>
      <c r="T390" s="82">
        <f t="shared" si="181"/>
        <v>8.77638888888889</v>
      </c>
      <c r="U390" s="81"/>
      <c r="V390" s="82">
        <v>19</v>
      </c>
      <c r="W390" s="83">
        <f t="shared" si="178"/>
        <v>1479.08671875</v>
      </c>
      <c r="X390" s="84">
        <f t="shared" si="182"/>
        <v>34.5832986111111</v>
      </c>
      <c r="Y390" s="84"/>
      <c r="Z390" s="84"/>
      <c r="AA390" s="84">
        <f t="shared" si="179"/>
        <v>34.5832986111111</v>
      </c>
      <c r="AB390" s="94">
        <v>7.17</v>
      </c>
      <c r="AC390" s="81">
        <f t="shared" si="175"/>
        <v>247.962251041667</v>
      </c>
      <c r="AD390" s="81">
        <f t="shared" si="176"/>
        <v>1727.04896979167</v>
      </c>
      <c r="AE390" s="81">
        <f t="shared" si="173"/>
        <v>533.43707360833</v>
      </c>
    </row>
    <row r="391" customFormat="1" spans="1:31">
      <c r="A391" s="19"/>
      <c r="B391" s="20"/>
      <c r="C391" s="21">
        <v>240109000008</v>
      </c>
      <c r="D391" s="22">
        <v>45304</v>
      </c>
      <c r="E391" s="22" t="s">
        <v>49</v>
      </c>
      <c r="F391" s="20" t="s">
        <v>50</v>
      </c>
      <c r="G391" s="20" t="s">
        <v>66</v>
      </c>
      <c r="H391" s="20">
        <v>0.22</v>
      </c>
      <c r="I391" s="43">
        <v>47</v>
      </c>
      <c r="J391" s="44"/>
      <c r="K391" s="45"/>
      <c r="L391" s="44"/>
      <c r="M391" s="46"/>
      <c r="N391" s="20"/>
      <c r="O391" s="48">
        <f>SUM(I391)</f>
        <v>47</v>
      </c>
      <c r="P391" s="54"/>
      <c r="Q391" s="54"/>
      <c r="R391" s="81">
        <f t="shared" si="180"/>
        <v>7.17501736111111</v>
      </c>
      <c r="S391" s="81"/>
      <c r="T391" s="82">
        <f t="shared" si="181"/>
        <v>0.0433888888888889</v>
      </c>
      <c r="U391" s="81"/>
      <c r="V391" s="81"/>
      <c r="W391" s="83">
        <f t="shared" si="178"/>
        <v>7.21840625</v>
      </c>
      <c r="X391" s="84">
        <f t="shared" si="182"/>
        <v>0.170973611111111</v>
      </c>
      <c r="Y391" s="84"/>
      <c r="Z391" s="84"/>
      <c r="AA391" s="84">
        <f t="shared" si="179"/>
        <v>0.170973611111111</v>
      </c>
      <c r="AB391" s="94">
        <v>7.17</v>
      </c>
      <c r="AC391" s="81">
        <f t="shared" si="175"/>
        <v>1.22588079166667</v>
      </c>
      <c r="AD391" s="81">
        <f t="shared" si="176"/>
        <v>8.44428704166667</v>
      </c>
      <c r="AE391" s="81">
        <f t="shared" si="173"/>
        <v>38.5557129583333</v>
      </c>
    </row>
    <row r="392" customFormat="1" spans="1:31">
      <c r="A392" s="19"/>
      <c r="B392" s="20"/>
      <c r="C392" s="21">
        <v>240109000010</v>
      </c>
      <c r="D392" s="22">
        <v>45304</v>
      </c>
      <c r="E392" s="22" t="s">
        <v>49</v>
      </c>
      <c r="F392" s="20" t="s">
        <v>50</v>
      </c>
      <c r="G392" s="20" t="s">
        <v>287</v>
      </c>
      <c r="H392" s="20">
        <v>64.5</v>
      </c>
      <c r="I392" s="50"/>
      <c r="J392" s="51">
        <v>576114</v>
      </c>
      <c r="K392" s="52"/>
      <c r="L392" s="51">
        <f>SUM(J392/M392)</f>
        <v>1455.53169449989</v>
      </c>
      <c r="M392" s="53">
        <v>395.81</v>
      </c>
      <c r="N392" s="20">
        <v>7.17</v>
      </c>
      <c r="O392" s="48">
        <f t="shared" ref="O392:O397" si="184">SUM(M392*N392)</f>
        <v>2837.9577</v>
      </c>
      <c r="P392" s="54"/>
      <c r="Q392" s="54"/>
      <c r="R392" s="81">
        <f t="shared" si="180"/>
        <v>2103.58463541667</v>
      </c>
      <c r="S392" s="81"/>
      <c r="T392" s="82">
        <f t="shared" si="181"/>
        <v>12.7208333333333</v>
      </c>
      <c r="U392" s="81"/>
      <c r="V392" s="81"/>
      <c r="W392" s="83">
        <f t="shared" si="178"/>
        <v>2116.30546875</v>
      </c>
      <c r="X392" s="84">
        <f t="shared" si="182"/>
        <v>50.1263541666667</v>
      </c>
      <c r="Y392" s="84"/>
      <c r="Z392" s="84"/>
      <c r="AA392" s="84">
        <f t="shared" si="179"/>
        <v>50.1263541666667</v>
      </c>
      <c r="AB392" s="94">
        <v>7.17</v>
      </c>
      <c r="AC392" s="81">
        <f t="shared" si="175"/>
        <v>359.405959375</v>
      </c>
      <c r="AD392" s="81">
        <f t="shared" si="176"/>
        <v>2475.711428125</v>
      </c>
      <c r="AE392" s="81">
        <f t="shared" si="173"/>
        <v>362.246271875</v>
      </c>
    </row>
    <row r="393" customFormat="1" spans="1:31">
      <c r="A393" s="19"/>
      <c r="B393" s="20"/>
      <c r="C393" s="21">
        <v>240109000011</v>
      </c>
      <c r="D393" s="22">
        <v>45304</v>
      </c>
      <c r="E393" s="22" t="s">
        <v>49</v>
      </c>
      <c r="F393" s="20" t="s">
        <v>50</v>
      </c>
      <c r="G393" s="20" t="s">
        <v>239</v>
      </c>
      <c r="H393" s="20">
        <v>4.5</v>
      </c>
      <c r="I393" s="50"/>
      <c r="J393" s="51">
        <v>41850</v>
      </c>
      <c r="K393" s="52"/>
      <c r="L393" s="51">
        <f>SUM(J393/M393)</f>
        <v>1333.65200764818</v>
      </c>
      <c r="M393" s="53">
        <v>31.38</v>
      </c>
      <c r="N393" s="20">
        <v>7.17</v>
      </c>
      <c r="O393" s="48">
        <f t="shared" si="184"/>
        <v>224.9946</v>
      </c>
      <c r="P393" s="54"/>
      <c r="Q393" s="54"/>
      <c r="R393" s="81">
        <f t="shared" si="180"/>
        <v>146.76171875</v>
      </c>
      <c r="S393" s="81"/>
      <c r="T393" s="82">
        <f t="shared" si="181"/>
        <v>0.8875</v>
      </c>
      <c r="U393" s="81"/>
      <c r="V393" s="81"/>
      <c r="W393" s="83">
        <f t="shared" si="178"/>
        <v>147.64921875</v>
      </c>
      <c r="X393" s="84">
        <f t="shared" si="182"/>
        <v>3.4971875</v>
      </c>
      <c r="Y393" s="84"/>
      <c r="Z393" s="84"/>
      <c r="AA393" s="84">
        <f t="shared" si="179"/>
        <v>3.4971875</v>
      </c>
      <c r="AB393" s="94">
        <v>7.17</v>
      </c>
      <c r="AC393" s="81">
        <f t="shared" si="175"/>
        <v>25.074834375</v>
      </c>
      <c r="AD393" s="81">
        <f t="shared" si="176"/>
        <v>172.724053125</v>
      </c>
      <c r="AE393" s="81">
        <f t="shared" si="173"/>
        <v>52.270546875</v>
      </c>
    </row>
    <row r="394" customFormat="1" spans="1:31">
      <c r="A394" s="19"/>
      <c r="B394" s="20"/>
      <c r="C394" s="23">
        <v>240109000015</v>
      </c>
      <c r="D394" s="24">
        <v>45304</v>
      </c>
      <c r="E394" s="22" t="s">
        <v>37</v>
      </c>
      <c r="F394" s="26" t="s">
        <v>38</v>
      </c>
      <c r="G394" s="26" t="s">
        <v>325</v>
      </c>
      <c r="H394" s="26">
        <v>5</v>
      </c>
      <c r="I394" s="43">
        <v>278</v>
      </c>
      <c r="J394" s="44"/>
      <c r="K394" s="45"/>
      <c r="L394" s="44"/>
      <c r="M394" s="46"/>
      <c r="N394" s="20"/>
      <c r="O394" s="48">
        <f t="shared" ref="O394:O403" si="185">SUM(I394)</f>
        <v>278</v>
      </c>
      <c r="P394" s="54"/>
      <c r="Q394" s="54"/>
      <c r="R394" s="81">
        <f t="shared" si="180"/>
        <v>163.068576388889</v>
      </c>
      <c r="S394" s="81"/>
      <c r="T394" s="82">
        <f t="shared" si="181"/>
        <v>0.986111111111111</v>
      </c>
      <c r="U394" s="81"/>
      <c r="V394" s="81"/>
      <c r="W394" s="83">
        <f t="shared" si="178"/>
        <v>164.0546875</v>
      </c>
      <c r="X394" s="84">
        <f t="shared" si="182"/>
        <v>3.88576388888889</v>
      </c>
      <c r="Y394" s="84"/>
      <c r="Z394" s="84"/>
      <c r="AA394" s="84">
        <f t="shared" si="179"/>
        <v>3.88576388888889</v>
      </c>
      <c r="AB394" s="94">
        <v>7.17</v>
      </c>
      <c r="AC394" s="81">
        <f t="shared" si="175"/>
        <v>27.8609270833333</v>
      </c>
      <c r="AD394" s="81">
        <f t="shared" si="176"/>
        <v>191.915614583333</v>
      </c>
      <c r="AE394" s="81">
        <f t="shared" si="173"/>
        <v>86.084385416667</v>
      </c>
    </row>
    <row r="395" customFormat="1" spans="1:31">
      <c r="A395" s="19"/>
      <c r="B395" s="20"/>
      <c r="C395" s="21">
        <v>240109000024</v>
      </c>
      <c r="D395" s="22">
        <v>45304</v>
      </c>
      <c r="E395" s="22" t="s">
        <v>49</v>
      </c>
      <c r="F395" s="20" t="s">
        <v>50</v>
      </c>
      <c r="G395" s="20" t="s">
        <v>188</v>
      </c>
      <c r="H395" s="20">
        <v>6.5</v>
      </c>
      <c r="I395" s="43">
        <v>325</v>
      </c>
      <c r="J395" s="44"/>
      <c r="K395" s="45"/>
      <c r="L395" s="51" t="e">
        <f>SUM(J395/M395)</f>
        <v>#DIV/0!</v>
      </c>
      <c r="M395" s="53"/>
      <c r="N395" s="20"/>
      <c r="O395" s="48">
        <f>SUBTOTAL(9,I395)</f>
        <v>325</v>
      </c>
      <c r="P395" s="54"/>
      <c r="Q395" s="54"/>
      <c r="R395" s="81">
        <f t="shared" si="180"/>
        <v>211.989149305556</v>
      </c>
      <c r="S395" s="81"/>
      <c r="T395" s="82">
        <f t="shared" si="181"/>
        <v>1.28194444444444</v>
      </c>
      <c r="U395" s="81"/>
      <c r="V395" s="81"/>
      <c r="W395" s="83">
        <f t="shared" si="178"/>
        <v>213.27109375</v>
      </c>
      <c r="X395" s="84">
        <f t="shared" si="182"/>
        <v>5.05149305555556</v>
      </c>
      <c r="Y395" s="84"/>
      <c r="Z395" s="84"/>
      <c r="AA395" s="84">
        <f t="shared" si="179"/>
        <v>5.05149305555556</v>
      </c>
      <c r="AB395" s="94">
        <v>7.17</v>
      </c>
      <c r="AC395" s="81">
        <f t="shared" si="175"/>
        <v>36.2192052083333</v>
      </c>
      <c r="AD395" s="81">
        <f t="shared" si="176"/>
        <v>249.490298958333</v>
      </c>
      <c r="AE395" s="81">
        <f t="shared" si="173"/>
        <v>75.509701041667</v>
      </c>
    </row>
    <row r="396" customFormat="1" spans="1:31">
      <c r="A396" s="19"/>
      <c r="B396" s="20"/>
      <c r="C396" s="21">
        <v>240109000026</v>
      </c>
      <c r="D396" s="22">
        <v>45304</v>
      </c>
      <c r="E396" s="22" t="s">
        <v>49</v>
      </c>
      <c r="F396" s="20" t="s">
        <v>50</v>
      </c>
      <c r="G396" s="20" t="s">
        <v>64</v>
      </c>
      <c r="H396" s="20">
        <v>54</v>
      </c>
      <c r="I396" s="50"/>
      <c r="J396" s="51">
        <v>565056</v>
      </c>
      <c r="K396" s="52"/>
      <c r="L396" s="51">
        <f>SUM(J396/M396)</f>
        <v>1563.08713692946</v>
      </c>
      <c r="M396" s="53">
        <v>361.5</v>
      </c>
      <c r="N396" s="20">
        <v>7.17</v>
      </c>
      <c r="O396" s="48">
        <f t="shared" si="184"/>
        <v>2591.955</v>
      </c>
      <c r="P396" s="54"/>
      <c r="Q396" s="54"/>
      <c r="R396" s="81">
        <f t="shared" si="180"/>
        <v>1761.140625</v>
      </c>
      <c r="S396" s="81"/>
      <c r="T396" s="82">
        <f t="shared" si="181"/>
        <v>10.65</v>
      </c>
      <c r="U396" s="81"/>
      <c r="V396" s="81"/>
      <c r="W396" s="83">
        <f t="shared" si="178"/>
        <v>1771.790625</v>
      </c>
      <c r="X396" s="84">
        <f t="shared" si="182"/>
        <v>41.96625</v>
      </c>
      <c r="Y396" s="84"/>
      <c r="Z396" s="84"/>
      <c r="AA396" s="84">
        <f t="shared" si="179"/>
        <v>41.96625</v>
      </c>
      <c r="AB396" s="94">
        <v>7.17</v>
      </c>
      <c r="AC396" s="81">
        <f t="shared" si="175"/>
        <v>300.8980125</v>
      </c>
      <c r="AD396" s="81">
        <f t="shared" si="176"/>
        <v>2072.6886375</v>
      </c>
      <c r="AE396" s="81">
        <f t="shared" si="173"/>
        <v>519.2663625</v>
      </c>
    </row>
    <row r="397" customFormat="1" spans="1:31">
      <c r="A397" s="19"/>
      <c r="B397" s="20"/>
      <c r="C397" s="21">
        <v>240109000028</v>
      </c>
      <c r="D397" s="22">
        <v>45304</v>
      </c>
      <c r="E397" s="22" t="s">
        <v>69</v>
      </c>
      <c r="F397" s="20" t="s">
        <v>326</v>
      </c>
      <c r="G397" s="20" t="s">
        <v>327</v>
      </c>
      <c r="H397" s="20">
        <v>8</v>
      </c>
      <c r="I397" s="48"/>
      <c r="J397" s="99"/>
      <c r="K397" s="56"/>
      <c r="L397" s="99"/>
      <c r="M397" s="46">
        <v>57.8</v>
      </c>
      <c r="N397" s="20">
        <v>7.17</v>
      </c>
      <c r="O397" s="48">
        <f t="shared" si="184"/>
        <v>414.426</v>
      </c>
      <c r="P397" s="54"/>
      <c r="Q397" s="54"/>
      <c r="R397" s="81">
        <f t="shared" si="180"/>
        <v>260.909722222222</v>
      </c>
      <c r="S397" s="81"/>
      <c r="T397" s="82">
        <f t="shared" si="181"/>
        <v>1.57777777777778</v>
      </c>
      <c r="U397" s="81"/>
      <c r="V397" s="81"/>
      <c r="W397" s="83">
        <f t="shared" si="178"/>
        <v>262.4875</v>
      </c>
      <c r="X397" s="84">
        <f t="shared" si="182"/>
        <v>6.21722222222222</v>
      </c>
      <c r="Y397" s="84"/>
      <c r="Z397" s="84"/>
      <c r="AA397" s="84">
        <f t="shared" si="179"/>
        <v>6.21722222222222</v>
      </c>
      <c r="AB397" s="94">
        <v>7.17</v>
      </c>
      <c r="AC397" s="81">
        <f t="shared" si="175"/>
        <v>44.5774833333333</v>
      </c>
      <c r="AD397" s="81">
        <f t="shared" si="176"/>
        <v>307.064983333333</v>
      </c>
      <c r="AE397" s="81">
        <f t="shared" si="173"/>
        <v>107.361016666667</v>
      </c>
    </row>
    <row r="398" customFormat="1" spans="1:31">
      <c r="A398" s="19"/>
      <c r="B398" s="20"/>
      <c r="C398" s="21">
        <v>240109000029</v>
      </c>
      <c r="D398" s="22">
        <v>45304</v>
      </c>
      <c r="E398" s="22" t="s">
        <v>37</v>
      </c>
      <c r="F398" s="20" t="s">
        <v>203</v>
      </c>
      <c r="G398" s="20" t="s">
        <v>122</v>
      </c>
      <c r="H398" s="20">
        <v>3</v>
      </c>
      <c r="I398" s="43">
        <v>135</v>
      </c>
      <c r="J398" s="44"/>
      <c r="K398" s="45"/>
      <c r="L398" s="44"/>
      <c r="M398" s="46"/>
      <c r="N398" s="20"/>
      <c r="O398" s="48">
        <f t="shared" si="185"/>
        <v>135</v>
      </c>
      <c r="P398" s="54"/>
      <c r="Q398" s="54"/>
      <c r="R398" s="81">
        <f t="shared" si="180"/>
        <v>97.8411458333333</v>
      </c>
      <c r="S398" s="81"/>
      <c r="T398" s="82">
        <f t="shared" si="181"/>
        <v>0.591666666666667</v>
      </c>
      <c r="U398" s="81"/>
      <c r="V398" s="81"/>
      <c r="W398" s="83">
        <f t="shared" si="178"/>
        <v>98.4328125</v>
      </c>
      <c r="X398" s="84">
        <f t="shared" si="182"/>
        <v>2.33145833333333</v>
      </c>
      <c r="Y398" s="84"/>
      <c r="Z398" s="84"/>
      <c r="AA398" s="84">
        <f t="shared" si="179"/>
        <v>2.33145833333333</v>
      </c>
      <c r="AB398" s="94">
        <v>7.17</v>
      </c>
      <c r="AC398" s="81">
        <f t="shared" si="175"/>
        <v>16.71655625</v>
      </c>
      <c r="AD398" s="81">
        <f t="shared" si="176"/>
        <v>115.14936875</v>
      </c>
      <c r="AE398" s="81">
        <f t="shared" si="173"/>
        <v>19.85063125</v>
      </c>
    </row>
    <row r="399" customFormat="1" spans="1:31">
      <c r="A399" s="19"/>
      <c r="B399" s="20"/>
      <c r="C399" s="21">
        <v>240109000034</v>
      </c>
      <c r="D399" s="22">
        <v>45304</v>
      </c>
      <c r="E399" s="22" t="s">
        <v>37</v>
      </c>
      <c r="F399" s="20" t="s">
        <v>203</v>
      </c>
      <c r="G399" s="20" t="s">
        <v>122</v>
      </c>
      <c r="H399" s="20">
        <v>2.5</v>
      </c>
      <c r="I399" s="43">
        <v>112.5</v>
      </c>
      <c r="J399" s="44"/>
      <c r="K399" s="45"/>
      <c r="L399" s="44"/>
      <c r="M399" s="46"/>
      <c r="N399" s="20"/>
      <c r="O399" s="48">
        <f t="shared" si="185"/>
        <v>112.5</v>
      </c>
      <c r="P399" s="54"/>
      <c r="Q399" s="54"/>
      <c r="R399" s="81">
        <f t="shared" si="180"/>
        <v>81.5342881944444</v>
      </c>
      <c r="S399" s="81"/>
      <c r="T399" s="82">
        <f t="shared" si="181"/>
        <v>0.493055555555556</v>
      </c>
      <c r="U399" s="81"/>
      <c r="V399" s="81"/>
      <c r="W399" s="83">
        <f t="shared" si="178"/>
        <v>82.02734375</v>
      </c>
      <c r="X399" s="84">
        <f t="shared" si="182"/>
        <v>1.94288194444444</v>
      </c>
      <c r="Y399" s="84"/>
      <c r="Z399" s="84"/>
      <c r="AA399" s="84">
        <f t="shared" si="179"/>
        <v>1.94288194444444</v>
      </c>
      <c r="AB399" s="94">
        <v>7.17</v>
      </c>
      <c r="AC399" s="81">
        <f t="shared" si="175"/>
        <v>13.9304635416667</v>
      </c>
      <c r="AD399" s="81">
        <f t="shared" si="176"/>
        <v>95.9578072916667</v>
      </c>
      <c r="AE399" s="81">
        <f t="shared" si="173"/>
        <v>16.5421927083333</v>
      </c>
    </row>
    <row r="400" customFormat="1" spans="1:31">
      <c r="A400" s="19"/>
      <c r="B400" s="20"/>
      <c r="C400" s="21">
        <v>240109000035</v>
      </c>
      <c r="D400" s="22">
        <v>45304</v>
      </c>
      <c r="E400" s="22" t="s">
        <v>37</v>
      </c>
      <c r="F400" s="20" t="s">
        <v>38</v>
      </c>
      <c r="G400" s="20" t="s">
        <v>62</v>
      </c>
      <c r="H400" s="20">
        <v>3.5</v>
      </c>
      <c r="I400" s="43">
        <v>195.5</v>
      </c>
      <c r="J400" s="44"/>
      <c r="K400" s="45"/>
      <c r="L400" s="44"/>
      <c r="M400" s="46"/>
      <c r="N400" s="20"/>
      <c r="O400" s="48">
        <f t="shared" si="185"/>
        <v>195.5</v>
      </c>
      <c r="P400" s="54"/>
      <c r="Q400" s="54"/>
      <c r="R400" s="81">
        <f t="shared" si="180"/>
        <v>114.148003472222</v>
      </c>
      <c r="S400" s="81"/>
      <c r="T400" s="82">
        <f t="shared" si="181"/>
        <v>0.690277777777778</v>
      </c>
      <c r="U400" s="81"/>
      <c r="V400" s="81"/>
      <c r="W400" s="83">
        <f t="shared" si="178"/>
        <v>114.83828125</v>
      </c>
      <c r="X400" s="84">
        <f t="shared" si="182"/>
        <v>2.72003472222222</v>
      </c>
      <c r="Y400" s="84"/>
      <c r="Z400" s="84"/>
      <c r="AA400" s="84">
        <f t="shared" si="179"/>
        <v>2.72003472222222</v>
      </c>
      <c r="AB400" s="94">
        <v>7.17</v>
      </c>
      <c r="AC400" s="81">
        <f t="shared" si="175"/>
        <v>19.5026489583333</v>
      </c>
      <c r="AD400" s="81">
        <f t="shared" si="176"/>
        <v>134.340930208333</v>
      </c>
      <c r="AE400" s="81">
        <f t="shared" si="173"/>
        <v>61.159069791667</v>
      </c>
    </row>
    <row r="401" customFormat="1" spans="1:31">
      <c r="A401" s="19"/>
      <c r="B401" s="20"/>
      <c r="C401" s="21">
        <v>240109000044</v>
      </c>
      <c r="D401" s="22">
        <v>45304</v>
      </c>
      <c r="E401" s="22" t="s">
        <v>69</v>
      </c>
      <c r="F401" s="20" t="s">
        <v>328</v>
      </c>
      <c r="G401" s="20" t="s">
        <v>327</v>
      </c>
      <c r="H401" s="20">
        <v>2</v>
      </c>
      <c r="I401" s="43">
        <v>123</v>
      </c>
      <c r="J401" s="59"/>
      <c r="K401" s="52"/>
      <c r="L401" s="59"/>
      <c r="M401" s="46"/>
      <c r="N401" s="20"/>
      <c r="O401" s="48">
        <f t="shared" si="185"/>
        <v>123</v>
      </c>
      <c r="P401" s="54"/>
      <c r="Q401" s="54"/>
      <c r="R401" s="81">
        <f t="shared" si="180"/>
        <v>65.2274305555556</v>
      </c>
      <c r="S401" s="81"/>
      <c r="T401" s="82">
        <f t="shared" si="181"/>
        <v>0.394444444444444</v>
      </c>
      <c r="U401" s="81"/>
      <c r="V401" s="81"/>
      <c r="W401" s="83">
        <f t="shared" si="178"/>
        <v>65.621875</v>
      </c>
      <c r="X401" s="84">
        <f t="shared" si="182"/>
        <v>1.55430555555556</v>
      </c>
      <c r="Y401" s="84"/>
      <c r="Z401" s="84"/>
      <c r="AA401" s="84">
        <f t="shared" si="179"/>
        <v>1.55430555555556</v>
      </c>
      <c r="AB401" s="94">
        <v>7.17</v>
      </c>
      <c r="AC401" s="81">
        <f t="shared" si="175"/>
        <v>11.1443708333333</v>
      </c>
      <c r="AD401" s="81">
        <f t="shared" si="176"/>
        <v>76.7662458333333</v>
      </c>
      <c r="AE401" s="81">
        <f t="shared" si="173"/>
        <v>46.2337541666667</v>
      </c>
    </row>
    <row r="402" customFormat="1" spans="1:31">
      <c r="A402" s="19"/>
      <c r="B402" s="20"/>
      <c r="C402" s="21">
        <v>240110000001</v>
      </c>
      <c r="D402" s="22">
        <v>45304</v>
      </c>
      <c r="E402" s="22" t="s">
        <v>58</v>
      </c>
      <c r="F402" s="20" t="s">
        <v>329</v>
      </c>
      <c r="G402" s="20" t="s">
        <v>330</v>
      </c>
      <c r="H402" s="20">
        <v>2</v>
      </c>
      <c r="I402" s="43">
        <v>113</v>
      </c>
      <c r="J402" s="44"/>
      <c r="K402" s="45"/>
      <c r="L402" s="44"/>
      <c r="M402" s="46"/>
      <c r="N402" s="20"/>
      <c r="O402" s="48">
        <f t="shared" si="185"/>
        <v>113</v>
      </c>
      <c r="P402" s="54"/>
      <c r="Q402" s="54"/>
      <c r="R402" s="81">
        <f t="shared" si="180"/>
        <v>65.2274305555556</v>
      </c>
      <c r="S402" s="81"/>
      <c r="T402" s="82">
        <f t="shared" si="181"/>
        <v>0.394444444444444</v>
      </c>
      <c r="U402" s="81"/>
      <c r="V402" s="81"/>
      <c r="W402" s="83">
        <f t="shared" si="178"/>
        <v>65.621875</v>
      </c>
      <c r="X402" s="84">
        <f t="shared" si="182"/>
        <v>1.55430555555556</v>
      </c>
      <c r="Y402" s="84"/>
      <c r="Z402" s="84"/>
      <c r="AA402" s="84">
        <f t="shared" si="179"/>
        <v>1.55430555555556</v>
      </c>
      <c r="AB402" s="94">
        <v>7.17</v>
      </c>
      <c r="AC402" s="81">
        <f t="shared" si="175"/>
        <v>11.1443708333333</v>
      </c>
      <c r="AD402" s="81">
        <f t="shared" si="176"/>
        <v>76.7662458333333</v>
      </c>
      <c r="AE402" s="81">
        <f t="shared" si="173"/>
        <v>36.2337541666667</v>
      </c>
    </row>
    <row r="403" customFormat="1" spans="1:31">
      <c r="A403" s="19"/>
      <c r="B403" s="20"/>
      <c r="C403" s="21">
        <v>240110000002</v>
      </c>
      <c r="D403" s="22">
        <v>45304</v>
      </c>
      <c r="E403" s="25" t="s">
        <v>69</v>
      </c>
      <c r="F403" s="20" t="s">
        <v>69</v>
      </c>
      <c r="G403" s="20" t="s">
        <v>331</v>
      </c>
      <c r="H403" s="20">
        <v>28</v>
      </c>
      <c r="I403" s="43">
        <v>2004</v>
      </c>
      <c r="J403" s="44"/>
      <c r="K403" s="45"/>
      <c r="L403" s="44"/>
      <c r="M403" s="46"/>
      <c r="N403" s="20"/>
      <c r="O403" s="48">
        <f t="shared" si="185"/>
        <v>2004</v>
      </c>
      <c r="P403" s="54"/>
      <c r="Q403" s="54"/>
      <c r="R403" s="81">
        <f t="shared" si="180"/>
        <v>913.184027777778</v>
      </c>
      <c r="S403" s="81"/>
      <c r="T403" s="82">
        <f t="shared" si="181"/>
        <v>5.52222222222222</v>
      </c>
      <c r="U403" s="81"/>
      <c r="V403" s="81"/>
      <c r="W403" s="83">
        <f t="shared" si="178"/>
        <v>918.70625</v>
      </c>
      <c r="X403" s="84">
        <f t="shared" si="182"/>
        <v>21.7602777777778</v>
      </c>
      <c r="Y403" s="84"/>
      <c r="Z403" s="84"/>
      <c r="AA403" s="84">
        <f t="shared" si="179"/>
        <v>21.7602777777778</v>
      </c>
      <c r="AB403" s="94">
        <v>7.17</v>
      </c>
      <c r="AC403" s="81">
        <f t="shared" si="175"/>
        <v>156.021191666667</v>
      </c>
      <c r="AD403" s="81">
        <f t="shared" si="176"/>
        <v>1074.72744166667</v>
      </c>
      <c r="AE403" s="81">
        <f t="shared" si="173"/>
        <v>929.27255833333</v>
      </c>
    </row>
    <row r="404" customFormat="1" spans="1:31">
      <c r="A404" s="19"/>
      <c r="B404" s="20"/>
      <c r="C404" s="21">
        <v>240110000003</v>
      </c>
      <c r="D404" s="22">
        <v>45304</v>
      </c>
      <c r="E404" s="22" t="s">
        <v>49</v>
      </c>
      <c r="F404" s="20" t="s">
        <v>50</v>
      </c>
      <c r="G404" s="20" t="s">
        <v>63</v>
      </c>
      <c r="H404" s="20">
        <v>0.44</v>
      </c>
      <c r="I404" s="50"/>
      <c r="J404" s="51">
        <v>10835</v>
      </c>
      <c r="K404" s="52"/>
      <c r="L404" s="51">
        <f>SUM(J404/M404)</f>
        <v>1234.05466970387</v>
      </c>
      <c r="M404" s="53">
        <v>8.78</v>
      </c>
      <c r="N404" s="20">
        <v>7.17</v>
      </c>
      <c r="O404" s="48">
        <f t="shared" ref="O404:O408" si="186">SUM(M404*N404)</f>
        <v>62.9526</v>
      </c>
      <c r="P404" s="54"/>
      <c r="Q404" s="54"/>
      <c r="R404" s="81">
        <f t="shared" si="180"/>
        <v>14.3500347222222</v>
      </c>
      <c r="S404" s="81"/>
      <c r="T404" s="82">
        <f t="shared" si="181"/>
        <v>0.0867777777777778</v>
      </c>
      <c r="U404" s="81"/>
      <c r="V404" s="81"/>
      <c r="W404" s="83">
        <f t="shared" si="178"/>
        <v>14.4368125</v>
      </c>
      <c r="X404" s="84">
        <f t="shared" si="182"/>
        <v>0.341947222222222</v>
      </c>
      <c r="Y404" s="84"/>
      <c r="Z404" s="84"/>
      <c r="AA404" s="84">
        <f t="shared" si="179"/>
        <v>0.341947222222222</v>
      </c>
      <c r="AB404" s="94">
        <v>7.17</v>
      </c>
      <c r="AC404" s="81">
        <f t="shared" si="175"/>
        <v>2.45176158333333</v>
      </c>
      <c r="AD404" s="81">
        <f t="shared" si="176"/>
        <v>16.8885740833333</v>
      </c>
      <c r="AE404" s="81">
        <f t="shared" si="173"/>
        <v>46.0640259166667</v>
      </c>
    </row>
    <row r="405" customFormat="1" spans="1:31">
      <c r="A405" s="19"/>
      <c r="B405" s="20"/>
      <c r="C405" s="21">
        <v>240110000005</v>
      </c>
      <c r="D405" s="22">
        <v>45304</v>
      </c>
      <c r="E405" s="22" t="s">
        <v>49</v>
      </c>
      <c r="F405" s="20" t="s">
        <v>50</v>
      </c>
      <c r="G405" s="20" t="s">
        <v>208</v>
      </c>
      <c r="H405" s="20">
        <v>5.5</v>
      </c>
      <c r="I405" s="43">
        <v>284.5</v>
      </c>
      <c r="J405" s="107"/>
      <c r="K405" s="108"/>
      <c r="L405" s="107"/>
      <c r="M405" s="46"/>
      <c r="N405" s="97"/>
      <c r="O405" s="48">
        <v>284.5</v>
      </c>
      <c r="P405" s="54"/>
      <c r="Q405" s="54"/>
      <c r="R405" s="81">
        <f t="shared" si="180"/>
        <v>179.375434027778</v>
      </c>
      <c r="S405" s="81"/>
      <c r="T405" s="82">
        <f t="shared" si="181"/>
        <v>1.08472222222222</v>
      </c>
      <c r="U405" s="81"/>
      <c r="V405" s="81"/>
      <c r="W405" s="83">
        <f t="shared" si="178"/>
        <v>180.46015625</v>
      </c>
      <c r="X405" s="84">
        <f t="shared" si="182"/>
        <v>4.27434027777778</v>
      </c>
      <c r="Y405" s="84"/>
      <c r="Z405" s="84"/>
      <c r="AA405" s="84">
        <f t="shared" si="179"/>
        <v>4.27434027777778</v>
      </c>
      <c r="AB405" s="94">
        <v>7.17</v>
      </c>
      <c r="AC405" s="81">
        <f t="shared" si="175"/>
        <v>30.6470197916667</v>
      </c>
      <c r="AD405" s="81">
        <f t="shared" si="176"/>
        <v>211.107176041667</v>
      </c>
      <c r="AE405" s="81">
        <f t="shared" si="173"/>
        <v>73.392823958333</v>
      </c>
    </row>
    <row r="406" customFormat="1" spans="1:31">
      <c r="A406" s="19"/>
      <c r="B406" s="20"/>
      <c r="C406" s="21">
        <v>240110000008</v>
      </c>
      <c r="D406" s="22">
        <v>45304</v>
      </c>
      <c r="E406" s="22" t="s">
        <v>49</v>
      </c>
      <c r="F406" s="20" t="s">
        <v>50</v>
      </c>
      <c r="G406" s="20" t="s">
        <v>72</v>
      </c>
      <c r="H406" s="20">
        <v>51</v>
      </c>
      <c r="I406" s="50"/>
      <c r="J406" s="51">
        <v>543060</v>
      </c>
      <c r="K406" s="52"/>
      <c r="L406" s="51">
        <f>SUM(J406/M406)</f>
        <v>1505.73947762436</v>
      </c>
      <c r="M406" s="53">
        <v>360.66</v>
      </c>
      <c r="N406" s="20">
        <v>7.17</v>
      </c>
      <c r="O406" s="48">
        <f t="shared" si="186"/>
        <v>2585.9322</v>
      </c>
      <c r="P406" s="54"/>
      <c r="Q406" s="54"/>
      <c r="R406" s="81">
        <f t="shared" si="180"/>
        <v>1663.29947916667</v>
      </c>
      <c r="S406" s="81"/>
      <c r="T406" s="82">
        <f t="shared" si="181"/>
        <v>10.0583333333333</v>
      </c>
      <c r="U406" s="81"/>
      <c r="V406" s="82">
        <v>87</v>
      </c>
      <c r="W406" s="83">
        <f t="shared" si="178"/>
        <v>1760.3578125</v>
      </c>
      <c r="X406" s="84">
        <f t="shared" si="182"/>
        <v>39.6347916666667</v>
      </c>
      <c r="Y406" s="84"/>
      <c r="Z406" s="84"/>
      <c r="AA406" s="84">
        <f t="shared" si="179"/>
        <v>39.6347916666667</v>
      </c>
      <c r="AB406" s="94">
        <v>7.17</v>
      </c>
      <c r="AC406" s="81">
        <f t="shared" si="175"/>
        <v>284.18145625</v>
      </c>
      <c r="AD406" s="81">
        <f t="shared" si="176"/>
        <v>2044.53926875</v>
      </c>
      <c r="AE406" s="81">
        <f t="shared" si="173"/>
        <v>541.39293125</v>
      </c>
    </row>
    <row r="407" customFormat="1" spans="1:31">
      <c r="A407" s="19"/>
      <c r="B407" s="20"/>
      <c r="C407" s="21">
        <v>240110000010</v>
      </c>
      <c r="D407" s="22">
        <v>45304</v>
      </c>
      <c r="E407" s="22" t="s">
        <v>58</v>
      </c>
      <c r="F407" s="20" t="s">
        <v>59</v>
      </c>
      <c r="G407" s="20" t="s">
        <v>199</v>
      </c>
      <c r="H407" s="20">
        <v>15.5</v>
      </c>
      <c r="I407" s="48"/>
      <c r="J407" s="55">
        <v>148056</v>
      </c>
      <c r="K407" s="56"/>
      <c r="L407" s="51">
        <f>SUM(J407/M407)</f>
        <v>1333.23728050428</v>
      </c>
      <c r="M407" s="53">
        <v>111.05</v>
      </c>
      <c r="N407" s="20">
        <v>7.17</v>
      </c>
      <c r="O407" s="48">
        <f t="shared" si="186"/>
        <v>796.2285</v>
      </c>
      <c r="P407" s="54"/>
      <c r="Q407" s="54"/>
      <c r="R407" s="81">
        <f t="shared" si="180"/>
        <v>505.512586805556</v>
      </c>
      <c r="S407" s="81"/>
      <c r="T407" s="82">
        <f t="shared" si="181"/>
        <v>3.05694444444444</v>
      </c>
      <c r="U407" s="81"/>
      <c r="V407" s="81"/>
      <c r="W407" s="83">
        <f t="shared" si="178"/>
        <v>508.56953125</v>
      </c>
      <c r="X407" s="84">
        <f t="shared" si="182"/>
        <v>12.0458680555556</v>
      </c>
      <c r="Y407" s="84"/>
      <c r="Z407" s="84"/>
      <c r="AA407" s="84">
        <f t="shared" si="179"/>
        <v>12.0458680555556</v>
      </c>
      <c r="AB407" s="94">
        <v>7.17</v>
      </c>
      <c r="AC407" s="81">
        <f t="shared" si="175"/>
        <v>86.3688739583333</v>
      </c>
      <c r="AD407" s="81">
        <f t="shared" si="176"/>
        <v>594.938405208333</v>
      </c>
      <c r="AE407" s="81">
        <f t="shared" si="173"/>
        <v>201.290094791667</v>
      </c>
    </row>
    <row r="408" customFormat="1" spans="1:31">
      <c r="A408" s="19"/>
      <c r="B408" s="20"/>
      <c r="C408" s="21">
        <v>240110000011</v>
      </c>
      <c r="D408" s="22">
        <v>45304</v>
      </c>
      <c r="E408" s="22" t="s">
        <v>49</v>
      </c>
      <c r="F408" s="20" t="s">
        <v>50</v>
      </c>
      <c r="G408" s="20" t="s">
        <v>223</v>
      </c>
      <c r="H408" s="20">
        <v>4.5</v>
      </c>
      <c r="I408" s="48"/>
      <c r="J408" s="55">
        <v>59130</v>
      </c>
      <c r="K408" s="56"/>
      <c r="L408" s="51">
        <f>SUM(J408/M408)</f>
        <v>1370.01853568119</v>
      </c>
      <c r="M408" s="109">
        <v>43.16</v>
      </c>
      <c r="N408" s="20">
        <v>7.17</v>
      </c>
      <c r="O408" s="48">
        <f t="shared" si="186"/>
        <v>309.4572</v>
      </c>
      <c r="P408" s="54"/>
      <c r="Q408" s="54"/>
      <c r="R408" s="81">
        <f t="shared" si="180"/>
        <v>146.76171875</v>
      </c>
      <c r="S408" s="81"/>
      <c r="T408" s="82">
        <f t="shared" si="181"/>
        <v>0.8875</v>
      </c>
      <c r="U408" s="81"/>
      <c r="V408" s="82">
        <v>37</v>
      </c>
      <c r="W408" s="83">
        <f t="shared" si="178"/>
        <v>184.64921875</v>
      </c>
      <c r="X408" s="84">
        <f t="shared" si="182"/>
        <v>3.4971875</v>
      </c>
      <c r="Y408" s="84"/>
      <c r="Z408" s="84"/>
      <c r="AA408" s="84">
        <f t="shared" si="179"/>
        <v>3.4971875</v>
      </c>
      <c r="AB408" s="94">
        <v>7.17</v>
      </c>
      <c r="AC408" s="81">
        <f t="shared" si="175"/>
        <v>25.074834375</v>
      </c>
      <c r="AD408" s="81">
        <f t="shared" si="176"/>
        <v>209.724053125</v>
      </c>
      <c r="AE408" s="81">
        <f t="shared" si="173"/>
        <v>99.733146875</v>
      </c>
    </row>
    <row r="409" customFormat="1" spans="1:31">
      <c r="A409" s="19"/>
      <c r="B409" s="20"/>
      <c r="C409" s="21">
        <v>240110000012</v>
      </c>
      <c r="D409" s="22">
        <v>45304</v>
      </c>
      <c r="E409" s="22" t="s">
        <v>37</v>
      </c>
      <c r="F409" s="20" t="s">
        <v>203</v>
      </c>
      <c r="G409" s="20" t="s">
        <v>122</v>
      </c>
      <c r="H409" s="20">
        <v>3</v>
      </c>
      <c r="I409" s="43">
        <v>135</v>
      </c>
      <c r="J409" s="44"/>
      <c r="K409" s="45"/>
      <c r="L409" s="44"/>
      <c r="M409" s="46"/>
      <c r="N409" s="20"/>
      <c r="O409" s="48">
        <f t="shared" ref="O405:O411" si="187">SUM(I409)</f>
        <v>135</v>
      </c>
      <c r="P409" s="54"/>
      <c r="Q409" s="54"/>
      <c r="R409" s="81">
        <f t="shared" si="180"/>
        <v>97.8411458333333</v>
      </c>
      <c r="S409" s="81"/>
      <c r="T409" s="82">
        <f t="shared" si="181"/>
        <v>0.591666666666667</v>
      </c>
      <c r="U409" s="81"/>
      <c r="V409" s="81"/>
      <c r="W409" s="83">
        <f t="shared" si="178"/>
        <v>98.4328125</v>
      </c>
      <c r="X409" s="84">
        <f t="shared" si="182"/>
        <v>2.33145833333333</v>
      </c>
      <c r="Y409" s="84"/>
      <c r="Z409" s="84"/>
      <c r="AA409" s="84">
        <f t="shared" si="179"/>
        <v>2.33145833333333</v>
      </c>
      <c r="AB409" s="94">
        <v>7.17</v>
      </c>
      <c r="AC409" s="81">
        <f t="shared" si="175"/>
        <v>16.71655625</v>
      </c>
      <c r="AD409" s="81">
        <f t="shared" si="176"/>
        <v>115.14936875</v>
      </c>
      <c r="AE409" s="81">
        <f t="shared" si="173"/>
        <v>19.85063125</v>
      </c>
    </row>
    <row r="410" customFormat="1" spans="1:31">
      <c r="A410" s="19"/>
      <c r="B410" s="20"/>
      <c r="C410" s="21">
        <v>240110000013</v>
      </c>
      <c r="D410" s="22">
        <v>45304</v>
      </c>
      <c r="E410" s="22" t="s">
        <v>37</v>
      </c>
      <c r="F410" s="20" t="s">
        <v>38</v>
      </c>
      <c r="G410" s="20" t="s">
        <v>75</v>
      </c>
      <c r="H410" s="20">
        <v>3</v>
      </c>
      <c r="I410" s="43">
        <v>168</v>
      </c>
      <c r="J410" s="44"/>
      <c r="K410" s="45"/>
      <c r="L410" s="44"/>
      <c r="M410" s="46"/>
      <c r="N410" s="20"/>
      <c r="O410" s="48">
        <f t="shared" si="187"/>
        <v>168</v>
      </c>
      <c r="P410" s="54"/>
      <c r="Q410" s="54"/>
      <c r="R410" s="81">
        <f t="shared" si="180"/>
        <v>97.8411458333333</v>
      </c>
      <c r="S410" s="81"/>
      <c r="T410" s="82">
        <f t="shared" si="181"/>
        <v>0.591666666666667</v>
      </c>
      <c r="U410" s="81"/>
      <c r="V410" s="81"/>
      <c r="W410" s="83">
        <f t="shared" si="178"/>
        <v>98.4328125</v>
      </c>
      <c r="X410" s="84">
        <f t="shared" si="182"/>
        <v>2.33145833333333</v>
      </c>
      <c r="Y410" s="84"/>
      <c r="Z410" s="84"/>
      <c r="AA410" s="84">
        <f t="shared" si="179"/>
        <v>2.33145833333333</v>
      </c>
      <c r="AB410" s="94">
        <v>7.17</v>
      </c>
      <c r="AC410" s="81">
        <f t="shared" si="175"/>
        <v>16.71655625</v>
      </c>
      <c r="AD410" s="81">
        <f t="shared" si="176"/>
        <v>115.14936875</v>
      </c>
      <c r="AE410" s="81">
        <f t="shared" si="173"/>
        <v>52.85063125</v>
      </c>
    </row>
    <row r="411" customFormat="1" spans="1:31">
      <c r="A411" s="19"/>
      <c r="B411" s="20"/>
      <c r="C411" s="21">
        <v>240110000017</v>
      </c>
      <c r="D411" s="22">
        <v>45304</v>
      </c>
      <c r="E411" s="25" t="s">
        <v>69</v>
      </c>
      <c r="F411" s="20" t="s">
        <v>69</v>
      </c>
      <c r="G411" s="20" t="s">
        <v>332</v>
      </c>
      <c r="H411" s="20">
        <v>254.5</v>
      </c>
      <c r="I411" s="43">
        <v>13005</v>
      </c>
      <c r="J411" s="44"/>
      <c r="K411" s="45"/>
      <c r="L411" s="44"/>
      <c r="M411" s="46"/>
      <c r="N411" s="20"/>
      <c r="O411" s="48">
        <f t="shared" si="187"/>
        <v>13005</v>
      </c>
      <c r="P411" s="54"/>
      <c r="Q411" s="54"/>
      <c r="R411" s="81">
        <f t="shared" si="180"/>
        <v>8300.19053819445</v>
      </c>
      <c r="S411" s="81"/>
      <c r="T411" s="82">
        <f t="shared" si="181"/>
        <v>50.1930555555556</v>
      </c>
      <c r="U411" s="81"/>
      <c r="V411" s="81"/>
      <c r="W411" s="83">
        <f t="shared" si="178"/>
        <v>8350.38359375</v>
      </c>
      <c r="X411" s="84">
        <f t="shared" si="182"/>
        <v>197.785381944444</v>
      </c>
      <c r="Y411" s="84"/>
      <c r="Z411" s="84"/>
      <c r="AA411" s="84">
        <f t="shared" si="179"/>
        <v>197.785381944444</v>
      </c>
      <c r="AB411" s="94">
        <v>7.17</v>
      </c>
      <c r="AC411" s="81">
        <f t="shared" si="175"/>
        <v>1418.12118854167</v>
      </c>
      <c r="AD411" s="81">
        <f t="shared" si="176"/>
        <v>9768.50478229167</v>
      </c>
      <c r="AE411" s="81">
        <f t="shared" si="173"/>
        <v>3236.49521770833</v>
      </c>
    </row>
    <row r="412" customFormat="1" spans="1:31">
      <c r="A412" s="19"/>
      <c r="B412" s="20"/>
      <c r="C412" s="21">
        <v>240110000020</v>
      </c>
      <c r="D412" s="22">
        <v>45304</v>
      </c>
      <c r="E412" s="22" t="s">
        <v>37</v>
      </c>
      <c r="F412" s="20" t="s">
        <v>38</v>
      </c>
      <c r="G412" s="20" t="s">
        <v>315</v>
      </c>
      <c r="H412" s="20">
        <v>0.44</v>
      </c>
      <c r="I412" s="50"/>
      <c r="J412" s="51">
        <v>10788</v>
      </c>
      <c r="K412" s="52"/>
      <c r="L412" s="51">
        <f>SUM(J412/M412)</f>
        <v>1335.14851485149</v>
      </c>
      <c r="M412" s="53">
        <v>8.08</v>
      </c>
      <c r="N412" s="20">
        <v>7.17</v>
      </c>
      <c r="O412" s="48">
        <f>SUM(M412*N412)</f>
        <v>57.9336</v>
      </c>
      <c r="P412" s="54"/>
      <c r="Q412" s="54"/>
      <c r="R412" s="81">
        <f t="shared" si="180"/>
        <v>14.3500347222222</v>
      </c>
      <c r="S412" s="81"/>
      <c r="T412" s="82">
        <f t="shared" si="181"/>
        <v>0.0867777777777778</v>
      </c>
      <c r="U412" s="81"/>
      <c r="V412" s="81"/>
      <c r="W412" s="83">
        <f t="shared" si="178"/>
        <v>14.4368125</v>
      </c>
      <c r="X412" s="84">
        <f t="shared" si="182"/>
        <v>0.341947222222222</v>
      </c>
      <c r="Y412" s="84"/>
      <c r="Z412" s="84"/>
      <c r="AA412" s="84">
        <f t="shared" si="179"/>
        <v>0.341947222222222</v>
      </c>
      <c r="AB412" s="94">
        <v>7.17</v>
      </c>
      <c r="AC412" s="81">
        <f t="shared" si="175"/>
        <v>2.45176158333333</v>
      </c>
      <c r="AD412" s="81">
        <f t="shared" si="176"/>
        <v>16.8885740833333</v>
      </c>
      <c r="AE412" s="81">
        <f t="shared" si="173"/>
        <v>41.0450259166667</v>
      </c>
    </row>
    <row r="413" customFormat="1" spans="1:31">
      <c r="A413" s="19"/>
      <c r="B413" s="20"/>
      <c r="C413" s="21">
        <v>240110000021</v>
      </c>
      <c r="D413" s="22">
        <v>45304</v>
      </c>
      <c r="E413" s="22" t="s">
        <v>110</v>
      </c>
      <c r="F413" s="20" t="s">
        <v>111</v>
      </c>
      <c r="G413" s="20" t="s">
        <v>254</v>
      </c>
      <c r="H413" s="20">
        <v>2.5</v>
      </c>
      <c r="I413" s="43">
        <v>140.5</v>
      </c>
      <c r="J413" s="44"/>
      <c r="K413" s="45"/>
      <c r="L413" s="44"/>
      <c r="M413" s="46"/>
      <c r="N413" s="20"/>
      <c r="O413" s="48">
        <f t="shared" ref="O413:O418" si="188">SUM(I413)</f>
        <v>140.5</v>
      </c>
      <c r="P413" s="54"/>
      <c r="Q413" s="54"/>
      <c r="R413" s="81">
        <f t="shared" si="180"/>
        <v>81.5342881944444</v>
      </c>
      <c r="S413" s="81"/>
      <c r="T413" s="82">
        <f t="shared" si="181"/>
        <v>0.493055555555556</v>
      </c>
      <c r="U413" s="81"/>
      <c r="V413" s="81"/>
      <c r="W413" s="83">
        <f t="shared" si="178"/>
        <v>82.02734375</v>
      </c>
      <c r="X413" s="84">
        <f t="shared" si="182"/>
        <v>1.94288194444444</v>
      </c>
      <c r="Y413" s="84"/>
      <c r="Z413" s="84"/>
      <c r="AA413" s="84">
        <f t="shared" si="179"/>
        <v>1.94288194444444</v>
      </c>
      <c r="AB413" s="94">
        <v>7.17</v>
      </c>
      <c r="AC413" s="81">
        <f t="shared" si="175"/>
        <v>13.9304635416667</v>
      </c>
      <c r="AD413" s="81">
        <f t="shared" si="176"/>
        <v>95.9578072916667</v>
      </c>
      <c r="AE413" s="81">
        <f t="shared" si="173"/>
        <v>44.5421927083333</v>
      </c>
    </row>
    <row r="414" customFormat="1" spans="1:31">
      <c r="A414" s="19"/>
      <c r="B414" s="20"/>
      <c r="C414" s="21">
        <v>240110000025</v>
      </c>
      <c r="D414" s="22">
        <v>45304</v>
      </c>
      <c r="E414" s="22" t="s">
        <v>44</v>
      </c>
      <c r="F414" s="20" t="s">
        <v>45</v>
      </c>
      <c r="G414" s="20" t="s">
        <v>56</v>
      </c>
      <c r="H414" s="20">
        <v>3</v>
      </c>
      <c r="I414" s="48"/>
      <c r="J414" s="55">
        <v>31815</v>
      </c>
      <c r="K414" s="56"/>
      <c r="L414" s="51">
        <f>SUM(J414/M414)</f>
        <v>1353.82978723404</v>
      </c>
      <c r="M414" s="53">
        <v>23.5</v>
      </c>
      <c r="N414" s="20">
        <v>7.17</v>
      </c>
      <c r="O414" s="48">
        <f>SUM(M414*N414)</f>
        <v>168.495</v>
      </c>
      <c r="P414" s="54"/>
      <c r="Q414" s="54"/>
      <c r="R414" s="81">
        <f t="shared" si="180"/>
        <v>97.8411458333333</v>
      </c>
      <c r="S414" s="81"/>
      <c r="T414" s="82">
        <f t="shared" si="181"/>
        <v>0.591666666666667</v>
      </c>
      <c r="U414" s="81"/>
      <c r="V414" s="81"/>
      <c r="W414" s="83">
        <f t="shared" si="178"/>
        <v>98.4328125</v>
      </c>
      <c r="X414" s="84">
        <f t="shared" si="182"/>
        <v>2.33145833333333</v>
      </c>
      <c r="Y414" s="84"/>
      <c r="Z414" s="84"/>
      <c r="AA414" s="84">
        <f t="shared" si="179"/>
        <v>2.33145833333333</v>
      </c>
      <c r="AB414" s="94">
        <v>7.17</v>
      </c>
      <c r="AC414" s="81">
        <f t="shared" si="175"/>
        <v>16.71655625</v>
      </c>
      <c r="AD414" s="81">
        <f t="shared" si="176"/>
        <v>115.14936875</v>
      </c>
      <c r="AE414" s="81">
        <f t="shared" si="173"/>
        <v>53.34563125</v>
      </c>
    </row>
    <row r="415" customFormat="1" spans="1:31">
      <c r="A415" s="19"/>
      <c r="B415" s="20"/>
      <c r="C415" s="21">
        <v>240110000029</v>
      </c>
      <c r="D415" s="22">
        <v>45304</v>
      </c>
      <c r="E415" s="22" t="s">
        <v>37</v>
      </c>
      <c r="F415" s="20" t="s">
        <v>38</v>
      </c>
      <c r="G415" s="20" t="s">
        <v>94</v>
      </c>
      <c r="H415" s="20">
        <v>3.5</v>
      </c>
      <c r="I415" s="43">
        <v>195.5</v>
      </c>
      <c r="J415" s="44"/>
      <c r="K415" s="45"/>
      <c r="L415" s="44"/>
      <c r="M415" s="46"/>
      <c r="N415" s="20"/>
      <c r="O415" s="48">
        <f t="shared" si="188"/>
        <v>195.5</v>
      </c>
      <c r="P415" s="54"/>
      <c r="Q415" s="54"/>
      <c r="R415" s="81">
        <f t="shared" si="180"/>
        <v>114.148003472222</v>
      </c>
      <c r="S415" s="81"/>
      <c r="T415" s="82">
        <f t="shared" si="181"/>
        <v>0.690277777777778</v>
      </c>
      <c r="U415" s="81"/>
      <c r="V415" s="81"/>
      <c r="W415" s="83">
        <f t="shared" si="178"/>
        <v>114.83828125</v>
      </c>
      <c r="X415" s="84">
        <f t="shared" si="182"/>
        <v>2.72003472222222</v>
      </c>
      <c r="Y415" s="84"/>
      <c r="Z415" s="84"/>
      <c r="AA415" s="84">
        <f t="shared" si="179"/>
        <v>2.72003472222222</v>
      </c>
      <c r="AB415" s="94">
        <v>7.17</v>
      </c>
      <c r="AC415" s="81">
        <f t="shared" si="175"/>
        <v>19.5026489583333</v>
      </c>
      <c r="AD415" s="81">
        <f t="shared" si="176"/>
        <v>134.340930208333</v>
      </c>
      <c r="AE415" s="81">
        <f t="shared" si="173"/>
        <v>61.159069791667</v>
      </c>
    </row>
    <row r="416" customFormat="1" spans="1:31">
      <c r="A416" s="19"/>
      <c r="B416" s="20"/>
      <c r="C416" s="23">
        <v>240110000030</v>
      </c>
      <c r="D416" s="24">
        <v>45304</v>
      </c>
      <c r="E416" s="22" t="s">
        <v>44</v>
      </c>
      <c r="F416" s="26" t="s">
        <v>45</v>
      </c>
      <c r="G416" s="26" t="s">
        <v>91</v>
      </c>
      <c r="H416" s="26">
        <v>1.5</v>
      </c>
      <c r="I416" s="43">
        <v>86</v>
      </c>
      <c r="J416" s="44"/>
      <c r="K416" s="45"/>
      <c r="L416" s="44"/>
      <c r="M416" s="46"/>
      <c r="N416" s="20"/>
      <c r="O416" s="48">
        <f t="shared" si="188"/>
        <v>86</v>
      </c>
      <c r="P416" s="54"/>
      <c r="Q416" s="54"/>
      <c r="R416" s="81">
        <f t="shared" si="180"/>
        <v>48.9205729166667</v>
      </c>
      <c r="S416" s="81"/>
      <c r="T416" s="82">
        <f t="shared" si="181"/>
        <v>0.295833333333333</v>
      </c>
      <c r="U416" s="81"/>
      <c r="V416" s="81"/>
      <c r="W416" s="83">
        <f t="shared" si="178"/>
        <v>49.21640625</v>
      </c>
      <c r="X416" s="84">
        <f t="shared" si="182"/>
        <v>1.16572916666667</v>
      </c>
      <c r="Y416" s="84"/>
      <c r="Z416" s="84"/>
      <c r="AA416" s="84">
        <f t="shared" si="179"/>
        <v>1.16572916666667</v>
      </c>
      <c r="AB416" s="94">
        <v>7.17</v>
      </c>
      <c r="AC416" s="81">
        <f t="shared" si="175"/>
        <v>8.358278125</v>
      </c>
      <c r="AD416" s="81">
        <f t="shared" si="176"/>
        <v>57.574684375</v>
      </c>
      <c r="AE416" s="81">
        <f t="shared" si="173"/>
        <v>28.425315625</v>
      </c>
    </row>
    <row r="417" customFormat="1" spans="1:31">
      <c r="A417" s="19"/>
      <c r="B417" s="20"/>
      <c r="C417" s="21">
        <v>240110000035</v>
      </c>
      <c r="D417" s="22">
        <v>45304</v>
      </c>
      <c r="E417" s="22" t="s">
        <v>58</v>
      </c>
      <c r="F417" s="20" t="s">
        <v>59</v>
      </c>
      <c r="G417" s="20" t="s">
        <v>333</v>
      </c>
      <c r="H417" s="20">
        <v>13.5</v>
      </c>
      <c r="I417" s="43">
        <v>788</v>
      </c>
      <c r="J417" s="44"/>
      <c r="K417" s="45"/>
      <c r="L417" s="44"/>
      <c r="M417" s="46"/>
      <c r="N417" s="20"/>
      <c r="O417" s="48">
        <f t="shared" si="188"/>
        <v>788</v>
      </c>
      <c r="P417" s="54"/>
      <c r="Q417" s="54"/>
      <c r="R417" s="81">
        <f t="shared" si="180"/>
        <v>440.28515625</v>
      </c>
      <c r="S417" s="81"/>
      <c r="T417" s="82">
        <f t="shared" si="181"/>
        <v>2.6625</v>
      </c>
      <c r="U417" s="81"/>
      <c r="V417" s="81"/>
      <c r="W417" s="83">
        <f t="shared" si="178"/>
        <v>442.94765625</v>
      </c>
      <c r="X417" s="84">
        <f t="shared" si="182"/>
        <v>10.4915625</v>
      </c>
      <c r="Y417" s="84"/>
      <c r="Z417" s="84"/>
      <c r="AA417" s="84">
        <f t="shared" si="179"/>
        <v>10.4915625</v>
      </c>
      <c r="AB417" s="94">
        <v>7.17</v>
      </c>
      <c r="AC417" s="81">
        <f t="shared" si="175"/>
        <v>75.224503125</v>
      </c>
      <c r="AD417" s="81">
        <f t="shared" si="176"/>
        <v>518.172159375</v>
      </c>
      <c r="AE417" s="81">
        <f t="shared" si="173"/>
        <v>269.827840625</v>
      </c>
    </row>
    <row r="418" customFormat="1" spans="1:31">
      <c r="A418" s="19"/>
      <c r="B418" s="20"/>
      <c r="C418" s="21">
        <v>240110000037</v>
      </c>
      <c r="D418" s="22">
        <v>45304</v>
      </c>
      <c r="E418" s="25" t="s">
        <v>69</v>
      </c>
      <c r="F418" s="20" t="s">
        <v>69</v>
      </c>
      <c r="G418" s="20" t="s">
        <v>70</v>
      </c>
      <c r="H418" s="20">
        <v>24.5</v>
      </c>
      <c r="I418" s="43">
        <v>1595.5</v>
      </c>
      <c r="J418" s="44"/>
      <c r="K418" s="45"/>
      <c r="L418" s="44"/>
      <c r="M418" s="46"/>
      <c r="N418" s="20"/>
      <c r="O418" s="48">
        <f t="shared" si="188"/>
        <v>1595.5</v>
      </c>
      <c r="P418" s="54"/>
      <c r="Q418" s="54"/>
      <c r="R418" s="81">
        <f t="shared" si="180"/>
        <v>799.036024305556</v>
      </c>
      <c r="S418" s="81"/>
      <c r="T418" s="82">
        <f t="shared" si="181"/>
        <v>4.83194444444444</v>
      </c>
      <c r="U418" s="81"/>
      <c r="V418" s="81"/>
      <c r="W418" s="83">
        <f t="shared" si="178"/>
        <v>803.86796875</v>
      </c>
      <c r="X418" s="84">
        <f t="shared" si="182"/>
        <v>19.0402430555556</v>
      </c>
      <c r="Y418" s="84">
        <v>33.4</v>
      </c>
      <c r="Z418" s="84"/>
      <c r="AA418" s="84">
        <f t="shared" si="179"/>
        <v>52.4402430555556</v>
      </c>
      <c r="AB418" s="94">
        <v>7.17</v>
      </c>
      <c r="AC418" s="81">
        <f t="shared" si="175"/>
        <v>375.996542708333</v>
      </c>
      <c r="AD418" s="81">
        <f t="shared" si="176"/>
        <v>1179.86451145833</v>
      </c>
      <c r="AE418" s="81">
        <f t="shared" si="173"/>
        <v>415.63548854167</v>
      </c>
    </row>
    <row r="419" customFormat="1" spans="1:31">
      <c r="A419" s="19"/>
      <c r="B419" s="20"/>
      <c r="C419" s="21">
        <v>240111000006</v>
      </c>
      <c r="D419" s="22">
        <v>45304</v>
      </c>
      <c r="E419" s="22" t="s">
        <v>49</v>
      </c>
      <c r="F419" s="20" t="s">
        <v>50</v>
      </c>
      <c r="G419" s="20" t="s">
        <v>52</v>
      </c>
      <c r="H419" s="20">
        <v>55.5</v>
      </c>
      <c r="I419" s="50"/>
      <c r="J419" s="51">
        <v>516705</v>
      </c>
      <c r="K419" s="52"/>
      <c r="L419" s="51">
        <f>SUM(J419/M419)</f>
        <v>1362.33125922801</v>
      </c>
      <c r="M419" s="53">
        <v>379.28</v>
      </c>
      <c r="N419" s="20">
        <v>7.17</v>
      </c>
      <c r="O419" s="48">
        <f t="shared" ref="O419:O422" si="189">SUM(M419*N419)</f>
        <v>2719.4376</v>
      </c>
      <c r="P419" s="54"/>
      <c r="Q419" s="54"/>
      <c r="R419" s="81">
        <f t="shared" si="180"/>
        <v>1810.06119791667</v>
      </c>
      <c r="S419" s="81"/>
      <c r="T419" s="82">
        <f t="shared" si="181"/>
        <v>10.9458333333333</v>
      </c>
      <c r="U419" s="81"/>
      <c r="V419" s="81"/>
      <c r="W419" s="83">
        <f t="shared" si="178"/>
        <v>1821.00703125</v>
      </c>
      <c r="X419" s="84">
        <f t="shared" si="182"/>
        <v>43.1319791666667</v>
      </c>
      <c r="Y419" s="84"/>
      <c r="Z419" s="84"/>
      <c r="AA419" s="84">
        <f t="shared" si="179"/>
        <v>43.1319791666667</v>
      </c>
      <c r="AB419" s="94">
        <v>7.17</v>
      </c>
      <c r="AC419" s="81">
        <f t="shared" si="175"/>
        <v>309.256290625</v>
      </c>
      <c r="AD419" s="81">
        <f t="shared" si="176"/>
        <v>2130.263321875</v>
      </c>
      <c r="AE419" s="81">
        <f t="shared" si="173"/>
        <v>589.174278125</v>
      </c>
    </row>
    <row r="420" customFormat="1" spans="1:31">
      <c r="A420" s="19"/>
      <c r="B420" s="20"/>
      <c r="C420" s="21">
        <v>240111000023</v>
      </c>
      <c r="D420" s="22">
        <v>45304</v>
      </c>
      <c r="E420" s="22" t="s">
        <v>37</v>
      </c>
      <c r="F420" s="20" t="s">
        <v>38</v>
      </c>
      <c r="G420" s="20" t="s">
        <v>120</v>
      </c>
      <c r="H420" s="20">
        <v>1.5</v>
      </c>
      <c r="I420" s="50"/>
      <c r="J420" s="51">
        <v>16245</v>
      </c>
      <c r="K420" s="52"/>
      <c r="L420" s="51">
        <f>SUM(J420/M420)</f>
        <v>1362.8355704698</v>
      </c>
      <c r="M420" s="53">
        <v>11.92</v>
      </c>
      <c r="N420" s="20">
        <v>7.17</v>
      </c>
      <c r="O420" s="48">
        <f t="shared" si="189"/>
        <v>85.4664</v>
      </c>
      <c r="P420" s="54"/>
      <c r="Q420" s="54"/>
      <c r="R420" s="81">
        <f t="shared" si="180"/>
        <v>48.9205729166667</v>
      </c>
      <c r="S420" s="81"/>
      <c r="T420" s="82">
        <f t="shared" si="181"/>
        <v>0.295833333333333</v>
      </c>
      <c r="U420" s="81"/>
      <c r="V420" s="81"/>
      <c r="W420" s="83">
        <f t="shared" si="178"/>
        <v>49.21640625</v>
      </c>
      <c r="X420" s="84">
        <f t="shared" si="182"/>
        <v>1.16572916666667</v>
      </c>
      <c r="Y420" s="84"/>
      <c r="Z420" s="84"/>
      <c r="AA420" s="84">
        <f t="shared" si="179"/>
        <v>1.16572916666667</v>
      </c>
      <c r="AB420" s="94">
        <v>7.17</v>
      </c>
      <c r="AC420" s="81">
        <f t="shared" si="175"/>
        <v>8.358278125</v>
      </c>
      <c r="AD420" s="81">
        <f t="shared" si="176"/>
        <v>57.574684375</v>
      </c>
      <c r="AE420" s="81">
        <f t="shared" si="173"/>
        <v>27.891715625</v>
      </c>
    </row>
    <row r="421" customFormat="1" spans="1:31">
      <c r="A421" s="19"/>
      <c r="B421" s="20"/>
      <c r="C421" s="21">
        <v>240111000025</v>
      </c>
      <c r="D421" s="22">
        <v>45304</v>
      </c>
      <c r="E421" s="22" t="s">
        <v>41</v>
      </c>
      <c r="F421" s="20" t="s">
        <v>42</v>
      </c>
      <c r="G421" s="20" t="s">
        <v>238</v>
      </c>
      <c r="H421" s="20">
        <v>0.58</v>
      </c>
      <c r="I421" s="43">
        <v>58</v>
      </c>
      <c r="J421" s="44"/>
      <c r="K421" s="45"/>
      <c r="L421" s="44"/>
      <c r="M421" s="46"/>
      <c r="N421" s="20"/>
      <c r="O421" s="48">
        <f t="shared" ref="O421:O425" si="190">SUM(I421)</f>
        <v>58</v>
      </c>
      <c r="P421" s="54"/>
      <c r="Q421" s="54"/>
      <c r="R421" s="81">
        <f t="shared" si="180"/>
        <v>18.9159548611111</v>
      </c>
      <c r="S421" s="81"/>
      <c r="T421" s="82">
        <f t="shared" si="181"/>
        <v>0.114388888888889</v>
      </c>
      <c r="U421" s="81"/>
      <c r="V421" s="81"/>
      <c r="W421" s="83">
        <f t="shared" si="178"/>
        <v>19.03034375</v>
      </c>
      <c r="X421" s="84">
        <f t="shared" si="182"/>
        <v>0.450748611111111</v>
      </c>
      <c r="Y421" s="84"/>
      <c r="Z421" s="84"/>
      <c r="AA421" s="84">
        <f t="shared" si="179"/>
        <v>0.450748611111111</v>
      </c>
      <c r="AB421" s="94">
        <v>7.17</v>
      </c>
      <c r="AC421" s="81">
        <f t="shared" si="175"/>
        <v>3.23186754166667</v>
      </c>
      <c r="AD421" s="81">
        <f t="shared" si="176"/>
        <v>22.2622112916667</v>
      </c>
      <c r="AE421" s="81">
        <f t="shared" si="173"/>
        <v>35.7377887083333</v>
      </c>
    </row>
    <row r="422" customFormat="1" spans="1:31">
      <c r="A422" s="19"/>
      <c r="B422" s="20"/>
      <c r="C422" s="21">
        <v>240111000029</v>
      </c>
      <c r="D422" s="22">
        <v>45304</v>
      </c>
      <c r="E422" s="22" t="s">
        <v>49</v>
      </c>
      <c r="F422" s="20" t="s">
        <v>50</v>
      </c>
      <c r="G422" s="20" t="s">
        <v>334</v>
      </c>
      <c r="H422" s="20">
        <v>171.5</v>
      </c>
      <c r="I422" s="50"/>
      <c r="J422" s="51">
        <v>1662901</v>
      </c>
      <c r="K422" s="52"/>
      <c r="L422" s="51">
        <f>SUM(J422/M422)</f>
        <v>1412.51805038819</v>
      </c>
      <c r="M422" s="53">
        <v>1177.26</v>
      </c>
      <c r="N422" s="20">
        <v>7.17</v>
      </c>
      <c r="O422" s="48">
        <f t="shared" si="189"/>
        <v>8440.9542</v>
      </c>
      <c r="P422" s="54"/>
      <c r="Q422" s="54"/>
      <c r="R422" s="81">
        <f t="shared" si="180"/>
        <v>5593.25217013889</v>
      </c>
      <c r="S422" s="81"/>
      <c r="T422" s="82">
        <f t="shared" si="181"/>
        <v>33.8236111111111</v>
      </c>
      <c r="U422" s="81"/>
      <c r="V422" s="81"/>
      <c r="W422" s="83">
        <f t="shared" si="178"/>
        <v>5627.07578125</v>
      </c>
      <c r="X422" s="84">
        <f t="shared" si="182"/>
        <v>133.281701388889</v>
      </c>
      <c r="Y422" s="84"/>
      <c r="Z422" s="84"/>
      <c r="AA422" s="84">
        <f t="shared" si="179"/>
        <v>133.281701388889</v>
      </c>
      <c r="AB422" s="94">
        <v>7.17</v>
      </c>
      <c r="AC422" s="81">
        <f t="shared" si="175"/>
        <v>955.629798958333</v>
      </c>
      <c r="AD422" s="81">
        <f t="shared" ref="AD422:AD427" si="191">SUM(W422+AC422)</f>
        <v>6582.70558020833</v>
      </c>
      <c r="AE422" s="81">
        <f t="shared" ref="AE422:AE427" si="192">SUM(O422-AD422)</f>
        <v>1858.24861979167</v>
      </c>
    </row>
    <row r="423" customFormat="1" spans="1:31">
      <c r="A423" s="19"/>
      <c r="B423" s="20"/>
      <c r="C423" s="21">
        <v>240111000036</v>
      </c>
      <c r="D423" s="22">
        <v>45304</v>
      </c>
      <c r="E423" s="22" t="s">
        <v>44</v>
      </c>
      <c r="F423" s="20" t="s">
        <v>45</v>
      </c>
      <c r="G423" s="20" t="s">
        <v>247</v>
      </c>
      <c r="H423" s="20">
        <v>4</v>
      </c>
      <c r="I423" s="43">
        <v>223</v>
      </c>
      <c r="J423" s="44"/>
      <c r="K423" s="45"/>
      <c r="L423" s="44"/>
      <c r="M423" s="46"/>
      <c r="N423" s="20"/>
      <c r="O423" s="48">
        <f t="shared" si="190"/>
        <v>223</v>
      </c>
      <c r="P423" s="60"/>
      <c r="Q423" s="60"/>
      <c r="R423" s="81">
        <f t="shared" si="180"/>
        <v>130.454861111111</v>
      </c>
      <c r="S423" s="81"/>
      <c r="T423" s="82">
        <f t="shared" si="181"/>
        <v>0.788888888888889</v>
      </c>
      <c r="U423" s="81"/>
      <c r="V423" s="81"/>
      <c r="W423" s="83">
        <f t="shared" si="178"/>
        <v>131.24375</v>
      </c>
      <c r="X423" s="84">
        <f t="shared" si="182"/>
        <v>3.10861111111111</v>
      </c>
      <c r="Y423" s="84"/>
      <c r="Z423" s="84"/>
      <c r="AA423" s="84">
        <f t="shared" si="179"/>
        <v>3.10861111111111</v>
      </c>
      <c r="AB423" s="94">
        <v>7.17</v>
      </c>
      <c r="AC423" s="81">
        <f t="shared" si="175"/>
        <v>22.2887416666667</v>
      </c>
      <c r="AD423" s="81">
        <f t="shared" si="191"/>
        <v>153.532491666667</v>
      </c>
      <c r="AE423" s="81">
        <f t="shared" si="192"/>
        <v>69.467508333333</v>
      </c>
    </row>
    <row r="424" customFormat="1" spans="1:31">
      <c r="A424" s="19" t="s">
        <v>335</v>
      </c>
      <c r="B424" s="20" t="s">
        <v>336</v>
      </c>
      <c r="C424" s="21">
        <v>240110000033</v>
      </c>
      <c r="D424" s="22">
        <v>45305</v>
      </c>
      <c r="E424" s="22" t="s">
        <v>110</v>
      </c>
      <c r="F424" s="20" t="s">
        <v>111</v>
      </c>
      <c r="G424" s="20" t="s">
        <v>337</v>
      </c>
      <c r="H424" s="20">
        <v>0.82</v>
      </c>
      <c r="I424" s="43">
        <v>130</v>
      </c>
      <c r="J424" s="44"/>
      <c r="K424" s="45"/>
      <c r="L424" s="44"/>
      <c r="M424" s="46"/>
      <c r="N424" s="20"/>
      <c r="O424" s="48">
        <f t="shared" si="190"/>
        <v>130</v>
      </c>
      <c r="P424" s="49">
        <f>SUM(O424:O427)</f>
        <v>1807.4686</v>
      </c>
      <c r="Q424" s="49" t="s">
        <v>146</v>
      </c>
      <c r="R424" s="81">
        <f>SUM(2200/32)*H424</f>
        <v>56.375</v>
      </c>
      <c r="S424" s="81"/>
      <c r="T424" s="82">
        <f>SUM(76.81/32)*H424</f>
        <v>1.96825625</v>
      </c>
      <c r="U424" s="81"/>
      <c r="V424" s="81"/>
      <c r="W424" s="83">
        <f t="shared" si="178"/>
        <v>58.34325625</v>
      </c>
      <c r="X424" s="84">
        <f>SUM(136.6/32)*H424</f>
        <v>3.500375</v>
      </c>
      <c r="Y424" s="84"/>
      <c r="Z424" s="84"/>
      <c r="AA424" s="84">
        <f t="shared" si="179"/>
        <v>3.500375</v>
      </c>
      <c r="AB424" s="94">
        <v>7.17</v>
      </c>
      <c r="AC424" s="81">
        <f t="shared" si="175"/>
        <v>25.09768875</v>
      </c>
      <c r="AD424" s="81">
        <f t="shared" si="191"/>
        <v>83.440945</v>
      </c>
      <c r="AE424" s="81">
        <f t="shared" si="192"/>
        <v>46.559055</v>
      </c>
    </row>
    <row r="425" customFormat="1" spans="1:31">
      <c r="A425" s="19"/>
      <c r="B425" s="20"/>
      <c r="C425" s="21">
        <v>240111000003</v>
      </c>
      <c r="D425" s="22">
        <v>45305</v>
      </c>
      <c r="E425" s="22" t="s">
        <v>49</v>
      </c>
      <c r="F425" s="20" t="s">
        <v>50</v>
      </c>
      <c r="G425" s="20" t="s">
        <v>338</v>
      </c>
      <c r="H425" s="20">
        <v>3</v>
      </c>
      <c r="I425" s="43">
        <v>565</v>
      </c>
      <c r="J425" s="44"/>
      <c r="K425" s="45"/>
      <c r="L425" s="44"/>
      <c r="M425" s="46"/>
      <c r="N425" s="20"/>
      <c r="O425" s="48">
        <f t="shared" si="190"/>
        <v>565</v>
      </c>
      <c r="P425" s="54"/>
      <c r="Q425" s="54"/>
      <c r="R425" s="81">
        <f>SUM(2200/32)*H425</f>
        <v>206.25</v>
      </c>
      <c r="S425" s="81"/>
      <c r="T425" s="82">
        <f>SUM(76.81/32)*H425</f>
        <v>7.2009375</v>
      </c>
      <c r="U425" s="81"/>
      <c r="V425" s="81"/>
      <c r="W425" s="83">
        <f t="shared" si="178"/>
        <v>213.4509375</v>
      </c>
      <c r="X425" s="84">
        <f>SUM(136.6/32)*H425</f>
        <v>12.80625</v>
      </c>
      <c r="Y425" s="84">
        <v>11.9</v>
      </c>
      <c r="Z425" s="84"/>
      <c r="AA425" s="84">
        <f t="shared" si="179"/>
        <v>24.70625</v>
      </c>
      <c r="AB425" s="94">
        <v>7.17</v>
      </c>
      <c r="AC425" s="81">
        <f t="shared" si="175"/>
        <v>177.1438125</v>
      </c>
      <c r="AD425" s="81">
        <f t="shared" si="191"/>
        <v>390.59475</v>
      </c>
      <c r="AE425" s="81">
        <f t="shared" si="192"/>
        <v>174.40525</v>
      </c>
    </row>
    <row r="426" customFormat="1" spans="1:31">
      <c r="A426" s="19"/>
      <c r="B426" s="20"/>
      <c r="C426" s="21">
        <v>240111000046</v>
      </c>
      <c r="D426" s="22">
        <v>45305</v>
      </c>
      <c r="E426" s="22" t="s">
        <v>49</v>
      </c>
      <c r="F426" s="20" t="s">
        <v>50</v>
      </c>
      <c r="G426" s="20" t="s">
        <v>339</v>
      </c>
      <c r="H426" s="20">
        <v>2.5</v>
      </c>
      <c r="I426" s="50"/>
      <c r="J426" s="51">
        <v>56562</v>
      </c>
      <c r="K426" s="52"/>
      <c r="L426" s="51">
        <f>SUM(J426/M426)</f>
        <v>1297.88893988068</v>
      </c>
      <c r="M426" s="53">
        <v>43.58</v>
      </c>
      <c r="N426" s="20">
        <v>7.17</v>
      </c>
      <c r="O426" s="48">
        <f>SUM(M426*N426)</f>
        <v>312.4686</v>
      </c>
      <c r="P426" s="54"/>
      <c r="Q426" s="54"/>
      <c r="R426" s="81">
        <f>SUM(2200/32)*H426</f>
        <v>171.875</v>
      </c>
      <c r="S426" s="81"/>
      <c r="T426" s="82">
        <f>SUM(76.81/32)*H426</f>
        <v>6.00078125</v>
      </c>
      <c r="U426" s="81"/>
      <c r="V426" s="81"/>
      <c r="W426" s="83">
        <f t="shared" si="178"/>
        <v>177.87578125</v>
      </c>
      <c r="X426" s="84">
        <f>SUM(136.6/32)*H426</f>
        <v>10.671875</v>
      </c>
      <c r="Y426" s="84"/>
      <c r="Z426" s="84"/>
      <c r="AA426" s="84">
        <f t="shared" ref="AA426:AA434" si="193">SUM(X426:Z426)</f>
        <v>10.671875</v>
      </c>
      <c r="AB426" s="94">
        <v>7.17</v>
      </c>
      <c r="AC426" s="81">
        <f t="shared" si="175"/>
        <v>76.51734375</v>
      </c>
      <c r="AD426" s="81">
        <f t="shared" ref="AD426:AD435" si="194">SUM(W426+AC426)</f>
        <v>254.393125</v>
      </c>
      <c r="AE426" s="81">
        <f t="shared" ref="AE426:AE434" si="195">SUM(O426-AD426)</f>
        <v>58.075475</v>
      </c>
    </row>
    <row r="427" customFormat="1" spans="1:31">
      <c r="A427" s="19"/>
      <c r="B427" s="20"/>
      <c r="C427" s="21">
        <v>240111000051</v>
      </c>
      <c r="D427" s="22">
        <v>45305</v>
      </c>
      <c r="E427" s="22" t="s">
        <v>49</v>
      </c>
      <c r="F427" s="20" t="s">
        <v>50</v>
      </c>
      <c r="G427" s="20" t="s">
        <v>242</v>
      </c>
      <c r="H427" s="20">
        <v>5</v>
      </c>
      <c r="I427" s="43">
        <v>800</v>
      </c>
      <c r="J427" s="44"/>
      <c r="K427" s="45"/>
      <c r="L427" s="44"/>
      <c r="M427" s="46"/>
      <c r="N427" s="20"/>
      <c r="O427" s="48">
        <f t="shared" ref="O427:O431" si="196">SUM(I427)</f>
        <v>800</v>
      </c>
      <c r="P427" s="60"/>
      <c r="Q427" s="60"/>
      <c r="R427" s="81">
        <f>SUM(2200/32)*H427</f>
        <v>343.75</v>
      </c>
      <c r="S427" s="81"/>
      <c r="T427" s="82">
        <f>SUM(76.81/32)*H427</f>
        <v>12.0015625</v>
      </c>
      <c r="U427" s="81"/>
      <c r="V427" s="81"/>
      <c r="W427" s="83">
        <f t="shared" ref="W427:W434" si="197">SUM(R427:V427)</f>
        <v>355.7515625</v>
      </c>
      <c r="X427" s="84">
        <f>SUM(136.6/32)*H427</f>
        <v>21.34375</v>
      </c>
      <c r="Y427" s="84"/>
      <c r="Z427" s="84"/>
      <c r="AA427" s="84">
        <f t="shared" si="193"/>
        <v>21.34375</v>
      </c>
      <c r="AB427" s="94">
        <v>7.17</v>
      </c>
      <c r="AC427" s="81">
        <f t="shared" si="175"/>
        <v>153.0346875</v>
      </c>
      <c r="AD427" s="81">
        <f t="shared" si="194"/>
        <v>508.78625</v>
      </c>
      <c r="AE427" s="81">
        <f t="shared" si="195"/>
        <v>291.21375</v>
      </c>
    </row>
    <row r="428" customFormat="1" spans="1:31">
      <c r="A428" s="19" t="s">
        <v>340</v>
      </c>
      <c r="B428" s="20" t="s">
        <v>341</v>
      </c>
      <c r="C428" s="21">
        <v>240104000005</v>
      </c>
      <c r="D428" s="22">
        <v>45306</v>
      </c>
      <c r="E428" s="22" t="s">
        <v>69</v>
      </c>
      <c r="F428" s="20" t="s">
        <v>192</v>
      </c>
      <c r="G428" s="20" t="s">
        <v>193</v>
      </c>
      <c r="H428" s="20">
        <v>3.5</v>
      </c>
      <c r="I428" s="43">
        <v>455</v>
      </c>
      <c r="J428" s="44"/>
      <c r="K428" s="45"/>
      <c r="L428" s="44"/>
      <c r="M428" s="46"/>
      <c r="N428" s="20"/>
      <c r="O428" s="48">
        <f t="shared" si="196"/>
        <v>455</v>
      </c>
      <c r="P428" s="49">
        <f>SUM(O428:O434)</f>
        <v>13612.152617</v>
      </c>
      <c r="Q428" s="49" t="s">
        <v>146</v>
      </c>
      <c r="R428" s="81">
        <f>SUM(4800/64)*H428</f>
        <v>262.5</v>
      </c>
      <c r="S428" s="81"/>
      <c r="T428" s="81">
        <v>0</v>
      </c>
      <c r="U428" s="81"/>
      <c r="V428" s="81"/>
      <c r="W428" s="83">
        <f t="shared" si="197"/>
        <v>262.5</v>
      </c>
      <c r="X428" s="84">
        <f>SUM(306.06/64)*H428</f>
        <v>16.73765625</v>
      </c>
      <c r="Y428" s="84"/>
      <c r="Z428" s="84"/>
      <c r="AA428" s="84">
        <f t="shared" si="193"/>
        <v>16.73765625</v>
      </c>
      <c r="AB428" s="94">
        <v>7.17</v>
      </c>
      <c r="AC428" s="81">
        <f t="shared" ref="AC428:AC435" si="198">SUM(AA428*AB428)</f>
        <v>120.0089953125</v>
      </c>
      <c r="AD428" s="81">
        <f t="shared" si="194"/>
        <v>382.5089953125</v>
      </c>
      <c r="AE428" s="81">
        <f t="shared" si="195"/>
        <v>72.4910046875</v>
      </c>
    </row>
    <row r="429" customFormat="1" spans="1:31">
      <c r="A429" s="19"/>
      <c r="B429" s="20"/>
      <c r="C429" s="21">
        <v>240109000019</v>
      </c>
      <c r="D429" s="22">
        <v>45306</v>
      </c>
      <c r="E429" s="22" t="s">
        <v>49</v>
      </c>
      <c r="F429" s="20" t="s">
        <v>50</v>
      </c>
      <c r="G429" s="20" t="s">
        <v>249</v>
      </c>
      <c r="H429" s="20">
        <v>7.5</v>
      </c>
      <c r="I429" s="43">
        <v>1725</v>
      </c>
      <c r="J429" s="44"/>
      <c r="K429" s="45"/>
      <c r="L429" s="44"/>
      <c r="M429" s="46"/>
      <c r="N429" s="20"/>
      <c r="O429" s="48">
        <f t="shared" si="196"/>
        <v>1725</v>
      </c>
      <c r="P429" s="54"/>
      <c r="Q429" s="54"/>
      <c r="R429" s="81">
        <f t="shared" ref="R429:R434" si="199">SUM(4800/64)*H429</f>
        <v>562.5</v>
      </c>
      <c r="S429" s="81"/>
      <c r="T429" s="81">
        <v>0</v>
      </c>
      <c r="U429" s="81"/>
      <c r="V429" s="81"/>
      <c r="W429" s="83">
        <f t="shared" si="197"/>
        <v>562.5</v>
      </c>
      <c r="X429" s="84">
        <f t="shared" ref="X429:X434" si="200">SUM(306.06/64)*H429</f>
        <v>35.86640625</v>
      </c>
      <c r="Y429" s="84"/>
      <c r="Z429" s="84"/>
      <c r="AA429" s="84">
        <f t="shared" si="193"/>
        <v>35.86640625</v>
      </c>
      <c r="AB429" s="94">
        <v>7.17</v>
      </c>
      <c r="AC429" s="81">
        <f t="shared" si="198"/>
        <v>257.1621328125</v>
      </c>
      <c r="AD429" s="81">
        <f t="shared" si="194"/>
        <v>819.6621328125</v>
      </c>
      <c r="AE429" s="81">
        <f t="shared" si="195"/>
        <v>905.3378671875</v>
      </c>
    </row>
    <row r="430" customFormat="1" spans="1:31">
      <c r="A430" s="19"/>
      <c r="B430" s="20"/>
      <c r="C430" s="21">
        <v>240109000020</v>
      </c>
      <c r="D430" s="22">
        <v>45306</v>
      </c>
      <c r="E430" s="22" t="s">
        <v>49</v>
      </c>
      <c r="F430" s="20" t="s">
        <v>50</v>
      </c>
      <c r="G430" s="20" t="s">
        <v>249</v>
      </c>
      <c r="H430" s="20">
        <v>7.5</v>
      </c>
      <c r="I430" s="43">
        <v>1950</v>
      </c>
      <c r="J430" s="44"/>
      <c r="K430" s="45"/>
      <c r="L430" s="44"/>
      <c r="M430" s="46"/>
      <c r="N430" s="20"/>
      <c r="O430" s="48">
        <f t="shared" si="196"/>
        <v>1950</v>
      </c>
      <c r="P430" s="54"/>
      <c r="Q430" s="54"/>
      <c r="R430" s="81">
        <f t="shared" si="199"/>
        <v>562.5</v>
      </c>
      <c r="S430" s="81"/>
      <c r="T430" s="81">
        <v>0</v>
      </c>
      <c r="U430" s="81"/>
      <c r="V430" s="81"/>
      <c r="W430" s="83">
        <f t="shared" si="197"/>
        <v>562.5</v>
      </c>
      <c r="X430" s="84">
        <f t="shared" si="200"/>
        <v>35.86640625</v>
      </c>
      <c r="Y430" s="84"/>
      <c r="Z430" s="84"/>
      <c r="AA430" s="84">
        <f t="shared" si="193"/>
        <v>35.86640625</v>
      </c>
      <c r="AB430" s="94">
        <v>7.17</v>
      </c>
      <c r="AC430" s="81">
        <f t="shared" si="198"/>
        <v>257.1621328125</v>
      </c>
      <c r="AD430" s="81">
        <f t="shared" si="194"/>
        <v>819.6621328125</v>
      </c>
      <c r="AE430" s="81">
        <f t="shared" si="195"/>
        <v>1130.3378671875</v>
      </c>
    </row>
    <row r="431" customFormat="1" spans="1:31">
      <c r="A431" s="19"/>
      <c r="B431" s="20"/>
      <c r="C431" s="21">
        <v>240110000032</v>
      </c>
      <c r="D431" s="22">
        <v>45306</v>
      </c>
      <c r="E431" s="22" t="s">
        <v>44</v>
      </c>
      <c r="F431" s="20" t="s">
        <v>45</v>
      </c>
      <c r="G431" s="20" t="s">
        <v>121</v>
      </c>
      <c r="H431" s="20">
        <v>0.94</v>
      </c>
      <c r="I431" s="43">
        <v>225</v>
      </c>
      <c r="J431" s="44"/>
      <c r="K431" s="45"/>
      <c r="L431" s="44"/>
      <c r="M431" s="46"/>
      <c r="N431" s="20"/>
      <c r="O431" s="48">
        <f t="shared" si="196"/>
        <v>225</v>
      </c>
      <c r="P431" s="54"/>
      <c r="Q431" s="54"/>
      <c r="R431" s="81">
        <f t="shared" si="199"/>
        <v>70.5</v>
      </c>
      <c r="S431" s="81"/>
      <c r="T431" s="81">
        <v>0</v>
      </c>
      <c r="U431" s="81"/>
      <c r="V431" s="81"/>
      <c r="W431" s="83">
        <f t="shared" si="197"/>
        <v>70.5</v>
      </c>
      <c r="X431" s="84">
        <f t="shared" si="200"/>
        <v>4.49525625</v>
      </c>
      <c r="Y431" s="84">
        <v>9.7</v>
      </c>
      <c r="Z431" s="84"/>
      <c r="AA431" s="84">
        <f t="shared" si="193"/>
        <v>14.19525625</v>
      </c>
      <c r="AB431" s="94">
        <v>7.17</v>
      </c>
      <c r="AC431" s="81">
        <f t="shared" si="198"/>
        <v>101.7799873125</v>
      </c>
      <c r="AD431" s="81">
        <f t="shared" si="194"/>
        <v>172.2799873125</v>
      </c>
      <c r="AE431" s="81">
        <f t="shared" si="195"/>
        <v>52.7200126875</v>
      </c>
    </row>
    <row r="432" customFormat="1" spans="1:31">
      <c r="A432" s="19"/>
      <c r="B432" s="20"/>
      <c r="C432" s="21">
        <v>240111000027</v>
      </c>
      <c r="D432" s="22">
        <v>45306</v>
      </c>
      <c r="E432" s="25" t="s">
        <v>69</v>
      </c>
      <c r="F432" s="20" t="s">
        <v>69</v>
      </c>
      <c r="G432" s="20" t="s">
        <v>342</v>
      </c>
      <c r="H432" s="20">
        <v>68</v>
      </c>
      <c r="I432" s="48"/>
      <c r="J432" s="55">
        <v>1667149</v>
      </c>
      <c r="K432" s="56"/>
      <c r="L432" s="51">
        <f>SUM(J432/M432)</f>
        <v>1339.00010931111</v>
      </c>
      <c r="M432" s="53">
        <v>1245.0701</v>
      </c>
      <c r="N432" s="20">
        <v>7.17</v>
      </c>
      <c r="O432" s="48">
        <f>SUM(M432*N432)</f>
        <v>8927.152617</v>
      </c>
      <c r="P432" s="54"/>
      <c r="Q432" s="54"/>
      <c r="R432" s="81">
        <f t="shared" si="199"/>
        <v>5100</v>
      </c>
      <c r="S432" s="81"/>
      <c r="T432" s="81">
        <v>0</v>
      </c>
      <c r="U432" s="81"/>
      <c r="V432" s="81"/>
      <c r="W432" s="83">
        <f t="shared" si="197"/>
        <v>5100</v>
      </c>
      <c r="X432" s="84">
        <f t="shared" si="200"/>
        <v>325.18875</v>
      </c>
      <c r="Y432" s="84"/>
      <c r="Z432" s="84"/>
      <c r="AA432" s="84">
        <f t="shared" si="193"/>
        <v>325.18875</v>
      </c>
      <c r="AB432" s="94">
        <v>7.17</v>
      </c>
      <c r="AC432" s="81">
        <f t="shared" si="198"/>
        <v>2331.6033375</v>
      </c>
      <c r="AD432" s="81">
        <f t="shared" ref="AD432:AD451" si="201">SUM(W432+AC432)</f>
        <v>7431.6033375</v>
      </c>
      <c r="AE432" s="81">
        <f t="shared" ref="AE432:AE451" si="202">SUM(O432-AD432)</f>
        <v>1495.5492795</v>
      </c>
    </row>
    <row r="433" customFormat="1" spans="1:31">
      <c r="A433" s="19"/>
      <c r="B433" s="20"/>
      <c r="C433" s="21">
        <v>240112000007</v>
      </c>
      <c r="D433" s="22">
        <v>45306</v>
      </c>
      <c r="E433" s="22" t="s">
        <v>58</v>
      </c>
      <c r="F433" s="20" t="s">
        <v>59</v>
      </c>
      <c r="G433" s="20" t="s">
        <v>343</v>
      </c>
      <c r="H433" s="20">
        <v>0.9</v>
      </c>
      <c r="I433" s="43">
        <v>135</v>
      </c>
      <c r="J433" s="44"/>
      <c r="K433" s="45"/>
      <c r="L433" s="44"/>
      <c r="M433" s="46"/>
      <c r="N433" s="20"/>
      <c r="O433" s="48">
        <f t="shared" ref="O433:O435" si="203">SUM(I433)</f>
        <v>135</v>
      </c>
      <c r="P433" s="54"/>
      <c r="Q433" s="54"/>
      <c r="R433" s="81">
        <f t="shared" si="199"/>
        <v>67.5</v>
      </c>
      <c r="S433" s="81"/>
      <c r="T433" s="81">
        <v>0</v>
      </c>
      <c r="U433" s="81"/>
      <c r="V433" s="81"/>
      <c r="W433" s="83">
        <f t="shared" si="197"/>
        <v>67.5</v>
      </c>
      <c r="X433" s="84">
        <f t="shared" si="200"/>
        <v>4.30396875</v>
      </c>
      <c r="Y433" s="84"/>
      <c r="Z433" s="84"/>
      <c r="AA433" s="84">
        <f t="shared" ref="AA433:AA451" si="204">SUM(X433:Z433)</f>
        <v>4.30396875</v>
      </c>
      <c r="AB433" s="94">
        <v>7.17</v>
      </c>
      <c r="AC433" s="81">
        <f t="shared" ref="AC433:AC451" si="205">SUM(AA433*AB433)</f>
        <v>30.8594559375</v>
      </c>
      <c r="AD433" s="81">
        <f t="shared" si="201"/>
        <v>98.3594559375</v>
      </c>
      <c r="AE433" s="81">
        <f t="shared" si="202"/>
        <v>36.6405440625</v>
      </c>
    </row>
    <row r="434" customFormat="1" spans="1:31">
      <c r="A434" s="19"/>
      <c r="B434" s="20"/>
      <c r="C434" s="21">
        <v>240112000011</v>
      </c>
      <c r="D434" s="22">
        <v>45306</v>
      </c>
      <c r="E434" s="22" t="s">
        <v>37</v>
      </c>
      <c r="F434" s="20" t="s">
        <v>38</v>
      </c>
      <c r="G434" s="20" t="s">
        <v>154</v>
      </c>
      <c r="H434" s="20">
        <v>1.5</v>
      </c>
      <c r="I434" s="43">
        <v>195</v>
      </c>
      <c r="J434" s="44"/>
      <c r="K434" s="45"/>
      <c r="L434" s="44"/>
      <c r="M434" s="46"/>
      <c r="N434" s="20"/>
      <c r="O434" s="48">
        <f t="shared" si="203"/>
        <v>195</v>
      </c>
      <c r="P434" s="60"/>
      <c r="Q434" s="60"/>
      <c r="R434" s="81">
        <f t="shared" si="199"/>
        <v>112.5</v>
      </c>
      <c r="S434" s="81"/>
      <c r="T434" s="81">
        <v>0</v>
      </c>
      <c r="U434" s="81"/>
      <c r="V434" s="81"/>
      <c r="W434" s="83">
        <f t="shared" ref="W434:W451" si="206">SUM(R434:V434)</f>
        <v>112.5</v>
      </c>
      <c r="X434" s="84">
        <f t="shared" si="200"/>
        <v>7.17328125</v>
      </c>
      <c r="Y434" s="84"/>
      <c r="Z434" s="84"/>
      <c r="AA434" s="84">
        <f t="shared" si="204"/>
        <v>7.17328125</v>
      </c>
      <c r="AB434" s="94">
        <v>7.17</v>
      </c>
      <c r="AC434" s="81">
        <f t="shared" si="205"/>
        <v>51.4324265625</v>
      </c>
      <c r="AD434" s="81">
        <f t="shared" si="201"/>
        <v>163.9324265625</v>
      </c>
      <c r="AE434" s="81">
        <f t="shared" si="202"/>
        <v>31.0675734375</v>
      </c>
    </row>
    <row r="435" customFormat="1" spans="1:31">
      <c r="A435" s="19" t="s">
        <v>344</v>
      </c>
      <c r="B435" s="20" t="s">
        <v>345</v>
      </c>
      <c r="C435" s="21">
        <v>240111000001</v>
      </c>
      <c r="D435" s="22">
        <v>45307</v>
      </c>
      <c r="E435" s="22" t="s">
        <v>49</v>
      </c>
      <c r="F435" s="20" t="s">
        <v>50</v>
      </c>
      <c r="G435" s="20" t="s">
        <v>210</v>
      </c>
      <c r="H435" s="20">
        <v>4.5</v>
      </c>
      <c r="I435" s="43">
        <v>575</v>
      </c>
      <c r="J435" s="44"/>
      <c r="K435" s="45"/>
      <c r="L435" s="44"/>
      <c r="M435" s="46"/>
      <c r="N435" s="20"/>
      <c r="O435" s="48">
        <f t="shared" si="203"/>
        <v>575</v>
      </c>
      <c r="P435" s="49">
        <f>SUM(O435:O451)</f>
        <v>11953.8626</v>
      </c>
      <c r="Q435" s="49" t="s">
        <v>146</v>
      </c>
      <c r="R435" s="81">
        <f>SUM(5700/87)*H435</f>
        <v>294.827586206897</v>
      </c>
      <c r="S435" s="81"/>
      <c r="T435" s="82">
        <f>SUM(71.84/87)*H435</f>
        <v>3.71586206896552</v>
      </c>
      <c r="U435" s="81"/>
      <c r="V435" s="82">
        <v>35</v>
      </c>
      <c r="W435" s="83">
        <f t="shared" si="206"/>
        <v>333.543448275862</v>
      </c>
      <c r="X435" s="84">
        <f>SUM(211.04/87)*H435</f>
        <v>10.9158620689655</v>
      </c>
      <c r="Y435" s="84"/>
      <c r="Z435" s="84"/>
      <c r="AA435" s="84">
        <f t="shared" si="204"/>
        <v>10.9158620689655</v>
      </c>
      <c r="AB435" s="94">
        <v>7.17</v>
      </c>
      <c r="AC435" s="81">
        <f t="shared" si="205"/>
        <v>78.2667310344828</v>
      </c>
      <c r="AD435" s="81">
        <f t="shared" si="201"/>
        <v>411.810179310345</v>
      </c>
      <c r="AE435" s="81">
        <f t="shared" si="202"/>
        <v>163.189820689655</v>
      </c>
    </row>
    <row r="436" customFormat="1" spans="1:31">
      <c r="A436" s="19"/>
      <c r="B436" s="20"/>
      <c r="C436" s="21">
        <v>240111000049</v>
      </c>
      <c r="D436" s="22">
        <v>45307</v>
      </c>
      <c r="E436" s="22" t="s">
        <v>37</v>
      </c>
      <c r="F436" s="20" t="s">
        <v>38</v>
      </c>
      <c r="G436" s="20" t="s">
        <v>346</v>
      </c>
      <c r="H436" s="20">
        <v>2.5</v>
      </c>
      <c r="I436" s="50"/>
      <c r="J436" s="51">
        <v>76337.5</v>
      </c>
      <c r="K436" s="52"/>
      <c r="L436" s="51">
        <f>SUM(J436/M436)</f>
        <v>1412.61102886751</v>
      </c>
      <c r="M436" s="53">
        <v>54.04</v>
      </c>
      <c r="N436" s="20">
        <v>7.17</v>
      </c>
      <c r="O436" s="48">
        <f>SUM(M436*N436)</f>
        <v>387.4668</v>
      </c>
      <c r="P436" s="54"/>
      <c r="Q436" s="54"/>
      <c r="R436" s="81">
        <f t="shared" ref="R436:R451" si="207">SUM(5700/87)*H436</f>
        <v>163.793103448276</v>
      </c>
      <c r="S436" s="81"/>
      <c r="T436" s="82">
        <f t="shared" ref="T436:T451" si="208">SUM(71.84/87)*H436</f>
        <v>2.06436781609195</v>
      </c>
      <c r="U436" s="81"/>
      <c r="V436" s="81"/>
      <c r="W436" s="83">
        <f t="shared" si="206"/>
        <v>165.857471264368</v>
      </c>
      <c r="X436" s="84">
        <f t="shared" ref="X436:X451" si="209">SUM(211.04/87)*H436</f>
        <v>6.06436781609195</v>
      </c>
      <c r="Y436" s="84"/>
      <c r="Z436" s="84"/>
      <c r="AA436" s="84">
        <f t="shared" si="204"/>
        <v>6.06436781609195</v>
      </c>
      <c r="AB436" s="94">
        <v>7.17</v>
      </c>
      <c r="AC436" s="81">
        <f t="shared" si="205"/>
        <v>43.4815172413793</v>
      </c>
      <c r="AD436" s="81">
        <f t="shared" si="201"/>
        <v>209.338988505747</v>
      </c>
      <c r="AE436" s="81">
        <f t="shared" si="202"/>
        <v>178.127811494253</v>
      </c>
    </row>
    <row r="437" customFormat="1" spans="1:31">
      <c r="A437" s="19"/>
      <c r="B437" s="20"/>
      <c r="C437" s="21">
        <v>240112000013</v>
      </c>
      <c r="D437" s="22">
        <v>45307</v>
      </c>
      <c r="E437" s="22" t="s">
        <v>41</v>
      </c>
      <c r="F437" s="20" t="s">
        <v>42</v>
      </c>
      <c r="G437" s="20" t="s">
        <v>347</v>
      </c>
      <c r="H437" s="20">
        <v>0.14</v>
      </c>
      <c r="I437" s="43">
        <v>130</v>
      </c>
      <c r="J437" s="44"/>
      <c r="K437" s="45"/>
      <c r="L437" s="44"/>
      <c r="M437" s="46"/>
      <c r="N437" s="20"/>
      <c r="O437" s="48">
        <f t="shared" ref="O437:O439" si="210">SUM(I437)</f>
        <v>130</v>
      </c>
      <c r="P437" s="54"/>
      <c r="Q437" s="54"/>
      <c r="R437" s="81">
        <f t="shared" si="207"/>
        <v>9.17241379310345</v>
      </c>
      <c r="S437" s="81"/>
      <c r="T437" s="82">
        <f t="shared" si="208"/>
        <v>0.115604597701149</v>
      </c>
      <c r="U437" s="81"/>
      <c r="V437" s="81"/>
      <c r="W437" s="83">
        <f t="shared" si="206"/>
        <v>9.2880183908046</v>
      </c>
      <c r="X437" s="84">
        <f t="shared" si="209"/>
        <v>0.339604597701149</v>
      </c>
      <c r="Y437" s="84"/>
      <c r="Z437" s="84"/>
      <c r="AA437" s="84">
        <f t="shared" si="204"/>
        <v>0.339604597701149</v>
      </c>
      <c r="AB437" s="94">
        <v>7.17</v>
      </c>
      <c r="AC437" s="81">
        <f t="shared" si="205"/>
        <v>2.43496496551724</v>
      </c>
      <c r="AD437" s="81">
        <f t="shared" si="201"/>
        <v>11.7229833563218</v>
      </c>
      <c r="AE437" s="81">
        <f t="shared" si="202"/>
        <v>118.277016643678</v>
      </c>
    </row>
    <row r="438" customFormat="1" spans="1:31">
      <c r="A438" s="19"/>
      <c r="B438" s="20"/>
      <c r="C438" s="21">
        <v>240112000015</v>
      </c>
      <c r="D438" s="22">
        <v>45307</v>
      </c>
      <c r="E438" s="22" t="s">
        <v>58</v>
      </c>
      <c r="F438" s="20" t="s">
        <v>59</v>
      </c>
      <c r="G438" s="20" t="s">
        <v>157</v>
      </c>
      <c r="H438" s="20">
        <v>3</v>
      </c>
      <c r="I438" s="43">
        <v>390</v>
      </c>
      <c r="J438" s="44"/>
      <c r="K438" s="45"/>
      <c r="L438" s="44"/>
      <c r="M438" s="46"/>
      <c r="N438" s="20"/>
      <c r="O438" s="48">
        <f t="shared" si="210"/>
        <v>390</v>
      </c>
      <c r="P438" s="54"/>
      <c r="Q438" s="54"/>
      <c r="R438" s="81">
        <f t="shared" si="207"/>
        <v>196.551724137931</v>
      </c>
      <c r="S438" s="81"/>
      <c r="T438" s="82">
        <f t="shared" si="208"/>
        <v>2.47724137931034</v>
      </c>
      <c r="U438" s="81"/>
      <c r="V438" s="81"/>
      <c r="W438" s="83">
        <f t="shared" si="206"/>
        <v>199.028965517241</v>
      </c>
      <c r="X438" s="84">
        <f t="shared" si="209"/>
        <v>7.27724137931034</v>
      </c>
      <c r="Y438" s="84"/>
      <c r="Z438" s="84"/>
      <c r="AA438" s="84">
        <f t="shared" si="204"/>
        <v>7.27724137931034</v>
      </c>
      <c r="AB438" s="94">
        <v>7.17</v>
      </c>
      <c r="AC438" s="81">
        <f t="shared" si="205"/>
        <v>52.1778206896552</v>
      </c>
      <c r="AD438" s="81">
        <f t="shared" si="201"/>
        <v>251.206786206897</v>
      </c>
      <c r="AE438" s="81">
        <f t="shared" si="202"/>
        <v>138.793213793103</v>
      </c>
    </row>
    <row r="439" customFormat="1" spans="1:31">
      <c r="A439" s="19"/>
      <c r="B439" s="20"/>
      <c r="C439" s="21">
        <v>240112000034</v>
      </c>
      <c r="D439" s="22">
        <v>45307</v>
      </c>
      <c r="E439" s="25" t="s">
        <v>69</v>
      </c>
      <c r="F439" s="20" t="s">
        <v>69</v>
      </c>
      <c r="G439" s="20" t="s">
        <v>130</v>
      </c>
      <c r="H439" s="20">
        <v>0.34</v>
      </c>
      <c r="I439" s="43">
        <v>125</v>
      </c>
      <c r="J439" s="44"/>
      <c r="K439" s="45"/>
      <c r="L439" s="44"/>
      <c r="M439" s="46"/>
      <c r="N439" s="20"/>
      <c r="O439" s="48">
        <f t="shared" si="210"/>
        <v>125</v>
      </c>
      <c r="P439" s="54"/>
      <c r="Q439" s="54"/>
      <c r="R439" s="81">
        <f t="shared" si="207"/>
        <v>22.2758620689655</v>
      </c>
      <c r="S439" s="81"/>
      <c r="T439" s="82">
        <f t="shared" si="208"/>
        <v>0.280754022988506</v>
      </c>
      <c r="U439" s="81"/>
      <c r="V439" s="81"/>
      <c r="W439" s="83">
        <f t="shared" si="206"/>
        <v>22.556616091954</v>
      </c>
      <c r="X439" s="84">
        <f t="shared" si="209"/>
        <v>0.824754022988506</v>
      </c>
      <c r="Y439" s="84"/>
      <c r="Z439" s="84"/>
      <c r="AA439" s="84">
        <f t="shared" si="204"/>
        <v>0.824754022988506</v>
      </c>
      <c r="AB439" s="94">
        <v>7.17</v>
      </c>
      <c r="AC439" s="81">
        <f t="shared" si="205"/>
        <v>5.91348634482759</v>
      </c>
      <c r="AD439" s="81">
        <f t="shared" si="201"/>
        <v>28.4701024367816</v>
      </c>
      <c r="AE439" s="81">
        <f t="shared" si="202"/>
        <v>96.5298975632184</v>
      </c>
    </row>
    <row r="440" customFormat="1" spans="1:31">
      <c r="A440" s="19"/>
      <c r="B440" s="20"/>
      <c r="C440" s="21">
        <v>240113000005</v>
      </c>
      <c r="D440" s="22">
        <v>45307</v>
      </c>
      <c r="E440" s="22" t="s">
        <v>58</v>
      </c>
      <c r="F440" s="20" t="s">
        <v>348</v>
      </c>
      <c r="G440" s="20" t="s">
        <v>349</v>
      </c>
      <c r="H440" s="20">
        <v>0.62</v>
      </c>
      <c r="I440" s="48"/>
      <c r="J440" s="55">
        <v>24125.7</v>
      </c>
      <c r="K440" s="56"/>
      <c r="L440" s="51">
        <f>SUM(J440/M440)</f>
        <v>1370</v>
      </c>
      <c r="M440" s="53">
        <v>17.61</v>
      </c>
      <c r="N440" s="20">
        <v>7.17</v>
      </c>
      <c r="O440" s="48">
        <f>SUM(M440*N440)</f>
        <v>126.2637</v>
      </c>
      <c r="P440" s="54"/>
      <c r="Q440" s="54"/>
      <c r="R440" s="81">
        <f t="shared" si="207"/>
        <v>40.6206896551724</v>
      </c>
      <c r="S440" s="81"/>
      <c r="T440" s="82">
        <f t="shared" si="208"/>
        <v>0.511963218390805</v>
      </c>
      <c r="U440" s="81"/>
      <c r="V440" s="81"/>
      <c r="W440" s="83">
        <f t="shared" si="206"/>
        <v>41.1326528735632</v>
      </c>
      <c r="X440" s="84">
        <f t="shared" si="209"/>
        <v>1.5039632183908</v>
      </c>
      <c r="Y440" s="84"/>
      <c r="Z440" s="84"/>
      <c r="AA440" s="84">
        <f t="shared" si="204"/>
        <v>1.5039632183908</v>
      </c>
      <c r="AB440" s="94">
        <v>7.17</v>
      </c>
      <c r="AC440" s="81">
        <f t="shared" si="205"/>
        <v>10.7834162758621</v>
      </c>
      <c r="AD440" s="81">
        <f t="shared" si="201"/>
        <v>51.9160691494253</v>
      </c>
      <c r="AE440" s="81">
        <f t="shared" si="202"/>
        <v>74.3476308505747</v>
      </c>
    </row>
    <row r="441" customFormat="1" spans="1:31">
      <c r="A441" s="19"/>
      <c r="B441" s="20"/>
      <c r="C441" s="21">
        <v>240113000006</v>
      </c>
      <c r="D441" s="22">
        <v>45307</v>
      </c>
      <c r="E441" s="25" t="s">
        <v>69</v>
      </c>
      <c r="F441" s="20" t="s">
        <v>69</v>
      </c>
      <c r="G441" s="20" t="s">
        <v>350</v>
      </c>
      <c r="H441" s="20">
        <v>2</v>
      </c>
      <c r="I441" s="43">
        <v>250</v>
      </c>
      <c r="J441" s="44"/>
      <c r="K441" s="45"/>
      <c r="L441" s="44"/>
      <c r="M441" s="46"/>
      <c r="N441" s="20"/>
      <c r="O441" s="48">
        <f t="shared" ref="O441:O443" si="211">SUM(I441)</f>
        <v>250</v>
      </c>
      <c r="P441" s="54"/>
      <c r="Q441" s="54"/>
      <c r="R441" s="81">
        <f t="shared" si="207"/>
        <v>131.034482758621</v>
      </c>
      <c r="S441" s="81"/>
      <c r="T441" s="82">
        <f t="shared" si="208"/>
        <v>1.65149425287356</v>
      </c>
      <c r="U441" s="81"/>
      <c r="V441" s="81"/>
      <c r="W441" s="83">
        <f t="shared" si="206"/>
        <v>132.685977011494</v>
      </c>
      <c r="X441" s="84">
        <f t="shared" si="209"/>
        <v>4.85149425287356</v>
      </c>
      <c r="Y441" s="84"/>
      <c r="Z441" s="84"/>
      <c r="AA441" s="84">
        <f t="shared" si="204"/>
        <v>4.85149425287356</v>
      </c>
      <c r="AB441" s="94">
        <v>7.17</v>
      </c>
      <c r="AC441" s="81">
        <f t="shared" si="205"/>
        <v>34.7852137931034</v>
      </c>
      <c r="AD441" s="81">
        <f t="shared" si="201"/>
        <v>167.471190804598</v>
      </c>
      <c r="AE441" s="81">
        <f t="shared" si="202"/>
        <v>82.528809195402</v>
      </c>
    </row>
    <row r="442" customFormat="1" spans="1:31">
      <c r="A442" s="19"/>
      <c r="B442" s="20"/>
      <c r="C442" s="21">
        <v>240113000010</v>
      </c>
      <c r="D442" s="22">
        <v>45307</v>
      </c>
      <c r="E442" s="22" t="s">
        <v>69</v>
      </c>
      <c r="F442" s="20" t="s">
        <v>192</v>
      </c>
      <c r="G442" s="20" t="s">
        <v>193</v>
      </c>
      <c r="H442" s="20">
        <v>3.5</v>
      </c>
      <c r="I442" s="43">
        <v>455</v>
      </c>
      <c r="J442" s="44"/>
      <c r="K442" s="45"/>
      <c r="L442" s="44"/>
      <c r="M442" s="46"/>
      <c r="N442" s="20"/>
      <c r="O442" s="48">
        <f t="shared" si="211"/>
        <v>455</v>
      </c>
      <c r="P442" s="54"/>
      <c r="Q442" s="54"/>
      <c r="R442" s="81">
        <f t="shared" si="207"/>
        <v>229.310344827586</v>
      </c>
      <c r="S442" s="81"/>
      <c r="T442" s="82">
        <f t="shared" si="208"/>
        <v>2.89011494252874</v>
      </c>
      <c r="U442" s="81"/>
      <c r="V442" s="81"/>
      <c r="W442" s="83">
        <f t="shared" si="206"/>
        <v>232.200459770115</v>
      </c>
      <c r="X442" s="84">
        <f t="shared" si="209"/>
        <v>8.49011494252873</v>
      </c>
      <c r="Y442" s="84"/>
      <c r="Z442" s="84"/>
      <c r="AA442" s="84">
        <f t="shared" si="204"/>
        <v>8.49011494252873</v>
      </c>
      <c r="AB442" s="94">
        <v>7.17</v>
      </c>
      <c r="AC442" s="81">
        <f t="shared" si="205"/>
        <v>60.874124137931</v>
      </c>
      <c r="AD442" s="81">
        <f t="shared" si="201"/>
        <v>293.074583908046</v>
      </c>
      <c r="AE442" s="81">
        <f t="shared" si="202"/>
        <v>161.925416091954</v>
      </c>
    </row>
    <row r="443" customFormat="1" spans="1:31">
      <c r="A443" s="19"/>
      <c r="B443" s="20"/>
      <c r="C443" s="21">
        <v>240113000011</v>
      </c>
      <c r="D443" s="22">
        <v>45307</v>
      </c>
      <c r="E443" s="25" t="s">
        <v>69</v>
      </c>
      <c r="F443" s="20" t="s">
        <v>69</v>
      </c>
      <c r="G443" s="20" t="s">
        <v>351</v>
      </c>
      <c r="H443" s="20">
        <v>8</v>
      </c>
      <c r="I443" s="43">
        <v>1040</v>
      </c>
      <c r="J443" s="44"/>
      <c r="K443" s="45"/>
      <c r="L443" s="44"/>
      <c r="M443" s="46"/>
      <c r="N443" s="20"/>
      <c r="O443" s="48">
        <f t="shared" si="211"/>
        <v>1040</v>
      </c>
      <c r="P443" s="54"/>
      <c r="Q443" s="54"/>
      <c r="R443" s="81">
        <f t="shared" si="207"/>
        <v>524.137931034483</v>
      </c>
      <c r="S443" s="81"/>
      <c r="T443" s="82">
        <f t="shared" si="208"/>
        <v>6.60597701149425</v>
      </c>
      <c r="U443" s="81"/>
      <c r="V443" s="81"/>
      <c r="W443" s="83">
        <f t="shared" si="206"/>
        <v>530.743908045977</v>
      </c>
      <c r="X443" s="84">
        <f t="shared" si="209"/>
        <v>19.4059770114943</v>
      </c>
      <c r="Y443" s="84"/>
      <c r="Z443" s="84"/>
      <c r="AA443" s="84">
        <f t="shared" si="204"/>
        <v>19.4059770114943</v>
      </c>
      <c r="AB443" s="94">
        <v>7.17</v>
      </c>
      <c r="AC443" s="81">
        <f t="shared" si="205"/>
        <v>139.140855172414</v>
      </c>
      <c r="AD443" s="81">
        <f t="shared" si="201"/>
        <v>669.884763218391</v>
      </c>
      <c r="AE443" s="81">
        <f t="shared" si="202"/>
        <v>370.115236781609</v>
      </c>
    </row>
    <row r="444" customFormat="1" spans="1:31">
      <c r="A444" s="19"/>
      <c r="B444" s="20"/>
      <c r="C444" s="21">
        <v>240114000006</v>
      </c>
      <c r="D444" s="22">
        <v>45307</v>
      </c>
      <c r="E444" s="25" t="s">
        <v>69</v>
      </c>
      <c r="F444" s="20" t="s">
        <v>69</v>
      </c>
      <c r="G444" s="20" t="s">
        <v>352</v>
      </c>
      <c r="H444" s="20">
        <v>8</v>
      </c>
      <c r="I444" s="48"/>
      <c r="J444" s="55">
        <v>202421</v>
      </c>
      <c r="K444" s="56"/>
      <c r="L444" s="51">
        <f>SUM(J444/M444)</f>
        <v>1381.99631323821</v>
      </c>
      <c r="M444" s="53">
        <v>146.47</v>
      </c>
      <c r="N444" s="20">
        <v>7.17</v>
      </c>
      <c r="O444" s="48">
        <f t="shared" ref="O444:O449" si="212">SUM(M444*N444)</f>
        <v>1050.1899</v>
      </c>
      <c r="P444" s="54"/>
      <c r="Q444" s="54"/>
      <c r="R444" s="81">
        <f t="shared" si="207"/>
        <v>524.137931034483</v>
      </c>
      <c r="S444" s="81"/>
      <c r="T444" s="82">
        <f t="shared" si="208"/>
        <v>6.60597701149425</v>
      </c>
      <c r="U444" s="81"/>
      <c r="V444" s="81"/>
      <c r="W444" s="83">
        <f t="shared" si="206"/>
        <v>530.743908045977</v>
      </c>
      <c r="X444" s="84">
        <f t="shared" si="209"/>
        <v>19.4059770114943</v>
      </c>
      <c r="Y444" s="84"/>
      <c r="Z444" s="84"/>
      <c r="AA444" s="84">
        <f t="shared" si="204"/>
        <v>19.4059770114943</v>
      </c>
      <c r="AB444" s="94">
        <v>7.17</v>
      </c>
      <c r="AC444" s="81">
        <f t="shared" si="205"/>
        <v>139.140855172414</v>
      </c>
      <c r="AD444" s="81">
        <f t="shared" si="201"/>
        <v>669.884763218391</v>
      </c>
      <c r="AE444" s="81">
        <f t="shared" si="202"/>
        <v>380.305136781609</v>
      </c>
    </row>
    <row r="445" customFormat="1" spans="1:31">
      <c r="A445" s="19"/>
      <c r="B445" s="20"/>
      <c r="C445" s="21">
        <v>240115000013</v>
      </c>
      <c r="D445" s="22">
        <v>45307</v>
      </c>
      <c r="E445" s="22" t="s">
        <v>49</v>
      </c>
      <c r="F445" s="20" t="s">
        <v>50</v>
      </c>
      <c r="G445" s="20" t="s">
        <v>186</v>
      </c>
      <c r="H445" s="20">
        <v>23</v>
      </c>
      <c r="I445" s="43">
        <v>3335</v>
      </c>
      <c r="J445" s="44"/>
      <c r="K445" s="45"/>
      <c r="L445" s="44"/>
      <c r="M445" s="46"/>
      <c r="N445" s="20"/>
      <c r="O445" s="48">
        <f t="shared" ref="O445:O448" si="213">SUM(I445)</f>
        <v>3335</v>
      </c>
      <c r="P445" s="54"/>
      <c r="Q445" s="54"/>
      <c r="R445" s="81">
        <f t="shared" si="207"/>
        <v>1506.89655172414</v>
      </c>
      <c r="S445" s="81"/>
      <c r="T445" s="82">
        <f t="shared" si="208"/>
        <v>18.992183908046</v>
      </c>
      <c r="U445" s="81"/>
      <c r="V445" s="81"/>
      <c r="W445" s="83">
        <f t="shared" si="206"/>
        <v>1525.88873563218</v>
      </c>
      <c r="X445" s="84">
        <f t="shared" si="209"/>
        <v>55.792183908046</v>
      </c>
      <c r="Y445" s="84"/>
      <c r="Z445" s="84"/>
      <c r="AA445" s="84">
        <f t="shared" si="204"/>
        <v>55.792183908046</v>
      </c>
      <c r="AB445" s="94">
        <v>7.17</v>
      </c>
      <c r="AC445" s="81">
        <f t="shared" si="205"/>
        <v>400.02995862069</v>
      </c>
      <c r="AD445" s="81">
        <f t="shared" si="201"/>
        <v>1925.91869425287</v>
      </c>
      <c r="AE445" s="81">
        <f t="shared" si="202"/>
        <v>1409.08130574713</v>
      </c>
    </row>
    <row r="446" customFormat="1" spans="1:31">
      <c r="A446" s="19"/>
      <c r="B446" s="20"/>
      <c r="C446" s="21">
        <v>240115000015</v>
      </c>
      <c r="D446" s="22">
        <v>45307</v>
      </c>
      <c r="E446" s="22" t="s">
        <v>37</v>
      </c>
      <c r="F446" s="20" t="s">
        <v>38</v>
      </c>
      <c r="G446" s="20" t="s">
        <v>353</v>
      </c>
      <c r="H446" s="20">
        <v>4.5</v>
      </c>
      <c r="I446" s="50"/>
      <c r="J446" s="51">
        <v>106875</v>
      </c>
      <c r="K446" s="52"/>
      <c r="L446" s="51">
        <f>SUM(J446/M446)</f>
        <v>1362.3326959847</v>
      </c>
      <c r="M446" s="53">
        <v>78.45</v>
      </c>
      <c r="N446" s="20">
        <v>7.17</v>
      </c>
      <c r="O446" s="48">
        <f t="shared" si="212"/>
        <v>562.4865</v>
      </c>
      <c r="P446" s="54"/>
      <c r="Q446" s="54"/>
      <c r="R446" s="81">
        <f t="shared" si="207"/>
        <v>294.827586206897</v>
      </c>
      <c r="S446" s="81"/>
      <c r="T446" s="82">
        <f t="shared" si="208"/>
        <v>3.71586206896552</v>
      </c>
      <c r="U446" s="81"/>
      <c r="V446" s="81"/>
      <c r="W446" s="83">
        <f t="shared" si="206"/>
        <v>298.543448275862</v>
      </c>
      <c r="X446" s="84">
        <f t="shared" si="209"/>
        <v>10.9158620689655</v>
      </c>
      <c r="Y446" s="84"/>
      <c r="Z446" s="84"/>
      <c r="AA446" s="84">
        <f t="shared" si="204"/>
        <v>10.9158620689655</v>
      </c>
      <c r="AB446" s="94">
        <v>7.17</v>
      </c>
      <c r="AC446" s="81">
        <f t="shared" si="205"/>
        <v>78.2667310344828</v>
      </c>
      <c r="AD446" s="81">
        <f t="shared" si="201"/>
        <v>376.810179310345</v>
      </c>
      <c r="AE446" s="81">
        <f t="shared" ref="AE446:AE489" si="214">SUM(O446-AD446)</f>
        <v>185.676320689655</v>
      </c>
    </row>
    <row r="447" customFormat="1" spans="1:31">
      <c r="A447" s="19"/>
      <c r="B447" s="20"/>
      <c r="C447" s="21">
        <v>240115000024</v>
      </c>
      <c r="D447" s="22">
        <v>45307</v>
      </c>
      <c r="E447" s="22" t="s">
        <v>41</v>
      </c>
      <c r="F447" s="20" t="s">
        <v>42</v>
      </c>
      <c r="G447" s="20" t="s">
        <v>354</v>
      </c>
      <c r="H447" s="20">
        <v>0.26</v>
      </c>
      <c r="I447" s="43">
        <v>150</v>
      </c>
      <c r="J447" s="44"/>
      <c r="K447" s="45"/>
      <c r="L447" s="44"/>
      <c r="M447" s="46"/>
      <c r="N447" s="20"/>
      <c r="O447" s="48">
        <f t="shared" si="213"/>
        <v>150</v>
      </c>
      <c r="P447" s="54"/>
      <c r="Q447" s="54"/>
      <c r="R447" s="81">
        <f t="shared" si="207"/>
        <v>17.0344827586207</v>
      </c>
      <c r="S447" s="81"/>
      <c r="T447" s="82">
        <f t="shared" si="208"/>
        <v>0.214694252873563</v>
      </c>
      <c r="U447" s="81"/>
      <c r="V447" s="81"/>
      <c r="W447" s="83">
        <f t="shared" si="206"/>
        <v>17.2491770114943</v>
      </c>
      <c r="X447" s="84">
        <f t="shared" si="209"/>
        <v>0.630694252873563</v>
      </c>
      <c r="Y447" s="84"/>
      <c r="Z447" s="84"/>
      <c r="AA447" s="84">
        <f t="shared" si="204"/>
        <v>0.630694252873563</v>
      </c>
      <c r="AB447" s="94">
        <v>7.17</v>
      </c>
      <c r="AC447" s="81">
        <f t="shared" si="205"/>
        <v>4.52207779310345</v>
      </c>
      <c r="AD447" s="81">
        <f t="shared" ref="AD447:AD489" si="215">SUM(W447+AC447)</f>
        <v>21.7712548045977</v>
      </c>
      <c r="AE447" s="81">
        <f t="shared" si="214"/>
        <v>128.228745195402</v>
      </c>
    </row>
    <row r="448" customFormat="1" spans="1:31">
      <c r="A448" s="19"/>
      <c r="B448" s="20"/>
      <c r="C448" s="21">
        <v>240115000026</v>
      </c>
      <c r="D448" s="22">
        <v>45307</v>
      </c>
      <c r="E448" s="22" t="s">
        <v>37</v>
      </c>
      <c r="F448" s="20" t="s">
        <v>38</v>
      </c>
      <c r="G448" s="20" t="s">
        <v>317</v>
      </c>
      <c r="H448" s="20">
        <v>25</v>
      </c>
      <c r="I448" s="43">
        <v>2625</v>
      </c>
      <c r="J448" s="44"/>
      <c r="K448" s="45"/>
      <c r="L448" s="44"/>
      <c r="M448" s="46"/>
      <c r="N448" s="20"/>
      <c r="O448" s="48">
        <f t="shared" si="213"/>
        <v>2625</v>
      </c>
      <c r="P448" s="54"/>
      <c r="Q448" s="54"/>
      <c r="R448" s="81">
        <f t="shared" si="207"/>
        <v>1637.93103448276</v>
      </c>
      <c r="S448" s="81"/>
      <c r="T448" s="82">
        <f t="shared" si="208"/>
        <v>20.6436781609195</v>
      </c>
      <c r="U448" s="81"/>
      <c r="V448" s="81"/>
      <c r="W448" s="83">
        <f t="shared" si="206"/>
        <v>1658.57471264368</v>
      </c>
      <c r="X448" s="84">
        <f t="shared" si="209"/>
        <v>60.6436781609195</v>
      </c>
      <c r="Y448" s="84"/>
      <c r="Z448" s="84"/>
      <c r="AA448" s="84">
        <f t="shared" si="204"/>
        <v>60.6436781609195</v>
      </c>
      <c r="AB448" s="94">
        <v>7.17</v>
      </c>
      <c r="AC448" s="81">
        <f t="shared" si="205"/>
        <v>434.815172413793</v>
      </c>
      <c r="AD448" s="81">
        <f t="shared" si="215"/>
        <v>2093.38988505747</v>
      </c>
      <c r="AE448" s="81">
        <f t="shared" si="214"/>
        <v>531.61011494253</v>
      </c>
    </row>
    <row r="449" customFormat="1" spans="1:31">
      <c r="A449" s="19"/>
      <c r="B449" s="20"/>
      <c r="C449" s="21">
        <v>240115000030</v>
      </c>
      <c r="D449" s="22">
        <v>45307</v>
      </c>
      <c r="E449" s="25" t="s">
        <v>69</v>
      </c>
      <c r="F449" s="20" t="s">
        <v>69</v>
      </c>
      <c r="G449" s="20" t="s">
        <v>350</v>
      </c>
      <c r="H449" s="20">
        <v>2</v>
      </c>
      <c r="I449" s="48"/>
      <c r="J449" s="55">
        <v>48237</v>
      </c>
      <c r="K449" s="56"/>
      <c r="L449" s="51">
        <f>SUM(J449/M449)</f>
        <v>1369.98011928429</v>
      </c>
      <c r="M449" s="53">
        <v>35.21</v>
      </c>
      <c r="N449" s="20">
        <v>7.17</v>
      </c>
      <c r="O449" s="48">
        <f t="shared" si="212"/>
        <v>252.4557</v>
      </c>
      <c r="P449" s="54"/>
      <c r="Q449" s="54"/>
      <c r="R449" s="81">
        <f t="shared" si="207"/>
        <v>131.034482758621</v>
      </c>
      <c r="S449" s="81"/>
      <c r="T449" s="82">
        <f t="shared" si="208"/>
        <v>1.65149425287356</v>
      </c>
      <c r="U449" s="81"/>
      <c r="V449" s="81"/>
      <c r="W449" s="83">
        <f t="shared" si="206"/>
        <v>132.685977011494</v>
      </c>
      <c r="X449" s="84">
        <f t="shared" si="209"/>
        <v>4.85149425287356</v>
      </c>
      <c r="Y449" s="84"/>
      <c r="Z449" s="84"/>
      <c r="AA449" s="84">
        <f t="shared" si="204"/>
        <v>4.85149425287356</v>
      </c>
      <c r="AB449" s="94">
        <v>7.17</v>
      </c>
      <c r="AC449" s="81">
        <f t="shared" ref="AC449:AC489" si="216">SUM(AA449*AB449)</f>
        <v>34.7852137931034</v>
      </c>
      <c r="AD449" s="81">
        <f t="shared" si="215"/>
        <v>167.471190804598</v>
      </c>
      <c r="AE449" s="81">
        <f t="shared" si="214"/>
        <v>84.984509195402</v>
      </c>
    </row>
    <row r="450" customFormat="1" spans="1:31">
      <c r="A450" s="19"/>
      <c r="B450" s="20"/>
      <c r="C450" s="21">
        <v>240115000035</v>
      </c>
      <c r="D450" s="22">
        <v>45307</v>
      </c>
      <c r="E450" s="22" t="s">
        <v>37</v>
      </c>
      <c r="F450" s="20" t="s">
        <v>38</v>
      </c>
      <c r="G450" s="20" t="s">
        <v>262</v>
      </c>
      <c r="H450" s="20">
        <v>0.9</v>
      </c>
      <c r="I450" s="43">
        <v>125</v>
      </c>
      <c r="J450" s="44"/>
      <c r="K450" s="45"/>
      <c r="L450" s="44"/>
      <c r="M450" s="46"/>
      <c r="N450" s="20"/>
      <c r="O450" s="48">
        <f t="shared" ref="O450:O453" si="217">SUM(I450)</f>
        <v>125</v>
      </c>
      <c r="P450" s="54"/>
      <c r="Q450" s="54"/>
      <c r="R450" s="81">
        <f t="shared" si="207"/>
        <v>58.9655172413793</v>
      </c>
      <c r="S450" s="81"/>
      <c r="T450" s="82">
        <f t="shared" si="208"/>
        <v>0.743172413793104</v>
      </c>
      <c r="U450" s="81"/>
      <c r="V450" s="81"/>
      <c r="W450" s="83">
        <f t="shared" ref="W450:W489" si="218">SUM(R450:V450)</f>
        <v>59.7086896551724</v>
      </c>
      <c r="X450" s="84">
        <f t="shared" si="209"/>
        <v>2.1831724137931</v>
      </c>
      <c r="Y450" s="84"/>
      <c r="Z450" s="84"/>
      <c r="AA450" s="84">
        <f t="shared" si="204"/>
        <v>2.1831724137931</v>
      </c>
      <c r="AB450" s="94">
        <v>7.17</v>
      </c>
      <c r="AC450" s="81">
        <f t="shared" si="216"/>
        <v>15.6533462068966</v>
      </c>
      <c r="AD450" s="81">
        <f t="shared" si="215"/>
        <v>75.362035862069</v>
      </c>
      <c r="AE450" s="81">
        <f t="shared" si="214"/>
        <v>49.637964137931</v>
      </c>
    </row>
    <row r="451" customFormat="1" spans="1:31">
      <c r="A451" s="19"/>
      <c r="B451" s="20"/>
      <c r="C451" s="21">
        <v>240115000039</v>
      </c>
      <c r="D451" s="22">
        <v>45307</v>
      </c>
      <c r="E451" s="25" t="s">
        <v>69</v>
      </c>
      <c r="F451" s="20" t="s">
        <v>69</v>
      </c>
      <c r="G451" s="20" t="s">
        <v>130</v>
      </c>
      <c r="H451" s="20">
        <v>3</v>
      </c>
      <c r="I451" s="43">
        <v>375</v>
      </c>
      <c r="J451" s="44"/>
      <c r="K451" s="45"/>
      <c r="L451" s="44"/>
      <c r="M451" s="46"/>
      <c r="N451" s="20"/>
      <c r="O451" s="48">
        <f t="shared" si="217"/>
        <v>375</v>
      </c>
      <c r="P451" s="60"/>
      <c r="Q451" s="60"/>
      <c r="R451" s="81">
        <f t="shared" si="207"/>
        <v>196.551724137931</v>
      </c>
      <c r="S451" s="81"/>
      <c r="T451" s="82">
        <f t="shared" si="208"/>
        <v>2.47724137931034</v>
      </c>
      <c r="U451" s="81"/>
      <c r="V451" s="81"/>
      <c r="W451" s="83">
        <f t="shared" si="218"/>
        <v>199.028965517241</v>
      </c>
      <c r="X451" s="84">
        <f t="shared" si="209"/>
        <v>7.27724137931034</v>
      </c>
      <c r="Y451" s="84"/>
      <c r="Z451" s="84"/>
      <c r="AA451" s="84">
        <f t="shared" ref="AA451:AA489" si="219">SUM(X451:Z451)</f>
        <v>7.27724137931034</v>
      </c>
      <c r="AB451" s="94">
        <v>7.17</v>
      </c>
      <c r="AC451" s="81">
        <f t="shared" si="216"/>
        <v>52.1778206896552</v>
      </c>
      <c r="AD451" s="81">
        <f t="shared" si="215"/>
        <v>251.206786206897</v>
      </c>
      <c r="AE451" s="81">
        <f t="shared" si="214"/>
        <v>123.793213793103</v>
      </c>
    </row>
    <row r="452" customFormat="1" spans="1:31">
      <c r="A452" s="19" t="s">
        <v>355</v>
      </c>
      <c r="B452" s="20" t="s">
        <v>356</v>
      </c>
      <c r="C452" s="21">
        <v>240104000011</v>
      </c>
      <c r="D452" s="22">
        <v>45307</v>
      </c>
      <c r="E452" s="22" t="s">
        <v>49</v>
      </c>
      <c r="F452" s="20" t="s">
        <v>50</v>
      </c>
      <c r="G452" s="20" t="s">
        <v>215</v>
      </c>
      <c r="H452" s="20">
        <v>0.28</v>
      </c>
      <c r="I452" s="50"/>
      <c r="J452" s="51">
        <v>9495</v>
      </c>
      <c r="K452" s="52"/>
      <c r="L452" s="51">
        <f>SUM(J452/M452)</f>
        <v>1514.35406698565</v>
      </c>
      <c r="M452" s="53">
        <v>6.27</v>
      </c>
      <c r="N452" s="20">
        <v>7.17</v>
      </c>
      <c r="O452" s="48">
        <f>SUM(M452*N452)</f>
        <v>44.9559</v>
      </c>
      <c r="P452" s="49">
        <f>SUM(O452:O489)</f>
        <v>88632.7607</v>
      </c>
      <c r="Q452" s="80" t="s">
        <v>357</v>
      </c>
      <c r="R452" s="81">
        <f>SUM(64036.4/1878)*H452</f>
        <v>9.54749307774228</v>
      </c>
      <c r="S452" s="81"/>
      <c r="T452" s="82">
        <f>SUM(221.7/1878)*H452</f>
        <v>0.0330543130990415</v>
      </c>
      <c r="U452" s="81"/>
      <c r="V452" s="81"/>
      <c r="W452" s="83">
        <f t="shared" si="218"/>
        <v>9.58054739084132</v>
      </c>
      <c r="X452" s="84">
        <f>SUM(1190.82/1878)*H452</f>
        <v>0.177545047923323</v>
      </c>
      <c r="Y452" s="84"/>
      <c r="Z452" s="84"/>
      <c r="AA452" s="84">
        <f t="shared" si="219"/>
        <v>0.177545047923323</v>
      </c>
      <c r="AB452" s="94">
        <v>7.17</v>
      </c>
      <c r="AC452" s="81">
        <f t="shared" si="216"/>
        <v>1.27299799361022</v>
      </c>
      <c r="AD452" s="81">
        <f t="shared" si="215"/>
        <v>10.8535453844515</v>
      </c>
      <c r="AE452" s="81">
        <f t="shared" si="214"/>
        <v>34.1023546155485</v>
      </c>
    </row>
    <row r="453" customFormat="1" spans="1:31">
      <c r="A453" s="19"/>
      <c r="B453" s="20"/>
      <c r="C453" s="21">
        <v>240109000006</v>
      </c>
      <c r="D453" s="22">
        <v>45307</v>
      </c>
      <c r="E453" s="22" t="s">
        <v>49</v>
      </c>
      <c r="F453" s="20" t="s">
        <v>50</v>
      </c>
      <c r="G453" s="20" t="s">
        <v>178</v>
      </c>
      <c r="H453" s="20">
        <v>10</v>
      </c>
      <c r="I453" s="43">
        <v>528</v>
      </c>
      <c r="J453" s="44"/>
      <c r="K453" s="45"/>
      <c r="L453" s="44"/>
      <c r="M453" s="46"/>
      <c r="N453" s="20"/>
      <c r="O453" s="48">
        <f t="shared" si="217"/>
        <v>528</v>
      </c>
      <c r="P453" s="54"/>
      <c r="Q453" s="54"/>
      <c r="R453" s="81">
        <f t="shared" ref="R453:R489" si="220">SUM(64036.4/1878)*H453</f>
        <v>340.981895633653</v>
      </c>
      <c r="S453" s="81"/>
      <c r="T453" s="82">
        <f t="shared" ref="T453:T489" si="221">SUM(221.7/1878)*H453</f>
        <v>1.18051118210863</v>
      </c>
      <c r="U453" s="81"/>
      <c r="V453" s="81"/>
      <c r="W453" s="83">
        <f t="shared" si="218"/>
        <v>342.162406815761</v>
      </c>
      <c r="X453" s="84">
        <f t="shared" ref="X453:X489" si="222">SUM(1190.82/1878)*H453</f>
        <v>6.3408945686901</v>
      </c>
      <c r="Y453" s="84"/>
      <c r="Z453" s="84"/>
      <c r="AA453" s="84">
        <f t="shared" si="219"/>
        <v>6.3408945686901</v>
      </c>
      <c r="AB453" s="94">
        <v>7.17</v>
      </c>
      <c r="AC453" s="81">
        <f t="shared" si="216"/>
        <v>45.464214057508</v>
      </c>
      <c r="AD453" s="81">
        <f t="shared" si="215"/>
        <v>387.626620873269</v>
      </c>
      <c r="AE453" s="81">
        <f t="shared" si="214"/>
        <v>140.373379126731</v>
      </c>
    </row>
    <row r="454" customFormat="1" spans="1:31">
      <c r="A454" s="19"/>
      <c r="B454" s="20"/>
      <c r="C454" s="21">
        <v>240109000025</v>
      </c>
      <c r="D454" s="22">
        <v>45307</v>
      </c>
      <c r="E454" s="22" t="s">
        <v>49</v>
      </c>
      <c r="F454" s="20" t="s">
        <v>50</v>
      </c>
      <c r="G454" s="20" t="s">
        <v>358</v>
      </c>
      <c r="H454" s="20">
        <v>1.5</v>
      </c>
      <c r="I454" s="50"/>
      <c r="J454" s="51">
        <v>20586.5</v>
      </c>
      <c r="K454" s="52"/>
      <c r="L454" s="51">
        <f>SUM(J454/M454)</f>
        <v>1412.93754289636</v>
      </c>
      <c r="M454" s="53">
        <v>14.57</v>
      </c>
      <c r="N454" s="20">
        <v>7.17</v>
      </c>
      <c r="O454" s="48">
        <f>SUM(M454*N454)</f>
        <v>104.4669</v>
      </c>
      <c r="P454" s="54"/>
      <c r="Q454" s="54"/>
      <c r="R454" s="81">
        <f t="shared" si="220"/>
        <v>51.1472843450479</v>
      </c>
      <c r="S454" s="81"/>
      <c r="T454" s="82">
        <f t="shared" si="221"/>
        <v>0.177076677316294</v>
      </c>
      <c r="U454" s="81"/>
      <c r="V454" s="82">
        <v>19</v>
      </c>
      <c r="W454" s="83">
        <f t="shared" si="218"/>
        <v>70.3243610223642</v>
      </c>
      <c r="X454" s="84">
        <f t="shared" si="222"/>
        <v>0.951134185303514</v>
      </c>
      <c r="Y454" s="84"/>
      <c r="Z454" s="84"/>
      <c r="AA454" s="84">
        <f t="shared" si="219"/>
        <v>0.951134185303514</v>
      </c>
      <c r="AB454" s="94">
        <v>7.17</v>
      </c>
      <c r="AC454" s="81">
        <f t="shared" si="216"/>
        <v>6.8196321086262</v>
      </c>
      <c r="AD454" s="81">
        <f t="shared" si="215"/>
        <v>77.1439931309904</v>
      </c>
      <c r="AE454" s="81">
        <f t="shared" si="214"/>
        <v>27.3229068690096</v>
      </c>
    </row>
    <row r="455" customFormat="1" spans="1:31">
      <c r="A455" s="19"/>
      <c r="B455" s="20"/>
      <c r="C455" s="21">
        <v>240109000032</v>
      </c>
      <c r="D455" s="22">
        <v>45307</v>
      </c>
      <c r="E455" s="22" t="s">
        <v>49</v>
      </c>
      <c r="F455" s="20" t="s">
        <v>50</v>
      </c>
      <c r="G455" s="20" t="s">
        <v>242</v>
      </c>
      <c r="H455" s="20">
        <v>1.5</v>
      </c>
      <c r="I455" s="43">
        <v>75</v>
      </c>
      <c r="J455" s="44"/>
      <c r="K455" s="45"/>
      <c r="L455" s="44"/>
      <c r="M455" s="46"/>
      <c r="N455" s="20"/>
      <c r="O455" s="48">
        <f t="shared" ref="O455:O457" si="223">SUM(I455)</f>
        <v>75</v>
      </c>
      <c r="P455" s="54"/>
      <c r="Q455" s="54"/>
      <c r="R455" s="81">
        <f t="shared" si="220"/>
        <v>51.1472843450479</v>
      </c>
      <c r="S455" s="81"/>
      <c r="T455" s="82">
        <f t="shared" si="221"/>
        <v>0.177076677316294</v>
      </c>
      <c r="U455" s="81"/>
      <c r="V455" s="81"/>
      <c r="W455" s="83">
        <f t="shared" si="218"/>
        <v>51.3243610223642</v>
      </c>
      <c r="X455" s="84">
        <f t="shared" si="222"/>
        <v>0.951134185303514</v>
      </c>
      <c r="Y455" s="84"/>
      <c r="Z455" s="84"/>
      <c r="AA455" s="84">
        <f t="shared" si="219"/>
        <v>0.951134185303514</v>
      </c>
      <c r="AB455" s="94">
        <v>7.17</v>
      </c>
      <c r="AC455" s="81">
        <f t="shared" si="216"/>
        <v>6.8196321086262</v>
      </c>
      <c r="AD455" s="81">
        <f t="shared" si="215"/>
        <v>58.1439931309904</v>
      </c>
      <c r="AE455" s="81">
        <f t="shared" si="214"/>
        <v>16.8560068690096</v>
      </c>
    </row>
    <row r="456" customFormat="1" spans="1:31">
      <c r="A456" s="19"/>
      <c r="B456" s="20"/>
      <c r="C456" s="21">
        <v>240110000026</v>
      </c>
      <c r="D456" s="22">
        <v>45307</v>
      </c>
      <c r="E456" s="22" t="s">
        <v>37</v>
      </c>
      <c r="F456" s="20" t="s">
        <v>38</v>
      </c>
      <c r="G456" s="20" t="s">
        <v>359</v>
      </c>
      <c r="H456" s="20">
        <v>9.5</v>
      </c>
      <c r="I456" s="43">
        <v>500</v>
      </c>
      <c r="J456" s="44"/>
      <c r="K456" s="45"/>
      <c r="L456" s="44"/>
      <c r="M456" s="46"/>
      <c r="N456" s="20"/>
      <c r="O456" s="48">
        <f t="shared" si="223"/>
        <v>500</v>
      </c>
      <c r="P456" s="54"/>
      <c r="Q456" s="54"/>
      <c r="R456" s="81">
        <f t="shared" si="220"/>
        <v>323.93280085197</v>
      </c>
      <c r="S456" s="81"/>
      <c r="T456" s="82">
        <f t="shared" si="221"/>
        <v>1.12148562300319</v>
      </c>
      <c r="U456" s="81"/>
      <c r="V456" s="81"/>
      <c r="W456" s="83">
        <f t="shared" si="218"/>
        <v>325.054286474973</v>
      </c>
      <c r="X456" s="84">
        <f t="shared" si="222"/>
        <v>6.02384984025559</v>
      </c>
      <c r="Y456" s="84"/>
      <c r="Z456" s="84"/>
      <c r="AA456" s="84">
        <f t="shared" si="219"/>
        <v>6.02384984025559</v>
      </c>
      <c r="AB456" s="94">
        <v>7.17</v>
      </c>
      <c r="AC456" s="81">
        <f t="shared" si="216"/>
        <v>43.1910033546326</v>
      </c>
      <c r="AD456" s="81">
        <f t="shared" si="215"/>
        <v>368.245289829606</v>
      </c>
      <c r="AE456" s="81">
        <f t="shared" si="214"/>
        <v>131.754710170394</v>
      </c>
    </row>
    <row r="457" customFormat="1" spans="1:31">
      <c r="A457" s="19"/>
      <c r="B457" s="20"/>
      <c r="C457" s="21">
        <v>240111000004</v>
      </c>
      <c r="D457" s="22">
        <v>45307</v>
      </c>
      <c r="E457" s="22" t="s">
        <v>58</v>
      </c>
      <c r="F457" s="20" t="s">
        <v>59</v>
      </c>
      <c r="G457" s="20" t="s">
        <v>71</v>
      </c>
      <c r="H457" s="20">
        <v>0.92</v>
      </c>
      <c r="I457" s="43">
        <v>58</v>
      </c>
      <c r="J457" s="44"/>
      <c r="K457" s="45"/>
      <c r="L457" s="44"/>
      <c r="M457" s="46"/>
      <c r="N457" s="20"/>
      <c r="O457" s="48">
        <f t="shared" si="223"/>
        <v>58</v>
      </c>
      <c r="P457" s="54"/>
      <c r="Q457" s="54"/>
      <c r="R457" s="81">
        <f t="shared" si="220"/>
        <v>31.3703343982961</v>
      </c>
      <c r="S457" s="81"/>
      <c r="T457" s="82">
        <f t="shared" si="221"/>
        <v>0.108607028753994</v>
      </c>
      <c r="U457" s="81"/>
      <c r="V457" s="81"/>
      <c r="W457" s="83">
        <f t="shared" si="218"/>
        <v>31.4789414270501</v>
      </c>
      <c r="X457" s="84">
        <f t="shared" si="222"/>
        <v>0.583362300319489</v>
      </c>
      <c r="Y457" s="84"/>
      <c r="Z457" s="84"/>
      <c r="AA457" s="84">
        <f t="shared" si="219"/>
        <v>0.583362300319489</v>
      </c>
      <c r="AB457" s="94">
        <v>7.17</v>
      </c>
      <c r="AC457" s="81">
        <f t="shared" si="216"/>
        <v>4.18270769329073</v>
      </c>
      <c r="AD457" s="81">
        <f t="shared" si="215"/>
        <v>35.6616491203408</v>
      </c>
      <c r="AE457" s="81">
        <f t="shared" si="214"/>
        <v>22.3383508796592</v>
      </c>
    </row>
    <row r="458" customFormat="1" spans="1:31">
      <c r="A458" s="19"/>
      <c r="B458" s="20"/>
      <c r="C458" s="21">
        <v>240111000012</v>
      </c>
      <c r="D458" s="22">
        <v>45307</v>
      </c>
      <c r="E458" s="22" t="s">
        <v>49</v>
      </c>
      <c r="F458" s="20" t="s">
        <v>50</v>
      </c>
      <c r="G458" s="20" t="s">
        <v>360</v>
      </c>
      <c r="H458" s="20">
        <v>285.5</v>
      </c>
      <c r="I458" s="50"/>
      <c r="J458" s="51">
        <v>2937795</v>
      </c>
      <c r="K458" s="52"/>
      <c r="L458" s="51">
        <f>SUM(J458/M458)</f>
        <v>1505.70444516198</v>
      </c>
      <c r="M458" s="53">
        <v>1951.11</v>
      </c>
      <c r="N458" s="20">
        <v>7.17</v>
      </c>
      <c r="O458" s="48">
        <f>SUM(M458*N458)</f>
        <v>13989.4587</v>
      </c>
      <c r="P458" s="54"/>
      <c r="Q458" s="54"/>
      <c r="R458" s="81">
        <f t="shared" si="220"/>
        <v>9735.03312034079</v>
      </c>
      <c r="S458" s="81"/>
      <c r="T458" s="82">
        <f t="shared" si="221"/>
        <v>33.7035942492013</v>
      </c>
      <c r="U458" s="81"/>
      <c r="V458" s="81"/>
      <c r="W458" s="83">
        <f t="shared" si="218"/>
        <v>9768.73671458999</v>
      </c>
      <c r="X458" s="84">
        <f t="shared" si="222"/>
        <v>181.032539936102</v>
      </c>
      <c r="Y458" s="84"/>
      <c r="Z458" s="84"/>
      <c r="AA458" s="84">
        <f t="shared" si="219"/>
        <v>181.032539936102</v>
      </c>
      <c r="AB458" s="94">
        <v>7.17</v>
      </c>
      <c r="AC458" s="81">
        <f t="shared" si="216"/>
        <v>1298.00331134185</v>
      </c>
      <c r="AD458" s="81">
        <f t="shared" si="215"/>
        <v>11066.7400259318</v>
      </c>
      <c r="AE458" s="81">
        <f t="shared" si="214"/>
        <v>2922.7186740682</v>
      </c>
    </row>
    <row r="459" customFormat="1" spans="1:31">
      <c r="A459" s="19"/>
      <c r="B459" s="20"/>
      <c r="C459" s="21">
        <v>240111000014</v>
      </c>
      <c r="D459" s="22">
        <v>45307</v>
      </c>
      <c r="E459" s="22" t="s">
        <v>37</v>
      </c>
      <c r="F459" s="20" t="s">
        <v>38</v>
      </c>
      <c r="G459" s="20" t="s">
        <v>244</v>
      </c>
      <c r="H459" s="20">
        <v>3.5</v>
      </c>
      <c r="I459" s="43">
        <v>195.5</v>
      </c>
      <c r="J459" s="44"/>
      <c r="K459" s="45"/>
      <c r="L459" s="44"/>
      <c r="M459" s="46"/>
      <c r="N459" s="20"/>
      <c r="O459" s="48">
        <f t="shared" ref="O459:O464" si="224">SUM(I459)</f>
        <v>195.5</v>
      </c>
      <c r="P459" s="54"/>
      <c r="Q459" s="54"/>
      <c r="R459" s="81">
        <f t="shared" si="220"/>
        <v>119.343663471778</v>
      </c>
      <c r="S459" s="81"/>
      <c r="T459" s="82">
        <f t="shared" si="221"/>
        <v>0.413178913738019</v>
      </c>
      <c r="U459" s="81"/>
      <c r="V459" s="81"/>
      <c r="W459" s="83">
        <f t="shared" si="218"/>
        <v>119.756842385517</v>
      </c>
      <c r="X459" s="84">
        <f t="shared" si="222"/>
        <v>2.21931309904153</v>
      </c>
      <c r="Y459" s="84"/>
      <c r="Z459" s="84"/>
      <c r="AA459" s="84">
        <f t="shared" si="219"/>
        <v>2.21931309904153</v>
      </c>
      <c r="AB459" s="94">
        <v>7.17</v>
      </c>
      <c r="AC459" s="81">
        <f t="shared" si="216"/>
        <v>15.9124749201278</v>
      </c>
      <c r="AD459" s="81">
        <f t="shared" si="215"/>
        <v>135.669317305644</v>
      </c>
      <c r="AE459" s="81">
        <f t="shared" si="214"/>
        <v>59.830682694356</v>
      </c>
    </row>
    <row r="460" customFormat="1" spans="1:31">
      <c r="A460" s="19"/>
      <c r="B460" s="20"/>
      <c r="C460" s="21">
        <v>240111000016</v>
      </c>
      <c r="D460" s="22">
        <v>45307</v>
      </c>
      <c r="E460" s="22" t="s">
        <v>37</v>
      </c>
      <c r="F460" s="20" t="s">
        <v>38</v>
      </c>
      <c r="G460" s="20" t="s">
        <v>361</v>
      </c>
      <c r="H460" s="20">
        <v>29.5</v>
      </c>
      <c r="I460" s="43">
        <v>1483</v>
      </c>
      <c r="J460" s="44"/>
      <c r="K460" s="45"/>
      <c r="L460" s="44"/>
      <c r="M460" s="46"/>
      <c r="N460" s="20"/>
      <c r="O460" s="48">
        <f t="shared" si="224"/>
        <v>1483</v>
      </c>
      <c r="P460" s="54"/>
      <c r="Q460" s="54"/>
      <c r="R460" s="81">
        <f t="shared" si="220"/>
        <v>1005.89659211928</v>
      </c>
      <c r="S460" s="81"/>
      <c r="T460" s="82">
        <f t="shared" si="221"/>
        <v>3.48250798722045</v>
      </c>
      <c r="U460" s="81"/>
      <c r="V460" s="81"/>
      <c r="W460" s="83">
        <f t="shared" si="218"/>
        <v>1009.3791001065</v>
      </c>
      <c r="X460" s="84">
        <f t="shared" si="222"/>
        <v>18.7056389776358</v>
      </c>
      <c r="Y460" s="84"/>
      <c r="Z460" s="84"/>
      <c r="AA460" s="84">
        <f t="shared" si="219"/>
        <v>18.7056389776358</v>
      </c>
      <c r="AB460" s="94">
        <v>7.17</v>
      </c>
      <c r="AC460" s="81">
        <f t="shared" si="216"/>
        <v>134.119431469649</v>
      </c>
      <c r="AD460" s="81">
        <f t="shared" si="215"/>
        <v>1143.49853157614</v>
      </c>
      <c r="AE460" s="81">
        <f t="shared" si="214"/>
        <v>339.50146842386</v>
      </c>
    </row>
    <row r="461" customFormat="1" spans="1:31">
      <c r="A461" s="19"/>
      <c r="B461" s="20"/>
      <c r="C461" s="21">
        <v>240111000017</v>
      </c>
      <c r="D461" s="22">
        <v>45307</v>
      </c>
      <c r="E461" s="22" t="s">
        <v>37</v>
      </c>
      <c r="F461" s="20" t="s">
        <v>38</v>
      </c>
      <c r="G461" s="20" t="s">
        <v>293</v>
      </c>
      <c r="H461" s="20">
        <v>30.5</v>
      </c>
      <c r="I461" s="43">
        <v>1311.5</v>
      </c>
      <c r="J461" s="44"/>
      <c r="K461" s="45"/>
      <c r="L461" s="44"/>
      <c r="M461" s="46"/>
      <c r="N461" s="20"/>
      <c r="O461" s="48">
        <f t="shared" si="224"/>
        <v>1311.5</v>
      </c>
      <c r="P461" s="54"/>
      <c r="Q461" s="54"/>
      <c r="R461" s="81">
        <f t="shared" si="220"/>
        <v>1039.99478168264</v>
      </c>
      <c r="S461" s="81"/>
      <c r="T461" s="82">
        <f t="shared" si="221"/>
        <v>3.60055910543131</v>
      </c>
      <c r="U461" s="81"/>
      <c r="V461" s="81"/>
      <c r="W461" s="83">
        <f t="shared" si="218"/>
        <v>1043.59534078807</v>
      </c>
      <c r="X461" s="84">
        <f t="shared" si="222"/>
        <v>19.3397284345048</v>
      </c>
      <c r="Y461" s="84"/>
      <c r="Z461" s="84"/>
      <c r="AA461" s="84">
        <f t="shared" si="219"/>
        <v>19.3397284345048</v>
      </c>
      <c r="AB461" s="94">
        <v>7.17</v>
      </c>
      <c r="AC461" s="81">
        <f t="shared" si="216"/>
        <v>138.665852875399</v>
      </c>
      <c r="AD461" s="81">
        <f t="shared" si="215"/>
        <v>1182.26119366347</v>
      </c>
      <c r="AE461" s="81">
        <f t="shared" si="214"/>
        <v>129.23880633653</v>
      </c>
    </row>
    <row r="462" customFormat="1" spans="1:31">
      <c r="A462" s="19"/>
      <c r="B462" s="20"/>
      <c r="C462" s="21">
        <v>240111000019</v>
      </c>
      <c r="D462" s="22">
        <v>45307</v>
      </c>
      <c r="E462" s="22" t="s">
        <v>49</v>
      </c>
      <c r="F462" s="20" t="s">
        <v>50</v>
      </c>
      <c r="G462" s="20" t="s">
        <v>303</v>
      </c>
      <c r="H462" s="20">
        <v>11</v>
      </c>
      <c r="I462" s="43">
        <v>550</v>
      </c>
      <c r="J462" s="44"/>
      <c r="K462" s="45"/>
      <c r="L462" s="44"/>
      <c r="M462" s="46"/>
      <c r="N462" s="20"/>
      <c r="O462" s="48">
        <f t="shared" si="224"/>
        <v>550</v>
      </c>
      <c r="P462" s="54"/>
      <c r="Q462" s="54"/>
      <c r="R462" s="81">
        <f t="shared" si="220"/>
        <v>375.080085197018</v>
      </c>
      <c r="S462" s="81"/>
      <c r="T462" s="82">
        <f t="shared" si="221"/>
        <v>1.29856230031949</v>
      </c>
      <c r="U462" s="81"/>
      <c r="V462" s="81"/>
      <c r="W462" s="83">
        <f t="shared" si="218"/>
        <v>376.378647497338</v>
      </c>
      <c r="X462" s="84">
        <f t="shared" si="222"/>
        <v>6.97498402555911</v>
      </c>
      <c r="Y462" s="84"/>
      <c r="Z462" s="84"/>
      <c r="AA462" s="84">
        <f t="shared" si="219"/>
        <v>6.97498402555911</v>
      </c>
      <c r="AB462" s="94">
        <v>7.17</v>
      </c>
      <c r="AC462" s="81">
        <f t="shared" si="216"/>
        <v>50.0106354632588</v>
      </c>
      <c r="AD462" s="81">
        <f t="shared" si="215"/>
        <v>426.389282960596</v>
      </c>
      <c r="AE462" s="81">
        <f t="shared" si="214"/>
        <v>123.610717039404</v>
      </c>
    </row>
    <row r="463" customFormat="1" spans="1:31">
      <c r="A463" s="19"/>
      <c r="B463" s="20"/>
      <c r="C463" s="21">
        <v>240111000026</v>
      </c>
      <c r="D463" s="22">
        <v>45307</v>
      </c>
      <c r="E463" s="22" t="s">
        <v>37</v>
      </c>
      <c r="F463" s="20" t="s">
        <v>362</v>
      </c>
      <c r="G463" s="20" t="s">
        <v>363</v>
      </c>
      <c r="H463" s="20">
        <v>8</v>
      </c>
      <c r="I463" s="43">
        <v>422</v>
      </c>
      <c r="J463" s="44"/>
      <c r="K463" s="45"/>
      <c r="L463" s="44"/>
      <c r="M463" s="46"/>
      <c r="N463" s="20"/>
      <c r="O463" s="48">
        <f t="shared" si="224"/>
        <v>422</v>
      </c>
      <c r="P463" s="54"/>
      <c r="Q463" s="54"/>
      <c r="R463" s="81">
        <f t="shared" si="220"/>
        <v>272.785516506922</v>
      </c>
      <c r="S463" s="81"/>
      <c r="T463" s="82">
        <f t="shared" si="221"/>
        <v>0.944408945686901</v>
      </c>
      <c r="U463" s="81"/>
      <c r="V463" s="81"/>
      <c r="W463" s="83">
        <f t="shared" si="218"/>
        <v>273.729925452609</v>
      </c>
      <c r="X463" s="84">
        <f t="shared" si="222"/>
        <v>5.07271565495208</v>
      </c>
      <c r="Y463" s="84"/>
      <c r="Z463" s="84"/>
      <c r="AA463" s="84">
        <f t="shared" si="219"/>
        <v>5.07271565495208</v>
      </c>
      <c r="AB463" s="94">
        <v>7.17</v>
      </c>
      <c r="AC463" s="81">
        <f t="shared" si="216"/>
        <v>36.3713712460064</v>
      </c>
      <c r="AD463" s="81">
        <f t="shared" si="215"/>
        <v>310.101296698616</v>
      </c>
      <c r="AE463" s="81">
        <f t="shared" si="214"/>
        <v>111.898703301384</v>
      </c>
    </row>
    <row r="464" customFormat="1" spans="1:31">
      <c r="A464" s="19"/>
      <c r="B464" s="20"/>
      <c r="C464" s="21">
        <v>240111000034</v>
      </c>
      <c r="D464" s="22">
        <v>45307</v>
      </c>
      <c r="E464" s="22" t="s">
        <v>37</v>
      </c>
      <c r="F464" s="20" t="s">
        <v>203</v>
      </c>
      <c r="G464" s="20" t="s">
        <v>122</v>
      </c>
      <c r="H464" s="20">
        <v>2.5</v>
      </c>
      <c r="I464" s="43">
        <v>112.5</v>
      </c>
      <c r="J464" s="44"/>
      <c r="K464" s="45"/>
      <c r="L464" s="44"/>
      <c r="M464" s="46"/>
      <c r="N464" s="20"/>
      <c r="O464" s="48">
        <f t="shared" si="224"/>
        <v>112.5</v>
      </c>
      <c r="P464" s="54"/>
      <c r="Q464" s="54"/>
      <c r="R464" s="81">
        <f t="shared" si="220"/>
        <v>85.2454739084132</v>
      </c>
      <c r="S464" s="81"/>
      <c r="T464" s="82">
        <f t="shared" si="221"/>
        <v>0.295127795527157</v>
      </c>
      <c r="U464" s="81"/>
      <c r="V464" s="81"/>
      <c r="W464" s="83">
        <f t="shared" si="218"/>
        <v>85.5406017039404</v>
      </c>
      <c r="X464" s="84">
        <f t="shared" si="222"/>
        <v>1.58522364217252</v>
      </c>
      <c r="Y464" s="84"/>
      <c r="Z464" s="84"/>
      <c r="AA464" s="84">
        <f t="shared" si="219"/>
        <v>1.58522364217252</v>
      </c>
      <c r="AB464" s="94">
        <v>7.17</v>
      </c>
      <c r="AC464" s="81">
        <f t="shared" si="216"/>
        <v>11.366053514377</v>
      </c>
      <c r="AD464" s="81">
        <f t="shared" si="215"/>
        <v>96.9066552183174</v>
      </c>
      <c r="AE464" s="81">
        <f t="shared" si="214"/>
        <v>15.5933447816826</v>
      </c>
    </row>
    <row r="465" customFormat="1" spans="1:31">
      <c r="A465" s="19"/>
      <c r="B465" s="20"/>
      <c r="C465" s="21">
        <v>240111000035</v>
      </c>
      <c r="D465" s="22">
        <v>45307</v>
      </c>
      <c r="E465" s="22" t="s">
        <v>44</v>
      </c>
      <c r="F465" s="20" t="s">
        <v>45</v>
      </c>
      <c r="G465" s="20" t="s">
        <v>56</v>
      </c>
      <c r="H465" s="20">
        <v>0.13</v>
      </c>
      <c r="I465" s="48"/>
      <c r="J465" s="55">
        <v>11020</v>
      </c>
      <c r="K465" s="56"/>
      <c r="L465" s="51">
        <f>SUM(J465/M465)</f>
        <v>1360.49382716049</v>
      </c>
      <c r="M465" s="53">
        <v>8.1</v>
      </c>
      <c r="N465" s="20">
        <v>7.17</v>
      </c>
      <c r="O465" s="48">
        <f>SUM(M465*N465)</f>
        <v>58.077</v>
      </c>
      <c r="P465" s="54"/>
      <c r="Q465" s="54"/>
      <c r="R465" s="81">
        <f t="shared" si="220"/>
        <v>4.43276464323749</v>
      </c>
      <c r="S465" s="81"/>
      <c r="T465" s="82">
        <f t="shared" si="221"/>
        <v>0.0153466453674121</v>
      </c>
      <c r="U465" s="81"/>
      <c r="V465" s="81"/>
      <c r="W465" s="83">
        <f t="shared" si="218"/>
        <v>4.4481112886049</v>
      </c>
      <c r="X465" s="84">
        <f t="shared" si="222"/>
        <v>0.0824316293929712</v>
      </c>
      <c r="Y465" s="84"/>
      <c r="Z465" s="84"/>
      <c r="AA465" s="84">
        <f t="shared" si="219"/>
        <v>0.0824316293929712</v>
      </c>
      <c r="AB465" s="94">
        <v>7.17</v>
      </c>
      <c r="AC465" s="81">
        <f t="shared" si="216"/>
        <v>0.591034782747604</v>
      </c>
      <c r="AD465" s="81">
        <f t="shared" si="215"/>
        <v>5.0391460713525</v>
      </c>
      <c r="AE465" s="81">
        <f t="shared" si="214"/>
        <v>53.0378539286475</v>
      </c>
    </row>
    <row r="466" customFormat="1" spans="1:31">
      <c r="A466" s="19"/>
      <c r="B466" s="20"/>
      <c r="C466" s="21">
        <v>240111000038</v>
      </c>
      <c r="D466" s="22">
        <v>45307</v>
      </c>
      <c r="E466" s="22" t="s">
        <v>37</v>
      </c>
      <c r="F466" s="20" t="s">
        <v>38</v>
      </c>
      <c r="G466" s="20" t="s">
        <v>364</v>
      </c>
      <c r="H466" s="20">
        <v>13</v>
      </c>
      <c r="I466" s="43">
        <v>682</v>
      </c>
      <c r="J466" s="44"/>
      <c r="K466" s="45"/>
      <c r="L466" s="44"/>
      <c r="M466" s="46"/>
      <c r="N466" s="20"/>
      <c r="O466" s="48">
        <f t="shared" ref="O466:O469" si="225">SUM(I466)</f>
        <v>682</v>
      </c>
      <c r="P466" s="54"/>
      <c r="Q466" s="54"/>
      <c r="R466" s="81">
        <f t="shared" si="220"/>
        <v>443.276464323749</v>
      </c>
      <c r="S466" s="81"/>
      <c r="T466" s="82">
        <f t="shared" si="221"/>
        <v>1.53466453674121</v>
      </c>
      <c r="U466" s="81"/>
      <c r="V466" s="81"/>
      <c r="W466" s="83">
        <f t="shared" si="218"/>
        <v>444.81112886049</v>
      </c>
      <c r="X466" s="84">
        <f t="shared" si="222"/>
        <v>8.24316293929712</v>
      </c>
      <c r="Y466" s="84"/>
      <c r="Z466" s="84"/>
      <c r="AA466" s="84">
        <f t="shared" si="219"/>
        <v>8.24316293929712</v>
      </c>
      <c r="AB466" s="94">
        <v>7.17</v>
      </c>
      <c r="AC466" s="81">
        <f t="shared" si="216"/>
        <v>59.1034782747604</v>
      </c>
      <c r="AD466" s="81">
        <f t="shared" si="215"/>
        <v>503.91460713525</v>
      </c>
      <c r="AE466" s="81">
        <f t="shared" si="214"/>
        <v>178.08539286475</v>
      </c>
    </row>
    <row r="467" customFormat="1" spans="1:31">
      <c r="A467" s="19"/>
      <c r="B467" s="20"/>
      <c r="C467" s="21">
        <v>240111000040</v>
      </c>
      <c r="D467" s="22">
        <v>45307</v>
      </c>
      <c r="E467" s="22" t="s">
        <v>110</v>
      </c>
      <c r="F467" s="20" t="s">
        <v>111</v>
      </c>
      <c r="G467" s="20" t="s">
        <v>365</v>
      </c>
      <c r="H467" s="20">
        <v>161</v>
      </c>
      <c r="I467" s="43">
        <v>7084</v>
      </c>
      <c r="J467" s="44"/>
      <c r="K467" s="45"/>
      <c r="L467" s="44"/>
      <c r="M467" s="46"/>
      <c r="N467" s="20"/>
      <c r="O467" s="48">
        <f t="shared" si="225"/>
        <v>7084</v>
      </c>
      <c r="P467" s="54"/>
      <c r="Q467" s="54"/>
      <c r="R467" s="81">
        <f t="shared" si="220"/>
        <v>5489.80851970181</v>
      </c>
      <c r="S467" s="81"/>
      <c r="T467" s="82">
        <f t="shared" si="221"/>
        <v>19.0062300319489</v>
      </c>
      <c r="U467" s="81"/>
      <c r="V467" s="81"/>
      <c r="W467" s="83">
        <f t="shared" si="218"/>
        <v>5508.81474973376</v>
      </c>
      <c r="X467" s="84">
        <f t="shared" si="222"/>
        <v>102.088402555911</v>
      </c>
      <c r="Y467" s="84"/>
      <c r="Z467" s="84"/>
      <c r="AA467" s="84">
        <f t="shared" si="219"/>
        <v>102.088402555911</v>
      </c>
      <c r="AB467" s="94">
        <v>7.17</v>
      </c>
      <c r="AC467" s="81">
        <f t="shared" si="216"/>
        <v>731.973846325879</v>
      </c>
      <c r="AD467" s="81">
        <f t="shared" si="215"/>
        <v>6240.78859605964</v>
      </c>
      <c r="AE467" s="81">
        <f t="shared" si="214"/>
        <v>843.21140394036</v>
      </c>
    </row>
    <row r="468" customFormat="1" spans="1:31">
      <c r="A468" s="19"/>
      <c r="B468" s="20"/>
      <c r="C468" s="21">
        <v>240111000043</v>
      </c>
      <c r="D468" s="22">
        <v>45307</v>
      </c>
      <c r="E468" s="22" t="s">
        <v>37</v>
      </c>
      <c r="F468" s="20" t="s">
        <v>38</v>
      </c>
      <c r="G468" s="20" t="s">
        <v>366</v>
      </c>
      <c r="H468" s="20">
        <v>18.5</v>
      </c>
      <c r="I468" s="43">
        <v>1219</v>
      </c>
      <c r="J468" s="44"/>
      <c r="K468" s="45"/>
      <c r="L468" s="44"/>
      <c r="M468" s="46"/>
      <c r="N468" s="20"/>
      <c r="O468" s="48">
        <f t="shared" si="225"/>
        <v>1219</v>
      </c>
      <c r="P468" s="54"/>
      <c r="Q468" s="54"/>
      <c r="R468" s="81">
        <f t="shared" si="220"/>
        <v>630.816506922258</v>
      </c>
      <c r="S468" s="81"/>
      <c r="T468" s="82">
        <f t="shared" si="221"/>
        <v>2.18394568690096</v>
      </c>
      <c r="U468" s="81"/>
      <c r="V468" s="82">
        <v>146</v>
      </c>
      <c r="W468" s="83">
        <f t="shared" si="218"/>
        <v>779.000452609159</v>
      </c>
      <c r="X468" s="84">
        <f t="shared" si="222"/>
        <v>11.7306549520767</v>
      </c>
      <c r="Y468" s="84"/>
      <c r="Z468" s="84"/>
      <c r="AA468" s="84">
        <f t="shared" si="219"/>
        <v>11.7306549520767</v>
      </c>
      <c r="AB468" s="94">
        <v>7.17</v>
      </c>
      <c r="AC468" s="81">
        <f t="shared" si="216"/>
        <v>84.1087960063898</v>
      </c>
      <c r="AD468" s="81">
        <f t="shared" si="215"/>
        <v>863.109248615548</v>
      </c>
      <c r="AE468" s="81">
        <f t="shared" si="214"/>
        <v>355.890751384452</v>
      </c>
    </row>
    <row r="469" customFormat="1" spans="1:31">
      <c r="A469" s="19"/>
      <c r="B469" s="20"/>
      <c r="C469" s="21">
        <v>240111000045</v>
      </c>
      <c r="D469" s="22">
        <v>45307</v>
      </c>
      <c r="E469" s="22" t="s">
        <v>37</v>
      </c>
      <c r="F469" s="20" t="s">
        <v>203</v>
      </c>
      <c r="G469" s="20" t="s">
        <v>122</v>
      </c>
      <c r="H469" s="20">
        <v>23</v>
      </c>
      <c r="I469" s="43">
        <v>1035</v>
      </c>
      <c r="J469" s="44"/>
      <c r="K469" s="45"/>
      <c r="L469" s="44"/>
      <c r="M469" s="46"/>
      <c r="N469" s="20"/>
      <c r="O469" s="48">
        <f t="shared" si="225"/>
        <v>1035</v>
      </c>
      <c r="P469" s="54"/>
      <c r="Q469" s="54"/>
      <c r="R469" s="81">
        <f t="shared" si="220"/>
        <v>784.258359957401</v>
      </c>
      <c r="S469" s="81"/>
      <c r="T469" s="82">
        <f t="shared" si="221"/>
        <v>2.71517571884984</v>
      </c>
      <c r="U469" s="81"/>
      <c r="V469" s="81"/>
      <c r="W469" s="83">
        <f t="shared" si="218"/>
        <v>786.973535676251</v>
      </c>
      <c r="X469" s="84">
        <f t="shared" si="222"/>
        <v>14.5840575079872</v>
      </c>
      <c r="Y469" s="84"/>
      <c r="Z469" s="84"/>
      <c r="AA469" s="84">
        <f t="shared" si="219"/>
        <v>14.5840575079872</v>
      </c>
      <c r="AB469" s="94">
        <v>7.17</v>
      </c>
      <c r="AC469" s="81">
        <f t="shared" si="216"/>
        <v>104.567692332268</v>
      </c>
      <c r="AD469" s="81">
        <f t="shared" si="215"/>
        <v>891.54122800852</v>
      </c>
      <c r="AE469" s="81">
        <f t="shared" si="214"/>
        <v>143.45877199148</v>
      </c>
    </row>
    <row r="470" customFormat="1" spans="1:31">
      <c r="A470" s="19"/>
      <c r="B470" s="20"/>
      <c r="C470" s="21">
        <v>240111000047</v>
      </c>
      <c r="D470" s="22">
        <v>45307</v>
      </c>
      <c r="E470" s="22" t="s">
        <v>49</v>
      </c>
      <c r="F470" s="20" t="s">
        <v>50</v>
      </c>
      <c r="G470" s="20" t="s">
        <v>219</v>
      </c>
      <c r="H470" s="20">
        <v>3</v>
      </c>
      <c r="I470" s="48"/>
      <c r="J470" s="55">
        <v>32447</v>
      </c>
      <c r="K470" s="56"/>
      <c r="L470" s="51">
        <f>SUM(J470/M470)</f>
        <v>1380.72340425532</v>
      </c>
      <c r="M470" s="53">
        <v>23.5</v>
      </c>
      <c r="N470" s="20">
        <v>7.17</v>
      </c>
      <c r="O470" s="48">
        <f t="shared" ref="O470:O474" si="226">SUM(M470*N470)</f>
        <v>168.495</v>
      </c>
      <c r="P470" s="54"/>
      <c r="Q470" s="54"/>
      <c r="R470" s="81">
        <f t="shared" si="220"/>
        <v>102.294568690096</v>
      </c>
      <c r="S470" s="81"/>
      <c r="T470" s="82">
        <f t="shared" si="221"/>
        <v>0.354153354632588</v>
      </c>
      <c r="U470" s="81"/>
      <c r="V470" s="81"/>
      <c r="W470" s="83">
        <f t="shared" si="218"/>
        <v>102.648722044728</v>
      </c>
      <c r="X470" s="84">
        <f t="shared" si="222"/>
        <v>1.90226837060703</v>
      </c>
      <c r="Y470" s="84"/>
      <c r="Z470" s="84"/>
      <c r="AA470" s="84">
        <f t="shared" si="219"/>
        <v>1.90226837060703</v>
      </c>
      <c r="AB470" s="94">
        <v>7.17</v>
      </c>
      <c r="AC470" s="81">
        <f t="shared" si="216"/>
        <v>13.6392642172524</v>
      </c>
      <c r="AD470" s="81">
        <f t="shared" si="215"/>
        <v>116.287986261981</v>
      </c>
      <c r="AE470" s="81">
        <f t="shared" si="214"/>
        <v>52.207013738019</v>
      </c>
    </row>
    <row r="471" customFormat="1" spans="1:31">
      <c r="A471" s="19"/>
      <c r="B471" s="20"/>
      <c r="C471" s="21">
        <v>240112000001</v>
      </c>
      <c r="D471" s="22">
        <v>45307</v>
      </c>
      <c r="E471" s="22" t="s">
        <v>99</v>
      </c>
      <c r="F471" s="20" t="s">
        <v>100</v>
      </c>
      <c r="G471" s="20" t="s">
        <v>367</v>
      </c>
      <c r="H471" s="20">
        <v>19</v>
      </c>
      <c r="I471" s="48"/>
      <c r="J471" s="55">
        <v>195595</v>
      </c>
      <c r="K471" s="56"/>
      <c r="L471" s="51">
        <f>SUM(J471/M471)</f>
        <v>1382.00381544549</v>
      </c>
      <c r="M471" s="53">
        <v>141.53</v>
      </c>
      <c r="N471" s="20">
        <v>7.17</v>
      </c>
      <c r="O471" s="48">
        <f t="shared" si="226"/>
        <v>1014.7701</v>
      </c>
      <c r="P471" s="54"/>
      <c r="Q471" s="54"/>
      <c r="R471" s="81">
        <f t="shared" si="220"/>
        <v>647.86560170394</v>
      </c>
      <c r="S471" s="81"/>
      <c r="T471" s="82">
        <f t="shared" si="221"/>
        <v>2.24297124600639</v>
      </c>
      <c r="U471" s="81">
        <v>40</v>
      </c>
      <c r="V471" s="81"/>
      <c r="W471" s="83">
        <f t="shared" si="218"/>
        <v>690.108572949947</v>
      </c>
      <c r="X471" s="84">
        <f t="shared" si="222"/>
        <v>12.0476996805112</v>
      </c>
      <c r="Y471" s="84"/>
      <c r="Z471" s="84"/>
      <c r="AA471" s="84">
        <f t="shared" si="219"/>
        <v>12.0476996805112</v>
      </c>
      <c r="AB471" s="94">
        <v>7.17</v>
      </c>
      <c r="AC471" s="81">
        <f t="shared" si="216"/>
        <v>86.3820067092652</v>
      </c>
      <c r="AD471" s="81">
        <f t="shared" si="215"/>
        <v>776.490579659212</v>
      </c>
      <c r="AE471" s="81">
        <f t="shared" si="214"/>
        <v>238.279520340788</v>
      </c>
    </row>
    <row r="472" customFormat="1" spans="1:31">
      <c r="A472" s="19"/>
      <c r="B472" s="20"/>
      <c r="C472" s="21">
        <v>240112000002</v>
      </c>
      <c r="D472" s="22">
        <v>45307</v>
      </c>
      <c r="E472" s="22" t="s">
        <v>44</v>
      </c>
      <c r="F472" s="20" t="s">
        <v>73</v>
      </c>
      <c r="G472" s="20" t="s">
        <v>74</v>
      </c>
      <c r="H472" s="20">
        <v>8.5</v>
      </c>
      <c r="I472" s="48"/>
      <c r="J472" s="55">
        <v>84785</v>
      </c>
      <c r="K472" s="56"/>
      <c r="L472" s="51">
        <f>SUM(J472/M472)</f>
        <v>1381.98859005705</v>
      </c>
      <c r="M472" s="53">
        <v>61.35</v>
      </c>
      <c r="N472" s="20">
        <v>7.17</v>
      </c>
      <c r="O472" s="48">
        <f t="shared" si="226"/>
        <v>439.8795</v>
      </c>
      <c r="P472" s="54"/>
      <c r="Q472" s="54"/>
      <c r="R472" s="81">
        <f t="shared" si="220"/>
        <v>289.834611288605</v>
      </c>
      <c r="S472" s="81"/>
      <c r="T472" s="82">
        <f t="shared" si="221"/>
        <v>1.00343450479233</v>
      </c>
      <c r="U472" s="81"/>
      <c r="V472" s="81"/>
      <c r="W472" s="83">
        <f t="shared" si="218"/>
        <v>290.838045793397</v>
      </c>
      <c r="X472" s="84">
        <f t="shared" si="222"/>
        <v>5.38976038338658</v>
      </c>
      <c r="Y472" s="84"/>
      <c r="Z472" s="84"/>
      <c r="AA472" s="84">
        <f t="shared" si="219"/>
        <v>5.38976038338658</v>
      </c>
      <c r="AB472" s="94">
        <v>7.17</v>
      </c>
      <c r="AC472" s="81">
        <f t="shared" si="216"/>
        <v>38.6445819488818</v>
      </c>
      <c r="AD472" s="81">
        <f t="shared" si="215"/>
        <v>329.482627742279</v>
      </c>
      <c r="AE472" s="81">
        <f t="shared" si="214"/>
        <v>110.396872257721</v>
      </c>
    </row>
    <row r="473" customFormat="1" spans="1:31">
      <c r="A473" s="19"/>
      <c r="B473" s="20"/>
      <c r="C473" s="23">
        <v>240112000005</v>
      </c>
      <c r="D473" s="24">
        <v>45307</v>
      </c>
      <c r="E473" s="22" t="s">
        <v>49</v>
      </c>
      <c r="F473" s="26" t="s">
        <v>50</v>
      </c>
      <c r="G473" s="26" t="s">
        <v>215</v>
      </c>
      <c r="H473" s="26">
        <v>312.5</v>
      </c>
      <c r="I473" s="50"/>
      <c r="J473" s="51">
        <v>2835312.5</v>
      </c>
      <c r="K473" s="52"/>
      <c r="L473" s="51">
        <f>SUM(J473/M473)</f>
        <v>1512.87671013596</v>
      </c>
      <c r="M473" s="53">
        <v>1874.12</v>
      </c>
      <c r="N473" s="20">
        <v>7.17</v>
      </c>
      <c r="O473" s="48">
        <f t="shared" si="226"/>
        <v>13437.4404</v>
      </c>
      <c r="P473" s="54"/>
      <c r="Q473" s="54"/>
      <c r="R473" s="81">
        <f t="shared" si="220"/>
        <v>10655.6842385517</v>
      </c>
      <c r="S473" s="81"/>
      <c r="T473" s="82">
        <f t="shared" si="221"/>
        <v>36.8909744408946</v>
      </c>
      <c r="U473" s="81"/>
      <c r="V473" s="81"/>
      <c r="W473" s="83">
        <f t="shared" si="218"/>
        <v>10692.5752129925</v>
      </c>
      <c r="X473" s="84">
        <f t="shared" si="222"/>
        <v>198.152955271565</v>
      </c>
      <c r="Y473" s="84"/>
      <c r="Z473" s="84"/>
      <c r="AA473" s="84">
        <f t="shared" si="219"/>
        <v>198.152955271565</v>
      </c>
      <c r="AB473" s="94">
        <v>7.17</v>
      </c>
      <c r="AC473" s="81">
        <f t="shared" si="216"/>
        <v>1420.75668929712</v>
      </c>
      <c r="AD473" s="81">
        <f t="shared" si="215"/>
        <v>12113.3319022897</v>
      </c>
      <c r="AE473" s="81">
        <f t="shared" si="214"/>
        <v>1324.1084977103</v>
      </c>
    </row>
    <row r="474" customFormat="1" spans="1:31">
      <c r="A474" s="19"/>
      <c r="B474" s="20"/>
      <c r="C474" s="21">
        <v>240112000006</v>
      </c>
      <c r="D474" s="22">
        <v>45307</v>
      </c>
      <c r="E474" s="22" t="s">
        <v>44</v>
      </c>
      <c r="F474" s="20" t="s">
        <v>45</v>
      </c>
      <c r="G474" s="20" t="s">
        <v>56</v>
      </c>
      <c r="H474" s="20">
        <v>0.41</v>
      </c>
      <c r="I474" s="48"/>
      <c r="J474" s="55">
        <v>11020</v>
      </c>
      <c r="K474" s="56"/>
      <c r="L474" s="51">
        <f>SUM(J474/M474)</f>
        <v>1360.49382716049</v>
      </c>
      <c r="M474" s="53">
        <v>8.1</v>
      </c>
      <c r="N474" s="20">
        <v>7.17</v>
      </c>
      <c r="O474" s="48">
        <f t="shared" si="226"/>
        <v>58.077</v>
      </c>
      <c r="P474" s="54"/>
      <c r="Q474" s="54"/>
      <c r="R474" s="81">
        <f t="shared" si="220"/>
        <v>13.9802577209798</v>
      </c>
      <c r="S474" s="81"/>
      <c r="T474" s="82">
        <f t="shared" si="221"/>
        <v>0.0484009584664537</v>
      </c>
      <c r="U474" s="81"/>
      <c r="V474" s="81"/>
      <c r="W474" s="83">
        <f t="shared" si="218"/>
        <v>14.0286586794462</v>
      </c>
      <c r="X474" s="84">
        <f t="shared" si="222"/>
        <v>0.259976677316294</v>
      </c>
      <c r="Y474" s="84"/>
      <c r="Z474" s="84"/>
      <c r="AA474" s="84">
        <f t="shared" si="219"/>
        <v>0.259976677316294</v>
      </c>
      <c r="AB474" s="94">
        <v>7.17</v>
      </c>
      <c r="AC474" s="81">
        <f t="shared" si="216"/>
        <v>1.86403277635783</v>
      </c>
      <c r="AD474" s="81">
        <f t="shared" si="215"/>
        <v>15.892691455804</v>
      </c>
      <c r="AE474" s="81">
        <f t="shared" si="214"/>
        <v>42.184308544196</v>
      </c>
    </row>
    <row r="475" customFormat="1" spans="1:31">
      <c r="A475" s="19"/>
      <c r="B475" s="20"/>
      <c r="C475" s="21">
        <v>240112000008</v>
      </c>
      <c r="D475" s="22">
        <v>45307</v>
      </c>
      <c r="E475" s="22" t="s">
        <v>44</v>
      </c>
      <c r="F475" s="20" t="s">
        <v>45</v>
      </c>
      <c r="G475" s="20" t="s">
        <v>368</v>
      </c>
      <c r="H475" s="20">
        <v>1.5</v>
      </c>
      <c r="I475" s="43">
        <v>63</v>
      </c>
      <c r="J475" s="44"/>
      <c r="K475" s="45"/>
      <c r="L475" s="44"/>
      <c r="M475" s="46"/>
      <c r="N475" s="20"/>
      <c r="O475" s="48">
        <f t="shared" ref="O475:O495" si="227">SUM(I475)</f>
        <v>63</v>
      </c>
      <c r="P475" s="54"/>
      <c r="Q475" s="54"/>
      <c r="R475" s="81">
        <f t="shared" si="220"/>
        <v>51.1472843450479</v>
      </c>
      <c r="S475" s="81"/>
      <c r="T475" s="82">
        <f t="shared" si="221"/>
        <v>0.177076677316294</v>
      </c>
      <c r="U475" s="81"/>
      <c r="V475" s="81"/>
      <c r="W475" s="83">
        <f t="shared" si="218"/>
        <v>51.3243610223642</v>
      </c>
      <c r="X475" s="84">
        <f t="shared" si="222"/>
        <v>0.951134185303514</v>
      </c>
      <c r="Y475" s="84"/>
      <c r="Z475" s="84"/>
      <c r="AA475" s="84">
        <f t="shared" si="219"/>
        <v>0.951134185303514</v>
      </c>
      <c r="AB475" s="94">
        <v>7.17</v>
      </c>
      <c r="AC475" s="81">
        <f t="shared" si="216"/>
        <v>6.8196321086262</v>
      </c>
      <c r="AD475" s="81">
        <f t="shared" si="215"/>
        <v>58.1439931309904</v>
      </c>
      <c r="AE475" s="81">
        <f t="shared" si="214"/>
        <v>4.8560068690096</v>
      </c>
    </row>
    <row r="476" customFormat="1" spans="1:31">
      <c r="A476" s="19"/>
      <c r="B476" s="20"/>
      <c r="C476" s="21">
        <v>240112000010</v>
      </c>
      <c r="D476" s="22">
        <v>45307</v>
      </c>
      <c r="E476" s="22" t="s">
        <v>49</v>
      </c>
      <c r="F476" s="20" t="s">
        <v>50</v>
      </c>
      <c r="G476" s="20" t="s">
        <v>64</v>
      </c>
      <c r="H476" s="20">
        <v>1.5</v>
      </c>
      <c r="I476" s="43">
        <v>75</v>
      </c>
      <c r="J476" s="44"/>
      <c r="K476" s="45"/>
      <c r="L476" s="44"/>
      <c r="M476" s="46"/>
      <c r="N476" s="20"/>
      <c r="O476" s="48">
        <f t="shared" si="227"/>
        <v>75</v>
      </c>
      <c r="P476" s="54"/>
      <c r="Q476" s="54"/>
      <c r="R476" s="81">
        <f t="shared" si="220"/>
        <v>51.1472843450479</v>
      </c>
      <c r="S476" s="81"/>
      <c r="T476" s="82">
        <f t="shared" si="221"/>
        <v>0.177076677316294</v>
      </c>
      <c r="U476" s="81"/>
      <c r="V476" s="81"/>
      <c r="W476" s="83">
        <f t="shared" si="218"/>
        <v>51.3243610223642</v>
      </c>
      <c r="X476" s="84">
        <f t="shared" si="222"/>
        <v>0.951134185303514</v>
      </c>
      <c r="Y476" s="84"/>
      <c r="Z476" s="84"/>
      <c r="AA476" s="84">
        <f t="shared" si="219"/>
        <v>0.951134185303514</v>
      </c>
      <c r="AB476" s="94">
        <v>7.17</v>
      </c>
      <c r="AC476" s="81">
        <f t="shared" si="216"/>
        <v>6.8196321086262</v>
      </c>
      <c r="AD476" s="81">
        <f t="shared" si="215"/>
        <v>58.1439931309904</v>
      </c>
      <c r="AE476" s="81">
        <f t="shared" si="214"/>
        <v>16.8560068690096</v>
      </c>
    </row>
    <row r="477" customFormat="1" spans="1:31">
      <c r="A477" s="19"/>
      <c r="B477" s="20"/>
      <c r="C477" s="21">
        <v>240112000012</v>
      </c>
      <c r="D477" s="22">
        <v>45307</v>
      </c>
      <c r="E477" s="22" t="s">
        <v>37</v>
      </c>
      <c r="F477" s="20" t="s">
        <v>38</v>
      </c>
      <c r="G477" s="20" t="s">
        <v>226</v>
      </c>
      <c r="H477" s="20">
        <v>5</v>
      </c>
      <c r="I477" s="50"/>
      <c r="J477" s="51">
        <v>71600</v>
      </c>
      <c r="K477" s="52"/>
      <c r="L477" s="51">
        <f>SUM(J477/M477)</f>
        <v>1411.95030565963</v>
      </c>
      <c r="M477" s="53">
        <v>50.71</v>
      </c>
      <c r="N477" s="20">
        <v>7.17</v>
      </c>
      <c r="O477" s="48">
        <f>SUM(M477*N477)</f>
        <v>363.5907</v>
      </c>
      <c r="P477" s="54"/>
      <c r="Q477" s="54"/>
      <c r="R477" s="81">
        <f t="shared" si="220"/>
        <v>170.490947816826</v>
      </c>
      <c r="S477" s="81"/>
      <c r="T477" s="82">
        <f t="shared" si="221"/>
        <v>0.590255591054313</v>
      </c>
      <c r="U477" s="81"/>
      <c r="V477" s="81"/>
      <c r="W477" s="83">
        <f t="shared" si="218"/>
        <v>171.081203407881</v>
      </c>
      <c r="X477" s="84">
        <f t="shared" si="222"/>
        <v>3.17044728434505</v>
      </c>
      <c r="Y477" s="84"/>
      <c r="Z477" s="84"/>
      <c r="AA477" s="84">
        <f t="shared" si="219"/>
        <v>3.17044728434505</v>
      </c>
      <c r="AB477" s="94">
        <v>7.17</v>
      </c>
      <c r="AC477" s="81">
        <f t="shared" si="216"/>
        <v>22.732107028754</v>
      </c>
      <c r="AD477" s="81">
        <f t="shared" si="215"/>
        <v>193.813310436635</v>
      </c>
      <c r="AE477" s="81">
        <f t="shared" si="214"/>
        <v>169.777389563365</v>
      </c>
    </row>
    <row r="478" customFormat="1" spans="1:31">
      <c r="A478" s="19"/>
      <c r="B478" s="20"/>
      <c r="C478" s="21">
        <v>240112000014</v>
      </c>
      <c r="D478" s="22">
        <v>45307</v>
      </c>
      <c r="E478" s="22" t="s">
        <v>41</v>
      </c>
      <c r="F478" s="20" t="s">
        <v>42</v>
      </c>
      <c r="G478" s="20" t="s">
        <v>114</v>
      </c>
      <c r="H478" s="20">
        <v>0.63</v>
      </c>
      <c r="I478" s="43">
        <v>63</v>
      </c>
      <c r="J478" s="44"/>
      <c r="K478" s="45"/>
      <c r="L478" s="44"/>
      <c r="M478" s="46"/>
      <c r="N478" s="20"/>
      <c r="O478" s="48">
        <f t="shared" si="227"/>
        <v>63</v>
      </c>
      <c r="P478" s="54"/>
      <c r="Q478" s="54"/>
      <c r="R478" s="81">
        <f t="shared" si="220"/>
        <v>21.4818594249201</v>
      </c>
      <c r="S478" s="81"/>
      <c r="T478" s="82">
        <f t="shared" si="221"/>
        <v>0.0743722044728434</v>
      </c>
      <c r="U478" s="81"/>
      <c r="V478" s="81"/>
      <c r="W478" s="83">
        <f t="shared" si="218"/>
        <v>21.556231629393</v>
      </c>
      <c r="X478" s="84">
        <f t="shared" si="222"/>
        <v>0.399476357827476</v>
      </c>
      <c r="Y478" s="84"/>
      <c r="Z478" s="84"/>
      <c r="AA478" s="84">
        <f t="shared" si="219"/>
        <v>0.399476357827476</v>
      </c>
      <c r="AB478" s="94">
        <v>7.17</v>
      </c>
      <c r="AC478" s="81">
        <f t="shared" si="216"/>
        <v>2.864245485623</v>
      </c>
      <c r="AD478" s="81">
        <f t="shared" si="215"/>
        <v>24.420477115016</v>
      </c>
      <c r="AE478" s="81">
        <f t="shared" si="214"/>
        <v>38.579522884984</v>
      </c>
    </row>
    <row r="479" customFormat="1" spans="1:31">
      <c r="A479" s="19"/>
      <c r="B479" s="20"/>
      <c r="C479" s="21">
        <v>240112000021</v>
      </c>
      <c r="D479" s="22">
        <v>45307</v>
      </c>
      <c r="E479" s="22" t="s">
        <v>110</v>
      </c>
      <c r="F479" s="20" t="s">
        <v>111</v>
      </c>
      <c r="G479" s="20" t="s">
        <v>254</v>
      </c>
      <c r="H479" s="20">
        <v>10.5</v>
      </c>
      <c r="I479" s="43">
        <v>543</v>
      </c>
      <c r="J479" s="44"/>
      <c r="K479" s="45"/>
      <c r="L479" s="44"/>
      <c r="M479" s="46"/>
      <c r="N479" s="20"/>
      <c r="O479" s="48">
        <f t="shared" si="227"/>
        <v>543</v>
      </c>
      <c r="P479" s="54"/>
      <c r="Q479" s="54"/>
      <c r="R479" s="81">
        <f t="shared" si="220"/>
        <v>358.030990415335</v>
      </c>
      <c r="S479" s="81"/>
      <c r="T479" s="82">
        <f t="shared" si="221"/>
        <v>1.23953674121406</v>
      </c>
      <c r="U479" s="81"/>
      <c r="V479" s="81"/>
      <c r="W479" s="83">
        <f t="shared" si="218"/>
        <v>359.27052715655</v>
      </c>
      <c r="X479" s="84">
        <f t="shared" si="222"/>
        <v>6.6579392971246</v>
      </c>
      <c r="Y479" s="84"/>
      <c r="Z479" s="84"/>
      <c r="AA479" s="84">
        <f t="shared" si="219"/>
        <v>6.6579392971246</v>
      </c>
      <c r="AB479" s="94">
        <v>7.17</v>
      </c>
      <c r="AC479" s="81">
        <f t="shared" si="216"/>
        <v>47.7374247603834</v>
      </c>
      <c r="AD479" s="81">
        <f t="shared" si="215"/>
        <v>407.007951916933</v>
      </c>
      <c r="AE479" s="81">
        <f t="shared" si="214"/>
        <v>135.992048083067</v>
      </c>
    </row>
    <row r="480" customFormat="1" spans="1:31">
      <c r="A480" s="19"/>
      <c r="B480" s="20"/>
      <c r="C480" s="21">
        <v>240112000029</v>
      </c>
      <c r="D480" s="22">
        <v>45307</v>
      </c>
      <c r="E480" s="22" t="s">
        <v>37</v>
      </c>
      <c r="F480" s="20" t="s">
        <v>38</v>
      </c>
      <c r="G480" s="20" t="s">
        <v>218</v>
      </c>
      <c r="H480" s="20">
        <v>375.5</v>
      </c>
      <c r="I480" s="43">
        <v>16717.4</v>
      </c>
      <c r="J480" s="44"/>
      <c r="K480" s="45"/>
      <c r="L480" s="44"/>
      <c r="M480" s="46"/>
      <c r="N480" s="20"/>
      <c r="O480" s="48">
        <f t="shared" si="227"/>
        <v>16717.4</v>
      </c>
      <c r="P480" s="54"/>
      <c r="Q480" s="54"/>
      <c r="R480" s="81">
        <f t="shared" si="220"/>
        <v>12803.8701810437</v>
      </c>
      <c r="S480" s="81"/>
      <c r="T480" s="82">
        <f t="shared" si="221"/>
        <v>44.3281948881789</v>
      </c>
      <c r="U480" s="81"/>
      <c r="V480" s="82">
        <v>571</v>
      </c>
      <c r="W480" s="83">
        <f t="shared" si="218"/>
        <v>13419.1983759318</v>
      </c>
      <c r="X480" s="84">
        <f t="shared" si="222"/>
        <v>238.100591054313</v>
      </c>
      <c r="Y480" s="84"/>
      <c r="Z480" s="84"/>
      <c r="AA480" s="84">
        <f t="shared" si="219"/>
        <v>238.100591054313</v>
      </c>
      <c r="AB480" s="94">
        <v>7.17</v>
      </c>
      <c r="AC480" s="81">
        <f t="shared" si="216"/>
        <v>1707.18123785942</v>
      </c>
      <c r="AD480" s="81">
        <f t="shared" si="215"/>
        <v>15126.3796137913</v>
      </c>
      <c r="AE480" s="81">
        <f t="shared" si="214"/>
        <v>1591.0203862087</v>
      </c>
    </row>
    <row r="481" customFormat="1" spans="1:31">
      <c r="A481" s="19"/>
      <c r="B481" s="20"/>
      <c r="C481" s="21">
        <v>240112000036</v>
      </c>
      <c r="D481" s="22">
        <v>45307</v>
      </c>
      <c r="E481" s="22" t="s">
        <v>37</v>
      </c>
      <c r="F481" s="20" t="s">
        <v>203</v>
      </c>
      <c r="G481" s="20" t="s">
        <v>122</v>
      </c>
      <c r="H481" s="20">
        <v>0.2</v>
      </c>
      <c r="I481" s="43">
        <v>45</v>
      </c>
      <c r="J481" s="44"/>
      <c r="K481" s="45"/>
      <c r="L481" s="44"/>
      <c r="M481" s="46"/>
      <c r="N481" s="20"/>
      <c r="O481" s="48">
        <f t="shared" si="227"/>
        <v>45</v>
      </c>
      <c r="P481" s="54"/>
      <c r="Q481" s="54"/>
      <c r="R481" s="81">
        <f t="shared" si="220"/>
        <v>6.81963791267306</v>
      </c>
      <c r="S481" s="81"/>
      <c r="T481" s="82">
        <f t="shared" si="221"/>
        <v>0.0236102236421725</v>
      </c>
      <c r="U481" s="81"/>
      <c r="V481" s="81"/>
      <c r="W481" s="83">
        <f t="shared" si="218"/>
        <v>6.84324813631523</v>
      </c>
      <c r="X481" s="84">
        <f t="shared" si="222"/>
        <v>0.126817891373802</v>
      </c>
      <c r="Y481" s="84"/>
      <c r="Z481" s="84"/>
      <c r="AA481" s="84">
        <f t="shared" si="219"/>
        <v>0.126817891373802</v>
      </c>
      <c r="AB481" s="94">
        <v>7.17</v>
      </c>
      <c r="AC481" s="81">
        <f t="shared" si="216"/>
        <v>0.90928428115016</v>
      </c>
      <c r="AD481" s="81">
        <f t="shared" si="215"/>
        <v>7.75253241746539</v>
      </c>
      <c r="AE481" s="81">
        <f t="shared" si="214"/>
        <v>37.2474675825346</v>
      </c>
    </row>
    <row r="482" customFormat="1" spans="1:31">
      <c r="A482" s="19"/>
      <c r="B482" s="20"/>
      <c r="C482" s="21">
        <v>240113000001</v>
      </c>
      <c r="D482" s="22">
        <v>45307</v>
      </c>
      <c r="E482" s="22" t="s">
        <v>49</v>
      </c>
      <c r="F482" s="20" t="s">
        <v>50</v>
      </c>
      <c r="G482" s="20" t="s">
        <v>170</v>
      </c>
      <c r="H482" s="20">
        <v>1</v>
      </c>
      <c r="I482" s="43">
        <v>75</v>
      </c>
      <c r="J482" s="44"/>
      <c r="K482" s="45"/>
      <c r="L482" s="44"/>
      <c r="M482" s="46"/>
      <c r="N482" s="20"/>
      <c r="O482" s="48">
        <f t="shared" si="227"/>
        <v>75</v>
      </c>
      <c r="P482" s="54"/>
      <c r="Q482" s="54"/>
      <c r="R482" s="81">
        <f t="shared" si="220"/>
        <v>34.0981895633653</v>
      </c>
      <c r="S482" s="81"/>
      <c r="T482" s="82">
        <f t="shared" si="221"/>
        <v>0.118051118210863</v>
      </c>
      <c r="U482" s="81"/>
      <c r="V482" s="81"/>
      <c r="W482" s="83">
        <f t="shared" si="218"/>
        <v>34.2162406815761</v>
      </c>
      <c r="X482" s="84">
        <f t="shared" si="222"/>
        <v>0.63408945686901</v>
      </c>
      <c r="Y482" s="84"/>
      <c r="Z482" s="84"/>
      <c r="AA482" s="84">
        <f t="shared" si="219"/>
        <v>0.63408945686901</v>
      </c>
      <c r="AB482" s="94">
        <v>7.17</v>
      </c>
      <c r="AC482" s="81">
        <f t="shared" si="216"/>
        <v>4.5464214057508</v>
      </c>
      <c r="AD482" s="81">
        <f t="shared" si="215"/>
        <v>38.7626620873269</v>
      </c>
      <c r="AE482" s="81">
        <f t="shared" si="214"/>
        <v>36.2373379126731</v>
      </c>
    </row>
    <row r="483" customFormat="1" spans="1:31">
      <c r="A483" s="19"/>
      <c r="B483" s="20"/>
      <c r="C483" s="21">
        <v>240113000008</v>
      </c>
      <c r="D483" s="22">
        <v>45307</v>
      </c>
      <c r="E483" s="22" t="s">
        <v>37</v>
      </c>
      <c r="F483" s="20" t="s">
        <v>38</v>
      </c>
      <c r="G483" s="20" t="s">
        <v>369</v>
      </c>
      <c r="H483" s="20">
        <v>61.5</v>
      </c>
      <c r="I483" s="43">
        <v>2890.5</v>
      </c>
      <c r="J483" s="44"/>
      <c r="K483" s="45"/>
      <c r="L483" s="44"/>
      <c r="M483" s="46"/>
      <c r="N483" s="20"/>
      <c r="O483" s="48">
        <f t="shared" si="227"/>
        <v>2890.5</v>
      </c>
      <c r="P483" s="54"/>
      <c r="Q483" s="54"/>
      <c r="R483" s="81">
        <f t="shared" si="220"/>
        <v>2097.03865814696</v>
      </c>
      <c r="S483" s="81"/>
      <c r="T483" s="82">
        <f t="shared" si="221"/>
        <v>7.26014376996805</v>
      </c>
      <c r="U483" s="81"/>
      <c r="V483" s="81"/>
      <c r="W483" s="83">
        <f t="shared" si="218"/>
        <v>2104.29880191693</v>
      </c>
      <c r="X483" s="84">
        <f t="shared" si="222"/>
        <v>38.9965015974441</v>
      </c>
      <c r="Y483" s="84"/>
      <c r="Z483" s="84"/>
      <c r="AA483" s="84">
        <f t="shared" si="219"/>
        <v>38.9965015974441</v>
      </c>
      <c r="AB483" s="94">
        <v>7.17</v>
      </c>
      <c r="AC483" s="81">
        <f t="shared" si="216"/>
        <v>279.604916453674</v>
      </c>
      <c r="AD483" s="81">
        <f t="shared" si="215"/>
        <v>2383.90371837061</v>
      </c>
      <c r="AE483" s="81">
        <f t="shared" si="214"/>
        <v>506.59628162939</v>
      </c>
    </row>
    <row r="484" customFormat="1" spans="1:31">
      <c r="A484" s="19"/>
      <c r="B484" s="20"/>
      <c r="C484" s="21">
        <v>240113000012</v>
      </c>
      <c r="D484" s="22">
        <v>45307</v>
      </c>
      <c r="E484" s="22" t="s">
        <v>37</v>
      </c>
      <c r="F484" s="20" t="s">
        <v>38</v>
      </c>
      <c r="G484" s="20" t="s">
        <v>93</v>
      </c>
      <c r="H484" s="20">
        <v>0.72</v>
      </c>
      <c r="I484" s="43">
        <v>58</v>
      </c>
      <c r="J484" s="44"/>
      <c r="K484" s="45"/>
      <c r="L484" s="44"/>
      <c r="M484" s="46"/>
      <c r="N484" s="20"/>
      <c r="O484" s="48">
        <f t="shared" si="227"/>
        <v>58</v>
      </c>
      <c r="P484" s="54"/>
      <c r="Q484" s="54"/>
      <c r="R484" s="81">
        <f t="shared" si="220"/>
        <v>24.550696485623</v>
      </c>
      <c r="S484" s="81"/>
      <c r="T484" s="82">
        <f t="shared" si="221"/>
        <v>0.0849968051118211</v>
      </c>
      <c r="U484" s="81"/>
      <c r="V484" s="81"/>
      <c r="W484" s="83">
        <f t="shared" si="218"/>
        <v>24.6356932907348</v>
      </c>
      <c r="X484" s="84">
        <f t="shared" si="222"/>
        <v>0.456544408945687</v>
      </c>
      <c r="Y484" s="84"/>
      <c r="Z484" s="84"/>
      <c r="AA484" s="84">
        <f t="shared" si="219"/>
        <v>0.456544408945687</v>
      </c>
      <c r="AB484" s="94">
        <v>7.17</v>
      </c>
      <c r="AC484" s="81">
        <f t="shared" si="216"/>
        <v>3.27342341214057</v>
      </c>
      <c r="AD484" s="81">
        <f t="shared" si="215"/>
        <v>27.9091167028754</v>
      </c>
      <c r="AE484" s="81">
        <f t="shared" si="214"/>
        <v>30.0908832971246</v>
      </c>
    </row>
    <row r="485" customFormat="1" spans="1:31">
      <c r="A485" s="19"/>
      <c r="B485" s="20"/>
      <c r="C485" s="21">
        <v>240114000001</v>
      </c>
      <c r="D485" s="22">
        <v>45307</v>
      </c>
      <c r="E485" s="22" t="s">
        <v>49</v>
      </c>
      <c r="F485" s="20" t="s">
        <v>50</v>
      </c>
      <c r="G485" s="20" t="s">
        <v>210</v>
      </c>
      <c r="H485" s="20">
        <v>3</v>
      </c>
      <c r="I485" s="43">
        <v>183</v>
      </c>
      <c r="J485" s="44"/>
      <c r="K485" s="45"/>
      <c r="L485" s="44"/>
      <c r="M485" s="46"/>
      <c r="N485" s="20"/>
      <c r="O485" s="48">
        <f t="shared" si="227"/>
        <v>183</v>
      </c>
      <c r="P485" s="54"/>
      <c r="Q485" s="54"/>
      <c r="R485" s="81">
        <f t="shared" si="220"/>
        <v>102.294568690096</v>
      </c>
      <c r="S485" s="81"/>
      <c r="T485" s="82">
        <f t="shared" si="221"/>
        <v>0.354153354632588</v>
      </c>
      <c r="U485" s="81"/>
      <c r="V485" s="81"/>
      <c r="W485" s="83">
        <f t="shared" si="218"/>
        <v>102.648722044728</v>
      </c>
      <c r="X485" s="84">
        <f t="shared" si="222"/>
        <v>1.90226837060703</v>
      </c>
      <c r="Y485" s="84"/>
      <c r="Z485" s="84"/>
      <c r="AA485" s="84">
        <f t="shared" si="219"/>
        <v>1.90226837060703</v>
      </c>
      <c r="AB485" s="94">
        <v>7.17</v>
      </c>
      <c r="AC485" s="81">
        <f t="shared" si="216"/>
        <v>13.6392642172524</v>
      </c>
      <c r="AD485" s="81">
        <f t="shared" si="215"/>
        <v>116.287986261981</v>
      </c>
      <c r="AE485" s="81">
        <f t="shared" si="214"/>
        <v>66.712013738019</v>
      </c>
    </row>
    <row r="486" customFormat="1" spans="1:31">
      <c r="A486" s="19"/>
      <c r="B486" s="20"/>
      <c r="C486" s="21">
        <v>240114000002</v>
      </c>
      <c r="D486" s="22">
        <v>45307</v>
      </c>
      <c r="E486" s="25" t="s">
        <v>69</v>
      </c>
      <c r="F486" s="20" t="s">
        <v>69</v>
      </c>
      <c r="G486" s="20" t="s">
        <v>370</v>
      </c>
      <c r="H486" s="20">
        <v>202</v>
      </c>
      <c r="I486" s="43">
        <v>8686</v>
      </c>
      <c r="J486" s="44"/>
      <c r="K486" s="45"/>
      <c r="L486" s="44"/>
      <c r="M486" s="46"/>
      <c r="N486" s="20"/>
      <c r="O486" s="48">
        <f t="shared" si="227"/>
        <v>8686</v>
      </c>
      <c r="P486" s="54"/>
      <c r="Q486" s="54"/>
      <c r="R486" s="81">
        <f t="shared" si="220"/>
        <v>6887.83429179979</v>
      </c>
      <c r="S486" s="81"/>
      <c r="T486" s="82">
        <f t="shared" si="221"/>
        <v>23.8463258785943</v>
      </c>
      <c r="U486" s="81"/>
      <c r="V486" s="81"/>
      <c r="W486" s="83">
        <f t="shared" si="218"/>
        <v>6911.68061767838</v>
      </c>
      <c r="X486" s="84">
        <f t="shared" si="222"/>
        <v>128.08607028754</v>
      </c>
      <c r="Y486" s="84"/>
      <c r="Z486" s="84"/>
      <c r="AA486" s="84">
        <f t="shared" si="219"/>
        <v>128.08607028754</v>
      </c>
      <c r="AB486" s="94">
        <v>7.17</v>
      </c>
      <c r="AC486" s="81">
        <f t="shared" si="216"/>
        <v>918.377123961661</v>
      </c>
      <c r="AD486" s="81">
        <f t="shared" si="215"/>
        <v>7830.05774164004</v>
      </c>
      <c r="AE486" s="81">
        <f t="shared" si="214"/>
        <v>855.94225835996</v>
      </c>
    </row>
    <row r="487" customFormat="1" spans="1:31">
      <c r="A487" s="19"/>
      <c r="B487" s="20"/>
      <c r="C487" s="21">
        <v>240114000003</v>
      </c>
      <c r="D487" s="22">
        <v>45307</v>
      </c>
      <c r="E487" s="22" t="s">
        <v>49</v>
      </c>
      <c r="F487" s="20" t="s">
        <v>50</v>
      </c>
      <c r="G487" s="20" t="s">
        <v>288</v>
      </c>
      <c r="H487" s="20">
        <v>124</v>
      </c>
      <c r="I487" s="50"/>
      <c r="J487" s="44">
        <v>1055700</v>
      </c>
      <c r="K487" s="110"/>
      <c r="L487" s="51">
        <f>SUM(J487/M487)</f>
        <v>1183.05597579425</v>
      </c>
      <c r="M487" s="53">
        <v>892.35</v>
      </c>
      <c r="N487" s="47">
        <v>7.17</v>
      </c>
      <c r="O487" s="48">
        <f>SUM(M487*N487)</f>
        <v>6398.1495</v>
      </c>
      <c r="P487" s="54"/>
      <c r="Q487" s="54"/>
      <c r="R487" s="81">
        <f t="shared" si="220"/>
        <v>4228.17550585729</v>
      </c>
      <c r="S487" s="81"/>
      <c r="T487" s="82">
        <f t="shared" si="221"/>
        <v>14.638338658147</v>
      </c>
      <c r="U487" s="81"/>
      <c r="V487" s="82">
        <v>196.25</v>
      </c>
      <c r="W487" s="83">
        <f t="shared" si="218"/>
        <v>4439.06384451544</v>
      </c>
      <c r="X487" s="84">
        <f t="shared" si="222"/>
        <v>78.6270926517572</v>
      </c>
      <c r="Y487" s="84"/>
      <c r="Z487" s="84"/>
      <c r="AA487" s="84">
        <f t="shared" si="219"/>
        <v>78.6270926517572</v>
      </c>
      <c r="AB487" s="94">
        <v>7.17</v>
      </c>
      <c r="AC487" s="81">
        <f t="shared" si="216"/>
        <v>563.756254313099</v>
      </c>
      <c r="AD487" s="81">
        <f t="shared" ref="AD487:AD528" si="228">SUM(W487+AC487)</f>
        <v>5002.82009882854</v>
      </c>
      <c r="AE487" s="81">
        <f t="shared" si="214"/>
        <v>1395.32940117146</v>
      </c>
    </row>
    <row r="488" customFormat="1" spans="1:31">
      <c r="A488" s="19"/>
      <c r="B488" s="20"/>
      <c r="C488" s="21">
        <v>240114000005</v>
      </c>
      <c r="D488" s="22">
        <v>45307</v>
      </c>
      <c r="E488" s="22" t="s">
        <v>49</v>
      </c>
      <c r="F488" s="20" t="s">
        <v>50</v>
      </c>
      <c r="G488" s="20" t="s">
        <v>371</v>
      </c>
      <c r="H488" s="20">
        <v>120.5</v>
      </c>
      <c r="I488" s="43">
        <v>5944</v>
      </c>
      <c r="J488" s="44"/>
      <c r="K488" s="45"/>
      <c r="L488" s="44"/>
      <c r="M488" s="46"/>
      <c r="N488" s="20"/>
      <c r="O488" s="48">
        <f t="shared" si="227"/>
        <v>5944</v>
      </c>
      <c r="P488" s="54"/>
      <c r="Q488" s="54"/>
      <c r="R488" s="81">
        <f t="shared" si="220"/>
        <v>4108.83184238552</v>
      </c>
      <c r="S488" s="81"/>
      <c r="T488" s="82">
        <f t="shared" si="221"/>
        <v>14.2251597444089</v>
      </c>
      <c r="U488" s="82">
        <v>160</v>
      </c>
      <c r="V488" s="81"/>
      <c r="W488" s="83">
        <f t="shared" si="218"/>
        <v>4283.05700212993</v>
      </c>
      <c r="X488" s="84">
        <f t="shared" si="222"/>
        <v>76.4077795527157</v>
      </c>
      <c r="Y488" s="84"/>
      <c r="Z488" s="84"/>
      <c r="AA488" s="84">
        <f t="shared" si="219"/>
        <v>76.4077795527157</v>
      </c>
      <c r="AB488" s="94">
        <v>7.17</v>
      </c>
      <c r="AC488" s="81">
        <f t="shared" ref="AC488:AC528" si="229">SUM(AA488*AB488)</f>
        <v>547.843779392971</v>
      </c>
      <c r="AD488" s="81">
        <f t="shared" si="228"/>
        <v>4830.9007815229</v>
      </c>
      <c r="AE488" s="81">
        <f t="shared" ref="AE488:AE528" si="230">SUM(O488-AD488)</f>
        <v>1113.0992184771</v>
      </c>
    </row>
    <row r="489" customFormat="1" spans="1:31">
      <c r="A489" s="19"/>
      <c r="B489" s="20"/>
      <c r="C489" s="21">
        <v>240114000007</v>
      </c>
      <c r="D489" s="22">
        <v>45307</v>
      </c>
      <c r="E489" s="25" t="s">
        <v>69</v>
      </c>
      <c r="F489" s="20" t="s">
        <v>69</v>
      </c>
      <c r="G489" s="20" t="s">
        <v>92</v>
      </c>
      <c r="H489" s="20">
        <v>51.5</v>
      </c>
      <c r="I489" s="50">
        <v>1957</v>
      </c>
      <c r="J489" s="59"/>
      <c r="K489" s="52"/>
      <c r="L489" s="59"/>
      <c r="M489" s="46"/>
      <c r="N489" s="20"/>
      <c r="O489" s="48">
        <f t="shared" si="227"/>
        <v>1957</v>
      </c>
      <c r="P489" s="60"/>
      <c r="Q489" s="60"/>
      <c r="R489" s="81">
        <f t="shared" si="220"/>
        <v>1756.05676251331</v>
      </c>
      <c r="S489" s="81"/>
      <c r="T489" s="82">
        <f t="shared" si="221"/>
        <v>6.07963258785942</v>
      </c>
      <c r="U489" s="81"/>
      <c r="V489" s="81"/>
      <c r="W489" s="83">
        <f t="shared" ref="W489:W528" si="231">SUM(R489:V489)</f>
        <v>1762.13639510117</v>
      </c>
      <c r="X489" s="84">
        <f t="shared" si="222"/>
        <v>32.655607028754</v>
      </c>
      <c r="Y489" s="84"/>
      <c r="Z489" s="84"/>
      <c r="AA489" s="84">
        <f t="shared" ref="AA489:AA528" si="232">SUM(X489:Z489)</f>
        <v>32.655607028754</v>
      </c>
      <c r="AB489" s="94">
        <v>7.17</v>
      </c>
      <c r="AC489" s="81">
        <f t="shared" si="229"/>
        <v>234.140702396166</v>
      </c>
      <c r="AD489" s="81">
        <f t="shared" si="228"/>
        <v>1996.27709749734</v>
      </c>
      <c r="AE489" s="81">
        <f t="shared" si="230"/>
        <v>-39.27709749734</v>
      </c>
    </row>
    <row r="490" customFormat="1" spans="1:31">
      <c r="A490" s="19" t="s">
        <v>372</v>
      </c>
      <c r="B490" s="20" t="s">
        <v>373</v>
      </c>
      <c r="C490" s="21">
        <v>240108000017</v>
      </c>
      <c r="D490" s="22">
        <v>45307</v>
      </c>
      <c r="E490" s="22" t="s">
        <v>37</v>
      </c>
      <c r="F490" s="20" t="s">
        <v>38</v>
      </c>
      <c r="G490" s="20" t="s">
        <v>244</v>
      </c>
      <c r="H490" s="20">
        <v>5</v>
      </c>
      <c r="I490" s="43">
        <v>333.6</v>
      </c>
      <c r="J490" s="44"/>
      <c r="K490" s="45"/>
      <c r="L490" s="44"/>
      <c r="M490" s="46"/>
      <c r="N490" s="20"/>
      <c r="O490" s="48">
        <f t="shared" si="227"/>
        <v>333.6</v>
      </c>
      <c r="P490" s="49">
        <f>SUM(O490:O528)</f>
        <v>55806.48708566</v>
      </c>
      <c r="Q490" s="80" t="s">
        <v>165</v>
      </c>
      <c r="R490" s="81">
        <f>SUM(42176.5/939)*H490</f>
        <v>224.582002129925</v>
      </c>
      <c r="S490" s="81"/>
      <c r="T490" s="82">
        <f>SUM(130/939)*H490</f>
        <v>0.692225772097977</v>
      </c>
      <c r="U490" s="81"/>
      <c r="V490" s="81"/>
      <c r="W490" s="83">
        <f t="shared" si="231"/>
        <v>225.274227902023</v>
      </c>
      <c r="X490" s="84">
        <f>SUM(641.25/939)*H490</f>
        <v>3.41453674121406</v>
      </c>
      <c r="Y490" s="84"/>
      <c r="Z490" s="84"/>
      <c r="AA490" s="84">
        <f t="shared" si="232"/>
        <v>3.41453674121406</v>
      </c>
      <c r="AB490" s="94">
        <v>7.17</v>
      </c>
      <c r="AC490" s="81">
        <f t="shared" si="229"/>
        <v>24.4822284345048</v>
      </c>
      <c r="AD490" s="81">
        <f t="shared" si="228"/>
        <v>249.756456336528</v>
      </c>
      <c r="AE490" s="81">
        <f t="shared" si="230"/>
        <v>83.843543663472</v>
      </c>
    </row>
    <row r="491" customFormat="1" spans="1:31">
      <c r="A491" s="19"/>
      <c r="B491" s="20"/>
      <c r="C491" s="21">
        <v>240108000041</v>
      </c>
      <c r="D491" s="22">
        <v>45307</v>
      </c>
      <c r="E491" s="22" t="s">
        <v>49</v>
      </c>
      <c r="F491" s="20" t="s">
        <v>374</v>
      </c>
      <c r="G491" s="20" t="s">
        <v>375</v>
      </c>
      <c r="H491" s="20">
        <v>16.5</v>
      </c>
      <c r="I491" s="43">
        <v>1221</v>
      </c>
      <c r="J491" s="44"/>
      <c r="K491" s="45"/>
      <c r="L491" s="44"/>
      <c r="M491" s="46"/>
      <c r="N491" s="20"/>
      <c r="O491" s="48">
        <f t="shared" si="227"/>
        <v>1221</v>
      </c>
      <c r="P491" s="54"/>
      <c r="Q491" s="54"/>
      <c r="R491" s="81">
        <f t="shared" ref="R491:R528" si="233">SUM(42176.5/939)*H491</f>
        <v>741.120607028754</v>
      </c>
      <c r="S491" s="81"/>
      <c r="T491" s="82">
        <f t="shared" ref="T491:T528" si="234">SUM(130/939)*H491</f>
        <v>2.28434504792332</v>
      </c>
      <c r="U491" s="81"/>
      <c r="V491" s="81"/>
      <c r="W491" s="83">
        <f t="shared" si="231"/>
        <v>743.404952076677</v>
      </c>
      <c r="X491" s="84">
        <f t="shared" ref="X491:X528" si="235">SUM(641.25/939)*H491</f>
        <v>11.2679712460064</v>
      </c>
      <c r="Y491" s="84"/>
      <c r="Z491" s="84"/>
      <c r="AA491" s="84">
        <f t="shared" si="232"/>
        <v>11.2679712460064</v>
      </c>
      <c r="AB491" s="94">
        <v>7.17</v>
      </c>
      <c r="AC491" s="81">
        <f t="shared" si="229"/>
        <v>80.7913538338658</v>
      </c>
      <c r="AD491" s="81">
        <f t="shared" si="228"/>
        <v>824.196305910543</v>
      </c>
      <c r="AE491" s="81">
        <f t="shared" si="230"/>
        <v>396.803694089457</v>
      </c>
    </row>
    <row r="492" customFormat="1" spans="1:31">
      <c r="A492" s="19"/>
      <c r="B492" s="20"/>
      <c r="C492" s="21">
        <v>240109000016</v>
      </c>
      <c r="D492" s="22">
        <v>45307</v>
      </c>
      <c r="E492" s="22" t="s">
        <v>37</v>
      </c>
      <c r="F492" s="20" t="s">
        <v>38</v>
      </c>
      <c r="G492" s="20" t="s">
        <v>272</v>
      </c>
      <c r="H492" s="20">
        <v>0.66</v>
      </c>
      <c r="I492" s="43">
        <v>157.8</v>
      </c>
      <c r="J492" s="44"/>
      <c r="K492" s="45"/>
      <c r="L492" s="44"/>
      <c r="M492" s="46"/>
      <c r="N492" s="20"/>
      <c r="O492" s="48">
        <f t="shared" si="227"/>
        <v>157.8</v>
      </c>
      <c r="P492" s="54"/>
      <c r="Q492" s="54"/>
      <c r="R492" s="81">
        <f t="shared" si="233"/>
        <v>29.6448242811502</v>
      </c>
      <c r="S492" s="81"/>
      <c r="T492" s="82">
        <f t="shared" si="234"/>
        <v>0.0913738019169329</v>
      </c>
      <c r="U492" s="81"/>
      <c r="V492" s="81"/>
      <c r="W492" s="83">
        <f t="shared" si="231"/>
        <v>29.7361980830671</v>
      </c>
      <c r="X492" s="84">
        <f t="shared" si="235"/>
        <v>0.450718849840256</v>
      </c>
      <c r="Y492" s="84"/>
      <c r="Z492" s="84"/>
      <c r="AA492" s="84">
        <f t="shared" si="232"/>
        <v>0.450718849840256</v>
      </c>
      <c r="AB492" s="94">
        <v>7.17</v>
      </c>
      <c r="AC492" s="81">
        <f t="shared" si="229"/>
        <v>3.23165415335463</v>
      </c>
      <c r="AD492" s="81">
        <f t="shared" si="228"/>
        <v>32.9678522364217</v>
      </c>
      <c r="AE492" s="81">
        <f t="shared" si="230"/>
        <v>124.832147763578</v>
      </c>
    </row>
    <row r="493" customFormat="1" spans="1:31">
      <c r="A493" s="19"/>
      <c r="B493" s="20"/>
      <c r="C493" s="21">
        <v>240109000041</v>
      </c>
      <c r="D493" s="22">
        <v>45307</v>
      </c>
      <c r="E493" s="25" t="s">
        <v>69</v>
      </c>
      <c r="F493" s="20" t="s">
        <v>69</v>
      </c>
      <c r="G493" s="20" t="s">
        <v>258</v>
      </c>
      <c r="H493" s="20">
        <v>4.5</v>
      </c>
      <c r="I493" s="43">
        <v>306.6</v>
      </c>
      <c r="J493" s="44"/>
      <c r="K493" s="45"/>
      <c r="L493" s="44"/>
      <c r="M493" s="46"/>
      <c r="N493" s="20"/>
      <c r="O493" s="48">
        <f t="shared" si="227"/>
        <v>306.6</v>
      </c>
      <c r="P493" s="54"/>
      <c r="Q493" s="54"/>
      <c r="R493" s="81">
        <f t="shared" si="233"/>
        <v>202.123801916933</v>
      </c>
      <c r="S493" s="81"/>
      <c r="T493" s="82">
        <f t="shared" si="234"/>
        <v>0.623003194888179</v>
      </c>
      <c r="U493" s="81"/>
      <c r="V493" s="81"/>
      <c r="W493" s="83">
        <f t="shared" si="231"/>
        <v>202.746805111821</v>
      </c>
      <c r="X493" s="84">
        <f t="shared" si="235"/>
        <v>3.07308306709265</v>
      </c>
      <c r="Y493" s="84"/>
      <c r="Z493" s="84"/>
      <c r="AA493" s="84">
        <f t="shared" si="232"/>
        <v>3.07308306709265</v>
      </c>
      <c r="AB493" s="94">
        <v>7.17</v>
      </c>
      <c r="AC493" s="81">
        <f t="shared" si="229"/>
        <v>22.0340055910543</v>
      </c>
      <c r="AD493" s="81">
        <f t="shared" si="228"/>
        <v>224.780810702875</v>
      </c>
      <c r="AE493" s="81">
        <f t="shared" si="230"/>
        <v>81.819189297125</v>
      </c>
    </row>
    <row r="494" customFormat="1" spans="1:31">
      <c r="A494" s="19"/>
      <c r="B494" s="20"/>
      <c r="C494" s="21">
        <v>240110000006</v>
      </c>
      <c r="D494" s="22">
        <v>45307</v>
      </c>
      <c r="E494" s="22" t="s">
        <v>49</v>
      </c>
      <c r="F494" s="20" t="s">
        <v>50</v>
      </c>
      <c r="G494" s="20" t="s">
        <v>376</v>
      </c>
      <c r="H494" s="20">
        <v>0.15</v>
      </c>
      <c r="I494" s="43">
        <v>95</v>
      </c>
      <c r="J494" s="44"/>
      <c r="K494" s="45"/>
      <c r="L494" s="44"/>
      <c r="M494" s="46"/>
      <c r="N494" s="20"/>
      <c r="O494" s="48">
        <f t="shared" si="227"/>
        <v>95</v>
      </c>
      <c r="P494" s="54"/>
      <c r="Q494" s="54"/>
      <c r="R494" s="81">
        <f t="shared" si="233"/>
        <v>6.73746006389776</v>
      </c>
      <c r="S494" s="81"/>
      <c r="T494" s="82">
        <f t="shared" si="234"/>
        <v>0.0207667731629393</v>
      </c>
      <c r="U494" s="81"/>
      <c r="V494" s="81"/>
      <c r="W494" s="83">
        <f t="shared" si="231"/>
        <v>6.7582268370607</v>
      </c>
      <c r="X494" s="84">
        <f t="shared" si="235"/>
        <v>0.102436102236422</v>
      </c>
      <c r="Y494" s="84">
        <v>4.2</v>
      </c>
      <c r="Z494" s="84"/>
      <c r="AA494" s="84">
        <f t="shared" si="232"/>
        <v>4.30243610223642</v>
      </c>
      <c r="AB494" s="94">
        <v>7.17</v>
      </c>
      <c r="AC494" s="81">
        <f t="shared" si="229"/>
        <v>30.8484668530351</v>
      </c>
      <c r="AD494" s="81">
        <f t="shared" si="228"/>
        <v>37.6066936900958</v>
      </c>
      <c r="AE494" s="81">
        <f t="shared" si="230"/>
        <v>57.3933063099042</v>
      </c>
    </row>
    <row r="495" customFormat="1" spans="1:31">
      <c r="A495" s="19"/>
      <c r="B495" s="20"/>
      <c r="C495" s="21">
        <v>240110000009</v>
      </c>
      <c r="D495" s="22">
        <v>45307</v>
      </c>
      <c r="E495" s="22" t="s">
        <v>58</v>
      </c>
      <c r="F495" s="20" t="s">
        <v>59</v>
      </c>
      <c r="G495" s="20" t="s">
        <v>182</v>
      </c>
      <c r="H495" s="20">
        <v>2</v>
      </c>
      <c r="I495" s="43">
        <v>147.6</v>
      </c>
      <c r="J495" s="44"/>
      <c r="K495" s="45"/>
      <c r="L495" s="44"/>
      <c r="M495" s="46"/>
      <c r="N495" s="20"/>
      <c r="O495" s="48">
        <f t="shared" si="227"/>
        <v>147.6</v>
      </c>
      <c r="P495" s="54"/>
      <c r="Q495" s="54"/>
      <c r="R495" s="81">
        <f t="shared" si="233"/>
        <v>89.8328008519702</v>
      </c>
      <c r="S495" s="81"/>
      <c r="T495" s="82">
        <f t="shared" si="234"/>
        <v>0.276890308839191</v>
      </c>
      <c r="U495" s="81"/>
      <c r="V495" s="81"/>
      <c r="W495" s="83">
        <f t="shared" si="231"/>
        <v>90.1096911608094</v>
      </c>
      <c r="X495" s="84">
        <f t="shared" si="235"/>
        <v>1.36581469648562</v>
      </c>
      <c r="Y495" s="84"/>
      <c r="Z495" s="84"/>
      <c r="AA495" s="84">
        <f t="shared" si="232"/>
        <v>1.36581469648562</v>
      </c>
      <c r="AB495" s="94">
        <v>7.17</v>
      </c>
      <c r="AC495" s="81">
        <f t="shared" si="229"/>
        <v>9.79289137380192</v>
      </c>
      <c r="AD495" s="81">
        <f t="shared" si="228"/>
        <v>99.9025825346113</v>
      </c>
      <c r="AE495" s="81">
        <f t="shared" si="230"/>
        <v>47.6974174653887</v>
      </c>
    </row>
    <row r="496" customFormat="1" spans="1:31">
      <c r="A496" s="19"/>
      <c r="B496" s="20"/>
      <c r="C496" s="21">
        <v>240110000016</v>
      </c>
      <c r="D496" s="22">
        <v>45307</v>
      </c>
      <c r="E496" s="22" t="s">
        <v>58</v>
      </c>
      <c r="F496" s="20" t="s">
        <v>59</v>
      </c>
      <c r="G496" s="20" t="s">
        <v>377</v>
      </c>
      <c r="H496" s="20">
        <v>0.76</v>
      </c>
      <c r="I496" s="48"/>
      <c r="J496" s="55">
        <v>5739</v>
      </c>
      <c r="K496" s="56"/>
      <c r="L496" s="51">
        <f>SUM(J496/M496)</f>
        <v>1286.77130044843</v>
      </c>
      <c r="M496" s="53">
        <v>4.46</v>
      </c>
      <c r="N496" s="20">
        <v>7.17</v>
      </c>
      <c r="O496" s="48">
        <f>SUM(M496*N496)</f>
        <v>31.9782</v>
      </c>
      <c r="P496" s="54"/>
      <c r="Q496" s="54"/>
      <c r="R496" s="81">
        <f t="shared" si="233"/>
        <v>34.1364643237487</v>
      </c>
      <c r="S496" s="81"/>
      <c r="T496" s="82">
        <f t="shared" si="234"/>
        <v>0.105218317358892</v>
      </c>
      <c r="U496" s="81"/>
      <c r="V496" s="81"/>
      <c r="W496" s="83">
        <f t="shared" si="231"/>
        <v>34.2416826411076</v>
      </c>
      <c r="X496" s="84">
        <f t="shared" si="235"/>
        <v>0.519009584664537</v>
      </c>
      <c r="Y496" s="84"/>
      <c r="Z496" s="84"/>
      <c r="AA496" s="84">
        <f t="shared" si="232"/>
        <v>0.519009584664537</v>
      </c>
      <c r="AB496" s="94">
        <v>7.17</v>
      </c>
      <c r="AC496" s="81">
        <f t="shared" si="229"/>
        <v>3.72129872204473</v>
      </c>
      <c r="AD496" s="81">
        <f t="shared" si="228"/>
        <v>37.9629813631523</v>
      </c>
      <c r="AE496" s="81">
        <f t="shared" si="230"/>
        <v>-5.9847813631523</v>
      </c>
    </row>
    <row r="497" customFormat="1" spans="1:31">
      <c r="A497" s="19"/>
      <c r="B497" s="20"/>
      <c r="C497" s="21">
        <v>240110000019</v>
      </c>
      <c r="D497" s="22">
        <v>45307</v>
      </c>
      <c r="E497" s="22" t="s">
        <v>58</v>
      </c>
      <c r="F497" s="20" t="s">
        <v>59</v>
      </c>
      <c r="G497" s="20" t="s">
        <v>304</v>
      </c>
      <c r="H497" s="20">
        <v>2</v>
      </c>
      <c r="I497" s="43">
        <v>113</v>
      </c>
      <c r="J497" s="44"/>
      <c r="K497" s="45"/>
      <c r="L497" s="44"/>
      <c r="M497" s="46"/>
      <c r="N497" s="20"/>
      <c r="O497" s="48">
        <f t="shared" ref="O497:O504" si="236">SUM(I497)</f>
        <v>113</v>
      </c>
      <c r="P497" s="54"/>
      <c r="Q497" s="54"/>
      <c r="R497" s="81">
        <f t="shared" si="233"/>
        <v>89.8328008519702</v>
      </c>
      <c r="S497" s="81"/>
      <c r="T497" s="82">
        <f t="shared" si="234"/>
        <v>0.276890308839191</v>
      </c>
      <c r="U497" s="81"/>
      <c r="V497" s="81"/>
      <c r="W497" s="83">
        <f t="shared" si="231"/>
        <v>90.1096911608094</v>
      </c>
      <c r="X497" s="84">
        <f t="shared" si="235"/>
        <v>1.36581469648562</v>
      </c>
      <c r="Y497" s="84"/>
      <c r="Z497" s="84"/>
      <c r="AA497" s="84">
        <f t="shared" si="232"/>
        <v>1.36581469648562</v>
      </c>
      <c r="AB497" s="94">
        <v>7.17</v>
      </c>
      <c r="AC497" s="81">
        <f t="shared" si="229"/>
        <v>9.79289137380192</v>
      </c>
      <c r="AD497" s="81">
        <f t="shared" si="228"/>
        <v>99.9025825346113</v>
      </c>
      <c r="AE497" s="81">
        <f t="shared" si="230"/>
        <v>13.0974174653887</v>
      </c>
    </row>
    <row r="498" customFormat="1" spans="1:31">
      <c r="A498" s="19"/>
      <c r="B498" s="20"/>
      <c r="C498" s="21">
        <v>240110000023</v>
      </c>
      <c r="D498" s="22">
        <v>45307</v>
      </c>
      <c r="E498" s="22" t="s">
        <v>58</v>
      </c>
      <c r="F498" s="20" t="s">
        <v>59</v>
      </c>
      <c r="G498" s="20" t="s">
        <v>71</v>
      </c>
      <c r="H498" s="20">
        <v>1.5</v>
      </c>
      <c r="I498" s="43">
        <v>102.6</v>
      </c>
      <c r="J498" s="44"/>
      <c r="K498" s="45"/>
      <c r="L498" s="44"/>
      <c r="M498" s="46"/>
      <c r="N498" s="20"/>
      <c r="O498" s="48">
        <f t="shared" si="236"/>
        <v>102.6</v>
      </c>
      <c r="P498" s="54"/>
      <c r="Q498" s="54"/>
      <c r="R498" s="81">
        <f t="shared" si="233"/>
        <v>67.3746006389776</v>
      </c>
      <c r="S498" s="81"/>
      <c r="T498" s="82">
        <f t="shared" si="234"/>
        <v>0.207667731629393</v>
      </c>
      <c r="U498" s="81"/>
      <c r="V498" s="81"/>
      <c r="W498" s="83">
        <f t="shared" si="231"/>
        <v>67.582268370607</v>
      </c>
      <c r="X498" s="84">
        <f t="shared" si="235"/>
        <v>1.02436102236422</v>
      </c>
      <c r="Y498" s="84"/>
      <c r="Z498" s="84"/>
      <c r="AA498" s="84">
        <f t="shared" si="232"/>
        <v>1.02436102236422</v>
      </c>
      <c r="AB498" s="94">
        <v>7.17</v>
      </c>
      <c r="AC498" s="81">
        <f t="shared" si="229"/>
        <v>7.34466853035144</v>
      </c>
      <c r="AD498" s="81">
        <f t="shared" si="228"/>
        <v>74.9269369009585</v>
      </c>
      <c r="AE498" s="81">
        <f t="shared" si="230"/>
        <v>27.6730630990415</v>
      </c>
    </row>
    <row r="499" customFormat="1" spans="1:31">
      <c r="A499" s="19"/>
      <c r="B499" s="20"/>
      <c r="C499" s="21">
        <v>240110000028</v>
      </c>
      <c r="D499" s="22">
        <v>45307</v>
      </c>
      <c r="E499" s="22" t="s">
        <v>37</v>
      </c>
      <c r="F499" s="20" t="s">
        <v>38</v>
      </c>
      <c r="G499" s="20" t="s">
        <v>94</v>
      </c>
      <c r="H499" s="20">
        <v>4</v>
      </c>
      <c r="I499" s="43">
        <v>267.6</v>
      </c>
      <c r="J499" s="44"/>
      <c r="K499" s="45"/>
      <c r="L499" s="44"/>
      <c r="M499" s="46"/>
      <c r="N499" s="20"/>
      <c r="O499" s="48">
        <f t="shared" si="236"/>
        <v>267.6</v>
      </c>
      <c r="P499" s="54"/>
      <c r="Q499" s="54"/>
      <c r="R499" s="81">
        <f t="shared" si="233"/>
        <v>179.66560170394</v>
      </c>
      <c r="S499" s="81"/>
      <c r="T499" s="82">
        <f t="shared" si="234"/>
        <v>0.553780617678381</v>
      </c>
      <c r="U499" s="81"/>
      <c r="V499" s="81"/>
      <c r="W499" s="83">
        <f t="shared" si="231"/>
        <v>180.219382321619</v>
      </c>
      <c r="X499" s="84">
        <f t="shared" si="235"/>
        <v>2.73162939297125</v>
      </c>
      <c r="Y499" s="84"/>
      <c r="Z499" s="84"/>
      <c r="AA499" s="84">
        <f t="shared" si="232"/>
        <v>2.73162939297125</v>
      </c>
      <c r="AB499" s="94">
        <v>7.17</v>
      </c>
      <c r="AC499" s="81">
        <f t="shared" si="229"/>
        <v>19.5857827476038</v>
      </c>
      <c r="AD499" s="81">
        <f t="shared" si="228"/>
        <v>199.805165069223</v>
      </c>
      <c r="AE499" s="81">
        <f t="shared" si="230"/>
        <v>67.794834930777</v>
      </c>
    </row>
    <row r="500" customFormat="1" spans="1:31">
      <c r="A500" s="19"/>
      <c r="B500" s="20"/>
      <c r="C500" s="21">
        <v>240110000036</v>
      </c>
      <c r="D500" s="22">
        <v>45307</v>
      </c>
      <c r="E500" s="22" t="s">
        <v>69</v>
      </c>
      <c r="F500" s="20" t="s">
        <v>192</v>
      </c>
      <c r="G500" s="20" t="s">
        <v>193</v>
      </c>
      <c r="H500" s="20">
        <v>20</v>
      </c>
      <c r="I500" s="43">
        <v>1398</v>
      </c>
      <c r="J500" s="44"/>
      <c r="K500" s="45"/>
      <c r="L500" s="44"/>
      <c r="M500" s="46"/>
      <c r="N500" s="20"/>
      <c r="O500" s="48">
        <f t="shared" si="236"/>
        <v>1398</v>
      </c>
      <c r="P500" s="54"/>
      <c r="Q500" s="54"/>
      <c r="R500" s="81">
        <f t="shared" si="233"/>
        <v>898.328008519702</v>
      </c>
      <c r="S500" s="81"/>
      <c r="T500" s="82">
        <f t="shared" si="234"/>
        <v>2.76890308839191</v>
      </c>
      <c r="U500" s="81"/>
      <c r="V500" s="81"/>
      <c r="W500" s="83">
        <f t="shared" si="231"/>
        <v>901.096911608094</v>
      </c>
      <c r="X500" s="84">
        <f t="shared" si="235"/>
        <v>13.6581469648562</v>
      </c>
      <c r="Y500" s="84"/>
      <c r="Z500" s="84"/>
      <c r="AA500" s="84">
        <f t="shared" si="232"/>
        <v>13.6581469648562</v>
      </c>
      <c r="AB500" s="94">
        <v>7.17</v>
      </c>
      <c r="AC500" s="81">
        <f t="shared" si="229"/>
        <v>97.9289137380192</v>
      </c>
      <c r="AD500" s="81">
        <f t="shared" si="228"/>
        <v>999.025825346113</v>
      </c>
      <c r="AE500" s="81">
        <f t="shared" si="230"/>
        <v>398.974174653887</v>
      </c>
    </row>
    <row r="501" customFormat="1" spans="1:31">
      <c r="A501" s="19"/>
      <c r="B501" s="20"/>
      <c r="C501" s="21">
        <v>240110000038</v>
      </c>
      <c r="D501" s="22">
        <v>45307</v>
      </c>
      <c r="E501" s="25" t="s">
        <v>69</v>
      </c>
      <c r="F501" s="20" t="s">
        <v>69</v>
      </c>
      <c r="G501" s="20" t="s">
        <v>131</v>
      </c>
      <c r="H501" s="20">
        <v>0.12</v>
      </c>
      <c r="I501" s="43">
        <v>69.6</v>
      </c>
      <c r="J501" s="44"/>
      <c r="K501" s="45"/>
      <c r="L501" s="44"/>
      <c r="M501" s="46"/>
      <c r="N501" s="20"/>
      <c r="O501" s="48">
        <f t="shared" si="236"/>
        <v>69.6</v>
      </c>
      <c r="P501" s="54"/>
      <c r="Q501" s="54"/>
      <c r="R501" s="81">
        <f t="shared" si="233"/>
        <v>5.38996805111821</v>
      </c>
      <c r="S501" s="81"/>
      <c r="T501" s="82">
        <f t="shared" si="234"/>
        <v>0.0166134185303514</v>
      </c>
      <c r="U501" s="81"/>
      <c r="V501" s="81"/>
      <c r="W501" s="83">
        <f t="shared" si="231"/>
        <v>5.40658146964856</v>
      </c>
      <c r="X501" s="84">
        <f t="shared" si="235"/>
        <v>0.0819488817891374</v>
      </c>
      <c r="Y501" s="84"/>
      <c r="Z501" s="84"/>
      <c r="AA501" s="84">
        <f t="shared" si="232"/>
        <v>0.0819488817891374</v>
      </c>
      <c r="AB501" s="94">
        <v>7.17</v>
      </c>
      <c r="AC501" s="81">
        <f t="shared" si="229"/>
        <v>0.587573482428115</v>
      </c>
      <c r="AD501" s="81">
        <f t="shared" si="228"/>
        <v>5.99415495207668</v>
      </c>
      <c r="AE501" s="81">
        <f t="shared" si="230"/>
        <v>63.6058450479233</v>
      </c>
    </row>
    <row r="502" customFormat="1" spans="1:31">
      <c r="A502" s="19"/>
      <c r="B502" s="20"/>
      <c r="C502" s="21">
        <v>240111000002</v>
      </c>
      <c r="D502" s="22">
        <v>45307</v>
      </c>
      <c r="E502" s="22" t="s">
        <v>49</v>
      </c>
      <c r="F502" s="20" t="s">
        <v>50</v>
      </c>
      <c r="G502" s="20" t="s">
        <v>378</v>
      </c>
      <c r="H502" s="20">
        <v>14</v>
      </c>
      <c r="I502" s="43">
        <v>1170</v>
      </c>
      <c r="J502" s="44"/>
      <c r="K502" s="45"/>
      <c r="L502" s="44"/>
      <c r="M502" s="46"/>
      <c r="N502" s="20"/>
      <c r="O502" s="48">
        <f t="shared" si="236"/>
        <v>1170</v>
      </c>
      <c r="P502" s="54"/>
      <c r="Q502" s="54"/>
      <c r="R502" s="81">
        <f t="shared" si="233"/>
        <v>628.829605963791</v>
      </c>
      <c r="S502" s="81"/>
      <c r="T502" s="82">
        <f t="shared" si="234"/>
        <v>1.93823216187433</v>
      </c>
      <c r="U502" s="81"/>
      <c r="V502" s="81"/>
      <c r="W502" s="83">
        <f t="shared" si="231"/>
        <v>630.767838125666</v>
      </c>
      <c r="X502" s="84">
        <f t="shared" si="235"/>
        <v>9.56070287539936</v>
      </c>
      <c r="Y502" s="84"/>
      <c r="Z502" s="84"/>
      <c r="AA502" s="84">
        <f t="shared" si="232"/>
        <v>9.56070287539936</v>
      </c>
      <c r="AB502" s="94">
        <v>7.17</v>
      </c>
      <c r="AC502" s="81">
        <f t="shared" si="229"/>
        <v>68.5502396166134</v>
      </c>
      <c r="AD502" s="81">
        <f t="shared" si="228"/>
        <v>699.318077742279</v>
      </c>
      <c r="AE502" s="81">
        <f t="shared" si="230"/>
        <v>470.681922257721</v>
      </c>
    </row>
    <row r="503" customFormat="1" spans="1:31">
      <c r="A503" s="19"/>
      <c r="B503" s="20"/>
      <c r="C503" s="21">
        <v>240111000005</v>
      </c>
      <c r="D503" s="22">
        <v>45307</v>
      </c>
      <c r="E503" s="22" t="s">
        <v>49</v>
      </c>
      <c r="F503" s="20" t="s">
        <v>50</v>
      </c>
      <c r="G503" s="20" t="s">
        <v>78</v>
      </c>
      <c r="H503" s="20">
        <v>10</v>
      </c>
      <c r="I503" s="43">
        <v>680</v>
      </c>
      <c r="J503" s="44"/>
      <c r="K503" s="45"/>
      <c r="L503" s="44"/>
      <c r="M503" s="46"/>
      <c r="N503" s="20"/>
      <c r="O503" s="48">
        <f t="shared" si="236"/>
        <v>680</v>
      </c>
      <c r="P503" s="54"/>
      <c r="Q503" s="54"/>
      <c r="R503" s="81">
        <f t="shared" si="233"/>
        <v>449.164004259851</v>
      </c>
      <c r="S503" s="81"/>
      <c r="T503" s="82">
        <f t="shared" si="234"/>
        <v>1.38445154419595</v>
      </c>
      <c r="U503" s="81"/>
      <c r="V503" s="81"/>
      <c r="W503" s="83">
        <f t="shared" si="231"/>
        <v>450.548455804047</v>
      </c>
      <c r="X503" s="84">
        <f t="shared" si="235"/>
        <v>6.82907348242812</v>
      </c>
      <c r="Y503" s="84"/>
      <c r="Z503" s="84"/>
      <c r="AA503" s="84">
        <f t="shared" si="232"/>
        <v>6.82907348242812</v>
      </c>
      <c r="AB503" s="94">
        <v>7.17</v>
      </c>
      <c r="AC503" s="81">
        <f t="shared" si="229"/>
        <v>48.9644568690096</v>
      </c>
      <c r="AD503" s="81">
        <f t="shared" si="228"/>
        <v>499.512912673056</v>
      </c>
      <c r="AE503" s="81">
        <f t="shared" si="230"/>
        <v>180.487087326944</v>
      </c>
    </row>
    <row r="504" customFormat="1" spans="1:31">
      <c r="A504" s="19"/>
      <c r="B504" s="20"/>
      <c r="C504" s="21">
        <v>240111000011</v>
      </c>
      <c r="D504" s="22">
        <v>45307</v>
      </c>
      <c r="E504" s="22" t="s">
        <v>49</v>
      </c>
      <c r="F504" s="20" t="s">
        <v>50</v>
      </c>
      <c r="G504" s="20" t="s">
        <v>360</v>
      </c>
      <c r="H504" s="20">
        <v>3.5</v>
      </c>
      <c r="I504" s="43">
        <v>217</v>
      </c>
      <c r="J504" s="44"/>
      <c r="K504" s="45"/>
      <c r="L504" s="44"/>
      <c r="M504" s="46"/>
      <c r="N504" s="20"/>
      <c r="O504" s="48">
        <f t="shared" si="236"/>
        <v>217</v>
      </c>
      <c r="P504" s="54"/>
      <c r="Q504" s="54"/>
      <c r="R504" s="81">
        <f t="shared" si="233"/>
        <v>157.207401490948</v>
      </c>
      <c r="S504" s="81"/>
      <c r="T504" s="82">
        <f t="shared" si="234"/>
        <v>0.484558040468584</v>
      </c>
      <c r="U504" s="81"/>
      <c r="V504" s="81"/>
      <c r="W504" s="83">
        <f t="shared" si="231"/>
        <v>157.691959531416</v>
      </c>
      <c r="X504" s="84">
        <f t="shared" si="235"/>
        <v>2.39017571884984</v>
      </c>
      <c r="Y504" s="84"/>
      <c r="Z504" s="84"/>
      <c r="AA504" s="84">
        <f t="shared" si="232"/>
        <v>2.39017571884984</v>
      </c>
      <c r="AB504" s="94">
        <v>7.17</v>
      </c>
      <c r="AC504" s="81">
        <f t="shared" si="229"/>
        <v>17.1375599041534</v>
      </c>
      <c r="AD504" s="81">
        <f t="shared" si="228"/>
        <v>174.82951943557</v>
      </c>
      <c r="AE504" s="81">
        <f t="shared" si="230"/>
        <v>42.17048056443</v>
      </c>
    </row>
    <row r="505" customFormat="1" spans="1:31">
      <c r="A505" s="19"/>
      <c r="B505" s="20"/>
      <c r="C505" s="21">
        <v>240111000013</v>
      </c>
      <c r="D505" s="22">
        <v>45307</v>
      </c>
      <c r="E505" s="22" t="s">
        <v>49</v>
      </c>
      <c r="F505" s="20" t="s">
        <v>50</v>
      </c>
      <c r="G505" s="20" t="s">
        <v>360</v>
      </c>
      <c r="H505" s="20">
        <v>17.5</v>
      </c>
      <c r="I505" s="50"/>
      <c r="J505" s="51">
        <v>238700</v>
      </c>
      <c r="K505" s="52"/>
      <c r="L505" s="51">
        <f>SUM(J505/M505)</f>
        <v>1577.45175786413</v>
      </c>
      <c r="M505" s="53">
        <v>151.32</v>
      </c>
      <c r="N505" s="20">
        <v>7.17</v>
      </c>
      <c r="O505" s="48">
        <f>SUM(M505*N505)</f>
        <v>1084.9644</v>
      </c>
      <c r="P505" s="54"/>
      <c r="Q505" s="54"/>
      <c r="R505" s="81">
        <f t="shared" si="233"/>
        <v>786.037007454739</v>
      </c>
      <c r="S505" s="81"/>
      <c r="T505" s="82">
        <f t="shared" si="234"/>
        <v>2.42279020234292</v>
      </c>
      <c r="U505" s="81"/>
      <c r="V505" s="81"/>
      <c r="W505" s="83">
        <f t="shared" si="231"/>
        <v>788.459797657082</v>
      </c>
      <c r="X505" s="84">
        <f t="shared" si="235"/>
        <v>11.9508785942492</v>
      </c>
      <c r="Y505" s="84"/>
      <c r="Z505" s="84"/>
      <c r="AA505" s="84">
        <f t="shared" si="232"/>
        <v>11.9508785942492</v>
      </c>
      <c r="AB505" s="94">
        <v>7.17</v>
      </c>
      <c r="AC505" s="81">
        <f t="shared" si="229"/>
        <v>85.6877995207668</v>
      </c>
      <c r="AD505" s="81">
        <f t="shared" si="228"/>
        <v>874.147597177849</v>
      </c>
      <c r="AE505" s="81">
        <f t="shared" si="230"/>
        <v>210.816802822151</v>
      </c>
    </row>
    <row r="506" customFormat="1" spans="1:31">
      <c r="A506" s="19"/>
      <c r="B506" s="20"/>
      <c r="C506" s="21">
        <v>240111000015</v>
      </c>
      <c r="D506" s="22">
        <v>45307</v>
      </c>
      <c r="E506" s="22" t="s">
        <v>37</v>
      </c>
      <c r="F506" s="20" t="s">
        <v>38</v>
      </c>
      <c r="G506" s="20" t="s">
        <v>282</v>
      </c>
      <c r="H506" s="20">
        <v>8</v>
      </c>
      <c r="I506" s="43">
        <v>515.4</v>
      </c>
      <c r="J506" s="44"/>
      <c r="K506" s="45"/>
      <c r="L506" s="44"/>
      <c r="M506" s="46"/>
      <c r="N506" s="20"/>
      <c r="O506" s="48">
        <f t="shared" ref="O506:O509" si="237">SUM(I506)</f>
        <v>515.4</v>
      </c>
      <c r="P506" s="54"/>
      <c r="Q506" s="54"/>
      <c r="R506" s="81">
        <f t="shared" si="233"/>
        <v>359.331203407881</v>
      </c>
      <c r="S506" s="81"/>
      <c r="T506" s="82">
        <f t="shared" si="234"/>
        <v>1.10756123535676</v>
      </c>
      <c r="U506" s="81"/>
      <c r="V506" s="82">
        <v>13</v>
      </c>
      <c r="W506" s="83">
        <f t="shared" si="231"/>
        <v>373.438764643237</v>
      </c>
      <c r="X506" s="84">
        <f t="shared" si="235"/>
        <v>5.46325878594249</v>
      </c>
      <c r="Y506" s="84"/>
      <c r="Z506" s="84"/>
      <c r="AA506" s="84">
        <f t="shared" si="232"/>
        <v>5.46325878594249</v>
      </c>
      <c r="AB506" s="94">
        <v>7.17</v>
      </c>
      <c r="AC506" s="81">
        <f t="shared" si="229"/>
        <v>39.1715654952077</v>
      </c>
      <c r="AD506" s="81">
        <f t="shared" si="228"/>
        <v>412.610330138445</v>
      </c>
      <c r="AE506" s="81">
        <f t="shared" si="230"/>
        <v>102.789669861555</v>
      </c>
    </row>
    <row r="507" customFormat="1" spans="1:31">
      <c r="A507" s="19"/>
      <c r="B507" s="20"/>
      <c r="C507" s="21">
        <v>240111000020</v>
      </c>
      <c r="D507" s="22">
        <v>45307</v>
      </c>
      <c r="E507" s="22" t="s">
        <v>110</v>
      </c>
      <c r="F507" s="20" t="s">
        <v>111</v>
      </c>
      <c r="G507" s="20" t="s">
        <v>379</v>
      </c>
      <c r="H507" s="20">
        <v>4</v>
      </c>
      <c r="I507" s="43">
        <v>340.2</v>
      </c>
      <c r="J507" s="44"/>
      <c r="K507" s="45"/>
      <c r="L507" s="44"/>
      <c r="M507" s="46"/>
      <c r="N507" s="20"/>
      <c r="O507" s="48">
        <f t="shared" si="237"/>
        <v>340.2</v>
      </c>
      <c r="P507" s="54"/>
      <c r="Q507" s="54"/>
      <c r="R507" s="81">
        <f t="shared" si="233"/>
        <v>179.66560170394</v>
      </c>
      <c r="S507" s="81"/>
      <c r="T507" s="82">
        <f t="shared" si="234"/>
        <v>0.553780617678381</v>
      </c>
      <c r="U507" s="81"/>
      <c r="V507" s="81"/>
      <c r="W507" s="83">
        <f t="shared" si="231"/>
        <v>180.219382321619</v>
      </c>
      <c r="X507" s="84">
        <f t="shared" si="235"/>
        <v>2.73162939297125</v>
      </c>
      <c r="Y507" s="84"/>
      <c r="Z507" s="84"/>
      <c r="AA507" s="84">
        <f t="shared" si="232"/>
        <v>2.73162939297125</v>
      </c>
      <c r="AB507" s="94">
        <v>7.17</v>
      </c>
      <c r="AC507" s="81">
        <f t="shared" si="229"/>
        <v>19.5857827476038</v>
      </c>
      <c r="AD507" s="81">
        <f t="shared" si="228"/>
        <v>199.805165069223</v>
      </c>
      <c r="AE507" s="81">
        <f t="shared" si="230"/>
        <v>140.394834930777</v>
      </c>
    </row>
    <row r="508" customFormat="1" spans="1:31">
      <c r="A508" s="19"/>
      <c r="B508" s="20"/>
      <c r="C508" s="21">
        <v>240111000021</v>
      </c>
      <c r="D508" s="22">
        <v>45307</v>
      </c>
      <c r="E508" s="22" t="s">
        <v>110</v>
      </c>
      <c r="F508" s="20" t="s">
        <v>111</v>
      </c>
      <c r="G508" s="20" t="s">
        <v>379</v>
      </c>
      <c r="H508" s="20">
        <v>13</v>
      </c>
      <c r="I508" s="43">
        <v>759</v>
      </c>
      <c r="J508" s="44"/>
      <c r="K508" s="45"/>
      <c r="L508" s="44"/>
      <c r="M508" s="46"/>
      <c r="N508" s="20"/>
      <c r="O508" s="48">
        <f t="shared" si="237"/>
        <v>759</v>
      </c>
      <c r="P508" s="54"/>
      <c r="Q508" s="54"/>
      <c r="R508" s="81">
        <f t="shared" si="233"/>
        <v>583.913205537806</v>
      </c>
      <c r="S508" s="81"/>
      <c r="T508" s="82">
        <f t="shared" si="234"/>
        <v>1.79978700745474</v>
      </c>
      <c r="U508" s="81"/>
      <c r="V508" s="81"/>
      <c r="W508" s="83">
        <f t="shared" si="231"/>
        <v>585.712992545261</v>
      </c>
      <c r="X508" s="84">
        <f t="shared" si="235"/>
        <v>8.87779552715655</v>
      </c>
      <c r="Y508" s="84"/>
      <c r="Z508" s="84"/>
      <c r="AA508" s="84">
        <f t="shared" si="232"/>
        <v>8.87779552715655</v>
      </c>
      <c r="AB508" s="94">
        <v>7.17</v>
      </c>
      <c r="AC508" s="81">
        <f t="shared" si="229"/>
        <v>63.6537939297125</v>
      </c>
      <c r="AD508" s="81">
        <f t="shared" si="228"/>
        <v>649.366786474973</v>
      </c>
      <c r="AE508" s="81">
        <f t="shared" si="230"/>
        <v>109.633213525027</v>
      </c>
    </row>
    <row r="509" customFormat="1" spans="1:31">
      <c r="A509" s="19"/>
      <c r="B509" s="20"/>
      <c r="C509" s="21">
        <v>240111000022</v>
      </c>
      <c r="D509" s="22">
        <v>45307</v>
      </c>
      <c r="E509" s="22" t="s">
        <v>110</v>
      </c>
      <c r="F509" s="20" t="s">
        <v>111</v>
      </c>
      <c r="G509" s="20" t="s">
        <v>379</v>
      </c>
      <c r="H509" s="20">
        <v>8</v>
      </c>
      <c r="I509" s="43">
        <v>562.8</v>
      </c>
      <c r="J509" s="44"/>
      <c r="K509" s="45"/>
      <c r="L509" s="44"/>
      <c r="M509" s="46"/>
      <c r="N509" s="20"/>
      <c r="O509" s="48">
        <f t="shared" si="237"/>
        <v>562.8</v>
      </c>
      <c r="P509" s="54"/>
      <c r="Q509" s="54"/>
      <c r="R509" s="81">
        <f t="shared" si="233"/>
        <v>359.331203407881</v>
      </c>
      <c r="S509" s="81"/>
      <c r="T509" s="82">
        <f t="shared" si="234"/>
        <v>1.10756123535676</v>
      </c>
      <c r="U509" s="81"/>
      <c r="V509" s="81"/>
      <c r="W509" s="83">
        <f t="shared" si="231"/>
        <v>360.438764643237</v>
      </c>
      <c r="X509" s="84">
        <f t="shared" si="235"/>
        <v>5.46325878594249</v>
      </c>
      <c r="Y509" s="84"/>
      <c r="Z509" s="84"/>
      <c r="AA509" s="84">
        <f t="shared" si="232"/>
        <v>5.46325878594249</v>
      </c>
      <c r="AB509" s="94">
        <v>7.17</v>
      </c>
      <c r="AC509" s="81">
        <f t="shared" si="229"/>
        <v>39.1715654952077</v>
      </c>
      <c r="AD509" s="81">
        <f t="shared" si="228"/>
        <v>399.610330138445</v>
      </c>
      <c r="AE509" s="81">
        <f t="shared" si="230"/>
        <v>163.189669861555</v>
      </c>
    </row>
    <row r="510" customFormat="1" spans="1:31">
      <c r="A510" s="19"/>
      <c r="B510" s="20"/>
      <c r="C510" s="21">
        <v>240111000030</v>
      </c>
      <c r="D510" s="22">
        <v>45307</v>
      </c>
      <c r="E510" s="22" t="s">
        <v>49</v>
      </c>
      <c r="F510" s="20" t="s">
        <v>50</v>
      </c>
      <c r="G510" s="20" t="s">
        <v>232</v>
      </c>
      <c r="H510" s="20">
        <v>250</v>
      </c>
      <c r="I510" s="50">
        <v>-7103</v>
      </c>
      <c r="J510" s="51">
        <v>5062769</v>
      </c>
      <c r="K510" s="52"/>
      <c r="L510" s="51">
        <f>SUM(J510/M510)</f>
        <v>1598.91390167952</v>
      </c>
      <c r="M510" s="53">
        <v>3166.38</v>
      </c>
      <c r="N510" s="20">
        <v>7.17</v>
      </c>
      <c r="O510" s="48">
        <f>SUM(M510*N510)+I510</f>
        <v>15599.9446</v>
      </c>
      <c r="P510" s="54"/>
      <c r="Q510" s="54"/>
      <c r="R510" s="81">
        <f t="shared" si="233"/>
        <v>11229.1001064963</v>
      </c>
      <c r="S510" s="81"/>
      <c r="T510" s="82">
        <f t="shared" si="234"/>
        <v>34.6112886048988</v>
      </c>
      <c r="U510" s="81"/>
      <c r="V510" s="81"/>
      <c r="W510" s="83">
        <f t="shared" si="231"/>
        <v>11263.7113951012</v>
      </c>
      <c r="X510" s="84">
        <f t="shared" si="235"/>
        <v>170.726837060703</v>
      </c>
      <c r="Y510" s="84"/>
      <c r="Z510" s="84"/>
      <c r="AA510" s="84">
        <f t="shared" si="232"/>
        <v>170.726837060703</v>
      </c>
      <c r="AB510" s="94">
        <v>7.17</v>
      </c>
      <c r="AC510" s="81">
        <f t="shared" si="229"/>
        <v>1224.11142172524</v>
      </c>
      <c r="AD510" s="81">
        <f t="shared" si="228"/>
        <v>12487.8228168264</v>
      </c>
      <c r="AE510" s="81">
        <f t="shared" si="230"/>
        <v>3112.1217831736</v>
      </c>
    </row>
    <row r="511" customFormat="1" spans="1:31">
      <c r="A511" s="19"/>
      <c r="B511" s="20"/>
      <c r="C511" s="23">
        <v>240111000031</v>
      </c>
      <c r="D511" s="24">
        <v>45307</v>
      </c>
      <c r="E511" s="22" t="s">
        <v>49</v>
      </c>
      <c r="F511" s="26" t="s">
        <v>50</v>
      </c>
      <c r="G511" s="26" t="s">
        <v>380</v>
      </c>
      <c r="H511" s="26">
        <v>4</v>
      </c>
      <c r="I511" s="43">
        <v>380</v>
      </c>
      <c r="J511" s="44"/>
      <c r="K511" s="45"/>
      <c r="L511" s="44"/>
      <c r="M511" s="46"/>
      <c r="N511" s="20"/>
      <c r="O511" s="48">
        <f t="shared" ref="O511:O514" si="238">SUM(I511)</f>
        <v>380</v>
      </c>
      <c r="P511" s="54"/>
      <c r="Q511" s="54"/>
      <c r="R511" s="81">
        <f t="shared" si="233"/>
        <v>179.66560170394</v>
      </c>
      <c r="S511" s="81"/>
      <c r="T511" s="82">
        <f t="shared" si="234"/>
        <v>0.553780617678381</v>
      </c>
      <c r="U511" s="81"/>
      <c r="V511" s="81"/>
      <c r="W511" s="83">
        <f t="shared" si="231"/>
        <v>180.219382321619</v>
      </c>
      <c r="X511" s="84">
        <f t="shared" si="235"/>
        <v>2.73162939297125</v>
      </c>
      <c r="Y511" s="84">
        <v>11.2</v>
      </c>
      <c r="Z511" s="84"/>
      <c r="AA511" s="84">
        <f t="shared" si="232"/>
        <v>13.9316293929712</v>
      </c>
      <c r="AB511" s="94">
        <v>7.17</v>
      </c>
      <c r="AC511" s="81">
        <f t="shared" si="229"/>
        <v>99.8897827476038</v>
      </c>
      <c r="AD511" s="81">
        <f t="shared" si="228"/>
        <v>280.109165069223</v>
      </c>
      <c r="AE511" s="81">
        <f t="shared" si="230"/>
        <v>99.890834930777</v>
      </c>
    </row>
    <row r="512" customFormat="1" spans="1:31">
      <c r="A512" s="19"/>
      <c r="B512" s="20"/>
      <c r="C512" s="21">
        <v>240111000033</v>
      </c>
      <c r="D512" s="22">
        <v>45307</v>
      </c>
      <c r="E512" s="22" t="s">
        <v>37</v>
      </c>
      <c r="F512" s="20" t="s">
        <v>38</v>
      </c>
      <c r="G512" s="20" t="s">
        <v>381</v>
      </c>
      <c r="H512" s="20">
        <v>0.58</v>
      </c>
      <c r="I512" s="43">
        <v>75.6</v>
      </c>
      <c r="J512" s="44"/>
      <c r="K512" s="45"/>
      <c r="L512" s="44"/>
      <c r="M512" s="46"/>
      <c r="N512" s="20"/>
      <c r="O512" s="48">
        <f t="shared" si="238"/>
        <v>75.6</v>
      </c>
      <c r="P512" s="54"/>
      <c r="Q512" s="54"/>
      <c r="R512" s="81">
        <f t="shared" si="233"/>
        <v>26.0515122470714</v>
      </c>
      <c r="S512" s="81"/>
      <c r="T512" s="82">
        <f t="shared" si="234"/>
        <v>0.0802981895633653</v>
      </c>
      <c r="U512" s="81"/>
      <c r="V512" s="81"/>
      <c r="W512" s="83">
        <f t="shared" si="231"/>
        <v>26.1318104366347</v>
      </c>
      <c r="X512" s="84">
        <f t="shared" si="235"/>
        <v>0.396086261980831</v>
      </c>
      <c r="Y512" s="84"/>
      <c r="Z512" s="84"/>
      <c r="AA512" s="84">
        <f t="shared" si="232"/>
        <v>0.396086261980831</v>
      </c>
      <c r="AB512" s="94">
        <v>7.17</v>
      </c>
      <c r="AC512" s="81">
        <f t="shared" si="229"/>
        <v>2.83993849840256</v>
      </c>
      <c r="AD512" s="81">
        <f t="shared" si="228"/>
        <v>28.9717489350373</v>
      </c>
      <c r="AE512" s="81">
        <f t="shared" si="230"/>
        <v>46.6282510649627</v>
      </c>
    </row>
    <row r="513" customFormat="1" spans="1:31">
      <c r="A513" s="19"/>
      <c r="B513" s="20"/>
      <c r="C513" s="21">
        <v>240111000037</v>
      </c>
      <c r="D513" s="22">
        <v>45307</v>
      </c>
      <c r="E513" s="22" t="s">
        <v>44</v>
      </c>
      <c r="F513" s="20" t="s">
        <v>45</v>
      </c>
      <c r="G513" s="20" t="s">
        <v>382</v>
      </c>
      <c r="H513" s="20">
        <v>1.5</v>
      </c>
      <c r="I513" s="43">
        <v>103</v>
      </c>
      <c r="J513" s="44"/>
      <c r="K513" s="45"/>
      <c r="L513" s="44"/>
      <c r="M513" s="46"/>
      <c r="N513" s="20"/>
      <c r="O513" s="48">
        <f t="shared" si="238"/>
        <v>103</v>
      </c>
      <c r="P513" s="54"/>
      <c r="Q513" s="54"/>
      <c r="R513" s="81">
        <f t="shared" si="233"/>
        <v>67.3746006389776</v>
      </c>
      <c r="S513" s="81"/>
      <c r="T513" s="82">
        <f t="shared" si="234"/>
        <v>0.207667731629393</v>
      </c>
      <c r="U513" s="81"/>
      <c r="V513" s="81"/>
      <c r="W513" s="83">
        <f t="shared" si="231"/>
        <v>67.582268370607</v>
      </c>
      <c r="X513" s="84">
        <f t="shared" si="235"/>
        <v>1.02436102236422</v>
      </c>
      <c r="Y513" s="84"/>
      <c r="Z513" s="84"/>
      <c r="AA513" s="84">
        <f t="shared" si="232"/>
        <v>1.02436102236422</v>
      </c>
      <c r="AB513" s="94">
        <v>7.17</v>
      </c>
      <c r="AC513" s="81">
        <f t="shared" si="229"/>
        <v>7.34466853035144</v>
      </c>
      <c r="AD513" s="81">
        <f t="shared" si="228"/>
        <v>74.9269369009585</v>
      </c>
      <c r="AE513" s="81">
        <f t="shared" si="230"/>
        <v>28.0730630990415</v>
      </c>
    </row>
    <row r="514" customFormat="1" spans="1:31">
      <c r="A514" s="19"/>
      <c r="B514" s="20"/>
      <c r="C514" s="21">
        <v>240111000039</v>
      </c>
      <c r="D514" s="22">
        <v>45307</v>
      </c>
      <c r="E514" s="22" t="s">
        <v>37</v>
      </c>
      <c r="F514" s="20" t="s">
        <v>38</v>
      </c>
      <c r="G514" s="20" t="s">
        <v>60</v>
      </c>
      <c r="H514" s="20">
        <v>15</v>
      </c>
      <c r="I514" s="43">
        <v>943.2</v>
      </c>
      <c r="J514" s="44"/>
      <c r="K514" s="45"/>
      <c r="L514" s="44"/>
      <c r="M514" s="46"/>
      <c r="N514" s="20"/>
      <c r="O514" s="48">
        <f t="shared" si="238"/>
        <v>943.2</v>
      </c>
      <c r="P514" s="54"/>
      <c r="Q514" s="54"/>
      <c r="R514" s="81">
        <f t="shared" si="233"/>
        <v>673.746006389776</v>
      </c>
      <c r="S514" s="81"/>
      <c r="T514" s="82">
        <f t="shared" si="234"/>
        <v>2.07667731629393</v>
      </c>
      <c r="U514" s="81"/>
      <c r="V514" s="81"/>
      <c r="W514" s="83">
        <f t="shared" si="231"/>
        <v>675.82268370607</v>
      </c>
      <c r="X514" s="84">
        <f t="shared" si="235"/>
        <v>10.2436102236422</v>
      </c>
      <c r="Y514" s="84"/>
      <c r="Z514" s="84"/>
      <c r="AA514" s="84">
        <f t="shared" si="232"/>
        <v>10.2436102236422</v>
      </c>
      <c r="AB514" s="94">
        <v>7.17</v>
      </c>
      <c r="AC514" s="81">
        <f t="shared" si="229"/>
        <v>73.4466853035144</v>
      </c>
      <c r="AD514" s="81">
        <f t="shared" si="228"/>
        <v>749.269369009585</v>
      </c>
      <c r="AE514" s="81">
        <f t="shared" si="230"/>
        <v>193.930630990415</v>
      </c>
    </row>
    <row r="515" customFormat="1" spans="1:31">
      <c r="A515" s="19"/>
      <c r="B515" s="20"/>
      <c r="C515" s="21">
        <v>240111000044</v>
      </c>
      <c r="D515" s="22">
        <v>45307</v>
      </c>
      <c r="E515" s="22" t="s">
        <v>49</v>
      </c>
      <c r="F515" s="20" t="s">
        <v>50</v>
      </c>
      <c r="G515" s="20" t="s">
        <v>383</v>
      </c>
      <c r="H515" s="20">
        <v>24</v>
      </c>
      <c r="I515" s="50"/>
      <c r="J515" s="51">
        <v>255600</v>
      </c>
      <c r="K515" s="52"/>
      <c r="L515" s="51">
        <f>SUM(J515/M515)</f>
        <v>1527.24665391969</v>
      </c>
      <c r="M515" s="53">
        <v>167.36</v>
      </c>
      <c r="N515" s="20">
        <v>7.17</v>
      </c>
      <c r="O515" s="48">
        <f t="shared" ref="O515:O522" si="239">SUM(M515*N515)</f>
        <v>1199.9712</v>
      </c>
      <c r="P515" s="54"/>
      <c r="Q515" s="54"/>
      <c r="R515" s="81">
        <f t="shared" si="233"/>
        <v>1077.99361022364</v>
      </c>
      <c r="S515" s="81"/>
      <c r="T515" s="82">
        <f t="shared" si="234"/>
        <v>3.32268370607029</v>
      </c>
      <c r="U515" s="81"/>
      <c r="V515" s="81"/>
      <c r="W515" s="83">
        <f t="shared" si="231"/>
        <v>1081.31629392971</v>
      </c>
      <c r="X515" s="84">
        <f t="shared" si="235"/>
        <v>16.3897763578275</v>
      </c>
      <c r="Y515" s="84"/>
      <c r="Z515" s="84"/>
      <c r="AA515" s="84">
        <f t="shared" si="232"/>
        <v>16.3897763578275</v>
      </c>
      <c r="AB515" s="94">
        <v>7.17</v>
      </c>
      <c r="AC515" s="81">
        <f t="shared" si="229"/>
        <v>117.514696485623</v>
      </c>
      <c r="AD515" s="81">
        <f t="shared" si="228"/>
        <v>1198.83099041534</v>
      </c>
      <c r="AE515" s="81">
        <f t="shared" si="230"/>
        <v>1.14020958466017</v>
      </c>
    </row>
    <row r="516" customFormat="1" spans="1:31">
      <c r="A516" s="19"/>
      <c r="B516" s="20"/>
      <c r="C516" s="21">
        <v>240111000053</v>
      </c>
      <c r="D516" s="22">
        <v>45307</v>
      </c>
      <c r="E516" s="22" t="s">
        <v>58</v>
      </c>
      <c r="F516" s="20">
        <v>13635229849</v>
      </c>
      <c r="G516" s="20" t="s">
        <v>157</v>
      </c>
      <c r="H516" s="20">
        <v>0.86</v>
      </c>
      <c r="I516" s="48"/>
      <c r="J516" s="55">
        <v>17507</v>
      </c>
      <c r="K516" s="56"/>
      <c r="L516" s="51">
        <f>SUM(J516/M516)</f>
        <v>1405.05629254063</v>
      </c>
      <c r="M516" s="53">
        <v>12.459999</v>
      </c>
      <c r="N516" s="20">
        <v>7.17</v>
      </c>
      <c r="O516" s="48">
        <f t="shared" si="239"/>
        <v>89.33819283</v>
      </c>
      <c r="P516" s="54"/>
      <c r="Q516" s="54"/>
      <c r="R516" s="81">
        <f t="shared" si="233"/>
        <v>38.6281043663472</v>
      </c>
      <c r="S516" s="81"/>
      <c r="T516" s="82">
        <f t="shared" si="234"/>
        <v>0.119062832800852</v>
      </c>
      <c r="U516" s="81"/>
      <c r="V516" s="81"/>
      <c r="W516" s="83">
        <f t="shared" si="231"/>
        <v>38.747167199148</v>
      </c>
      <c r="X516" s="84">
        <f t="shared" si="235"/>
        <v>0.587300319488818</v>
      </c>
      <c r="Y516" s="84"/>
      <c r="Z516" s="84"/>
      <c r="AA516" s="84">
        <f t="shared" si="232"/>
        <v>0.587300319488818</v>
      </c>
      <c r="AB516" s="94">
        <v>7.17</v>
      </c>
      <c r="AC516" s="81">
        <f t="shared" si="229"/>
        <v>4.21094329073482</v>
      </c>
      <c r="AD516" s="81">
        <f t="shared" si="228"/>
        <v>42.9581104898828</v>
      </c>
      <c r="AE516" s="81">
        <f t="shared" si="230"/>
        <v>46.3800823401172</v>
      </c>
    </row>
    <row r="517" customFormat="1" spans="1:31">
      <c r="A517" s="19"/>
      <c r="B517" s="20"/>
      <c r="C517" s="21">
        <v>240112000004</v>
      </c>
      <c r="D517" s="22">
        <v>45307</v>
      </c>
      <c r="E517" s="22" t="s">
        <v>44</v>
      </c>
      <c r="F517" s="20" t="s">
        <v>45</v>
      </c>
      <c r="G517" s="20" t="s">
        <v>382</v>
      </c>
      <c r="H517" s="20">
        <v>3</v>
      </c>
      <c r="I517" s="43">
        <v>236</v>
      </c>
      <c r="J517" s="44"/>
      <c r="K517" s="45"/>
      <c r="L517" s="44"/>
      <c r="M517" s="46"/>
      <c r="N517" s="20"/>
      <c r="O517" s="48">
        <f t="shared" ref="O517:O519" si="240">SUM(I517)</f>
        <v>236</v>
      </c>
      <c r="P517" s="54"/>
      <c r="Q517" s="54"/>
      <c r="R517" s="81">
        <f t="shared" si="233"/>
        <v>134.749201277955</v>
      </c>
      <c r="S517" s="81"/>
      <c r="T517" s="82">
        <f t="shared" si="234"/>
        <v>0.415335463258786</v>
      </c>
      <c r="U517" s="81"/>
      <c r="V517" s="81"/>
      <c r="W517" s="83">
        <f t="shared" si="231"/>
        <v>135.164536741214</v>
      </c>
      <c r="X517" s="84">
        <f t="shared" si="235"/>
        <v>2.04872204472843</v>
      </c>
      <c r="Y517" s="84"/>
      <c r="Z517" s="84"/>
      <c r="AA517" s="84">
        <f t="shared" si="232"/>
        <v>2.04872204472843</v>
      </c>
      <c r="AB517" s="94">
        <v>7.17</v>
      </c>
      <c r="AC517" s="81">
        <f t="shared" si="229"/>
        <v>14.6893370607029</v>
      </c>
      <c r="AD517" s="81">
        <f t="shared" si="228"/>
        <v>149.853873801917</v>
      </c>
      <c r="AE517" s="81">
        <f t="shared" si="230"/>
        <v>86.146126198083</v>
      </c>
    </row>
    <row r="518" customFormat="1" spans="1:31">
      <c r="A518" s="19"/>
      <c r="B518" s="20"/>
      <c r="C518" s="21">
        <v>240112000018</v>
      </c>
      <c r="D518" s="22">
        <v>45307</v>
      </c>
      <c r="E518" s="22" t="s">
        <v>37</v>
      </c>
      <c r="F518" s="20" t="s">
        <v>38</v>
      </c>
      <c r="G518" s="20" t="s">
        <v>361</v>
      </c>
      <c r="H518" s="20">
        <v>0.94</v>
      </c>
      <c r="I518" s="43">
        <v>69.6</v>
      </c>
      <c r="J518" s="44"/>
      <c r="K518" s="45"/>
      <c r="L518" s="44"/>
      <c r="M518" s="46"/>
      <c r="N518" s="20"/>
      <c r="O518" s="48">
        <f t="shared" si="240"/>
        <v>69.6</v>
      </c>
      <c r="P518" s="54"/>
      <c r="Q518" s="54"/>
      <c r="R518" s="81">
        <f t="shared" si="233"/>
        <v>42.221416400426</v>
      </c>
      <c r="S518" s="81"/>
      <c r="T518" s="82">
        <f t="shared" si="234"/>
        <v>0.13013844515442</v>
      </c>
      <c r="U518" s="81"/>
      <c r="V518" s="81"/>
      <c r="W518" s="83">
        <f t="shared" si="231"/>
        <v>42.3515548455804</v>
      </c>
      <c r="X518" s="84">
        <f t="shared" si="235"/>
        <v>0.641932907348243</v>
      </c>
      <c r="Y518" s="84"/>
      <c r="Z518" s="84"/>
      <c r="AA518" s="84">
        <f t="shared" si="232"/>
        <v>0.641932907348243</v>
      </c>
      <c r="AB518" s="94">
        <v>7.17</v>
      </c>
      <c r="AC518" s="81">
        <f t="shared" si="229"/>
        <v>4.6026589456869</v>
      </c>
      <c r="AD518" s="81">
        <f t="shared" si="228"/>
        <v>46.9542137912673</v>
      </c>
      <c r="AE518" s="81">
        <f t="shared" si="230"/>
        <v>22.6457862087327</v>
      </c>
    </row>
    <row r="519" customFormat="1" spans="1:31">
      <c r="A519" s="19"/>
      <c r="B519" s="20"/>
      <c r="C519" s="21">
        <v>240112000022</v>
      </c>
      <c r="D519" s="22">
        <v>45307</v>
      </c>
      <c r="E519" s="22" t="s">
        <v>37</v>
      </c>
      <c r="F519" s="20" t="s">
        <v>38</v>
      </c>
      <c r="G519" s="20" t="s">
        <v>154</v>
      </c>
      <c r="H519" s="20">
        <v>0.96</v>
      </c>
      <c r="I519" s="43">
        <v>75.6</v>
      </c>
      <c r="J519" s="44"/>
      <c r="K519" s="45"/>
      <c r="L519" s="44"/>
      <c r="M519" s="46"/>
      <c r="N519" s="20"/>
      <c r="O519" s="48">
        <f t="shared" si="240"/>
        <v>75.6</v>
      </c>
      <c r="P519" s="54"/>
      <c r="Q519" s="54"/>
      <c r="R519" s="81">
        <f t="shared" si="233"/>
        <v>43.1197444089457</v>
      </c>
      <c r="S519" s="81"/>
      <c r="T519" s="82">
        <f t="shared" si="234"/>
        <v>0.132907348242812</v>
      </c>
      <c r="U519" s="81"/>
      <c r="V519" s="81"/>
      <c r="W519" s="83">
        <f t="shared" si="231"/>
        <v>43.2526517571885</v>
      </c>
      <c r="X519" s="84">
        <f t="shared" si="235"/>
        <v>0.655591054313099</v>
      </c>
      <c r="Y519" s="84"/>
      <c r="Z519" s="84"/>
      <c r="AA519" s="84">
        <f t="shared" si="232"/>
        <v>0.655591054313099</v>
      </c>
      <c r="AB519" s="94">
        <v>7.17</v>
      </c>
      <c r="AC519" s="81">
        <f t="shared" si="229"/>
        <v>4.70058785942492</v>
      </c>
      <c r="AD519" s="81">
        <f t="shared" si="228"/>
        <v>47.9532396166134</v>
      </c>
      <c r="AE519" s="81">
        <f t="shared" si="230"/>
        <v>27.6467603833866</v>
      </c>
    </row>
    <row r="520" customFormat="1" spans="1:31">
      <c r="A520" s="19"/>
      <c r="B520" s="20"/>
      <c r="C520" s="21">
        <v>240112000023</v>
      </c>
      <c r="D520" s="22">
        <v>45307</v>
      </c>
      <c r="E520" s="22" t="s">
        <v>99</v>
      </c>
      <c r="F520" s="20" t="s">
        <v>100</v>
      </c>
      <c r="G520" s="20" t="s">
        <v>384</v>
      </c>
      <c r="H520" s="20">
        <v>6.5</v>
      </c>
      <c r="I520" s="48"/>
      <c r="J520" s="55">
        <v>87923</v>
      </c>
      <c r="K520" s="56"/>
      <c r="L520" s="51">
        <f>SUM(J520/M520)</f>
        <v>1553.9589961117</v>
      </c>
      <c r="M520" s="53">
        <v>56.58</v>
      </c>
      <c r="N520" s="20">
        <v>7.17</v>
      </c>
      <c r="O520" s="48">
        <f t="shared" si="239"/>
        <v>405.6786</v>
      </c>
      <c r="P520" s="54"/>
      <c r="Q520" s="54"/>
      <c r="R520" s="81">
        <f t="shared" si="233"/>
        <v>291.956602768903</v>
      </c>
      <c r="S520" s="81"/>
      <c r="T520" s="82">
        <f t="shared" si="234"/>
        <v>0.89989350372737</v>
      </c>
      <c r="U520" s="81"/>
      <c r="V520" s="81"/>
      <c r="W520" s="83">
        <f t="shared" si="231"/>
        <v>292.85649627263</v>
      </c>
      <c r="X520" s="84">
        <f t="shared" si="235"/>
        <v>4.43889776357828</v>
      </c>
      <c r="Y520" s="84"/>
      <c r="Z520" s="84"/>
      <c r="AA520" s="84">
        <f t="shared" si="232"/>
        <v>4.43889776357828</v>
      </c>
      <c r="AB520" s="94">
        <v>7.17</v>
      </c>
      <c r="AC520" s="81">
        <f t="shared" si="229"/>
        <v>31.8268969648562</v>
      </c>
      <c r="AD520" s="81">
        <f t="shared" si="228"/>
        <v>324.683393237487</v>
      </c>
      <c r="AE520" s="81">
        <f t="shared" si="230"/>
        <v>80.995206762513</v>
      </c>
    </row>
    <row r="521" customFormat="1" spans="1:31">
      <c r="A521" s="19"/>
      <c r="B521" s="20"/>
      <c r="C521" s="21">
        <v>240112000024</v>
      </c>
      <c r="D521" s="22">
        <v>45307</v>
      </c>
      <c r="E521" s="22" t="s">
        <v>99</v>
      </c>
      <c r="F521" s="20" t="s">
        <v>100</v>
      </c>
      <c r="G521" s="20" t="s">
        <v>384</v>
      </c>
      <c r="H521" s="20">
        <v>2</v>
      </c>
      <c r="I521" s="48"/>
      <c r="J521" s="55">
        <v>39277</v>
      </c>
      <c r="K521" s="56"/>
      <c r="L521" s="51">
        <f>SUM(J521/M521)</f>
        <v>1553.67885892717</v>
      </c>
      <c r="M521" s="53">
        <v>25.279999</v>
      </c>
      <c r="N521" s="20">
        <v>7.17</v>
      </c>
      <c r="O521" s="48">
        <f t="shared" si="239"/>
        <v>181.25759283</v>
      </c>
      <c r="P521" s="54"/>
      <c r="Q521" s="54"/>
      <c r="R521" s="81">
        <f t="shared" si="233"/>
        <v>89.8328008519702</v>
      </c>
      <c r="S521" s="81"/>
      <c r="T521" s="82">
        <f t="shared" si="234"/>
        <v>0.276890308839191</v>
      </c>
      <c r="U521" s="81"/>
      <c r="V521" s="81"/>
      <c r="W521" s="83">
        <f t="shared" si="231"/>
        <v>90.1096911608094</v>
      </c>
      <c r="X521" s="84">
        <f t="shared" si="235"/>
        <v>1.36581469648562</v>
      </c>
      <c r="Y521" s="84"/>
      <c r="Z521" s="84"/>
      <c r="AA521" s="84">
        <f t="shared" si="232"/>
        <v>1.36581469648562</v>
      </c>
      <c r="AB521" s="94">
        <v>7.17</v>
      </c>
      <c r="AC521" s="81">
        <f t="shared" si="229"/>
        <v>9.79289137380192</v>
      </c>
      <c r="AD521" s="81">
        <f t="shared" si="228"/>
        <v>99.9025825346113</v>
      </c>
      <c r="AE521" s="81">
        <f t="shared" si="230"/>
        <v>81.3550102953887</v>
      </c>
    </row>
    <row r="522" customFormat="1" spans="1:31">
      <c r="A522" s="19"/>
      <c r="B522" s="20"/>
      <c r="C522" s="21">
        <v>240112000030</v>
      </c>
      <c r="D522" s="22">
        <v>45307</v>
      </c>
      <c r="E522" s="22" t="s">
        <v>49</v>
      </c>
      <c r="F522" s="20" t="s">
        <v>50</v>
      </c>
      <c r="G522" s="20" t="s">
        <v>360</v>
      </c>
      <c r="H522" s="20">
        <v>27.5</v>
      </c>
      <c r="I522" s="50"/>
      <c r="J522" s="51">
        <v>375100</v>
      </c>
      <c r="K522" s="52"/>
      <c r="L522" s="51">
        <f>SUM(J522/M522)</f>
        <v>1577.44228100425</v>
      </c>
      <c r="M522" s="53">
        <v>237.79</v>
      </c>
      <c r="N522" s="20">
        <v>7.17</v>
      </c>
      <c r="O522" s="48">
        <f t="shared" si="239"/>
        <v>1704.9543</v>
      </c>
      <c r="P522" s="54"/>
      <c r="Q522" s="54"/>
      <c r="R522" s="81">
        <f t="shared" si="233"/>
        <v>1235.20101171459</v>
      </c>
      <c r="S522" s="81"/>
      <c r="T522" s="82">
        <f t="shared" si="234"/>
        <v>3.80724174653887</v>
      </c>
      <c r="U522" s="81"/>
      <c r="V522" s="81"/>
      <c r="W522" s="83">
        <f t="shared" si="231"/>
        <v>1239.00825346113</v>
      </c>
      <c r="X522" s="84">
        <f t="shared" si="235"/>
        <v>18.7799520766773</v>
      </c>
      <c r="Y522" s="84"/>
      <c r="Z522" s="84"/>
      <c r="AA522" s="84">
        <f t="shared" si="232"/>
        <v>18.7799520766773</v>
      </c>
      <c r="AB522" s="94">
        <v>7.17</v>
      </c>
      <c r="AC522" s="81">
        <f t="shared" si="229"/>
        <v>134.652256389776</v>
      </c>
      <c r="AD522" s="81">
        <f t="shared" si="228"/>
        <v>1373.66050985091</v>
      </c>
      <c r="AE522" s="81">
        <f t="shared" si="230"/>
        <v>331.29379014909</v>
      </c>
    </row>
    <row r="523" customFormat="1" spans="1:31">
      <c r="A523" s="19"/>
      <c r="B523" s="20"/>
      <c r="C523" s="21">
        <v>240112000032</v>
      </c>
      <c r="D523" s="22">
        <v>45307</v>
      </c>
      <c r="E523" s="22" t="s">
        <v>44</v>
      </c>
      <c r="F523" s="20" t="s">
        <v>45</v>
      </c>
      <c r="G523" s="20" t="s">
        <v>385</v>
      </c>
      <c r="H523" s="20">
        <v>11</v>
      </c>
      <c r="I523" s="43">
        <v>693.5</v>
      </c>
      <c r="J523" s="44"/>
      <c r="K523" s="45"/>
      <c r="L523" s="44"/>
      <c r="M523" s="46"/>
      <c r="N523" s="20"/>
      <c r="O523" s="48">
        <f t="shared" ref="O523:O540" si="241">SUM(I523)</f>
        <v>693.5</v>
      </c>
      <c r="P523" s="54"/>
      <c r="Q523" s="54"/>
      <c r="R523" s="81">
        <f t="shared" si="233"/>
        <v>494.080404685836</v>
      </c>
      <c r="S523" s="81"/>
      <c r="T523" s="82">
        <f t="shared" si="234"/>
        <v>1.52289669861555</v>
      </c>
      <c r="U523" s="81"/>
      <c r="V523" s="81"/>
      <c r="W523" s="83">
        <f t="shared" si="231"/>
        <v>495.603301384452</v>
      </c>
      <c r="X523" s="84">
        <f t="shared" si="235"/>
        <v>7.51198083067093</v>
      </c>
      <c r="Y523" s="84"/>
      <c r="Z523" s="84"/>
      <c r="AA523" s="84">
        <f t="shared" si="232"/>
        <v>7.51198083067093</v>
      </c>
      <c r="AB523" s="94">
        <v>7.17</v>
      </c>
      <c r="AC523" s="81">
        <f t="shared" si="229"/>
        <v>53.8609025559105</v>
      </c>
      <c r="AD523" s="81">
        <f t="shared" si="228"/>
        <v>549.464203940362</v>
      </c>
      <c r="AE523" s="81">
        <f t="shared" si="230"/>
        <v>144.035796059638</v>
      </c>
    </row>
    <row r="524" customFormat="1" spans="1:31">
      <c r="A524" s="19"/>
      <c r="B524" s="20"/>
      <c r="C524" s="21">
        <v>240112000035</v>
      </c>
      <c r="D524" s="22">
        <v>45307</v>
      </c>
      <c r="E524" s="25" t="s">
        <v>69</v>
      </c>
      <c r="F524" s="20" t="s">
        <v>69</v>
      </c>
      <c r="G524" s="20" t="s">
        <v>130</v>
      </c>
      <c r="H524" s="20">
        <v>24.5</v>
      </c>
      <c r="I524" s="43">
        <v>1447.5</v>
      </c>
      <c r="J524" s="44"/>
      <c r="K524" s="45"/>
      <c r="L524" s="44"/>
      <c r="M524" s="46"/>
      <c r="N524" s="20"/>
      <c r="O524" s="48">
        <f t="shared" si="241"/>
        <v>1447.5</v>
      </c>
      <c r="P524" s="54"/>
      <c r="Q524" s="54"/>
      <c r="R524" s="81">
        <f t="shared" si="233"/>
        <v>1100.45181043663</v>
      </c>
      <c r="S524" s="81"/>
      <c r="T524" s="82">
        <f t="shared" si="234"/>
        <v>3.39190628328009</v>
      </c>
      <c r="U524" s="81"/>
      <c r="V524" s="81"/>
      <c r="W524" s="83">
        <f t="shared" si="231"/>
        <v>1103.84371671991</v>
      </c>
      <c r="X524" s="84">
        <f t="shared" si="235"/>
        <v>16.7312300319489</v>
      </c>
      <c r="Y524" s="84"/>
      <c r="Z524" s="84"/>
      <c r="AA524" s="84">
        <f t="shared" si="232"/>
        <v>16.7312300319489</v>
      </c>
      <c r="AB524" s="94">
        <v>7.17</v>
      </c>
      <c r="AC524" s="81">
        <f t="shared" si="229"/>
        <v>119.962919329073</v>
      </c>
      <c r="AD524" s="81">
        <f t="shared" si="228"/>
        <v>1223.80663604899</v>
      </c>
      <c r="AE524" s="81">
        <f t="shared" si="230"/>
        <v>223.69336395101</v>
      </c>
    </row>
    <row r="525" customFormat="1" spans="1:31">
      <c r="A525" s="19"/>
      <c r="B525" s="20"/>
      <c r="C525" s="21">
        <v>240113000002</v>
      </c>
      <c r="D525" s="22">
        <v>45307</v>
      </c>
      <c r="E525" s="22" t="s">
        <v>49</v>
      </c>
      <c r="F525" s="20" t="s">
        <v>50</v>
      </c>
      <c r="G525" s="20" t="s">
        <v>386</v>
      </c>
      <c r="H525" s="20">
        <v>3</v>
      </c>
      <c r="I525" s="43">
        <v>200</v>
      </c>
      <c r="J525" s="44"/>
      <c r="K525" s="45"/>
      <c r="L525" s="44"/>
      <c r="M525" s="46"/>
      <c r="N525" s="20"/>
      <c r="O525" s="48">
        <f t="shared" si="241"/>
        <v>200</v>
      </c>
      <c r="P525" s="54"/>
      <c r="Q525" s="54"/>
      <c r="R525" s="81">
        <f t="shared" si="233"/>
        <v>134.749201277955</v>
      </c>
      <c r="S525" s="81"/>
      <c r="T525" s="82">
        <f t="shared" si="234"/>
        <v>0.415335463258786</v>
      </c>
      <c r="U525" s="81"/>
      <c r="V525" s="81"/>
      <c r="W525" s="83">
        <f t="shared" si="231"/>
        <v>135.164536741214</v>
      </c>
      <c r="X525" s="84">
        <f t="shared" si="235"/>
        <v>2.04872204472843</v>
      </c>
      <c r="Y525" s="84"/>
      <c r="Z525" s="84"/>
      <c r="AA525" s="84">
        <f t="shared" si="232"/>
        <v>2.04872204472843</v>
      </c>
      <c r="AB525" s="94">
        <v>7.17</v>
      </c>
      <c r="AC525" s="81">
        <f t="shared" si="229"/>
        <v>14.6893370607029</v>
      </c>
      <c r="AD525" s="81">
        <f t="shared" ref="AD525:AD537" si="242">SUM(W525+AC525)</f>
        <v>149.853873801917</v>
      </c>
      <c r="AE525" s="81">
        <f t="shared" si="230"/>
        <v>50.146126198083</v>
      </c>
    </row>
    <row r="526" customFormat="1" spans="1:31">
      <c r="A526" s="19"/>
      <c r="B526" s="20"/>
      <c r="C526" s="21">
        <v>240113000003</v>
      </c>
      <c r="D526" s="22">
        <v>45307</v>
      </c>
      <c r="E526" s="22" t="s">
        <v>37</v>
      </c>
      <c r="F526" s="20" t="s">
        <v>38</v>
      </c>
      <c r="G526" s="20" t="s">
        <v>387</v>
      </c>
      <c r="H526" s="20">
        <v>0.57</v>
      </c>
      <c r="I526" s="43">
        <v>69.6</v>
      </c>
      <c r="J526" s="44"/>
      <c r="K526" s="45"/>
      <c r="L526" s="44"/>
      <c r="M526" s="46"/>
      <c r="N526" s="20"/>
      <c r="O526" s="48">
        <f t="shared" si="241"/>
        <v>69.6</v>
      </c>
      <c r="P526" s="54"/>
      <c r="Q526" s="54"/>
      <c r="R526" s="81">
        <f t="shared" si="233"/>
        <v>25.6023482428115</v>
      </c>
      <c r="S526" s="81"/>
      <c r="T526" s="82">
        <f t="shared" si="234"/>
        <v>0.0789137380191693</v>
      </c>
      <c r="U526" s="81"/>
      <c r="V526" s="81"/>
      <c r="W526" s="83">
        <f t="shared" si="231"/>
        <v>25.6812619808307</v>
      </c>
      <c r="X526" s="84">
        <f t="shared" si="235"/>
        <v>0.389257188498403</v>
      </c>
      <c r="Y526" s="84"/>
      <c r="Z526" s="84"/>
      <c r="AA526" s="84">
        <f t="shared" si="232"/>
        <v>0.389257188498403</v>
      </c>
      <c r="AB526" s="94">
        <v>7.17</v>
      </c>
      <c r="AC526" s="81">
        <f t="shared" si="229"/>
        <v>2.79097404153355</v>
      </c>
      <c r="AD526" s="81">
        <f t="shared" si="242"/>
        <v>28.4722360223642</v>
      </c>
      <c r="AE526" s="81">
        <f t="shared" ref="AE526:AE537" si="243">SUM(O526-AD526)</f>
        <v>41.1277639776358</v>
      </c>
    </row>
    <row r="527" customFormat="1" spans="1:31">
      <c r="A527" s="19"/>
      <c r="B527" s="20"/>
      <c r="C527" s="21">
        <v>240113000007</v>
      </c>
      <c r="D527" s="22">
        <v>45307</v>
      </c>
      <c r="E527" s="22" t="s">
        <v>37</v>
      </c>
      <c r="F527" s="20" t="s">
        <v>38</v>
      </c>
      <c r="G527" s="20" t="s">
        <v>93</v>
      </c>
      <c r="H527" s="20">
        <v>6</v>
      </c>
      <c r="I527" s="43">
        <v>318</v>
      </c>
      <c r="J527" s="44"/>
      <c r="K527" s="45"/>
      <c r="L527" s="44"/>
      <c r="M527" s="46"/>
      <c r="N527" s="20"/>
      <c r="O527" s="48">
        <f t="shared" si="241"/>
        <v>318</v>
      </c>
      <c r="P527" s="54"/>
      <c r="Q527" s="54"/>
      <c r="R527" s="81">
        <f t="shared" si="233"/>
        <v>269.498402555911</v>
      </c>
      <c r="S527" s="81"/>
      <c r="T527" s="82">
        <f t="shared" si="234"/>
        <v>0.830670926517572</v>
      </c>
      <c r="U527" s="81"/>
      <c r="V527" s="81"/>
      <c r="W527" s="83">
        <f t="shared" si="231"/>
        <v>270.329073482428</v>
      </c>
      <c r="X527" s="84">
        <f t="shared" si="235"/>
        <v>4.09744408945687</v>
      </c>
      <c r="Y527" s="84"/>
      <c r="Z527" s="84"/>
      <c r="AA527" s="84">
        <f t="shared" si="232"/>
        <v>4.09744408945687</v>
      </c>
      <c r="AB527" s="94">
        <v>7.17</v>
      </c>
      <c r="AC527" s="81">
        <f t="shared" ref="AC527:AC537" si="244">SUM(AA527*AB527)</f>
        <v>29.3786741214058</v>
      </c>
      <c r="AD527" s="81">
        <f t="shared" si="242"/>
        <v>299.707747603834</v>
      </c>
      <c r="AE527" s="81">
        <f t="shared" si="243"/>
        <v>18.292252396166</v>
      </c>
    </row>
    <row r="528" customFormat="1" spans="1:31">
      <c r="A528" s="19"/>
      <c r="B528" s="20"/>
      <c r="C528" s="21">
        <v>240113000009</v>
      </c>
      <c r="D528" s="22">
        <v>45307</v>
      </c>
      <c r="E528" s="25" t="s">
        <v>69</v>
      </c>
      <c r="F528" s="20" t="s">
        <v>69</v>
      </c>
      <c r="G528" s="20" t="s">
        <v>175</v>
      </c>
      <c r="H528" s="20">
        <v>440</v>
      </c>
      <c r="I528" s="43">
        <v>22440</v>
      </c>
      <c r="J528" s="44"/>
      <c r="K528" s="45"/>
      <c r="L528" s="44"/>
      <c r="M528" s="46"/>
      <c r="N528" s="20"/>
      <c r="O528" s="48">
        <f t="shared" si="241"/>
        <v>22440</v>
      </c>
      <c r="P528" s="60"/>
      <c r="Q528" s="60"/>
      <c r="R528" s="81">
        <f t="shared" si="233"/>
        <v>19763.2161874334</v>
      </c>
      <c r="S528" s="81"/>
      <c r="T528" s="82">
        <f t="shared" si="234"/>
        <v>60.9158679446219</v>
      </c>
      <c r="U528" s="81"/>
      <c r="V528" s="81"/>
      <c r="W528" s="83">
        <f t="shared" ref="W528:W537" si="245">SUM(R528:V528)</f>
        <v>19824.1320553781</v>
      </c>
      <c r="X528" s="84">
        <f t="shared" si="235"/>
        <v>300.479233226837</v>
      </c>
      <c r="Y528" s="84"/>
      <c r="Z528" s="84"/>
      <c r="AA528" s="84">
        <f t="shared" si="232"/>
        <v>300.479233226837</v>
      </c>
      <c r="AB528" s="94">
        <v>7.17</v>
      </c>
      <c r="AC528" s="81">
        <f t="shared" si="244"/>
        <v>2154.43610223642</v>
      </c>
      <c r="AD528" s="81">
        <f t="shared" si="242"/>
        <v>21978.5681576145</v>
      </c>
      <c r="AE528" s="81">
        <f t="shared" si="243"/>
        <v>461.4318423855</v>
      </c>
    </row>
    <row r="529" customFormat="1" spans="1:31">
      <c r="A529" s="19" t="s">
        <v>388</v>
      </c>
      <c r="B529" s="20" t="s">
        <v>389</v>
      </c>
      <c r="C529" s="21">
        <v>240115000001</v>
      </c>
      <c r="D529" s="22">
        <v>45308</v>
      </c>
      <c r="E529" s="22" t="s">
        <v>58</v>
      </c>
      <c r="F529" s="20" t="s">
        <v>59</v>
      </c>
      <c r="G529" s="20" t="s">
        <v>284</v>
      </c>
      <c r="H529" s="20">
        <v>0.96</v>
      </c>
      <c r="I529" s="43">
        <v>130</v>
      </c>
      <c r="J529" s="44"/>
      <c r="K529" s="45"/>
      <c r="L529" s="44"/>
      <c r="M529" s="46"/>
      <c r="N529" s="20"/>
      <c r="O529" s="48">
        <f t="shared" si="241"/>
        <v>130</v>
      </c>
      <c r="P529" s="49">
        <f>SUM(O529:O537)</f>
        <v>10597.5</v>
      </c>
      <c r="Q529" s="49" t="s">
        <v>146</v>
      </c>
      <c r="R529" s="81">
        <f>SUM(4400/64)*H529</f>
        <v>66</v>
      </c>
      <c r="S529" s="81"/>
      <c r="T529" s="82">
        <f>SUM(72.81/64)*H529</f>
        <v>1.09215</v>
      </c>
      <c r="U529" s="81"/>
      <c r="V529" s="81"/>
      <c r="W529" s="83">
        <f t="shared" si="245"/>
        <v>67.09215</v>
      </c>
      <c r="X529" s="84">
        <f>SUM(261.77/64)*H529</f>
        <v>3.92655</v>
      </c>
      <c r="Y529" s="84"/>
      <c r="Z529" s="84"/>
      <c r="AA529" s="84">
        <f t="shared" ref="AA529:AA537" si="246">SUM(X529:Z529)</f>
        <v>3.92655</v>
      </c>
      <c r="AB529" s="94">
        <v>7.17</v>
      </c>
      <c r="AC529" s="81">
        <f t="shared" si="244"/>
        <v>28.1533635</v>
      </c>
      <c r="AD529" s="81">
        <f t="shared" si="242"/>
        <v>95.2455135</v>
      </c>
      <c r="AE529" s="81">
        <f t="shared" si="243"/>
        <v>34.7544865</v>
      </c>
    </row>
    <row r="530" customFormat="1" spans="1:31">
      <c r="A530" s="19"/>
      <c r="B530" s="20"/>
      <c r="C530" s="21">
        <v>240115000007</v>
      </c>
      <c r="D530" s="22">
        <v>45308</v>
      </c>
      <c r="E530" s="22" t="s">
        <v>49</v>
      </c>
      <c r="F530" s="20" t="s">
        <v>50</v>
      </c>
      <c r="G530" s="20" t="s">
        <v>338</v>
      </c>
      <c r="H530" s="20">
        <v>3.5</v>
      </c>
      <c r="I530" s="43">
        <v>800</v>
      </c>
      <c r="J530" s="44"/>
      <c r="K530" s="45"/>
      <c r="L530" s="44"/>
      <c r="M530" s="46"/>
      <c r="N530" s="20"/>
      <c r="O530" s="48">
        <f t="shared" si="241"/>
        <v>800</v>
      </c>
      <c r="P530" s="54"/>
      <c r="Q530" s="54"/>
      <c r="R530" s="81">
        <f t="shared" ref="R530:R537" si="247">SUM(4400/64)*H530</f>
        <v>240.625</v>
      </c>
      <c r="S530" s="81"/>
      <c r="T530" s="82">
        <f t="shared" ref="T530:T537" si="248">SUM(72.81/64)*H530</f>
        <v>3.981796875</v>
      </c>
      <c r="U530" s="81"/>
      <c r="V530" s="81"/>
      <c r="W530" s="83">
        <f t="shared" si="245"/>
        <v>244.606796875</v>
      </c>
      <c r="X530" s="84">
        <f t="shared" ref="X530:X537" si="249">SUM(261.77/64)*H530</f>
        <v>14.315546875</v>
      </c>
      <c r="Y530" s="84"/>
      <c r="Z530" s="84"/>
      <c r="AA530" s="84">
        <f t="shared" si="246"/>
        <v>14.315546875</v>
      </c>
      <c r="AB530" s="94">
        <v>7.17</v>
      </c>
      <c r="AC530" s="81">
        <f t="shared" si="244"/>
        <v>102.64247109375</v>
      </c>
      <c r="AD530" s="81">
        <f t="shared" si="242"/>
        <v>347.24926796875</v>
      </c>
      <c r="AE530" s="81">
        <f t="shared" si="243"/>
        <v>452.75073203125</v>
      </c>
    </row>
    <row r="531" customFormat="1" spans="1:31">
      <c r="A531" s="19"/>
      <c r="B531" s="20"/>
      <c r="C531" s="21">
        <v>240115000033</v>
      </c>
      <c r="D531" s="22">
        <v>45308</v>
      </c>
      <c r="E531" s="22" t="s">
        <v>49</v>
      </c>
      <c r="F531" s="20" t="s">
        <v>50</v>
      </c>
      <c r="G531" s="20" t="s">
        <v>338</v>
      </c>
      <c r="H531" s="20">
        <v>1.5</v>
      </c>
      <c r="I531" s="43">
        <v>320</v>
      </c>
      <c r="J531" s="44"/>
      <c r="K531" s="45"/>
      <c r="L531" s="44"/>
      <c r="M531" s="46"/>
      <c r="N531" s="20"/>
      <c r="O531" s="48">
        <f t="shared" si="241"/>
        <v>320</v>
      </c>
      <c r="P531" s="54"/>
      <c r="Q531" s="54"/>
      <c r="R531" s="81">
        <f t="shared" si="247"/>
        <v>103.125</v>
      </c>
      <c r="S531" s="81"/>
      <c r="T531" s="82">
        <f t="shared" si="248"/>
        <v>1.706484375</v>
      </c>
      <c r="U531" s="81"/>
      <c r="V531" s="81"/>
      <c r="W531" s="83">
        <f t="shared" si="245"/>
        <v>104.831484375</v>
      </c>
      <c r="X531" s="84">
        <f t="shared" si="249"/>
        <v>6.135234375</v>
      </c>
      <c r="Y531" s="84"/>
      <c r="Z531" s="84"/>
      <c r="AA531" s="84">
        <f t="shared" si="246"/>
        <v>6.135234375</v>
      </c>
      <c r="AB531" s="94">
        <v>7.17</v>
      </c>
      <c r="AC531" s="81">
        <f t="shared" si="244"/>
        <v>43.98963046875</v>
      </c>
      <c r="AD531" s="81">
        <f t="shared" si="242"/>
        <v>148.82111484375</v>
      </c>
      <c r="AE531" s="81">
        <f t="shared" si="243"/>
        <v>171.17888515625</v>
      </c>
    </row>
    <row r="532" customFormat="1" spans="1:31">
      <c r="A532" s="19"/>
      <c r="B532" s="20"/>
      <c r="C532" s="21">
        <v>240115000047</v>
      </c>
      <c r="D532" s="22">
        <v>45308</v>
      </c>
      <c r="E532" s="22" t="s">
        <v>49</v>
      </c>
      <c r="F532" s="20" t="s">
        <v>50</v>
      </c>
      <c r="G532" s="20" t="s">
        <v>186</v>
      </c>
      <c r="H532" s="20">
        <v>22.5</v>
      </c>
      <c r="I532" s="43">
        <v>3262.5</v>
      </c>
      <c r="J532" s="44"/>
      <c r="K532" s="45"/>
      <c r="L532" s="44"/>
      <c r="M532" s="46"/>
      <c r="N532" s="20"/>
      <c r="O532" s="48">
        <f t="shared" si="241"/>
        <v>3262.5</v>
      </c>
      <c r="P532" s="54"/>
      <c r="Q532" s="54"/>
      <c r="R532" s="81">
        <f t="shared" si="247"/>
        <v>1546.875</v>
      </c>
      <c r="S532" s="81"/>
      <c r="T532" s="82">
        <f t="shared" si="248"/>
        <v>25.597265625</v>
      </c>
      <c r="U532" s="81"/>
      <c r="V532" s="81"/>
      <c r="W532" s="83">
        <f t="shared" si="245"/>
        <v>1572.472265625</v>
      </c>
      <c r="X532" s="84">
        <f t="shared" si="249"/>
        <v>92.028515625</v>
      </c>
      <c r="Y532" s="84"/>
      <c r="Z532" s="84"/>
      <c r="AA532" s="84">
        <f t="shared" si="246"/>
        <v>92.028515625</v>
      </c>
      <c r="AB532" s="94">
        <v>7.17</v>
      </c>
      <c r="AC532" s="81">
        <f t="shared" si="244"/>
        <v>659.84445703125</v>
      </c>
      <c r="AD532" s="81">
        <f t="shared" si="242"/>
        <v>2232.31672265625</v>
      </c>
      <c r="AE532" s="81">
        <f t="shared" si="243"/>
        <v>1030.18327734375</v>
      </c>
    </row>
    <row r="533" customFormat="1" spans="1:31">
      <c r="A533" s="19"/>
      <c r="B533" s="20"/>
      <c r="C533" s="21">
        <v>240115000050</v>
      </c>
      <c r="D533" s="22">
        <v>45308</v>
      </c>
      <c r="E533" s="22" t="s">
        <v>58</v>
      </c>
      <c r="F533" s="20" t="s">
        <v>59</v>
      </c>
      <c r="G533" s="20" t="s">
        <v>253</v>
      </c>
      <c r="H533" s="20">
        <v>10</v>
      </c>
      <c r="I533" s="43">
        <v>1230</v>
      </c>
      <c r="J533" s="44"/>
      <c r="K533" s="45"/>
      <c r="L533" s="44"/>
      <c r="M533" s="46"/>
      <c r="N533" s="20"/>
      <c r="O533" s="48">
        <f t="shared" si="241"/>
        <v>1230</v>
      </c>
      <c r="P533" s="54"/>
      <c r="Q533" s="54"/>
      <c r="R533" s="81">
        <f t="shared" si="247"/>
        <v>687.5</v>
      </c>
      <c r="S533" s="81"/>
      <c r="T533" s="82">
        <f t="shared" si="248"/>
        <v>11.3765625</v>
      </c>
      <c r="U533" s="81"/>
      <c r="V533" s="81"/>
      <c r="W533" s="83">
        <f t="shared" si="245"/>
        <v>698.8765625</v>
      </c>
      <c r="X533" s="84">
        <f t="shared" si="249"/>
        <v>40.9015625</v>
      </c>
      <c r="Y533" s="84"/>
      <c r="Z533" s="84"/>
      <c r="AA533" s="84">
        <f t="shared" si="246"/>
        <v>40.9015625</v>
      </c>
      <c r="AB533" s="94">
        <v>7.17</v>
      </c>
      <c r="AC533" s="81">
        <f t="shared" si="244"/>
        <v>293.264203125</v>
      </c>
      <c r="AD533" s="81">
        <f t="shared" si="242"/>
        <v>992.140765625</v>
      </c>
      <c r="AE533" s="81">
        <f t="shared" si="243"/>
        <v>237.859234375</v>
      </c>
    </row>
    <row r="534" customFormat="1" spans="1:31">
      <c r="A534" s="19"/>
      <c r="B534" s="20"/>
      <c r="C534" s="21">
        <v>240115000054</v>
      </c>
      <c r="D534" s="22">
        <v>45308</v>
      </c>
      <c r="E534" s="22" t="s">
        <v>58</v>
      </c>
      <c r="F534" s="20" t="s">
        <v>59</v>
      </c>
      <c r="G534" s="20" t="s">
        <v>298</v>
      </c>
      <c r="H534" s="20">
        <v>3.5</v>
      </c>
      <c r="I534" s="43">
        <v>800</v>
      </c>
      <c r="J534" s="44"/>
      <c r="K534" s="45"/>
      <c r="L534" s="44"/>
      <c r="M534" s="46"/>
      <c r="N534" s="20"/>
      <c r="O534" s="48">
        <f t="shared" si="241"/>
        <v>800</v>
      </c>
      <c r="P534" s="54"/>
      <c r="Q534" s="54"/>
      <c r="R534" s="81">
        <f t="shared" si="247"/>
        <v>240.625</v>
      </c>
      <c r="S534" s="81"/>
      <c r="T534" s="82">
        <f t="shared" si="248"/>
        <v>3.981796875</v>
      </c>
      <c r="U534" s="81"/>
      <c r="V534" s="81"/>
      <c r="W534" s="83">
        <f t="shared" si="245"/>
        <v>244.606796875</v>
      </c>
      <c r="X534" s="84">
        <f t="shared" si="249"/>
        <v>14.315546875</v>
      </c>
      <c r="Y534" s="84"/>
      <c r="Z534" s="84"/>
      <c r="AA534" s="84">
        <f t="shared" si="246"/>
        <v>14.315546875</v>
      </c>
      <c r="AB534" s="94">
        <v>7.17</v>
      </c>
      <c r="AC534" s="81">
        <f t="shared" si="244"/>
        <v>102.64247109375</v>
      </c>
      <c r="AD534" s="81">
        <f t="shared" si="242"/>
        <v>347.24926796875</v>
      </c>
      <c r="AE534" s="81">
        <f t="shared" si="243"/>
        <v>452.75073203125</v>
      </c>
    </row>
    <row r="535" customFormat="1" spans="1:31">
      <c r="A535" s="19"/>
      <c r="B535" s="20"/>
      <c r="C535" s="21">
        <v>240115000055</v>
      </c>
      <c r="D535" s="22">
        <v>45308</v>
      </c>
      <c r="E535" s="22" t="s">
        <v>58</v>
      </c>
      <c r="F535" s="20" t="s">
        <v>59</v>
      </c>
      <c r="G535" s="20" t="s">
        <v>298</v>
      </c>
      <c r="H535" s="20">
        <v>3.5</v>
      </c>
      <c r="I535" s="43">
        <v>800</v>
      </c>
      <c r="J535" s="44"/>
      <c r="K535" s="45"/>
      <c r="L535" s="44"/>
      <c r="M535" s="46"/>
      <c r="N535" s="20"/>
      <c r="O535" s="48">
        <f t="shared" si="241"/>
        <v>800</v>
      </c>
      <c r="P535" s="54"/>
      <c r="Q535" s="54"/>
      <c r="R535" s="81">
        <f t="shared" si="247"/>
        <v>240.625</v>
      </c>
      <c r="S535" s="81"/>
      <c r="T535" s="82">
        <f t="shared" si="248"/>
        <v>3.981796875</v>
      </c>
      <c r="U535" s="81"/>
      <c r="V535" s="81"/>
      <c r="W535" s="83">
        <f t="shared" si="245"/>
        <v>244.606796875</v>
      </c>
      <c r="X535" s="84">
        <f t="shared" si="249"/>
        <v>14.315546875</v>
      </c>
      <c r="Y535" s="84"/>
      <c r="Z535" s="84"/>
      <c r="AA535" s="84">
        <f t="shared" si="246"/>
        <v>14.315546875</v>
      </c>
      <c r="AB535" s="94">
        <v>7.17</v>
      </c>
      <c r="AC535" s="81">
        <f t="shared" si="244"/>
        <v>102.64247109375</v>
      </c>
      <c r="AD535" s="81">
        <f t="shared" ref="AD535:AD551" si="250">SUM(W535+AC535)</f>
        <v>347.24926796875</v>
      </c>
      <c r="AE535" s="81">
        <f t="shared" ref="AE535:AE551" si="251">SUM(O535-AD535)</f>
        <v>452.75073203125</v>
      </c>
    </row>
    <row r="536" customFormat="1" spans="1:31">
      <c r="A536" s="19"/>
      <c r="B536" s="20"/>
      <c r="C536" s="21">
        <v>240115000057</v>
      </c>
      <c r="D536" s="22">
        <v>45308</v>
      </c>
      <c r="E536" s="22" t="s">
        <v>58</v>
      </c>
      <c r="F536" s="20" t="s">
        <v>59</v>
      </c>
      <c r="G536" s="20" t="s">
        <v>253</v>
      </c>
      <c r="H536" s="20">
        <v>28.5</v>
      </c>
      <c r="I536" s="43">
        <v>3125</v>
      </c>
      <c r="J536" s="44"/>
      <c r="K536" s="45"/>
      <c r="L536" s="44"/>
      <c r="M536" s="46"/>
      <c r="N536" s="20"/>
      <c r="O536" s="48">
        <f t="shared" si="241"/>
        <v>3125</v>
      </c>
      <c r="P536" s="54"/>
      <c r="Q536" s="54"/>
      <c r="R536" s="81">
        <f t="shared" si="247"/>
        <v>1959.375</v>
      </c>
      <c r="S536" s="81"/>
      <c r="T536" s="82">
        <f t="shared" si="248"/>
        <v>32.423203125</v>
      </c>
      <c r="U536" s="81"/>
      <c r="V536" s="81"/>
      <c r="W536" s="83">
        <f t="shared" ref="W536:W568" si="252">SUM(R536:V536)</f>
        <v>1991.798203125</v>
      </c>
      <c r="X536" s="84">
        <f t="shared" si="249"/>
        <v>116.569453125</v>
      </c>
      <c r="Y536" s="84"/>
      <c r="Z536" s="84"/>
      <c r="AA536" s="84">
        <f t="shared" si="246"/>
        <v>116.569453125</v>
      </c>
      <c r="AB536" s="94">
        <v>7.17</v>
      </c>
      <c r="AC536" s="81">
        <f t="shared" ref="AC536:AC551" si="253">SUM(AA536*AB536)</f>
        <v>835.80297890625</v>
      </c>
      <c r="AD536" s="81">
        <f t="shared" si="250"/>
        <v>2827.60118203125</v>
      </c>
      <c r="AE536" s="81">
        <f t="shared" si="251"/>
        <v>297.39881796875</v>
      </c>
    </row>
    <row r="537" customFormat="1" spans="1:31">
      <c r="A537" s="19"/>
      <c r="B537" s="20"/>
      <c r="C537" s="21">
        <v>240115000059</v>
      </c>
      <c r="D537" s="22">
        <v>45308</v>
      </c>
      <c r="E537" s="22" t="s">
        <v>69</v>
      </c>
      <c r="F537" s="20" t="s">
        <v>192</v>
      </c>
      <c r="G537" s="20" t="s">
        <v>193</v>
      </c>
      <c r="H537" s="20">
        <v>0.85</v>
      </c>
      <c r="I537" s="43">
        <v>130</v>
      </c>
      <c r="J537" s="44"/>
      <c r="K537" s="45"/>
      <c r="L537" s="44"/>
      <c r="M537" s="46"/>
      <c r="N537" s="20"/>
      <c r="O537" s="48">
        <f t="shared" si="241"/>
        <v>130</v>
      </c>
      <c r="P537" s="60"/>
      <c r="Q537" s="60"/>
      <c r="R537" s="81">
        <f t="shared" si="247"/>
        <v>58.4375</v>
      </c>
      <c r="S537" s="81"/>
      <c r="T537" s="82">
        <f t="shared" si="248"/>
        <v>0.9670078125</v>
      </c>
      <c r="U537" s="81"/>
      <c r="V537" s="81"/>
      <c r="W537" s="83">
        <f t="shared" si="252"/>
        <v>59.4045078125</v>
      </c>
      <c r="X537" s="84">
        <f t="shared" si="249"/>
        <v>3.4766328125</v>
      </c>
      <c r="Y537" s="84"/>
      <c r="Z537" s="84"/>
      <c r="AA537" s="84">
        <f t="shared" ref="AA537:AA551" si="254">SUM(X537:Z537)</f>
        <v>3.4766328125</v>
      </c>
      <c r="AB537" s="94">
        <v>7.17</v>
      </c>
      <c r="AC537" s="81">
        <f t="shared" si="253"/>
        <v>24.927457265625</v>
      </c>
      <c r="AD537" s="81">
        <f t="shared" si="250"/>
        <v>84.331965078125</v>
      </c>
      <c r="AE537" s="81">
        <f t="shared" si="251"/>
        <v>45.668034921875</v>
      </c>
    </row>
    <row r="538" customFormat="1" spans="1:31">
      <c r="A538" s="19" t="s">
        <v>390</v>
      </c>
      <c r="B538" s="20" t="s">
        <v>391</v>
      </c>
      <c r="C538" s="21">
        <v>240112000009</v>
      </c>
      <c r="D538" s="22">
        <v>45310</v>
      </c>
      <c r="E538" s="22" t="s">
        <v>41</v>
      </c>
      <c r="F538" s="20" t="s">
        <v>42</v>
      </c>
      <c r="G538" s="20" t="s">
        <v>392</v>
      </c>
      <c r="H538" s="20">
        <v>15</v>
      </c>
      <c r="I538" s="43">
        <v>1875</v>
      </c>
      <c r="J538" s="44"/>
      <c r="K538" s="45"/>
      <c r="L538" s="44"/>
      <c r="M538" s="46"/>
      <c r="N538" s="20"/>
      <c r="O538" s="48">
        <f t="shared" si="241"/>
        <v>1875</v>
      </c>
      <c r="P538" s="49">
        <f>SUM(O538:O551)</f>
        <v>15435.4652</v>
      </c>
      <c r="Q538" s="49" t="s">
        <v>146</v>
      </c>
      <c r="R538" s="81">
        <f>SUM(7900/119)*H538</f>
        <v>995.798319327731</v>
      </c>
      <c r="S538" s="81"/>
      <c r="T538" s="82">
        <f>SUM(196.43/119)*H538</f>
        <v>24.7600840336134</v>
      </c>
      <c r="U538" s="81"/>
      <c r="V538" s="81"/>
      <c r="W538" s="83">
        <f t="shared" si="252"/>
        <v>1020.55840336134</v>
      </c>
      <c r="X538" s="84">
        <f>SUM(194.48/119)*H538</f>
        <v>24.5142857142857</v>
      </c>
      <c r="Y538" s="84"/>
      <c r="Z538" s="84"/>
      <c r="AA538" s="84">
        <f t="shared" si="254"/>
        <v>24.5142857142857</v>
      </c>
      <c r="AB538" s="94">
        <v>7.17</v>
      </c>
      <c r="AC538" s="81">
        <f t="shared" si="253"/>
        <v>175.767428571429</v>
      </c>
      <c r="AD538" s="81">
        <f t="shared" si="250"/>
        <v>1196.32583193277</v>
      </c>
      <c r="AE538" s="81">
        <f t="shared" si="251"/>
        <v>678.67416806723</v>
      </c>
    </row>
    <row r="539" customFormat="1" spans="1:31">
      <c r="A539" s="19"/>
      <c r="B539" s="20"/>
      <c r="C539" s="21">
        <v>240114000008</v>
      </c>
      <c r="D539" s="22">
        <v>45310</v>
      </c>
      <c r="E539" s="22" t="s">
        <v>69</v>
      </c>
      <c r="F539" s="20" t="s">
        <v>192</v>
      </c>
      <c r="G539" s="20" t="s">
        <v>193</v>
      </c>
      <c r="H539" s="20">
        <v>3.5</v>
      </c>
      <c r="I539" s="43">
        <v>455</v>
      </c>
      <c r="J539" s="44"/>
      <c r="K539" s="45"/>
      <c r="L539" s="44"/>
      <c r="M539" s="46"/>
      <c r="N539" s="20"/>
      <c r="O539" s="48">
        <f t="shared" si="241"/>
        <v>455</v>
      </c>
      <c r="P539" s="54"/>
      <c r="Q539" s="54"/>
      <c r="R539" s="81">
        <f t="shared" ref="R539:R551" si="255">SUM(7900/119)*H539</f>
        <v>232.352941176471</v>
      </c>
      <c r="S539" s="81"/>
      <c r="T539" s="82">
        <f t="shared" ref="T539:T551" si="256">SUM(196.43/119)*H539</f>
        <v>5.77735294117647</v>
      </c>
      <c r="U539" s="81"/>
      <c r="V539" s="81"/>
      <c r="W539" s="83">
        <f t="shared" si="252"/>
        <v>238.130294117647</v>
      </c>
      <c r="X539" s="84">
        <f t="shared" ref="X539:X551" si="257">SUM(194.48/119)*H539</f>
        <v>5.72</v>
      </c>
      <c r="Y539" s="84"/>
      <c r="Z539" s="84"/>
      <c r="AA539" s="84">
        <f t="shared" si="254"/>
        <v>5.72</v>
      </c>
      <c r="AB539" s="94">
        <v>7.17</v>
      </c>
      <c r="AC539" s="81">
        <f t="shared" si="253"/>
        <v>41.0124</v>
      </c>
      <c r="AD539" s="81">
        <f t="shared" si="250"/>
        <v>279.142694117647</v>
      </c>
      <c r="AE539" s="81">
        <f t="shared" si="251"/>
        <v>175.857305882353</v>
      </c>
    </row>
    <row r="540" customFormat="1" spans="1:31">
      <c r="A540" s="19"/>
      <c r="B540" s="20"/>
      <c r="C540" s="21">
        <v>240115000009</v>
      </c>
      <c r="D540" s="22">
        <v>45310</v>
      </c>
      <c r="E540" s="22" t="s">
        <v>49</v>
      </c>
      <c r="F540" s="20" t="s">
        <v>50</v>
      </c>
      <c r="G540" s="20" t="s">
        <v>189</v>
      </c>
      <c r="H540" s="20">
        <v>3.5</v>
      </c>
      <c r="I540" s="43">
        <v>455</v>
      </c>
      <c r="J540" s="44"/>
      <c r="K540" s="45"/>
      <c r="L540" s="44"/>
      <c r="M540" s="46"/>
      <c r="N540" s="20"/>
      <c r="O540" s="48">
        <f t="shared" si="241"/>
        <v>455</v>
      </c>
      <c r="P540" s="54"/>
      <c r="Q540" s="54"/>
      <c r="R540" s="81">
        <f t="shared" si="255"/>
        <v>232.352941176471</v>
      </c>
      <c r="S540" s="81"/>
      <c r="T540" s="82">
        <f t="shared" si="256"/>
        <v>5.77735294117647</v>
      </c>
      <c r="U540" s="81"/>
      <c r="V540" s="81"/>
      <c r="W540" s="83">
        <f t="shared" si="252"/>
        <v>238.130294117647</v>
      </c>
      <c r="X540" s="84">
        <f t="shared" si="257"/>
        <v>5.72</v>
      </c>
      <c r="Y540" s="84"/>
      <c r="Z540" s="84"/>
      <c r="AA540" s="84">
        <f t="shared" si="254"/>
        <v>5.72</v>
      </c>
      <c r="AB540" s="94">
        <v>7.17</v>
      </c>
      <c r="AC540" s="81">
        <f t="shared" si="253"/>
        <v>41.0124</v>
      </c>
      <c r="AD540" s="81">
        <f t="shared" si="250"/>
        <v>279.142694117647</v>
      </c>
      <c r="AE540" s="81">
        <f t="shared" si="251"/>
        <v>175.857305882353</v>
      </c>
    </row>
    <row r="541" customFormat="1" spans="1:31">
      <c r="A541" s="19"/>
      <c r="B541" s="20"/>
      <c r="C541" s="21">
        <v>240115000051</v>
      </c>
      <c r="D541" s="22">
        <v>45310</v>
      </c>
      <c r="E541" s="22" t="s">
        <v>49</v>
      </c>
      <c r="F541" s="20" t="s">
        <v>50</v>
      </c>
      <c r="G541" s="20" t="s">
        <v>64</v>
      </c>
      <c r="H541" s="20">
        <v>32</v>
      </c>
      <c r="I541" s="50"/>
      <c r="J541" s="51">
        <v>701920</v>
      </c>
      <c r="K541" s="108"/>
      <c r="L541" s="51">
        <f>SUM(J541/M541)</f>
        <v>1310.62812756741</v>
      </c>
      <c r="M541" s="53">
        <v>535.56</v>
      </c>
      <c r="N541" s="47">
        <v>7.17</v>
      </c>
      <c r="O541" s="48">
        <f>SUM(M541*N541)</f>
        <v>3839.9652</v>
      </c>
      <c r="P541" s="54"/>
      <c r="Q541" s="54"/>
      <c r="R541" s="81">
        <f t="shared" si="255"/>
        <v>2124.36974789916</v>
      </c>
      <c r="S541" s="81"/>
      <c r="T541" s="82">
        <f t="shared" si="256"/>
        <v>52.821512605042</v>
      </c>
      <c r="U541" s="81"/>
      <c r="V541" s="81"/>
      <c r="W541" s="83">
        <f t="shared" si="252"/>
        <v>2177.1912605042</v>
      </c>
      <c r="X541" s="84">
        <f t="shared" si="257"/>
        <v>52.2971428571429</v>
      </c>
      <c r="Y541" s="84"/>
      <c r="Z541" s="84"/>
      <c r="AA541" s="84">
        <f t="shared" si="254"/>
        <v>52.2971428571429</v>
      </c>
      <c r="AB541" s="94">
        <v>7.17</v>
      </c>
      <c r="AC541" s="81">
        <f t="shared" si="253"/>
        <v>374.970514285714</v>
      </c>
      <c r="AD541" s="81">
        <f t="shared" si="250"/>
        <v>2552.16177478992</v>
      </c>
      <c r="AE541" s="81">
        <f t="shared" si="251"/>
        <v>1287.80342521008</v>
      </c>
    </row>
    <row r="542" customFormat="1" spans="1:31">
      <c r="A542" s="19"/>
      <c r="B542" s="20"/>
      <c r="C542" s="21">
        <v>240116000001</v>
      </c>
      <c r="D542" s="22">
        <v>45310</v>
      </c>
      <c r="E542" s="22" t="s">
        <v>69</v>
      </c>
      <c r="F542" s="20" t="s">
        <v>192</v>
      </c>
      <c r="G542" s="20" t="s">
        <v>193</v>
      </c>
      <c r="H542" s="20">
        <v>1.5</v>
      </c>
      <c r="I542" s="43">
        <v>240</v>
      </c>
      <c r="J542" s="44"/>
      <c r="K542" s="45"/>
      <c r="L542" s="44"/>
      <c r="M542" s="46"/>
      <c r="N542" s="20"/>
      <c r="O542" s="48">
        <f t="shared" ref="O542:O552" si="258">SUM(I542)</f>
        <v>240</v>
      </c>
      <c r="P542" s="54"/>
      <c r="Q542" s="54"/>
      <c r="R542" s="81">
        <f t="shared" si="255"/>
        <v>99.5798319327731</v>
      </c>
      <c r="S542" s="81"/>
      <c r="T542" s="82">
        <f t="shared" si="256"/>
        <v>2.47600840336134</v>
      </c>
      <c r="U542" s="81"/>
      <c r="V542" s="81"/>
      <c r="W542" s="83">
        <f t="shared" si="252"/>
        <v>102.055840336134</v>
      </c>
      <c r="X542" s="84">
        <f t="shared" si="257"/>
        <v>2.45142857142857</v>
      </c>
      <c r="Y542" s="84"/>
      <c r="Z542" s="84"/>
      <c r="AA542" s="84">
        <f t="shared" si="254"/>
        <v>2.45142857142857</v>
      </c>
      <c r="AB542" s="94">
        <v>7.17</v>
      </c>
      <c r="AC542" s="81">
        <f t="shared" si="253"/>
        <v>17.5767428571429</v>
      </c>
      <c r="AD542" s="81">
        <f t="shared" si="250"/>
        <v>119.632583193277</v>
      </c>
      <c r="AE542" s="81">
        <f t="shared" si="251"/>
        <v>120.367416806723</v>
      </c>
    </row>
    <row r="543" customFormat="1" spans="1:31">
      <c r="A543" s="19"/>
      <c r="B543" s="20"/>
      <c r="C543" s="21">
        <v>240116000014</v>
      </c>
      <c r="D543" s="22">
        <v>45310</v>
      </c>
      <c r="E543" s="22" t="s">
        <v>49</v>
      </c>
      <c r="F543" s="20" t="s">
        <v>50</v>
      </c>
      <c r="G543" s="20" t="s">
        <v>186</v>
      </c>
      <c r="H543" s="20">
        <v>10</v>
      </c>
      <c r="I543" s="43">
        <v>1250</v>
      </c>
      <c r="J543" s="44"/>
      <c r="K543" s="45"/>
      <c r="L543" s="44"/>
      <c r="M543" s="46"/>
      <c r="N543" s="20"/>
      <c r="O543" s="48">
        <f t="shared" si="258"/>
        <v>1250</v>
      </c>
      <c r="P543" s="54"/>
      <c r="Q543" s="54"/>
      <c r="R543" s="81">
        <f t="shared" si="255"/>
        <v>663.865546218487</v>
      </c>
      <c r="S543" s="81"/>
      <c r="T543" s="82">
        <f t="shared" si="256"/>
        <v>16.5067226890756</v>
      </c>
      <c r="U543" s="81"/>
      <c r="V543" s="81"/>
      <c r="W543" s="83">
        <f t="shared" si="252"/>
        <v>680.372268907563</v>
      </c>
      <c r="X543" s="84">
        <f t="shared" si="257"/>
        <v>16.3428571428571</v>
      </c>
      <c r="Y543" s="84"/>
      <c r="Z543" s="84"/>
      <c r="AA543" s="84">
        <f t="shared" si="254"/>
        <v>16.3428571428571</v>
      </c>
      <c r="AB543" s="94">
        <v>7.17</v>
      </c>
      <c r="AC543" s="81">
        <f t="shared" si="253"/>
        <v>117.178285714286</v>
      </c>
      <c r="AD543" s="81">
        <f t="shared" si="250"/>
        <v>797.550554621849</v>
      </c>
      <c r="AE543" s="81">
        <f t="shared" si="251"/>
        <v>452.449445378151</v>
      </c>
    </row>
    <row r="544" customFormat="1" spans="1:31">
      <c r="A544" s="19"/>
      <c r="B544" s="20"/>
      <c r="C544" s="21">
        <v>240116000021</v>
      </c>
      <c r="D544" s="22">
        <v>45310</v>
      </c>
      <c r="E544" s="25" t="s">
        <v>69</v>
      </c>
      <c r="F544" s="20" t="s">
        <v>69</v>
      </c>
      <c r="G544" s="20" t="s">
        <v>240</v>
      </c>
      <c r="H544" s="20">
        <v>6</v>
      </c>
      <c r="I544" s="43">
        <v>760.5</v>
      </c>
      <c r="J544" s="44"/>
      <c r="K544" s="45"/>
      <c r="L544" s="44"/>
      <c r="M544" s="46"/>
      <c r="N544" s="20"/>
      <c r="O544" s="48">
        <f>SUBTOTAL(9,I544)</f>
        <v>760.5</v>
      </c>
      <c r="P544" s="54"/>
      <c r="Q544" s="54"/>
      <c r="R544" s="81">
        <f t="shared" si="255"/>
        <v>398.319327731092</v>
      </c>
      <c r="S544" s="81"/>
      <c r="T544" s="82">
        <f t="shared" si="256"/>
        <v>9.90403361344538</v>
      </c>
      <c r="U544" s="81"/>
      <c r="V544" s="81"/>
      <c r="W544" s="83">
        <f t="shared" si="252"/>
        <v>408.223361344538</v>
      </c>
      <c r="X544" s="84">
        <f t="shared" si="257"/>
        <v>9.80571428571428</v>
      </c>
      <c r="Y544" s="84"/>
      <c r="Z544" s="84"/>
      <c r="AA544" s="84">
        <f t="shared" si="254"/>
        <v>9.80571428571428</v>
      </c>
      <c r="AB544" s="94">
        <v>7.17</v>
      </c>
      <c r="AC544" s="81">
        <f t="shared" si="253"/>
        <v>70.3069714285714</v>
      </c>
      <c r="AD544" s="81">
        <f t="shared" si="250"/>
        <v>478.530332773109</v>
      </c>
      <c r="AE544" s="81">
        <f t="shared" si="251"/>
        <v>281.969667226891</v>
      </c>
    </row>
    <row r="545" customFormat="1" spans="1:31">
      <c r="A545" s="19"/>
      <c r="B545" s="20"/>
      <c r="C545" s="21">
        <v>240116000029</v>
      </c>
      <c r="D545" s="22">
        <v>45310</v>
      </c>
      <c r="E545" s="22" t="s">
        <v>37</v>
      </c>
      <c r="F545" s="20" t="s">
        <v>38</v>
      </c>
      <c r="G545" s="20" t="s">
        <v>393</v>
      </c>
      <c r="H545" s="20">
        <v>4.5</v>
      </c>
      <c r="I545" s="43">
        <v>562.5</v>
      </c>
      <c r="J545" s="44"/>
      <c r="K545" s="45"/>
      <c r="L545" s="44"/>
      <c r="M545" s="46"/>
      <c r="N545" s="20"/>
      <c r="O545" s="48">
        <f t="shared" si="258"/>
        <v>562.5</v>
      </c>
      <c r="P545" s="54"/>
      <c r="Q545" s="54"/>
      <c r="R545" s="81">
        <f t="shared" si="255"/>
        <v>298.739495798319</v>
      </c>
      <c r="S545" s="81"/>
      <c r="T545" s="82">
        <f t="shared" si="256"/>
        <v>7.42802521008403</v>
      </c>
      <c r="U545" s="81"/>
      <c r="V545" s="81"/>
      <c r="W545" s="83">
        <f t="shared" si="252"/>
        <v>306.167521008403</v>
      </c>
      <c r="X545" s="84">
        <f t="shared" si="257"/>
        <v>7.35428571428571</v>
      </c>
      <c r="Y545" s="84"/>
      <c r="Z545" s="84"/>
      <c r="AA545" s="84">
        <f t="shared" si="254"/>
        <v>7.35428571428571</v>
      </c>
      <c r="AB545" s="94">
        <v>7.17</v>
      </c>
      <c r="AC545" s="81">
        <f t="shared" si="253"/>
        <v>52.7302285714286</v>
      </c>
      <c r="AD545" s="81">
        <f t="shared" si="250"/>
        <v>358.897749579832</v>
      </c>
      <c r="AE545" s="81">
        <f t="shared" si="251"/>
        <v>203.602250420168</v>
      </c>
    </row>
    <row r="546" customFormat="1" spans="1:31">
      <c r="A546" s="19"/>
      <c r="B546" s="20"/>
      <c r="C546" s="21">
        <v>240116000040</v>
      </c>
      <c r="D546" s="22">
        <v>45310</v>
      </c>
      <c r="E546" s="22" t="s">
        <v>37</v>
      </c>
      <c r="F546" s="20" t="s">
        <v>38</v>
      </c>
      <c r="G546" s="20" t="s">
        <v>148</v>
      </c>
      <c r="H546" s="20">
        <v>7</v>
      </c>
      <c r="I546" s="43">
        <v>875</v>
      </c>
      <c r="J546" s="44"/>
      <c r="K546" s="45"/>
      <c r="L546" s="44"/>
      <c r="M546" s="46"/>
      <c r="N546" s="20"/>
      <c r="O546" s="48">
        <f t="shared" si="258"/>
        <v>875</v>
      </c>
      <c r="P546" s="54"/>
      <c r="Q546" s="54"/>
      <c r="R546" s="81">
        <f t="shared" si="255"/>
        <v>464.705882352941</v>
      </c>
      <c r="S546" s="81"/>
      <c r="T546" s="82">
        <f t="shared" si="256"/>
        <v>11.5547058823529</v>
      </c>
      <c r="U546" s="81"/>
      <c r="V546" s="81"/>
      <c r="W546" s="83">
        <f t="shared" si="252"/>
        <v>476.260588235294</v>
      </c>
      <c r="X546" s="84">
        <f t="shared" si="257"/>
        <v>11.44</v>
      </c>
      <c r="Y546" s="84"/>
      <c r="Z546" s="84"/>
      <c r="AA546" s="84">
        <f t="shared" si="254"/>
        <v>11.44</v>
      </c>
      <c r="AB546" s="94">
        <v>7.17</v>
      </c>
      <c r="AC546" s="81">
        <f t="shared" si="253"/>
        <v>82.0248</v>
      </c>
      <c r="AD546" s="81">
        <f t="shared" si="250"/>
        <v>558.285388235294</v>
      </c>
      <c r="AE546" s="81">
        <f t="shared" si="251"/>
        <v>316.714611764706</v>
      </c>
    </row>
    <row r="547" customFormat="1" spans="1:31">
      <c r="A547" s="19"/>
      <c r="B547" s="20"/>
      <c r="C547" s="21">
        <v>240116000041</v>
      </c>
      <c r="D547" s="22">
        <v>45310</v>
      </c>
      <c r="E547" s="25" t="s">
        <v>69</v>
      </c>
      <c r="F547" s="20" t="s">
        <v>69</v>
      </c>
      <c r="G547" s="20" t="s">
        <v>252</v>
      </c>
      <c r="H547" s="20">
        <v>24.5</v>
      </c>
      <c r="I547" s="43">
        <v>3062.5</v>
      </c>
      <c r="J547" s="44"/>
      <c r="K547" s="45"/>
      <c r="L547" s="44"/>
      <c r="M547" s="46"/>
      <c r="N547" s="20"/>
      <c r="O547" s="48">
        <f t="shared" si="258"/>
        <v>3062.5</v>
      </c>
      <c r="P547" s="54"/>
      <c r="Q547" s="54"/>
      <c r="R547" s="81">
        <f t="shared" si="255"/>
        <v>1626.47058823529</v>
      </c>
      <c r="S547" s="81"/>
      <c r="T547" s="82">
        <f t="shared" si="256"/>
        <v>40.4414705882353</v>
      </c>
      <c r="U547" s="81"/>
      <c r="V547" s="81"/>
      <c r="W547" s="83">
        <f t="shared" si="252"/>
        <v>1666.91205882353</v>
      </c>
      <c r="X547" s="84">
        <f t="shared" si="257"/>
        <v>40.04</v>
      </c>
      <c r="Y547" s="84"/>
      <c r="Z547" s="84"/>
      <c r="AA547" s="84">
        <f t="shared" si="254"/>
        <v>40.04</v>
      </c>
      <c r="AB547" s="94">
        <v>7.17</v>
      </c>
      <c r="AC547" s="81">
        <f t="shared" si="253"/>
        <v>287.0868</v>
      </c>
      <c r="AD547" s="81">
        <f t="shared" si="250"/>
        <v>1953.99885882353</v>
      </c>
      <c r="AE547" s="81">
        <f t="shared" si="251"/>
        <v>1108.50114117647</v>
      </c>
    </row>
    <row r="548" customFormat="1" spans="1:31">
      <c r="A548" s="19"/>
      <c r="B548" s="20"/>
      <c r="C548" s="21">
        <v>240117000022</v>
      </c>
      <c r="D548" s="22">
        <v>45310</v>
      </c>
      <c r="E548" s="22" t="s">
        <v>37</v>
      </c>
      <c r="F548" s="20" t="s">
        <v>38</v>
      </c>
      <c r="G548" s="20" t="s">
        <v>137</v>
      </c>
      <c r="H548" s="20">
        <v>0.41</v>
      </c>
      <c r="I548" s="43">
        <v>155</v>
      </c>
      <c r="J548" s="44"/>
      <c r="K548" s="45"/>
      <c r="L548" s="44"/>
      <c r="M548" s="46"/>
      <c r="N548" s="20"/>
      <c r="O548" s="48">
        <f t="shared" si="258"/>
        <v>155</v>
      </c>
      <c r="P548" s="54"/>
      <c r="Q548" s="54"/>
      <c r="R548" s="81">
        <f t="shared" si="255"/>
        <v>27.218487394958</v>
      </c>
      <c r="S548" s="81"/>
      <c r="T548" s="82">
        <f t="shared" si="256"/>
        <v>0.676775630252101</v>
      </c>
      <c r="U548" s="81"/>
      <c r="V548" s="81"/>
      <c r="W548" s="83">
        <f t="shared" si="252"/>
        <v>27.8952630252101</v>
      </c>
      <c r="X548" s="84">
        <f t="shared" si="257"/>
        <v>0.670057142857143</v>
      </c>
      <c r="Y548" s="84"/>
      <c r="Z548" s="84"/>
      <c r="AA548" s="84">
        <f t="shared" si="254"/>
        <v>0.670057142857143</v>
      </c>
      <c r="AB548" s="94">
        <v>7.17</v>
      </c>
      <c r="AC548" s="81">
        <f t="shared" si="253"/>
        <v>4.80430971428571</v>
      </c>
      <c r="AD548" s="81">
        <f t="shared" si="250"/>
        <v>32.6995727394958</v>
      </c>
      <c r="AE548" s="81">
        <f t="shared" si="251"/>
        <v>122.300427260504</v>
      </c>
    </row>
    <row r="549" customFormat="1" spans="1:31">
      <c r="A549" s="19"/>
      <c r="B549" s="20"/>
      <c r="C549" s="21">
        <v>240117000030</v>
      </c>
      <c r="D549" s="22">
        <v>45310</v>
      </c>
      <c r="E549" s="22" t="s">
        <v>58</v>
      </c>
      <c r="F549" s="20" t="s">
        <v>59</v>
      </c>
      <c r="G549" s="20" t="s">
        <v>394</v>
      </c>
      <c r="H549" s="20">
        <v>3</v>
      </c>
      <c r="I549" s="43">
        <v>375</v>
      </c>
      <c r="J549" s="44"/>
      <c r="K549" s="45"/>
      <c r="L549" s="44"/>
      <c r="M549" s="46"/>
      <c r="N549" s="20"/>
      <c r="O549" s="48">
        <f t="shared" si="258"/>
        <v>375</v>
      </c>
      <c r="P549" s="54"/>
      <c r="Q549" s="54"/>
      <c r="R549" s="81">
        <f t="shared" si="255"/>
        <v>199.159663865546</v>
      </c>
      <c r="S549" s="81"/>
      <c r="T549" s="82">
        <f t="shared" si="256"/>
        <v>4.95201680672269</v>
      </c>
      <c r="U549" s="81"/>
      <c r="V549" s="81"/>
      <c r="W549" s="83">
        <f t="shared" si="252"/>
        <v>204.111680672269</v>
      </c>
      <c r="X549" s="84">
        <f t="shared" si="257"/>
        <v>4.90285714285714</v>
      </c>
      <c r="Y549" s="84"/>
      <c r="Z549" s="84"/>
      <c r="AA549" s="84">
        <f t="shared" si="254"/>
        <v>4.90285714285714</v>
      </c>
      <c r="AB549" s="94">
        <v>7.17</v>
      </c>
      <c r="AC549" s="81">
        <f t="shared" si="253"/>
        <v>35.1534857142857</v>
      </c>
      <c r="AD549" s="81">
        <f t="shared" si="250"/>
        <v>239.265166386555</v>
      </c>
      <c r="AE549" s="81">
        <f t="shared" si="251"/>
        <v>135.734833613445</v>
      </c>
    </row>
    <row r="550" customFormat="1" spans="1:31">
      <c r="A550" s="19"/>
      <c r="B550" s="20"/>
      <c r="C550" s="21">
        <v>240118000006</v>
      </c>
      <c r="D550" s="22">
        <v>45310</v>
      </c>
      <c r="E550" s="22" t="s">
        <v>44</v>
      </c>
      <c r="F550" s="20" t="s">
        <v>45</v>
      </c>
      <c r="G550" s="20" t="s">
        <v>395</v>
      </c>
      <c r="H550" s="20">
        <v>7</v>
      </c>
      <c r="I550" s="43">
        <v>910</v>
      </c>
      <c r="J550" s="44"/>
      <c r="K550" s="45"/>
      <c r="L550" s="44"/>
      <c r="M550" s="46"/>
      <c r="N550" s="20"/>
      <c r="O550" s="48">
        <f t="shared" si="258"/>
        <v>910</v>
      </c>
      <c r="P550" s="54"/>
      <c r="Q550" s="54"/>
      <c r="R550" s="81">
        <f t="shared" si="255"/>
        <v>464.705882352941</v>
      </c>
      <c r="S550" s="81"/>
      <c r="T550" s="82">
        <f t="shared" si="256"/>
        <v>11.5547058823529</v>
      </c>
      <c r="U550" s="81"/>
      <c r="V550" s="81"/>
      <c r="W550" s="83">
        <f t="shared" si="252"/>
        <v>476.260588235294</v>
      </c>
      <c r="X550" s="84">
        <f t="shared" si="257"/>
        <v>11.44</v>
      </c>
      <c r="Y550" s="84"/>
      <c r="Z550" s="84"/>
      <c r="AA550" s="84">
        <f t="shared" ref="AA550:AA568" si="259">SUM(X550:Z550)</f>
        <v>11.44</v>
      </c>
      <c r="AB550" s="94">
        <v>7.17</v>
      </c>
      <c r="AC550" s="81">
        <f t="shared" ref="AC550:AC568" si="260">SUM(AA550*AB550)</f>
        <v>82.0248</v>
      </c>
      <c r="AD550" s="81">
        <f t="shared" si="250"/>
        <v>558.285388235294</v>
      </c>
      <c r="AE550" s="81">
        <f t="shared" si="251"/>
        <v>351.714611764706</v>
      </c>
    </row>
    <row r="551" customFormat="1" spans="1:31">
      <c r="A551" s="19"/>
      <c r="B551" s="20"/>
      <c r="C551" s="21">
        <v>240118000009</v>
      </c>
      <c r="D551" s="22">
        <v>45310</v>
      </c>
      <c r="E551" s="25" t="s">
        <v>69</v>
      </c>
      <c r="F551" s="20" t="s">
        <v>69</v>
      </c>
      <c r="G551" s="20" t="s">
        <v>396</v>
      </c>
      <c r="H551" s="20">
        <v>4</v>
      </c>
      <c r="I551" s="43">
        <v>620</v>
      </c>
      <c r="J551" s="44"/>
      <c r="K551" s="45"/>
      <c r="L551" s="44"/>
      <c r="M551" s="46"/>
      <c r="N551" s="20"/>
      <c r="O551" s="48">
        <f t="shared" si="258"/>
        <v>620</v>
      </c>
      <c r="P551" s="60"/>
      <c r="Q551" s="60"/>
      <c r="R551" s="81">
        <f t="shared" si="255"/>
        <v>265.546218487395</v>
      </c>
      <c r="S551" s="81"/>
      <c r="T551" s="82">
        <f t="shared" si="256"/>
        <v>6.60268907563025</v>
      </c>
      <c r="U551" s="81"/>
      <c r="V551" s="81"/>
      <c r="W551" s="83">
        <f t="shared" si="252"/>
        <v>272.148907563025</v>
      </c>
      <c r="X551" s="84">
        <f t="shared" si="257"/>
        <v>6.53714285714286</v>
      </c>
      <c r="Y551" s="84"/>
      <c r="Z551" s="84"/>
      <c r="AA551" s="84">
        <f t="shared" si="259"/>
        <v>6.53714285714286</v>
      </c>
      <c r="AB551" s="94">
        <v>7.17</v>
      </c>
      <c r="AC551" s="81">
        <f t="shared" si="260"/>
        <v>46.8713142857143</v>
      </c>
      <c r="AD551" s="81">
        <f t="shared" ref="AD551:AD582" si="261">SUM(W551+AC551)</f>
        <v>319.020221848739</v>
      </c>
      <c r="AE551" s="81">
        <f t="shared" ref="AE551:AE582" si="262">SUM(O551-AD551)</f>
        <v>300.979778151261</v>
      </c>
    </row>
    <row r="552" customFormat="1" spans="1:31">
      <c r="A552" s="19" t="s">
        <v>397</v>
      </c>
      <c r="B552" s="20" t="s">
        <v>398</v>
      </c>
      <c r="C552" s="21">
        <v>240116000023</v>
      </c>
      <c r="D552" s="22">
        <v>45312</v>
      </c>
      <c r="E552" s="22" t="s">
        <v>69</v>
      </c>
      <c r="F552" s="20" t="s">
        <v>192</v>
      </c>
      <c r="G552" s="20" t="s">
        <v>193</v>
      </c>
      <c r="H552" s="20">
        <v>3</v>
      </c>
      <c r="I552" s="43">
        <v>480</v>
      </c>
      <c r="J552" s="44"/>
      <c r="K552" s="45"/>
      <c r="L552" s="44"/>
      <c r="M552" s="46"/>
      <c r="N552" s="20"/>
      <c r="O552" s="48">
        <f t="shared" si="258"/>
        <v>480</v>
      </c>
      <c r="P552" s="49">
        <f>SUM(O552:O555)</f>
        <v>4467</v>
      </c>
      <c r="Q552" s="49" t="s">
        <v>146</v>
      </c>
      <c r="R552" s="81">
        <f>SUM(2200/32)*H552</f>
        <v>206.25</v>
      </c>
      <c r="S552" s="81"/>
      <c r="T552" s="82">
        <f>SUM(63.81/32)*H552</f>
        <v>5.9821875</v>
      </c>
      <c r="U552" s="81"/>
      <c r="V552" s="81"/>
      <c r="W552" s="83">
        <f t="shared" si="252"/>
        <v>212.2321875</v>
      </c>
      <c r="X552" s="84">
        <f>SUM(56.37/32)*H552</f>
        <v>5.2846875</v>
      </c>
      <c r="Y552" s="84"/>
      <c r="Z552" s="84"/>
      <c r="AA552" s="84">
        <f t="shared" si="259"/>
        <v>5.2846875</v>
      </c>
      <c r="AB552" s="94">
        <v>7.17</v>
      </c>
      <c r="AC552" s="81">
        <f t="shared" si="260"/>
        <v>37.891209375</v>
      </c>
      <c r="AD552" s="81">
        <f t="shared" si="261"/>
        <v>250.123396875</v>
      </c>
      <c r="AE552" s="81">
        <f t="shared" si="262"/>
        <v>229.876603125</v>
      </c>
    </row>
    <row r="553" customFormat="1" spans="1:31">
      <c r="A553" s="19"/>
      <c r="B553" s="20"/>
      <c r="C553" s="21">
        <v>240118000015</v>
      </c>
      <c r="D553" s="22">
        <v>45312</v>
      </c>
      <c r="E553" s="22" t="s">
        <v>58</v>
      </c>
      <c r="F553" s="20" t="s">
        <v>59</v>
      </c>
      <c r="G553" s="20" t="s">
        <v>399</v>
      </c>
      <c r="H553" s="20">
        <v>0.42</v>
      </c>
      <c r="I553" s="57">
        <v>250</v>
      </c>
      <c r="J553" s="99"/>
      <c r="K553" s="56"/>
      <c r="L553" s="99"/>
      <c r="M553" s="46"/>
      <c r="N553" s="20"/>
      <c r="O553" s="48">
        <f>SUBTOTAL(9,I553)</f>
        <v>250</v>
      </c>
      <c r="P553" s="54"/>
      <c r="Q553" s="54"/>
      <c r="R553" s="81">
        <f>SUM(2200/32)*H553</f>
        <v>28.875</v>
      </c>
      <c r="S553" s="81"/>
      <c r="T553" s="82">
        <f>SUM(63.81/32)*H553</f>
        <v>0.83750625</v>
      </c>
      <c r="U553" s="81"/>
      <c r="V553" s="81"/>
      <c r="W553" s="83">
        <f t="shared" si="252"/>
        <v>29.71250625</v>
      </c>
      <c r="X553" s="84">
        <f>SUM(56.37/32)*H553</f>
        <v>0.73985625</v>
      </c>
      <c r="Y553" s="84"/>
      <c r="Z553" s="84"/>
      <c r="AA553" s="84">
        <f t="shared" si="259"/>
        <v>0.73985625</v>
      </c>
      <c r="AB553" s="94">
        <v>7.17</v>
      </c>
      <c r="AC553" s="81">
        <f t="shared" si="260"/>
        <v>5.3047693125</v>
      </c>
      <c r="AD553" s="81">
        <f t="shared" si="261"/>
        <v>35.0172755625</v>
      </c>
      <c r="AE553" s="81">
        <f t="shared" si="262"/>
        <v>214.9827244375</v>
      </c>
    </row>
    <row r="554" customFormat="1" spans="1:31">
      <c r="A554" s="19"/>
      <c r="B554" s="20"/>
      <c r="C554" s="21">
        <v>240119000038</v>
      </c>
      <c r="D554" s="22">
        <v>45312</v>
      </c>
      <c r="E554" s="22" t="s">
        <v>58</v>
      </c>
      <c r="F554" s="20" t="s">
        <v>59</v>
      </c>
      <c r="G554" s="20" t="s">
        <v>253</v>
      </c>
      <c r="H554" s="20">
        <v>21.5</v>
      </c>
      <c r="I554" s="43">
        <v>2644.5</v>
      </c>
      <c r="J554" s="44"/>
      <c r="K554" s="45"/>
      <c r="L554" s="44"/>
      <c r="M554" s="46"/>
      <c r="N554" s="20"/>
      <c r="O554" s="48">
        <f t="shared" ref="O554:O556" si="263">SUM(I554)</f>
        <v>2644.5</v>
      </c>
      <c r="P554" s="54"/>
      <c r="Q554" s="54"/>
      <c r="R554" s="81">
        <f>SUM(2200/32)*H554</f>
        <v>1478.125</v>
      </c>
      <c r="S554" s="81"/>
      <c r="T554" s="82">
        <f>SUM(63.81/32)*H554</f>
        <v>42.87234375</v>
      </c>
      <c r="U554" s="81"/>
      <c r="V554" s="81"/>
      <c r="W554" s="83">
        <f t="shared" si="252"/>
        <v>1520.99734375</v>
      </c>
      <c r="X554" s="84">
        <f>SUM(56.37/32)*H554</f>
        <v>37.87359375</v>
      </c>
      <c r="Y554" s="84"/>
      <c r="Z554" s="84"/>
      <c r="AA554" s="84">
        <f t="shared" si="259"/>
        <v>37.87359375</v>
      </c>
      <c r="AB554" s="94">
        <v>7.17</v>
      </c>
      <c r="AC554" s="81">
        <f t="shared" si="260"/>
        <v>271.5536671875</v>
      </c>
      <c r="AD554" s="81">
        <f t="shared" si="261"/>
        <v>1792.5510109375</v>
      </c>
      <c r="AE554" s="81">
        <f t="shared" si="262"/>
        <v>851.9489890625</v>
      </c>
    </row>
    <row r="555" customFormat="1" spans="1:31">
      <c r="A555" s="19"/>
      <c r="B555" s="20"/>
      <c r="C555" s="21">
        <v>240119000040</v>
      </c>
      <c r="D555" s="22">
        <v>45312</v>
      </c>
      <c r="E555" s="25" t="s">
        <v>69</v>
      </c>
      <c r="F555" s="20" t="s">
        <v>69</v>
      </c>
      <c r="G555" s="20" t="s">
        <v>332</v>
      </c>
      <c r="H555" s="20">
        <v>8.5</v>
      </c>
      <c r="I555" s="43">
        <v>1092.5</v>
      </c>
      <c r="J555" s="44"/>
      <c r="K555" s="45"/>
      <c r="L555" s="44"/>
      <c r="M555" s="46"/>
      <c r="N555" s="20"/>
      <c r="O555" s="48">
        <f t="shared" si="263"/>
        <v>1092.5</v>
      </c>
      <c r="P555" s="60"/>
      <c r="Q555" s="60"/>
      <c r="R555" s="81">
        <f>SUM(2200/32)*H555</f>
        <v>584.375</v>
      </c>
      <c r="S555" s="81"/>
      <c r="T555" s="82">
        <f>SUM(63.81/32)*H555</f>
        <v>16.94953125</v>
      </c>
      <c r="U555" s="81"/>
      <c r="V555" s="81"/>
      <c r="W555" s="83">
        <f t="shared" si="252"/>
        <v>601.32453125</v>
      </c>
      <c r="X555" s="84">
        <f>SUM(56.37/32)*H555</f>
        <v>14.97328125</v>
      </c>
      <c r="Y555" s="84"/>
      <c r="Z555" s="84"/>
      <c r="AA555" s="84">
        <f t="shared" si="259"/>
        <v>14.97328125</v>
      </c>
      <c r="AB555" s="94">
        <v>7.17</v>
      </c>
      <c r="AC555" s="81">
        <f t="shared" si="260"/>
        <v>107.3584265625</v>
      </c>
      <c r="AD555" s="81">
        <f t="shared" si="261"/>
        <v>708.6829578125</v>
      </c>
      <c r="AE555" s="81">
        <f t="shared" si="262"/>
        <v>383.8170421875</v>
      </c>
    </row>
    <row r="556" customFormat="1" spans="1:31">
      <c r="A556" s="19" t="s">
        <v>400</v>
      </c>
      <c r="B556" s="20" t="s">
        <v>401</v>
      </c>
      <c r="C556" s="21">
        <v>240103000048</v>
      </c>
      <c r="D556" s="22">
        <v>45312</v>
      </c>
      <c r="E556" s="22" t="s">
        <v>58</v>
      </c>
      <c r="F556" s="20" t="s">
        <v>59</v>
      </c>
      <c r="G556" s="20" t="s">
        <v>402</v>
      </c>
      <c r="H556" s="20">
        <v>5</v>
      </c>
      <c r="I556" s="43">
        <v>278</v>
      </c>
      <c r="J556" s="59"/>
      <c r="K556" s="52"/>
      <c r="L556" s="59"/>
      <c r="M556" s="46"/>
      <c r="N556" s="20"/>
      <c r="O556" s="48">
        <f t="shared" si="263"/>
        <v>278</v>
      </c>
      <c r="P556" s="49">
        <f>SUM(O556:O600)</f>
        <v>103061.591</v>
      </c>
      <c r="Q556" s="80" t="s">
        <v>165</v>
      </c>
      <c r="R556" s="81">
        <f t="shared" ref="R556:R568" si="264">SUM(72752/2148)*H556</f>
        <v>169.348230912477</v>
      </c>
      <c r="S556" s="81"/>
      <c r="T556" s="82">
        <f t="shared" ref="T556:T568" si="265">SUM(130/2148)*H556</f>
        <v>0.302607076350093</v>
      </c>
      <c r="U556" s="81"/>
      <c r="V556" s="81"/>
      <c r="W556" s="83">
        <f t="shared" si="252"/>
        <v>169.650837988827</v>
      </c>
      <c r="X556" s="84">
        <f t="shared" ref="X556:X568" si="266">SUM(1154.51/2148)*H556</f>
        <v>2.68740689013035</v>
      </c>
      <c r="Y556" s="84"/>
      <c r="Z556" s="84"/>
      <c r="AA556" s="84">
        <f t="shared" si="259"/>
        <v>2.68740689013035</v>
      </c>
      <c r="AB556" s="94">
        <v>7.17</v>
      </c>
      <c r="AC556" s="81">
        <f t="shared" si="260"/>
        <v>19.2687074022346</v>
      </c>
      <c r="AD556" s="81">
        <f t="shared" si="261"/>
        <v>188.919545391061</v>
      </c>
      <c r="AE556" s="81">
        <f t="shared" si="262"/>
        <v>89.080454608939</v>
      </c>
    </row>
    <row r="557" customFormat="1" spans="1:31">
      <c r="A557" s="19"/>
      <c r="B557" s="20"/>
      <c r="C557" s="21">
        <v>240108000007</v>
      </c>
      <c r="D557" s="22">
        <v>45312</v>
      </c>
      <c r="E557" s="22" t="s">
        <v>49</v>
      </c>
      <c r="F557" s="20" t="s">
        <v>50</v>
      </c>
      <c r="G557" s="20" t="s">
        <v>215</v>
      </c>
      <c r="H557" s="20">
        <v>6</v>
      </c>
      <c r="I557" s="50"/>
      <c r="J557" s="51">
        <v>56970</v>
      </c>
      <c r="K557" s="52"/>
      <c r="L557" s="51">
        <f>SUM(J557/M557)</f>
        <v>1513.14741035857</v>
      </c>
      <c r="M557" s="53">
        <v>37.65</v>
      </c>
      <c r="N557" s="20">
        <v>7.17</v>
      </c>
      <c r="O557" s="48">
        <f>SUM(M557*N557)</f>
        <v>269.9505</v>
      </c>
      <c r="P557" s="54"/>
      <c r="Q557" s="54"/>
      <c r="R557" s="81">
        <f t="shared" si="264"/>
        <v>203.217877094972</v>
      </c>
      <c r="S557" s="81"/>
      <c r="T557" s="82">
        <f t="shared" si="265"/>
        <v>0.363128491620112</v>
      </c>
      <c r="U557" s="81"/>
      <c r="V557" s="81"/>
      <c r="W557" s="83">
        <f t="shared" si="252"/>
        <v>203.581005586592</v>
      </c>
      <c r="X557" s="84">
        <f t="shared" si="266"/>
        <v>3.22488826815642</v>
      </c>
      <c r="Y557" s="84"/>
      <c r="Z557" s="84"/>
      <c r="AA557" s="84">
        <f t="shared" si="259"/>
        <v>3.22488826815642</v>
      </c>
      <c r="AB557" s="94">
        <v>7.17</v>
      </c>
      <c r="AC557" s="81">
        <f t="shared" si="260"/>
        <v>23.1224488826816</v>
      </c>
      <c r="AD557" s="81">
        <f t="shared" si="261"/>
        <v>226.703454469274</v>
      </c>
      <c r="AE557" s="81">
        <f t="shared" si="262"/>
        <v>43.247045530726</v>
      </c>
    </row>
    <row r="558" customFormat="1" spans="1:31">
      <c r="A558" s="19"/>
      <c r="B558" s="20"/>
      <c r="C558" s="21">
        <v>240108000018</v>
      </c>
      <c r="D558" s="22">
        <v>45312</v>
      </c>
      <c r="E558" s="22" t="s">
        <v>58</v>
      </c>
      <c r="F558" s="20" t="s">
        <v>59</v>
      </c>
      <c r="G558" s="20" t="s">
        <v>259</v>
      </c>
      <c r="H558" s="20">
        <v>2</v>
      </c>
      <c r="I558" s="43">
        <v>123</v>
      </c>
      <c r="J558" s="44"/>
      <c r="K558" s="45"/>
      <c r="L558" s="44"/>
      <c r="M558" s="46"/>
      <c r="N558" s="20"/>
      <c r="O558" s="48">
        <f t="shared" ref="O558:O561" si="267">SUM(I558)</f>
        <v>123</v>
      </c>
      <c r="P558" s="54"/>
      <c r="Q558" s="54"/>
      <c r="R558" s="81">
        <f t="shared" si="264"/>
        <v>67.7392923649907</v>
      </c>
      <c r="S558" s="81"/>
      <c r="T558" s="82">
        <f t="shared" si="265"/>
        <v>0.121042830540037</v>
      </c>
      <c r="U558" s="81"/>
      <c r="V558" s="81"/>
      <c r="W558" s="83">
        <f t="shared" si="252"/>
        <v>67.8603351955307</v>
      </c>
      <c r="X558" s="84">
        <f t="shared" si="266"/>
        <v>1.07496275605214</v>
      </c>
      <c r="Y558" s="84"/>
      <c r="Z558" s="84"/>
      <c r="AA558" s="84">
        <f t="shared" si="259"/>
        <v>1.07496275605214</v>
      </c>
      <c r="AB558" s="94">
        <v>7.17</v>
      </c>
      <c r="AC558" s="81">
        <f t="shared" si="260"/>
        <v>7.70748296089385</v>
      </c>
      <c r="AD558" s="81">
        <f t="shared" si="261"/>
        <v>75.5678181564246</v>
      </c>
      <c r="AE558" s="81">
        <f t="shared" si="262"/>
        <v>47.4321818435754</v>
      </c>
    </row>
    <row r="559" customFormat="1" spans="1:31">
      <c r="A559" s="19"/>
      <c r="B559" s="20"/>
      <c r="C559" s="21">
        <v>240111000008</v>
      </c>
      <c r="D559" s="22">
        <v>45312</v>
      </c>
      <c r="E559" s="22" t="s">
        <v>49</v>
      </c>
      <c r="F559" s="20" t="s">
        <v>50</v>
      </c>
      <c r="G559" s="20" t="s">
        <v>178</v>
      </c>
      <c r="H559" s="20">
        <v>14</v>
      </c>
      <c r="I559" s="43">
        <v>726</v>
      </c>
      <c r="J559" s="44"/>
      <c r="K559" s="45"/>
      <c r="L559" s="44"/>
      <c r="M559" s="46"/>
      <c r="N559" s="20"/>
      <c r="O559" s="48">
        <f t="shared" si="267"/>
        <v>726</v>
      </c>
      <c r="P559" s="54"/>
      <c r="Q559" s="54"/>
      <c r="R559" s="81">
        <f t="shared" si="264"/>
        <v>474.175046554935</v>
      </c>
      <c r="S559" s="81"/>
      <c r="T559" s="82">
        <f t="shared" si="265"/>
        <v>0.847299813780261</v>
      </c>
      <c r="U559" s="81"/>
      <c r="V559" s="81"/>
      <c r="W559" s="83">
        <f t="shared" si="252"/>
        <v>475.022346368715</v>
      </c>
      <c r="X559" s="84">
        <f t="shared" si="266"/>
        <v>7.52473929236499</v>
      </c>
      <c r="Y559" s="84"/>
      <c r="Z559" s="84"/>
      <c r="AA559" s="84">
        <f t="shared" si="259"/>
        <v>7.52473929236499</v>
      </c>
      <c r="AB559" s="94">
        <v>7.17</v>
      </c>
      <c r="AC559" s="81">
        <f t="shared" si="260"/>
        <v>53.952380726257</v>
      </c>
      <c r="AD559" s="81">
        <f t="shared" si="261"/>
        <v>528.974727094972</v>
      </c>
      <c r="AE559" s="81">
        <f t="shared" si="262"/>
        <v>197.025272905028</v>
      </c>
    </row>
    <row r="560" customFormat="1" spans="1:31">
      <c r="A560" s="19"/>
      <c r="B560" s="20"/>
      <c r="C560" s="21">
        <v>240112000016</v>
      </c>
      <c r="D560" s="22">
        <v>45312</v>
      </c>
      <c r="E560" s="22" t="s">
        <v>49</v>
      </c>
      <c r="F560" s="20" t="s">
        <v>50</v>
      </c>
      <c r="G560" s="20" t="s">
        <v>339</v>
      </c>
      <c r="H560" s="20">
        <v>8</v>
      </c>
      <c r="I560" s="50"/>
      <c r="J560" s="51">
        <v>83848</v>
      </c>
      <c r="K560" s="52"/>
      <c r="L560" s="51">
        <f>SUM(J560/M560)</f>
        <v>1598.93211289092</v>
      </c>
      <c r="M560" s="53">
        <v>52.44</v>
      </c>
      <c r="N560" s="20">
        <v>7.17</v>
      </c>
      <c r="O560" s="48">
        <f>SUM(M560*N560)</f>
        <v>375.9948</v>
      </c>
      <c r="P560" s="54"/>
      <c r="Q560" s="54"/>
      <c r="R560" s="81">
        <f t="shared" si="264"/>
        <v>270.957169459963</v>
      </c>
      <c r="S560" s="81"/>
      <c r="T560" s="82">
        <f t="shared" si="265"/>
        <v>0.484171322160149</v>
      </c>
      <c r="U560" s="81"/>
      <c r="V560" s="81"/>
      <c r="W560" s="83">
        <f t="shared" si="252"/>
        <v>271.441340782123</v>
      </c>
      <c r="X560" s="84">
        <f t="shared" si="266"/>
        <v>4.29985102420857</v>
      </c>
      <c r="Y560" s="84"/>
      <c r="Z560" s="84"/>
      <c r="AA560" s="84">
        <f t="shared" si="259"/>
        <v>4.29985102420857</v>
      </c>
      <c r="AB560" s="94">
        <v>7.17</v>
      </c>
      <c r="AC560" s="81">
        <f t="shared" si="260"/>
        <v>30.8299318435754</v>
      </c>
      <c r="AD560" s="81">
        <f t="shared" si="261"/>
        <v>302.271272625698</v>
      </c>
      <c r="AE560" s="81">
        <f t="shared" si="262"/>
        <v>73.723527374302</v>
      </c>
    </row>
    <row r="561" customFormat="1" spans="1:31">
      <c r="A561" s="19"/>
      <c r="B561" s="20"/>
      <c r="C561" s="21">
        <v>240112000019</v>
      </c>
      <c r="D561" s="22">
        <v>45312</v>
      </c>
      <c r="E561" s="22" t="s">
        <v>37</v>
      </c>
      <c r="F561" s="20" t="s">
        <v>38</v>
      </c>
      <c r="G561" s="20" t="s">
        <v>403</v>
      </c>
      <c r="H561" s="20">
        <v>37</v>
      </c>
      <c r="I561" s="43">
        <v>2572.1</v>
      </c>
      <c r="J561" s="44"/>
      <c r="K561" s="45"/>
      <c r="L561" s="44"/>
      <c r="M561" s="46"/>
      <c r="N561" s="20"/>
      <c r="O561" s="48">
        <f t="shared" si="267"/>
        <v>2572.1</v>
      </c>
      <c r="P561" s="54"/>
      <c r="Q561" s="54"/>
      <c r="R561" s="81">
        <f t="shared" si="264"/>
        <v>1253.17690875233</v>
      </c>
      <c r="S561" s="81"/>
      <c r="T561" s="82">
        <f t="shared" si="265"/>
        <v>2.23929236499069</v>
      </c>
      <c r="U561" s="81">
        <v>70</v>
      </c>
      <c r="V561" s="81"/>
      <c r="W561" s="83">
        <f t="shared" si="252"/>
        <v>1325.41620111732</v>
      </c>
      <c r="X561" s="84">
        <f t="shared" si="266"/>
        <v>19.8868109869646</v>
      </c>
      <c r="Y561" s="84">
        <v>7</v>
      </c>
      <c r="Z561" s="84"/>
      <c r="AA561" s="84">
        <f t="shared" si="259"/>
        <v>26.8868109869646</v>
      </c>
      <c r="AB561" s="94">
        <v>7.17</v>
      </c>
      <c r="AC561" s="81">
        <f t="shared" si="260"/>
        <v>192.778434776536</v>
      </c>
      <c r="AD561" s="81">
        <f t="shared" si="261"/>
        <v>1518.19463589385</v>
      </c>
      <c r="AE561" s="81">
        <f t="shared" si="262"/>
        <v>1053.90536410615</v>
      </c>
    </row>
    <row r="562" customFormat="1" spans="1:31">
      <c r="A562" s="19"/>
      <c r="B562" s="20"/>
      <c r="C562" s="21">
        <v>240112000025</v>
      </c>
      <c r="D562" s="22">
        <v>45312</v>
      </c>
      <c r="E562" s="22" t="s">
        <v>58</v>
      </c>
      <c r="F562" s="20" t="s">
        <v>59</v>
      </c>
      <c r="G562" s="20" t="s">
        <v>404</v>
      </c>
      <c r="H562" s="20">
        <v>34.5</v>
      </c>
      <c r="I562" s="57">
        <v>1560</v>
      </c>
      <c r="J562" s="55"/>
      <c r="K562" s="58"/>
      <c r="L562" s="55"/>
      <c r="M562" s="46"/>
      <c r="N562" s="20"/>
      <c r="O562" s="48">
        <f>SUBTOTAL(9,I562)</f>
        <v>1560</v>
      </c>
      <c r="P562" s="54"/>
      <c r="Q562" s="54"/>
      <c r="R562" s="81">
        <f t="shared" si="264"/>
        <v>1168.50279329609</v>
      </c>
      <c r="S562" s="81"/>
      <c r="T562" s="82">
        <f t="shared" si="265"/>
        <v>2.08798882681564</v>
      </c>
      <c r="U562" s="81"/>
      <c r="V562" s="81"/>
      <c r="W562" s="83">
        <f t="shared" si="252"/>
        <v>1170.59078212291</v>
      </c>
      <c r="X562" s="84">
        <f t="shared" si="266"/>
        <v>18.5431075418994</v>
      </c>
      <c r="Y562" s="84"/>
      <c r="Z562" s="84"/>
      <c r="AA562" s="84">
        <f t="shared" si="259"/>
        <v>18.5431075418994</v>
      </c>
      <c r="AB562" s="94">
        <v>7.17</v>
      </c>
      <c r="AC562" s="81">
        <f t="shared" si="260"/>
        <v>132.954081075419</v>
      </c>
      <c r="AD562" s="81">
        <f t="shared" si="261"/>
        <v>1303.54486319832</v>
      </c>
      <c r="AE562" s="81">
        <f t="shared" si="262"/>
        <v>256.45513680168</v>
      </c>
    </row>
    <row r="563" customFormat="1" spans="1:31">
      <c r="A563" s="19"/>
      <c r="B563" s="20"/>
      <c r="C563" s="21">
        <v>240113000004</v>
      </c>
      <c r="D563" s="22">
        <v>45312</v>
      </c>
      <c r="E563" s="22" t="s">
        <v>37</v>
      </c>
      <c r="F563" s="20" t="s">
        <v>38</v>
      </c>
      <c r="G563" s="20" t="s">
        <v>405</v>
      </c>
      <c r="H563" s="20">
        <v>8</v>
      </c>
      <c r="I563" s="43">
        <v>422</v>
      </c>
      <c r="J563" s="44"/>
      <c r="K563" s="45"/>
      <c r="L563" s="44"/>
      <c r="M563" s="46"/>
      <c r="N563" s="20"/>
      <c r="O563" s="48">
        <f t="shared" ref="O563:O567" si="268">SUM(I563)</f>
        <v>422</v>
      </c>
      <c r="P563" s="54"/>
      <c r="Q563" s="54"/>
      <c r="R563" s="81">
        <f t="shared" si="264"/>
        <v>270.957169459963</v>
      </c>
      <c r="S563" s="81"/>
      <c r="T563" s="82">
        <f t="shared" si="265"/>
        <v>0.484171322160149</v>
      </c>
      <c r="U563" s="81"/>
      <c r="V563" s="81"/>
      <c r="W563" s="83">
        <f t="shared" si="252"/>
        <v>271.441340782123</v>
      </c>
      <c r="X563" s="84">
        <f t="shared" si="266"/>
        <v>4.29985102420857</v>
      </c>
      <c r="Y563" s="84"/>
      <c r="Z563" s="84"/>
      <c r="AA563" s="84">
        <f t="shared" si="259"/>
        <v>4.29985102420857</v>
      </c>
      <c r="AB563" s="94">
        <v>7.17</v>
      </c>
      <c r="AC563" s="81">
        <f t="shared" si="260"/>
        <v>30.8299318435754</v>
      </c>
      <c r="AD563" s="81">
        <f t="shared" si="261"/>
        <v>302.271272625698</v>
      </c>
      <c r="AE563" s="81">
        <f t="shared" si="262"/>
        <v>119.728727374302</v>
      </c>
    </row>
    <row r="564" customFormat="1" spans="1:31">
      <c r="A564" s="19"/>
      <c r="B564" s="20"/>
      <c r="C564" s="21">
        <v>240114000009</v>
      </c>
      <c r="D564" s="22">
        <v>45312</v>
      </c>
      <c r="E564" s="22" t="s">
        <v>69</v>
      </c>
      <c r="F564" s="20" t="s">
        <v>192</v>
      </c>
      <c r="G564" s="20" t="s">
        <v>193</v>
      </c>
      <c r="H564" s="20">
        <v>24.5</v>
      </c>
      <c r="I564" s="43">
        <v>1355.5</v>
      </c>
      <c r="J564" s="44"/>
      <c r="K564" s="45"/>
      <c r="L564" s="44"/>
      <c r="M564" s="46"/>
      <c r="N564" s="20"/>
      <c r="O564" s="48">
        <f t="shared" si="268"/>
        <v>1355.5</v>
      </c>
      <c r="P564" s="54"/>
      <c r="Q564" s="54"/>
      <c r="R564" s="81">
        <f t="shared" si="264"/>
        <v>829.806331471136</v>
      </c>
      <c r="S564" s="81"/>
      <c r="T564" s="82">
        <f t="shared" si="265"/>
        <v>1.48277467411546</v>
      </c>
      <c r="U564" s="81"/>
      <c r="V564" s="81"/>
      <c r="W564" s="83">
        <f t="shared" si="252"/>
        <v>831.289106145251</v>
      </c>
      <c r="X564" s="84">
        <f t="shared" si="266"/>
        <v>13.1682937616387</v>
      </c>
      <c r="Y564" s="84"/>
      <c r="Z564" s="84"/>
      <c r="AA564" s="84">
        <f t="shared" si="259"/>
        <v>13.1682937616387</v>
      </c>
      <c r="AB564" s="94">
        <v>7.17</v>
      </c>
      <c r="AC564" s="81">
        <f t="shared" si="260"/>
        <v>94.4166662709497</v>
      </c>
      <c r="AD564" s="81">
        <f t="shared" si="261"/>
        <v>925.705772416201</v>
      </c>
      <c r="AE564" s="81">
        <f t="shared" si="262"/>
        <v>429.794227583799</v>
      </c>
    </row>
    <row r="565" customFormat="1" spans="1:31">
      <c r="A565" s="19"/>
      <c r="B565" s="20"/>
      <c r="C565" s="21">
        <v>240115000002</v>
      </c>
      <c r="D565" s="22">
        <v>45312</v>
      </c>
      <c r="E565" s="22" t="s">
        <v>58</v>
      </c>
      <c r="F565" s="20" t="s">
        <v>59</v>
      </c>
      <c r="G565" s="20" t="s">
        <v>301</v>
      </c>
      <c r="H565" s="20">
        <v>0.22</v>
      </c>
      <c r="I565" s="48"/>
      <c r="J565" s="55">
        <v>11720</v>
      </c>
      <c r="K565" s="56"/>
      <c r="L565" s="51">
        <f>SUM(J565/M565)</f>
        <v>1446.91358024691</v>
      </c>
      <c r="M565" s="53">
        <v>8.1</v>
      </c>
      <c r="N565" s="20">
        <v>7.17</v>
      </c>
      <c r="O565" s="48">
        <f t="shared" ref="O565:O568" si="269">SUM(M565*N565)</f>
        <v>58.077</v>
      </c>
      <c r="P565" s="54"/>
      <c r="Q565" s="54"/>
      <c r="R565" s="81">
        <f t="shared" si="264"/>
        <v>7.45132216014898</v>
      </c>
      <c r="S565" s="81"/>
      <c r="T565" s="82">
        <f t="shared" si="265"/>
        <v>0.0133147113594041</v>
      </c>
      <c r="U565" s="81"/>
      <c r="V565" s="81"/>
      <c r="W565" s="83">
        <f t="shared" si="252"/>
        <v>7.46463687150838</v>
      </c>
      <c r="X565" s="84">
        <f t="shared" si="266"/>
        <v>0.118245903165736</v>
      </c>
      <c r="Y565" s="84"/>
      <c r="Z565" s="84"/>
      <c r="AA565" s="84">
        <f t="shared" si="259"/>
        <v>0.118245903165736</v>
      </c>
      <c r="AB565" s="94">
        <v>7.17</v>
      </c>
      <c r="AC565" s="81">
        <f t="shared" si="260"/>
        <v>0.847823125698324</v>
      </c>
      <c r="AD565" s="81">
        <f t="shared" si="261"/>
        <v>8.31245999720671</v>
      </c>
      <c r="AE565" s="81">
        <f t="shared" si="262"/>
        <v>49.7645400027933</v>
      </c>
    </row>
    <row r="566" customFormat="1" spans="1:31">
      <c r="A566" s="19"/>
      <c r="B566" s="20"/>
      <c r="C566" s="21">
        <v>240115000005</v>
      </c>
      <c r="D566" s="22">
        <v>45312</v>
      </c>
      <c r="E566" s="22" t="s">
        <v>49</v>
      </c>
      <c r="F566" s="20" t="s">
        <v>50</v>
      </c>
      <c r="G566" s="20" t="s">
        <v>64</v>
      </c>
      <c r="H566" s="20">
        <v>12</v>
      </c>
      <c r="I566" s="50"/>
      <c r="J566" s="51">
        <v>130800</v>
      </c>
      <c r="K566" s="52"/>
      <c r="L566" s="51">
        <f>SUM(J566/M566)</f>
        <v>1563.09751434034</v>
      </c>
      <c r="M566" s="53">
        <v>83.68</v>
      </c>
      <c r="N566" s="20">
        <v>7.17</v>
      </c>
      <c r="O566" s="48">
        <f t="shared" si="269"/>
        <v>599.9856</v>
      </c>
      <c r="P566" s="54"/>
      <c r="Q566" s="54"/>
      <c r="R566" s="81">
        <f t="shared" si="264"/>
        <v>406.435754189944</v>
      </c>
      <c r="S566" s="81"/>
      <c r="T566" s="82">
        <f t="shared" si="265"/>
        <v>0.726256983240223</v>
      </c>
      <c r="U566" s="81"/>
      <c r="V566" s="81"/>
      <c r="W566" s="83">
        <f t="shared" si="252"/>
        <v>407.162011173184</v>
      </c>
      <c r="X566" s="84">
        <f t="shared" si="266"/>
        <v>6.44977653631285</v>
      </c>
      <c r="Y566" s="84"/>
      <c r="Z566" s="84"/>
      <c r="AA566" s="84">
        <f t="shared" si="259"/>
        <v>6.44977653631285</v>
      </c>
      <c r="AB566" s="94">
        <v>7.17</v>
      </c>
      <c r="AC566" s="81">
        <f t="shared" si="260"/>
        <v>46.2448977653631</v>
      </c>
      <c r="AD566" s="81">
        <f t="shared" si="261"/>
        <v>453.406908938547</v>
      </c>
      <c r="AE566" s="81">
        <f t="shared" si="262"/>
        <v>146.578691061453</v>
      </c>
    </row>
    <row r="567" customFormat="1" spans="1:31">
      <c r="A567" s="19"/>
      <c r="B567" s="20"/>
      <c r="C567" s="21">
        <v>240115000008</v>
      </c>
      <c r="D567" s="22">
        <v>45312</v>
      </c>
      <c r="E567" s="22" t="s">
        <v>49</v>
      </c>
      <c r="F567" s="20" t="s">
        <v>50</v>
      </c>
      <c r="G567" s="20" t="s">
        <v>189</v>
      </c>
      <c r="H567" s="20">
        <v>10</v>
      </c>
      <c r="I567" s="43">
        <v>500</v>
      </c>
      <c r="J567" s="44"/>
      <c r="K567" s="45"/>
      <c r="L567" s="44"/>
      <c r="M567" s="46"/>
      <c r="N567" s="20"/>
      <c r="O567" s="48">
        <f t="shared" si="268"/>
        <v>500</v>
      </c>
      <c r="P567" s="54"/>
      <c r="Q567" s="54"/>
      <c r="R567" s="81">
        <f t="shared" si="264"/>
        <v>338.696461824953</v>
      </c>
      <c r="S567" s="81"/>
      <c r="T567" s="82">
        <f t="shared" si="265"/>
        <v>0.605214152700186</v>
      </c>
      <c r="U567" s="81"/>
      <c r="V567" s="81"/>
      <c r="W567" s="83">
        <f t="shared" si="252"/>
        <v>339.301675977654</v>
      </c>
      <c r="X567" s="84">
        <f t="shared" si="266"/>
        <v>5.37481378026071</v>
      </c>
      <c r="Y567" s="84"/>
      <c r="Z567" s="84"/>
      <c r="AA567" s="84">
        <f t="shared" si="259"/>
        <v>5.37481378026071</v>
      </c>
      <c r="AB567" s="94">
        <v>7.17</v>
      </c>
      <c r="AC567" s="81">
        <f t="shared" si="260"/>
        <v>38.5374148044693</v>
      </c>
      <c r="AD567" s="81">
        <f t="shared" si="261"/>
        <v>377.839090782123</v>
      </c>
      <c r="AE567" s="81">
        <f t="shared" si="262"/>
        <v>122.160909217877</v>
      </c>
    </row>
    <row r="568" customFormat="1" spans="1:31">
      <c r="A568" s="19"/>
      <c r="B568" s="20"/>
      <c r="C568" s="21">
        <v>240115000010</v>
      </c>
      <c r="D568" s="22">
        <v>45312</v>
      </c>
      <c r="E568" s="22" t="s">
        <v>49</v>
      </c>
      <c r="F568" s="20" t="s">
        <v>50</v>
      </c>
      <c r="G568" s="20" t="s">
        <v>106</v>
      </c>
      <c r="H568" s="20">
        <v>395</v>
      </c>
      <c r="I568" s="50"/>
      <c r="J568" s="51">
        <v>3481925</v>
      </c>
      <c r="K568" s="52"/>
      <c r="L568" s="51">
        <f>SUM(J568/M568)</f>
        <v>1469.85507980531</v>
      </c>
      <c r="M568" s="53">
        <v>2368.89</v>
      </c>
      <c r="N568" s="20">
        <v>7.17</v>
      </c>
      <c r="O568" s="48">
        <f t="shared" si="269"/>
        <v>16984.9413</v>
      </c>
      <c r="P568" s="54"/>
      <c r="Q568" s="54"/>
      <c r="R568" s="81">
        <f t="shared" si="264"/>
        <v>13378.5102420857</v>
      </c>
      <c r="S568" s="81"/>
      <c r="T568" s="82">
        <f t="shared" si="265"/>
        <v>23.9059590316574</v>
      </c>
      <c r="U568" s="81"/>
      <c r="V568" s="81"/>
      <c r="W568" s="83">
        <f t="shared" si="252"/>
        <v>13402.4162011173</v>
      </c>
      <c r="X568" s="84">
        <f t="shared" si="266"/>
        <v>212.305144320298</v>
      </c>
      <c r="Y568" s="84"/>
      <c r="Z568" s="84"/>
      <c r="AA568" s="84">
        <f t="shared" si="259"/>
        <v>212.305144320298</v>
      </c>
      <c r="AB568" s="94">
        <v>7.17</v>
      </c>
      <c r="AC568" s="81">
        <f t="shared" si="260"/>
        <v>1522.22788477654</v>
      </c>
      <c r="AD568" s="81">
        <f t="shared" si="261"/>
        <v>14924.6440858939</v>
      </c>
      <c r="AE568" s="81">
        <f t="shared" si="262"/>
        <v>2060.2972141061</v>
      </c>
    </row>
    <row r="569" customFormat="1" spans="1:31">
      <c r="A569" s="19"/>
      <c r="B569" s="20"/>
      <c r="C569" s="21">
        <v>240115000022</v>
      </c>
      <c r="D569" s="22">
        <v>45312</v>
      </c>
      <c r="E569" s="22" t="s">
        <v>37</v>
      </c>
      <c r="F569" s="20" t="s">
        <v>38</v>
      </c>
      <c r="G569" s="20" t="s">
        <v>406</v>
      </c>
      <c r="H569" s="20">
        <v>0.6</v>
      </c>
      <c r="I569" s="43">
        <v>58</v>
      </c>
      <c r="J569" s="44"/>
      <c r="K569" s="45"/>
      <c r="L569" s="44"/>
      <c r="M569" s="46"/>
      <c r="N569" s="20"/>
      <c r="O569" s="48">
        <f>SUM(I569)</f>
        <v>58</v>
      </c>
      <c r="P569" s="54"/>
      <c r="Q569" s="54"/>
      <c r="R569" s="81">
        <f t="shared" ref="R569:R600" si="270">SUM(72752/2148)*H569</f>
        <v>20.3217877094972</v>
      </c>
      <c r="S569" s="81"/>
      <c r="T569" s="82">
        <f t="shared" ref="T569:T600" si="271">SUM(130/2148)*H569</f>
        <v>0.0363128491620112</v>
      </c>
      <c r="U569" s="81"/>
      <c r="V569" s="81"/>
      <c r="W569" s="83">
        <f t="shared" ref="W569:W600" si="272">SUM(R569:V569)</f>
        <v>20.3581005586592</v>
      </c>
      <c r="X569" s="84">
        <f t="shared" ref="X569:X600" si="273">SUM(1154.51/2148)*H569</f>
        <v>0.322488826815642</v>
      </c>
      <c r="Y569" s="84"/>
      <c r="Z569" s="84"/>
      <c r="AA569" s="84">
        <f t="shared" ref="AA569:AA600" si="274">SUM(X569:Z569)</f>
        <v>0.322488826815642</v>
      </c>
      <c r="AB569" s="94">
        <v>7.17</v>
      </c>
      <c r="AC569" s="81">
        <f t="shared" ref="AC569:AC600" si="275">SUM(AA569*AB569)</f>
        <v>2.31224488826816</v>
      </c>
      <c r="AD569" s="81">
        <f t="shared" si="261"/>
        <v>22.6703454469274</v>
      </c>
      <c r="AE569" s="81">
        <f t="shared" si="262"/>
        <v>35.3296545530726</v>
      </c>
    </row>
    <row r="570" customFormat="1" spans="1:31">
      <c r="A570" s="19"/>
      <c r="B570" s="20"/>
      <c r="C570" s="21">
        <v>240115000025</v>
      </c>
      <c r="D570" s="22">
        <v>45312</v>
      </c>
      <c r="E570" s="22" t="s">
        <v>41</v>
      </c>
      <c r="F570" s="20" t="s">
        <v>42</v>
      </c>
      <c r="G570" s="20" t="s">
        <v>407</v>
      </c>
      <c r="H570" s="20">
        <v>1.5</v>
      </c>
      <c r="I570" s="43">
        <v>85</v>
      </c>
      <c r="J570" s="44"/>
      <c r="K570" s="45"/>
      <c r="L570" s="44"/>
      <c r="M570" s="46"/>
      <c r="N570" s="20"/>
      <c r="O570" s="48">
        <f>SUM(I570)</f>
        <v>85</v>
      </c>
      <c r="P570" s="54"/>
      <c r="Q570" s="54"/>
      <c r="R570" s="81">
        <f t="shared" si="270"/>
        <v>50.804469273743</v>
      </c>
      <c r="S570" s="81"/>
      <c r="T570" s="82">
        <f t="shared" si="271"/>
        <v>0.0907821229050279</v>
      </c>
      <c r="U570" s="81"/>
      <c r="V570" s="81"/>
      <c r="W570" s="83">
        <f t="shared" si="272"/>
        <v>50.895251396648</v>
      </c>
      <c r="X570" s="84">
        <f t="shared" si="273"/>
        <v>0.806222067039106</v>
      </c>
      <c r="Y570" s="84"/>
      <c r="Z570" s="84"/>
      <c r="AA570" s="84">
        <f t="shared" si="274"/>
        <v>0.806222067039106</v>
      </c>
      <c r="AB570" s="94">
        <v>7.17</v>
      </c>
      <c r="AC570" s="81">
        <f t="shared" si="275"/>
        <v>5.78061222067039</v>
      </c>
      <c r="AD570" s="81">
        <f t="shared" si="261"/>
        <v>56.6758636173184</v>
      </c>
      <c r="AE570" s="81">
        <f t="shared" si="262"/>
        <v>28.3241363826816</v>
      </c>
    </row>
    <row r="571" customFormat="1" spans="1:31">
      <c r="A571" s="19"/>
      <c r="B571" s="20"/>
      <c r="C571" s="21">
        <v>240115000028</v>
      </c>
      <c r="D571" s="22">
        <v>45312</v>
      </c>
      <c r="E571" s="22" t="s">
        <v>44</v>
      </c>
      <c r="F571" s="20" t="s">
        <v>45</v>
      </c>
      <c r="G571" s="20" t="s">
        <v>56</v>
      </c>
      <c r="H571" s="20">
        <v>6.5</v>
      </c>
      <c r="I571" s="48"/>
      <c r="J571" s="55">
        <v>63544</v>
      </c>
      <c r="K571" s="56"/>
      <c r="L571" s="51">
        <f>SUM(J571/M571)</f>
        <v>1347.69883351007</v>
      </c>
      <c r="M571" s="53">
        <v>47.15</v>
      </c>
      <c r="N571" s="20">
        <v>7.17</v>
      </c>
      <c r="O571" s="48">
        <f>SUM(M571*N571)</f>
        <v>338.0655</v>
      </c>
      <c r="P571" s="54"/>
      <c r="Q571" s="54"/>
      <c r="R571" s="81">
        <f t="shared" si="270"/>
        <v>220.15270018622</v>
      </c>
      <c r="S571" s="81"/>
      <c r="T571" s="82">
        <f t="shared" si="271"/>
        <v>0.393389199255121</v>
      </c>
      <c r="U571" s="81"/>
      <c r="V571" s="81"/>
      <c r="W571" s="83">
        <f t="shared" si="272"/>
        <v>220.546089385475</v>
      </c>
      <c r="X571" s="84">
        <f t="shared" si="273"/>
        <v>3.49362895716946</v>
      </c>
      <c r="Y571" s="84"/>
      <c r="Z571" s="84"/>
      <c r="AA571" s="84">
        <f t="shared" si="274"/>
        <v>3.49362895716946</v>
      </c>
      <c r="AB571" s="94">
        <v>7.17</v>
      </c>
      <c r="AC571" s="81">
        <f t="shared" si="275"/>
        <v>25.049319622905</v>
      </c>
      <c r="AD571" s="81">
        <f t="shared" si="261"/>
        <v>245.59540900838</v>
      </c>
      <c r="AE571" s="81">
        <f t="shared" si="262"/>
        <v>92.47009099162</v>
      </c>
    </row>
    <row r="572" customFormat="1" spans="1:31">
      <c r="A572" s="19"/>
      <c r="B572" s="20"/>
      <c r="C572" s="21">
        <v>240115000031</v>
      </c>
      <c r="D572" s="22">
        <v>45312</v>
      </c>
      <c r="E572" s="22" t="s">
        <v>41</v>
      </c>
      <c r="F572" s="20" t="s">
        <v>42</v>
      </c>
      <c r="G572" s="20" t="s">
        <v>408</v>
      </c>
      <c r="H572" s="20">
        <v>9</v>
      </c>
      <c r="I572" s="43">
        <v>527</v>
      </c>
      <c r="J572" s="44"/>
      <c r="K572" s="45"/>
      <c r="L572" s="44"/>
      <c r="M572" s="46"/>
      <c r="N572" s="20"/>
      <c r="O572" s="48">
        <f t="shared" ref="O572:O575" si="276">SUM(I572)</f>
        <v>527</v>
      </c>
      <c r="P572" s="54"/>
      <c r="Q572" s="54"/>
      <c r="R572" s="81">
        <f t="shared" si="270"/>
        <v>304.826815642458</v>
      </c>
      <c r="S572" s="81"/>
      <c r="T572" s="82">
        <f t="shared" si="271"/>
        <v>0.544692737430168</v>
      </c>
      <c r="U572" s="81"/>
      <c r="V572" s="81"/>
      <c r="W572" s="83">
        <f t="shared" si="272"/>
        <v>305.371508379888</v>
      </c>
      <c r="X572" s="84">
        <f t="shared" si="273"/>
        <v>4.83733240223464</v>
      </c>
      <c r="Y572" s="84"/>
      <c r="Z572" s="84"/>
      <c r="AA572" s="84">
        <f t="shared" si="274"/>
        <v>4.83733240223464</v>
      </c>
      <c r="AB572" s="94">
        <v>7.17</v>
      </c>
      <c r="AC572" s="81">
        <f t="shared" si="275"/>
        <v>34.6836733240223</v>
      </c>
      <c r="AD572" s="81">
        <f t="shared" si="261"/>
        <v>340.055181703911</v>
      </c>
      <c r="AE572" s="81">
        <f t="shared" si="262"/>
        <v>186.944818296089</v>
      </c>
    </row>
    <row r="573" customFormat="1" spans="1:31">
      <c r="A573" s="19"/>
      <c r="B573" s="20"/>
      <c r="C573" s="21">
        <v>240115000034</v>
      </c>
      <c r="D573" s="22">
        <v>45312</v>
      </c>
      <c r="E573" s="22" t="s">
        <v>49</v>
      </c>
      <c r="F573" s="20" t="s">
        <v>50</v>
      </c>
      <c r="G573" s="20" t="s">
        <v>116</v>
      </c>
      <c r="H573" s="20">
        <v>26</v>
      </c>
      <c r="I573" s="43">
        <v>1375.4</v>
      </c>
      <c r="J573" s="44"/>
      <c r="K573" s="45"/>
      <c r="L573" s="44"/>
      <c r="M573" s="46"/>
      <c r="N573" s="20"/>
      <c r="O573" s="48">
        <f t="shared" si="276"/>
        <v>1375.4</v>
      </c>
      <c r="P573" s="54"/>
      <c r="Q573" s="54"/>
      <c r="R573" s="81">
        <f t="shared" si="270"/>
        <v>880.610800744879</v>
      </c>
      <c r="S573" s="81"/>
      <c r="T573" s="82">
        <f t="shared" si="271"/>
        <v>1.57355679702048</v>
      </c>
      <c r="U573" s="81"/>
      <c r="V573" s="82">
        <v>275.4</v>
      </c>
      <c r="W573" s="83">
        <f t="shared" si="272"/>
        <v>1157.5843575419</v>
      </c>
      <c r="X573" s="84">
        <f t="shared" si="273"/>
        <v>13.9745158286778</v>
      </c>
      <c r="Y573" s="84"/>
      <c r="Z573" s="84"/>
      <c r="AA573" s="84">
        <f t="shared" si="274"/>
        <v>13.9745158286778</v>
      </c>
      <c r="AB573" s="94">
        <v>7.17</v>
      </c>
      <c r="AC573" s="81">
        <f t="shared" si="275"/>
        <v>100.19727849162</v>
      </c>
      <c r="AD573" s="81">
        <f t="shared" si="261"/>
        <v>1257.78163603352</v>
      </c>
      <c r="AE573" s="81">
        <f t="shared" si="262"/>
        <v>117.61836396648</v>
      </c>
    </row>
    <row r="574" customFormat="1" spans="1:31">
      <c r="A574" s="19"/>
      <c r="B574" s="20"/>
      <c r="C574" s="21">
        <v>240115000037</v>
      </c>
      <c r="D574" s="22">
        <v>45312</v>
      </c>
      <c r="E574" s="22" t="s">
        <v>37</v>
      </c>
      <c r="F574" s="20" t="s">
        <v>38</v>
      </c>
      <c r="G574" s="20" t="s">
        <v>262</v>
      </c>
      <c r="H574" s="20">
        <v>0.24</v>
      </c>
      <c r="I574" s="43">
        <v>58</v>
      </c>
      <c r="J574" s="44"/>
      <c r="K574" s="45"/>
      <c r="L574" s="44"/>
      <c r="M574" s="46"/>
      <c r="N574" s="20"/>
      <c r="O574" s="48">
        <f t="shared" si="276"/>
        <v>58</v>
      </c>
      <c r="P574" s="54"/>
      <c r="Q574" s="54"/>
      <c r="R574" s="81">
        <f t="shared" si="270"/>
        <v>8.12871508379888</v>
      </c>
      <c r="S574" s="81"/>
      <c r="T574" s="82">
        <f t="shared" si="271"/>
        <v>0.0145251396648045</v>
      </c>
      <c r="U574" s="81"/>
      <c r="V574" s="81"/>
      <c r="W574" s="83">
        <f t="shared" si="272"/>
        <v>8.14324022346369</v>
      </c>
      <c r="X574" s="84">
        <f t="shared" si="273"/>
        <v>0.128995530726257</v>
      </c>
      <c r="Y574" s="84"/>
      <c r="Z574" s="84"/>
      <c r="AA574" s="84">
        <f t="shared" si="274"/>
        <v>0.128995530726257</v>
      </c>
      <c r="AB574" s="94">
        <v>7.17</v>
      </c>
      <c r="AC574" s="81">
        <f t="shared" si="275"/>
        <v>0.924897955307262</v>
      </c>
      <c r="AD574" s="81">
        <f t="shared" si="261"/>
        <v>9.06813817877095</v>
      </c>
      <c r="AE574" s="81">
        <f t="shared" si="262"/>
        <v>48.931861821229</v>
      </c>
    </row>
    <row r="575" customFormat="1" spans="1:31">
      <c r="A575" s="19"/>
      <c r="B575" s="20"/>
      <c r="C575" s="21">
        <v>240115000038</v>
      </c>
      <c r="D575" s="22">
        <v>45312</v>
      </c>
      <c r="E575" s="22" t="s">
        <v>37</v>
      </c>
      <c r="F575" s="20" t="s">
        <v>38</v>
      </c>
      <c r="G575" s="20" t="s">
        <v>409</v>
      </c>
      <c r="H575" s="20">
        <v>0.88</v>
      </c>
      <c r="I575" s="43">
        <v>58</v>
      </c>
      <c r="J575" s="44"/>
      <c r="K575" s="45"/>
      <c r="L575" s="44"/>
      <c r="M575" s="46"/>
      <c r="N575" s="20"/>
      <c r="O575" s="48">
        <f t="shared" si="276"/>
        <v>58</v>
      </c>
      <c r="P575" s="54"/>
      <c r="Q575" s="54"/>
      <c r="R575" s="81">
        <f t="shared" si="270"/>
        <v>29.8052886405959</v>
      </c>
      <c r="S575" s="81"/>
      <c r="T575" s="82">
        <f t="shared" si="271"/>
        <v>0.0532588454376164</v>
      </c>
      <c r="U575" s="81"/>
      <c r="V575" s="81"/>
      <c r="W575" s="83">
        <f t="shared" si="272"/>
        <v>29.8585474860335</v>
      </c>
      <c r="X575" s="84">
        <f t="shared" si="273"/>
        <v>0.472983612662942</v>
      </c>
      <c r="Y575" s="84"/>
      <c r="Z575" s="84"/>
      <c r="AA575" s="84">
        <f t="shared" si="274"/>
        <v>0.472983612662942</v>
      </c>
      <c r="AB575" s="94">
        <v>7.17</v>
      </c>
      <c r="AC575" s="81">
        <f t="shared" si="275"/>
        <v>3.3912925027933</v>
      </c>
      <c r="AD575" s="81">
        <f t="shared" si="261"/>
        <v>33.2498399888268</v>
      </c>
      <c r="AE575" s="81">
        <f t="shared" si="262"/>
        <v>24.7501600111732</v>
      </c>
    </row>
    <row r="576" customFormat="1" spans="1:31">
      <c r="A576" s="19"/>
      <c r="B576" s="20"/>
      <c r="C576" s="23">
        <v>240115000041</v>
      </c>
      <c r="D576" s="24">
        <v>45312</v>
      </c>
      <c r="E576" s="22" t="s">
        <v>49</v>
      </c>
      <c r="F576" s="26" t="s">
        <v>50</v>
      </c>
      <c r="G576" s="26" t="s">
        <v>79</v>
      </c>
      <c r="H576" s="26">
        <v>198</v>
      </c>
      <c r="I576" s="50"/>
      <c r="J576" s="51">
        <v>2469720</v>
      </c>
      <c r="K576" s="52"/>
      <c r="L576" s="51">
        <f>SUM(J576/M576)</f>
        <v>1577.40037938545</v>
      </c>
      <c r="M576" s="53">
        <v>1565.69</v>
      </c>
      <c r="N576" s="20">
        <v>7.17</v>
      </c>
      <c r="O576" s="48">
        <f t="shared" ref="O576:O581" si="277">SUM(M576*N576)</f>
        <v>11225.9973</v>
      </c>
      <c r="P576" s="54"/>
      <c r="Q576" s="54"/>
      <c r="R576" s="81">
        <f t="shared" si="270"/>
        <v>6706.18994413408</v>
      </c>
      <c r="S576" s="81"/>
      <c r="T576" s="82">
        <f t="shared" si="271"/>
        <v>11.9832402234637</v>
      </c>
      <c r="U576" s="81"/>
      <c r="V576" s="81"/>
      <c r="W576" s="83">
        <f t="shared" si="272"/>
        <v>6718.17318435754</v>
      </c>
      <c r="X576" s="84">
        <f t="shared" si="273"/>
        <v>106.421312849162</v>
      </c>
      <c r="Y576" s="84"/>
      <c r="Z576" s="84"/>
      <c r="AA576" s="84">
        <f t="shared" si="274"/>
        <v>106.421312849162</v>
      </c>
      <c r="AB576" s="94">
        <v>7.17</v>
      </c>
      <c r="AC576" s="81">
        <f t="shared" si="275"/>
        <v>763.040813128492</v>
      </c>
      <c r="AD576" s="81">
        <f t="shared" si="261"/>
        <v>7481.21399748603</v>
      </c>
      <c r="AE576" s="81">
        <f t="shared" si="262"/>
        <v>3744.78330251397</v>
      </c>
    </row>
    <row r="577" customFormat="1" spans="1:31">
      <c r="A577" s="19"/>
      <c r="B577" s="20"/>
      <c r="C577" s="21">
        <v>240115000042</v>
      </c>
      <c r="D577" s="22">
        <v>45312</v>
      </c>
      <c r="E577" s="22" t="s">
        <v>58</v>
      </c>
      <c r="F577" s="20" t="s">
        <v>59</v>
      </c>
      <c r="G577" s="20" t="s">
        <v>402</v>
      </c>
      <c r="H577" s="20">
        <v>4.5</v>
      </c>
      <c r="I577" s="43">
        <v>250.5</v>
      </c>
      <c r="J577" s="59"/>
      <c r="K577" s="52"/>
      <c r="L577" s="59"/>
      <c r="M577" s="46"/>
      <c r="N577" s="20"/>
      <c r="O577" s="48">
        <f t="shared" ref="O577:O580" si="278">SUM(I577)</f>
        <v>250.5</v>
      </c>
      <c r="P577" s="54"/>
      <c r="Q577" s="54"/>
      <c r="R577" s="81">
        <f t="shared" si="270"/>
        <v>152.413407821229</v>
      </c>
      <c r="S577" s="81"/>
      <c r="T577" s="82">
        <f t="shared" si="271"/>
        <v>0.272346368715084</v>
      </c>
      <c r="U577" s="81"/>
      <c r="V577" s="81"/>
      <c r="W577" s="83">
        <f t="shared" si="272"/>
        <v>152.685754189944</v>
      </c>
      <c r="X577" s="84">
        <f t="shared" si="273"/>
        <v>2.41866620111732</v>
      </c>
      <c r="Y577" s="84"/>
      <c r="Z577" s="84"/>
      <c r="AA577" s="84">
        <f t="shared" si="274"/>
        <v>2.41866620111732</v>
      </c>
      <c r="AB577" s="94">
        <v>7.17</v>
      </c>
      <c r="AC577" s="81">
        <f t="shared" si="275"/>
        <v>17.3418366620112</v>
      </c>
      <c r="AD577" s="81">
        <f t="shared" si="261"/>
        <v>170.027590851955</v>
      </c>
      <c r="AE577" s="81">
        <f t="shared" si="262"/>
        <v>80.472409148045</v>
      </c>
    </row>
    <row r="578" customFormat="1" spans="1:31">
      <c r="A578" s="19"/>
      <c r="B578" s="20"/>
      <c r="C578" s="21">
        <v>240115000043</v>
      </c>
      <c r="D578" s="22">
        <v>45312</v>
      </c>
      <c r="E578" s="22" t="s">
        <v>49</v>
      </c>
      <c r="F578" s="20" t="s">
        <v>50</v>
      </c>
      <c r="G578" s="20" t="s">
        <v>410</v>
      </c>
      <c r="H578" s="20">
        <v>100.5</v>
      </c>
      <c r="I578" s="50"/>
      <c r="J578" s="51">
        <v>933780</v>
      </c>
      <c r="K578" s="52"/>
      <c r="L578" s="51">
        <f>SUM(J578/M578)</f>
        <v>1412.50680704302</v>
      </c>
      <c r="M578" s="53">
        <v>661.08</v>
      </c>
      <c r="N578" s="20">
        <v>7.17</v>
      </c>
      <c r="O578" s="48">
        <f t="shared" si="277"/>
        <v>4739.9436</v>
      </c>
      <c r="P578" s="54"/>
      <c r="Q578" s="54"/>
      <c r="R578" s="81">
        <f t="shared" si="270"/>
        <v>3403.89944134078</v>
      </c>
      <c r="S578" s="81"/>
      <c r="T578" s="82">
        <f t="shared" si="271"/>
        <v>6.08240223463687</v>
      </c>
      <c r="U578" s="82">
        <v>280</v>
      </c>
      <c r="V578" s="81"/>
      <c r="W578" s="83">
        <f t="shared" si="272"/>
        <v>3689.98184357542</v>
      </c>
      <c r="X578" s="84">
        <f t="shared" si="273"/>
        <v>54.0168784916201</v>
      </c>
      <c r="Y578" s="84"/>
      <c r="Z578" s="84"/>
      <c r="AA578" s="84">
        <f t="shared" si="274"/>
        <v>54.0168784916201</v>
      </c>
      <c r="AB578" s="94">
        <v>7.17</v>
      </c>
      <c r="AC578" s="81">
        <f t="shared" si="275"/>
        <v>387.301018784916</v>
      </c>
      <c r="AD578" s="81">
        <f t="shared" si="261"/>
        <v>4077.28286236034</v>
      </c>
      <c r="AE578" s="81">
        <f t="shared" si="262"/>
        <v>662.66073763966</v>
      </c>
    </row>
    <row r="579" customFormat="1" spans="1:31">
      <c r="A579" s="19"/>
      <c r="B579" s="20"/>
      <c r="C579" s="21">
        <v>240115000045</v>
      </c>
      <c r="D579" s="22">
        <v>45312</v>
      </c>
      <c r="E579" s="22" t="s">
        <v>37</v>
      </c>
      <c r="F579" s="20" t="s">
        <v>203</v>
      </c>
      <c r="G579" s="20" t="s">
        <v>122</v>
      </c>
      <c r="H579" s="20">
        <v>1.5</v>
      </c>
      <c r="I579" s="43">
        <v>67.5</v>
      </c>
      <c r="J579" s="44"/>
      <c r="K579" s="45"/>
      <c r="L579" s="44"/>
      <c r="M579" s="46"/>
      <c r="N579" s="20"/>
      <c r="O579" s="48">
        <f t="shared" si="278"/>
        <v>67.5</v>
      </c>
      <c r="P579" s="54"/>
      <c r="Q579" s="54"/>
      <c r="R579" s="81">
        <f t="shared" si="270"/>
        <v>50.804469273743</v>
      </c>
      <c r="S579" s="81"/>
      <c r="T579" s="82">
        <f t="shared" si="271"/>
        <v>0.0907821229050279</v>
      </c>
      <c r="U579" s="81"/>
      <c r="V579" s="81"/>
      <c r="W579" s="83">
        <f t="shared" si="272"/>
        <v>50.895251396648</v>
      </c>
      <c r="X579" s="84">
        <f t="shared" si="273"/>
        <v>0.806222067039106</v>
      </c>
      <c r="Y579" s="84"/>
      <c r="Z579" s="84"/>
      <c r="AA579" s="84">
        <f t="shared" si="274"/>
        <v>0.806222067039106</v>
      </c>
      <c r="AB579" s="94">
        <v>7.17</v>
      </c>
      <c r="AC579" s="81">
        <f t="shared" si="275"/>
        <v>5.78061222067039</v>
      </c>
      <c r="AD579" s="81">
        <f t="shared" si="261"/>
        <v>56.6758636173184</v>
      </c>
      <c r="AE579" s="81">
        <f t="shared" si="262"/>
        <v>10.8241363826816</v>
      </c>
    </row>
    <row r="580" customFormat="1" spans="1:31">
      <c r="A580" s="19"/>
      <c r="B580" s="20"/>
      <c r="C580" s="21">
        <v>240115000046</v>
      </c>
      <c r="D580" s="22">
        <v>45312</v>
      </c>
      <c r="E580" s="22" t="s">
        <v>37</v>
      </c>
      <c r="F580" s="20" t="s">
        <v>203</v>
      </c>
      <c r="G580" s="20" t="s">
        <v>122</v>
      </c>
      <c r="H580" s="20">
        <v>0.92</v>
      </c>
      <c r="I580" s="43">
        <v>45</v>
      </c>
      <c r="J580" s="44"/>
      <c r="K580" s="45"/>
      <c r="L580" s="44"/>
      <c r="M580" s="46"/>
      <c r="N580" s="20"/>
      <c r="O580" s="48">
        <f t="shared" si="278"/>
        <v>45</v>
      </c>
      <c r="P580" s="54"/>
      <c r="Q580" s="54"/>
      <c r="R580" s="81">
        <f t="shared" si="270"/>
        <v>31.1600744878957</v>
      </c>
      <c r="S580" s="81"/>
      <c r="T580" s="82">
        <f t="shared" si="271"/>
        <v>0.0556797020484171</v>
      </c>
      <c r="U580" s="81"/>
      <c r="V580" s="81"/>
      <c r="W580" s="83">
        <f t="shared" si="272"/>
        <v>31.2157541899441</v>
      </c>
      <c r="X580" s="84">
        <f t="shared" si="273"/>
        <v>0.494482867783985</v>
      </c>
      <c r="Y580" s="84"/>
      <c r="Z580" s="84"/>
      <c r="AA580" s="84">
        <f t="shared" si="274"/>
        <v>0.494482867783985</v>
      </c>
      <c r="AB580" s="94">
        <v>7.17</v>
      </c>
      <c r="AC580" s="81">
        <f t="shared" si="275"/>
        <v>3.54544216201117</v>
      </c>
      <c r="AD580" s="81">
        <f t="shared" si="261"/>
        <v>34.7611963519553</v>
      </c>
      <c r="AE580" s="81">
        <f t="shared" si="262"/>
        <v>10.2388036480447</v>
      </c>
    </row>
    <row r="581" customFormat="1" spans="1:31">
      <c r="A581" s="19"/>
      <c r="B581" s="20"/>
      <c r="C581" s="21">
        <v>240116000002</v>
      </c>
      <c r="D581" s="22">
        <v>45312</v>
      </c>
      <c r="E581" s="22" t="s">
        <v>44</v>
      </c>
      <c r="F581" s="20" t="s">
        <v>45</v>
      </c>
      <c r="G581" s="20" t="s">
        <v>56</v>
      </c>
      <c r="H581" s="20">
        <v>0.31</v>
      </c>
      <c r="I581" s="48"/>
      <c r="J581" s="55">
        <v>10904</v>
      </c>
      <c r="K581" s="56"/>
      <c r="L581" s="51">
        <f>SUM(J581/M581)</f>
        <v>1346.17283950617</v>
      </c>
      <c r="M581" s="53">
        <v>8.1</v>
      </c>
      <c r="N581" s="20">
        <v>7.17</v>
      </c>
      <c r="O581" s="48">
        <f t="shared" si="277"/>
        <v>58.077</v>
      </c>
      <c r="P581" s="54"/>
      <c r="Q581" s="54"/>
      <c r="R581" s="81">
        <f t="shared" si="270"/>
        <v>10.4995903165736</v>
      </c>
      <c r="S581" s="81"/>
      <c r="T581" s="82">
        <f t="shared" si="271"/>
        <v>0.0187616387337058</v>
      </c>
      <c r="U581" s="81"/>
      <c r="V581" s="81"/>
      <c r="W581" s="83">
        <f t="shared" si="272"/>
        <v>10.5183519553073</v>
      </c>
      <c r="X581" s="84">
        <f t="shared" si="273"/>
        <v>0.166619227188082</v>
      </c>
      <c r="Y581" s="84"/>
      <c r="Z581" s="84"/>
      <c r="AA581" s="84">
        <f t="shared" si="274"/>
        <v>0.166619227188082</v>
      </c>
      <c r="AB581" s="94">
        <v>7.17</v>
      </c>
      <c r="AC581" s="81">
        <f t="shared" si="275"/>
        <v>1.19465985893855</v>
      </c>
      <c r="AD581" s="81">
        <f t="shared" si="261"/>
        <v>11.7130118142458</v>
      </c>
      <c r="AE581" s="81">
        <f t="shared" si="262"/>
        <v>46.3639881857542</v>
      </c>
    </row>
    <row r="582" customFormat="1" spans="1:31">
      <c r="A582" s="19"/>
      <c r="B582" s="20"/>
      <c r="C582" s="21">
        <v>240116000004</v>
      </c>
      <c r="D582" s="22">
        <v>45312</v>
      </c>
      <c r="E582" s="22" t="s">
        <v>49</v>
      </c>
      <c r="F582" s="20" t="s">
        <v>50</v>
      </c>
      <c r="G582" s="20" t="s">
        <v>208</v>
      </c>
      <c r="H582" s="20">
        <v>25</v>
      </c>
      <c r="I582" s="43">
        <v>1200</v>
      </c>
      <c r="J582" s="107"/>
      <c r="K582" s="108"/>
      <c r="L582" s="107"/>
      <c r="M582" s="46"/>
      <c r="N582" s="97"/>
      <c r="O582" s="48">
        <v>1200</v>
      </c>
      <c r="P582" s="54"/>
      <c r="Q582" s="54"/>
      <c r="R582" s="81">
        <f t="shared" si="270"/>
        <v>846.741154562384</v>
      </c>
      <c r="S582" s="81"/>
      <c r="T582" s="82">
        <f t="shared" si="271"/>
        <v>1.51303538175047</v>
      </c>
      <c r="U582" s="81"/>
      <c r="V582" s="81"/>
      <c r="W582" s="83">
        <f t="shared" si="272"/>
        <v>848.254189944134</v>
      </c>
      <c r="X582" s="84">
        <f t="shared" si="273"/>
        <v>13.4370344506518</v>
      </c>
      <c r="Y582" s="84"/>
      <c r="Z582" s="84"/>
      <c r="AA582" s="84">
        <f t="shared" si="274"/>
        <v>13.4370344506518</v>
      </c>
      <c r="AB582" s="94">
        <v>7.17</v>
      </c>
      <c r="AC582" s="81">
        <f t="shared" si="275"/>
        <v>96.3435370111732</v>
      </c>
      <c r="AD582" s="81">
        <f t="shared" ref="AD582:AD600" si="279">SUM(W582+AC582)</f>
        <v>944.597726955307</v>
      </c>
      <c r="AE582" s="81">
        <f t="shared" ref="AE582:AE600" si="280">SUM(O582-AD582)</f>
        <v>255.402273044693</v>
      </c>
    </row>
    <row r="583" customFormat="1" spans="1:31">
      <c r="A583" s="19"/>
      <c r="B583" s="20"/>
      <c r="C583" s="21">
        <v>240116000006</v>
      </c>
      <c r="D583" s="22">
        <v>45312</v>
      </c>
      <c r="E583" s="22" t="s">
        <v>58</v>
      </c>
      <c r="F583" s="20" t="s">
        <v>59</v>
      </c>
      <c r="G583" s="20" t="s">
        <v>411</v>
      </c>
      <c r="H583" s="20">
        <v>399.5</v>
      </c>
      <c r="I583" s="43">
        <v>17110.5</v>
      </c>
      <c r="J583" s="44"/>
      <c r="K583" s="45"/>
      <c r="L583" s="44"/>
      <c r="M583" s="46"/>
      <c r="N583" s="20"/>
      <c r="O583" s="48">
        <f t="shared" ref="O582:O584" si="281">SUM(I583)</f>
        <v>17110.5</v>
      </c>
      <c r="P583" s="54"/>
      <c r="Q583" s="54"/>
      <c r="R583" s="81">
        <f t="shared" si="270"/>
        <v>13530.9236499069</v>
      </c>
      <c r="S583" s="81"/>
      <c r="T583" s="82">
        <f t="shared" si="271"/>
        <v>24.1783054003724</v>
      </c>
      <c r="U583" s="81"/>
      <c r="V583" s="81"/>
      <c r="W583" s="83">
        <f t="shared" si="272"/>
        <v>13555.1019553073</v>
      </c>
      <c r="X583" s="84">
        <f t="shared" si="273"/>
        <v>214.723810521415</v>
      </c>
      <c r="Y583" s="84"/>
      <c r="Z583" s="84"/>
      <c r="AA583" s="84">
        <f t="shared" si="274"/>
        <v>214.723810521415</v>
      </c>
      <c r="AB583" s="94">
        <v>7.17</v>
      </c>
      <c r="AC583" s="81">
        <f t="shared" si="275"/>
        <v>1539.56972143855</v>
      </c>
      <c r="AD583" s="81">
        <f t="shared" si="279"/>
        <v>15094.6716767458</v>
      </c>
      <c r="AE583" s="81">
        <f t="shared" si="280"/>
        <v>2015.8283232542</v>
      </c>
    </row>
    <row r="584" customFormat="1" spans="1:31">
      <c r="A584" s="19"/>
      <c r="B584" s="20"/>
      <c r="C584" s="21">
        <v>240116000007</v>
      </c>
      <c r="D584" s="22">
        <v>45312</v>
      </c>
      <c r="E584" s="22" t="s">
        <v>49</v>
      </c>
      <c r="F584" s="20" t="s">
        <v>50</v>
      </c>
      <c r="G584" s="20" t="s">
        <v>380</v>
      </c>
      <c r="H584" s="20">
        <v>3</v>
      </c>
      <c r="I584" s="43">
        <v>248</v>
      </c>
      <c r="J584" s="44"/>
      <c r="K584" s="45"/>
      <c r="L584" s="44"/>
      <c r="M584" s="46"/>
      <c r="N584" s="20"/>
      <c r="O584" s="48">
        <f t="shared" si="281"/>
        <v>248</v>
      </c>
      <c r="P584" s="54"/>
      <c r="Q584" s="54"/>
      <c r="R584" s="81">
        <f t="shared" si="270"/>
        <v>101.608938547486</v>
      </c>
      <c r="S584" s="81"/>
      <c r="T584" s="82">
        <f t="shared" si="271"/>
        <v>0.181564245810056</v>
      </c>
      <c r="U584" s="81"/>
      <c r="V584" s="81"/>
      <c r="W584" s="83">
        <f t="shared" si="272"/>
        <v>101.790502793296</v>
      </c>
      <c r="X584" s="84">
        <f t="shared" si="273"/>
        <v>1.61244413407821</v>
      </c>
      <c r="Y584" s="84">
        <v>11.15</v>
      </c>
      <c r="Z584" s="84"/>
      <c r="AA584" s="84">
        <f t="shared" si="274"/>
        <v>12.7624441340782</v>
      </c>
      <c r="AB584" s="94">
        <v>7.17</v>
      </c>
      <c r="AC584" s="81">
        <f t="shared" si="275"/>
        <v>91.5067244413408</v>
      </c>
      <c r="AD584" s="81">
        <f t="shared" si="279"/>
        <v>193.297227234637</v>
      </c>
      <c r="AE584" s="81">
        <f t="shared" si="280"/>
        <v>54.702772765363</v>
      </c>
    </row>
    <row r="585" customFormat="1" spans="1:31">
      <c r="A585" s="19"/>
      <c r="B585" s="20"/>
      <c r="C585" s="21">
        <v>240116000009</v>
      </c>
      <c r="D585" s="22">
        <v>45312</v>
      </c>
      <c r="E585" s="22" t="s">
        <v>49</v>
      </c>
      <c r="F585" s="20" t="s">
        <v>50</v>
      </c>
      <c r="G585" s="20" t="s">
        <v>87</v>
      </c>
      <c r="H585" s="20">
        <v>65.5</v>
      </c>
      <c r="I585" s="48"/>
      <c r="J585" s="55">
        <v>648085</v>
      </c>
      <c r="K585" s="56"/>
      <c r="L585" s="51">
        <f>SUM(J585/M585)</f>
        <v>1405.00140915299</v>
      </c>
      <c r="M585" s="53">
        <v>461.27</v>
      </c>
      <c r="N585" s="20">
        <v>7.17</v>
      </c>
      <c r="O585" s="48">
        <f t="shared" ref="O585:O587" si="282">SUM(M585*N585)</f>
        <v>3307.3059</v>
      </c>
      <c r="P585" s="54"/>
      <c r="Q585" s="54"/>
      <c r="R585" s="81">
        <f t="shared" si="270"/>
        <v>2218.46182495345</v>
      </c>
      <c r="S585" s="81"/>
      <c r="T585" s="82">
        <f t="shared" si="271"/>
        <v>3.96415270018622</v>
      </c>
      <c r="U585" s="81"/>
      <c r="V585" s="81"/>
      <c r="W585" s="83">
        <f t="shared" si="272"/>
        <v>2222.42597765363</v>
      </c>
      <c r="X585" s="84">
        <f t="shared" si="273"/>
        <v>35.2050302607076</v>
      </c>
      <c r="Y585" s="84"/>
      <c r="Z585" s="84"/>
      <c r="AA585" s="84">
        <f t="shared" si="274"/>
        <v>35.2050302607076</v>
      </c>
      <c r="AB585" s="94">
        <v>7.17</v>
      </c>
      <c r="AC585" s="81">
        <f t="shared" si="275"/>
        <v>252.420066969274</v>
      </c>
      <c r="AD585" s="81">
        <f t="shared" si="279"/>
        <v>2474.84604462291</v>
      </c>
      <c r="AE585" s="81">
        <f t="shared" si="280"/>
        <v>832.45985537709</v>
      </c>
    </row>
    <row r="586" customFormat="1" spans="1:31">
      <c r="A586" s="19"/>
      <c r="B586" s="20"/>
      <c r="C586" s="21">
        <v>240116000010</v>
      </c>
      <c r="D586" s="22">
        <v>45312</v>
      </c>
      <c r="E586" s="22" t="s">
        <v>49</v>
      </c>
      <c r="F586" s="20" t="s">
        <v>50</v>
      </c>
      <c r="G586" s="20" t="s">
        <v>243</v>
      </c>
      <c r="H586" s="20">
        <v>0.86</v>
      </c>
      <c r="I586" s="48"/>
      <c r="J586" s="55">
        <v>11381</v>
      </c>
      <c r="K586" s="56"/>
      <c r="L586" s="51">
        <f>SUM(J586/M586)</f>
        <v>1405.06172839506</v>
      </c>
      <c r="M586" s="53">
        <v>8.1</v>
      </c>
      <c r="N586" s="20">
        <v>7.17</v>
      </c>
      <c r="O586" s="48">
        <f t="shared" si="282"/>
        <v>58.077</v>
      </c>
      <c r="P586" s="54"/>
      <c r="Q586" s="54"/>
      <c r="R586" s="81">
        <f t="shared" si="270"/>
        <v>29.127895716946</v>
      </c>
      <c r="S586" s="81"/>
      <c r="T586" s="82">
        <f t="shared" si="271"/>
        <v>0.052048417132216</v>
      </c>
      <c r="U586" s="81"/>
      <c r="V586" s="81"/>
      <c r="W586" s="83">
        <f t="shared" si="272"/>
        <v>29.1799441340782</v>
      </c>
      <c r="X586" s="84">
        <f t="shared" si="273"/>
        <v>0.462233985102421</v>
      </c>
      <c r="Y586" s="84"/>
      <c r="Z586" s="84"/>
      <c r="AA586" s="84">
        <f t="shared" si="274"/>
        <v>0.462233985102421</v>
      </c>
      <c r="AB586" s="94">
        <v>7.17</v>
      </c>
      <c r="AC586" s="81">
        <f t="shared" si="275"/>
        <v>3.31421767318436</v>
      </c>
      <c r="AD586" s="81">
        <f t="shared" si="279"/>
        <v>32.4941618072626</v>
      </c>
      <c r="AE586" s="81">
        <f t="shared" si="280"/>
        <v>25.5828381927374</v>
      </c>
    </row>
    <row r="587" customFormat="1" spans="1:31">
      <c r="A587" s="19"/>
      <c r="B587" s="20"/>
      <c r="C587" s="21">
        <v>240116000013</v>
      </c>
      <c r="D587" s="22">
        <v>45312</v>
      </c>
      <c r="E587" s="22" t="s">
        <v>37</v>
      </c>
      <c r="F587" s="20" t="s">
        <v>38</v>
      </c>
      <c r="G587" s="20" t="s">
        <v>412</v>
      </c>
      <c r="H587" s="20">
        <v>11</v>
      </c>
      <c r="I587" s="50"/>
      <c r="J587" s="51">
        <v>120224</v>
      </c>
      <c r="K587" s="52"/>
      <c r="L587" s="51">
        <f>SUM(J587/M587)</f>
        <v>1491.61290322581</v>
      </c>
      <c r="M587" s="53">
        <v>80.6</v>
      </c>
      <c r="N587" s="20">
        <v>7.17</v>
      </c>
      <c r="O587" s="48">
        <f t="shared" si="282"/>
        <v>577.902</v>
      </c>
      <c r="P587" s="54"/>
      <c r="Q587" s="54"/>
      <c r="R587" s="81">
        <f t="shared" si="270"/>
        <v>372.566108007449</v>
      </c>
      <c r="S587" s="81"/>
      <c r="T587" s="82">
        <f t="shared" si="271"/>
        <v>0.665735567970205</v>
      </c>
      <c r="U587" s="81"/>
      <c r="V587" s="81"/>
      <c r="W587" s="83">
        <f t="shared" si="272"/>
        <v>373.231843575419</v>
      </c>
      <c r="X587" s="84">
        <f t="shared" si="273"/>
        <v>5.91229515828678</v>
      </c>
      <c r="Y587" s="84"/>
      <c r="Z587" s="84"/>
      <c r="AA587" s="84">
        <f t="shared" si="274"/>
        <v>5.91229515828678</v>
      </c>
      <c r="AB587" s="94">
        <v>7.17</v>
      </c>
      <c r="AC587" s="81">
        <f t="shared" si="275"/>
        <v>42.3911562849162</v>
      </c>
      <c r="AD587" s="81">
        <f t="shared" si="279"/>
        <v>415.622999860335</v>
      </c>
      <c r="AE587" s="81">
        <f t="shared" si="280"/>
        <v>162.279000139665</v>
      </c>
    </row>
    <row r="588" customFormat="1" spans="1:31">
      <c r="A588" s="19"/>
      <c r="B588" s="20"/>
      <c r="C588" s="21">
        <v>240116000017</v>
      </c>
      <c r="D588" s="22">
        <v>45312</v>
      </c>
      <c r="E588" s="22" t="s">
        <v>37</v>
      </c>
      <c r="F588" s="20" t="s">
        <v>38</v>
      </c>
      <c r="G588" s="20" t="s">
        <v>413</v>
      </c>
      <c r="H588" s="20">
        <v>3</v>
      </c>
      <c r="I588" s="43">
        <v>168</v>
      </c>
      <c r="J588" s="44"/>
      <c r="K588" s="45"/>
      <c r="L588" s="44"/>
      <c r="M588" s="46"/>
      <c r="N588" s="20"/>
      <c r="O588" s="48">
        <f t="shared" ref="O588:O591" si="283">SUM(I588)</f>
        <v>168</v>
      </c>
      <c r="P588" s="54"/>
      <c r="Q588" s="54"/>
      <c r="R588" s="81">
        <f t="shared" si="270"/>
        <v>101.608938547486</v>
      </c>
      <c r="S588" s="81"/>
      <c r="T588" s="82">
        <f t="shared" si="271"/>
        <v>0.181564245810056</v>
      </c>
      <c r="U588" s="81"/>
      <c r="V588" s="81"/>
      <c r="W588" s="83">
        <f t="shared" si="272"/>
        <v>101.790502793296</v>
      </c>
      <c r="X588" s="84">
        <f t="shared" si="273"/>
        <v>1.61244413407821</v>
      </c>
      <c r="Y588" s="84"/>
      <c r="Z588" s="84"/>
      <c r="AA588" s="84">
        <f t="shared" si="274"/>
        <v>1.61244413407821</v>
      </c>
      <c r="AB588" s="94">
        <v>7.17</v>
      </c>
      <c r="AC588" s="81">
        <f t="shared" si="275"/>
        <v>11.5612244413408</v>
      </c>
      <c r="AD588" s="81">
        <f t="shared" si="279"/>
        <v>113.351727234637</v>
      </c>
      <c r="AE588" s="81">
        <f t="shared" si="280"/>
        <v>54.648272765363</v>
      </c>
    </row>
    <row r="589" customFormat="1" spans="1:31">
      <c r="A589" s="19"/>
      <c r="B589" s="20"/>
      <c r="C589" s="21">
        <v>240116000018</v>
      </c>
      <c r="D589" s="22">
        <v>45312</v>
      </c>
      <c r="E589" s="22" t="s">
        <v>58</v>
      </c>
      <c r="F589" s="20" t="s">
        <v>59</v>
      </c>
      <c r="G589" s="20" t="s">
        <v>157</v>
      </c>
      <c r="H589" s="20">
        <v>5</v>
      </c>
      <c r="I589" s="48"/>
      <c r="J589" s="55">
        <v>59151</v>
      </c>
      <c r="K589" s="56"/>
      <c r="L589" s="51">
        <f>SUM(J589/M589)</f>
        <v>1405.01187648456</v>
      </c>
      <c r="M589" s="53">
        <v>42.1</v>
      </c>
      <c r="N589" s="20">
        <v>7.17</v>
      </c>
      <c r="O589" s="48">
        <f>SUM(M589*N589)</f>
        <v>301.857</v>
      </c>
      <c r="P589" s="54"/>
      <c r="Q589" s="54"/>
      <c r="R589" s="81">
        <f t="shared" si="270"/>
        <v>169.348230912477</v>
      </c>
      <c r="S589" s="81"/>
      <c r="T589" s="82">
        <f t="shared" si="271"/>
        <v>0.302607076350093</v>
      </c>
      <c r="U589" s="81"/>
      <c r="V589" s="81"/>
      <c r="W589" s="83">
        <f t="shared" si="272"/>
        <v>169.650837988827</v>
      </c>
      <c r="X589" s="84">
        <f t="shared" si="273"/>
        <v>2.68740689013035</v>
      </c>
      <c r="Y589" s="84"/>
      <c r="Z589" s="84"/>
      <c r="AA589" s="84">
        <f t="shared" si="274"/>
        <v>2.68740689013035</v>
      </c>
      <c r="AB589" s="94">
        <v>7.17</v>
      </c>
      <c r="AC589" s="81">
        <f t="shared" si="275"/>
        <v>19.2687074022346</v>
      </c>
      <c r="AD589" s="81">
        <f t="shared" si="279"/>
        <v>188.919545391061</v>
      </c>
      <c r="AE589" s="81">
        <f t="shared" si="280"/>
        <v>112.937454608939</v>
      </c>
    </row>
    <row r="590" customFormat="1" spans="1:31">
      <c r="A590" s="19"/>
      <c r="B590" s="20"/>
      <c r="C590" s="21">
        <v>240116000019</v>
      </c>
      <c r="D590" s="22">
        <v>45312</v>
      </c>
      <c r="E590" s="25" t="s">
        <v>69</v>
      </c>
      <c r="F590" s="20" t="s">
        <v>69</v>
      </c>
      <c r="G590" s="20" t="s">
        <v>414</v>
      </c>
      <c r="H590" s="20">
        <v>11</v>
      </c>
      <c r="I590" s="43">
        <v>525</v>
      </c>
      <c r="J590" s="44"/>
      <c r="K590" s="45"/>
      <c r="L590" s="44"/>
      <c r="M590" s="46"/>
      <c r="N590" s="20"/>
      <c r="O590" s="48">
        <f t="shared" si="283"/>
        <v>525</v>
      </c>
      <c r="P590" s="54"/>
      <c r="Q590" s="54"/>
      <c r="R590" s="81">
        <f t="shared" si="270"/>
        <v>372.566108007449</v>
      </c>
      <c r="S590" s="81"/>
      <c r="T590" s="82">
        <f t="shared" si="271"/>
        <v>0.665735567970205</v>
      </c>
      <c r="U590" s="81"/>
      <c r="V590" s="81"/>
      <c r="W590" s="83">
        <f t="shared" si="272"/>
        <v>373.231843575419</v>
      </c>
      <c r="X590" s="84">
        <f t="shared" si="273"/>
        <v>5.91229515828678</v>
      </c>
      <c r="Y590" s="84"/>
      <c r="Z590" s="84"/>
      <c r="AA590" s="84">
        <f t="shared" si="274"/>
        <v>5.91229515828678</v>
      </c>
      <c r="AB590" s="94">
        <v>7.17</v>
      </c>
      <c r="AC590" s="81">
        <f t="shared" si="275"/>
        <v>42.3911562849162</v>
      </c>
      <c r="AD590" s="81">
        <f t="shared" si="279"/>
        <v>415.622999860335</v>
      </c>
      <c r="AE590" s="81">
        <f t="shared" si="280"/>
        <v>109.377000139665</v>
      </c>
    </row>
    <row r="591" customFormat="1" spans="1:31">
      <c r="A591" s="19"/>
      <c r="B591" s="20"/>
      <c r="C591" s="21">
        <v>240116000032</v>
      </c>
      <c r="D591" s="22">
        <v>45312</v>
      </c>
      <c r="E591" s="25" t="s">
        <v>69</v>
      </c>
      <c r="F591" s="20" t="s">
        <v>69</v>
      </c>
      <c r="G591" s="20" t="s">
        <v>370</v>
      </c>
      <c r="H591" s="20">
        <v>162.5</v>
      </c>
      <c r="I591" s="43">
        <v>6987.5</v>
      </c>
      <c r="J591" s="44"/>
      <c r="K591" s="45"/>
      <c r="L591" s="44"/>
      <c r="M591" s="46"/>
      <c r="N591" s="20"/>
      <c r="O591" s="48">
        <f t="shared" si="283"/>
        <v>6987.5</v>
      </c>
      <c r="P591" s="54"/>
      <c r="Q591" s="54"/>
      <c r="R591" s="81">
        <f t="shared" si="270"/>
        <v>5503.81750465549</v>
      </c>
      <c r="S591" s="81"/>
      <c r="T591" s="82">
        <f t="shared" si="271"/>
        <v>9.83472998137803</v>
      </c>
      <c r="U591" s="81"/>
      <c r="V591" s="81"/>
      <c r="W591" s="83">
        <f t="shared" si="272"/>
        <v>5513.65223463687</v>
      </c>
      <c r="X591" s="84">
        <f t="shared" si="273"/>
        <v>87.3407239292365</v>
      </c>
      <c r="Y591" s="84"/>
      <c r="Z591" s="84"/>
      <c r="AA591" s="84">
        <f t="shared" si="274"/>
        <v>87.3407239292365</v>
      </c>
      <c r="AB591" s="94">
        <v>7.17</v>
      </c>
      <c r="AC591" s="81">
        <f t="shared" si="275"/>
        <v>626.232990572626</v>
      </c>
      <c r="AD591" s="81">
        <f t="shared" si="279"/>
        <v>6139.8852252095</v>
      </c>
      <c r="AE591" s="81">
        <f t="shared" si="280"/>
        <v>847.6147747905</v>
      </c>
    </row>
    <row r="592" customFormat="1" spans="1:31">
      <c r="A592" s="19"/>
      <c r="B592" s="20"/>
      <c r="C592" s="21">
        <v>240116000036</v>
      </c>
      <c r="D592" s="22">
        <v>45312</v>
      </c>
      <c r="E592" s="22" t="s">
        <v>49</v>
      </c>
      <c r="F592" s="20" t="s">
        <v>50</v>
      </c>
      <c r="G592" s="20" t="s">
        <v>79</v>
      </c>
      <c r="H592" s="20">
        <v>22.5</v>
      </c>
      <c r="I592" s="50"/>
      <c r="J592" s="51">
        <v>271040</v>
      </c>
      <c r="K592" s="52"/>
      <c r="L592" s="51">
        <f>SUM(J592/M592)</f>
        <v>1577.46478873239</v>
      </c>
      <c r="M592" s="53">
        <v>171.82</v>
      </c>
      <c r="N592" s="20">
        <v>7.17</v>
      </c>
      <c r="O592" s="48">
        <f>SUM(M592*N592)</f>
        <v>1231.9494</v>
      </c>
      <c r="P592" s="54"/>
      <c r="Q592" s="54"/>
      <c r="R592" s="81">
        <f t="shared" si="270"/>
        <v>762.067039106145</v>
      </c>
      <c r="S592" s="81"/>
      <c r="T592" s="82">
        <f t="shared" si="271"/>
        <v>1.36173184357542</v>
      </c>
      <c r="U592" s="81"/>
      <c r="V592" s="82">
        <f>SUM(55.98+165)</f>
        <v>220.98</v>
      </c>
      <c r="W592" s="83">
        <f t="shared" si="272"/>
        <v>984.408770949721</v>
      </c>
      <c r="X592" s="84">
        <f t="shared" si="273"/>
        <v>12.0933310055866</v>
      </c>
      <c r="Y592" s="84"/>
      <c r="Z592" s="84"/>
      <c r="AA592" s="84">
        <f t="shared" si="274"/>
        <v>12.0933310055866</v>
      </c>
      <c r="AB592" s="94">
        <v>7.17</v>
      </c>
      <c r="AC592" s="81">
        <f t="shared" si="275"/>
        <v>86.7091833100559</v>
      </c>
      <c r="AD592" s="81">
        <f t="shared" si="279"/>
        <v>1071.11795425978</v>
      </c>
      <c r="AE592" s="81">
        <f t="shared" si="280"/>
        <v>160.83144574022</v>
      </c>
    </row>
    <row r="593" customFormat="1" spans="1:31">
      <c r="A593" s="19"/>
      <c r="B593" s="20"/>
      <c r="C593" s="21">
        <v>240116000039</v>
      </c>
      <c r="D593" s="22">
        <v>45312</v>
      </c>
      <c r="E593" s="22" t="s">
        <v>58</v>
      </c>
      <c r="F593" s="20" t="s">
        <v>59</v>
      </c>
      <c r="G593" s="20" t="s">
        <v>415</v>
      </c>
      <c r="H593" s="20">
        <v>45</v>
      </c>
      <c r="I593" s="43">
        <v>1975</v>
      </c>
      <c r="J593" s="44"/>
      <c r="K593" s="45"/>
      <c r="L593" s="44"/>
      <c r="M593" s="46"/>
      <c r="N593" s="20"/>
      <c r="O593" s="48">
        <f t="shared" ref="O593:O595" si="284">SUM(I593)</f>
        <v>1975</v>
      </c>
      <c r="P593" s="54"/>
      <c r="Q593" s="54"/>
      <c r="R593" s="81">
        <f t="shared" si="270"/>
        <v>1524.13407821229</v>
      </c>
      <c r="S593" s="81"/>
      <c r="T593" s="82">
        <f t="shared" si="271"/>
        <v>2.72346368715084</v>
      </c>
      <c r="U593" s="81">
        <v>40</v>
      </c>
      <c r="V593" s="81"/>
      <c r="W593" s="83">
        <f t="shared" si="272"/>
        <v>1566.85754189944</v>
      </c>
      <c r="X593" s="84">
        <f t="shared" si="273"/>
        <v>24.1866620111732</v>
      </c>
      <c r="Y593" s="84"/>
      <c r="Z593" s="84"/>
      <c r="AA593" s="84">
        <f t="shared" si="274"/>
        <v>24.1866620111732</v>
      </c>
      <c r="AB593" s="94">
        <v>7.17</v>
      </c>
      <c r="AC593" s="81">
        <f t="shared" si="275"/>
        <v>173.418366620112</v>
      </c>
      <c r="AD593" s="81">
        <f t="shared" si="279"/>
        <v>1740.27590851955</v>
      </c>
      <c r="AE593" s="81">
        <f t="shared" si="280"/>
        <v>234.72409148045</v>
      </c>
    </row>
    <row r="594" customFormat="1" spans="1:31">
      <c r="A594" s="19"/>
      <c r="B594" s="20"/>
      <c r="C594" s="21">
        <v>240117000001</v>
      </c>
      <c r="D594" s="22">
        <v>45312</v>
      </c>
      <c r="E594" s="22" t="s">
        <v>58</v>
      </c>
      <c r="F594" s="20" t="s">
        <v>59</v>
      </c>
      <c r="G594" s="20" t="s">
        <v>411</v>
      </c>
      <c r="H594" s="20">
        <v>244</v>
      </c>
      <c r="I594" s="43">
        <v>10492</v>
      </c>
      <c r="J594" s="44"/>
      <c r="K594" s="45"/>
      <c r="L594" s="44"/>
      <c r="M594" s="46"/>
      <c r="N594" s="20"/>
      <c r="O594" s="48">
        <f t="shared" si="284"/>
        <v>10492</v>
      </c>
      <c r="P594" s="54"/>
      <c r="Q594" s="54"/>
      <c r="R594" s="81">
        <f t="shared" si="270"/>
        <v>8264.19366852886</v>
      </c>
      <c r="S594" s="81"/>
      <c r="T594" s="82">
        <f t="shared" si="271"/>
        <v>14.7672253258845</v>
      </c>
      <c r="U594" s="81"/>
      <c r="V594" s="81"/>
      <c r="W594" s="83">
        <f t="shared" si="272"/>
        <v>8278.96089385475</v>
      </c>
      <c r="X594" s="84">
        <f t="shared" si="273"/>
        <v>131.145456238361</v>
      </c>
      <c r="Y594" s="84"/>
      <c r="Z594" s="84"/>
      <c r="AA594" s="84">
        <f t="shared" si="274"/>
        <v>131.145456238361</v>
      </c>
      <c r="AB594" s="94">
        <v>7.17</v>
      </c>
      <c r="AC594" s="81">
        <f t="shared" si="275"/>
        <v>940.31292122905</v>
      </c>
      <c r="AD594" s="81">
        <f t="shared" si="279"/>
        <v>9219.2738150838</v>
      </c>
      <c r="AE594" s="81">
        <f t="shared" si="280"/>
        <v>1272.7261849162</v>
      </c>
    </row>
    <row r="595" customFormat="1" spans="1:31">
      <c r="A595" s="19"/>
      <c r="B595" s="20"/>
      <c r="C595" s="21">
        <v>240117000004</v>
      </c>
      <c r="D595" s="22">
        <v>45312</v>
      </c>
      <c r="E595" s="22" t="s">
        <v>37</v>
      </c>
      <c r="F595" s="20" t="s">
        <v>38</v>
      </c>
      <c r="G595" s="20" t="s">
        <v>128</v>
      </c>
      <c r="H595" s="20">
        <v>17</v>
      </c>
      <c r="I595" s="43">
        <v>918</v>
      </c>
      <c r="J595" s="44"/>
      <c r="K595" s="45"/>
      <c r="L595" s="44"/>
      <c r="M595" s="46"/>
      <c r="N595" s="20"/>
      <c r="O595" s="48">
        <f t="shared" si="284"/>
        <v>918</v>
      </c>
      <c r="P595" s="54"/>
      <c r="Q595" s="54"/>
      <c r="R595" s="81">
        <f t="shared" si="270"/>
        <v>575.783985102421</v>
      </c>
      <c r="S595" s="81"/>
      <c r="T595" s="82">
        <f t="shared" si="271"/>
        <v>1.02886405959032</v>
      </c>
      <c r="U595" s="81"/>
      <c r="V595" s="81"/>
      <c r="W595" s="83">
        <f t="shared" si="272"/>
        <v>576.812849162011</v>
      </c>
      <c r="X595" s="84">
        <f t="shared" si="273"/>
        <v>9.1371834264432</v>
      </c>
      <c r="Y595" s="84"/>
      <c r="Z595" s="84"/>
      <c r="AA595" s="84">
        <f t="shared" si="274"/>
        <v>9.1371834264432</v>
      </c>
      <c r="AB595" s="94">
        <v>7.17</v>
      </c>
      <c r="AC595" s="81">
        <f t="shared" si="275"/>
        <v>65.5136051675978</v>
      </c>
      <c r="AD595" s="81">
        <f t="shared" si="279"/>
        <v>642.326454329609</v>
      </c>
      <c r="AE595" s="81">
        <f t="shared" si="280"/>
        <v>275.673545670391</v>
      </c>
    </row>
    <row r="596" customFormat="1" spans="1:31">
      <c r="A596" s="19"/>
      <c r="B596" s="20"/>
      <c r="C596" s="21">
        <v>240117000008</v>
      </c>
      <c r="D596" s="22">
        <v>45312</v>
      </c>
      <c r="E596" s="22" t="s">
        <v>49</v>
      </c>
      <c r="F596" s="20" t="s">
        <v>50</v>
      </c>
      <c r="G596" s="20" t="s">
        <v>64</v>
      </c>
      <c r="H596" s="20">
        <v>63</v>
      </c>
      <c r="I596" s="50"/>
      <c r="J596" s="51">
        <v>686700</v>
      </c>
      <c r="K596" s="52"/>
      <c r="L596" s="51">
        <f>SUM(J596/M596)</f>
        <v>1563.06193521954</v>
      </c>
      <c r="M596" s="53">
        <v>439.33</v>
      </c>
      <c r="N596" s="20">
        <v>7.17</v>
      </c>
      <c r="O596" s="48">
        <f t="shared" ref="O596:O600" si="285">SUM(M596*N596)</f>
        <v>3149.9961</v>
      </c>
      <c r="P596" s="54"/>
      <c r="Q596" s="54"/>
      <c r="R596" s="81">
        <f t="shared" si="270"/>
        <v>2133.78770949721</v>
      </c>
      <c r="S596" s="81"/>
      <c r="T596" s="82">
        <f t="shared" si="271"/>
        <v>3.81284916201117</v>
      </c>
      <c r="U596" s="81"/>
      <c r="V596" s="81"/>
      <c r="W596" s="83">
        <f t="shared" si="272"/>
        <v>2137.60055865922</v>
      </c>
      <c r="X596" s="84">
        <f t="shared" si="273"/>
        <v>33.8613268156425</v>
      </c>
      <c r="Y596" s="84"/>
      <c r="Z596" s="84"/>
      <c r="AA596" s="84">
        <f t="shared" si="274"/>
        <v>33.8613268156425</v>
      </c>
      <c r="AB596" s="94">
        <v>7.17</v>
      </c>
      <c r="AC596" s="81">
        <f t="shared" si="275"/>
        <v>242.785713268156</v>
      </c>
      <c r="AD596" s="81">
        <f t="shared" si="279"/>
        <v>2380.38627192737</v>
      </c>
      <c r="AE596" s="81">
        <f t="shared" si="280"/>
        <v>769.60982807263</v>
      </c>
    </row>
    <row r="597" customFormat="1" spans="1:31">
      <c r="A597" s="19"/>
      <c r="B597" s="20"/>
      <c r="C597" s="21">
        <v>240117000015</v>
      </c>
      <c r="D597" s="22">
        <v>45312</v>
      </c>
      <c r="E597" s="22" t="s">
        <v>49</v>
      </c>
      <c r="F597" s="20" t="s">
        <v>50</v>
      </c>
      <c r="G597" s="20" t="s">
        <v>78</v>
      </c>
      <c r="H597" s="20">
        <v>13</v>
      </c>
      <c r="I597" s="43">
        <v>804</v>
      </c>
      <c r="J597" s="44"/>
      <c r="K597" s="45"/>
      <c r="L597" s="44"/>
      <c r="M597" s="46"/>
      <c r="N597" s="20"/>
      <c r="O597" s="48">
        <f>SUM(I597)</f>
        <v>804</v>
      </c>
      <c r="P597" s="54"/>
      <c r="Q597" s="54"/>
      <c r="R597" s="81">
        <f t="shared" si="270"/>
        <v>440.305400372439</v>
      </c>
      <c r="S597" s="81"/>
      <c r="T597" s="82">
        <f t="shared" si="271"/>
        <v>0.786778398510242</v>
      </c>
      <c r="U597" s="81">
        <v>50</v>
      </c>
      <c r="V597" s="81"/>
      <c r="W597" s="83">
        <f t="shared" si="272"/>
        <v>491.09217877095</v>
      </c>
      <c r="X597" s="84">
        <f t="shared" si="273"/>
        <v>6.98725791433892</v>
      </c>
      <c r="Y597" s="84"/>
      <c r="Z597" s="84"/>
      <c r="AA597" s="84">
        <f t="shared" si="274"/>
        <v>6.98725791433892</v>
      </c>
      <c r="AB597" s="94">
        <v>7.17</v>
      </c>
      <c r="AC597" s="81">
        <f t="shared" si="275"/>
        <v>50.0986392458101</v>
      </c>
      <c r="AD597" s="81">
        <f t="shared" si="279"/>
        <v>541.19081801676</v>
      </c>
      <c r="AE597" s="81">
        <f t="shared" si="280"/>
        <v>262.80918198324</v>
      </c>
    </row>
    <row r="598" customFormat="1" spans="1:31">
      <c r="A598" s="19"/>
      <c r="B598" s="20"/>
      <c r="C598" s="21">
        <v>240117000020</v>
      </c>
      <c r="D598" s="22">
        <v>45312</v>
      </c>
      <c r="E598" s="22" t="s">
        <v>49</v>
      </c>
      <c r="F598" s="20" t="s">
        <v>50</v>
      </c>
      <c r="G598" s="20" t="s">
        <v>287</v>
      </c>
      <c r="H598" s="20">
        <v>98.5</v>
      </c>
      <c r="I598" s="50"/>
      <c r="J598" s="51">
        <v>899797.5</v>
      </c>
      <c r="K598" s="52"/>
      <c r="L598" s="51">
        <f>SUM(J598/M598)</f>
        <v>1455.51197023617</v>
      </c>
      <c r="M598" s="53">
        <v>618.2</v>
      </c>
      <c r="N598" s="20">
        <v>7.17</v>
      </c>
      <c r="O598" s="48">
        <f t="shared" si="285"/>
        <v>4432.494</v>
      </c>
      <c r="P598" s="54"/>
      <c r="Q598" s="54"/>
      <c r="R598" s="81">
        <f t="shared" si="270"/>
        <v>3336.16014897579</v>
      </c>
      <c r="S598" s="81"/>
      <c r="T598" s="82">
        <f t="shared" si="271"/>
        <v>5.96135940409683</v>
      </c>
      <c r="U598" s="81"/>
      <c r="V598" s="81"/>
      <c r="W598" s="83">
        <f t="shared" si="272"/>
        <v>3342.12150837989</v>
      </c>
      <c r="X598" s="84">
        <f t="shared" si="273"/>
        <v>52.941915735568</v>
      </c>
      <c r="Y598" s="84"/>
      <c r="Z598" s="84"/>
      <c r="AA598" s="84">
        <f t="shared" si="274"/>
        <v>52.941915735568</v>
      </c>
      <c r="AB598" s="94">
        <v>7.17</v>
      </c>
      <c r="AC598" s="81">
        <f t="shared" si="275"/>
        <v>379.593535824022</v>
      </c>
      <c r="AD598" s="81">
        <f t="shared" si="279"/>
        <v>3721.71504420391</v>
      </c>
      <c r="AE598" s="81">
        <f t="shared" si="280"/>
        <v>710.77895579609</v>
      </c>
    </row>
    <row r="599" customFormat="1" spans="1:31">
      <c r="A599" s="19"/>
      <c r="B599" s="20"/>
      <c r="C599" s="21">
        <v>240117000027</v>
      </c>
      <c r="D599" s="22">
        <v>45312</v>
      </c>
      <c r="E599" s="22" t="s">
        <v>49</v>
      </c>
      <c r="F599" s="20" t="s">
        <v>50</v>
      </c>
      <c r="G599" s="20" t="s">
        <v>287</v>
      </c>
      <c r="H599" s="20">
        <v>1.5</v>
      </c>
      <c r="I599" s="50"/>
      <c r="J599" s="51">
        <v>21112</v>
      </c>
      <c r="K599" s="52"/>
      <c r="L599" s="51">
        <f>SUM(J599/M599)</f>
        <v>1456</v>
      </c>
      <c r="M599" s="53">
        <v>14.5</v>
      </c>
      <c r="N599" s="20">
        <v>7.17</v>
      </c>
      <c r="O599" s="48">
        <f t="shared" si="285"/>
        <v>103.965</v>
      </c>
      <c r="P599" s="54"/>
      <c r="Q599" s="54"/>
      <c r="R599" s="81">
        <f t="shared" si="270"/>
        <v>50.804469273743</v>
      </c>
      <c r="S599" s="81"/>
      <c r="T599" s="82">
        <f t="shared" si="271"/>
        <v>0.0907821229050279</v>
      </c>
      <c r="U599" s="81"/>
      <c r="V599" s="82">
        <v>32</v>
      </c>
      <c r="W599" s="83">
        <f t="shared" si="272"/>
        <v>82.895251396648</v>
      </c>
      <c r="X599" s="84">
        <f t="shared" si="273"/>
        <v>0.806222067039106</v>
      </c>
      <c r="Y599" s="84"/>
      <c r="Z599" s="84"/>
      <c r="AA599" s="84">
        <f t="shared" si="274"/>
        <v>0.806222067039106</v>
      </c>
      <c r="AB599" s="94">
        <v>7.17</v>
      </c>
      <c r="AC599" s="81">
        <f t="shared" si="275"/>
        <v>5.78061222067039</v>
      </c>
      <c r="AD599" s="81">
        <f t="shared" si="279"/>
        <v>88.6758636173184</v>
      </c>
      <c r="AE599" s="81">
        <f t="shared" si="280"/>
        <v>15.2891363826816</v>
      </c>
    </row>
    <row r="600" customFormat="1" spans="1:31">
      <c r="A600" s="19"/>
      <c r="B600" s="20"/>
      <c r="C600" s="21">
        <v>240117000034</v>
      </c>
      <c r="D600" s="22">
        <v>45312</v>
      </c>
      <c r="E600" s="22" t="s">
        <v>58</v>
      </c>
      <c r="F600" s="20" t="s">
        <v>59</v>
      </c>
      <c r="G600" s="20" t="s">
        <v>416</v>
      </c>
      <c r="H600" s="20">
        <v>107</v>
      </c>
      <c r="I600" s="48"/>
      <c r="J600" s="99"/>
      <c r="K600" s="111">
        <v>663.6</v>
      </c>
      <c r="L600" s="51">
        <f>SUM(J600/M600)</f>
        <v>0</v>
      </c>
      <c r="M600" s="53">
        <v>663.6</v>
      </c>
      <c r="N600" s="20">
        <v>7.17</v>
      </c>
      <c r="O600" s="48">
        <f t="shared" si="285"/>
        <v>4758.012</v>
      </c>
      <c r="P600" s="60"/>
      <c r="Q600" s="60"/>
      <c r="R600" s="81">
        <f t="shared" si="270"/>
        <v>3624.052141527</v>
      </c>
      <c r="S600" s="81"/>
      <c r="T600" s="82">
        <f t="shared" si="271"/>
        <v>6.47579143389199</v>
      </c>
      <c r="U600" s="81"/>
      <c r="V600" s="81"/>
      <c r="W600" s="83">
        <f t="shared" ref="W600:W635" si="286">SUM(R600:V600)</f>
        <v>3630.52793296089</v>
      </c>
      <c r="X600" s="84">
        <f t="shared" si="273"/>
        <v>57.5105074487896</v>
      </c>
      <c r="Y600" s="84"/>
      <c r="Z600" s="84"/>
      <c r="AA600" s="84">
        <f t="shared" si="274"/>
        <v>57.5105074487896</v>
      </c>
      <c r="AB600" s="94">
        <v>7.17</v>
      </c>
      <c r="AC600" s="81">
        <f t="shared" si="275"/>
        <v>412.350338407821</v>
      </c>
      <c r="AD600" s="81">
        <f t="shared" ref="AD600:AD635" si="287">SUM(W600+AC600)</f>
        <v>4042.87827136872</v>
      </c>
      <c r="AE600" s="81">
        <f t="shared" ref="AE600:AE635" si="288">SUM(O600-AD600)</f>
        <v>715.13372863128</v>
      </c>
    </row>
    <row r="601" customFormat="1" spans="1:31">
      <c r="A601" s="19" t="s">
        <v>417</v>
      </c>
      <c r="B601" s="20" t="s">
        <v>418</v>
      </c>
      <c r="C601" s="21">
        <v>240112000026</v>
      </c>
      <c r="D601" s="22">
        <v>45312</v>
      </c>
      <c r="E601" s="22" t="s">
        <v>58</v>
      </c>
      <c r="F601" s="20" t="s">
        <v>59</v>
      </c>
      <c r="G601" s="20" t="s">
        <v>404</v>
      </c>
      <c r="H601" s="20">
        <v>5</v>
      </c>
      <c r="I601" s="57">
        <v>307</v>
      </c>
      <c r="J601" s="55"/>
      <c r="K601" s="58"/>
      <c r="L601" s="55"/>
      <c r="M601" s="46"/>
      <c r="N601" s="20"/>
      <c r="O601" s="48">
        <f>SUBTOTAL(9,I601)</f>
        <v>307</v>
      </c>
      <c r="P601" s="49">
        <f>SUM(O601:O635)</f>
        <v>89142.5431</v>
      </c>
      <c r="Q601" s="80" t="s">
        <v>165</v>
      </c>
      <c r="R601" s="81">
        <f>SUM(66979.5/1497)*H601</f>
        <v>223.712424849699</v>
      </c>
      <c r="S601" s="81"/>
      <c r="T601" s="82">
        <f>SUM(146.43/1497)*H601</f>
        <v>0.489078156312625</v>
      </c>
      <c r="U601" s="81"/>
      <c r="V601" s="81"/>
      <c r="W601" s="83">
        <f t="shared" si="286"/>
        <v>224.201503006012</v>
      </c>
      <c r="X601" s="84">
        <f>SUM(1284.4/1497)*H601</f>
        <v>4.28991315965264</v>
      </c>
      <c r="Y601" s="84"/>
      <c r="Z601" s="84"/>
      <c r="AA601" s="84">
        <f t="shared" ref="AA601:AA635" si="289">SUM(X601:Z601)</f>
        <v>4.28991315965264</v>
      </c>
      <c r="AB601" s="94">
        <v>7.17</v>
      </c>
      <c r="AC601" s="81">
        <f t="shared" ref="AC601:AC635" si="290">SUM(AA601*AB601)</f>
        <v>30.7586773547094</v>
      </c>
      <c r="AD601" s="81">
        <f t="shared" si="287"/>
        <v>254.960180360721</v>
      </c>
      <c r="AE601" s="81">
        <f t="shared" si="288"/>
        <v>52.039819639279</v>
      </c>
    </row>
    <row r="602" customFormat="1" spans="1:31">
      <c r="A602" s="19"/>
      <c r="B602" s="20"/>
      <c r="C602" s="21">
        <v>240112000027</v>
      </c>
      <c r="D602" s="22">
        <v>45312</v>
      </c>
      <c r="E602" s="22" t="s">
        <v>49</v>
      </c>
      <c r="F602" s="20" t="s">
        <v>50</v>
      </c>
      <c r="G602" s="20" t="s">
        <v>232</v>
      </c>
      <c r="H602" s="20">
        <v>36</v>
      </c>
      <c r="I602" s="50"/>
      <c r="J602" s="51">
        <v>430390</v>
      </c>
      <c r="K602" s="52"/>
      <c r="L602" s="51">
        <f>SUM(J602/M602)</f>
        <v>1598.9523349556</v>
      </c>
      <c r="M602" s="53">
        <v>269.17</v>
      </c>
      <c r="N602" s="20">
        <v>7.17</v>
      </c>
      <c r="O602" s="48">
        <f>SUM(M602*N602)</f>
        <v>1929.9489</v>
      </c>
      <c r="P602" s="54"/>
      <c r="Q602" s="54"/>
      <c r="R602" s="81">
        <f t="shared" ref="R602:R635" si="291">SUM(66979.5/1497)*H602</f>
        <v>1610.72945891784</v>
      </c>
      <c r="S602" s="81"/>
      <c r="T602" s="82">
        <f t="shared" ref="T602:T635" si="292">SUM(146.43/1497)*H602</f>
        <v>3.5213627254509</v>
      </c>
      <c r="U602" s="81"/>
      <c r="V602" s="81"/>
      <c r="W602" s="83">
        <f t="shared" si="286"/>
        <v>1614.25082164329</v>
      </c>
      <c r="X602" s="84">
        <f t="shared" ref="X602:X635" si="293">SUM(1284.4/1497)*H602</f>
        <v>30.887374749499</v>
      </c>
      <c r="Y602" s="84"/>
      <c r="Z602" s="84"/>
      <c r="AA602" s="84">
        <f t="shared" si="289"/>
        <v>30.887374749499</v>
      </c>
      <c r="AB602" s="94">
        <v>7.17</v>
      </c>
      <c r="AC602" s="81">
        <f t="shared" si="290"/>
        <v>221.462476953908</v>
      </c>
      <c r="AD602" s="81">
        <f t="shared" si="287"/>
        <v>1835.71329859719</v>
      </c>
      <c r="AE602" s="81">
        <f t="shared" si="288"/>
        <v>94.2356014028101</v>
      </c>
    </row>
    <row r="603" customFormat="1" spans="1:31">
      <c r="A603" s="19"/>
      <c r="B603" s="20"/>
      <c r="C603" s="21">
        <v>240112000028</v>
      </c>
      <c r="D603" s="22">
        <v>45312</v>
      </c>
      <c r="E603" s="22" t="s">
        <v>99</v>
      </c>
      <c r="F603" s="20" t="s">
        <v>149</v>
      </c>
      <c r="G603" s="20" t="s">
        <v>150</v>
      </c>
      <c r="H603" s="20">
        <v>2</v>
      </c>
      <c r="I603" s="43">
        <v>147.6</v>
      </c>
      <c r="J603" s="44"/>
      <c r="K603" s="45"/>
      <c r="L603" s="44"/>
      <c r="M603" s="46"/>
      <c r="N603" s="20"/>
      <c r="O603" s="48">
        <f t="shared" ref="O603:O612" si="294">SUM(I603)</f>
        <v>147.6</v>
      </c>
      <c r="P603" s="54"/>
      <c r="Q603" s="54"/>
      <c r="R603" s="81">
        <f t="shared" si="291"/>
        <v>89.4849699398798</v>
      </c>
      <c r="S603" s="81"/>
      <c r="T603" s="82">
        <f t="shared" si="292"/>
        <v>0.19563126252505</v>
      </c>
      <c r="U603" s="81"/>
      <c r="V603" s="81"/>
      <c r="W603" s="83">
        <f t="shared" si="286"/>
        <v>89.6806012024048</v>
      </c>
      <c r="X603" s="84">
        <f t="shared" si="293"/>
        <v>1.71596526386106</v>
      </c>
      <c r="Y603" s="84"/>
      <c r="Z603" s="84"/>
      <c r="AA603" s="84">
        <f t="shared" si="289"/>
        <v>1.71596526386106</v>
      </c>
      <c r="AB603" s="94">
        <v>7.17</v>
      </c>
      <c r="AC603" s="81">
        <f t="shared" si="290"/>
        <v>12.3034709418838</v>
      </c>
      <c r="AD603" s="81">
        <f t="shared" si="287"/>
        <v>101.984072144289</v>
      </c>
      <c r="AE603" s="81">
        <f t="shared" si="288"/>
        <v>45.615927855711</v>
      </c>
    </row>
    <row r="604" customFormat="1" spans="1:31">
      <c r="A604" s="19"/>
      <c r="B604" s="20"/>
      <c r="C604" s="21">
        <v>240112000031</v>
      </c>
      <c r="D604" s="22">
        <v>45312</v>
      </c>
      <c r="E604" s="22" t="s">
        <v>99</v>
      </c>
      <c r="F604" s="20" t="s">
        <v>149</v>
      </c>
      <c r="G604" s="20" t="s">
        <v>150</v>
      </c>
      <c r="H604" s="20">
        <v>0.91</v>
      </c>
      <c r="I604" s="43">
        <v>75.6</v>
      </c>
      <c r="J604" s="44"/>
      <c r="K604" s="45"/>
      <c r="L604" s="44"/>
      <c r="M604" s="46"/>
      <c r="N604" s="20"/>
      <c r="O604" s="48">
        <f t="shared" si="294"/>
        <v>75.6</v>
      </c>
      <c r="P604" s="54"/>
      <c r="Q604" s="54"/>
      <c r="R604" s="81">
        <f t="shared" si="291"/>
        <v>40.7156613226453</v>
      </c>
      <c r="S604" s="81"/>
      <c r="T604" s="82">
        <f t="shared" si="292"/>
        <v>0.0890122244488978</v>
      </c>
      <c r="U604" s="81"/>
      <c r="V604" s="81"/>
      <c r="W604" s="83">
        <f t="shared" si="286"/>
        <v>40.8046735470942</v>
      </c>
      <c r="X604" s="84">
        <f t="shared" si="293"/>
        <v>0.78076419505678</v>
      </c>
      <c r="Y604" s="84"/>
      <c r="Z604" s="84"/>
      <c r="AA604" s="84">
        <f t="shared" si="289"/>
        <v>0.78076419505678</v>
      </c>
      <c r="AB604" s="94">
        <v>7.17</v>
      </c>
      <c r="AC604" s="81">
        <f t="shared" si="290"/>
        <v>5.59807927855711</v>
      </c>
      <c r="AD604" s="81">
        <f t="shared" si="287"/>
        <v>46.4027528256513</v>
      </c>
      <c r="AE604" s="81">
        <f t="shared" si="288"/>
        <v>29.1972471743487</v>
      </c>
    </row>
    <row r="605" customFormat="1" spans="1:31">
      <c r="A605" s="19"/>
      <c r="B605" s="20"/>
      <c r="C605" s="21">
        <v>240112000037</v>
      </c>
      <c r="D605" s="22">
        <v>45312</v>
      </c>
      <c r="E605" s="22" t="s">
        <v>49</v>
      </c>
      <c r="F605" s="20" t="s">
        <v>419</v>
      </c>
      <c r="G605" s="20" t="s">
        <v>419</v>
      </c>
      <c r="H605" s="20">
        <v>4.5</v>
      </c>
      <c r="I605" s="48"/>
      <c r="J605" s="55">
        <v>63983</v>
      </c>
      <c r="K605" s="56"/>
      <c r="L605" s="51">
        <f>SUM(J605/M605)</f>
        <v>1404.98462889767</v>
      </c>
      <c r="M605" s="53">
        <v>45.54</v>
      </c>
      <c r="N605" s="20">
        <v>7.17</v>
      </c>
      <c r="O605" s="48">
        <f>SUM(M605*N605)</f>
        <v>326.5218</v>
      </c>
      <c r="P605" s="54"/>
      <c r="Q605" s="54"/>
      <c r="R605" s="81">
        <f t="shared" si="291"/>
        <v>201.341182364729</v>
      </c>
      <c r="S605" s="81"/>
      <c r="T605" s="82">
        <f t="shared" si="292"/>
        <v>0.440170340681363</v>
      </c>
      <c r="U605" s="81"/>
      <c r="V605" s="81"/>
      <c r="W605" s="83">
        <f t="shared" si="286"/>
        <v>201.781352705411</v>
      </c>
      <c r="X605" s="84">
        <f t="shared" si="293"/>
        <v>3.86092184368738</v>
      </c>
      <c r="Y605" s="84"/>
      <c r="Z605" s="84"/>
      <c r="AA605" s="84">
        <f t="shared" si="289"/>
        <v>3.86092184368738</v>
      </c>
      <c r="AB605" s="94">
        <v>7.17</v>
      </c>
      <c r="AC605" s="81">
        <f t="shared" si="290"/>
        <v>27.6828096192385</v>
      </c>
      <c r="AD605" s="81">
        <f t="shared" si="287"/>
        <v>229.464162324649</v>
      </c>
      <c r="AE605" s="81">
        <f t="shared" si="288"/>
        <v>97.057637675351</v>
      </c>
    </row>
    <row r="606" customFormat="1" spans="1:31">
      <c r="A606" s="19"/>
      <c r="B606" s="20"/>
      <c r="C606" s="21">
        <v>240114000004</v>
      </c>
      <c r="D606" s="22">
        <v>45312</v>
      </c>
      <c r="E606" s="22" t="s">
        <v>44</v>
      </c>
      <c r="F606" s="20" t="s">
        <v>45</v>
      </c>
      <c r="G606" s="20" t="s">
        <v>420</v>
      </c>
      <c r="H606" s="20">
        <v>33</v>
      </c>
      <c r="I606" s="43">
        <v>2244</v>
      </c>
      <c r="J606" s="44"/>
      <c r="K606" s="45"/>
      <c r="L606" s="44"/>
      <c r="M606" s="46"/>
      <c r="N606" s="20"/>
      <c r="O606" s="48">
        <f t="shared" si="294"/>
        <v>2244</v>
      </c>
      <c r="P606" s="54"/>
      <c r="Q606" s="54"/>
      <c r="R606" s="81">
        <f t="shared" si="291"/>
        <v>1476.50200400802</v>
      </c>
      <c r="S606" s="81"/>
      <c r="T606" s="82">
        <f t="shared" si="292"/>
        <v>3.22791583166333</v>
      </c>
      <c r="U606" s="81"/>
      <c r="V606" s="81"/>
      <c r="W606" s="83">
        <f t="shared" si="286"/>
        <v>1479.72991983968</v>
      </c>
      <c r="X606" s="84">
        <f t="shared" si="293"/>
        <v>28.3134268537074</v>
      </c>
      <c r="Y606" s="84"/>
      <c r="Z606" s="84"/>
      <c r="AA606" s="84">
        <f t="shared" si="289"/>
        <v>28.3134268537074</v>
      </c>
      <c r="AB606" s="94">
        <v>7.17</v>
      </c>
      <c r="AC606" s="81">
        <f t="shared" si="290"/>
        <v>203.007270541082</v>
      </c>
      <c r="AD606" s="81">
        <f t="shared" si="287"/>
        <v>1682.73719038076</v>
      </c>
      <c r="AE606" s="81">
        <f t="shared" si="288"/>
        <v>561.26280961924</v>
      </c>
    </row>
    <row r="607" customFormat="1" spans="1:31">
      <c r="A607" s="19"/>
      <c r="B607" s="20"/>
      <c r="C607" s="21">
        <v>240114000010</v>
      </c>
      <c r="D607" s="22">
        <v>45312</v>
      </c>
      <c r="E607" s="22" t="s">
        <v>69</v>
      </c>
      <c r="F607" s="20" t="s">
        <v>192</v>
      </c>
      <c r="G607" s="20" t="s">
        <v>193</v>
      </c>
      <c r="H607" s="20">
        <v>3</v>
      </c>
      <c r="I607" s="43">
        <v>219.6</v>
      </c>
      <c r="J607" s="44"/>
      <c r="K607" s="45"/>
      <c r="L607" s="44"/>
      <c r="M607" s="46"/>
      <c r="N607" s="20"/>
      <c r="O607" s="48">
        <f t="shared" si="294"/>
        <v>219.6</v>
      </c>
      <c r="P607" s="54"/>
      <c r="Q607" s="54"/>
      <c r="R607" s="81">
        <f t="shared" si="291"/>
        <v>134.22745490982</v>
      </c>
      <c r="S607" s="81"/>
      <c r="T607" s="82">
        <f t="shared" si="292"/>
        <v>0.293446893787575</v>
      </c>
      <c r="U607" s="81"/>
      <c r="V607" s="81"/>
      <c r="W607" s="83">
        <f t="shared" si="286"/>
        <v>134.520901803607</v>
      </c>
      <c r="X607" s="84">
        <f t="shared" si="293"/>
        <v>2.57394789579158</v>
      </c>
      <c r="Y607" s="84"/>
      <c r="Z607" s="84"/>
      <c r="AA607" s="84">
        <f t="shared" si="289"/>
        <v>2.57394789579158</v>
      </c>
      <c r="AB607" s="94">
        <v>7.17</v>
      </c>
      <c r="AC607" s="81">
        <f t="shared" si="290"/>
        <v>18.4552064128257</v>
      </c>
      <c r="AD607" s="81">
        <f t="shared" si="287"/>
        <v>152.976108216433</v>
      </c>
      <c r="AE607" s="81">
        <f t="shared" si="288"/>
        <v>66.623891783567</v>
      </c>
    </row>
    <row r="608" customFormat="1" spans="1:31">
      <c r="A608" s="19"/>
      <c r="B608" s="20"/>
      <c r="C608" s="21">
        <v>240115000003</v>
      </c>
      <c r="D608" s="22">
        <v>45312</v>
      </c>
      <c r="E608" s="22" t="s">
        <v>37</v>
      </c>
      <c r="F608" s="20" t="s">
        <v>38</v>
      </c>
      <c r="G608" s="20" t="s">
        <v>421</v>
      </c>
      <c r="H608" s="20">
        <v>74</v>
      </c>
      <c r="I608" s="43">
        <v>6862</v>
      </c>
      <c r="J608" s="44"/>
      <c r="K608" s="45"/>
      <c r="L608" s="44"/>
      <c r="M608" s="46"/>
      <c r="N608" s="20"/>
      <c r="O608" s="48">
        <f t="shared" si="294"/>
        <v>6862</v>
      </c>
      <c r="P608" s="54"/>
      <c r="Q608" s="54"/>
      <c r="R608" s="81">
        <f t="shared" si="291"/>
        <v>3310.94388777555</v>
      </c>
      <c r="S608" s="81"/>
      <c r="T608" s="82">
        <f t="shared" si="292"/>
        <v>7.23835671342685</v>
      </c>
      <c r="U608" s="81"/>
      <c r="V608" s="81"/>
      <c r="W608" s="83">
        <f t="shared" si="286"/>
        <v>3318.18224448898</v>
      </c>
      <c r="X608" s="84">
        <f t="shared" si="293"/>
        <v>63.4907147628591</v>
      </c>
      <c r="Y608" s="84"/>
      <c r="Z608" s="84"/>
      <c r="AA608" s="84">
        <f t="shared" si="289"/>
        <v>63.4907147628591</v>
      </c>
      <c r="AB608" s="94">
        <v>7.17</v>
      </c>
      <c r="AC608" s="81">
        <f t="shared" si="290"/>
        <v>455.228424849699</v>
      </c>
      <c r="AD608" s="81">
        <f t="shared" si="287"/>
        <v>3773.41066933868</v>
      </c>
      <c r="AE608" s="81">
        <f t="shared" si="288"/>
        <v>3088.58933066132</v>
      </c>
    </row>
    <row r="609" customFormat="1" spans="1:31">
      <c r="A609" s="19"/>
      <c r="B609" s="20"/>
      <c r="C609" s="21">
        <v>240115000004</v>
      </c>
      <c r="D609" s="22">
        <v>45312</v>
      </c>
      <c r="E609" s="22" t="s">
        <v>49</v>
      </c>
      <c r="F609" s="20" t="s">
        <v>50</v>
      </c>
      <c r="G609" s="20" t="s">
        <v>283</v>
      </c>
      <c r="H609" s="20">
        <v>21</v>
      </c>
      <c r="I609" s="43">
        <v>1426</v>
      </c>
      <c r="J609" s="44"/>
      <c r="K609" s="45"/>
      <c r="L609" s="44"/>
      <c r="M609" s="46"/>
      <c r="N609" s="20"/>
      <c r="O609" s="48">
        <f t="shared" si="294"/>
        <v>1426</v>
      </c>
      <c r="P609" s="54"/>
      <c r="Q609" s="54"/>
      <c r="R609" s="81">
        <f t="shared" si="291"/>
        <v>939.592184368737</v>
      </c>
      <c r="S609" s="81"/>
      <c r="T609" s="82">
        <f t="shared" si="292"/>
        <v>2.05412825651303</v>
      </c>
      <c r="U609" s="81">
        <v>40</v>
      </c>
      <c r="V609" s="81"/>
      <c r="W609" s="83">
        <f t="shared" si="286"/>
        <v>981.646312625251</v>
      </c>
      <c r="X609" s="84">
        <f t="shared" si="293"/>
        <v>18.0176352705411</v>
      </c>
      <c r="Y609" s="84"/>
      <c r="Z609" s="84"/>
      <c r="AA609" s="84">
        <f t="shared" si="289"/>
        <v>18.0176352705411</v>
      </c>
      <c r="AB609" s="94">
        <v>7.17</v>
      </c>
      <c r="AC609" s="81">
        <f t="shared" si="290"/>
        <v>129.18644488978</v>
      </c>
      <c r="AD609" s="81">
        <f t="shared" si="287"/>
        <v>1110.83275751503</v>
      </c>
      <c r="AE609" s="81">
        <f t="shared" si="288"/>
        <v>315.16724248497</v>
      </c>
    </row>
    <row r="610" customFormat="1" spans="1:31">
      <c r="A610" s="19"/>
      <c r="B610" s="20"/>
      <c r="C610" s="21">
        <v>240115000006</v>
      </c>
      <c r="D610" s="22">
        <v>45312</v>
      </c>
      <c r="E610" s="22" t="s">
        <v>44</v>
      </c>
      <c r="F610" s="20" t="s">
        <v>45</v>
      </c>
      <c r="G610" s="20" t="s">
        <v>368</v>
      </c>
      <c r="H610" s="20">
        <v>17.5</v>
      </c>
      <c r="I610" s="43">
        <v>1240</v>
      </c>
      <c r="J610" s="44"/>
      <c r="K610" s="45"/>
      <c r="L610" s="44"/>
      <c r="M610" s="46"/>
      <c r="N610" s="20"/>
      <c r="O610" s="48">
        <f t="shared" si="294"/>
        <v>1240</v>
      </c>
      <c r="P610" s="54"/>
      <c r="Q610" s="54"/>
      <c r="R610" s="81">
        <f t="shared" si="291"/>
        <v>782.993486973948</v>
      </c>
      <c r="S610" s="81"/>
      <c r="T610" s="82">
        <f t="shared" si="292"/>
        <v>1.71177354709419</v>
      </c>
      <c r="U610" s="81">
        <v>50</v>
      </c>
      <c r="V610" s="81"/>
      <c r="W610" s="83">
        <f t="shared" si="286"/>
        <v>834.705260521042</v>
      </c>
      <c r="X610" s="84">
        <f t="shared" si="293"/>
        <v>15.0146960587842</v>
      </c>
      <c r="Y610" s="84"/>
      <c r="Z610" s="84"/>
      <c r="AA610" s="84">
        <f t="shared" si="289"/>
        <v>15.0146960587842</v>
      </c>
      <c r="AB610" s="94">
        <v>7.17</v>
      </c>
      <c r="AC610" s="81">
        <f t="shared" si="290"/>
        <v>107.655370741483</v>
      </c>
      <c r="AD610" s="81">
        <f t="shared" si="287"/>
        <v>942.360631262525</v>
      </c>
      <c r="AE610" s="81">
        <f t="shared" si="288"/>
        <v>297.639368737475</v>
      </c>
    </row>
    <row r="611" customFormat="1" spans="1:31">
      <c r="A611" s="19"/>
      <c r="B611" s="20"/>
      <c r="C611" s="21">
        <v>240115000011</v>
      </c>
      <c r="D611" s="22">
        <v>45312</v>
      </c>
      <c r="E611" s="22" t="s">
        <v>44</v>
      </c>
      <c r="F611" s="20" t="s">
        <v>45</v>
      </c>
      <c r="G611" s="20" t="s">
        <v>368</v>
      </c>
      <c r="H611" s="20">
        <v>6.5</v>
      </c>
      <c r="I611" s="43">
        <v>455</v>
      </c>
      <c r="J611" s="44"/>
      <c r="K611" s="45"/>
      <c r="L611" s="44"/>
      <c r="M611" s="46"/>
      <c r="N611" s="20"/>
      <c r="O611" s="48">
        <f t="shared" si="294"/>
        <v>455</v>
      </c>
      <c r="P611" s="54"/>
      <c r="Q611" s="54"/>
      <c r="R611" s="81">
        <f t="shared" si="291"/>
        <v>290.826152304609</v>
      </c>
      <c r="S611" s="81"/>
      <c r="T611" s="82">
        <f t="shared" si="292"/>
        <v>0.635801603206413</v>
      </c>
      <c r="U611" s="81"/>
      <c r="V611" s="81"/>
      <c r="W611" s="83">
        <f t="shared" si="286"/>
        <v>291.461953907816</v>
      </c>
      <c r="X611" s="84">
        <f t="shared" si="293"/>
        <v>5.57688710754843</v>
      </c>
      <c r="Y611" s="84"/>
      <c r="Z611" s="84"/>
      <c r="AA611" s="84">
        <f t="shared" si="289"/>
        <v>5.57688710754843</v>
      </c>
      <c r="AB611" s="94">
        <v>7.17</v>
      </c>
      <c r="AC611" s="81">
        <f t="shared" si="290"/>
        <v>39.9862805611222</v>
      </c>
      <c r="AD611" s="81">
        <f t="shared" si="287"/>
        <v>331.448234468938</v>
      </c>
      <c r="AE611" s="81">
        <f t="shared" si="288"/>
        <v>123.551765531062</v>
      </c>
    </row>
    <row r="612" customFormat="1" spans="1:31">
      <c r="A612" s="19"/>
      <c r="B612" s="20"/>
      <c r="C612" s="21">
        <v>240115000014</v>
      </c>
      <c r="D612" s="22">
        <v>45312</v>
      </c>
      <c r="E612" s="22" t="s">
        <v>49</v>
      </c>
      <c r="F612" s="20" t="s">
        <v>50</v>
      </c>
      <c r="G612" s="20" t="s">
        <v>422</v>
      </c>
      <c r="H612" s="20">
        <v>9</v>
      </c>
      <c r="I612" s="43">
        <v>600</v>
      </c>
      <c r="J612" s="44"/>
      <c r="K612" s="45"/>
      <c r="L612" s="44"/>
      <c r="M612" s="46"/>
      <c r="N612" s="20"/>
      <c r="O612" s="48">
        <f t="shared" si="294"/>
        <v>600</v>
      </c>
      <c r="P612" s="54"/>
      <c r="Q612" s="54"/>
      <c r="R612" s="81">
        <f t="shared" si="291"/>
        <v>402.682364729459</v>
      </c>
      <c r="S612" s="81"/>
      <c r="T612" s="82">
        <f t="shared" si="292"/>
        <v>0.880340681362725</v>
      </c>
      <c r="U612" s="81"/>
      <c r="V612" s="81"/>
      <c r="W612" s="83">
        <f t="shared" si="286"/>
        <v>403.562705410822</v>
      </c>
      <c r="X612" s="84">
        <f t="shared" si="293"/>
        <v>7.72184368737475</v>
      </c>
      <c r="Y612" s="84"/>
      <c r="Z612" s="84"/>
      <c r="AA612" s="84">
        <f t="shared" si="289"/>
        <v>7.72184368737475</v>
      </c>
      <c r="AB612" s="94">
        <v>7.17</v>
      </c>
      <c r="AC612" s="81">
        <f t="shared" si="290"/>
        <v>55.365619238477</v>
      </c>
      <c r="AD612" s="81">
        <f t="shared" si="287"/>
        <v>458.928324649299</v>
      </c>
      <c r="AE612" s="81">
        <f t="shared" si="288"/>
        <v>141.071675350701</v>
      </c>
    </row>
    <row r="613" customFormat="1" spans="1:31">
      <c r="A613" s="19"/>
      <c r="B613" s="20"/>
      <c r="C613" s="21">
        <v>240115000018</v>
      </c>
      <c r="D613" s="22">
        <v>45312</v>
      </c>
      <c r="E613" s="22" t="s">
        <v>37</v>
      </c>
      <c r="F613" s="20" t="s">
        <v>38</v>
      </c>
      <c r="G613" s="20" t="s">
        <v>179</v>
      </c>
      <c r="H613" s="20">
        <v>3</v>
      </c>
      <c r="I613" s="50"/>
      <c r="J613" s="51">
        <v>43920</v>
      </c>
      <c r="K613" s="52"/>
      <c r="L613" s="51">
        <f>SUM(J613/M613)</f>
        <v>1434.35662965382</v>
      </c>
      <c r="M613" s="53">
        <v>30.62</v>
      </c>
      <c r="N613" s="20">
        <v>7.17</v>
      </c>
      <c r="O613" s="48">
        <f>SUM(M613*N613)</f>
        <v>219.5454</v>
      </c>
      <c r="P613" s="54"/>
      <c r="Q613" s="54"/>
      <c r="R613" s="81">
        <f t="shared" si="291"/>
        <v>134.22745490982</v>
      </c>
      <c r="S613" s="81"/>
      <c r="T613" s="82">
        <f t="shared" si="292"/>
        <v>0.293446893787575</v>
      </c>
      <c r="U613" s="81"/>
      <c r="V613" s="81"/>
      <c r="W613" s="83">
        <f t="shared" si="286"/>
        <v>134.520901803607</v>
      </c>
      <c r="X613" s="84">
        <f t="shared" si="293"/>
        <v>2.57394789579158</v>
      </c>
      <c r="Y613" s="84"/>
      <c r="Z613" s="84"/>
      <c r="AA613" s="84">
        <f t="shared" si="289"/>
        <v>2.57394789579158</v>
      </c>
      <c r="AB613" s="94">
        <v>7.17</v>
      </c>
      <c r="AC613" s="81">
        <f t="shared" si="290"/>
        <v>18.4552064128257</v>
      </c>
      <c r="AD613" s="81">
        <f t="shared" si="287"/>
        <v>152.976108216433</v>
      </c>
      <c r="AE613" s="81">
        <f t="shared" si="288"/>
        <v>66.569291783567</v>
      </c>
    </row>
    <row r="614" customFormat="1" spans="1:31">
      <c r="A614" s="19"/>
      <c r="B614" s="20"/>
      <c r="C614" s="21">
        <v>240115000019</v>
      </c>
      <c r="D614" s="22">
        <v>45312</v>
      </c>
      <c r="E614" s="22" t="s">
        <v>37</v>
      </c>
      <c r="F614" s="20" t="s">
        <v>38</v>
      </c>
      <c r="G614" s="20" t="s">
        <v>423</v>
      </c>
      <c r="H614" s="20">
        <v>6</v>
      </c>
      <c r="I614" s="43">
        <v>423.6</v>
      </c>
      <c r="J614" s="44"/>
      <c r="K614" s="45"/>
      <c r="L614" s="44"/>
      <c r="M614" s="46"/>
      <c r="N614" s="20"/>
      <c r="O614" s="48">
        <f t="shared" ref="O614:O618" si="295">SUM(I614)</f>
        <v>423.6</v>
      </c>
      <c r="P614" s="54"/>
      <c r="Q614" s="54"/>
      <c r="R614" s="81">
        <f t="shared" si="291"/>
        <v>268.454909819639</v>
      </c>
      <c r="S614" s="81"/>
      <c r="T614" s="82">
        <f t="shared" si="292"/>
        <v>0.58689378757515</v>
      </c>
      <c r="U614" s="81"/>
      <c r="V614" s="81"/>
      <c r="W614" s="83">
        <f t="shared" si="286"/>
        <v>269.041803607214</v>
      </c>
      <c r="X614" s="84">
        <f t="shared" si="293"/>
        <v>5.14789579158317</v>
      </c>
      <c r="Y614" s="84"/>
      <c r="Z614" s="84"/>
      <c r="AA614" s="84">
        <f t="shared" si="289"/>
        <v>5.14789579158317</v>
      </c>
      <c r="AB614" s="94">
        <v>7.17</v>
      </c>
      <c r="AC614" s="81">
        <f t="shared" si="290"/>
        <v>36.9104128256513</v>
      </c>
      <c r="AD614" s="81">
        <f t="shared" si="287"/>
        <v>305.952216432866</v>
      </c>
      <c r="AE614" s="81">
        <f t="shared" si="288"/>
        <v>117.647783567134</v>
      </c>
    </row>
    <row r="615" customFormat="1" spans="1:31">
      <c r="A615" s="19"/>
      <c r="B615" s="20"/>
      <c r="C615" s="21">
        <v>240115000020</v>
      </c>
      <c r="D615" s="22">
        <v>45312</v>
      </c>
      <c r="E615" s="22" t="s">
        <v>37</v>
      </c>
      <c r="F615" s="20" t="s">
        <v>38</v>
      </c>
      <c r="G615" s="20" t="s">
        <v>424</v>
      </c>
      <c r="H615" s="20">
        <v>4.5</v>
      </c>
      <c r="I615" s="43">
        <v>473.4</v>
      </c>
      <c r="J615" s="44"/>
      <c r="K615" s="45"/>
      <c r="L615" s="44"/>
      <c r="M615" s="46"/>
      <c r="N615" s="20"/>
      <c r="O615" s="48">
        <f t="shared" si="295"/>
        <v>473.4</v>
      </c>
      <c r="P615" s="54"/>
      <c r="Q615" s="54"/>
      <c r="R615" s="81">
        <f t="shared" si="291"/>
        <v>201.341182364729</v>
      </c>
      <c r="S615" s="81"/>
      <c r="T615" s="82">
        <f t="shared" si="292"/>
        <v>0.440170340681363</v>
      </c>
      <c r="U615" s="81"/>
      <c r="V615" s="81"/>
      <c r="W615" s="83">
        <f t="shared" si="286"/>
        <v>201.781352705411</v>
      </c>
      <c r="X615" s="84">
        <f t="shared" si="293"/>
        <v>3.86092184368738</v>
      </c>
      <c r="Y615" s="84"/>
      <c r="Z615" s="84"/>
      <c r="AA615" s="84">
        <f t="shared" si="289"/>
        <v>3.86092184368738</v>
      </c>
      <c r="AB615" s="94">
        <v>7.17</v>
      </c>
      <c r="AC615" s="81">
        <f t="shared" si="290"/>
        <v>27.6828096192385</v>
      </c>
      <c r="AD615" s="81">
        <f t="shared" si="287"/>
        <v>229.464162324649</v>
      </c>
      <c r="AE615" s="81">
        <f t="shared" si="288"/>
        <v>243.935837675351</v>
      </c>
    </row>
    <row r="616" customFormat="1" spans="1:31">
      <c r="A616" s="19"/>
      <c r="B616" s="20"/>
      <c r="C616" s="21">
        <v>240115000021</v>
      </c>
      <c r="D616" s="22">
        <v>45312</v>
      </c>
      <c r="E616" s="22" t="s">
        <v>41</v>
      </c>
      <c r="F616" s="20" t="s">
        <v>42</v>
      </c>
      <c r="G616" s="20" t="s">
        <v>425</v>
      </c>
      <c r="H616" s="20">
        <v>5</v>
      </c>
      <c r="I616" s="43">
        <v>363.6</v>
      </c>
      <c r="J616" s="44"/>
      <c r="K616" s="45"/>
      <c r="L616" s="44"/>
      <c r="M616" s="46"/>
      <c r="N616" s="20"/>
      <c r="O616" s="48">
        <f t="shared" si="295"/>
        <v>363.6</v>
      </c>
      <c r="P616" s="54"/>
      <c r="Q616" s="54"/>
      <c r="R616" s="81">
        <f t="shared" si="291"/>
        <v>223.712424849699</v>
      </c>
      <c r="S616" s="81"/>
      <c r="T616" s="82">
        <f t="shared" si="292"/>
        <v>0.489078156312625</v>
      </c>
      <c r="U616" s="81"/>
      <c r="V616" s="81"/>
      <c r="W616" s="83">
        <f t="shared" si="286"/>
        <v>224.201503006012</v>
      </c>
      <c r="X616" s="84">
        <f t="shared" si="293"/>
        <v>4.28991315965264</v>
      </c>
      <c r="Y616" s="84"/>
      <c r="Z616" s="84"/>
      <c r="AA616" s="84">
        <f t="shared" si="289"/>
        <v>4.28991315965264</v>
      </c>
      <c r="AB616" s="94">
        <v>7.17</v>
      </c>
      <c r="AC616" s="81">
        <f t="shared" si="290"/>
        <v>30.7586773547094</v>
      </c>
      <c r="AD616" s="81">
        <f t="shared" si="287"/>
        <v>254.960180360721</v>
      </c>
      <c r="AE616" s="81">
        <f t="shared" si="288"/>
        <v>108.639819639279</v>
      </c>
    </row>
    <row r="617" customFormat="1" spans="1:31">
      <c r="A617" s="19"/>
      <c r="B617" s="20"/>
      <c r="C617" s="21">
        <v>240115000023</v>
      </c>
      <c r="D617" s="22">
        <v>45312</v>
      </c>
      <c r="E617" s="22" t="s">
        <v>37</v>
      </c>
      <c r="F617" s="20" t="s">
        <v>38</v>
      </c>
      <c r="G617" s="20" t="s">
        <v>315</v>
      </c>
      <c r="H617" s="20">
        <v>1.5</v>
      </c>
      <c r="I617" s="43">
        <v>102.6</v>
      </c>
      <c r="J617" s="44"/>
      <c r="K617" s="45"/>
      <c r="L617" s="44"/>
      <c r="M617" s="46"/>
      <c r="N617" s="20"/>
      <c r="O617" s="48">
        <f t="shared" si="295"/>
        <v>102.6</v>
      </c>
      <c r="P617" s="54"/>
      <c r="Q617" s="54"/>
      <c r="R617" s="81">
        <f t="shared" si="291"/>
        <v>67.1137274549098</v>
      </c>
      <c r="S617" s="81"/>
      <c r="T617" s="82">
        <f t="shared" si="292"/>
        <v>0.146723446893788</v>
      </c>
      <c r="U617" s="81"/>
      <c r="V617" s="81"/>
      <c r="W617" s="83">
        <f t="shared" si="286"/>
        <v>67.2604509018036</v>
      </c>
      <c r="X617" s="84">
        <f t="shared" si="293"/>
        <v>1.28697394789579</v>
      </c>
      <c r="Y617" s="84"/>
      <c r="Z617" s="84"/>
      <c r="AA617" s="84">
        <f t="shared" si="289"/>
        <v>1.28697394789579</v>
      </c>
      <c r="AB617" s="94">
        <v>7.17</v>
      </c>
      <c r="AC617" s="81">
        <f t="shared" si="290"/>
        <v>9.22760320641283</v>
      </c>
      <c r="AD617" s="81">
        <f t="shared" si="287"/>
        <v>76.4880541082164</v>
      </c>
      <c r="AE617" s="81">
        <f t="shared" si="288"/>
        <v>26.1119458917836</v>
      </c>
    </row>
    <row r="618" customFormat="1" spans="1:31">
      <c r="A618" s="19"/>
      <c r="B618" s="20"/>
      <c r="C618" s="21">
        <v>240115000027</v>
      </c>
      <c r="D618" s="22">
        <v>45312</v>
      </c>
      <c r="E618" s="22" t="s">
        <v>41</v>
      </c>
      <c r="F618" s="20" t="s">
        <v>42</v>
      </c>
      <c r="G618" s="20" t="s">
        <v>366</v>
      </c>
      <c r="H618" s="20">
        <v>1.5</v>
      </c>
      <c r="I618" s="43">
        <v>130.2</v>
      </c>
      <c r="J618" s="44"/>
      <c r="K618" s="45"/>
      <c r="L618" s="44"/>
      <c r="M618" s="46"/>
      <c r="N618" s="20"/>
      <c r="O618" s="48">
        <f t="shared" si="295"/>
        <v>130.2</v>
      </c>
      <c r="P618" s="54"/>
      <c r="Q618" s="54"/>
      <c r="R618" s="81">
        <f t="shared" si="291"/>
        <v>67.1137274549098</v>
      </c>
      <c r="S618" s="81"/>
      <c r="T618" s="82">
        <f t="shared" si="292"/>
        <v>0.146723446893788</v>
      </c>
      <c r="U618" s="81"/>
      <c r="V618" s="81"/>
      <c r="W618" s="83">
        <f t="shared" si="286"/>
        <v>67.2604509018036</v>
      </c>
      <c r="X618" s="84">
        <f t="shared" si="293"/>
        <v>1.28697394789579</v>
      </c>
      <c r="Y618" s="84"/>
      <c r="Z618" s="84"/>
      <c r="AA618" s="84">
        <f t="shared" si="289"/>
        <v>1.28697394789579</v>
      </c>
      <c r="AB618" s="94">
        <v>7.17</v>
      </c>
      <c r="AC618" s="81">
        <f t="shared" si="290"/>
        <v>9.22760320641283</v>
      </c>
      <c r="AD618" s="81">
        <f t="shared" si="287"/>
        <v>76.4880541082164</v>
      </c>
      <c r="AE618" s="81">
        <f t="shared" si="288"/>
        <v>53.7119458917836</v>
      </c>
    </row>
    <row r="619" customFormat="1" spans="1:31">
      <c r="A619" s="19"/>
      <c r="B619" s="20"/>
      <c r="C619" s="21">
        <v>240115000032</v>
      </c>
      <c r="D619" s="22">
        <v>45312</v>
      </c>
      <c r="E619" s="25" t="s">
        <v>69</v>
      </c>
      <c r="F619" s="20" t="s">
        <v>69</v>
      </c>
      <c r="G619" s="20" t="s">
        <v>426</v>
      </c>
      <c r="H619" s="20">
        <v>14.5</v>
      </c>
      <c r="I619" s="57">
        <v>1010</v>
      </c>
      <c r="J619" s="55"/>
      <c r="K619" s="58"/>
      <c r="L619" s="55"/>
      <c r="M619" s="46"/>
      <c r="N619" s="20"/>
      <c r="O619" s="48">
        <f>SUBTOTAL(9,I619)</f>
        <v>1010</v>
      </c>
      <c r="P619" s="54"/>
      <c r="Q619" s="54"/>
      <c r="R619" s="81">
        <f t="shared" si="291"/>
        <v>648.766032064128</v>
      </c>
      <c r="S619" s="81"/>
      <c r="T619" s="82">
        <f t="shared" si="292"/>
        <v>1.41832665330661</v>
      </c>
      <c r="U619" s="81"/>
      <c r="V619" s="81"/>
      <c r="W619" s="83">
        <f t="shared" si="286"/>
        <v>650.184358717435</v>
      </c>
      <c r="X619" s="84">
        <f t="shared" si="293"/>
        <v>12.4407481629927</v>
      </c>
      <c r="Y619" s="84"/>
      <c r="Z619" s="84"/>
      <c r="AA619" s="84">
        <f t="shared" si="289"/>
        <v>12.4407481629927</v>
      </c>
      <c r="AB619" s="94">
        <v>7.17</v>
      </c>
      <c r="AC619" s="81">
        <f t="shared" si="290"/>
        <v>89.2001643286573</v>
      </c>
      <c r="AD619" s="81">
        <f t="shared" si="287"/>
        <v>739.384523046092</v>
      </c>
      <c r="AE619" s="81">
        <f t="shared" si="288"/>
        <v>270.615476953908</v>
      </c>
    </row>
    <row r="620" customFormat="1" spans="1:31">
      <c r="A620" s="19"/>
      <c r="B620" s="20"/>
      <c r="C620" s="21">
        <v>240115000036</v>
      </c>
      <c r="D620" s="22">
        <v>45312</v>
      </c>
      <c r="E620" s="25" t="s">
        <v>69</v>
      </c>
      <c r="F620" s="20" t="s">
        <v>69</v>
      </c>
      <c r="G620" s="20" t="s">
        <v>427</v>
      </c>
      <c r="H620" s="20">
        <v>66.5</v>
      </c>
      <c r="I620" s="43">
        <v>4398.6</v>
      </c>
      <c r="J620" s="44"/>
      <c r="K620" s="45"/>
      <c r="L620" s="44"/>
      <c r="M620" s="46"/>
      <c r="N620" s="20"/>
      <c r="O620" s="48">
        <f t="shared" ref="O620:O628" si="296">SUM(I620)</f>
        <v>4398.6</v>
      </c>
      <c r="P620" s="54"/>
      <c r="Q620" s="54"/>
      <c r="R620" s="81">
        <f t="shared" si="291"/>
        <v>2975.375250501</v>
      </c>
      <c r="S620" s="81"/>
      <c r="T620" s="82">
        <f t="shared" si="292"/>
        <v>6.50473947895792</v>
      </c>
      <c r="U620" s="81"/>
      <c r="V620" s="81"/>
      <c r="W620" s="83">
        <f t="shared" si="286"/>
        <v>2981.87998997996</v>
      </c>
      <c r="X620" s="84">
        <f t="shared" si="293"/>
        <v>57.0558450233801</v>
      </c>
      <c r="Y620" s="84"/>
      <c r="Z620" s="84"/>
      <c r="AA620" s="84">
        <f t="shared" si="289"/>
        <v>57.0558450233801</v>
      </c>
      <c r="AB620" s="94">
        <v>7.17</v>
      </c>
      <c r="AC620" s="81">
        <f t="shared" si="290"/>
        <v>409.090408817635</v>
      </c>
      <c r="AD620" s="81">
        <f t="shared" si="287"/>
        <v>3390.9703987976</v>
      </c>
      <c r="AE620" s="81">
        <f t="shared" si="288"/>
        <v>1007.6296012024</v>
      </c>
    </row>
    <row r="621" customFormat="1" spans="1:31">
      <c r="A621" s="19"/>
      <c r="B621" s="20"/>
      <c r="C621" s="21">
        <v>240115000040</v>
      </c>
      <c r="D621" s="22">
        <v>45312</v>
      </c>
      <c r="E621" s="22" t="s">
        <v>58</v>
      </c>
      <c r="F621" s="20" t="s">
        <v>59</v>
      </c>
      <c r="G621" s="20" t="s">
        <v>182</v>
      </c>
      <c r="H621" s="20">
        <v>2.5</v>
      </c>
      <c r="I621" s="43">
        <v>214.2</v>
      </c>
      <c r="J621" s="44"/>
      <c r="K621" s="45"/>
      <c r="L621" s="44"/>
      <c r="M621" s="46"/>
      <c r="N621" s="20"/>
      <c r="O621" s="48">
        <f t="shared" si="296"/>
        <v>214.2</v>
      </c>
      <c r="P621" s="54"/>
      <c r="Q621" s="54"/>
      <c r="R621" s="81">
        <f t="shared" si="291"/>
        <v>111.85621242485</v>
      </c>
      <c r="S621" s="81"/>
      <c r="T621" s="82">
        <f t="shared" si="292"/>
        <v>0.244539078156313</v>
      </c>
      <c r="U621" s="81"/>
      <c r="V621" s="81"/>
      <c r="W621" s="83">
        <f t="shared" si="286"/>
        <v>112.100751503006</v>
      </c>
      <c r="X621" s="84">
        <f t="shared" si="293"/>
        <v>2.14495657982632</v>
      </c>
      <c r="Y621" s="84"/>
      <c r="Z621" s="84"/>
      <c r="AA621" s="84">
        <f t="shared" si="289"/>
        <v>2.14495657982632</v>
      </c>
      <c r="AB621" s="94">
        <v>7.17</v>
      </c>
      <c r="AC621" s="81">
        <f t="shared" si="290"/>
        <v>15.3793386773547</v>
      </c>
      <c r="AD621" s="81">
        <f t="shared" si="287"/>
        <v>127.480090180361</v>
      </c>
      <c r="AE621" s="81">
        <f t="shared" si="288"/>
        <v>86.719909819639</v>
      </c>
    </row>
    <row r="622" customFormat="1" spans="1:31">
      <c r="A622" s="19"/>
      <c r="B622" s="20"/>
      <c r="C622" s="23">
        <v>240115000049</v>
      </c>
      <c r="D622" s="24">
        <v>45312</v>
      </c>
      <c r="E622" s="22" t="s">
        <v>99</v>
      </c>
      <c r="F622" s="26" t="s">
        <v>275</v>
      </c>
      <c r="G622" s="26" t="s">
        <v>276</v>
      </c>
      <c r="H622" s="26">
        <v>4</v>
      </c>
      <c r="I622" s="50"/>
      <c r="J622" s="51">
        <v>64288</v>
      </c>
      <c r="K622" s="52"/>
      <c r="L622" s="51">
        <f>SUM(J622/M622)</f>
        <v>1547.98940524922</v>
      </c>
      <c r="M622" s="100">
        <v>41.53</v>
      </c>
      <c r="N622" s="20">
        <v>7.17</v>
      </c>
      <c r="O622" s="48">
        <f>SUM(M622*N622)</f>
        <v>297.7701</v>
      </c>
      <c r="P622" s="54"/>
      <c r="Q622" s="54"/>
      <c r="R622" s="81">
        <f t="shared" si="291"/>
        <v>178.96993987976</v>
      </c>
      <c r="S622" s="81"/>
      <c r="T622" s="82">
        <f t="shared" si="292"/>
        <v>0.3912625250501</v>
      </c>
      <c r="U622" s="81">
        <v>40</v>
      </c>
      <c r="V622" s="81"/>
      <c r="W622" s="83">
        <f t="shared" si="286"/>
        <v>219.36120240481</v>
      </c>
      <c r="X622" s="84">
        <f t="shared" si="293"/>
        <v>3.43193052772211</v>
      </c>
      <c r="Y622" s="84"/>
      <c r="Z622" s="84"/>
      <c r="AA622" s="84">
        <f t="shared" si="289"/>
        <v>3.43193052772211</v>
      </c>
      <c r="AB622" s="94">
        <v>7.17</v>
      </c>
      <c r="AC622" s="81">
        <f t="shared" si="290"/>
        <v>24.6069418837675</v>
      </c>
      <c r="AD622" s="81">
        <f t="shared" si="287"/>
        <v>243.968144288577</v>
      </c>
      <c r="AE622" s="81">
        <f t="shared" si="288"/>
        <v>53.801955711423</v>
      </c>
    </row>
    <row r="623" customFormat="1" spans="1:31">
      <c r="A623" s="19"/>
      <c r="B623" s="20"/>
      <c r="C623" s="21">
        <v>240115000052</v>
      </c>
      <c r="D623" s="22">
        <v>45312</v>
      </c>
      <c r="E623" s="22" t="s">
        <v>37</v>
      </c>
      <c r="F623" s="20" t="s">
        <v>38</v>
      </c>
      <c r="G623" s="20" t="s">
        <v>428</v>
      </c>
      <c r="H623" s="20">
        <v>4</v>
      </c>
      <c r="I623" s="43">
        <v>267.6</v>
      </c>
      <c r="J623" s="44"/>
      <c r="K623" s="45"/>
      <c r="L623" s="44"/>
      <c r="M623" s="46"/>
      <c r="N623" s="20"/>
      <c r="O623" s="48">
        <f t="shared" si="296"/>
        <v>267.6</v>
      </c>
      <c r="P623" s="54"/>
      <c r="Q623" s="54"/>
      <c r="R623" s="81">
        <f t="shared" si="291"/>
        <v>178.96993987976</v>
      </c>
      <c r="S623" s="81"/>
      <c r="T623" s="82">
        <f t="shared" si="292"/>
        <v>0.3912625250501</v>
      </c>
      <c r="U623" s="81"/>
      <c r="V623" s="81"/>
      <c r="W623" s="83">
        <f t="shared" si="286"/>
        <v>179.36120240481</v>
      </c>
      <c r="X623" s="84">
        <f t="shared" si="293"/>
        <v>3.43193052772211</v>
      </c>
      <c r="Y623" s="84"/>
      <c r="Z623" s="84"/>
      <c r="AA623" s="84">
        <f t="shared" si="289"/>
        <v>3.43193052772211</v>
      </c>
      <c r="AB623" s="94">
        <v>7.17</v>
      </c>
      <c r="AC623" s="81">
        <f t="shared" si="290"/>
        <v>24.6069418837675</v>
      </c>
      <c r="AD623" s="81">
        <f t="shared" si="287"/>
        <v>203.968144288577</v>
      </c>
      <c r="AE623" s="81">
        <f t="shared" si="288"/>
        <v>63.631855711423</v>
      </c>
    </row>
    <row r="624" customFormat="1" spans="1:31">
      <c r="A624" s="19"/>
      <c r="B624" s="20"/>
      <c r="C624" s="21">
        <v>240115000056</v>
      </c>
      <c r="D624" s="22">
        <v>45312</v>
      </c>
      <c r="E624" s="22" t="s">
        <v>44</v>
      </c>
      <c r="F624" s="20" t="s">
        <v>45</v>
      </c>
      <c r="G624" s="20" t="s">
        <v>429</v>
      </c>
      <c r="H624" s="20">
        <v>23</v>
      </c>
      <c r="I624" s="43">
        <v>1528</v>
      </c>
      <c r="J624" s="44"/>
      <c r="K624" s="45"/>
      <c r="L624" s="44"/>
      <c r="M624" s="46"/>
      <c r="N624" s="20"/>
      <c r="O624" s="48">
        <f t="shared" si="296"/>
        <v>1528</v>
      </c>
      <c r="P624" s="54"/>
      <c r="Q624" s="54"/>
      <c r="R624" s="81">
        <f t="shared" si="291"/>
        <v>1029.07715430862</v>
      </c>
      <c r="S624" s="81"/>
      <c r="T624" s="82">
        <f t="shared" si="292"/>
        <v>2.24975951903808</v>
      </c>
      <c r="U624" s="81"/>
      <c r="V624" s="81"/>
      <c r="W624" s="83">
        <f t="shared" si="286"/>
        <v>1031.32691382766</v>
      </c>
      <c r="X624" s="84">
        <f t="shared" si="293"/>
        <v>19.7336005344021</v>
      </c>
      <c r="Y624" s="84"/>
      <c r="Z624" s="84"/>
      <c r="AA624" s="84">
        <f t="shared" si="289"/>
        <v>19.7336005344021</v>
      </c>
      <c r="AB624" s="94">
        <v>7.17</v>
      </c>
      <c r="AC624" s="81">
        <f t="shared" si="290"/>
        <v>141.489915831663</v>
      </c>
      <c r="AD624" s="81">
        <f t="shared" si="287"/>
        <v>1172.81682965932</v>
      </c>
      <c r="AE624" s="81">
        <f t="shared" si="288"/>
        <v>355.18317034068</v>
      </c>
    </row>
    <row r="625" customFormat="1" spans="1:31">
      <c r="A625" s="19"/>
      <c r="B625" s="20"/>
      <c r="C625" s="21">
        <v>240116000003</v>
      </c>
      <c r="D625" s="22">
        <v>45312</v>
      </c>
      <c r="E625" s="22" t="s">
        <v>44</v>
      </c>
      <c r="F625" s="20" t="s">
        <v>45</v>
      </c>
      <c r="G625" s="20" t="s">
        <v>368</v>
      </c>
      <c r="H625" s="20">
        <v>4.5</v>
      </c>
      <c r="I625" s="43">
        <v>315</v>
      </c>
      <c r="J625" s="44"/>
      <c r="K625" s="45"/>
      <c r="L625" s="44"/>
      <c r="M625" s="46"/>
      <c r="N625" s="20"/>
      <c r="O625" s="48">
        <f t="shared" si="296"/>
        <v>315</v>
      </c>
      <c r="P625" s="54"/>
      <c r="Q625" s="54"/>
      <c r="R625" s="81">
        <f t="shared" si="291"/>
        <v>201.341182364729</v>
      </c>
      <c r="S625" s="81"/>
      <c r="T625" s="82">
        <f t="shared" si="292"/>
        <v>0.440170340681363</v>
      </c>
      <c r="U625" s="81"/>
      <c r="V625" s="81"/>
      <c r="W625" s="83">
        <f t="shared" si="286"/>
        <v>201.781352705411</v>
      </c>
      <c r="X625" s="84">
        <f t="shared" si="293"/>
        <v>3.86092184368738</v>
      </c>
      <c r="Y625" s="84"/>
      <c r="Z625" s="84"/>
      <c r="AA625" s="84">
        <f t="shared" si="289"/>
        <v>3.86092184368738</v>
      </c>
      <c r="AB625" s="94">
        <v>7.17</v>
      </c>
      <c r="AC625" s="81">
        <f t="shared" si="290"/>
        <v>27.6828096192385</v>
      </c>
      <c r="AD625" s="81">
        <f t="shared" si="287"/>
        <v>229.464162324649</v>
      </c>
      <c r="AE625" s="81">
        <f t="shared" si="288"/>
        <v>85.535837675351</v>
      </c>
    </row>
    <row r="626" customFormat="1" spans="1:31">
      <c r="A626" s="19"/>
      <c r="B626" s="20"/>
      <c r="C626" s="21">
        <v>240116000008</v>
      </c>
      <c r="D626" s="22">
        <v>45312</v>
      </c>
      <c r="E626" s="22" t="s">
        <v>44</v>
      </c>
      <c r="F626" s="20" t="s">
        <v>45</v>
      </c>
      <c r="G626" s="20" t="s">
        <v>430</v>
      </c>
      <c r="H626" s="20">
        <v>0.98</v>
      </c>
      <c r="I626" s="43">
        <v>88</v>
      </c>
      <c r="J626" s="44"/>
      <c r="K626" s="45"/>
      <c r="L626" s="44"/>
      <c r="M626" s="46"/>
      <c r="N626" s="20"/>
      <c r="O626" s="48">
        <f t="shared" si="296"/>
        <v>88</v>
      </c>
      <c r="P626" s="54"/>
      <c r="Q626" s="54"/>
      <c r="R626" s="81">
        <f t="shared" si="291"/>
        <v>43.8476352705411</v>
      </c>
      <c r="S626" s="81"/>
      <c r="T626" s="82">
        <f t="shared" si="292"/>
        <v>0.0958593186372746</v>
      </c>
      <c r="U626" s="81"/>
      <c r="V626" s="81"/>
      <c r="W626" s="83">
        <f t="shared" si="286"/>
        <v>43.9434945891784</v>
      </c>
      <c r="X626" s="84">
        <f t="shared" si="293"/>
        <v>0.840822979291917</v>
      </c>
      <c r="Y626" s="84"/>
      <c r="Z626" s="84"/>
      <c r="AA626" s="84">
        <f t="shared" si="289"/>
        <v>0.840822979291917</v>
      </c>
      <c r="AB626" s="94">
        <v>7.17</v>
      </c>
      <c r="AC626" s="81">
        <f t="shared" si="290"/>
        <v>6.02870076152305</v>
      </c>
      <c r="AD626" s="81">
        <f t="shared" si="287"/>
        <v>49.9721953507014</v>
      </c>
      <c r="AE626" s="81">
        <f t="shared" si="288"/>
        <v>38.0278046492986</v>
      </c>
    </row>
    <row r="627" customFormat="1" spans="1:31">
      <c r="A627" s="19"/>
      <c r="B627" s="20"/>
      <c r="C627" s="21">
        <v>240116000011</v>
      </c>
      <c r="D627" s="22">
        <v>45312</v>
      </c>
      <c r="E627" s="22" t="s">
        <v>44</v>
      </c>
      <c r="F627" s="20" t="s">
        <v>45</v>
      </c>
      <c r="G627" s="20" t="s">
        <v>430</v>
      </c>
      <c r="H627" s="20">
        <v>2.5</v>
      </c>
      <c r="I627" s="43">
        <v>183.5</v>
      </c>
      <c r="J627" s="44"/>
      <c r="K627" s="45"/>
      <c r="L627" s="44"/>
      <c r="M627" s="46"/>
      <c r="N627" s="20"/>
      <c r="O627" s="48">
        <f t="shared" si="296"/>
        <v>183.5</v>
      </c>
      <c r="P627" s="54"/>
      <c r="Q627" s="54"/>
      <c r="R627" s="81">
        <f t="shared" si="291"/>
        <v>111.85621242485</v>
      </c>
      <c r="S627" s="81"/>
      <c r="T627" s="82">
        <f t="shared" si="292"/>
        <v>0.244539078156313</v>
      </c>
      <c r="U627" s="81"/>
      <c r="V627" s="81"/>
      <c r="W627" s="83">
        <f t="shared" si="286"/>
        <v>112.100751503006</v>
      </c>
      <c r="X627" s="84">
        <f t="shared" si="293"/>
        <v>2.14495657982632</v>
      </c>
      <c r="Y627" s="84"/>
      <c r="Z627" s="84"/>
      <c r="AA627" s="84">
        <f t="shared" si="289"/>
        <v>2.14495657982632</v>
      </c>
      <c r="AB627" s="94">
        <v>7.17</v>
      </c>
      <c r="AC627" s="81">
        <f t="shared" si="290"/>
        <v>15.3793386773547</v>
      </c>
      <c r="AD627" s="81">
        <f t="shared" si="287"/>
        <v>127.480090180361</v>
      </c>
      <c r="AE627" s="81">
        <f t="shared" si="288"/>
        <v>56.019909819639</v>
      </c>
    </row>
    <row r="628" customFormat="1" spans="1:31">
      <c r="A628" s="19"/>
      <c r="B628" s="20"/>
      <c r="C628" s="21">
        <v>240116000016</v>
      </c>
      <c r="D628" s="22">
        <v>45312</v>
      </c>
      <c r="E628" s="25" t="s">
        <v>69</v>
      </c>
      <c r="F628" s="20" t="s">
        <v>69</v>
      </c>
      <c r="G628" s="20" t="s">
        <v>396</v>
      </c>
      <c r="H628" s="20">
        <v>83.5</v>
      </c>
      <c r="I628" s="43">
        <v>7682</v>
      </c>
      <c r="J628" s="44"/>
      <c r="K628" s="45"/>
      <c r="L628" s="44"/>
      <c r="M628" s="46"/>
      <c r="N628" s="20"/>
      <c r="O628" s="48">
        <f t="shared" si="296"/>
        <v>7682</v>
      </c>
      <c r="P628" s="54"/>
      <c r="Q628" s="54"/>
      <c r="R628" s="81">
        <f t="shared" si="291"/>
        <v>3735.99749498998</v>
      </c>
      <c r="S628" s="81"/>
      <c r="T628" s="82">
        <f t="shared" si="292"/>
        <v>8.16760521042084</v>
      </c>
      <c r="U628" s="81"/>
      <c r="V628" s="81"/>
      <c r="W628" s="83">
        <f t="shared" si="286"/>
        <v>3744.1651002004</v>
      </c>
      <c r="X628" s="84">
        <f t="shared" si="293"/>
        <v>71.6415497661991</v>
      </c>
      <c r="Y628" s="84"/>
      <c r="Z628" s="84"/>
      <c r="AA628" s="84">
        <f t="shared" si="289"/>
        <v>71.6415497661991</v>
      </c>
      <c r="AB628" s="94">
        <v>7.17</v>
      </c>
      <c r="AC628" s="81">
        <f t="shared" si="290"/>
        <v>513.669911823647</v>
      </c>
      <c r="AD628" s="81">
        <f t="shared" si="287"/>
        <v>4257.83501202405</v>
      </c>
      <c r="AE628" s="81">
        <f t="shared" si="288"/>
        <v>3424.16498797595</v>
      </c>
    </row>
    <row r="629" customFormat="1" spans="1:31">
      <c r="A629" s="19"/>
      <c r="B629" s="20"/>
      <c r="C629" s="21">
        <v>240116000022</v>
      </c>
      <c r="D629" s="22">
        <v>45312</v>
      </c>
      <c r="E629" s="22" t="s">
        <v>37</v>
      </c>
      <c r="F629" s="20" t="s">
        <v>38</v>
      </c>
      <c r="G629" s="20" t="s">
        <v>431</v>
      </c>
      <c r="H629" s="20">
        <v>9.5</v>
      </c>
      <c r="I629" s="50"/>
      <c r="J629" s="51">
        <v>157600</v>
      </c>
      <c r="K629" s="52"/>
      <c r="L629" s="51">
        <f>SUM(J629/M629)</f>
        <v>1412.56610199875</v>
      </c>
      <c r="M629" s="53">
        <v>111.57</v>
      </c>
      <c r="N629" s="20">
        <v>7.17</v>
      </c>
      <c r="O629" s="48">
        <f>SUM(M629*N629)</f>
        <v>799.9569</v>
      </c>
      <c r="P629" s="54"/>
      <c r="Q629" s="54"/>
      <c r="R629" s="81">
        <f t="shared" si="291"/>
        <v>425.053607214429</v>
      </c>
      <c r="S629" s="81"/>
      <c r="T629" s="82">
        <f t="shared" si="292"/>
        <v>0.929248496993988</v>
      </c>
      <c r="U629" s="81"/>
      <c r="V629" s="81"/>
      <c r="W629" s="83">
        <f t="shared" si="286"/>
        <v>425.982855711423</v>
      </c>
      <c r="X629" s="84">
        <f t="shared" si="293"/>
        <v>8.15083500334001</v>
      </c>
      <c r="Y629" s="84"/>
      <c r="Z629" s="84"/>
      <c r="AA629" s="84">
        <f t="shared" si="289"/>
        <v>8.15083500334001</v>
      </c>
      <c r="AB629" s="94">
        <v>7.17</v>
      </c>
      <c r="AC629" s="81">
        <f t="shared" si="290"/>
        <v>58.4414869739479</v>
      </c>
      <c r="AD629" s="81">
        <f t="shared" si="287"/>
        <v>484.424342685371</v>
      </c>
      <c r="AE629" s="81">
        <f t="shared" si="288"/>
        <v>315.532557314629</v>
      </c>
    </row>
    <row r="630" customFormat="1" spans="1:31">
      <c r="A630" s="19"/>
      <c r="B630" s="20"/>
      <c r="C630" s="21">
        <v>240116000025</v>
      </c>
      <c r="D630" s="22">
        <v>45312</v>
      </c>
      <c r="E630" s="25" t="s">
        <v>69</v>
      </c>
      <c r="F630" s="20" t="s">
        <v>69</v>
      </c>
      <c r="G630" s="20" t="s">
        <v>130</v>
      </c>
      <c r="H630" s="20">
        <v>184</v>
      </c>
      <c r="I630" s="43">
        <v>9889.5</v>
      </c>
      <c r="J630" s="44"/>
      <c r="K630" s="45"/>
      <c r="L630" s="44"/>
      <c r="M630" s="46"/>
      <c r="N630" s="20"/>
      <c r="O630" s="48">
        <f t="shared" ref="O630:O637" si="297">SUM(I630)</f>
        <v>9889.5</v>
      </c>
      <c r="P630" s="54"/>
      <c r="Q630" s="54"/>
      <c r="R630" s="81">
        <f t="shared" si="291"/>
        <v>8232.61723446894</v>
      </c>
      <c r="S630" s="81"/>
      <c r="T630" s="82">
        <f t="shared" si="292"/>
        <v>17.9980761523046</v>
      </c>
      <c r="U630" s="81"/>
      <c r="V630" s="81"/>
      <c r="W630" s="83">
        <f t="shared" si="286"/>
        <v>8250.61531062124</v>
      </c>
      <c r="X630" s="84">
        <f t="shared" si="293"/>
        <v>157.868804275217</v>
      </c>
      <c r="Y630" s="84"/>
      <c r="Z630" s="84"/>
      <c r="AA630" s="84">
        <f t="shared" si="289"/>
        <v>157.868804275217</v>
      </c>
      <c r="AB630" s="94">
        <v>7.17</v>
      </c>
      <c r="AC630" s="81">
        <f t="shared" si="290"/>
        <v>1131.91932665331</v>
      </c>
      <c r="AD630" s="81">
        <f t="shared" si="287"/>
        <v>9382.53463727455</v>
      </c>
      <c r="AE630" s="81">
        <f t="shared" si="288"/>
        <v>506.96536272545</v>
      </c>
    </row>
    <row r="631" customFormat="1" spans="1:31">
      <c r="A631" s="19"/>
      <c r="B631" s="20"/>
      <c r="C631" s="21">
        <v>240116000026</v>
      </c>
      <c r="D631" s="22">
        <v>45312</v>
      </c>
      <c r="E631" s="22" t="s">
        <v>44</v>
      </c>
      <c r="F631" s="20" t="s">
        <v>45</v>
      </c>
      <c r="G631" s="20" t="s">
        <v>183</v>
      </c>
      <c r="H631" s="20">
        <v>6.5</v>
      </c>
      <c r="I631" s="43">
        <v>435</v>
      </c>
      <c r="J631" s="44"/>
      <c r="K631" s="45"/>
      <c r="L631" s="44"/>
      <c r="M631" s="46"/>
      <c r="N631" s="20"/>
      <c r="O631" s="48">
        <f t="shared" si="297"/>
        <v>435</v>
      </c>
      <c r="P631" s="54"/>
      <c r="Q631" s="54"/>
      <c r="R631" s="81">
        <f t="shared" si="291"/>
        <v>290.826152304609</v>
      </c>
      <c r="S631" s="81"/>
      <c r="T631" s="82">
        <f t="shared" si="292"/>
        <v>0.635801603206413</v>
      </c>
      <c r="U631" s="81">
        <v>30</v>
      </c>
      <c r="V631" s="81"/>
      <c r="W631" s="83">
        <f t="shared" si="286"/>
        <v>321.461953907816</v>
      </c>
      <c r="X631" s="84">
        <f t="shared" si="293"/>
        <v>5.57688710754843</v>
      </c>
      <c r="Y631" s="84"/>
      <c r="Z631" s="84"/>
      <c r="AA631" s="84">
        <f t="shared" si="289"/>
        <v>5.57688710754843</v>
      </c>
      <c r="AB631" s="94">
        <v>7.17</v>
      </c>
      <c r="AC631" s="81">
        <f t="shared" si="290"/>
        <v>39.9862805611222</v>
      </c>
      <c r="AD631" s="81">
        <f t="shared" si="287"/>
        <v>361.448234468938</v>
      </c>
      <c r="AE631" s="81">
        <f t="shared" si="288"/>
        <v>73.551765531062</v>
      </c>
    </row>
    <row r="632" customFormat="1" spans="1:31">
      <c r="A632" s="19"/>
      <c r="B632" s="20"/>
      <c r="C632" s="21">
        <v>240116000027</v>
      </c>
      <c r="D632" s="22">
        <v>45312</v>
      </c>
      <c r="E632" s="25" t="s">
        <v>69</v>
      </c>
      <c r="F632" s="20" t="s">
        <v>69</v>
      </c>
      <c r="G632" s="20" t="s">
        <v>255</v>
      </c>
      <c r="H632" s="20">
        <v>194</v>
      </c>
      <c r="I632" s="57">
        <v>10670</v>
      </c>
      <c r="J632" s="55"/>
      <c r="K632" s="58"/>
      <c r="L632" s="55"/>
      <c r="M632" s="46"/>
      <c r="N632" s="20"/>
      <c r="O632" s="48">
        <f>SUBTOTAL(9,I632)</f>
        <v>10670</v>
      </c>
      <c r="P632" s="54"/>
      <c r="Q632" s="54"/>
      <c r="R632" s="81">
        <f t="shared" si="291"/>
        <v>8680.04208416834</v>
      </c>
      <c r="S632" s="81"/>
      <c r="T632" s="82">
        <f t="shared" si="292"/>
        <v>18.9762324649299</v>
      </c>
      <c r="U632" s="81"/>
      <c r="V632" s="81"/>
      <c r="W632" s="83">
        <f t="shared" si="286"/>
        <v>8699.01831663327</v>
      </c>
      <c r="X632" s="84">
        <f t="shared" si="293"/>
        <v>166.448630594522</v>
      </c>
      <c r="Y632" s="84"/>
      <c r="Z632" s="84"/>
      <c r="AA632" s="84">
        <f t="shared" si="289"/>
        <v>166.448630594522</v>
      </c>
      <c r="AB632" s="94">
        <v>7.17</v>
      </c>
      <c r="AC632" s="81">
        <f t="shared" si="290"/>
        <v>1193.43668136273</v>
      </c>
      <c r="AD632" s="81">
        <f t="shared" si="287"/>
        <v>9892.45499799599</v>
      </c>
      <c r="AE632" s="81">
        <f t="shared" si="288"/>
        <v>777.54500200401</v>
      </c>
    </row>
    <row r="633" customFormat="1" spans="1:31">
      <c r="A633" s="19"/>
      <c r="B633" s="20"/>
      <c r="C633" s="21">
        <v>240117000007</v>
      </c>
      <c r="D633" s="22">
        <v>45312</v>
      </c>
      <c r="E633" s="25" t="s">
        <v>69</v>
      </c>
      <c r="F633" s="20" t="s">
        <v>69</v>
      </c>
      <c r="G633" s="20" t="s">
        <v>175</v>
      </c>
      <c r="H633" s="20">
        <v>656</v>
      </c>
      <c r="I633" s="43">
        <v>33456</v>
      </c>
      <c r="J633" s="44"/>
      <c r="K633" s="45"/>
      <c r="L633" s="44"/>
      <c r="M633" s="46"/>
      <c r="N633" s="20"/>
      <c r="O633" s="48">
        <f t="shared" si="297"/>
        <v>33456</v>
      </c>
      <c r="P633" s="54"/>
      <c r="Q633" s="54"/>
      <c r="R633" s="81">
        <f t="shared" si="291"/>
        <v>29351.0701402806</v>
      </c>
      <c r="S633" s="81"/>
      <c r="T633" s="82">
        <f t="shared" si="292"/>
        <v>64.1670541082164</v>
      </c>
      <c r="U633" s="81"/>
      <c r="V633" s="81"/>
      <c r="W633" s="83">
        <f t="shared" si="286"/>
        <v>29415.2371943888</v>
      </c>
      <c r="X633" s="84">
        <f t="shared" si="293"/>
        <v>562.836606546426</v>
      </c>
      <c r="Y633" s="84"/>
      <c r="Z633" s="84"/>
      <c r="AA633" s="84">
        <f t="shared" si="289"/>
        <v>562.836606546426</v>
      </c>
      <c r="AB633" s="94">
        <v>7.17</v>
      </c>
      <c r="AC633" s="81">
        <f t="shared" si="290"/>
        <v>4035.53846893788</v>
      </c>
      <c r="AD633" s="81">
        <f t="shared" si="287"/>
        <v>33450.7756633267</v>
      </c>
      <c r="AE633" s="81">
        <f t="shared" si="288"/>
        <v>5.22433667330188</v>
      </c>
    </row>
    <row r="634" customFormat="1" spans="1:31">
      <c r="A634" s="19"/>
      <c r="B634" s="20"/>
      <c r="C634" s="21">
        <v>240117000019</v>
      </c>
      <c r="D634" s="22">
        <v>45312</v>
      </c>
      <c r="E634" s="22" t="s">
        <v>41</v>
      </c>
      <c r="F634" s="20" t="s">
        <v>42</v>
      </c>
      <c r="G634" s="20" t="s">
        <v>408</v>
      </c>
      <c r="H634" s="20">
        <v>0.74</v>
      </c>
      <c r="I634" s="43">
        <v>75.6</v>
      </c>
      <c r="J634" s="44"/>
      <c r="K634" s="45"/>
      <c r="L634" s="44"/>
      <c r="M634" s="46"/>
      <c r="N634" s="20"/>
      <c r="O634" s="48">
        <f t="shared" si="297"/>
        <v>75.6</v>
      </c>
      <c r="P634" s="54"/>
      <c r="Q634" s="54"/>
      <c r="R634" s="81">
        <f t="shared" si="291"/>
        <v>33.1094388777555</v>
      </c>
      <c r="S634" s="81"/>
      <c r="T634" s="82">
        <f t="shared" si="292"/>
        <v>0.0723835671342685</v>
      </c>
      <c r="U634" s="81"/>
      <c r="V634" s="81"/>
      <c r="W634" s="83">
        <f t="shared" si="286"/>
        <v>33.1818224448898</v>
      </c>
      <c r="X634" s="84">
        <f t="shared" si="293"/>
        <v>0.634907147628591</v>
      </c>
      <c r="Y634" s="84"/>
      <c r="Z634" s="84"/>
      <c r="AA634" s="84">
        <f t="shared" si="289"/>
        <v>0.634907147628591</v>
      </c>
      <c r="AB634" s="94">
        <v>7.17</v>
      </c>
      <c r="AC634" s="81">
        <f t="shared" ref="AC634:AC668" si="298">SUM(AA634*AB634)</f>
        <v>4.55228424849699</v>
      </c>
      <c r="AD634" s="81">
        <f t="shared" si="287"/>
        <v>37.7341066933868</v>
      </c>
      <c r="AE634" s="81">
        <f t="shared" si="288"/>
        <v>37.8658933066132</v>
      </c>
    </row>
    <row r="635" customFormat="1" spans="1:31">
      <c r="A635" s="19"/>
      <c r="B635" s="20"/>
      <c r="C635" s="21">
        <v>240117000025</v>
      </c>
      <c r="D635" s="22">
        <v>45312</v>
      </c>
      <c r="E635" s="22" t="s">
        <v>37</v>
      </c>
      <c r="F635" s="20" t="s">
        <v>38</v>
      </c>
      <c r="G635" s="20" t="s">
        <v>432</v>
      </c>
      <c r="H635" s="20">
        <v>3.5</v>
      </c>
      <c r="I635" s="43">
        <v>285.6</v>
      </c>
      <c r="J635" s="44"/>
      <c r="K635" s="45"/>
      <c r="L635" s="44"/>
      <c r="M635" s="46"/>
      <c r="N635" s="20"/>
      <c r="O635" s="48">
        <f t="shared" si="297"/>
        <v>285.6</v>
      </c>
      <c r="P635" s="60"/>
      <c r="Q635" s="60"/>
      <c r="R635" s="81">
        <f t="shared" si="291"/>
        <v>156.59869739479</v>
      </c>
      <c r="S635" s="81"/>
      <c r="T635" s="82">
        <f t="shared" si="292"/>
        <v>0.342354709418838</v>
      </c>
      <c r="U635" s="81">
        <v>30</v>
      </c>
      <c r="V635" s="81"/>
      <c r="W635" s="83">
        <f t="shared" ref="W635:W668" si="299">SUM(R635:V635)</f>
        <v>186.941052104208</v>
      </c>
      <c r="X635" s="84">
        <f t="shared" si="293"/>
        <v>3.00293921175685</v>
      </c>
      <c r="Y635" s="84"/>
      <c r="Z635" s="84"/>
      <c r="AA635" s="84">
        <f t="shared" ref="AA635:AA668" si="300">SUM(X635:Z635)</f>
        <v>3.00293921175685</v>
      </c>
      <c r="AB635" s="94">
        <v>7.17</v>
      </c>
      <c r="AC635" s="81">
        <f t="shared" si="298"/>
        <v>21.5310741482966</v>
      </c>
      <c r="AD635" s="81">
        <f t="shared" ref="AD635:AD668" si="301">SUM(W635+AC635)</f>
        <v>208.472126252505</v>
      </c>
      <c r="AE635" s="81">
        <f t="shared" ref="AE635:AE668" si="302">SUM(O635-AD635)</f>
        <v>77.127873747495</v>
      </c>
    </row>
    <row r="636" customFormat="1" spans="1:31">
      <c r="A636" s="19" t="s">
        <v>433</v>
      </c>
      <c r="B636" s="20" t="s">
        <v>434</v>
      </c>
      <c r="C636" s="21">
        <v>240115000053</v>
      </c>
      <c r="D636" s="22">
        <v>45313</v>
      </c>
      <c r="E636" s="22" t="s">
        <v>49</v>
      </c>
      <c r="F636" s="20" t="s">
        <v>50</v>
      </c>
      <c r="G636" s="20" t="s">
        <v>371</v>
      </c>
      <c r="H636" s="20">
        <v>306.5</v>
      </c>
      <c r="I636" s="43">
        <v>15535</v>
      </c>
      <c r="J636" s="44"/>
      <c r="K636" s="45"/>
      <c r="L636" s="44"/>
      <c r="M636" s="46"/>
      <c r="N636" s="20"/>
      <c r="O636" s="48">
        <f t="shared" si="297"/>
        <v>15535</v>
      </c>
      <c r="P636" s="49">
        <f>SUM(O636:O668)</f>
        <v>195325.168</v>
      </c>
      <c r="Q636" s="80" t="s">
        <v>435</v>
      </c>
      <c r="R636" s="81">
        <f>SUM(160464.5/4453)*H636</f>
        <v>11044.7718953514</v>
      </c>
      <c r="S636" s="81"/>
      <c r="T636" s="82">
        <f>SUM(461.74/4453)*H636</f>
        <v>31.7815652369189</v>
      </c>
      <c r="U636" s="82">
        <v>210</v>
      </c>
      <c r="V636" s="81"/>
      <c r="W636" s="83">
        <f t="shared" si="299"/>
        <v>11286.5534605884</v>
      </c>
      <c r="X636" s="84">
        <f>SUM(2400.51/4453)*H636</f>
        <v>165.22710869077</v>
      </c>
      <c r="Y636" s="84"/>
      <c r="Z636" s="84"/>
      <c r="AA636" s="84">
        <f t="shared" si="300"/>
        <v>165.22710869077</v>
      </c>
      <c r="AB636" s="94">
        <v>7.17</v>
      </c>
      <c r="AC636" s="81">
        <f t="shared" si="298"/>
        <v>1184.67836931282</v>
      </c>
      <c r="AD636" s="81">
        <f t="shared" si="301"/>
        <v>12471.2318299012</v>
      </c>
      <c r="AE636" s="81">
        <f t="shared" si="302"/>
        <v>3063.7681700988</v>
      </c>
    </row>
    <row r="637" customFormat="1" spans="1:31">
      <c r="A637" s="19"/>
      <c r="B637" s="20"/>
      <c r="C637" s="21">
        <v>240116000020</v>
      </c>
      <c r="D637" s="22">
        <v>45313</v>
      </c>
      <c r="E637" s="22" t="s">
        <v>110</v>
      </c>
      <c r="F637" s="20" t="s">
        <v>111</v>
      </c>
      <c r="G637" s="20" t="s">
        <v>254</v>
      </c>
      <c r="H637" s="20">
        <v>3</v>
      </c>
      <c r="I637" s="43">
        <v>168</v>
      </c>
      <c r="J637" s="44"/>
      <c r="K637" s="45"/>
      <c r="L637" s="44"/>
      <c r="M637" s="46"/>
      <c r="N637" s="20"/>
      <c r="O637" s="48">
        <f t="shared" si="297"/>
        <v>168</v>
      </c>
      <c r="P637" s="54"/>
      <c r="Q637" s="54"/>
      <c r="R637" s="81">
        <f t="shared" ref="R637:R668" si="303">SUM(160464.5/4453)*H637</f>
        <v>108.105434538513</v>
      </c>
      <c r="S637" s="81"/>
      <c r="T637" s="82">
        <f t="shared" ref="T637:T668" si="304">SUM(461.74/4453)*H637</f>
        <v>0.311075679317314</v>
      </c>
      <c r="U637" s="81"/>
      <c r="V637" s="81"/>
      <c r="W637" s="83">
        <f t="shared" si="299"/>
        <v>108.416510217831</v>
      </c>
      <c r="X637" s="84">
        <f t="shared" ref="X637:X668" si="305">SUM(2400.51/4453)*H637</f>
        <v>1.61723108017067</v>
      </c>
      <c r="Y637" s="84"/>
      <c r="Z637" s="84"/>
      <c r="AA637" s="84">
        <f t="shared" si="300"/>
        <v>1.61723108017067</v>
      </c>
      <c r="AB637" s="94">
        <v>7.17</v>
      </c>
      <c r="AC637" s="81">
        <f t="shared" si="298"/>
        <v>11.5955468448237</v>
      </c>
      <c r="AD637" s="81">
        <f t="shared" si="301"/>
        <v>120.012057062654</v>
      </c>
      <c r="AE637" s="81">
        <f t="shared" si="302"/>
        <v>47.987942937346</v>
      </c>
    </row>
    <row r="638" customFormat="1" spans="1:31">
      <c r="A638" s="19"/>
      <c r="B638" s="20"/>
      <c r="C638" s="21">
        <v>240116000024</v>
      </c>
      <c r="D638" s="22">
        <v>45313</v>
      </c>
      <c r="E638" s="22" t="s">
        <v>44</v>
      </c>
      <c r="F638" s="20" t="s">
        <v>45</v>
      </c>
      <c r="G638" s="20" t="s">
        <v>436</v>
      </c>
      <c r="H638" s="20">
        <v>3</v>
      </c>
      <c r="I638" s="48"/>
      <c r="J638" s="55">
        <v>33017</v>
      </c>
      <c r="K638" s="56"/>
      <c r="L638" s="51">
        <f>SUM(J638/M638)</f>
        <v>1404.97872340426</v>
      </c>
      <c r="M638" s="53">
        <v>23.5</v>
      </c>
      <c r="N638" s="20">
        <v>7.17</v>
      </c>
      <c r="O638" s="48">
        <f t="shared" ref="O638:O640" si="306">SUM(M638*N638)</f>
        <v>168.495</v>
      </c>
      <c r="P638" s="54"/>
      <c r="Q638" s="54"/>
      <c r="R638" s="81">
        <f t="shared" si="303"/>
        <v>108.105434538513</v>
      </c>
      <c r="S638" s="81"/>
      <c r="T638" s="82">
        <f t="shared" si="304"/>
        <v>0.311075679317314</v>
      </c>
      <c r="U638" s="81"/>
      <c r="V638" s="81"/>
      <c r="W638" s="83">
        <f t="shared" si="299"/>
        <v>108.416510217831</v>
      </c>
      <c r="X638" s="84">
        <f t="shared" si="305"/>
        <v>1.61723108017067</v>
      </c>
      <c r="Y638" s="84"/>
      <c r="Z638" s="84"/>
      <c r="AA638" s="84">
        <f t="shared" si="300"/>
        <v>1.61723108017067</v>
      </c>
      <c r="AB638" s="94">
        <v>7.17</v>
      </c>
      <c r="AC638" s="81">
        <f t="shared" si="298"/>
        <v>11.5955468448237</v>
      </c>
      <c r="AD638" s="81">
        <f t="shared" si="301"/>
        <v>120.012057062654</v>
      </c>
      <c r="AE638" s="81">
        <f t="shared" si="302"/>
        <v>48.482942937346</v>
      </c>
    </row>
    <row r="639" customFormat="1" spans="1:31">
      <c r="A639" s="19"/>
      <c r="B639" s="20"/>
      <c r="C639" s="21">
        <v>240116000028</v>
      </c>
      <c r="D639" s="22">
        <v>45313</v>
      </c>
      <c r="E639" s="22" t="s">
        <v>58</v>
      </c>
      <c r="F639" s="20" t="s">
        <v>59</v>
      </c>
      <c r="G639" s="20" t="s">
        <v>437</v>
      </c>
      <c r="H639" s="20">
        <v>87.5</v>
      </c>
      <c r="I639" s="50"/>
      <c r="J639" s="51">
        <v>959400</v>
      </c>
      <c r="K639" s="52"/>
      <c r="L639" s="51">
        <f>SUM(J639/M639)</f>
        <v>1491.37260997979</v>
      </c>
      <c r="M639" s="53">
        <v>643.3</v>
      </c>
      <c r="N639" s="20">
        <v>7.17</v>
      </c>
      <c r="O639" s="48">
        <f t="shared" si="306"/>
        <v>4612.461</v>
      </c>
      <c r="P639" s="54"/>
      <c r="Q639" s="54"/>
      <c r="R639" s="81">
        <f t="shared" si="303"/>
        <v>3153.07517403997</v>
      </c>
      <c r="S639" s="81"/>
      <c r="T639" s="82">
        <f t="shared" si="304"/>
        <v>9.073040646755</v>
      </c>
      <c r="U639" s="81"/>
      <c r="V639" s="81"/>
      <c r="W639" s="83">
        <f t="shared" si="299"/>
        <v>3162.14821468673</v>
      </c>
      <c r="X639" s="84">
        <f t="shared" si="305"/>
        <v>47.1692398383113</v>
      </c>
      <c r="Y639" s="84"/>
      <c r="Z639" s="84"/>
      <c r="AA639" s="84">
        <f t="shared" si="300"/>
        <v>47.1692398383113</v>
      </c>
      <c r="AB639" s="94">
        <v>7.17</v>
      </c>
      <c r="AC639" s="81">
        <f t="shared" si="298"/>
        <v>338.203449640692</v>
      </c>
      <c r="AD639" s="81">
        <f t="shared" si="301"/>
        <v>3500.35166432742</v>
      </c>
      <c r="AE639" s="81">
        <f t="shared" si="302"/>
        <v>1112.10933567258</v>
      </c>
    </row>
    <row r="640" customFormat="1" spans="1:31">
      <c r="A640" s="19"/>
      <c r="B640" s="20"/>
      <c r="C640" s="21">
        <v>240116000031</v>
      </c>
      <c r="D640" s="22">
        <v>45313</v>
      </c>
      <c r="E640" s="22" t="s">
        <v>99</v>
      </c>
      <c r="F640" s="20" t="s">
        <v>216</v>
      </c>
      <c r="G640" s="20" t="s">
        <v>217</v>
      </c>
      <c r="H640" s="20">
        <v>6</v>
      </c>
      <c r="I640" s="48"/>
      <c r="J640" s="55">
        <v>78948</v>
      </c>
      <c r="K640" s="56"/>
      <c r="L640" s="51">
        <f>SUM(J640/M640)</f>
        <v>1779.31034482759</v>
      </c>
      <c r="M640" s="53">
        <v>44.37</v>
      </c>
      <c r="N640" s="20">
        <v>7.17</v>
      </c>
      <c r="O640" s="48">
        <f t="shared" si="306"/>
        <v>318.1329</v>
      </c>
      <c r="P640" s="54"/>
      <c r="Q640" s="54"/>
      <c r="R640" s="81">
        <f t="shared" si="303"/>
        <v>216.210869077027</v>
      </c>
      <c r="S640" s="81"/>
      <c r="T640" s="82">
        <f t="shared" si="304"/>
        <v>0.622151358634628</v>
      </c>
      <c r="U640" s="81"/>
      <c r="V640" s="81"/>
      <c r="W640" s="83">
        <f t="shared" si="299"/>
        <v>216.833020435661</v>
      </c>
      <c r="X640" s="84">
        <f t="shared" si="305"/>
        <v>3.23446216034134</v>
      </c>
      <c r="Y640" s="84"/>
      <c r="Z640" s="84"/>
      <c r="AA640" s="84">
        <f t="shared" si="300"/>
        <v>3.23446216034134</v>
      </c>
      <c r="AB640" s="94">
        <v>7.17</v>
      </c>
      <c r="AC640" s="81">
        <f t="shared" si="298"/>
        <v>23.1910936896474</v>
      </c>
      <c r="AD640" s="81">
        <f t="shared" si="301"/>
        <v>240.024114125309</v>
      </c>
      <c r="AE640" s="81">
        <f t="shared" si="302"/>
        <v>78.108785874691</v>
      </c>
    </row>
    <row r="641" customFormat="1" spans="1:31">
      <c r="A641" s="19"/>
      <c r="B641" s="20"/>
      <c r="C641" s="21">
        <v>240116000034</v>
      </c>
      <c r="D641" s="22">
        <v>45313</v>
      </c>
      <c r="E641" s="22" t="s">
        <v>37</v>
      </c>
      <c r="F641" s="20" t="s">
        <v>38</v>
      </c>
      <c r="G641" s="20" t="s">
        <v>297</v>
      </c>
      <c r="H641" s="20">
        <v>1924</v>
      </c>
      <c r="I641" s="43">
        <v>83532</v>
      </c>
      <c r="J641" s="44"/>
      <c r="K641" s="45"/>
      <c r="L641" s="44"/>
      <c r="M641" s="46"/>
      <c r="N641" s="20"/>
      <c r="O641" s="48">
        <f t="shared" ref="O641:O651" si="307">SUM(I641)</f>
        <v>83532</v>
      </c>
      <c r="P641" s="54"/>
      <c r="Q641" s="54"/>
      <c r="R641" s="81">
        <f t="shared" si="303"/>
        <v>69331.6186840332</v>
      </c>
      <c r="S641" s="81"/>
      <c r="T641" s="82">
        <f t="shared" si="304"/>
        <v>199.503202335504</v>
      </c>
      <c r="U641" s="81"/>
      <c r="V641" s="81"/>
      <c r="W641" s="83">
        <f t="shared" si="299"/>
        <v>69531.1218863687</v>
      </c>
      <c r="X641" s="84">
        <f t="shared" si="305"/>
        <v>1037.18419941612</v>
      </c>
      <c r="Y641" s="84"/>
      <c r="Z641" s="84"/>
      <c r="AA641" s="84">
        <f t="shared" si="300"/>
        <v>1037.18419941612</v>
      </c>
      <c r="AB641" s="94">
        <v>7.17</v>
      </c>
      <c r="AC641" s="81">
        <f t="shared" si="298"/>
        <v>7436.61070981361</v>
      </c>
      <c r="AD641" s="81">
        <f t="shared" si="301"/>
        <v>76967.7325961824</v>
      </c>
      <c r="AE641" s="81">
        <f t="shared" si="302"/>
        <v>6564.2674038176</v>
      </c>
    </row>
    <row r="642" customFormat="1" spans="1:31">
      <c r="A642" s="19"/>
      <c r="B642" s="20"/>
      <c r="C642" s="21">
        <v>240116000035</v>
      </c>
      <c r="D642" s="22">
        <v>45313</v>
      </c>
      <c r="E642" s="22" t="s">
        <v>49</v>
      </c>
      <c r="F642" s="20" t="s">
        <v>50</v>
      </c>
      <c r="G642" s="20" t="s">
        <v>64</v>
      </c>
      <c r="H642" s="20">
        <v>45</v>
      </c>
      <c r="I642" s="50"/>
      <c r="J642" s="51">
        <v>490500</v>
      </c>
      <c r="K642" s="52"/>
      <c r="L642" s="51">
        <f>SUM(J642/M642)</f>
        <v>1563.09751434034</v>
      </c>
      <c r="M642" s="53">
        <v>313.8</v>
      </c>
      <c r="N642" s="20">
        <v>7.17</v>
      </c>
      <c r="O642" s="48">
        <f>SUM(M642*N642)</f>
        <v>2249.946</v>
      </c>
      <c r="P642" s="54"/>
      <c r="Q642" s="54"/>
      <c r="R642" s="81">
        <f t="shared" si="303"/>
        <v>1621.5815180777</v>
      </c>
      <c r="S642" s="81"/>
      <c r="T642" s="82">
        <f t="shared" si="304"/>
        <v>4.66613518975971</v>
      </c>
      <c r="U642" s="81"/>
      <c r="V642" s="81"/>
      <c r="W642" s="83">
        <f t="shared" si="299"/>
        <v>1626.24765326746</v>
      </c>
      <c r="X642" s="84">
        <f t="shared" si="305"/>
        <v>24.2584662025601</v>
      </c>
      <c r="Y642" s="84"/>
      <c r="Z642" s="84"/>
      <c r="AA642" s="84">
        <f t="shared" si="300"/>
        <v>24.2584662025601</v>
      </c>
      <c r="AB642" s="94">
        <v>7.17</v>
      </c>
      <c r="AC642" s="81">
        <f t="shared" si="298"/>
        <v>173.933202672356</v>
      </c>
      <c r="AD642" s="81">
        <f t="shared" si="301"/>
        <v>1800.18085593982</v>
      </c>
      <c r="AE642" s="81">
        <f t="shared" si="302"/>
        <v>449.76514406018</v>
      </c>
    </row>
    <row r="643" customFormat="1" spans="1:31">
      <c r="A643" s="19"/>
      <c r="B643" s="20"/>
      <c r="C643" s="21">
        <v>240116000038</v>
      </c>
      <c r="D643" s="22">
        <v>45313</v>
      </c>
      <c r="E643" s="22" t="s">
        <v>49</v>
      </c>
      <c r="F643" s="20" t="s">
        <v>50</v>
      </c>
      <c r="G643" s="20" t="s">
        <v>66</v>
      </c>
      <c r="H643" s="20">
        <v>9.5</v>
      </c>
      <c r="I643" s="43">
        <v>446.5</v>
      </c>
      <c r="J643" s="44"/>
      <c r="K643" s="45"/>
      <c r="L643" s="44"/>
      <c r="M643" s="46"/>
      <c r="N643" s="20"/>
      <c r="O643" s="48">
        <f t="shared" si="307"/>
        <v>446.5</v>
      </c>
      <c r="P643" s="54"/>
      <c r="Q643" s="54"/>
      <c r="R643" s="81">
        <f t="shared" si="303"/>
        <v>342.333876038626</v>
      </c>
      <c r="S643" s="81"/>
      <c r="T643" s="82">
        <f t="shared" si="304"/>
        <v>0.985072984504828</v>
      </c>
      <c r="U643" s="81"/>
      <c r="V643" s="81"/>
      <c r="W643" s="83">
        <f t="shared" si="299"/>
        <v>343.31894902313</v>
      </c>
      <c r="X643" s="84">
        <f t="shared" si="305"/>
        <v>5.12123175387379</v>
      </c>
      <c r="Y643" s="84"/>
      <c r="Z643" s="84"/>
      <c r="AA643" s="84">
        <f t="shared" si="300"/>
        <v>5.12123175387379</v>
      </c>
      <c r="AB643" s="94">
        <v>7.17</v>
      </c>
      <c r="AC643" s="81">
        <f t="shared" si="298"/>
        <v>36.7192316752751</v>
      </c>
      <c r="AD643" s="81">
        <f t="shared" si="301"/>
        <v>380.038180698406</v>
      </c>
      <c r="AE643" s="81">
        <f t="shared" si="302"/>
        <v>66.461819301594</v>
      </c>
    </row>
    <row r="644" customFormat="1" spans="1:31">
      <c r="A644" s="19"/>
      <c r="B644" s="20"/>
      <c r="C644" s="21">
        <v>240117000003</v>
      </c>
      <c r="D644" s="22">
        <v>45313</v>
      </c>
      <c r="E644" s="22" t="s">
        <v>37</v>
      </c>
      <c r="F644" s="20" t="s">
        <v>38</v>
      </c>
      <c r="G644" s="20" t="s">
        <v>438</v>
      </c>
      <c r="H644" s="20">
        <v>71.5</v>
      </c>
      <c r="I644" s="43">
        <v>4127.5</v>
      </c>
      <c r="J644" s="44"/>
      <c r="K644" s="45"/>
      <c r="L644" s="44"/>
      <c r="M644" s="46"/>
      <c r="N644" s="20"/>
      <c r="O644" s="48">
        <f t="shared" si="307"/>
        <v>4127.5</v>
      </c>
      <c r="P644" s="54"/>
      <c r="Q644" s="54"/>
      <c r="R644" s="81">
        <f t="shared" si="303"/>
        <v>2576.51285650124</v>
      </c>
      <c r="S644" s="81"/>
      <c r="T644" s="82">
        <f t="shared" si="304"/>
        <v>7.41397035706265</v>
      </c>
      <c r="U644" s="81">
        <v>50</v>
      </c>
      <c r="V644" s="81"/>
      <c r="W644" s="83">
        <f t="shared" si="299"/>
        <v>2633.9268268583</v>
      </c>
      <c r="X644" s="84">
        <f t="shared" si="305"/>
        <v>38.5440074107343</v>
      </c>
      <c r="Y644" s="84">
        <v>36</v>
      </c>
      <c r="Z644" s="84"/>
      <c r="AA644" s="84">
        <f t="shared" si="300"/>
        <v>74.5440074107343</v>
      </c>
      <c r="AB644" s="94">
        <v>7.17</v>
      </c>
      <c r="AC644" s="81">
        <f t="shared" si="298"/>
        <v>534.480533134965</v>
      </c>
      <c r="AD644" s="81">
        <f t="shared" si="301"/>
        <v>3168.40735999326</v>
      </c>
      <c r="AE644" s="81">
        <f t="shared" si="302"/>
        <v>959.09264000674</v>
      </c>
    </row>
    <row r="645" customFormat="1" spans="1:31">
      <c r="A645" s="19"/>
      <c r="B645" s="20"/>
      <c r="C645" s="21">
        <v>240117000009</v>
      </c>
      <c r="D645" s="22">
        <v>45313</v>
      </c>
      <c r="E645" s="22" t="s">
        <v>37</v>
      </c>
      <c r="F645" s="20" t="s">
        <v>38</v>
      </c>
      <c r="G645" s="20" t="s">
        <v>439</v>
      </c>
      <c r="H645" s="20">
        <v>3</v>
      </c>
      <c r="I645" s="43">
        <v>338</v>
      </c>
      <c r="J645" s="44"/>
      <c r="K645" s="45"/>
      <c r="L645" s="44"/>
      <c r="M645" s="46"/>
      <c r="N645" s="20"/>
      <c r="O645" s="48">
        <f t="shared" si="307"/>
        <v>338</v>
      </c>
      <c r="P645" s="54"/>
      <c r="Q645" s="54"/>
      <c r="R645" s="81">
        <f t="shared" si="303"/>
        <v>108.105434538513</v>
      </c>
      <c r="S645" s="81"/>
      <c r="T645" s="82">
        <f t="shared" si="304"/>
        <v>0.311075679317314</v>
      </c>
      <c r="U645" s="81"/>
      <c r="V645" s="81"/>
      <c r="W645" s="83">
        <f t="shared" si="299"/>
        <v>108.416510217831</v>
      </c>
      <c r="X645" s="84">
        <f t="shared" si="305"/>
        <v>1.61723108017067</v>
      </c>
      <c r="Y645" s="84">
        <v>5.6</v>
      </c>
      <c r="Z645" s="84"/>
      <c r="AA645" s="84">
        <f t="shared" si="300"/>
        <v>7.21723108017067</v>
      </c>
      <c r="AB645" s="94">
        <v>7.17</v>
      </c>
      <c r="AC645" s="81">
        <f t="shared" si="298"/>
        <v>51.7475468448237</v>
      </c>
      <c r="AD645" s="81">
        <f t="shared" si="301"/>
        <v>160.164057062654</v>
      </c>
      <c r="AE645" s="81">
        <f t="shared" si="302"/>
        <v>177.835942937346</v>
      </c>
    </row>
    <row r="646" customFormat="1" spans="1:31">
      <c r="A646" s="19"/>
      <c r="B646" s="20"/>
      <c r="C646" s="21">
        <v>240117000011</v>
      </c>
      <c r="D646" s="22">
        <v>45313</v>
      </c>
      <c r="E646" s="22" t="s">
        <v>58</v>
      </c>
      <c r="F646" s="20" t="s">
        <v>59</v>
      </c>
      <c r="G646" s="20" t="s">
        <v>71</v>
      </c>
      <c r="H646" s="20">
        <v>4</v>
      </c>
      <c r="I646" s="43">
        <v>223</v>
      </c>
      <c r="J646" s="44"/>
      <c r="K646" s="45"/>
      <c r="L646" s="44"/>
      <c r="M646" s="46"/>
      <c r="N646" s="20"/>
      <c r="O646" s="48">
        <f t="shared" si="307"/>
        <v>223</v>
      </c>
      <c r="P646" s="54"/>
      <c r="Q646" s="54"/>
      <c r="R646" s="81">
        <f t="shared" si="303"/>
        <v>144.140579384684</v>
      </c>
      <c r="S646" s="81"/>
      <c r="T646" s="82">
        <f t="shared" si="304"/>
        <v>0.414767572423086</v>
      </c>
      <c r="U646" s="81"/>
      <c r="V646" s="81"/>
      <c r="W646" s="83">
        <f t="shared" si="299"/>
        <v>144.555346957108</v>
      </c>
      <c r="X646" s="84">
        <f t="shared" si="305"/>
        <v>2.15630810689423</v>
      </c>
      <c r="Y646" s="84"/>
      <c r="Z646" s="84"/>
      <c r="AA646" s="84">
        <f t="shared" si="300"/>
        <v>2.15630810689423</v>
      </c>
      <c r="AB646" s="94">
        <v>7.17</v>
      </c>
      <c r="AC646" s="81">
        <f t="shared" si="298"/>
        <v>15.4607291264316</v>
      </c>
      <c r="AD646" s="81">
        <f t="shared" si="301"/>
        <v>160.016076083539</v>
      </c>
      <c r="AE646" s="81">
        <f t="shared" si="302"/>
        <v>62.983923916461</v>
      </c>
    </row>
    <row r="647" customFormat="1" spans="1:31">
      <c r="A647" s="19"/>
      <c r="B647" s="20"/>
      <c r="C647" s="21">
        <v>240117000016</v>
      </c>
      <c r="D647" s="22">
        <v>45313</v>
      </c>
      <c r="E647" s="22" t="s">
        <v>49</v>
      </c>
      <c r="F647" s="20" t="s">
        <v>50</v>
      </c>
      <c r="G647" s="20" t="s">
        <v>189</v>
      </c>
      <c r="H647" s="20">
        <v>1.5</v>
      </c>
      <c r="I647" s="43">
        <v>82.5</v>
      </c>
      <c r="J647" s="44"/>
      <c r="K647" s="45"/>
      <c r="L647" s="44"/>
      <c r="M647" s="46"/>
      <c r="N647" s="20"/>
      <c r="O647" s="48">
        <f t="shared" si="307"/>
        <v>82.5</v>
      </c>
      <c r="P647" s="54"/>
      <c r="Q647" s="54"/>
      <c r="R647" s="81">
        <f t="shared" si="303"/>
        <v>54.0527172692567</v>
      </c>
      <c r="S647" s="81"/>
      <c r="T647" s="82">
        <f t="shared" si="304"/>
        <v>0.155537839658657</v>
      </c>
      <c r="U647" s="81"/>
      <c r="V647" s="81"/>
      <c r="W647" s="83">
        <f t="shared" si="299"/>
        <v>54.2082551089153</v>
      </c>
      <c r="X647" s="84">
        <f t="shared" si="305"/>
        <v>0.808615540085336</v>
      </c>
      <c r="Y647" s="84"/>
      <c r="Z647" s="84"/>
      <c r="AA647" s="84">
        <f t="shared" si="300"/>
        <v>0.808615540085336</v>
      </c>
      <c r="AB647" s="94">
        <v>7.17</v>
      </c>
      <c r="AC647" s="81">
        <f t="shared" si="298"/>
        <v>5.79777342241186</v>
      </c>
      <c r="AD647" s="81">
        <f t="shared" si="301"/>
        <v>60.0060285313272</v>
      </c>
      <c r="AE647" s="81">
        <f t="shared" si="302"/>
        <v>22.4939714686728</v>
      </c>
    </row>
    <row r="648" customFormat="1" spans="1:31">
      <c r="A648" s="19"/>
      <c r="B648" s="20"/>
      <c r="C648" s="21">
        <v>240117000024</v>
      </c>
      <c r="D648" s="22">
        <v>45313</v>
      </c>
      <c r="E648" s="22" t="s">
        <v>49</v>
      </c>
      <c r="F648" s="20" t="s">
        <v>50</v>
      </c>
      <c r="G648" s="20" t="s">
        <v>189</v>
      </c>
      <c r="H648" s="20">
        <v>44</v>
      </c>
      <c r="I648" s="43">
        <v>3300</v>
      </c>
      <c r="J648" s="44"/>
      <c r="K648" s="45"/>
      <c r="L648" s="44"/>
      <c r="M648" s="46"/>
      <c r="N648" s="20"/>
      <c r="O648" s="48">
        <f t="shared" si="307"/>
        <v>3300</v>
      </c>
      <c r="P648" s="54"/>
      <c r="Q648" s="54"/>
      <c r="R648" s="81">
        <f t="shared" si="303"/>
        <v>1585.54637323153</v>
      </c>
      <c r="S648" s="81"/>
      <c r="T648" s="82">
        <f t="shared" si="304"/>
        <v>4.56244329665394</v>
      </c>
      <c r="U648" s="82">
        <v>50</v>
      </c>
      <c r="V648" s="81"/>
      <c r="W648" s="83">
        <f t="shared" si="299"/>
        <v>1640.10881652818</v>
      </c>
      <c r="X648" s="84">
        <f t="shared" si="305"/>
        <v>23.7193891758365</v>
      </c>
      <c r="Y648" s="84"/>
      <c r="Z648" s="84"/>
      <c r="AA648" s="84">
        <f t="shared" si="300"/>
        <v>23.7193891758365</v>
      </c>
      <c r="AB648" s="94">
        <v>7.17</v>
      </c>
      <c r="AC648" s="81">
        <f t="shared" si="298"/>
        <v>170.068020390748</v>
      </c>
      <c r="AD648" s="81">
        <f t="shared" si="301"/>
        <v>1810.17683691893</v>
      </c>
      <c r="AE648" s="81">
        <f t="shared" si="302"/>
        <v>1489.82316308107</v>
      </c>
    </row>
    <row r="649" customFormat="1" spans="1:31">
      <c r="A649" s="19"/>
      <c r="B649" s="20"/>
      <c r="C649" s="21">
        <v>240118000004</v>
      </c>
      <c r="D649" s="22">
        <v>45313</v>
      </c>
      <c r="E649" s="22" t="s">
        <v>49</v>
      </c>
      <c r="F649" s="20" t="s">
        <v>50</v>
      </c>
      <c r="G649" s="20" t="s">
        <v>189</v>
      </c>
      <c r="H649" s="20">
        <v>1</v>
      </c>
      <c r="I649" s="43">
        <v>55</v>
      </c>
      <c r="J649" s="44"/>
      <c r="K649" s="45"/>
      <c r="L649" s="44"/>
      <c r="M649" s="46"/>
      <c r="N649" s="20"/>
      <c r="O649" s="48">
        <f t="shared" si="307"/>
        <v>55</v>
      </c>
      <c r="P649" s="54"/>
      <c r="Q649" s="54"/>
      <c r="R649" s="81">
        <f t="shared" si="303"/>
        <v>36.0351448461711</v>
      </c>
      <c r="S649" s="81"/>
      <c r="T649" s="82">
        <f t="shared" si="304"/>
        <v>0.103691893105771</v>
      </c>
      <c r="U649" s="81"/>
      <c r="V649" s="81"/>
      <c r="W649" s="83">
        <f t="shared" si="299"/>
        <v>36.1388367392769</v>
      </c>
      <c r="X649" s="84">
        <f t="shared" si="305"/>
        <v>0.539077026723557</v>
      </c>
      <c r="Y649" s="84"/>
      <c r="Z649" s="84"/>
      <c r="AA649" s="84">
        <f t="shared" si="300"/>
        <v>0.539077026723557</v>
      </c>
      <c r="AB649" s="94">
        <v>7.17</v>
      </c>
      <c r="AC649" s="81">
        <f t="shared" si="298"/>
        <v>3.8651822816079</v>
      </c>
      <c r="AD649" s="81">
        <f t="shared" si="301"/>
        <v>40.0040190208848</v>
      </c>
      <c r="AE649" s="81">
        <f t="shared" si="302"/>
        <v>14.9959809791152</v>
      </c>
    </row>
    <row r="650" customFormat="1" spans="1:31">
      <c r="A650" s="19"/>
      <c r="B650" s="20"/>
      <c r="C650" s="21">
        <v>240118000005</v>
      </c>
      <c r="D650" s="22">
        <v>45313</v>
      </c>
      <c r="E650" s="22" t="s">
        <v>44</v>
      </c>
      <c r="F650" s="20" t="s">
        <v>45</v>
      </c>
      <c r="G650" s="20" t="s">
        <v>440</v>
      </c>
      <c r="H650" s="20">
        <v>5</v>
      </c>
      <c r="I650" s="43">
        <v>278</v>
      </c>
      <c r="J650" s="44"/>
      <c r="K650" s="45"/>
      <c r="L650" s="44"/>
      <c r="M650" s="46"/>
      <c r="N650" s="20"/>
      <c r="O650" s="48">
        <f t="shared" si="307"/>
        <v>278</v>
      </c>
      <c r="P650" s="54"/>
      <c r="Q650" s="54"/>
      <c r="R650" s="81">
        <f t="shared" si="303"/>
        <v>180.175724230856</v>
      </c>
      <c r="S650" s="81"/>
      <c r="T650" s="82">
        <f t="shared" si="304"/>
        <v>0.518459465528857</v>
      </c>
      <c r="U650" s="81"/>
      <c r="V650" s="81"/>
      <c r="W650" s="83">
        <f t="shared" si="299"/>
        <v>180.694183696384</v>
      </c>
      <c r="X650" s="84">
        <f t="shared" si="305"/>
        <v>2.69538513361779</v>
      </c>
      <c r="Y650" s="84"/>
      <c r="Z650" s="84"/>
      <c r="AA650" s="84">
        <f t="shared" si="300"/>
        <v>2.69538513361779</v>
      </c>
      <c r="AB650" s="94">
        <v>7.17</v>
      </c>
      <c r="AC650" s="81">
        <f t="shared" si="298"/>
        <v>19.3259114080395</v>
      </c>
      <c r="AD650" s="81">
        <f t="shared" si="301"/>
        <v>200.020095104424</v>
      </c>
      <c r="AE650" s="81">
        <f t="shared" si="302"/>
        <v>77.979904895576</v>
      </c>
    </row>
    <row r="651" customFormat="1" spans="1:31">
      <c r="A651" s="19"/>
      <c r="B651" s="20"/>
      <c r="C651" s="21">
        <v>240118000008</v>
      </c>
      <c r="D651" s="22">
        <v>45313</v>
      </c>
      <c r="E651" s="22" t="s">
        <v>37</v>
      </c>
      <c r="F651" s="20" t="s">
        <v>38</v>
      </c>
      <c r="G651" s="20" t="s">
        <v>315</v>
      </c>
      <c r="H651" s="20">
        <v>0.15</v>
      </c>
      <c r="I651" s="43">
        <v>58</v>
      </c>
      <c r="J651" s="44"/>
      <c r="K651" s="45"/>
      <c r="L651" s="44"/>
      <c r="M651" s="46"/>
      <c r="N651" s="20"/>
      <c r="O651" s="48">
        <f t="shared" si="307"/>
        <v>58</v>
      </c>
      <c r="P651" s="54"/>
      <c r="Q651" s="54"/>
      <c r="R651" s="81">
        <f t="shared" si="303"/>
        <v>5.40527172692567</v>
      </c>
      <c r="S651" s="81"/>
      <c r="T651" s="82">
        <f t="shared" si="304"/>
        <v>0.0155537839658657</v>
      </c>
      <c r="U651" s="81"/>
      <c r="V651" s="81"/>
      <c r="W651" s="83">
        <f t="shared" si="299"/>
        <v>5.42082551089153</v>
      </c>
      <c r="X651" s="84">
        <f t="shared" si="305"/>
        <v>0.0808615540085336</v>
      </c>
      <c r="Y651" s="84"/>
      <c r="Z651" s="84"/>
      <c r="AA651" s="84">
        <f t="shared" si="300"/>
        <v>0.0808615540085336</v>
      </c>
      <c r="AB651" s="94">
        <v>7.17</v>
      </c>
      <c r="AC651" s="81">
        <f t="shared" si="298"/>
        <v>0.579777342241186</v>
      </c>
      <c r="AD651" s="81">
        <f t="shared" si="301"/>
        <v>6.00060285313272</v>
      </c>
      <c r="AE651" s="81">
        <f t="shared" si="302"/>
        <v>51.9993971468673</v>
      </c>
    </row>
    <row r="652" customFormat="1" spans="1:31">
      <c r="A652" s="19"/>
      <c r="B652" s="20"/>
      <c r="C652" s="21">
        <v>240118000011</v>
      </c>
      <c r="D652" s="22">
        <v>45313</v>
      </c>
      <c r="E652" s="22" t="s">
        <v>49</v>
      </c>
      <c r="F652" s="20" t="s">
        <v>50</v>
      </c>
      <c r="G652" s="20" t="s">
        <v>79</v>
      </c>
      <c r="H652" s="20">
        <v>4</v>
      </c>
      <c r="I652" s="50"/>
      <c r="J652" s="51">
        <v>50400</v>
      </c>
      <c r="K652" s="52"/>
      <c r="L652" s="51">
        <f>SUM(J652/M652)</f>
        <v>2007.96812749004</v>
      </c>
      <c r="M652" s="53">
        <v>25.1</v>
      </c>
      <c r="N652" s="20">
        <v>7.17</v>
      </c>
      <c r="O652" s="48">
        <f>SUM(M652*N652)</f>
        <v>179.967</v>
      </c>
      <c r="P652" s="54"/>
      <c r="Q652" s="54"/>
      <c r="R652" s="81">
        <f t="shared" si="303"/>
        <v>144.140579384684</v>
      </c>
      <c r="S652" s="81"/>
      <c r="T652" s="82">
        <f t="shared" si="304"/>
        <v>0.414767572423086</v>
      </c>
      <c r="U652" s="81"/>
      <c r="V652" s="81"/>
      <c r="W652" s="83">
        <f t="shared" si="299"/>
        <v>144.555346957108</v>
      </c>
      <c r="X652" s="84">
        <f t="shared" si="305"/>
        <v>2.15630810689423</v>
      </c>
      <c r="Y652" s="84"/>
      <c r="Z652" s="84"/>
      <c r="AA652" s="84">
        <f t="shared" si="300"/>
        <v>2.15630810689423</v>
      </c>
      <c r="AB652" s="94">
        <v>7.17</v>
      </c>
      <c r="AC652" s="81">
        <f t="shared" si="298"/>
        <v>15.4607291264316</v>
      </c>
      <c r="AD652" s="81">
        <f t="shared" si="301"/>
        <v>160.016076083539</v>
      </c>
      <c r="AE652" s="81">
        <f t="shared" si="302"/>
        <v>19.950923916461</v>
      </c>
    </row>
    <row r="653" customFormat="1" spans="1:31">
      <c r="A653" s="19"/>
      <c r="B653" s="20"/>
      <c r="C653" s="21">
        <v>240118000012</v>
      </c>
      <c r="D653" s="22">
        <v>45313</v>
      </c>
      <c r="E653" s="22" t="s">
        <v>37</v>
      </c>
      <c r="F653" s="20" t="s">
        <v>362</v>
      </c>
      <c r="G653" s="20" t="s">
        <v>363</v>
      </c>
      <c r="H653" s="20">
        <v>7.5</v>
      </c>
      <c r="I653" s="43">
        <v>396</v>
      </c>
      <c r="J653" s="44"/>
      <c r="K653" s="45"/>
      <c r="L653" s="44"/>
      <c r="M653" s="46"/>
      <c r="N653" s="20"/>
      <c r="O653" s="48">
        <f t="shared" ref="O653:O657" si="308">SUM(I653)</f>
        <v>396</v>
      </c>
      <c r="P653" s="54"/>
      <c r="Q653" s="54"/>
      <c r="R653" s="81">
        <f t="shared" si="303"/>
        <v>270.263586346283</v>
      </c>
      <c r="S653" s="81"/>
      <c r="T653" s="82">
        <f t="shared" si="304"/>
        <v>0.777689198293286</v>
      </c>
      <c r="U653" s="81"/>
      <c r="V653" s="81"/>
      <c r="W653" s="83">
        <f t="shared" si="299"/>
        <v>271.041275544577</v>
      </c>
      <c r="X653" s="84">
        <f t="shared" si="305"/>
        <v>4.04307770042668</v>
      </c>
      <c r="Y653" s="84"/>
      <c r="Z653" s="84"/>
      <c r="AA653" s="84">
        <f t="shared" si="300"/>
        <v>4.04307770042668</v>
      </c>
      <c r="AB653" s="94">
        <v>7.17</v>
      </c>
      <c r="AC653" s="81">
        <f t="shared" si="298"/>
        <v>28.9888671120593</v>
      </c>
      <c r="AD653" s="81">
        <f t="shared" si="301"/>
        <v>300.030142656636</v>
      </c>
      <c r="AE653" s="81">
        <f t="shared" si="302"/>
        <v>95.969857343364</v>
      </c>
    </row>
    <row r="654" customFormat="1" spans="1:31">
      <c r="A654" s="19"/>
      <c r="B654" s="20"/>
      <c r="C654" s="21">
        <v>240118000014</v>
      </c>
      <c r="D654" s="22">
        <v>45313</v>
      </c>
      <c r="E654" s="22" t="s">
        <v>58</v>
      </c>
      <c r="F654" s="20" t="s">
        <v>59</v>
      </c>
      <c r="G654" s="20" t="s">
        <v>415</v>
      </c>
      <c r="H654" s="20">
        <v>5</v>
      </c>
      <c r="I654" s="50"/>
      <c r="J654" s="51">
        <v>48150</v>
      </c>
      <c r="K654" s="52"/>
      <c r="L654" s="51">
        <f>SUM(J654/M654)</f>
        <v>1534.41682600382</v>
      </c>
      <c r="M654" s="53">
        <v>31.38</v>
      </c>
      <c r="N654" s="20">
        <v>7.17</v>
      </c>
      <c r="O654" s="48">
        <f t="shared" ref="O654:O659" si="309">SUM(M654*N654)</f>
        <v>224.9946</v>
      </c>
      <c r="P654" s="54"/>
      <c r="Q654" s="54"/>
      <c r="R654" s="81">
        <f t="shared" si="303"/>
        <v>180.175724230856</v>
      </c>
      <c r="S654" s="81"/>
      <c r="T654" s="82">
        <f t="shared" si="304"/>
        <v>0.518459465528857</v>
      </c>
      <c r="U654" s="81"/>
      <c r="V654" s="81"/>
      <c r="W654" s="83">
        <f t="shared" si="299"/>
        <v>180.694183696384</v>
      </c>
      <c r="X654" s="84">
        <f t="shared" si="305"/>
        <v>2.69538513361779</v>
      </c>
      <c r="Y654" s="84"/>
      <c r="Z654" s="84"/>
      <c r="AA654" s="84">
        <f t="shared" si="300"/>
        <v>2.69538513361779</v>
      </c>
      <c r="AB654" s="94">
        <v>7.17</v>
      </c>
      <c r="AC654" s="81">
        <f t="shared" si="298"/>
        <v>19.3259114080395</v>
      </c>
      <c r="AD654" s="81">
        <f t="shared" si="301"/>
        <v>200.020095104424</v>
      </c>
      <c r="AE654" s="81">
        <f t="shared" si="302"/>
        <v>24.974504895576</v>
      </c>
    </row>
    <row r="655" customFormat="1" spans="1:31">
      <c r="A655" s="19"/>
      <c r="B655" s="20"/>
      <c r="C655" s="21">
        <v>240118000017</v>
      </c>
      <c r="D655" s="22">
        <v>45313</v>
      </c>
      <c r="E655" s="22" t="s">
        <v>58</v>
      </c>
      <c r="F655" s="20" t="s">
        <v>59</v>
      </c>
      <c r="G655" s="20" t="s">
        <v>333</v>
      </c>
      <c r="H655" s="20">
        <v>34.5</v>
      </c>
      <c r="I655" s="43">
        <v>1725</v>
      </c>
      <c r="J655" s="44"/>
      <c r="K655" s="45"/>
      <c r="L655" s="44"/>
      <c r="M655" s="46"/>
      <c r="N655" s="20"/>
      <c r="O655" s="48">
        <f t="shared" si="308"/>
        <v>1725</v>
      </c>
      <c r="P655" s="54"/>
      <c r="Q655" s="54"/>
      <c r="R655" s="81">
        <f t="shared" si="303"/>
        <v>1243.2124971929</v>
      </c>
      <c r="S655" s="81"/>
      <c r="T655" s="82">
        <f t="shared" si="304"/>
        <v>3.57737031214911</v>
      </c>
      <c r="U655" s="81"/>
      <c r="V655" s="81"/>
      <c r="W655" s="83">
        <f t="shared" si="299"/>
        <v>1246.78986750505</v>
      </c>
      <c r="X655" s="84">
        <f t="shared" si="305"/>
        <v>18.5981574219627</v>
      </c>
      <c r="Y655" s="84"/>
      <c r="Z655" s="84"/>
      <c r="AA655" s="84">
        <f t="shared" si="300"/>
        <v>18.5981574219627</v>
      </c>
      <c r="AB655" s="94">
        <v>7.17</v>
      </c>
      <c r="AC655" s="81">
        <f t="shared" si="298"/>
        <v>133.348788715473</v>
      </c>
      <c r="AD655" s="81">
        <f t="shared" si="301"/>
        <v>1380.13865622053</v>
      </c>
      <c r="AE655" s="81">
        <f t="shared" si="302"/>
        <v>344.86134377947</v>
      </c>
    </row>
    <row r="656" customFormat="1" spans="1:31">
      <c r="A656" s="19"/>
      <c r="B656" s="20"/>
      <c r="C656" s="21">
        <v>240118000022</v>
      </c>
      <c r="D656" s="22">
        <v>45313</v>
      </c>
      <c r="E656" s="22" t="s">
        <v>37</v>
      </c>
      <c r="F656" s="20" t="s">
        <v>441</v>
      </c>
      <c r="G656" s="20" t="s">
        <v>442</v>
      </c>
      <c r="H656" s="20">
        <v>2.5</v>
      </c>
      <c r="I656" s="43">
        <v>140.5</v>
      </c>
      <c r="J656" s="44"/>
      <c r="K656" s="45"/>
      <c r="L656" s="44"/>
      <c r="M656" s="46"/>
      <c r="N656" s="20"/>
      <c r="O656" s="48">
        <f t="shared" si="308"/>
        <v>140.5</v>
      </c>
      <c r="P656" s="54"/>
      <c r="Q656" s="54"/>
      <c r="R656" s="81">
        <f t="shared" si="303"/>
        <v>90.0878621154278</v>
      </c>
      <c r="S656" s="81"/>
      <c r="T656" s="82">
        <f t="shared" si="304"/>
        <v>0.259229732764429</v>
      </c>
      <c r="U656" s="81"/>
      <c r="V656" s="81"/>
      <c r="W656" s="83">
        <f t="shared" si="299"/>
        <v>90.3470918481922</v>
      </c>
      <c r="X656" s="84">
        <f t="shared" si="305"/>
        <v>1.34769256680889</v>
      </c>
      <c r="Y656" s="84"/>
      <c r="Z656" s="84"/>
      <c r="AA656" s="84">
        <f t="shared" si="300"/>
        <v>1.34769256680889</v>
      </c>
      <c r="AB656" s="94">
        <v>7.17</v>
      </c>
      <c r="AC656" s="81">
        <f t="shared" si="298"/>
        <v>9.66295570401976</v>
      </c>
      <c r="AD656" s="81">
        <f t="shared" si="301"/>
        <v>100.010047552212</v>
      </c>
      <c r="AE656" s="81">
        <f t="shared" si="302"/>
        <v>40.489952447788</v>
      </c>
    </row>
    <row r="657" customFormat="1" spans="1:31">
      <c r="A657" s="19"/>
      <c r="B657" s="20"/>
      <c r="C657" s="23">
        <v>240118000024</v>
      </c>
      <c r="D657" s="24">
        <v>45313</v>
      </c>
      <c r="E657" s="25" t="s">
        <v>69</v>
      </c>
      <c r="F657" s="26" t="s">
        <v>69</v>
      </c>
      <c r="G657" s="26" t="s">
        <v>443</v>
      </c>
      <c r="H657" s="26">
        <v>12.5</v>
      </c>
      <c r="I657" s="43">
        <v>562.5</v>
      </c>
      <c r="J657" s="44"/>
      <c r="K657" s="45"/>
      <c r="L657" s="44"/>
      <c r="M657" s="46"/>
      <c r="N657" s="20"/>
      <c r="O657" s="48">
        <f t="shared" si="308"/>
        <v>562.5</v>
      </c>
      <c r="P657" s="54"/>
      <c r="Q657" s="54"/>
      <c r="R657" s="81">
        <f t="shared" si="303"/>
        <v>450.439310577139</v>
      </c>
      <c r="S657" s="81"/>
      <c r="T657" s="82">
        <f t="shared" si="304"/>
        <v>1.29614866382214</v>
      </c>
      <c r="U657" s="81"/>
      <c r="V657" s="81"/>
      <c r="W657" s="83">
        <f t="shared" si="299"/>
        <v>451.735459240961</v>
      </c>
      <c r="X657" s="84">
        <f t="shared" si="305"/>
        <v>6.73846283404446</v>
      </c>
      <c r="Y657" s="84"/>
      <c r="Z657" s="84"/>
      <c r="AA657" s="84">
        <f t="shared" si="300"/>
        <v>6.73846283404446</v>
      </c>
      <c r="AB657" s="94">
        <v>7.17</v>
      </c>
      <c r="AC657" s="81">
        <f t="shared" si="298"/>
        <v>48.3147785200988</v>
      </c>
      <c r="AD657" s="81">
        <f t="shared" si="301"/>
        <v>500.05023776106</v>
      </c>
      <c r="AE657" s="81">
        <f t="shared" si="302"/>
        <v>62.44976223894</v>
      </c>
    </row>
    <row r="658" customFormat="1" spans="1:31">
      <c r="A658" s="19"/>
      <c r="B658" s="20"/>
      <c r="C658" s="21">
        <v>240119000002</v>
      </c>
      <c r="D658" s="22">
        <v>45313</v>
      </c>
      <c r="E658" s="22" t="s">
        <v>49</v>
      </c>
      <c r="F658" s="20" t="s">
        <v>50</v>
      </c>
      <c r="G658" s="20" t="s">
        <v>444</v>
      </c>
      <c r="H658" s="20">
        <v>11.5</v>
      </c>
      <c r="I658" s="50"/>
      <c r="J658" s="51">
        <v>121000</v>
      </c>
      <c r="K658" s="52"/>
      <c r="L658" s="51">
        <f>SUM(J658/M658)</f>
        <v>1577.57496740548</v>
      </c>
      <c r="M658" s="53">
        <v>76.7</v>
      </c>
      <c r="N658" s="20">
        <v>7.17</v>
      </c>
      <c r="O658" s="48">
        <f t="shared" si="309"/>
        <v>549.939</v>
      </c>
      <c r="P658" s="54"/>
      <c r="Q658" s="54"/>
      <c r="R658" s="81">
        <f t="shared" si="303"/>
        <v>414.404165730968</v>
      </c>
      <c r="S658" s="81"/>
      <c r="T658" s="82">
        <f t="shared" si="304"/>
        <v>1.19245677071637</v>
      </c>
      <c r="U658" s="81">
        <v>60</v>
      </c>
      <c r="V658" s="81"/>
      <c r="W658" s="83">
        <f t="shared" si="299"/>
        <v>475.596622501684</v>
      </c>
      <c r="X658" s="84">
        <f t="shared" si="305"/>
        <v>6.19938580732091</v>
      </c>
      <c r="Y658" s="84"/>
      <c r="Z658" s="84"/>
      <c r="AA658" s="84">
        <f t="shared" si="300"/>
        <v>6.19938580732091</v>
      </c>
      <c r="AB658" s="94">
        <v>7.17</v>
      </c>
      <c r="AC658" s="81">
        <f t="shared" si="298"/>
        <v>44.4495962384909</v>
      </c>
      <c r="AD658" s="81">
        <f t="shared" si="301"/>
        <v>520.046218740175</v>
      </c>
      <c r="AE658" s="81">
        <f t="shared" si="302"/>
        <v>29.8927812598249</v>
      </c>
    </row>
    <row r="659" customFormat="1" spans="1:31">
      <c r="A659" s="19"/>
      <c r="B659" s="20"/>
      <c r="C659" s="21">
        <v>240119000009</v>
      </c>
      <c r="D659" s="22">
        <v>45313</v>
      </c>
      <c r="E659" s="22" t="s">
        <v>49</v>
      </c>
      <c r="F659" s="20" t="s">
        <v>50</v>
      </c>
      <c r="G659" s="20" t="s">
        <v>239</v>
      </c>
      <c r="H659" s="20">
        <v>19.5</v>
      </c>
      <c r="I659" s="50"/>
      <c r="J659" s="51">
        <v>219300</v>
      </c>
      <c r="K659" s="52"/>
      <c r="L659" s="51">
        <f>SUM(J659/M659)</f>
        <v>1541.65202108963</v>
      </c>
      <c r="M659" s="53">
        <v>142.25</v>
      </c>
      <c r="N659" s="20">
        <v>7.17</v>
      </c>
      <c r="O659" s="48">
        <f t="shared" si="309"/>
        <v>1019.9325</v>
      </c>
      <c r="P659" s="54"/>
      <c r="Q659" s="54"/>
      <c r="R659" s="81">
        <f t="shared" si="303"/>
        <v>702.685324500337</v>
      </c>
      <c r="S659" s="81"/>
      <c r="T659" s="82">
        <f t="shared" si="304"/>
        <v>2.02199191556254</v>
      </c>
      <c r="U659" s="81"/>
      <c r="V659" s="81"/>
      <c r="W659" s="83">
        <f t="shared" si="299"/>
        <v>704.707316415899</v>
      </c>
      <c r="X659" s="84">
        <f t="shared" si="305"/>
        <v>10.5120020211094</v>
      </c>
      <c r="Y659" s="84"/>
      <c r="Z659" s="84"/>
      <c r="AA659" s="84">
        <f t="shared" si="300"/>
        <v>10.5120020211094</v>
      </c>
      <c r="AB659" s="94">
        <v>7.17</v>
      </c>
      <c r="AC659" s="81">
        <f t="shared" si="298"/>
        <v>75.3710544913541</v>
      </c>
      <c r="AD659" s="81">
        <f t="shared" si="301"/>
        <v>780.078370907254</v>
      </c>
      <c r="AE659" s="81">
        <f t="shared" si="302"/>
        <v>239.854129092746</v>
      </c>
    </row>
    <row r="660" customFormat="1" spans="1:31">
      <c r="A660" s="19"/>
      <c r="B660" s="20"/>
      <c r="C660" s="21">
        <v>240119000015</v>
      </c>
      <c r="D660" s="22">
        <v>45313</v>
      </c>
      <c r="E660" s="22" t="s">
        <v>37</v>
      </c>
      <c r="F660" s="20" t="s">
        <v>38</v>
      </c>
      <c r="G660" s="20" t="s">
        <v>432</v>
      </c>
      <c r="H660" s="20">
        <v>23.5</v>
      </c>
      <c r="I660" s="43">
        <v>1380.5</v>
      </c>
      <c r="J660" s="44"/>
      <c r="K660" s="45"/>
      <c r="L660" s="44"/>
      <c r="M660" s="46"/>
      <c r="N660" s="20"/>
      <c r="O660" s="48">
        <f t="shared" ref="O660:O668" si="310">SUM(I660)</f>
        <v>1380.5</v>
      </c>
      <c r="P660" s="54"/>
      <c r="Q660" s="54"/>
      <c r="R660" s="81">
        <f t="shared" si="303"/>
        <v>846.825903885021</v>
      </c>
      <c r="S660" s="81"/>
      <c r="T660" s="82">
        <f t="shared" si="304"/>
        <v>2.43675948798563</v>
      </c>
      <c r="U660" s="81">
        <v>80</v>
      </c>
      <c r="V660" s="81"/>
      <c r="W660" s="83">
        <f t="shared" si="299"/>
        <v>929.262663373007</v>
      </c>
      <c r="X660" s="84">
        <f t="shared" si="305"/>
        <v>12.6683101280036</v>
      </c>
      <c r="Y660" s="84"/>
      <c r="Z660" s="84"/>
      <c r="AA660" s="84">
        <f t="shared" si="300"/>
        <v>12.6683101280036</v>
      </c>
      <c r="AB660" s="94">
        <v>7.17</v>
      </c>
      <c r="AC660" s="81">
        <f t="shared" si="298"/>
        <v>90.8317836177858</v>
      </c>
      <c r="AD660" s="81">
        <f t="shared" si="301"/>
        <v>1020.09444699079</v>
      </c>
      <c r="AE660" s="81">
        <f t="shared" si="302"/>
        <v>360.40555300921</v>
      </c>
    </row>
    <row r="661" customFormat="1" spans="1:31">
      <c r="A661" s="19"/>
      <c r="B661" s="20"/>
      <c r="C661" s="21">
        <v>240119000017</v>
      </c>
      <c r="D661" s="22">
        <v>45313</v>
      </c>
      <c r="E661" s="22" t="s">
        <v>58</v>
      </c>
      <c r="F661" s="20" t="s">
        <v>59</v>
      </c>
      <c r="G661" s="20" t="s">
        <v>213</v>
      </c>
      <c r="H661" s="20">
        <v>18</v>
      </c>
      <c r="I661" s="43">
        <v>1980</v>
      </c>
      <c r="J661" s="44"/>
      <c r="K661" s="45"/>
      <c r="L661" s="44"/>
      <c r="M661" s="46"/>
      <c r="N661" s="20"/>
      <c r="O661" s="48">
        <f t="shared" si="310"/>
        <v>1980</v>
      </c>
      <c r="P661" s="54"/>
      <c r="Q661" s="54"/>
      <c r="R661" s="81">
        <f t="shared" si="303"/>
        <v>648.63260723108</v>
      </c>
      <c r="S661" s="81"/>
      <c r="T661" s="82">
        <f t="shared" si="304"/>
        <v>1.86645407590389</v>
      </c>
      <c r="U661" s="81"/>
      <c r="V661" s="81"/>
      <c r="W661" s="83">
        <f t="shared" si="299"/>
        <v>650.499061306984</v>
      </c>
      <c r="X661" s="84">
        <f t="shared" si="305"/>
        <v>9.70338648102403</v>
      </c>
      <c r="Y661" s="84"/>
      <c r="Z661" s="84"/>
      <c r="AA661" s="84">
        <f t="shared" si="300"/>
        <v>9.70338648102403</v>
      </c>
      <c r="AB661" s="94">
        <v>7.17</v>
      </c>
      <c r="AC661" s="81">
        <f t="shared" si="298"/>
        <v>69.5732810689423</v>
      </c>
      <c r="AD661" s="81">
        <f t="shared" si="301"/>
        <v>720.072342375926</v>
      </c>
      <c r="AE661" s="81">
        <f t="shared" si="302"/>
        <v>1259.92765762407</v>
      </c>
    </row>
    <row r="662" customFormat="1" spans="1:31">
      <c r="A662" s="19"/>
      <c r="B662" s="20"/>
      <c r="C662" s="21">
        <v>240119000021</v>
      </c>
      <c r="D662" s="22">
        <v>45313</v>
      </c>
      <c r="E662" s="22" t="s">
        <v>49</v>
      </c>
      <c r="F662" s="20" t="s">
        <v>50</v>
      </c>
      <c r="G662" s="20" t="s">
        <v>445</v>
      </c>
      <c r="H662" s="20">
        <v>248</v>
      </c>
      <c r="I662" s="43">
        <v>9920</v>
      </c>
      <c r="J662" s="59"/>
      <c r="K662" s="52"/>
      <c r="L662" s="59"/>
      <c r="M662" s="46"/>
      <c r="N662" s="20"/>
      <c r="O662" s="48">
        <f t="shared" si="310"/>
        <v>9920</v>
      </c>
      <c r="P662" s="54"/>
      <c r="Q662" s="54"/>
      <c r="R662" s="81">
        <f t="shared" si="303"/>
        <v>8936.71592185044</v>
      </c>
      <c r="S662" s="81"/>
      <c r="T662" s="82">
        <f t="shared" si="304"/>
        <v>25.7155894902313</v>
      </c>
      <c r="U662" s="81"/>
      <c r="V662" s="81"/>
      <c r="W662" s="83">
        <f t="shared" si="299"/>
        <v>8962.43151134067</v>
      </c>
      <c r="X662" s="84">
        <f t="shared" si="305"/>
        <v>133.691102627442</v>
      </c>
      <c r="Y662" s="84"/>
      <c r="Z662" s="84"/>
      <c r="AA662" s="84">
        <f t="shared" si="300"/>
        <v>133.691102627442</v>
      </c>
      <c r="AB662" s="94">
        <v>7.17</v>
      </c>
      <c r="AC662" s="81">
        <f t="shared" si="298"/>
        <v>958.56520583876</v>
      </c>
      <c r="AD662" s="81">
        <f t="shared" si="301"/>
        <v>9920.99671717943</v>
      </c>
      <c r="AE662" s="81">
        <f t="shared" si="302"/>
        <v>-0.996717179430561</v>
      </c>
    </row>
    <row r="663" customFormat="1" spans="1:31">
      <c r="A663" s="19"/>
      <c r="B663" s="20"/>
      <c r="C663" s="21">
        <v>240119000023</v>
      </c>
      <c r="D663" s="22">
        <v>45313</v>
      </c>
      <c r="E663" s="22" t="s">
        <v>49</v>
      </c>
      <c r="F663" s="20" t="s">
        <v>50</v>
      </c>
      <c r="G663" s="20" t="s">
        <v>445</v>
      </c>
      <c r="H663" s="20">
        <v>870.5</v>
      </c>
      <c r="I663" s="43">
        <v>34820</v>
      </c>
      <c r="J663" s="59"/>
      <c r="K663" s="52"/>
      <c r="L663" s="59"/>
      <c r="M663" s="46"/>
      <c r="N663" s="20"/>
      <c r="O663" s="48">
        <f t="shared" si="310"/>
        <v>34820</v>
      </c>
      <c r="P663" s="54"/>
      <c r="Q663" s="54"/>
      <c r="R663" s="81">
        <f t="shared" si="303"/>
        <v>31368.593588592</v>
      </c>
      <c r="S663" s="81"/>
      <c r="T663" s="82">
        <f t="shared" si="304"/>
        <v>90.263792948574</v>
      </c>
      <c r="U663" s="81"/>
      <c r="V663" s="81"/>
      <c r="W663" s="83">
        <f t="shared" si="299"/>
        <v>31458.8573815405</v>
      </c>
      <c r="X663" s="84">
        <f t="shared" si="305"/>
        <v>469.266551762857</v>
      </c>
      <c r="Y663" s="84"/>
      <c r="Z663" s="84"/>
      <c r="AA663" s="84">
        <f t="shared" si="300"/>
        <v>469.266551762857</v>
      </c>
      <c r="AB663" s="94">
        <v>7.17</v>
      </c>
      <c r="AC663" s="81">
        <f t="shared" si="298"/>
        <v>3364.64117613968</v>
      </c>
      <c r="AD663" s="81">
        <f t="shared" si="301"/>
        <v>34823.4985576802</v>
      </c>
      <c r="AE663" s="81">
        <f t="shared" si="302"/>
        <v>-3.49855768019916</v>
      </c>
    </row>
    <row r="664" customFormat="1" spans="1:31">
      <c r="A664" s="19"/>
      <c r="B664" s="20"/>
      <c r="C664" s="21">
        <v>240119000035</v>
      </c>
      <c r="D664" s="22">
        <v>45313</v>
      </c>
      <c r="E664" s="25" t="s">
        <v>69</v>
      </c>
      <c r="F664" s="20" t="s">
        <v>69</v>
      </c>
      <c r="G664" s="20" t="s">
        <v>92</v>
      </c>
      <c r="H664" s="20">
        <v>302</v>
      </c>
      <c r="I664" s="50">
        <v>11476</v>
      </c>
      <c r="J664" s="59"/>
      <c r="K664" s="52"/>
      <c r="L664" s="59"/>
      <c r="M664" s="46"/>
      <c r="N664" s="20"/>
      <c r="O664" s="48">
        <f t="shared" si="310"/>
        <v>11476</v>
      </c>
      <c r="P664" s="54"/>
      <c r="Q664" s="54"/>
      <c r="R664" s="81">
        <f t="shared" si="303"/>
        <v>10882.6137435437</v>
      </c>
      <c r="S664" s="81"/>
      <c r="T664" s="82">
        <f t="shared" si="304"/>
        <v>31.314951717943</v>
      </c>
      <c r="U664" s="81"/>
      <c r="V664" s="81"/>
      <c r="W664" s="83">
        <f t="shared" si="299"/>
        <v>10913.9286952616</v>
      </c>
      <c r="X664" s="84">
        <f t="shared" si="305"/>
        <v>162.801262070514</v>
      </c>
      <c r="Y664" s="84"/>
      <c r="Z664" s="84"/>
      <c r="AA664" s="84">
        <f t="shared" si="300"/>
        <v>162.801262070514</v>
      </c>
      <c r="AB664" s="94">
        <v>7.17</v>
      </c>
      <c r="AC664" s="81">
        <f t="shared" si="298"/>
        <v>1167.28504904559</v>
      </c>
      <c r="AD664" s="81">
        <f t="shared" si="301"/>
        <v>12081.2137443072</v>
      </c>
      <c r="AE664" s="81">
        <f t="shared" si="302"/>
        <v>-605.213744307201</v>
      </c>
    </row>
    <row r="665" customFormat="1" spans="1:31">
      <c r="A665" s="19"/>
      <c r="B665" s="20"/>
      <c r="C665" s="21">
        <v>240119000036</v>
      </c>
      <c r="D665" s="22">
        <v>45313</v>
      </c>
      <c r="E665" s="22" t="s">
        <v>49</v>
      </c>
      <c r="F665" s="20" t="s">
        <v>50</v>
      </c>
      <c r="G665" s="20" t="s">
        <v>66</v>
      </c>
      <c r="H665" s="20">
        <v>31.5</v>
      </c>
      <c r="I665" s="43">
        <v>1416</v>
      </c>
      <c r="J665" s="44"/>
      <c r="K665" s="45"/>
      <c r="L665" s="44"/>
      <c r="M665" s="46"/>
      <c r="N665" s="20"/>
      <c r="O665" s="48">
        <f t="shared" si="310"/>
        <v>1416</v>
      </c>
      <c r="P665" s="54"/>
      <c r="Q665" s="54"/>
      <c r="R665" s="81">
        <f t="shared" si="303"/>
        <v>1135.10706265439</v>
      </c>
      <c r="S665" s="81"/>
      <c r="T665" s="82">
        <f t="shared" si="304"/>
        <v>3.2662946328318</v>
      </c>
      <c r="U665" s="81">
        <v>30</v>
      </c>
      <c r="V665" s="81"/>
      <c r="W665" s="83">
        <f t="shared" si="299"/>
        <v>1168.37335728722</v>
      </c>
      <c r="X665" s="84">
        <f t="shared" si="305"/>
        <v>16.9809263417921</v>
      </c>
      <c r="Y665" s="84"/>
      <c r="Z665" s="84"/>
      <c r="AA665" s="84">
        <f t="shared" si="300"/>
        <v>16.9809263417921</v>
      </c>
      <c r="AB665" s="94">
        <v>7.17</v>
      </c>
      <c r="AC665" s="81">
        <f t="shared" si="298"/>
        <v>121.753241870649</v>
      </c>
      <c r="AD665" s="81">
        <f t="shared" si="301"/>
        <v>1290.12659915787</v>
      </c>
      <c r="AE665" s="81">
        <f t="shared" si="302"/>
        <v>125.87340084213</v>
      </c>
    </row>
    <row r="666" customFormat="1" spans="1:31">
      <c r="A666" s="19"/>
      <c r="B666" s="20"/>
      <c r="C666" s="21">
        <v>240119000048</v>
      </c>
      <c r="D666" s="22">
        <v>45313</v>
      </c>
      <c r="E666" s="22" t="s">
        <v>44</v>
      </c>
      <c r="F666" s="20" t="s">
        <v>45</v>
      </c>
      <c r="G666" s="20" t="s">
        <v>85</v>
      </c>
      <c r="H666" s="20">
        <v>23</v>
      </c>
      <c r="I666" s="43">
        <v>1092.5</v>
      </c>
      <c r="J666" s="44"/>
      <c r="K666" s="45"/>
      <c r="L666" s="44"/>
      <c r="M666" s="46"/>
      <c r="N666" s="20"/>
      <c r="O666" s="48">
        <f t="shared" si="310"/>
        <v>1092.5</v>
      </c>
      <c r="P666" s="54"/>
      <c r="Q666" s="54"/>
      <c r="R666" s="81">
        <f t="shared" si="303"/>
        <v>828.808331461936</v>
      </c>
      <c r="S666" s="81"/>
      <c r="T666" s="82">
        <f t="shared" si="304"/>
        <v>2.38491354143274</v>
      </c>
      <c r="U666" s="81"/>
      <c r="V666" s="81"/>
      <c r="W666" s="83">
        <f t="shared" si="299"/>
        <v>831.193245003369</v>
      </c>
      <c r="X666" s="84">
        <f t="shared" si="305"/>
        <v>12.3987716146418</v>
      </c>
      <c r="Y666" s="84"/>
      <c r="Z666" s="84"/>
      <c r="AA666" s="84">
        <f t="shared" si="300"/>
        <v>12.3987716146418</v>
      </c>
      <c r="AB666" s="94">
        <v>7.17</v>
      </c>
      <c r="AC666" s="81">
        <f t="shared" si="298"/>
        <v>88.8991924769818</v>
      </c>
      <c r="AD666" s="81">
        <f t="shared" si="301"/>
        <v>920.09243748035</v>
      </c>
      <c r="AE666" s="81">
        <f t="shared" si="302"/>
        <v>172.40756251965</v>
      </c>
    </row>
    <row r="667" customFormat="1" spans="1:31">
      <c r="A667" s="19"/>
      <c r="B667" s="20"/>
      <c r="C667" s="21">
        <v>240119000049</v>
      </c>
      <c r="D667" s="22">
        <v>45313</v>
      </c>
      <c r="E667" s="22" t="s">
        <v>44</v>
      </c>
      <c r="F667" s="20" t="s">
        <v>45</v>
      </c>
      <c r="G667" s="20" t="s">
        <v>85</v>
      </c>
      <c r="H667" s="20">
        <v>27</v>
      </c>
      <c r="I667" s="43">
        <v>1225.8</v>
      </c>
      <c r="J667" s="44"/>
      <c r="K667" s="45"/>
      <c r="L667" s="44"/>
      <c r="M667" s="46"/>
      <c r="N667" s="20"/>
      <c r="O667" s="48">
        <f t="shared" si="310"/>
        <v>1225.8</v>
      </c>
      <c r="P667" s="54"/>
      <c r="Q667" s="54"/>
      <c r="R667" s="81">
        <f t="shared" si="303"/>
        <v>972.94891084662</v>
      </c>
      <c r="S667" s="81"/>
      <c r="T667" s="82">
        <f t="shared" si="304"/>
        <v>2.79968111385583</v>
      </c>
      <c r="U667" s="81"/>
      <c r="V667" s="81"/>
      <c r="W667" s="83">
        <f t="shared" si="299"/>
        <v>975.748591960476</v>
      </c>
      <c r="X667" s="84">
        <f t="shared" si="305"/>
        <v>14.555079721536</v>
      </c>
      <c r="Y667" s="84"/>
      <c r="Z667" s="84"/>
      <c r="AA667" s="84">
        <f t="shared" si="300"/>
        <v>14.555079721536</v>
      </c>
      <c r="AB667" s="94">
        <v>7.17</v>
      </c>
      <c r="AC667" s="81">
        <f t="shared" ref="AC667:AC695" si="311">SUM(AA667*AB667)</f>
        <v>104.359921603413</v>
      </c>
      <c r="AD667" s="81">
        <f t="shared" si="301"/>
        <v>1080.10851356389</v>
      </c>
      <c r="AE667" s="81">
        <f t="shared" ref="AE667:AE695" si="312">SUM(O667-AD667)</f>
        <v>145.69148643611</v>
      </c>
    </row>
    <row r="668" customFormat="1" spans="1:31">
      <c r="A668" s="19"/>
      <c r="B668" s="20"/>
      <c r="C668" s="21">
        <v>240119000051</v>
      </c>
      <c r="D668" s="22">
        <v>45313</v>
      </c>
      <c r="E668" s="25" t="s">
        <v>69</v>
      </c>
      <c r="F668" s="20" t="s">
        <v>69</v>
      </c>
      <c r="G668" s="20" t="s">
        <v>92</v>
      </c>
      <c r="H668" s="20">
        <v>308.5</v>
      </c>
      <c r="I668" s="50">
        <v>11723</v>
      </c>
      <c r="J668" s="59"/>
      <c r="K668" s="52"/>
      <c r="L668" s="59"/>
      <c r="M668" s="46"/>
      <c r="N668" s="20"/>
      <c r="O668" s="48">
        <f t="shared" si="310"/>
        <v>11723</v>
      </c>
      <c r="P668" s="60"/>
      <c r="Q668" s="60"/>
      <c r="R668" s="81">
        <f t="shared" si="303"/>
        <v>11116.8421850438</v>
      </c>
      <c r="S668" s="81"/>
      <c r="T668" s="82">
        <f t="shared" si="304"/>
        <v>31.9889490231305</v>
      </c>
      <c r="U668" s="81"/>
      <c r="V668" s="81"/>
      <c r="W668" s="83">
        <f t="shared" si="299"/>
        <v>11148.8311340669</v>
      </c>
      <c r="X668" s="84">
        <f t="shared" si="305"/>
        <v>166.305262744217</v>
      </c>
      <c r="Y668" s="84"/>
      <c r="Z668" s="84"/>
      <c r="AA668" s="84">
        <f t="shared" ref="AA668:AA695" si="313">SUM(X668:Z668)</f>
        <v>166.305262744217</v>
      </c>
      <c r="AB668" s="94">
        <v>7.17</v>
      </c>
      <c r="AC668" s="81">
        <f t="shared" si="311"/>
        <v>1192.40873387604</v>
      </c>
      <c r="AD668" s="81">
        <f t="shared" ref="AD668:AD695" si="314">SUM(W668+AC668)</f>
        <v>12341.239867943</v>
      </c>
      <c r="AE668" s="81">
        <f t="shared" si="312"/>
        <v>-618.239867943001</v>
      </c>
    </row>
    <row r="669" customFormat="1" spans="1:31">
      <c r="A669" s="19" t="s">
        <v>446</v>
      </c>
      <c r="B669" s="20" t="s">
        <v>447</v>
      </c>
      <c r="C669" s="21">
        <v>240115000058</v>
      </c>
      <c r="D669" s="22">
        <v>45316</v>
      </c>
      <c r="E669" s="22" t="s">
        <v>99</v>
      </c>
      <c r="F669" s="20" t="s">
        <v>448</v>
      </c>
      <c r="G669" s="20" t="s">
        <v>449</v>
      </c>
      <c r="H669" s="20">
        <v>1.5</v>
      </c>
      <c r="I669" s="48"/>
      <c r="J669" s="55">
        <v>24957.5</v>
      </c>
      <c r="K669" s="56"/>
      <c r="L669" s="51">
        <f>SUM(J669/M669)</f>
        <v>1490</v>
      </c>
      <c r="M669" s="53">
        <v>16.75</v>
      </c>
      <c r="N669" s="20">
        <v>7.17</v>
      </c>
      <c r="O669" s="48">
        <f>SUM(M669*N669)</f>
        <v>120.0975</v>
      </c>
      <c r="P669" s="49">
        <f>SUM(O669:O695)</f>
        <v>112220.1724</v>
      </c>
      <c r="Q669" s="80" t="s">
        <v>450</v>
      </c>
      <c r="R669" s="81">
        <f>SUM(78604.64/1831)*H669</f>
        <v>64.3948443473512</v>
      </c>
      <c r="S669" s="81"/>
      <c r="T669" s="82">
        <f>SUM(138.2/1831)*H669</f>
        <v>0.113216821409066</v>
      </c>
      <c r="U669" s="81"/>
      <c r="V669" s="81"/>
      <c r="W669" s="83">
        <f t="shared" ref="W669:W695" si="315">SUM(R669:V669)</f>
        <v>64.5080611687602</v>
      </c>
      <c r="X669" s="84">
        <f>SUM(1023.29/1831)*H669</f>
        <v>0.838304205352266</v>
      </c>
      <c r="Y669" s="84"/>
      <c r="Z669" s="81"/>
      <c r="AA669" s="84">
        <f t="shared" si="313"/>
        <v>0.838304205352266</v>
      </c>
      <c r="AB669" s="94">
        <v>7.17</v>
      </c>
      <c r="AC669" s="81">
        <f t="shared" si="311"/>
        <v>6.01064115237575</v>
      </c>
      <c r="AD669" s="81">
        <f t="shared" si="314"/>
        <v>70.518702321136</v>
      </c>
      <c r="AE669" s="81">
        <f t="shared" si="312"/>
        <v>49.578797678864</v>
      </c>
    </row>
    <row r="670" customFormat="1" spans="1:31">
      <c r="A670" s="19"/>
      <c r="B670" s="20"/>
      <c r="C670" s="21">
        <v>240116000037</v>
      </c>
      <c r="D670" s="22">
        <v>45316</v>
      </c>
      <c r="E670" s="22" t="s">
        <v>58</v>
      </c>
      <c r="F670" s="20" t="s">
        <v>59</v>
      </c>
      <c r="G670" s="20" t="s">
        <v>415</v>
      </c>
      <c r="H670" s="20">
        <v>31</v>
      </c>
      <c r="I670" s="43">
        <v>1838</v>
      </c>
      <c r="J670" s="44"/>
      <c r="K670" s="45"/>
      <c r="L670" s="44"/>
      <c r="M670" s="46"/>
      <c r="N670" s="20"/>
      <c r="O670" s="48">
        <f t="shared" ref="O670:O676" si="316">SUM(I670)</f>
        <v>1838</v>
      </c>
      <c r="P670" s="54"/>
      <c r="Q670" s="54"/>
      <c r="R670" s="81">
        <f t="shared" ref="R670:R695" si="317">SUM(78604.64/1831)*H670</f>
        <v>1330.82678317859</v>
      </c>
      <c r="S670" s="81"/>
      <c r="T670" s="82">
        <f t="shared" ref="T670:T695" si="318">SUM(138.2/1831)*H670</f>
        <v>2.3398143091207</v>
      </c>
      <c r="U670" s="81">
        <v>40</v>
      </c>
      <c r="V670" s="81"/>
      <c r="W670" s="83">
        <f t="shared" si="315"/>
        <v>1373.16659748771</v>
      </c>
      <c r="X670" s="84">
        <f t="shared" ref="X670:X695" si="319">SUM(1023.29/1831)*H670</f>
        <v>17.3249535772802</v>
      </c>
      <c r="Y670" s="84"/>
      <c r="Z670" s="81"/>
      <c r="AA670" s="84">
        <f t="shared" si="313"/>
        <v>17.3249535772802</v>
      </c>
      <c r="AB670" s="94">
        <v>7.17</v>
      </c>
      <c r="AC670" s="81">
        <f t="shared" si="311"/>
        <v>124.219917149099</v>
      </c>
      <c r="AD670" s="81">
        <f t="shared" si="314"/>
        <v>1497.38651463681</v>
      </c>
      <c r="AE670" s="81">
        <f t="shared" si="312"/>
        <v>340.61348536319</v>
      </c>
    </row>
    <row r="671" customFormat="1" spans="1:31">
      <c r="A671" s="19"/>
      <c r="B671" s="20"/>
      <c r="C671" s="21">
        <v>240117000006</v>
      </c>
      <c r="D671" s="22">
        <v>45316</v>
      </c>
      <c r="E671" s="22" t="s">
        <v>37</v>
      </c>
      <c r="F671" s="20" t="s">
        <v>38</v>
      </c>
      <c r="G671" s="20" t="s">
        <v>451</v>
      </c>
      <c r="H671" s="20">
        <v>3.5</v>
      </c>
      <c r="I671" s="43">
        <v>177.6</v>
      </c>
      <c r="J671" s="44"/>
      <c r="K671" s="45"/>
      <c r="L671" s="44"/>
      <c r="M671" s="46"/>
      <c r="N671" s="20"/>
      <c r="O671" s="48">
        <f t="shared" si="316"/>
        <v>177.6</v>
      </c>
      <c r="P671" s="54"/>
      <c r="Q671" s="54"/>
      <c r="R671" s="81">
        <f t="shared" si="317"/>
        <v>150.254636810486</v>
      </c>
      <c r="S671" s="81"/>
      <c r="T671" s="82">
        <f t="shared" si="318"/>
        <v>0.264172583287821</v>
      </c>
      <c r="U671" s="81"/>
      <c r="V671" s="81"/>
      <c r="W671" s="83">
        <f t="shared" si="315"/>
        <v>150.518809393774</v>
      </c>
      <c r="X671" s="84">
        <f t="shared" si="319"/>
        <v>1.95604314582196</v>
      </c>
      <c r="Y671" s="84"/>
      <c r="Z671" s="81"/>
      <c r="AA671" s="84">
        <f t="shared" si="313"/>
        <v>1.95604314582196</v>
      </c>
      <c r="AB671" s="94">
        <v>7.17</v>
      </c>
      <c r="AC671" s="81">
        <f t="shared" si="311"/>
        <v>14.0248293555434</v>
      </c>
      <c r="AD671" s="81">
        <f t="shared" si="314"/>
        <v>164.543638749317</v>
      </c>
      <c r="AE671" s="81">
        <f t="shared" si="312"/>
        <v>13.0563612506827</v>
      </c>
    </row>
    <row r="672" customFormat="1" spans="1:31">
      <c r="A672" s="19"/>
      <c r="B672" s="20"/>
      <c r="C672" s="21">
        <v>240117000010</v>
      </c>
      <c r="D672" s="22">
        <v>45316</v>
      </c>
      <c r="E672" s="22" t="s">
        <v>37</v>
      </c>
      <c r="F672" s="20" t="s">
        <v>38</v>
      </c>
      <c r="G672" s="20" t="s">
        <v>122</v>
      </c>
      <c r="H672" s="20">
        <v>518</v>
      </c>
      <c r="I672" s="43">
        <v>33670</v>
      </c>
      <c r="J672" s="44"/>
      <c r="K672" s="45"/>
      <c r="L672" s="44"/>
      <c r="M672" s="46"/>
      <c r="N672" s="20"/>
      <c r="O672" s="48">
        <f t="shared" si="316"/>
        <v>33670</v>
      </c>
      <c r="P672" s="54"/>
      <c r="Q672" s="54"/>
      <c r="R672" s="81">
        <f t="shared" si="317"/>
        <v>22237.6862479519</v>
      </c>
      <c r="S672" s="81"/>
      <c r="T672" s="82">
        <f t="shared" si="318"/>
        <v>39.0975423265975</v>
      </c>
      <c r="U672" s="81"/>
      <c r="V672" s="81"/>
      <c r="W672" s="83">
        <f t="shared" si="315"/>
        <v>22276.7837902785</v>
      </c>
      <c r="X672" s="84">
        <f t="shared" si="319"/>
        <v>289.494385581649</v>
      </c>
      <c r="Y672" s="84"/>
      <c r="Z672" s="81"/>
      <c r="AA672" s="84">
        <f t="shared" si="313"/>
        <v>289.494385581649</v>
      </c>
      <c r="AB672" s="94">
        <v>7.17</v>
      </c>
      <c r="AC672" s="81">
        <f t="shared" si="311"/>
        <v>2075.67474462043</v>
      </c>
      <c r="AD672" s="81">
        <f t="shared" si="314"/>
        <v>24352.458534899</v>
      </c>
      <c r="AE672" s="81">
        <f t="shared" si="312"/>
        <v>9317.54146510104</v>
      </c>
    </row>
    <row r="673" customFormat="1" spans="1:31">
      <c r="A673" s="19"/>
      <c r="B673" s="20"/>
      <c r="C673" s="21">
        <v>240117000013</v>
      </c>
      <c r="D673" s="22">
        <v>45316</v>
      </c>
      <c r="E673" s="22" t="s">
        <v>37</v>
      </c>
      <c r="F673" s="20" t="s">
        <v>38</v>
      </c>
      <c r="G673" s="20" t="s">
        <v>452</v>
      </c>
      <c r="H673" s="20">
        <v>20</v>
      </c>
      <c r="I673" s="43">
        <v>1398</v>
      </c>
      <c r="J673" s="44"/>
      <c r="K673" s="45"/>
      <c r="L673" s="44"/>
      <c r="M673" s="46"/>
      <c r="N673" s="20"/>
      <c r="O673" s="48">
        <f t="shared" si="316"/>
        <v>1398</v>
      </c>
      <c r="P673" s="54"/>
      <c r="Q673" s="54"/>
      <c r="R673" s="81">
        <f t="shared" si="317"/>
        <v>858.597924631349</v>
      </c>
      <c r="S673" s="81"/>
      <c r="T673" s="82">
        <f t="shared" si="318"/>
        <v>1.50955761878755</v>
      </c>
      <c r="U673" s="81"/>
      <c r="V673" s="81"/>
      <c r="W673" s="83">
        <f t="shared" si="315"/>
        <v>860.107482250137</v>
      </c>
      <c r="X673" s="84">
        <f t="shared" si="319"/>
        <v>11.1773894046969</v>
      </c>
      <c r="Y673" s="84"/>
      <c r="Z673" s="81"/>
      <c r="AA673" s="84">
        <f t="shared" si="313"/>
        <v>11.1773894046969</v>
      </c>
      <c r="AB673" s="94">
        <v>7.17</v>
      </c>
      <c r="AC673" s="81">
        <f t="shared" si="311"/>
        <v>80.1418820316767</v>
      </c>
      <c r="AD673" s="81">
        <f t="shared" si="314"/>
        <v>940.249364281813</v>
      </c>
      <c r="AE673" s="81">
        <f t="shared" si="312"/>
        <v>457.750635718187</v>
      </c>
    </row>
    <row r="674" customFormat="1" spans="1:31">
      <c r="A674" s="19"/>
      <c r="B674" s="20"/>
      <c r="C674" s="21">
        <v>240117000017</v>
      </c>
      <c r="D674" s="22">
        <v>45316</v>
      </c>
      <c r="E674" s="22" t="s">
        <v>37</v>
      </c>
      <c r="F674" s="20" t="s">
        <v>38</v>
      </c>
      <c r="G674" s="20" t="s">
        <v>218</v>
      </c>
      <c r="H674" s="20">
        <v>10</v>
      </c>
      <c r="I674" s="43">
        <v>585</v>
      </c>
      <c r="J674" s="44"/>
      <c r="K674" s="45"/>
      <c r="L674" s="44"/>
      <c r="M674" s="46"/>
      <c r="N674" s="20"/>
      <c r="O674" s="48">
        <f t="shared" si="316"/>
        <v>585</v>
      </c>
      <c r="P674" s="54"/>
      <c r="Q674" s="54"/>
      <c r="R674" s="81">
        <f t="shared" si="317"/>
        <v>429.298962315674</v>
      </c>
      <c r="S674" s="81"/>
      <c r="T674" s="82">
        <f t="shared" si="318"/>
        <v>0.754778809393774</v>
      </c>
      <c r="U674" s="81"/>
      <c r="V674" s="81"/>
      <c r="W674" s="83">
        <f t="shared" si="315"/>
        <v>430.053741125068</v>
      </c>
      <c r="X674" s="84">
        <f t="shared" si="319"/>
        <v>5.58869470234844</v>
      </c>
      <c r="Y674" s="84"/>
      <c r="Z674" s="81"/>
      <c r="AA674" s="84">
        <f t="shared" si="313"/>
        <v>5.58869470234844</v>
      </c>
      <c r="AB674" s="94">
        <v>7.17</v>
      </c>
      <c r="AC674" s="81">
        <f t="shared" si="311"/>
        <v>40.0709410158383</v>
      </c>
      <c r="AD674" s="81">
        <f t="shared" si="314"/>
        <v>470.124682140907</v>
      </c>
      <c r="AE674" s="81">
        <f t="shared" si="312"/>
        <v>114.875317859093</v>
      </c>
    </row>
    <row r="675" customFormat="1" spans="1:31">
      <c r="A675" s="19"/>
      <c r="B675" s="20"/>
      <c r="C675" s="21">
        <v>240117000018</v>
      </c>
      <c r="D675" s="22">
        <v>45316</v>
      </c>
      <c r="E675" s="22" t="s">
        <v>37</v>
      </c>
      <c r="F675" s="20" t="s">
        <v>38</v>
      </c>
      <c r="G675" s="20" t="s">
        <v>218</v>
      </c>
      <c r="H675" s="20">
        <v>9</v>
      </c>
      <c r="I675" s="43">
        <v>632.4</v>
      </c>
      <c r="J675" s="44"/>
      <c r="K675" s="45"/>
      <c r="L675" s="44"/>
      <c r="M675" s="46"/>
      <c r="N675" s="20"/>
      <c r="O675" s="48">
        <f t="shared" si="316"/>
        <v>632.4</v>
      </c>
      <c r="P675" s="54"/>
      <c r="Q675" s="54"/>
      <c r="R675" s="81">
        <f t="shared" si="317"/>
        <v>386.369066084107</v>
      </c>
      <c r="S675" s="81"/>
      <c r="T675" s="82">
        <f t="shared" si="318"/>
        <v>0.679300928454396</v>
      </c>
      <c r="U675" s="81"/>
      <c r="V675" s="81"/>
      <c r="W675" s="83">
        <f t="shared" si="315"/>
        <v>387.048367012561</v>
      </c>
      <c r="X675" s="84">
        <f t="shared" si="319"/>
        <v>5.0298252321136</v>
      </c>
      <c r="Y675" s="84"/>
      <c r="Z675" s="81"/>
      <c r="AA675" s="84">
        <f t="shared" si="313"/>
        <v>5.0298252321136</v>
      </c>
      <c r="AB675" s="94">
        <v>7.17</v>
      </c>
      <c r="AC675" s="81">
        <f t="shared" si="311"/>
        <v>36.0638469142545</v>
      </c>
      <c r="AD675" s="81">
        <f t="shared" si="314"/>
        <v>423.112213926816</v>
      </c>
      <c r="AE675" s="81">
        <f t="shared" si="312"/>
        <v>209.287786073184</v>
      </c>
    </row>
    <row r="676" customFormat="1" spans="1:31">
      <c r="A676" s="19"/>
      <c r="B676" s="20"/>
      <c r="C676" s="21">
        <v>240117000023</v>
      </c>
      <c r="D676" s="22">
        <v>45316</v>
      </c>
      <c r="E676" s="22" t="s">
        <v>49</v>
      </c>
      <c r="F676" s="20" t="s">
        <v>50</v>
      </c>
      <c r="G676" s="20" t="s">
        <v>161</v>
      </c>
      <c r="H676" s="20">
        <v>9</v>
      </c>
      <c r="I676" s="43">
        <v>876</v>
      </c>
      <c r="J676" s="44"/>
      <c r="K676" s="45"/>
      <c r="L676" s="44"/>
      <c r="M676" s="46"/>
      <c r="N676" s="20"/>
      <c r="O676" s="48">
        <f t="shared" si="316"/>
        <v>876</v>
      </c>
      <c r="P676" s="54"/>
      <c r="Q676" s="54"/>
      <c r="R676" s="81">
        <f t="shared" si="317"/>
        <v>386.369066084107</v>
      </c>
      <c r="S676" s="81"/>
      <c r="T676" s="82">
        <f t="shared" si="318"/>
        <v>0.679300928454396</v>
      </c>
      <c r="U676" s="81"/>
      <c r="V676" s="81"/>
      <c r="W676" s="83">
        <f t="shared" si="315"/>
        <v>387.048367012561</v>
      </c>
      <c r="X676" s="84">
        <f t="shared" si="319"/>
        <v>5.0298252321136</v>
      </c>
      <c r="Y676" s="84"/>
      <c r="Z676" s="81"/>
      <c r="AA676" s="84">
        <f t="shared" si="313"/>
        <v>5.0298252321136</v>
      </c>
      <c r="AB676" s="94">
        <v>7.17</v>
      </c>
      <c r="AC676" s="81">
        <f t="shared" si="311"/>
        <v>36.0638469142545</v>
      </c>
      <c r="AD676" s="81">
        <f t="shared" si="314"/>
        <v>423.112213926816</v>
      </c>
      <c r="AE676" s="81">
        <f t="shared" si="312"/>
        <v>452.887786073184</v>
      </c>
    </row>
    <row r="677" customFormat="1" spans="1:31">
      <c r="A677" s="19"/>
      <c r="B677" s="20"/>
      <c r="C677" s="21">
        <v>240117000026</v>
      </c>
      <c r="D677" s="22">
        <v>45316</v>
      </c>
      <c r="E677" s="22" t="s">
        <v>49</v>
      </c>
      <c r="F677" s="20" t="s">
        <v>50</v>
      </c>
      <c r="G677" s="20" t="s">
        <v>215</v>
      </c>
      <c r="H677" s="20">
        <v>2</v>
      </c>
      <c r="I677" s="50"/>
      <c r="J677" s="51">
        <v>25320</v>
      </c>
      <c r="K677" s="52"/>
      <c r="L677" s="51">
        <f>SUM(J677/M677)</f>
        <v>1513.44889420203</v>
      </c>
      <c r="M677" s="53">
        <v>16.73</v>
      </c>
      <c r="N677" s="20">
        <v>7.17</v>
      </c>
      <c r="O677" s="48">
        <f>SUM(M677*N677)</f>
        <v>119.9541</v>
      </c>
      <c r="P677" s="54"/>
      <c r="Q677" s="54"/>
      <c r="R677" s="81">
        <f t="shared" si="317"/>
        <v>85.8597924631349</v>
      </c>
      <c r="S677" s="81"/>
      <c r="T677" s="82">
        <f t="shared" si="318"/>
        <v>0.150955761878755</v>
      </c>
      <c r="U677" s="81"/>
      <c r="V677" s="81"/>
      <c r="W677" s="83">
        <f t="shared" si="315"/>
        <v>86.0107482250136</v>
      </c>
      <c r="X677" s="84">
        <f t="shared" si="319"/>
        <v>1.11773894046969</v>
      </c>
      <c r="Y677" s="84"/>
      <c r="Z677" s="81"/>
      <c r="AA677" s="84">
        <f t="shared" si="313"/>
        <v>1.11773894046969</v>
      </c>
      <c r="AB677" s="94">
        <v>7.17</v>
      </c>
      <c r="AC677" s="81">
        <f t="shared" si="311"/>
        <v>8.01418820316767</v>
      </c>
      <c r="AD677" s="81">
        <f t="shared" si="314"/>
        <v>94.0249364281813</v>
      </c>
      <c r="AE677" s="81">
        <f t="shared" si="312"/>
        <v>25.9291635718187</v>
      </c>
    </row>
    <row r="678" customFormat="1" spans="1:31">
      <c r="A678" s="19"/>
      <c r="B678" s="20"/>
      <c r="C678" s="21">
        <v>240117000028</v>
      </c>
      <c r="D678" s="22">
        <v>45316</v>
      </c>
      <c r="E678" s="22" t="s">
        <v>110</v>
      </c>
      <c r="F678" s="20" t="s">
        <v>111</v>
      </c>
      <c r="G678" s="20" t="s">
        <v>453</v>
      </c>
      <c r="H678" s="20">
        <v>0.64</v>
      </c>
      <c r="I678" s="43">
        <v>100.8</v>
      </c>
      <c r="J678" s="44"/>
      <c r="K678" s="45"/>
      <c r="L678" s="44"/>
      <c r="M678" s="46"/>
      <c r="N678" s="20"/>
      <c r="O678" s="48">
        <f t="shared" ref="O678:O683" si="320">SUM(I678)</f>
        <v>100.8</v>
      </c>
      <c r="P678" s="54"/>
      <c r="Q678" s="54"/>
      <c r="R678" s="81">
        <f t="shared" si="317"/>
        <v>27.4751335882032</v>
      </c>
      <c r="S678" s="81"/>
      <c r="T678" s="82">
        <f t="shared" si="318"/>
        <v>0.0483058438012015</v>
      </c>
      <c r="U678" s="81"/>
      <c r="V678" s="81"/>
      <c r="W678" s="83">
        <f t="shared" si="315"/>
        <v>27.5234394320044</v>
      </c>
      <c r="X678" s="84">
        <f t="shared" si="319"/>
        <v>0.3576764609503</v>
      </c>
      <c r="Y678" s="84"/>
      <c r="Z678" s="81"/>
      <c r="AA678" s="84">
        <f t="shared" si="313"/>
        <v>0.3576764609503</v>
      </c>
      <c r="AB678" s="94">
        <v>7.17</v>
      </c>
      <c r="AC678" s="81">
        <f t="shared" si="311"/>
        <v>2.56454022501365</v>
      </c>
      <c r="AD678" s="81">
        <f t="shared" si="314"/>
        <v>30.087979657018</v>
      </c>
      <c r="AE678" s="81">
        <f t="shared" si="312"/>
        <v>70.712020342982</v>
      </c>
    </row>
    <row r="679" customFormat="1" spans="1:31">
      <c r="A679" s="19"/>
      <c r="B679" s="20"/>
      <c r="C679" s="21">
        <v>240117000029</v>
      </c>
      <c r="D679" s="22">
        <v>45316</v>
      </c>
      <c r="E679" s="22" t="s">
        <v>37</v>
      </c>
      <c r="F679" s="20" t="s">
        <v>38</v>
      </c>
      <c r="G679" s="20" t="s">
        <v>454</v>
      </c>
      <c r="H679" s="20">
        <v>86.5</v>
      </c>
      <c r="I679" s="43">
        <v>7116.8</v>
      </c>
      <c r="J679" s="44"/>
      <c r="K679" s="45"/>
      <c r="L679" s="44"/>
      <c r="M679" s="46"/>
      <c r="N679" s="20"/>
      <c r="O679" s="48">
        <f t="shared" si="320"/>
        <v>7116.8</v>
      </c>
      <c r="P679" s="54"/>
      <c r="Q679" s="54"/>
      <c r="R679" s="81">
        <f t="shared" si="317"/>
        <v>3713.43602403058</v>
      </c>
      <c r="S679" s="81"/>
      <c r="T679" s="82">
        <f t="shared" si="318"/>
        <v>6.52883670125614</v>
      </c>
      <c r="U679" s="81"/>
      <c r="V679" s="82">
        <f>SUM(39+145)</f>
        <v>184</v>
      </c>
      <c r="W679" s="83">
        <f t="shared" si="315"/>
        <v>3903.96486073184</v>
      </c>
      <c r="X679" s="84">
        <f t="shared" si="319"/>
        <v>48.342209175314</v>
      </c>
      <c r="Y679" s="84"/>
      <c r="Z679" s="81"/>
      <c r="AA679" s="84">
        <f t="shared" si="313"/>
        <v>48.342209175314</v>
      </c>
      <c r="AB679" s="94">
        <v>7.17</v>
      </c>
      <c r="AC679" s="81">
        <f t="shared" si="311"/>
        <v>346.613639787002</v>
      </c>
      <c r="AD679" s="81">
        <f t="shared" si="314"/>
        <v>4250.57850051884</v>
      </c>
      <c r="AE679" s="81">
        <f t="shared" si="312"/>
        <v>2866.22149948116</v>
      </c>
    </row>
    <row r="680" customFormat="1" spans="1:31">
      <c r="A680" s="19"/>
      <c r="B680" s="20"/>
      <c r="C680" s="21">
        <v>240117000033</v>
      </c>
      <c r="D680" s="22">
        <v>45316</v>
      </c>
      <c r="E680" s="22" t="s">
        <v>49</v>
      </c>
      <c r="F680" s="20" t="s">
        <v>50</v>
      </c>
      <c r="G680" s="20" t="s">
        <v>178</v>
      </c>
      <c r="H680" s="20">
        <v>4</v>
      </c>
      <c r="I680" s="43">
        <v>220</v>
      </c>
      <c r="J680" s="44"/>
      <c r="K680" s="45"/>
      <c r="L680" s="44"/>
      <c r="M680" s="46"/>
      <c r="N680" s="20"/>
      <c r="O680" s="48">
        <f t="shared" si="320"/>
        <v>220</v>
      </c>
      <c r="P680" s="54"/>
      <c r="Q680" s="54"/>
      <c r="R680" s="81">
        <f t="shared" si="317"/>
        <v>171.71958492627</v>
      </c>
      <c r="S680" s="81"/>
      <c r="T680" s="82">
        <f t="shared" si="318"/>
        <v>0.30191152375751</v>
      </c>
      <c r="U680" s="81"/>
      <c r="V680" s="81"/>
      <c r="W680" s="83">
        <f t="shared" si="315"/>
        <v>172.021496450027</v>
      </c>
      <c r="X680" s="84">
        <f t="shared" si="319"/>
        <v>2.23547788093938</v>
      </c>
      <c r="Y680" s="84"/>
      <c r="Z680" s="81"/>
      <c r="AA680" s="84">
        <f t="shared" si="313"/>
        <v>2.23547788093938</v>
      </c>
      <c r="AB680" s="94">
        <v>7.17</v>
      </c>
      <c r="AC680" s="81">
        <f t="shared" si="311"/>
        <v>16.0283764063353</v>
      </c>
      <c r="AD680" s="81">
        <f t="shared" si="314"/>
        <v>188.049872856363</v>
      </c>
      <c r="AE680" s="81">
        <f t="shared" si="312"/>
        <v>31.9501271436374</v>
      </c>
    </row>
    <row r="681" customFormat="1" spans="1:31">
      <c r="A681" s="19"/>
      <c r="B681" s="20"/>
      <c r="C681" s="21">
        <v>240118000002</v>
      </c>
      <c r="D681" s="22">
        <v>45316</v>
      </c>
      <c r="E681" s="22" t="s">
        <v>49</v>
      </c>
      <c r="F681" s="20" t="s">
        <v>50</v>
      </c>
      <c r="G681" s="20" t="s">
        <v>455</v>
      </c>
      <c r="H681" s="20">
        <v>0.42</v>
      </c>
      <c r="I681" s="43">
        <v>69.6</v>
      </c>
      <c r="J681" s="44"/>
      <c r="K681" s="45"/>
      <c r="L681" s="44"/>
      <c r="M681" s="46"/>
      <c r="N681" s="20"/>
      <c r="O681" s="48">
        <f t="shared" si="320"/>
        <v>69.6</v>
      </c>
      <c r="P681" s="54"/>
      <c r="Q681" s="54"/>
      <c r="R681" s="81">
        <f t="shared" si="317"/>
        <v>18.0305564172583</v>
      </c>
      <c r="S681" s="81"/>
      <c r="T681" s="82">
        <f t="shared" si="318"/>
        <v>0.0317007099945385</v>
      </c>
      <c r="U681" s="81"/>
      <c r="V681" s="81"/>
      <c r="W681" s="83">
        <f t="shared" si="315"/>
        <v>18.0622571272529</v>
      </c>
      <c r="X681" s="84">
        <f t="shared" si="319"/>
        <v>0.234725177498635</v>
      </c>
      <c r="Y681" s="84"/>
      <c r="Z681" s="81"/>
      <c r="AA681" s="84">
        <f t="shared" si="313"/>
        <v>0.234725177498635</v>
      </c>
      <c r="AB681" s="94">
        <v>7.17</v>
      </c>
      <c r="AC681" s="81">
        <f t="shared" si="311"/>
        <v>1.68297952266521</v>
      </c>
      <c r="AD681" s="81">
        <f t="shared" si="314"/>
        <v>19.7452366499181</v>
      </c>
      <c r="AE681" s="81">
        <f t="shared" si="312"/>
        <v>49.8547633500819</v>
      </c>
    </row>
    <row r="682" customFormat="1" spans="1:31">
      <c r="A682" s="19"/>
      <c r="B682" s="20"/>
      <c r="C682" s="21">
        <v>240118000003</v>
      </c>
      <c r="D682" s="22">
        <v>45316</v>
      </c>
      <c r="E682" s="22" t="s">
        <v>49</v>
      </c>
      <c r="F682" s="20" t="s">
        <v>50</v>
      </c>
      <c r="G682" s="20" t="s">
        <v>170</v>
      </c>
      <c r="H682" s="20">
        <v>6.5</v>
      </c>
      <c r="I682" s="43">
        <v>482</v>
      </c>
      <c r="J682" s="44"/>
      <c r="K682" s="45"/>
      <c r="L682" s="44"/>
      <c r="M682" s="46"/>
      <c r="N682" s="20"/>
      <c r="O682" s="48">
        <f t="shared" si="320"/>
        <v>482</v>
      </c>
      <c r="P682" s="54"/>
      <c r="Q682" s="54"/>
      <c r="R682" s="81">
        <f t="shared" si="317"/>
        <v>279.044325505188</v>
      </c>
      <c r="S682" s="81"/>
      <c r="T682" s="82">
        <f t="shared" si="318"/>
        <v>0.490606226105953</v>
      </c>
      <c r="U682" s="81">
        <v>40</v>
      </c>
      <c r="V682" s="81"/>
      <c r="W682" s="83">
        <f t="shared" si="315"/>
        <v>319.534931731294</v>
      </c>
      <c r="X682" s="84">
        <f t="shared" si="319"/>
        <v>3.63265155652649</v>
      </c>
      <c r="Y682" s="84"/>
      <c r="Z682" s="81"/>
      <c r="AA682" s="84">
        <f t="shared" si="313"/>
        <v>3.63265155652649</v>
      </c>
      <c r="AB682" s="94">
        <v>7.17</v>
      </c>
      <c r="AC682" s="81">
        <f t="shared" si="311"/>
        <v>26.0461116602949</v>
      </c>
      <c r="AD682" s="81">
        <f t="shared" si="314"/>
        <v>345.581043391589</v>
      </c>
      <c r="AE682" s="81">
        <f t="shared" si="312"/>
        <v>136.418956608411</v>
      </c>
    </row>
    <row r="683" customFormat="1" spans="1:31">
      <c r="A683" s="19"/>
      <c r="B683" s="20"/>
      <c r="C683" s="21">
        <v>240118000007</v>
      </c>
      <c r="D683" s="22">
        <v>45316</v>
      </c>
      <c r="E683" s="22" t="s">
        <v>44</v>
      </c>
      <c r="F683" s="20" t="s">
        <v>45</v>
      </c>
      <c r="G683" s="20" t="s">
        <v>456</v>
      </c>
      <c r="H683" s="20">
        <v>5.5</v>
      </c>
      <c r="I683" s="43">
        <v>400</v>
      </c>
      <c r="J683" s="44"/>
      <c r="K683" s="45"/>
      <c r="L683" s="44"/>
      <c r="M683" s="46"/>
      <c r="N683" s="20"/>
      <c r="O683" s="48">
        <f t="shared" si="320"/>
        <v>400</v>
      </c>
      <c r="P683" s="54"/>
      <c r="Q683" s="54"/>
      <c r="R683" s="81">
        <f t="shared" si="317"/>
        <v>236.114429273621</v>
      </c>
      <c r="S683" s="81"/>
      <c r="T683" s="82">
        <f t="shared" si="318"/>
        <v>0.415128345166576</v>
      </c>
      <c r="U683" s="81"/>
      <c r="V683" s="81"/>
      <c r="W683" s="83">
        <f t="shared" si="315"/>
        <v>236.529557618788</v>
      </c>
      <c r="X683" s="84">
        <f t="shared" si="319"/>
        <v>3.07378208629164</v>
      </c>
      <c r="Y683" s="84"/>
      <c r="Z683" s="81"/>
      <c r="AA683" s="84">
        <f t="shared" si="313"/>
        <v>3.07378208629164</v>
      </c>
      <c r="AB683" s="94">
        <v>7.17</v>
      </c>
      <c r="AC683" s="81">
        <f t="shared" si="311"/>
        <v>22.0390175587111</v>
      </c>
      <c r="AD683" s="81">
        <f t="shared" si="314"/>
        <v>258.568575177499</v>
      </c>
      <c r="AE683" s="81">
        <f t="shared" si="312"/>
        <v>141.431424822501</v>
      </c>
    </row>
    <row r="684" customFormat="1" spans="1:31">
      <c r="A684" s="19"/>
      <c r="B684" s="20"/>
      <c r="C684" s="21">
        <v>240118000010</v>
      </c>
      <c r="D684" s="22">
        <v>45316</v>
      </c>
      <c r="E684" s="25" t="s">
        <v>69</v>
      </c>
      <c r="F684" s="20" t="s">
        <v>69</v>
      </c>
      <c r="G684" s="20" t="s">
        <v>305</v>
      </c>
      <c r="H684" s="20">
        <v>47.5</v>
      </c>
      <c r="I684" s="50"/>
      <c r="J684" s="51">
        <v>597888</v>
      </c>
      <c r="K684" s="52"/>
      <c r="L684" s="51">
        <f>SUM(J684/M684)</f>
        <v>1593.34825711545</v>
      </c>
      <c r="M684" s="53">
        <v>375.24</v>
      </c>
      <c r="N684" s="20">
        <v>7.17</v>
      </c>
      <c r="O684" s="48">
        <f>SUM(M684*N684)</f>
        <v>2690.4708</v>
      </c>
      <c r="P684" s="54"/>
      <c r="Q684" s="54"/>
      <c r="R684" s="81">
        <f t="shared" si="317"/>
        <v>2039.17007099945</v>
      </c>
      <c r="S684" s="81"/>
      <c r="T684" s="82">
        <f t="shared" si="318"/>
        <v>3.58519934462043</v>
      </c>
      <c r="U684" s="81">
        <v>70</v>
      </c>
      <c r="V684" s="81"/>
      <c r="W684" s="83">
        <f t="shared" si="315"/>
        <v>2112.75527034407</v>
      </c>
      <c r="X684" s="84">
        <f t="shared" si="319"/>
        <v>26.5462998361551</v>
      </c>
      <c r="Y684" s="84"/>
      <c r="Z684" s="81"/>
      <c r="AA684" s="84">
        <f t="shared" si="313"/>
        <v>26.5462998361551</v>
      </c>
      <c r="AB684" s="94">
        <v>7.17</v>
      </c>
      <c r="AC684" s="81">
        <f t="shared" si="311"/>
        <v>190.336969825232</v>
      </c>
      <c r="AD684" s="81">
        <f t="shared" si="314"/>
        <v>2303.09224016931</v>
      </c>
      <c r="AE684" s="81">
        <f t="shared" si="312"/>
        <v>387.378559830694</v>
      </c>
    </row>
    <row r="685" customFormat="1" spans="1:31">
      <c r="A685" s="19"/>
      <c r="B685" s="20"/>
      <c r="C685" s="21">
        <v>240118000021</v>
      </c>
      <c r="D685" s="22">
        <v>45316</v>
      </c>
      <c r="E685" s="25" t="s">
        <v>69</v>
      </c>
      <c r="F685" s="20" t="s">
        <v>69</v>
      </c>
      <c r="G685" s="20" t="s">
        <v>331</v>
      </c>
      <c r="H685" s="20">
        <v>32</v>
      </c>
      <c r="I685" s="43">
        <v>2246</v>
      </c>
      <c r="J685" s="59"/>
      <c r="K685" s="52"/>
      <c r="L685" s="59"/>
      <c r="M685" s="46"/>
      <c r="N685" s="20"/>
      <c r="O685" s="48">
        <f t="shared" ref="O685:O696" si="321">SUM(I685)</f>
        <v>2246</v>
      </c>
      <c r="P685" s="54"/>
      <c r="Q685" s="54"/>
      <c r="R685" s="81">
        <f t="shared" si="317"/>
        <v>1373.75667941016</v>
      </c>
      <c r="S685" s="81"/>
      <c r="T685" s="82">
        <f t="shared" si="318"/>
        <v>2.41529219006008</v>
      </c>
      <c r="U685" s="81"/>
      <c r="V685" s="81"/>
      <c r="W685" s="83">
        <f t="shared" si="315"/>
        <v>1376.17197160022</v>
      </c>
      <c r="X685" s="84">
        <f t="shared" si="319"/>
        <v>17.883823047515</v>
      </c>
      <c r="Y685" s="84"/>
      <c r="Z685" s="81"/>
      <c r="AA685" s="84">
        <f t="shared" si="313"/>
        <v>17.883823047515</v>
      </c>
      <c r="AB685" s="94">
        <v>7.17</v>
      </c>
      <c r="AC685" s="81">
        <f t="shared" si="311"/>
        <v>128.227011250683</v>
      </c>
      <c r="AD685" s="81">
        <f t="shared" si="314"/>
        <v>1504.3989828509</v>
      </c>
      <c r="AE685" s="81">
        <f t="shared" si="312"/>
        <v>741.601017149099</v>
      </c>
    </row>
    <row r="686" customFormat="1" spans="1:31">
      <c r="A686" s="19"/>
      <c r="B686" s="20"/>
      <c r="C686" s="21">
        <v>240119000006</v>
      </c>
      <c r="D686" s="22">
        <v>45316</v>
      </c>
      <c r="E686" s="22" t="s">
        <v>49</v>
      </c>
      <c r="F686" s="20" t="s">
        <v>50</v>
      </c>
      <c r="G686" s="20" t="s">
        <v>457</v>
      </c>
      <c r="H686" s="20">
        <v>1.5</v>
      </c>
      <c r="I686" s="43">
        <v>111.6</v>
      </c>
      <c r="J686" s="44"/>
      <c r="K686" s="45"/>
      <c r="L686" s="44"/>
      <c r="M686" s="46"/>
      <c r="N686" s="20"/>
      <c r="O686" s="48">
        <f t="shared" si="321"/>
        <v>111.6</v>
      </c>
      <c r="P686" s="54"/>
      <c r="Q686" s="54"/>
      <c r="R686" s="81">
        <f t="shared" si="317"/>
        <v>64.3948443473512</v>
      </c>
      <c r="S686" s="81"/>
      <c r="T686" s="82">
        <f t="shared" si="318"/>
        <v>0.113216821409066</v>
      </c>
      <c r="U686" s="81"/>
      <c r="V686" s="81"/>
      <c r="W686" s="83">
        <f t="shared" si="315"/>
        <v>64.5080611687602</v>
      </c>
      <c r="X686" s="84">
        <f t="shared" si="319"/>
        <v>0.838304205352266</v>
      </c>
      <c r="Y686" s="84"/>
      <c r="Z686" s="81"/>
      <c r="AA686" s="84">
        <f t="shared" si="313"/>
        <v>0.838304205352266</v>
      </c>
      <c r="AB686" s="94">
        <v>7.17</v>
      </c>
      <c r="AC686" s="81">
        <f t="shared" si="311"/>
        <v>6.01064115237575</v>
      </c>
      <c r="AD686" s="81">
        <f t="shared" si="314"/>
        <v>70.518702321136</v>
      </c>
      <c r="AE686" s="81">
        <f t="shared" si="312"/>
        <v>41.081297678864</v>
      </c>
    </row>
    <row r="687" customFormat="1" spans="1:31">
      <c r="A687" s="19"/>
      <c r="B687" s="20"/>
      <c r="C687" s="21">
        <v>240119000008</v>
      </c>
      <c r="D687" s="22">
        <v>45316</v>
      </c>
      <c r="E687" s="22" t="s">
        <v>49</v>
      </c>
      <c r="F687" s="20" t="s">
        <v>50</v>
      </c>
      <c r="G687" s="20" t="s">
        <v>458</v>
      </c>
      <c r="H687" s="20">
        <v>3.5</v>
      </c>
      <c r="I687" s="43">
        <v>213</v>
      </c>
      <c r="J687" s="44"/>
      <c r="K687" s="45"/>
      <c r="L687" s="44"/>
      <c r="M687" s="46"/>
      <c r="N687" s="20"/>
      <c r="O687" s="48">
        <f t="shared" si="321"/>
        <v>213</v>
      </c>
      <c r="P687" s="54"/>
      <c r="Q687" s="54"/>
      <c r="R687" s="81">
        <f t="shared" si="317"/>
        <v>150.254636810486</v>
      </c>
      <c r="S687" s="81"/>
      <c r="T687" s="82">
        <f t="shared" si="318"/>
        <v>0.264172583287821</v>
      </c>
      <c r="U687" s="81"/>
      <c r="V687" s="81"/>
      <c r="W687" s="83">
        <f t="shared" si="315"/>
        <v>150.518809393774</v>
      </c>
      <c r="X687" s="84">
        <f t="shared" si="319"/>
        <v>1.95604314582196</v>
      </c>
      <c r="Y687" s="84"/>
      <c r="Z687" s="81"/>
      <c r="AA687" s="84">
        <f t="shared" si="313"/>
        <v>1.95604314582196</v>
      </c>
      <c r="AB687" s="94">
        <v>7.17</v>
      </c>
      <c r="AC687" s="81">
        <f t="shared" si="311"/>
        <v>14.0248293555434</v>
      </c>
      <c r="AD687" s="81">
        <f t="shared" si="314"/>
        <v>164.543638749317</v>
      </c>
      <c r="AE687" s="81">
        <f t="shared" si="312"/>
        <v>48.4563612506827</v>
      </c>
    </row>
    <row r="688" customFormat="1" spans="1:31">
      <c r="A688" s="19"/>
      <c r="B688" s="20"/>
      <c r="C688" s="21">
        <v>240119000010</v>
      </c>
      <c r="D688" s="22">
        <v>45316</v>
      </c>
      <c r="E688" s="22" t="s">
        <v>49</v>
      </c>
      <c r="F688" s="20" t="s">
        <v>50</v>
      </c>
      <c r="G688" s="20" t="s">
        <v>66</v>
      </c>
      <c r="H688" s="20">
        <v>2</v>
      </c>
      <c r="I688" s="43">
        <v>120</v>
      </c>
      <c r="J688" s="44"/>
      <c r="K688" s="45"/>
      <c r="L688" s="44"/>
      <c r="M688" s="46"/>
      <c r="N688" s="20"/>
      <c r="O688" s="48">
        <f t="shared" si="321"/>
        <v>120</v>
      </c>
      <c r="P688" s="54"/>
      <c r="Q688" s="54"/>
      <c r="R688" s="81">
        <f t="shared" si="317"/>
        <v>85.8597924631349</v>
      </c>
      <c r="S688" s="81"/>
      <c r="T688" s="82">
        <f t="shared" si="318"/>
        <v>0.150955761878755</v>
      </c>
      <c r="U688" s="81"/>
      <c r="V688" s="81"/>
      <c r="W688" s="83">
        <f t="shared" si="315"/>
        <v>86.0107482250136</v>
      </c>
      <c r="X688" s="84">
        <f t="shared" si="319"/>
        <v>1.11773894046969</v>
      </c>
      <c r="Y688" s="84"/>
      <c r="Z688" s="81"/>
      <c r="AA688" s="84">
        <f t="shared" si="313"/>
        <v>1.11773894046969</v>
      </c>
      <c r="AB688" s="94">
        <v>7.17</v>
      </c>
      <c r="AC688" s="81">
        <f t="shared" si="311"/>
        <v>8.01418820316767</v>
      </c>
      <c r="AD688" s="81">
        <f t="shared" si="314"/>
        <v>94.0249364281813</v>
      </c>
      <c r="AE688" s="81">
        <f t="shared" si="312"/>
        <v>25.9750635718187</v>
      </c>
    </row>
    <row r="689" customFormat="1" spans="1:31">
      <c r="A689" s="19"/>
      <c r="B689" s="20"/>
      <c r="C689" s="21">
        <v>240119000020</v>
      </c>
      <c r="D689" s="22">
        <v>45316</v>
      </c>
      <c r="E689" s="25" t="s">
        <v>69</v>
      </c>
      <c r="F689" s="20" t="s">
        <v>69</v>
      </c>
      <c r="G689" s="20" t="s">
        <v>130</v>
      </c>
      <c r="H689" s="20">
        <v>224</v>
      </c>
      <c r="I689" s="43">
        <v>12240</v>
      </c>
      <c r="J689" s="44"/>
      <c r="K689" s="45"/>
      <c r="L689" s="44"/>
      <c r="M689" s="46"/>
      <c r="N689" s="20"/>
      <c r="O689" s="48">
        <f t="shared" si="321"/>
        <v>12240</v>
      </c>
      <c r="P689" s="54"/>
      <c r="Q689" s="54"/>
      <c r="R689" s="81">
        <f t="shared" si="317"/>
        <v>9616.29675587111</v>
      </c>
      <c r="S689" s="81"/>
      <c r="T689" s="82">
        <f t="shared" si="318"/>
        <v>16.9070453304205</v>
      </c>
      <c r="U689" s="81"/>
      <c r="V689" s="81"/>
      <c r="W689" s="83">
        <f t="shared" si="315"/>
        <v>9633.20380120153</v>
      </c>
      <c r="X689" s="84">
        <f t="shared" si="319"/>
        <v>125.186761332605</v>
      </c>
      <c r="Y689" s="84"/>
      <c r="Z689" s="81"/>
      <c r="AA689" s="84">
        <f t="shared" si="313"/>
        <v>125.186761332605</v>
      </c>
      <c r="AB689" s="94">
        <v>7.17</v>
      </c>
      <c r="AC689" s="81">
        <f t="shared" si="311"/>
        <v>897.589078754779</v>
      </c>
      <c r="AD689" s="81">
        <f t="shared" si="314"/>
        <v>10530.7928799563</v>
      </c>
      <c r="AE689" s="81">
        <f t="shared" si="312"/>
        <v>1709.20712004369</v>
      </c>
    </row>
    <row r="690" customFormat="1" spans="1:31">
      <c r="A690" s="19"/>
      <c r="B690" s="20"/>
      <c r="C690" s="23">
        <v>240119000024</v>
      </c>
      <c r="D690" s="24">
        <v>45316</v>
      </c>
      <c r="E690" s="22" t="s">
        <v>49</v>
      </c>
      <c r="F690" s="26" t="s">
        <v>50</v>
      </c>
      <c r="G690" s="26" t="s">
        <v>445</v>
      </c>
      <c r="H690" s="26">
        <v>2.5</v>
      </c>
      <c r="I690" s="95">
        <v>145</v>
      </c>
      <c r="J690" s="107"/>
      <c r="K690" s="108"/>
      <c r="L690" s="107"/>
      <c r="M690" s="46"/>
      <c r="N690" s="97"/>
      <c r="O690" s="48">
        <f>SUBTOTAL(9,I690)</f>
        <v>145</v>
      </c>
      <c r="P690" s="54"/>
      <c r="Q690" s="54"/>
      <c r="R690" s="81">
        <f t="shared" si="317"/>
        <v>107.324740578919</v>
      </c>
      <c r="S690" s="81"/>
      <c r="T690" s="82">
        <f t="shared" si="318"/>
        <v>0.188694702348443</v>
      </c>
      <c r="U690" s="81"/>
      <c r="V690" s="81"/>
      <c r="W690" s="83">
        <f t="shared" si="315"/>
        <v>107.513435281267</v>
      </c>
      <c r="X690" s="84">
        <f t="shared" si="319"/>
        <v>1.39717367558711</v>
      </c>
      <c r="Y690" s="84"/>
      <c r="Z690" s="81"/>
      <c r="AA690" s="84">
        <f t="shared" si="313"/>
        <v>1.39717367558711</v>
      </c>
      <c r="AB690" s="94">
        <v>7.17</v>
      </c>
      <c r="AC690" s="81">
        <f t="shared" si="311"/>
        <v>10.0177352539596</v>
      </c>
      <c r="AD690" s="81">
        <f t="shared" si="314"/>
        <v>117.531170535227</v>
      </c>
      <c r="AE690" s="81">
        <f t="shared" si="312"/>
        <v>27.4688294647733</v>
      </c>
    </row>
    <row r="691" customFormat="1" spans="1:31">
      <c r="A691" s="19"/>
      <c r="B691" s="20"/>
      <c r="C691" s="21">
        <v>240119000046</v>
      </c>
      <c r="D691" s="22">
        <v>45316</v>
      </c>
      <c r="E691" s="22" t="s">
        <v>44</v>
      </c>
      <c r="F691" s="20" t="s">
        <v>45</v>
      </c>
      <c r="G691" s="20" t="s">
        <v>85</v>
      </c>
      <c r="H691" s="20">
        <v>29.5</v>
      </c>
      <c r="I691" s="43">
        <v>2522.25</v>
      </c>
      <c r="J691" s="44"/>
      <c r="K691" s="45"/>
      <c r="L691" s="44"/>
      <c r="M691" s="46"/>
      <c r="N691" s="20"/>
      <c r="O691" s="48">
        <f t="shared" si="321"/>
        <v>2522.25</v>
      </c>
      <c r="P691" s="54"/>
      <c r="Q691" s="54"/>
      <c r="R691" s="81">
        <f t="shared" si="317"/>
        <v>1266.43193883124</v>
      </c>
      <c r="S691" s="81"/>
      <c r="T691" s="82">
        <f t="shared" si="318"/>
        <v>2.22659748771163</v>
      </c>
      <c r="U691" s="81"/>
      <c r="V691" s="81"/>
      <c r="W691" s="83">
        <f t="shared" si="315"/>
        <v>1268.65853631895</v>
      </c>
      <c r="X691" s="84">
        <f t="shared" si="319"/>
        <v>16.4866493719279</v>
      </c>
      <c r="Y691" s="84"/>
      <c r="Z691" s="81"/>
      <c r="AA691" s="84">
        <f t="shared" si="313"/>
        <v>16.4866493719279</v>
      </c>
      <c r="AB691" s="94">
        <v>7.17</v>
      </c>
      <c r="AC691" s="81">
        <f t="shared" si="311"/>
        <v>118.209275996723</v>
      </c>
      <c r="AD691" s="81">
        <f t="shared" si="314"/>
        <v>1386.86781231567</v>
      </c>
      <c r="AE691" s="81">
        <f t="shared" si="312"/>
        <v>1135.38218768433</v>
      </c>
    </row>
    <row r="692" customFormat="1" spans="1:31">
      <c r="A692" s="19"/>
      <c r="B692" s="20"/>
      <c r="C692" s="21">
        <v>240119000047</v>
      </c>
      <c r="D692" s="22">
        <v>45316</v>
      </c>
      <c r="E692" s="22" t="s">
        <v>44</v>
      </c>
      <c r="F692" s="20" t="s">
        <v>45</v>
      </c>
      <c r="G692" s="20" t="s">
        <v>85</v>
      </c>
      <c r="H692" s="20">
        <v>16</v>
      </c>
      <c r="I692" s="43">
        <v>1481.6</v>
      </c>
      <c r="J692" s="44"/>
      <c r="K692" s="45"/>
      <c r="L692" s="44"/>
      <c r="M692" s="46"/>
      <c r="N692" s="20"/>
      <c r="O692" s="48">
        <f t="shared" si="321"/>
        <v>1481.6</v>
      </c>
      <c r="P692" s="54"/>
      <c r="Q692" s="54"/>
      <c r="R692" s="81">
        <f t="shared" si="317"/>
        <v>686.878339705079</v>
      </c>
      <c r="S692" s="81"/>
      <c r="T692" s="82">
        <f t="shared" si="318"/>
        <v>1.20764609503004</v>
      </c>
      <c r="U692" s="81"/>
      <c r="V692" s="81"/>
      <c r="W692" s="83">
        <f t="shared" si="315"/>
        <v>688.085985800109</v>
      </c>
      <c r="X692" s="84">
        <f t="shared" si="319"/>
        <v>8.94191152375751</v>
      </c>
      <c r="Y692" s="84"/>
      <c r="Z692" s="81"/>
      <c r="AA692" s="84">
        <f t="shared" si="313"/>
        <v>8.94191152375751</v>
      </c>
      <c r="AB692" s="94">
        <v>7.17</v>
      </c>
      <c r="AC692" s="81">
        <f t="shared" si="311"/>
        <v>64.1135056253413</v>
      </c>
      <c r="AD692" s="81">
        <f t="shared" si="314"/>
        <v>752.19949142545</v>
      </c>
      <c r="AE692" s="81">
        <f t="shared" si="312"/>
        <v>729.400508574549</v>
      </c>
    </row>
    <row r="693" customFormat="1" spans="1:31">
      <c r="A693" s="19"/>
      <c r="B693" s="20"/>
      <c r="C693" s="21">
        <v>240119000050</v>
      </c>
      <c r="D693" s="22">
        <v>45316</v>
      </c>
      <c r="E693" s="22" t="s">
        <v>44</v>
      </c>
      <c r="F693" s="20" t="s">
        <v>45</v>
      </c>
      <c r="G693" s="20" t="s">
        <v>85</v>
      </c>
      <c r="H693" s="20">
        <v>9.5</v>
      </c>
      <c r="I693" s="43">
        <v>870.2</v>
      </c>
      <c r="J693" s="44"/>
      <c r="K693" s="45"/>
      <c r="L693" s="44"/>
      <c r="M693" s="46"/>
      <c r="N693" s="20"/>
      <c r="O693" s="48">
        <f t="shared" si="321"/>
        <v>870.2</v>
      </c>
      <c r="P693" s="54"/>
      <c r="Q693" s="54"/>
      <c r="R693" s="81">
        <f t="shared" si="317"/>
        <v>407.834014199891</v>
      </c>
      <c r="S693" s="81"/>
      <c r="T693" s="82">
        <f t="shared" si="318"/>
        <v>0.717039868924085</v>
      </c>
      <c r="U693" s="81"/>
      <c r="V693" s="81"/>
      <c r="W693" s="83">
        <f t="shared" si="315"/>
        <v>408.551054068815</v>
      </c>
      <c r="X693" s="84">
        <f t="shared" si="319"/>
        <v>5.30925996723102</v>
      </c>
      <c r="Y693" s="84"/>
      <c r="Z693" s="81"/>
      <c r="AA693" s="84">
        <f t="shared" si="313"/>
        <v>5.30925996723102</v>
      </c>
      <c r="AB693" s="94">
        <v>7.17</v>
      </c>
      <c r="AC693" s="81">
        <f t="shared" si="311"/>
        <v>38.0673939650464</v>
      </c>
      <c r="AD693" s="81">
        <f t="shared" si="314"/>
        <v>446.618448033861</v>
      </c>
      <c r="AE693" s="81">
        <f t="shared" si="312"/>
        <v>423.581551966139</v>
      </c>
    </row>
    <row r="694" customFormat="1" spans="1:31">
      <c r="A694" s="19"/>
      <c r="B694" s="20"/>
      <c r="C694" s="21">
        <v>240119000052</v>
      </c>
      <c r="D694" s="22">
        <v>45316</v>
      </c>
      <c r="E694" s="25" t="s">
        <v>69</v>
      </c>
      <c r="F694" s="20" t="s">
        <v>69</v>
      </c>
      <c r="G694" s="20" t="s">
        <v>92</v>
      </c>
      <c r="H694" s="20">
        <v>6.5</v>
      </c>
      <c r="I694" s="50">
        <v>412.8</v>
      </c>
      <c r="J694" s="59"/>
      <c r="K694" s="52"/>
      <c r="L694" s="59"/>
      <c r="M694" s="46"/>
      <c r="N694" s="20"/>
      <c r="O694" s="48">
        <f t="shared" si="321"/>
        <v>412.8</v>
      </c>
      <c r="P694" s="54"/>
      <c r="Q694" s="54"/>
      <c r="R694" s="81">
        <f t="shared" si="317"/>
        <v>279.044325505188</v>
      </c>
      <c r="S694" s="81"/>
      <c r="T694" s="82">
        <f t="shared" si="318"/>
        <v>0.490606226105953</v>
      </c>
      <c r="U694" s="81"/>
      <c r="V694" s="81"/>
      <c r="W694" s="83">
        <f t="shared" si="315"/>
        <v>279.534931731294</v>
      </c>
      <c r="X694" s="84">
        <f t="shared" si="319"/>
        <v>3.63265155652649</v>
      </c>
      <c r="Y694" s="84"/>
      <c r="Z694" s="81"/>
      <c r="AA694" s="84">
        <f t="shared" ref="AA694:AA716" si="322">SUM(X694:Z694)</f>
        <v>3.63265155652649</v>
      </c>
      <c r="AB694" s="94">
        <v>7.17</v>
      </c>
      <c r="AC694" s="81">
        <f t="shared" ref="AC694:AC716" si="323">SUM(AA694*AB694)</f>
        <v>26.0461116602949</v>
      </c>
      <c r="AD694" s="81">
        <f t="shared" ref="AD694:AD716" si="324">SUM(W694+AC694)</f>
        <v>305.581043391589</v>
      </c>
      <c r="AE694" s="81">
        <f t="shared" ref="AE694:AE716" si="325">SUM(O694-AD694)</f>
        <v>107.218956608411</v>
      </c>
    </row>
    <row r="695" customFormat="1" spans="1:31">
      <c r="A695" s="19"/>
      <c r="B695" s="20"/>
      <c r="C695" s="21">
        <v>240125000029</v>
      </c>
      <c r="D695" s="22">
        <v>45316</v>
      </c>
      <c r="E695" s="25" t="s">
        <v>69</v>
      </c>
      <c r="F695" s="20" t="s">
        <v>69</v>
      </c>
      <c r="G695" s="20" t="s">
        <v>175</v>
      </c>
      <c r="H695" s="20">
        <v>811</v>
      </c>
      <c r="I695" s="43">
        <v>41361</v>
      </c>
      <c r="J695" s="44"/>
      <c r="K695" s="45"/>
      <c r="L695" s="44"/>
      <c r="M695" s="46"/>
      <c r="N695" s="20"/>
      <c r="O695" s="48">
        <f t="shared" si="321"/>
        <v>41361</v>
      </c>
      <c r="P695" s="60"/>
      <c r="Q695" s="60"/>
      <c r="R695" s="81">
        <f t="shared" si="317"/>
        <v>34816.1458438012</v>
      </c>
      <c r="S695" s="81"/>
      <c r="T695" s="82">
        <f t="shared" si="318"/>
        <v>61.2125614418351</v>
      </c>
      <c r="U695" s="81"/>
      <c r="V695" s="81"/>
      <c r="W695" s="83">
        <f t="shared" ref="W695:W716" si="326">SUM(R695:V695)</f>
        <v>34877.358405243</v>
      </c>
      <c r="X695" s="84">
        <f t="shared" si="319"/>
        <v>453.243140360459</v>
      </c>
      <c r="Y695" s="84"/>
      <c r="Z695" s="81"/>
      <c r="AA695" s="84">
        <f t="shared" si="322"/>
        <v>453.243140360459</v>
      </c>
      <c r="AB695" s="94">
        <v>7.17</v>
      </c>
      <c r="AC695" s="81">
        <f t="shared" si="323"/>
        <v>3249.75331638449</v>
      </c>
      <c r="AD695" s="81">
        <f t="shared" si="324"/>
        <v>38127.1117216275</v>
      </c>
      <c r="AE695" s="81">
        <f t="shared" si="325"/>
        <v>3233.88827837248</v>
      </c>
    </row>
    <row r="696" customFormat="1" spans="1:31">
      <c r="A696" s="19" t="s">
        <v>459</v>
      </c>
      <c r="B696" s="20" t="s">
        <v>460</v>
      </c>
      <c r="C696" s="21">
        <v>240116000005</v>
      </c>
      <c r="D696" s="22">
        <v>45317</v>
      </c>
      <c r="E696" s="22" t="s">
        <v>58</v>
      </c>
      <c r="F696" s="20" t="s">
        <v>59</v>
      </c>
      <c r="G696" s="20" t="s">
        <v>461</v>
      </c>
      <c r="H696" s="20">
        <v>0.92</v>
      </c>
      <c r="I696" s="43">
        <v>125</v>
      </c>
      <c r="J696" s="44"/>
      <c r="K696" s="45"/>
      <c r="L696" s="44"/>
      <c r="M696" s="46"/>
      <c r="N696" s="20"/>
      <c r="O696" s="48">
        <f t="shared" si="321"/>
        <v>125</v>
      </c>
      <c r="P696" s="49">
        <f>SUM(O696:O716)</f>
        <v>10370.28223585</v>
      </c>
      <c r="Q696" s="49" t="s">
        <v>146</v>
      </c>
      <c r="R696" s="81">
        <f>SUM(4600/64)*H696</f>
        <v>66.125</v>
      </c>
      <c r="S696" s="81"/>
      <c r="T696" s="82">
        <f>SUM(140.27/64)*H696</f>
        <v>2.01638125</v>
      </c>
      <c r="U696" s="81"/>
      <c r="V696" s="81"/>
      <c r="W696" s="83">
        <f t="shared" si="326"/>
        <v>68.14138125</v>
      </c>
      <c r="X696" s="84">
        <f>SUM(259.93/64)*H696</f>
        <v>3.73649375</v>
      </c>
      <c r="Y696" s="84"/>
      <c r="Z696" s="81"/>
      <c r="AA696" s="84">
        <f t="shared" si="322"/>
        <v>3.73649375</v>
      </c>
      <c r="AB696" s="94">
        <v>7.17</v>
      </c>
      <c r="AC696" s="81">
        <f t="shared" si="323"/>
        <v>26.7906601875</v>
      </c>
      <c r="AD696" s="81">
        <f t="shared" si="324"/>
        <v>94.9320414375</v>
      </c>
      <c r="AE696" s="81">
        <f t="shared" si="325"/>
        <v>30.0679585625</v>
      </c>
    </row>
    <row r="697" customFormat="1" spans="1:31">
      <c r="A697" s="19"/>
      <c r="B697" s="20"/>
      <c r="C697" s="21">
        <v>240117000035</v>
      </c>
      <c r="D697" s="22">
        <v>45317</v>
      </c>
      <c r="E697" s="22" t="s">
        <v>37</v>
      </c>
      <c r="F697" s="20" t="s">
        <v>38</v>
      </c>
      <c r="G697" s="20" t="s">
        <v>359</v>
      </c>
      <c r="H697" s="20">
        <v>7.5</v>
      </c>
      <c r="I697" s="50"/>
      <c r="J697" s="51">
        <v>234520</v>
      </c>
      <c r="K697" s="52"/>
      <c r="L697" s="51">
        <f>SUM(J697/M697)</f>
        <v>1491.38314785374</v>
      </c>
      <c r="M697" s="53">
        <v>157.25</v>
      </c>
      <c r="N697" s="20">
        <v>7.17</v>
      </c>
      <c r="O697" s="48">
        <f>SUM(M697*N697)</f>
        <v>1127.4825</v>
      </c>
      <c r="P697" s="54"/>
      <c r="Q697" s="54"/>
      <c r="R697" s="81">
        <f t="shared" ref="R697:R716" si="327">SUM(4600/64)*H697</f>
        <v>539.0625</v>
      </c>
      <c r="S697" s="81"/>
      <c r="T697" s="82">
        <f t="shared" ref="T697:T716" si="328">SUM(140.27/64)*H697</f>
        <v>16.437890625</v>
      </c>
      <c r="U697" s="81"/>
      <c r="V697" s="81"/>
      <c r="W697" s="83">
        <f t="shared" si="326"/>
        <v>555.500390625</v>
      </c>
      <c r="X697" s="84">
        <f t="shared" ref="X697:X716" si="329">SUM(259.93/64)*H697</f>
        <v>30.460546875</v>
      </c>
      <c r="Y697" s="84"/>
      <c r="Z697" s="81"/>
      <c r="AA697" s="84">
        <f t="shared" si="322"/>
        <v>30.460546875</v>
      </c>
      <c r="AB697" s="94">
        <v>7.17</v>
      </c>
      <c r="AC697" s="81">
        <f t="shared" si="323"/>
        <v>218.40212109375</v>
      </c>
      <c r="AD697" s="81">
        <f t="shared" si="324"/>
        <v>773.90251171875</v>
      </c>
      <c r="AE697" s="81">
        <f t="shared" si="325"/>
        <v>353.57998828125</v>
      </c>
    </row>
    <row r="698" customFormat="1" spans="1:31">
      <c r="A698" s="19"/>
      <c r="B698" s="20"/>
      <c r="C698" s="21">
        <v>240118000016</v>
      </c>
      <c r="D698" s="22">
        <v>45317</v>
      </c>
      <c r="E698" s="22" t="s">
        <v>58</v>
      </c>
      <c r="F698" s="20" t="s">
        <v>59</v>
      </c>
      <c r="G698" s="20" t="s">
        <v>241</v>
      </c>
      <c r="H698" s="20">
        <v>3.5</v>
      </c>
      <c r="I698" s="43">
        <v>437.5</v>
      </c>
      <c r="J698" s="44"/>
      <c r="K698" s="45"/>
      <c r="L698" s="44"/>
      <c r="M698" s="46"/>
      <c r="N698" s="20"/>
      <c r="O698" s="48">
        <f t="shared" ref="O698:O701" si="330">SUM(I698)</f>
        <v>437.5</v>
      </c>
      <c r="P698" s="54"/>
      <c r="Q698" s="54"/>
      <c r="R698" s="81">
        <f t="shared" si="327"/>
        <v>251.5625</v>
      </c>
      <c r="S698" s="81"/>
      <c r="T698" s="82">
        <f t="shared" si="328"/>
        <v>7.671015625</v>
      </c>
      <c r="U698" s="81"/>
      <c r="V698" s="81"/>
      <c r="W698" s="83">
        <f t="shared" si="326"/>
        <v>259.233515625</v>
      </c>
      <c r="X698" s="84">
        <f t="shared" si="329"/>
        <v>14.214921875</v>
      </c>
      <c r="Y698" s="84"/>
      <c r="Z698" s="81"/>
      <c r="AA698" s="84">
        <f t="shared" si="322"/>
        <v>14.214921875</v>
      </c>
      <c r="AB698" s="94">
        <v>7.17</v>
      </c>
      <c r="AC698" s="81">
        <f t="shared" si="323"/>
        <v>101.92098984375</v>
      </c>
      <c r="AD698" s="81">
        <f t="shared" si="324"/>
        <v>361.15450546875</v>
      </c>
      <c r="AE698" s="81">
        <f t="shared" si="325"/>
        <v>76.34549453125</v>
      </c>
    </row>
    <row r="699" customFormat="1" spans="1:31">
      <c r="A699" s="19"/>
      <c r="B699" s="20"/>
      <c r="C699" s="21">
        <v>240119000014</v>
      </c>
      <c r="D699" s="22">
        <v>45317</v>
      </c>
      <c r="E699" s="22" t="s">
        <v>37</v>
      </c>
      <c r="F699" s="20" t="s">
        <v>38</v>
      </c>
      <c r="G699" s="20" t="s">
        <v>148</v>
      </c>
      <c r="H699" s="20">
        <v>0.24</v>
      </c>
      <c r="I699" s="43">
        <v>155</v>
      </c>
      <c r="J699" s="44"/>
      <c r="K699" s="45"/>
      <c r="L699" s="44"/>
      <c r="M699" s="46"/>
      <c r="N699" s="20"/>
      <c r="O699" s="48">
        <f t="shared" si="330"/>
        <v>155</v>
      </c>
      <c r="P699" s="54"/>
      <c r="Q699" s="54"/>
      <c r="R699" s="81">
        <f t="shared" si="327"/>
        <v>17.25</v>
      </c>
      <c r="S699" s="81"/>
      <c r="T699" s="82">
        <f t="shared" si="328"/>
        <v>0.5260125</v>
      </c>
      <c r="U699" s="81"/>
      <c r="V699" s="81"/>
      <c r="W699" s="83">
        <f t="shared" si="326"/>
        <v>17.7760125</v>
      </c>
      <c r="X699" s="84">
        <f t="shared" si="329"/>
        <v>0.9747375</v>
      </c>
      <c r="Y699" s="84"/>
      <c r="Z699" s="81"/>
      <c r="AA699" s="84">
        <f t="shared" si="322"/>
        <v>0.9747375</v>
      </c>
      <c r="AB699" s="94">
        <v>7.17</v>
      </c>
      <c r="AC699" s="81">
        <f t="shared" si="323"/>
        <v>6.988867875</v>
      </c>
      <c r="AD699" s="81">
        <f t="shared" si="324"/>
        <v>24.764880375</v>
      </c>
      <c r="AE699" s="81">
        <f t="shared" si="325"/>
        <v>130.235119625</v>
      </c>
    </row>
    <row r="700" customFormat="1" spans="1:31">
      <c r="A700" s="19"/>
      <c r="B700" s="20"/>
      <c r="C700" s="21">
        <v>240119000039</v>
      </c>
      <c r="D700" s="22">
        <v>45317</v>
      </c>
      <c r="E700" s="22" t="s">
        <v>58</v>
      </c>
      <c r="F700" s="20" t="s">
        <v>59</v>
      </c>
      <c r="G700" s="20" t="s">
        <v>241</v>
      </c>
      <c r="H700" s="20">
        <v>0.64</v>
      </c>
      <c r="I700" s="43">
        <v>138</v>
      </c>
      <c r="J700" s="44"/>
      <c r="K700" s="45"/>
      <c r="L700" s="44"/>
      <c r="M700" s="46"/>
      <c r="N700" s="20"/>
      <c r="O700" s="48">
        <f t="shared" si="330"/>
        <v>138</v>
      </c>
      <c r="P700" s="54"/>
      <c r="Q700" s="54"/>
      <c r="R700" s="81">
        <f t="shared" si="327"/>
        <v>46</v>
      </c>
      <c r="S700" s="81"/>
      <c r="T700" s="82">
        <f t="shared" si="328"/>
        <v>1.4027</v>
      </c>
      <c r="U700" s="81"/>
      <c r="V700" s="82">
        <v>13</v>
      </c>
      <c r="W700" s="83">
        <f t="shared" si="326"/>
        <v>60.4027</v>
      </c>
      <c r="X700" s="84">
        <f t="shared" si="329"/>
        <v>2.5993</v>
      </c>
      <c r="Y700" s="84"/>
      <c r="Z700" s="81"/>
      <c r="AA700" s="84">
        <f t="shared" si="322"/>
        <v>2.5993</v>
      </c>
      <c r="AB700" s="94">
        <v>7.17</v>
      </c>
      <c r="AC700" s="81">
        <f t="shared" si="323"/>
        <v>18.636981</v>
      </c>
      <c r="AD700" s="81">
        <f t="shared" si="324"/>
        <v>79.039681</v>
      </c>
      <c r="AE700" s="81">
        <f t="shared" si="325"/>
        <v>58.960319</v>
      </c>
    </row>
    <row r="701" customFormat="1" spans="1:31">
      <c r="A701" s="19"/>
      <c r="B701" s="20"/>
      <c r="C701" s="21">
        <v>240119000058</v>
      </c>
      <c r="D701" s="22">
        <v>45317</v>
      </c>
      <c r="E701" s="22" t="s">
        <v>69</v>
      </c>
      <c r="F701" s="20" t="s">
        <v>192</v>
      </c>
      <c r="G701" s="20" t="s">
        <v>193</v>
      </c>
      <c r="H701" s="20">
        <v>6</v>
      </c>
      <c r="I701" s="43">
        <v>780</v>
      </c>
      <c r="J701" s="44"/>
      <c r="K701" s="45"/>
      <c r="L701" s="44"/>
      <c r="M701" s="46"/>
      <c r="N701" s="20"/>
      <c r="O701" s="48">
        <f t="shared" si="330"/>
        <v>780</v>
      </c>
      <c r="P701" s="54"/>
      <c r="Q701" s="54"/>
      <c r="R701" s="81">
        <f t="shared" si="327"/>
        <v>431.25</v>
      </c>
      <c r="S701" s="81"/>
      <c r="T701" s="82">
        <f t="shared" si="328"/>
        <v>13.1503125</v>
      </c>
      <c r="U701" s="81"/>
      <c r="V701" s="81"/>
      <c r="W701" s="83">
        <f t="shared" si="326"/>
        <v>444.4003125</v>
      </c>
      <c r="X701" s="84">
        <f t="shared" si="329"/>
        <v>24.3684375</v>
      </c>
      <c r="Y701" s="84"/>
      <c r="Z701" s="81"/>
      <c r="AA701" s="84">
        <f t="shared" si="322"/>
        <v>24.3684375</v>
      </c>
      <c r="AB701" s="94">
        <v>7.17</v>
      </c>
      <c r="AC701" s="81">
        <f t="shared" si="323"/>
        <v>174.721696875</v>
      </c>
      <c r="AD701" s="81">
        <f t="shared" si="324"/>
        <v>619.122009375</v>
      </c>
      <c r="AE701" s="81">
        <f t="shared" si="325"/>
        <v>160.877990625</v>
      </c>
    </row>
    <row r="702" customFormat="1" spans="1:31">
      <c r="A702" s="19"/>
      <c r="B702" s="20"/>
      <c r="C702" s="21">
        <v>240120000001</v>
      </c>
      <c r="D702" s="22">
        <v>45317</v>
      </c>
      <c r="E702" s="22" t="s">
        <v>37</v>
      </c>
      <c r="F702" s="20" t="s">
        <v>144</v>
      </c>
      <c r="G702" s="20" t="s">
        <v>145</v>
      </c>
      <c r="H702" s="20">
        <v>3</v>
      </c>
      <c r="I702" s="48"/>
      <c r="J702" s="55">
        <v>76431</v>
      </c>
      <c r="K702" s="56"/>
      <c r="L702" s="51">
        <f>SUM(J702/M702)</f>
        <v>1447.00870882242</v>
      </c>
      <c r="M702" s="53">
        <v>52.82</v>
      </c>
      <c r="N702" s="20">
        <v>7.17</v>
      </c>
      <c r="O702" s="48">
        <f t="shared" ref="O702:O710" si="331">SUM(M702*N702)</f>
        <v>378.7194</v>
      </c>
      <c r="P702" s="54"/>
      <c r="Q702" s="54"/>
      <c r="R702" s="81">
        <f t="shared" si="327"/>
        <v>215.625</v>
      </c>
      <c r="S702" s="81"/>
      <c r="T702" s="82">
        <f t="shared" si="328"/>
        <v>6.57515625</v>
      </c>
      <c r="U702" s="81"/>
      <c r="V702" s="81"/>
      <c r="W702" s="83">
        <f t="shared" si="326"/>
        <v>222.20015625</v>
      </c>
      <c r="X702" s="84">
        <f t="shared" si="329"/>
        <v>12.18421875</v>
      </c>
      <c r="Y702" s="84"/>
      <c r="Z702" s="81"/>
      <c r="AA702" s="84">
        <f t="shared" si="322"/>
        <v>12.18421875</v>
      </c>
      <c r="AB702" s="94">
        <v>7.17</v>
      </c>
      <c r="AC702" s="81">
        <f t="shared" si="323"/>
        <v>87.3608484375</v>
      </c>
      <c r="AD702" s="81">
        <f t="shared" si="324"/>
        <v>309.5610046875</v>
      </c>
      <c r="AE702" s="81">
        <f t="shared" si="325"/>
        <v>69.1583953125</v>
      </c>
    </row>
    <row r="703" customFormat="1" spans="1:31">
      <c r="A703" s="19"/>
      <c r="B703" s="20"/>
      <c r="C703" s="21">
        <v>240120000005</v>
      </c>
      <c r="D703" s="22">
        <v>45317</v>
      </c>
      <c r="E703" s="22" t="s">
        <v>49</v>
      </c>
      <c r="F703" s="20" t="s">
        <v>50</v>
      </c>
      <c r="G703" s="20" t="s">
        <v>167</v>
      </c>
      <c r="H703" s="20">
        <v>0.46</v>
      </c>
      <c r="I703" s="50">
        <v>-320</v>
      </c>
      <c r="J703" s="59"/>
      <c r="K703" s="52"/>
      <c r="L703" s="51" t="e">
        <f>SUM(J703/M703)</f>
        <v>#DIV/0!</v>
      </c>
      <c r="M703" s="53"/>
      <c r="N703" s="20"/>
      <c r="O703" s="48">
        <f>SUBTOTAL(9,I703)</f>
        <v>-320</v>
      </c>
      <c r="P703" s="54"/>
      <c r="Q703" s="54"/>
      <c r="R703" s="81">
        <f t="shared" si="327"/>
        <v>33.0625</v>
      </c>
      <c r="S703" s="81"/>
      <c r="T703" s="82">
        <f t="shared" si="328"/>
        <v>1.008190625</v>
      </c>
      <c r="U703" s="81"/>
      <c r="V703" s="81"/>
      <c r="W703" s="83">
        <f t="shared" si="326"/>
        <v>34.070690625</v>
      </c>
      <c r="X703" s="84">
        <f t="shared" si="329"/>
        <v>1.868246875</v>
      </c>
      <c r="Y703" s="84"/>
      <c r="Z703" s="81"/>
      <c r="AA703" s="84">
        <f t="shared" si="322"/>
        <v>1.868246875</v>
      </c>
      <c r="AB703" s="94">
        <v>7.17</v>
      </c>
      <c r="AC703" s="81">
        <f t="shared" si="323"/>
        <v>13.39533009375</v>
      </c>
      <c r="AD703" s="81">
        <f t="shared" si="324"/>
        <v>47.46602071875</v>
      </c>
      <c r="AE703" s="81">
        <f t="shared" si="325"/>
        <v>-367.46602071875</v>
      </c>
    </row>
    <row r="704" customFormat="1" spans="1:31">
      <c r="A704" s="19"/>
      <c r="B704" s="20"/>
      <c r="C704" s="21">
        <v>240121000003</v>
      </c>
      <c r="D704" s="22">
        <v>45317</v>
      </c>
      <c r="E704" s="22" t="s">
        <v>44</v>
      </c>
      <c r="F704" s="20" t="s">
        <v>45</v>
      </c>
      <c r="G704" s="20" t="s">
        <v>462</v>
      </c>
      <c r="H704" s="20">
        <v>3.5</v>
      </c>
      <c r="I704" s="43">
        <v>439</v>
      </c>
      <c r="J704" s="44"/>
      <c r="K704" s="45"/>
      <c r="L704" s="44"/>
      <c r="M704" s="46"/>
      <c r="N704" s="20"/>
      <c r="O704" s="48">
        <f t="shared" ref="O704:O706" si="332">SUM(I704)</f>
        <v>439</v>
      </c>
      <c r="P704" s="54"/>
      <c r="Q704" s="54"/>
      <c r="R704" s="81">
        <f t="shared" si="327"/>
        <v>251.5625</v>
      </c>
      <c r="S704" s="81"/>
      <c r="T704" s="82">
        <f t="shared" si="328"/>
        <v>7.671015625</v>
      </c>
      <c r="U704" s="81"/>
      <c r="V704" s="81"/>
      <c r="W704" s="83">
        <f t="shared" si="326"/>
        <v>259.233515625</v>
      </c>
      <c r="X704" s="84">
        <f t="shared" si="329"/>
        <v>14.214921875</v>
      </c>
      <c r="Y704" s="84"/>
      <c r="Z704" s="81"/>
      <c r="AA704" s="84">
        <f t="shared" si="322"/>
        <v>14.214921875</v>
      </c>
      <c r="AB704" s="94">
        <v>7.17</v>
      </c>
      <c r="AC704" s="81">
        <f t="shared" si="323"/>
        <v>101.92098984375</v>
      </c>
      <c r="AD704" s="81">
        <f t="shared" si="324"/>
        <v>361.15450546875</v>
      </c>
      <c r="AE704" s="81">
        <f t="shared" si="325"/>
        <v>77.84549453125</v>
      </c>
    </row>
    <row r="705" customFormat="1" spans="1:31">
      <c r="A705" s="19"/>
      <c r="B705" s="20"/>
      <c r="C705" s="21">
        <v>240122000005</v>
      </c>
      <c r="D705" s="22">
        <v>45317</v>
      </c>
      <c r="E705" s="22" t="s">
        <v>58</v>
      </c>
      <c r="F705" s="20" t="s">
        <v>59</v>
      </c>
      <c r="G705" s="20" t="s">
        <v>71</v>
      </c>
      <c r="H705" s="20">
        <v>5.5</v>
      </c>
      <c r="I705" s="43">
        <v>687.5</v>
      </c>
      <c r="J705" s="44"/>
      <c r="K705" s="45"/>
      <c r="L705" s="44"/>
      <c r="M705" s="46"/>
      <c r="N705" s="20"/>
      <c r="O705" s="48">
        <f t="shared" si="332"/>
        <v>687.5</v>
      </c>
      <c r="P705" s="54"/>
      <c r="Q705" s="54"/>
      <c r="R705" s="81">
        <f t="shared" si="327"/>
        <v>395.3125</v>
      </c>
      <c r="S705" s="81"/>
      <c r="T705" s="82">
        <f t="shared" si="328"/>
        <v>12.054453125</v>
      </c>
      <c r="U705" s="81"/>
      <c r="V705" s="81"/>
      <c r="W705" s="83">
        <f t="shared" si="326"/>
        <v>407.366953125</v>
      </c>
      <c r="X705" s="84">
        <f t="shared" si="329"/>
        <v>22.337734375</v>
      </c>
      <c r="Y705" s="84"/>
      <c r="Z705" s="81"/>
      <c r="AA705" s="84">
        <f t="shared" si="322"/>
        <v>22.337734375</v>
      </c>
      <c r="AB705" s="94">
        <v>7.17</v>
      </c>
      <c r="AC705" s="81">
        <f t="shared" si="323"/>
        <v>160.16155546875</v>
      </c>
      <c r="AD705" s="81">
        <f t="shared" si="324"/>
        <v>567.52850859375</v>
      </c>
      <c r="AE705" s="81">
        <f t="shared" si="325"/>
        <v>119.97149140625</v>
      </c>
    </row>
    <row r="706" customFormat="1" spans="1:31">
      <c r="A706" s="19"/>
      <c r="B706" s="20"/>
      <c r="C706" s="21">
        <v>240122000015</v>
      </c>
      <c r="D706" s="22">
        <v>45317</v>
      </c>
      <c r="E706" s="22" t="s">
        <v>49</v>
      </c>
      <c r="F706" s="20" t="s">
        <v>50</v>
      </c>
      <c r="G706" s="20" t="s">
        <v>444</v>
      </c>
      <c r="H706" s="20">
        <v>3</v>
      </c>
      <c r="I706" s="43">
        <v>750</v>
      </c>
      <c r="J706" s="44"/>
      <c r="K706" s="45"/>
      <c r="L706" s="44"/>
      <c r="M706" s="46"/>
      <c r="N706" s="20"/>
      <c r="O706" s="48">
        <f t="shared" si="332"/>
        <v>750</v>
      </c>
      <c r="P706" s="54"/>
      <c r="Q706" s="54"/>
      <c r="R706" s="81">
        <f t="shared" si="327"/>
        <v>215.625</v>
      </c>
      <c r="S706" s="81"/>
      <c r="T706" s="82">
        <f t="shared" si="328"/>
        <v>6.57515625</v>
      </c>
      <c r="U706" s="81"/>
      <c r="V706" s="81"/>
      <c r="W706" s="83">
        <f t="shared" si="326"/>
        <v>222.20015625</v>
      </c>
      <c r="X706" s="84">
        <f t="shared" si="329"/>
        <v>12.18421875</v>
      </c>
      <c r="Y706" s="84"/>
      <c r="Z706" s="81"/>
      <c r="AA706" s="84">
        <f t="shared" si="322"/>
        <v>12.18421875</v>
      </c>
      <c r="AB706" s="94">
        <v>7.17</v>
      </c>
      <c r="AC706" s="81">
        <f t="shared" si="323"/>
        <v>87.3608484375</v>
      </c>
      <c r="AD706" s="81">
        <f t="shared" si="324"/>
        <v>309.5610046875</v>
      </c>
      <c r="AE706" s="81">
        <f t="shared" si="325"/>
        <v>440.4389953125</v>
      </c>
    </row>
    <row r="707" customFormat="1" spans="1:31">
      <c r="A707" s="19"/>
      <c r="B707" s="20"/>
      <c r="C707" s="21">
        <v>240122000017</v>
      </c>
      <c r="D707" s="22">
        <v>45317</v>
      </c>
      <c r="E707" s="22" t="s">
        <v>58</v>
      </c>
      <c r="F707" s="20" t="s">
        <v>59</v>
      </c>
      <c r="G707" s="20" t="s">
        <v>463</v>
      </c>
      <c r="H707" s="20">
        <v>4.5</v>
      </c>
      <c r="I707" s="48"/>
      <c r="J707" s="55">
        <v>160602.54</v>
      </c>
      <c r="K707" s="56"/>
      <c r="L707" s="51">
        <f>SUM(J707/M707)</f>
        <v>1447.00002491215</v>
      </c>
      <c r="M707" s="53">
        <v>110.990005</v>
      </c>
      <c r="N707" s="20">
        <v>7.17</v>
      </c>
      <c r="O707" s="48">
        <f t="shared" si="331"/>
        <v>795.79833585</v>
      </c>
      <c r="P707" s="54"/>
      <c r="Q707" s="54"/>
      <c r="R707" s="81">
        <f t="shared" si="327"/>
        <v>323.4375</v>
      </c>
      <c r="S707" s="81"/>
      <c r="T707" s="82">
        <f t="shared" si="328"/>
        <v>9.862734375</v>
      </c>
      <c r="U707" s="81"/>
      <c r="V707" s="82">
        <f>SUM(19+20+13+18+16)</f>
        <v>86</v>
      </c>
      <c r="W707" s="83">
        <f t="shared" si="326"/>
        <v>419.300234375</v>
      </c>
      <c r="X707" s="84">
        <f t="shared" si="329"/>
        <v>18.276328125</v>
      </c>
      <c r="Y707" s="84"/>
      <c r="Z707" s="81"/>
      <c r="AA707" s="84">
        <f t="shared" si="322"/>
        <v>18.276328125</v>
      </c>
      <c r="AB707" s="94">
        <v>7.17</v>
      </c>
      <c r="AC707" s="81">
        <f t="shared" si="323"/>
        <v>131.04127265625</v>
      </c>
      <c r="AD707" s="81">
        <f t="shared" si="324"/>
        <v>550.34150703125</v>
      </c>
      <c r="AE707" s="81">
        <f t="shared" si="325"/>
        <v>245.45682881875</v>
      </c>
    </row>
    <row r="708" customFormat="1" spans="1:31">
      <c r="A708" s="19"/>
      <c r="B708" s="20"/>
      <c r="C708" s="21">
        <v>240122000019</v>
      </c>
      <c r="D708" s="22">
        <v>45317</v>
      </c>
      <c r="E708" s="22" t="s">
        <v>58</v>
      </c>
      <c r="F708" s="20" t="s">
        <v>59</v>
      </c>
      <c r="G708" s="20" t="s">
        <v>463</v>
      </c>
      <c r="H708" s="20">
        <v>6.5</v>
      </c>
      <c r="I708" s="48"/>
      <c r="J708" s="55">
        <v>174204.33</v>
      </c>
      <c r="K708" s="56"/>
      <c r="L708" s="51">
        <f>SUM(J708/M708)</f>
        <v>1447</v>
      </c>
      <c r="M708" s="53">
        <v>120.39</v>
      </c>
      <c r="N708" s="20">
        <v>7.17</v>
      </c>
      <c r="O708" s="48">
        <f t="shared" si="331"/>
        <v>863.1963</v>
      </c>
      <c r="P708" s="54"/>
      <c r="Q708" s="54"/>
      <c r="R708" s="81">
        <f t="shared" si="327"/>
        <v>467.1875</v>
      </c>
      <c r="S708" s="81"/>
      <c r="T708" s="82">
        <f t="shared" si="328"/>
        <v>14.246171875</v>
      </c>
      <c r="U708" s="81"/>
      <c r="V708" s="82">
        <f>SUM(19+22+13+21)</f>
        <v>75</v>
      </c>
      <c r="W708" s="83">
        <f t="shared" si="326"/>
        <v>556.433671875</v>
      </c>
      <c r="X708" s="84">
        <f t="shared" si="329"/>
        <v>26.399140625</v>
      </c>
      <c r="Y708" s="84"/>
      <c r="Z708" s="81"/>
      <c r="AA708" s="84">
        <f t="shared" si="322"/>
        <v>26.399140625</v>
      </c>
      <c r="AB708" s="94">
        <v>7.17</v>
      </c>
      <c r="AC708" s="81">
        <f t="shared" si="323"/>
        <v>189.28183828125</v>
      </c>
      <c r="AD708" s="81">
        <f t="shared" si="324"/>
        <v>745.71551015625</v>
      </c>
      <c r="AE708" s="81">
        <f t="shared" si="325"/>
        <v>117.48078984375</v>
      </c>
    </row>
    <row r="709" customFormat="1" spans="1:31">
      <c r="A709" s="19"/>
      <c r="B709" s="20"/>
      <c r="C709" s="21">
        <v>240122000020</v>
      </c>
      <c r="D709" s="22">
        <v>45317</v>
      </c>
      <c r="E709" s="22" t="s">
        <v>58</v>
      </c>
      <c r="F709" s="20" t="s">
        <v>59</v>
      </c>
      <c r="G709" s="20" t="s">
        <v>463</v>
      </c>
      <c r="H709" s="20">
        <v>5.5</v>
      </c>
      <c r="I709" s="48"/>
      <c r="J709" s="55">
        <v>140793.1</v>
      </c>
      <c r="K709" s="56"/>
      <c r="L709" s="51">
        <f>SUM(J709/M709)</f>
        <v>1447</v>
      </c>
      <c r="M709" s="53">
        <v>97.3</v>
      </c>
      <c r="N709" s="20">
        <v>7.17</v>
      </c>
      <c r="O709" s="48">
        <f t="shared" si="331"/>
        <v>697.641</v>
      </c>
      <c r="P709" s="54"/>
      <c r="Q709" s="54"/>
      <c r="R709" s="81">
        <f t="shared" si="327"/>
        <v>395.3125</v>
      </c>
      <c r="S709" s="81"/>
      <c r="T709" s="82">
        <f t="shared" si="328"/>
        <v>12.054453125</v>
      </c>
      <c r="U709" s="81"/>
      <c r="V709" s="82">
        <f>SUM(18+13+16+20)</f>
        <v>67</v>
      </c>
      <c r="W709" s="83">
        <f t="shared" si="326"/>
        <v>474.366953125</v>
      </c>
      <c r="X709" s="84">
        <f t="shared" si="329"/>
        <v>22.337734375</v>
      </c>
      <c r="Y709" s="84"/>
      <c r="Z709" s="81"/>
      <c r="AA709" s="84">
        <f t="shared" si="322"/>
        <v>22.337734375</v>
      </c>
      <c r="AB709" s="94">
        <v>7.17</v>
      </c>
      <c r="AC709" s="81">
        <f t="shared" si="323"/>
        <v>160.16155546875</v>
      </c>
      <c r="AD709" s="81">
        <f t="shared" si="324"/>
        <v>634.52850859375</v>
      </c>
      <c r="AE709" s="81">
        <f t="shared" si="325"/>
        <v>63.11249140625</v>
      </c>
    </row>
    <row r="710" customFormat="1" spans="1:31">
      <c r="A710" s="19"/>
      <c r="B710" s="20"/>
      <c r="C710" s="21">
        <v>240122000030</v>
      </c>
      <c r="D710" s="22">
        <v>45317</v>
      </c>
      <c r="E710" s="22" t="s">
        <v>37</v>
      </c>
      <c r="F710" s="20" t="s">
        <v>38</v>
      </c>
      <c r="G710" s="20" t="s">
        <v>464</v>
      </c>
      <c r="H710" s="20">
        <v>0.58</v>
      </c>
      <c r="I710" s="50"/>
      <c r="J710" s="51">
        <v>27950</v>
      </c>
      <c r="K710" s="52"/>
      <c r="L710" s="51">
        <f>SUM(J710/M710)</f>
        <v>1541.64368450083</v>
      </c>
      <c r="M710" s="53">
        <v>18.13</v>
      </c>
      <c r="N710" s="20">
        <v>7.17</v>
      </c>
      <c r="O710" s="48">
        <f t="shared" si="331"/>
        <v>129.9921</v>
      </c>
      <c r="P710" s="54"/>
      <c r="Q710" s="54"/>
      <c r="R710" s="81">
        <f t="shared" si="327"/>
        <v>41.6875</v>
      </c>
      <c r="S710" s="81"/>
      <c r="T710" s="82">
        <f t="shared" si="328"/>
        <v>1.271196875</v>
      </c>
      <c r="U710" s="81"/>
      <c r="V710" s="81"/>
      <c r="W710" s="83">
        <f t="shared" si="326"/>
        <v>42.958696875</v>
      </c>
      <c r="X710" s="84">
        <f t="shared" si="329"/>
        <v>2.355615625</v>
      </c>
      <c r="Y710" s="84"/>
      <c r="Z710" s="81"/>
      <c r="AA710" s="84">
        <f t="shared" si="322"/>
        <v>2.355615625</v>
      </c>
      <c r="AB710" s="94">
        <v>7.17</v>
      </c>
      <c r="AC710" s="81">
        <f t="shared" si="323"/>
        <v>16.88976403125</v>
      </c>
      <c r="AD710" s="81">
        <f t="shared" si="324"/>
        <v>59.84846090625</v>
      </c>
      <c r="AE710" s="81">
        <f t="shared" si="325"/>
        <v>70.14363909375</v>
      </c>
    </row>
    <row r="711" customFormat="1" spans="1:31">
      <c r="A711" s="19"/>
      <c r="B711" s="20"/>
      <c r="C711" s="21">
        <v>240122000032</v>
      </c>
      <c r="D711" s="22">
        <v>45317</v>
      </c>
      <c r="E711" s="22" t="s">
        <v>37</v>
      </c>
      <c r="F711" s="20" t="s">
        <v>38</v>
      </c>
      <c r="G711" s="20" t="s">
        <v>218</v>
      </c>
      <c r="H711" s="20">
        <v>0.61</v>
      </c>
      <c r="I711" s="43">
        <v>125</v>
      </c>
      <c r="J711" s="44"/>
      <c r="K711" s="45"/>
      <c r="L711" s="44"/>
      <c r="M711" s="46"/>
      <c r="N711" s="20"/>
      <c r="O711" s="48">
        <f t="shared" ref="O711:O714" si="333">SUM(I711)</f>
        <v>125</v>
      </c>
      <c r="P711" s="54"/>
      <c r="Q711" s="54"/>
      <c r="R711" s="81">
        <f t="shared" si="327"/>
        <v>43.84375</v>
      </c>
      <c r="S711" s="81"/>
      <c r="T711" s="82">
        <f t="shared" si="328"/>
        <v>1.3369484375</v>
      </c>
      <c r="U711" s="81"/>
      <c r="V711" s="81"/>
      <c r="W711" s="83">
        <f t="shared" si="326"/>
        <v>45.1806984375</v>
      </c>
      <c r="X711" s="84">
        <f t="shared" si="329"/>
        <v>2.4774578125</v>
      </c>
      <c r="Y711" s="84"/>
      <c r="Z711" s="81"/>
      <c r="AA711" s="84">
        <f t="shared" si="322"/>
        <v>2.4774578125</v>
      </c>
      <c r="AB711" s="94">
        <v>7.17</v>
      </c>
      <c r="AC711" s="81">
        <f t="shared" si="323"/>
        <v>17.763372515625</v>
      </c>
      <c r="AD711" s="81">
        <f t="shared" si="324"/>
        <v>62.944070953125</v>
      </c>
      <c r="AE711" s="81">
        <f t="shared" si="325"/>
        <v>62.055929046875</v>
      </c>
    </row>
    <row r="712" customFormat="1" spans="1:31">
      <c r="A712" s="19"/>
      <c r="B712" s="20"/>
      <c r="C712" s="21">
        <v>240122000033</v>
      </c>
      <c r="D712" s="22">
        <v>45317</v>
      </c>
      <c r="E712" s="22" t="s">
        <v>110</v>
      </c>
      <c r="F712" s="20" t="s">
        <v>111</v>
      </c>
      <c r="G712" s="20" t="s">
        <v>151</v>
      </c>
      <c r="H712" s="20">
        <v>11</v>
      </c>
      <c r="I712" s="43">
        <v>1430</v>
      </c>
      <c r="J712" s="44"/>
      <c r="K712" s="45"/>
      <c r="L712" s="44"/>
      <c r="M712" s="46"/>
      <c r="N712" s="20"/>
      <c r="O712" s="48">
        <f t="shared" si="333"/>
        <v>1430</v>
      </c>
      <c r="P712" s="54"/>
      <c r="Q712" s="54"/>
      <c r="R712" s="81">
        <f t="shared" si="327"/>
        <v>790.625</v>
      </c>
      <c r="S712" s="81"/>
      <c r="T712" s="82">
        <f t="shared" si="328"/>
        <v>24.10890625</v>
      </c>
      <c r="U712" s="81"/>
      <c r="V712" s="81"/>
      <c r="W712" s="83">
        <f t="shared" si="326"/>
        <v>814.73390625</v>
      </c>
      <c r="X712" s="84">
        <f t="shared" si="329"/>
        <v>44.67546875</v>
      </c>
      <c r="Y712" s="84"/>
      <c r="Z712" s="81"/>
      <c r="AA712" s="84">
        <f t="shared" si="322"/>
        <v>44.67546875</v>
      </c>
      <c r="AB712" s="94">
        <v>7.17</v>
      </c>
      <c r="AC712" s="81">
        <f t="shared" si="323"/>
        <v>320.3231109375</v>
      </c>
      <c r="AD712" s="81">
        <f t="shared" si="324"/>
        <v>1135.0570171875</v>
      </c>
      <c r="AE712" s="81">
        <f t="shared" si="325"/>
        <v>294.9429828125</v>
      </c>
    </row>
    <row r="713" customFormat="1" spans="1:31">
      <c r="A713" s="19"/>
      <c r="B713" s="20"/>
      <c r="C713" s="21">
        <v>240122000041</v>
      </c>
      <c r="D713" s="22">
        <v>45317</v>
      </c>
      <c r="E713" s="22" t="s">
        <v>58</v>
      </c>
      <c r="F713" s="20" t="s">
        <v>59</v>
      </c>
      <c r="G713" s="20" t="s">
        <v>465</v>
      </c>
      <c r="H713" s="20">
        <v>0.9</v>
      </c>
      <c r="I713" s="43">
        <v>125</v>
      </c>
      <c r="J713" s="44"/>
      <c r="K713" s="45"/>
      <c r="L713" s="44"/>
      <c r="M713" s="46"/>
      <c r="N713" s="20"/>
      <c r="O713" s="48">
        <f t="shared" si="333"/>
        <v>125</v>
      </c>
      <c r="P713" s="54"/>
      <c r="Q713" s="54"/>
      <c r="R713" s="81">
        <f t="shared" si="327"/>
        <v>64.6875</v>
      </c>
      <c r="S713" s="81"/>
      <c r="T713" s="82">
        <f t="shared" si="328"/>
        <v>1.972546875</v>
      </c>
      <c r="U713" s="81"/>
      <c r="V713" s="81"/>
      <c r="W713" s="83">
        <f t="shared" si="326"/>
        <v>66.660046875</v>
      </c>
      <c r="X713" s="84">
        <f t="shared" si="329"/>
        <v>3.655265625</v>
      </c>
      <c r="Y713" s="84"/>
      <c r="Z713" s="81"/>
      <c r="AA713" s="84">
        <f t="shared" si="322"/>
        <v>3.655265625</v>
      </c>
      <c r="AB713" s="94">
        <v>7.17</v>
      </c>
      <c r="AC713" s="81">
        <f t="shared" si="323"/>
        <v>26.20825453125</v>
      </c>
      <c r="AD713" s="81">
        <f t="shared" si="324"/>
        <v>92.86830140625</v>
      </c>
      <c r="AE713" s="81">
        <f t="shared" ref="AE713:AE729" si="334">SUM(O713-AD713)</f>
        <v>32.13169859375</v>
      </c>
    </row>
    <row r="714" customFormat="1" spans="1:31">
      <c r="A714" s="19"/>
      <c r="B714" s="20"/>
      <c r="C714" s="21">
        <v>240122000046</v>
      </c>
      <c r="D714" s="22">
        <v>45317</v>
      </c>
      <c r="E714" s="22" t="s">
        <v>69</v>
      </c>
      <c r="F714" s="20" t="s">
        <v>192</v>
      </c>
      <c r="G714" s="20" t="s">
        <v>193</v>
      </c>
      <c r="H714" s="20">
        <v>2.5</v>
      </c>
      <c r="I714" s="43">
        <v>400</v>
      </c>
      <c r="J714" s="44"/>
      <c r="K714" s="45"/>
      <c r="L714" s="44"/>
      <c r="M714" s="46"/>
      <c r="N714" s="20"/>
      <c r="O714" s="48">
        <f t="shared" si="333"/>
        <v>400</v>
      </c>
      <c r="P714" s="54"/>
      <c r="Q714" s="54"/>
      <c r="R714" s="81">
        <f t="shared" si="327"/>
        <v>179.6875</v>
      </c>
      <c r="S714" s="81"/>
      <c r="T714" s="82">
        <f t="shared" si="328"/>
        <v>5.479296875</v>
      </c>
      <c r="U714" s="81"/>
      <c r="V714" s="81"/>
      <c r="W714" s="83">
        <f t="shared" si="326"/>
        <v>185.166796875</v>
      </c>
      <c r="X714" s="84">
        <f t="shared" si="329"/>
        <v>10.153515625</v>
      </c>
      <c r="Y714" s="84"/>
      <c r="Z714" s="81"/>
      <c r="AA714" s="84">
        <f t="shared" si="322"/>
        <v>10.153515625</v>
      </c>
      <c r="AB714" s="94">
        <v>7.17</v>
      </c>
      <c r="AC714" s="81">
        <f t="shared" si="323"/>
        <v>72.80070703125</v>
      </c>
      <c r="AD714" s="81">
        <f t="shared" ref="AD714:AD729" si="335">SUM(W714+AC714)</f>
        <v>257.96750390625</v>
      </c>
      <c r="AE714" s="81">
        <f t="shared" si="334"/>
        <v>142.03249609375</v>
      </c>
    </row>
    <row r="715" customFormat="1" spans="1:31">
      <c r="A715" s="19"/>
      <c r="B715" s="20"/>
      <c r="C715" s="21">
        <v>240123000036</v>
      </c>
      <c r="D715" s="22">
        <v>45317</v>
      </c>
      <c r="E715" s="22" t="s">
        <v>44</v>
      </c>
      <c r="F715" s="20" t="s">
        <v>45</v>
      </c>
      <c r="G715" s="20" t="s">
        <v>466</v>
      </c>
      <c r="H715" s="20">
        <v>6</v>
      </c>
      <c r="I715" s="50"/>
      <c r="J715" s="51">
        <v>156780</v>
      </c>
      <c r="K715" s="52"/>
      <c r="L715" s="51">
        <f>SUM(J715/M715)</f>
        <v>1441.25758411473</v>
      </c>
      <c r="M715" s="53">
        <v>108.78</v>
      </c>
      <c r="N715" s="20">
        <v>7.17</v>
      </c>
      <c r="O715" s="48">
        <f>SUM(M715*N715)</f>
        <v>779.9526</v>
      </c>
      <c r="P715" s="54"/>
      <c r="Q715" s="54"/>
      <c r="R715" s="81">
        <f t="shared" si="327"/>
        <v>431.25</v>
      </c>
      <c r="S715" s="81"/>
      <c r="T715" s="82">
        <f t="shared" si="328"/>
        <v>13.1503125</v>
      </c>
      <c r="U715" s="81"/>
      <c r="V715" s="81"/>
      <c r="W715" s="83">
        <f t="shared" si="326"/>
        <v>444.4003125</v>
      </c>
      <c r="X715" s="84">
        <f t="shared" si="329"/>
        <v>24.3684375</v>
      </c>
      <c r="Y715" s="84"/>
      <c r="Z715" s="81"/>
      <c r="AA715" s="84">
        <f t="shared" si="322"/>
        <v>24.3684375</v>
      </c>
      <c r="AB715" s="94">
        <v>7.17</v>
      </c>
      <c r="AC715" s="81">
        <f t="shared" si="323"/>
        <v>174.721696875</v>
      </c>
      <c r="AD715" s="81">
        <f t="shared" si="335"/>
        <v>619.122009375</v>
      </c>
      <c r="AE715" s="81">
        <f t="shared" si="334"/>
        <v>160.830590625</v>
      </c>
    </row>
    <row r="716" customFormat="1" spans="1:31">
      <c r="A716" s="19"/>
      <c r="B716" s="20"/>
      <c r="C716" s="21">
        <v>240124000006</v>
      </c>
      <c r="D716" s="22">
        <v>45317</v>
      </c>
      <c r="E716" s="22" t="s">
        <v>58</v>
      </c>
      <c r="F716" s="20" t="s">
        <v>59</v>
      </c>
      <c r="G716" s="20" t="s">
        <v>241</v>
      </c>
      <c r="H716" s="20">
        <v>2.5</v>
      </c>
      <c r="I716" s="43">
        <v>325.5</v>
      </c>
      <c r="J716" s="44"/>
      <c r="K716" s="45"/>
      <c r="L716" s="44"/>
      <c r="M716" s="46"/>
      <c r="N716" s="20"/>
      <c r="O716" s="48">
        <f t="shared" ref="O716:O720" si="336">SUM(I716)</f>
        <v>325.5</v>
      </c>
      <c r="P716" s="60"/>
      <c r="Q716" s="60"/>
      <c r="R716" s="81">
        <f t="shared" si="327"/>
        <v>179.6875</v>
      </c>
      <c r="S716" s="81"/>
      <c r="T716" s="82">
        <f t="shared" si="328"/>
        <v>5.479296875</v>
      </c>
      <c r="U716" s="81"/>
      <c r="V716" s="82">
        <v>13</v>
      </c>
      <c r="W716" s="83">
        <f t="shared" ref="W716:W729" si="337">SUM(R716:V716)</f>
        <v>198.166796875</v>
      </c>
      <c r="X716" s="84">
        <f t="shared" si="329"/>
        <v>10.153515625</v>
      </c>
      <c r="Y716" s="84"/>
      <c r="Z716" s="81"/>
      <c r="AA716" s="84">
        <f t="shared" ref="AA716:AA729" si="338">SUM(X716:Z716)</f>
        <v>10.153515625</v>
      </c>
      <c r="AB716" s="94">
        <v>7.17</v>
      </c>
      <c r="AC716" s="81">
        <f t="shared" ref="AC716:AC729" si="339">SUM(AA716*AB716)</f>
        <v>72.80070703125</v>
      </c>
      <c r="AD716" s="81">
        <f t="shared" si="335"/>
        <v>270.96750390625</v>
      </c>
      <c r="AE716" s="81">
        <f t="shared" si="334"/>
        <v>54.53249609375</v>
      </c>
    </row>
    <row r="717" customFormat="1" spans="1:31">
      <c r="A717" s="19" t="s">
        <v>467</v>
      </c>
      <c r="B717" s="20" t="s">
        <v>468</v>
      </c>
      <c r="C717" s="21">
        <v>240121000001</v>
      </c>
      <c r="D717" s="22">
        <v>45318</v>
      </c>
      <c r="E717" s="22" t="s">
        <v>69</v>
      </c>
      <c r="F717" s="20" t="s">
        <v>192</v>
      </c>
      <c r="G717" s="20" t="s">
        <v>193</v>
      </c>
      <c r="H717" s="20">
        <v>8.5</v>
      </c>
      <c r="I717" s="43">
        <v>1360</v>
      </c>
      <c r="J717" s="44"/>
      <c r="K717" s="45"/>
      <c r="L717" s="44"/>
      <c r="M717" s="46"/>
      <c r="N717" s="20"/>
      <c r="O717" s="48">
        <f t="shared" si="336"/>
        <v>1360</v>
      </c>
      <c r="P717" s="49">
        <f>SUM(O717:O729)</f>
        <v>6147.4743</v>
      </c>
      <c r="Q717" s="49" t="s">
        <v>146</v>
      </c>
      <c r="R717" s="81">
        <f>SUM(2200/32)*H717</f>
        <v>584.375</v>
      </c>
      <c r="S717" s="81"/>
      <c r="T717" s="82">
        <f>SUM(74.16/32)*H717</f>
        <v>19.69875</v>
      </c>
      <c r="U717" s="81"/>
      <c r="V717" s="81"/>
      <c r="W717" s="83">
        <f t="shared" si="337"/>
        <v>604.07375</v>
      </c>
      <c r="X717" s="84">
        <f>SUM(59.17/32)*H717</f>
        <v>15.71703125</v>
      </c>
      <c r="Y717" s="84"/>
      <c r="Z717" s="81"/>
      <c r="AA717" s="84">
        <f t="shared" si="338"/>
        <v>15.71703125</v>
      </c>
      <c r="AB717" s="94">
        <v>7.17</v>
      </c>
      <c r="AC717" s="81">
        <f t="shared" si="339"/>
        <v>112.6911140625</v>
      </c>
      <c r="AD717" s="81">
        <f t="shared" si="335"/>
        <v>716.7648640625</v>
      </c>
      <c r="AE717" s="81">
        <f t="shared" si="334"/>
        <v>643.2351359375</v>
      </c>
    </row>
    <row r="718" customFormat="1" spans="1:31">
      <c r="A718" s="19"/>
      <c r="B718" s="20"/>
      <c r="C718" s="21">
        <v>240122000044</v>
      </c>
      <c r="D718" s="22">
        <v>45318</v>
      </c>
      <c r="E718" s="22" t="s">
        <v>37</v>
      </c>
      <c r="F718" s="20" t="s">
        <v>38</v>
      </c>
      <c r="G718" s="20" t="s">
        <v>469</v>
      </c>
      <c r="H718" s="20">
        <v>3.5</v>
      </c>
      <c r="I718" s="43">
        <v>542.5</v>
      </c>
      <c r="J718" s="44"/>
      <c r="K718" s="45"/>
      <c r="L718" s="44"/>
      <c r="M718" s="46"/>
      <c r="N718" s="20"/>
      <c r="O718" s="48">
        <f t="shared" si="336"/>
        <v>542.5</v>
      </c>
      <c r="P718" s="54"/>
      <c r="Q718" s="54"/>
      <c r="R718" s="81">
        <f t="shared" ref="R718:R729" si="340">SUM(2200/32)*H718</f>
        <v>240.625</v>
      </c>
      <c r="S718" s="81"/>
      <c r="T718" s="82">
        <f t="shared" ref="T718:T729" si="341">SUM(74.16/32)*H718</f>
        <v>8.11125</v>
      </c>
      <c r="U718" s="81"/>
      <c r="V718" s="81"/>
      <c r="W718" s="83">
        <f t="shared" si="337"/>
        <v>248.73625</v>
      </c>
      <c r="X718" s="84">
        <f t="shared" ref="X718:X729" si="342">SUM(59.17/32)*H718</f>
        <v>6.47171875</v>
      </c>
      <c r="Y718" s="84"/>
      <c r="Z718" s="81"/>
      <c r="AA718" s="84">
        <f t="shared" si="338"/>
        <v>6.47171875</v>
      </c>
      <c r="AB718" s="94">
        <v>7.17</v>
      </c>
      <c r="AC718" s="81">
        <f t="shared" si="339"/>
        <v>46.4022234375</v>
      </c>
      <c r="AD718" s="81">
        <f t="shared" si="335"/>
        <v>295.1384734375</v>
      </c>
      <c r="AE718" s="81">
        <f t="shared" si="334"/>
        <v>247.3615265625</v>
      </c>
    </row>
    <row r="719" customFormat="1" spans="1:31">
      <c r="A719" s="19"/>
      <c r="B719" s="20"/>
      <c r="C719" s="21">
        <v>240123000025</v>
      </c>
      <c r="D719" s="22">
        <v>45318</v>
      </c>
      <c r="E719" s="22" t="s">
        <v>37</v>
      </c>
      <c r="F719" s="20" t="s">
        <v>38</v>
      </c>
      <c r="G719" s="20" t="s">
        <v>148</v>
      </c>
      <c r="H719" s="20">
        <v>0.44</v>
      </c>
      <c r="I719" s="43">
        <v>155</v>
      </c>
      <c r="J719" s="44"/>
      <c r="K719" s="45"/>
      <c r="L719" s="44"/>
      <c r="M719" s="46"/>
      <c r="N719" s="20"/>
      <c r="O719" s="48">
        <f t="shared" si="336"/>
        <v>155</v>
      </c>
      <c r="P719" s="54"/>
      <c r="Q719" s="54"/>
      <c r="R719" s="81">
        <f t="shared" si="340"/>
        <v>30.25</v>
      </c>
      <c r="S719" s="81"/>
      <c r="T719" s="82">
        <f t="shared" si="341"/>
        <v>1.0197</v>
      </c>
      <c r="U719" s="81"/>
      <c r="V719" s="81"/>
      <c r="W719" s="83">
        <f t="shared" si="337"/>
        <v>31.2697</v>
      </c>
      <c r="X719" s="84">
        <f t="shared" si="342"/>
        <v>0.8135875</v>
      </c>
      <c r="Y719" s="84"/>
      <c r="Z719" s="81"/>
      <c r="AA719" s="84">
        <f t="shared" si="338"/>
        <v>0.8135875</v>
      </c>
      <c r="AB719" s="94">
        <v>7.17</v>
      </c>
      <c r="AC719" s="81">
        <f t="shared" si="339"/>
        <v>5.833422375</v>
      </c>
      <c r="AD719" s="81">
        <f t="shared" si="335"/>
        <v>37.103122375</v>
      </c>
      <c r="AE719" s="81">
        <f t="shared" si="334"/>
        <v>117.896877625</v>
      </c>
    </row>
    <row r="720" customFormat="1" spans="1:31">
      <c r="A720" s="19"/>
      <c r="B720" s="20"/>
      <c r="C720" s="21">
        <v>240123000031</v>
      </c>
      <c r="D720" s="22">
        <v>45318</v>
      </c>
      <c r="E720" s="22" t="s">
        <v>58</v>
      </c>
      <c r="F720" s="20" t="s">
        <v>59</v>
      </c>
      <c r="G720" s="20" t="s">
        <v>71</v>
      </c>
      <c r="H720" s="20">
        <v>5</v>
      </c>
      <c r="I720" s="43">
        <v>625</v>
      </c>
      <c r="J720" s="44"/>
      <c r="K720" s="45"/>
      <c r="L720" s="44"/>
      <c r="M720" s="46"/>
      <c r="N720" s="20"/>
      <c r="O720" s="48">
        <f t="shared" si="336"/>
        <v>625</v>
      </c>
      <c r="P720" s="54"/>
      <c r="Q720" s="54"/>
      <c r="R720" s="81">
        <f t="shared" si="340"/>
        <v>343.75</v>
      </c>
      <c r="S720" s="81"/>
      <c r="T720" s="82">
        <f t="shared" si="341"/>
        <v>11.5875</v>
      </c>
      <c r="U720" s="81"/>
      <c r="V720" s="81"/>
      <c r="W720" s="83">
        <f t="shared" si="337"/>
        <v>355.3375</v>
      </c>
      <c r="X720" s="84">
        <f t="shared" si="342"/>
        <v>9.2453125</v>
      </c>
      <c r="Y720" s="84"/>
      <c r="Z720" s="81"/>
      <c r="AA720" s="84">
        <f t="shared" si="338"/>
        <v>9.2453125</v>
      </c>
      <c r="AB720" s="94">
        <v>7.17</v>
      </c>
      <c r="AC720" s="81">
        <f t="shared" si="339"/>
        <v>66.288890625</v>
      </c>
      <c r="AD720" s="81">
        <f t="shared" si="335"/>
        <v>421.626390625</v>
      </c>
      <c r="AE720" s="81">
        <f t="shared" si="334"/>
        <v>203.373609375</v>
      </c>
    </row>
    <row r="721" customFormat="1" spans="1:31">
      <c r="A721" s="19"/>
      <c r="B721" s="20"/>
      <c r="C721" s="21">
        <v>240124000020</v>
      </c>
      <c r="D721" s="22">
        <v>45318</v>
      </c>
      <c r="E721" s="22" t="s">
        <v>37</v>
      </c>
      <c r="F721" s="20" t="s">
        <v>144</v>
      </c>
      <c r="G721" s="20" t="s">
        <v>145</v>
      </c>
      <c r="H721" s="20">
        <v>1.5</v>
      </c>
      <c r="I721" s="48"/>
      <c r="J721" s="55">
        <v>38691</v>
      </c>
      <c r="K721" s="56"/>
      <c r="L721" s="51">
        <f>SUM(J721/M721)</f>
        <v>1465.01325255585</v>
      </c>
      <c r="M721" s="53">
        <v>26.41</v>
      </c>
      <c r="N721" s="20">
        <v>7.17</v>
      </c>
      <c r="O721" s="48">
        <f>SUM(M721*N721)</f>
        <v>189.3597</v>
      </c>
      <c r="P721" s="54"/>
      <c r="Q721" s="54"/>
      <c r="R721" s="81">
        <f t="shared" si="340"/>
        <v>103.125</v>
      </c>
      <c r="S721" s="81"/>
      <c r="T721" s="82">
        <f t="shared" si="341"/>
        <v>3.47625</v>
      </c>
      <c r="U721" s="81"/>
      <c r="V721" s="81"/>
      <c r="W721" s="83">
        <f t="shared" si="337"/>
        <v>106.60125</v>
      </c>
      <c r="X721" s="84">
        <f t="shared" si="342"/>
        <v>2.77359375</v>
      </c>
      <c r="Y721" s="84"/>
      <c r="Z721" s="81"/>
      <c r="AA721" s="84">
        <f t="shared" si="338"/>
        <v>2.77359375</v>
      </c>
      <c r="AB721" s="94">
        <v>7.17</v>
      </c>
      <c r="AC721" s="81">
        <f t="shared" si="339"/>
        <v>19.8866671875</v>
      </c>
      <c r="AD721" s="81">
        <f t="shared" si="335"/>
        <v>126.4879171875</v>
      </c>
      <c r="AE721" s="81">
        <f t="shared" si="334"/>
        <v>62.8717828125</v>
      </c>
    </row>
    <row r="722" customFormat="1" spans="1:31">
      <c r="A722" s="19"/>
      <c r="B722" s="20"/>
      <c r="C722" s="21">
        <v>240124000035</v>
      </c>
      <c r="D722" s="22">
        <v>45318</v>
      </c>
      <c r="E722" s="22" t="s">
        <v>110</v>
      </c>
      <c r="F722" s="20" t="s">
        <v>111</v>
      </c>
      <c r="G722" s="20" t="s">
        <v>470</v>
      </c>
      <c r="H722" s="20">
        <v>0.12</v>
      </c>
      <c r="I722" s="43">
        <v>125</v>
      </c>
      <c r="J722" s="44"/>
      <c r="K722" s="45"/>
      <c r="L722" s="44"/>
      <c r="M722" s="46"/>
      <c r="N722" s="20"/>
      <c r="O722" s="48">
        <f t="shared" ref="O722:O728" si="343">SUM(I722)</f>
        <v>125</v>
      </c>
      <c r="P722" s="54"/>
      <c r="Q722" s="54"/>
      <c r="R722" s="81">
        <f t="shared" si="340"/>
        <v>8.25</v>
      </c>
      <c r="S722" s="81"/>
      <c r="T722" s="82">
        <f t="shared" si="341"/>
        <v>0.2781</v>
      </c>
      <c r="U722" s="81"/>
      <c r="V722" s="81"/>
      <c r="W722" s="83">
        <f t="shared" si="337"/>
        <v>8.5281</v>
      </c>
      <c r="X722" s="84">
        <f t="shared" si="342"/>
        <v>0.2218875</v>
      </c>
      <c r="Y722" s="84"/>
      <c r="Z722" s="81"/>
      <c r="AA722" s="84">
        <f t="shared" si="338"/>
        <v>0.2218875</v>
      </c>
      <c r="AB722" s="94">
        <v>7.17</v>
      </c>
      <c r="AC722" s="81">
        <f t="shared" si="339"/>
        <v>1.590933375</v>
      </c>
      <c r="AD722" s="81">
        <f t="shared" si="335"/>
        <v>10.119033375</v>
      </c>
      <c r="AE722" s="81">
        <f t="shared" si="334"/>
        <v>114.880966625</v>
      </c>
    </row>
    <row r="723" customFormat="1" spans="1:31">
      <c r="A723" s="19"/>
      <c r="B723" s="20"/>
      <c r="C723" s="21">
        <v>240125000005</v>
      </c>
      <c r="D723" s="22">
        <v>45318</v>
      </c>
      <c r="E723" s="22" t="s">
        <v>44</v>
      </c>
      <c r="F723" s="20" t="s">
        <v>45</v>
      </c>
      <c r="G723" s="20" t="s">
        <v>395</v>
      </c>
      <c r="H723" s="20">
        <v>3.5</v>
      </c>
      <c r="I723" s="43">
        <v>455</v>
      </c>
      <c r="J723" s="44"/>
      <c r="K723" s="45"/>
      <c r="L723" s="44"/>
      <c r="M723" s="46"/>
      <c r="N723" s="20"/>
      <c r="O723" s="48">
        <f t="shared" si="343"/>
        <v>455</v>
      </c>
      <c r="P723" s="54"/>
      <c r="Q723" s="54"/>
      <c r="R723" s="81">
        <f t="shared" si="340"/>
        <v>240.625</v>
      </c>
      <c r="S723" s="81"/>
      <c r="T723" s="82">
        <f t="shared" si="341"/>
        <v>8.11125</v>
      </c>
      <c r="U723" s="81"/>
      <c r="V723" s="81"/>
      <c r="W723" s="83">
        <f t="shared" si="337"/>
        <v>248.73625</v>
      </c>
      <c r="X723" s="84">
        <f t="shared" si="342"/>
        <v>6.47171875</v>
      </c>
      <c r="Y723" s="84"/>
      <c r="Z723" s="81"/>
      <c r="AA723" s="84">
        <f t="shared" si="338"/>
        <v>6.47171875</v>
      </c>
      <c r="AB723" s="94">
        <v>7.17</v>
      </c>
      <c r="AC723" s="81">
        <f t="shared" si="339"/>
        <v>46.4022234375</v>
      </c>
      <c r="AD723" s="81">
        <f t="shared" si="335"/>
        <v>295.1384734375</v>
      </c>
      <c r="AE723" s="81">
        <f t="shared" si="334"/>
        <v>159.8615265625</v>
      </c>
    </row>
    <row r="724" customFormat="1" spans="1:31">
      <c r="A724" s="19"/>
      <c r="B724" s="20"/>
      <c r="C724" s="21">
        <v>240125000015</v>
      </c>
      <c r="D724" s="22">
        <v>45318</v>
      </c>
      <c r="E724" s="22" t="s">
        <v>49</v>
      </c>
      <c r="F724" s="20" t="s">
        <v>50</v>
      </c>
      <c r="G724" s="20" t="s">
        <v>223</v>
      </c>
      <c r="H724" s="20">
        <v>0.27</v>
      </c>
      <c r="I724" s="50"/>
      <c r="J724" s="51">
        <v>33280</v>
      </c>
      <c r="K724" s="52"/>
      <c r="L724" s="51">
        <f>SUM(J724/M724)</f>
        <v>1491.70775437024</v>
      </c>
      <c r="M724" s="53">
        <v>22.31</v>
      </c>
      <c r="N724" s="20">
        <v>7.17</v>
      </c>
      <c r="O724" s="48">
        <f>SUM(M724*N724)</f>
        <v>159.9627</v>
      </c>
      <c r="P724" s="54"/>
      <c r="Q724" s="54"/>
      <c r="R724" s="81">
        <f t="shared" si="340"/>
        <v>18.5625</v>
      </c>
      <c r="S724" s="81"/>
      <c r="T724" s="82">
        <f t="shared" si="341"/>
        <v>0.625725</v>
      </c>
      <c r="U724" s="81"/>
      <c r="V724" s="81"/>
      <c r="W724" s="83">
        <f t="shared" si="337"/>
        <v>19.188225</v>
      </c>
      <c r="X724" s="84">
        <f t="shared" si="342"/>
        <v>0.499246875</v>
      </c>
      <c r="Y724" s="84"/>
      <c r="Z724" s="81"/>
      <c r="AA724" s="84">
        <f t="shared" si="338"/>
        <v>0.499246875</v>
      </c>
      <c r="AB724" s="94">
        <v>7.17</v>
      </c>
      <c r="AC724" s="81">
        <f t="shared" si="339"/>
        <v>3.57960009375</v>
      </c>
      <c r="AD724" s="81">
        <f t="shared" si="335"/>
        <v>22.76782509375</v>
      </c>
      <c r="AE724" s="81">
        <f t="shared" si="334"/>
        <v>137.19487490625</v>
      </c>
    </row>
    <row r="725" customFormat="1" spans="1:31">
      <c r="A725" s="19"/>
      <c r="B725" s="20"/>
      <c r="C725" s="21">
        <v>240125000016</v>
      </c>
      <c r="D725" s="22">
        <v>45318</v>
      </c>
      <c r="E725" s="22" t="s">
        <v>49</v>
      </c>
      <c r="F725" s="20" t="s">
        <v>50</v>
      </c>
      <c r="G725" s="20" t="s">
        <v>242</v>
      </c>
      <c r="H725" s="20">
        <v>6</v>
      </c>
      <c r="I725" s="43">
        <v>930</v>
      </c>
      <c r="J725" s="44"/>
      <c r="K725" s="45"/>
      <c r="L725" s="44"/>
      <c r="M725" s="46"/>
      <c r="N725" s="20"/>
      <c r="O725" s="48">
        <f t="shared" si="343"/>
        <v>930</v>
      </c>
      <c r="P725" s="54"/>
      <c r="Q725" s="54"/>
      <c r="R725" s="81">
        <f t="shared" si="340"/>
        <v>412.5</v>
      </c>
      <c r="S725" s="81"/>
      <c r="T725" s="82">
        <f t="shared" si="341"/>
        <v>13.905</v>
      </c>
      <c r="U725" s="81"/>
      <c r="V725" s="81"/>
      <c r="W725" s="83">
        <f t="shared" si="337"/>
        <v>426.405</v>
      </c>
      <c r="X725" s="84">
        <f t="shared" si="342"/>
        <v>11.094375</v>
      </c>
      <c r="Y725" s="84"/>
      <c r="Z725" s="81"/>
      <c r="AA725" s="84">
        <f t="shared" si="338"/>
        <v>11.094375</v>
      </c>
      <c r="AB725" s="94">
        <v>7.17</v>
      </c>
      <c r="AC725" s="81">
        <f t="shared" si="339"/>
        <v>79.54666875</v>
      </c>
      <c r="AD725" s="81">
        <f t="shared" ref="AD725:AD756" si="344">SUM(W725+AC725)</f>
        <v>505.95166875</v>
      </c>
      <c r="AE725" s="81">
        <f t="shared" si="334"/>
        <v>424.04833125</v>
      </c>
    </row>
    <row r="726" customFormat="1" spans="1:31">
      <c r="A726" s="19"/>
      <c r="B726" s="20"/>
      <c r="C726" s="21">
        <v>240125000018</v>
      </c>
      <c r="D726" s="22">
        <v>45318</v>
      </c>
      <c r="E726" s="22" t="s">
        <v>49</v>
      </c>
      <c r="F726" s="20" t="s">
        <v>50</v>
      </c>
      <c r="G726" s="20" t="s">
        <v>242</v>
      </c>
      <c r="H726" s="20">
        <v>5</v>
      </c>
      <c r="I726" s="43">
        <v>697.5</v>
      </c>
      <c r="J726" s="44"/>
      <c r="K726" s="45"/>
      <c r="L726" s="44"/>
      <c r="M726" s="46"/>
      <c r="N726" s="20"/>
      <c r="O726" s="48">
        <f t="shared" si="343"/>
        <v>697.5</v>
      </c>
      <c r="P726" s="54"/>
      <c r="Q726" s="54"/>
      <c r="R726" s="81">
        <f t="shared" si="340"/>
        <v>343.75</v>
      </c>
      <c r="S726" s="81"/>
      <c r="T726" s="82">
        <f t="shared" si="341"/>
        <v>11.5875</v>
      </c>
      <c r="U726" s="81"/>
      <c r="V726" s="81"/>
      <c r="W726" s="83">
        <f t="shared" si="337"/>
        <v>355.3375</v>
      </c>
      <c r="X726" s="84">
        <f t="shared" si="342"/>
        <v>9.2453125</v>
      </c>
      <c r="Y726" s="84"/>
      <c r="Z726" s="81"/>
      <c r="AA726" s="84">
        <f t="shared" si="338"/>
        <v>9.2453125</v>
      </c>
      <c r="AB726" s="94">
        <v>7.17</v>
      </c>
      <c r="AC726" s="81">
        <f t="shared" si="339"/>
        <v>66.288890625</v>
      </c>
      <c r="AD726" s="81">
        <f t="shared" si="344"/>
        <v>421.626390625</v>
      </c>
      <c r="AE726" s="81">
        <f t="shared" si="334"/>
        <v>275.873609375</v>
      </c>
    </row>
    <row r="727" customFormat="1" spans="1:31">
      <c r="A727" s="19"/>
      <c r="B727" s="20"/>
      <c r="C727" s="21">
        <v>240125000042</v>
      </c>
      <c r="D727" s="22">
        <v>45318</v>
      </c>
      <c r="E727" s="22" t="s">
        <v>49</v>
      </c>
      <c r="F727" s="20" t="s">
        <v>50</v>
      </c>
      <c r="G727" s="20" t="s">
        <v>189</v>
      </c>
      <c r="H727" s="20">
        <v>0.6</v>
      </c>
      <c r="I727" s="43">
        <v>130</v>
      </c>
      <c r="J727" s="44"/>
      <c r="K727" s="45"/>
      <c r="L727" s="44"/>
      <c r="M727" s="46"/>
      <c r="N727" s="20"/>
      <c r="O727" s="48">
        <f t="shared" si="343"/>
        <v>130</v>
      </c>
      <c r="P727" s="54"/>
      <c r="Q727" s="54"/>
      <c r="R727" s="81">
        <f t="shared" si="340"/>
        <v>41.25</v>
      </c>
      <c r="S727" s="81"/>
      <c r="T727" s="82">
        <f t="shared" si="341"/>
        <v>1.3905</v>
      </c>
      <c r="U727" s="81"/>
      <c r="V727" s="81"/>
      <c r="W727" s="83">
        <f t="shared" si="337"/>
        <v>42.6405</v>
      </c>
      <c r="X727" s="84">
        <f t="shared" si="342"/>
        <v>1.1094375</v>
      </c>
      <c r="Y727" s="84"/>
      <c r="Z727" s="81"/>
      <c r="AA727" s="84">
        <f t="shared" si="338"/>
        <v>1.1094375</v>
      </c>
      <c r="AB727" s="94">
        <v>7.17</v>
      </c>
      <c r="AC727" s="81">
        <f t="shared" si="339"/>
        <v>7.954666875</v>
      </c>
      <c r="AD727" s="81">
        <f t="shared" si="344"/>
        <v>50.595166875</v>
      </c>
      <c r="AE727" s="81">
        <f t="shared" si="334"/>
        <v>79.404833125</v>
      </c>
    </row>
    <row r="728" customFormat="1" spans="1:31">
      <c r="A728" s="19"/>
      <c r="B728" s="20"/>
      <c r="C728" s="21">
        <v>240125000045</v>
      </c>
      <c r="D728" s="22">
        <v>45318</v>
      </c>
      <c r="E728" s="22" t="s">
        <v>49</v>
      </c>
      <c r="F728" s="20" t="s">
        <v>50</v>
      </c>
      <c r="G728" s="20" t="s">
        <v>189</v>
      </c>
      <c r="H728" s="20">
        <v>3.5</v>
      </c>
      <c r="I728" s="43">
        <v>455</v>
      </c>
      <c r="J728" s="44"/>
      <c r="K728" s="45"/>
      <c r="L728" s="44"/>
      <c r="M728" s="46"/>
      <c r="N728" s="20"/>
      <c r="O728" s="48">
        <f t="shared" si="343"/>
        <v>455</v>
      </c>
      <c r="P728" s="54"/>
      <c r="Q728" s="54"/>
      <c r="R728" s="81">
        <f t="shared" si="340"/>
        <v>240.625</v>
      </c>
      <c r="S728" s="81"/>
      <c r="T728" s="82">
        <f t="shared" si="341"/>
        <v>8.11125</v>
      </c>
      <c r="U728" s="81"/>
      <c r="V728" s="81"/>
      <c r="W728" s="83">
        <f t="shared" si="337"/>
        <v>248.73625</v>
      </c>
      <c r="X728" s="84">
        <f t="shared" si="342"/>
        <v>6.47171875</v>
      </c>
      <c r="Y728" s="84"/>
      <c r="Z728" s="81"/>
      <c r="AA728" s="84">
        <f t="shared" ref="AA728:AA759" si="345">SUM(X728:Z728)</f>
        <v>6.47171875</v>
      </c>
      <c r="AB728" s="94">
        <v>7.17</v>
      </c>
      <c r="AC728" s="81">
        <f t="shared" ref="AC728:AC759" si="346">SUM(AA728*AB728)</f>
        <v>46.4022234375</v>
      </c>
      <c r="AD728" s="81">
        <f t="shared" si="344"/>
        <v>295.1384734375</v>
      </c>
      <c r="AE728" s="81">
        <f t="shared" ref="AE728:AE759" si="347">SUM(O728-AD728)</f>
        <v>159.8615265625</v>
      </c>
    </row>
    <row r="729" customFormat="1" spans="1:31">
      <c r="A729" s="19"/>
      <c r="B729" s="20"/>
      <c r="C729" s="21">
        <v>240126000006</v>
      </c>
      <c r="D729" s="22">
        <v>45318</v>
      </c>
      <c r="E729" s="22" t="s">
        <v>58</v>
      </c>
      <c r="F729" s="20" t="s">
        <v>59</v>
      </c>
      <c r="G729" s="20" t="s">
        <v>471</v>
      </c>
      <c r="H729" s="20">
        <v>2</v>
      </c>
      <c r="I729" s="48"/>
      <c r="J729" s="55">
        <v>67154</v>
      </c>
      <c r="K729" s="56"/>
      <c r="L729" s="51">
        <f>SUM(J729/M729)</f>
        <v>1489.9933436876</v>
      </c>
      <c r="M729" s="53">
        <v>45.07</v>
      </c>
      <c r="N729" s="20">
        <v>7.17</v>
      </c>
      <c r="O729" s="48">
        <f>SUM(M729*N729)</f>
        <v>323.1519</v>
      </c>
      <c r="P729" s="60"/>
      <c r="Q729" s="60"/>
      <c r="R729" s="81">
        <f t="shared" si="340"/>
        <v>137.5</v>
      </c>
      <c r="S729" s="81"/>
      <c r="T729" s="82">
        <f t="shared" si="341"/>
        <v>4.635</v>
      </c>
      <c r="U729" s="81"/>
      <c r="V729" s="81"/>
      <c r="W729" s="83">
        <f t="shared" ref="W729:W776" si="348">SUM(R729:V729)</f>
        <v>142.135</v>
      </c>
      <c r="X729" s="84">
        <f t="shared" si="342"/>
        <v>3.698125</v>
      </c>
      <c r="Y729" s="84"/>
      <c r="Z729" s="81"/>
      <c r="AA729" s="84">
        <f t="shared" si="345"/>
        <v>3.698125</v>
      </c>
      <c r="AB729" s="94">
        <v>7.17</v>
      </c>
      <c r="AC729" s="81">
        <f t="shared" si="346"/>
        <v>26.51555625</v>
      </c>
      <c r="AD729" s="81">
        <f t="shared" si="344"/>
        <v>168.65055625</v>
      </c>
      <c r="AE729" s="81">
        <f t="shared" si="347"/>
        <v>154.50134375</v>
      </c>
    </row>
    <row r="730" customFormat="1" spans="1:31">
      <c r="A730" s="19" t="s">
        <v>472</v>
      </c>
      <c r="B730" s="20" t="s">
        <v>473</v>
      </c>
      <c r="C730" s="21">
        <v>240117000014</v>
      </c>
      <c r="D730" s="22">
        <v>45318</v>
      </c>
      <c r="E730" s="22" t="s">
        <v>41</v>
      </c>
      <c r="F730" s="20" t="s">
        <v>42</v>
      </c>
      <c r="G730" s="20" t="s">
        <v>114</v>
      </c>
      <c r="H730" s="20">
        <v>20</v>
      </c>
      <c r="I730" s="43">
        <v>2880.6</v>
      </c>
      <c r="J730" s="44"/>
      <c r="K730" s="45"/>
      <c r="L730" s="44"/>
      <c r="M730" s="46"/>
      <c r="N730" s="20"/>
      <c r="O730" s="48">
        <f t="shared" ref="O730:O734" si="349">SUM(I730)</f>
        <v>2880.6</v>
      </c>
      <c r="P730" s="49">
        <f>SUM(O730:O776)</f>
        <v>117011.0053</v>
      </c>
      <c r="Q730" s="80" t="s">
        <v>165</v>
      </c>
      <c r="R730" s="81">
        <f>SUM(81447.5/1825)*H730</f>
        <v>892.575342465753</v>
      </c>
      <c r="S730" s="82">
        <f>SUM(118.74/1825)*H730</f>
        <v>1.3012602739726</v>
      </c>
      <c r="T730" s="82">
        <f>SUM(130/1825)*H730</f>
        <v>1.42465753424658</v>
      </c>
      <c r="U730" s="81"/>
      <c r="V730" s="81"/>
      <c r="W730" s="83">
        <f t="shared" si="348"/>
        <v>895.301260273973</v>
      </c>
      <c r="X730" s="84">
        <f>SUM(1250.7/1825)*H730</f>
        <v>13.706301369863</v>
      </c>
      <c r="Y730" s="84"/>
      <c r="Z730" s="81"/>
      <c r="AA730" s="84">
        <f t="shared" si="345"/>
        <v>13.706301369863</v>
      </c>
      <c r="AB730" s="94">
        <v>7.17</v>
      </c>
      <c r="AC730" s="81">
        <f t="shared" si="346"/>
        <v>98.2741808219178</v>
      </c>
      <c r="AD730" s="81">
        <f t="shared" si="344"/>
        <v>993.57544109589</v>
      </c>
      <c r="AE730" s="81">
        <f t="shared" si="347"/>
        <v>1887.02455890411</v>
      </c>
    </row>
    <row r="731" customFormat="1" spans="1:31">
      <c r="A731" s="19"/>
      <c r="B731" s="20"/>
      <c r="C731" s="21">
        <v>240117000031</v>
      </c>
      <c r="D731" s="22">
        <v>45318</v>
      </c>
      <c r="E731" s="22" t="s">
        <v>110</v>
      </c>
      <c r="F731" s="20" t="s">
        <v>111</v>
      </c>
      <c r="G731" s="20" t="s">
        <v>453</v>
      </c>
      <c r="H731" s="20">
        <v>6</v>
      </c>
      <c r="I731" s="43">
        <v>423.6</v>
      </c>
      <c r="J731" s="44"/>
      <c r="K731" s="45"/>
      <c r="L731" s="44"/>
      <c r="M731" s="46"/>
      <c r="N731" s="20"/>
      <c r="O731" s="48">
        <f t="shared" si="349"/>
        <v>423.6</v>
      </c>
      <c r="P731" s="54"/>
      <c r="Q731" s="54"/>
      <c r="R731" s="81">
        <f t="shared" ref="R731:R776" si="350">SUM(81447.5/1825)*H731</f>
        <v>267.772602739726</v>
      </c>
      <c r="S731" s="82">
        <f t="shared" ref="S731:S776" si="351">SUM(118.74/1825)*H731</f>
        <v>0.390378082191781</v>
      </c>
      <c r="T731" s="82">
        <f t="shared" ref="T731:T776" si="352">SUM(130/1825)*H731</f>
        <v>0.427397260273973</v>
      </c>
      <c r="U731" s="81"/>
      <c r="V731" s="81"/>
      <c r="W731" s="83">
        <f t="shared" si="348"/>
        <v>268.590378082192</v>
      </c>
      <c r="X731" s="84">
        <f t="shared" ref="X731:X776" si="353">SUM(1250.7/1825)*H731</f>
        <v>4.1118904109589</v>
      </c>
      <c r="Y731" s="84"/>
      <c r="Z731" s="81"/>
      <c r="AA731" s="84">
        <f t="shared" si="345"/>
        <v>4.1118904109589</v>
      </c>
      <c r="AB731" s="94">
        <v>7.17</v>
      </c>
      <c r="AC731" s="81">
        <f t="shared" si="346"/>
        <v>29.4822542465753</v>
      </c>
      <c r="AD731" s="81">
        <f t="shared" si="344"/>
        <v>298.072632328767</v>
      </c>
      <c r="AE731" s="81">
        <f t="shared" si="347"/>
        <v>125.527367671233</v>
      </c>
    </row>
    <row r="732" customFormat="1" spans="1:31">
      <c r="A732" s="19"/>
      <c r="B732" s="20"/>
      <c r="C732" s="21">
        <v>240118000001</v>
      </c>
      <c r="D732" s="22">
        <v>45318</v>
      </c>
      <c r="E732" s="22" t="s">
        <v>49</v>
      </c>
      <c r="F732" s="20" t="s">
        <v>374</v>
      </c>
      <c r="G732" s="20" t="s">
        <v>375</v>
      </c>
      <c r="H732" s="20">
        <v>22.5</v>
      </c>
      <c r="I732" s="43">
        <v>1743.7</v>
      </c>
      <c r="J732" s="44"/>
      <c r="K732" s="45"/>
      <c r="L732" s="44"/>
      <c r="M732" s="46"/>
      <c r="N732" s="20"/>
      <c r="O732" s="48">
        <f t="shared" si="349"/>
        <v>1743.7</v>
      </c>
      <c r="P732" s="54"/>
      <c r="Q732" s="54"/>
      <c r="R732" s="81">
        <f t="shared" si="350"/>
        <v>1004.14726027397</v>
      </c>
      <c r="S732" s="82">
        <f t="shared" si="351"/>
        <v>1.46391780821918</v>
      </c>
      <c r="T732" s="82">
        <f t="shared" si="352"/>
        <v>1.6027397260274</v>
      </c>
      <c r="U732" s="81"/>
      <c r="V732" s="81"/>
      <c r="W732" s="83">
        <f t="shared" si="348"/>
        <v>1007.21391780822</v>
      </c>
      <c r="X732" s="84">
        <f t="shared" si="353"/>
        <v>15.4195890410959</v>
      </c>
      <c r="Y732" s="84"/>
      <c r="Z732" s="81"/>
      <c r="AA732" s="84">
        <f t="shared" si="345"/>
        <v>15.4195890410959</v>
      </c>
      <c r="AB732" s="94">
        <v>7.17</v>
      </c>
      <c r="AC732" s="81">
        <f t="shared" si="346"/>
        <v>110.558453424658</v>
      </c>
      <c r="AD732" s="81">
        <f t="shared" si="344"/>
        <v>1117.77237123288</v>
      </c>
      <c r="AE732" s="81">
        <f t="shared" si="347"/>
        <v>625.92762876712</v>
      </c>
    </row>
    <row r="733" customFormat="1" spans="1:31">
      <c r="A733" s="19"/>
      <c r="B733" s="20"/>
      <c r="C733" s="21">
        <v>240118000013</v>
      </c>
      <c r="D733" s="22">
        <v>45318</v>
      </c>
      <c r="E733" s="22" t="s">
        <v>37</v>
      </c>
      <c r="F733" s="20" t="s">
        <v>38</v>
      </c>
      <c r="G733" s="20" t="s">
        <v>474</v>
      </c>
      <c r="H733" s="20">
        <v>16.5</v>
      </c>
      <c r="I733" s="43">
        <v>1036.8</v>
      </c>
      <c r="J733" s="44"/>
      <c r="K733" s="45"/>
      <c r="L733" s="44"/>
      <c r="M733" s="46"/>
      <c r="N733" s="20"/>
      <c r="O733" s="48">
        <f t="shared" si="349"/>
        <v>1036.8</v>
      </c>
      <c r="P733" s="54"/>
      <c r="Q733" s="54"/>
      <c r="R733" s="81">
        <f t="shared" si="350"/>
        <v>736.374657534247</v>
      </c>
      <c r="S733" s="82">
        <f t="shared" si="351"/>
        <v>1.0735397260274</v>
      </c>
      <c r="T733" s="82">
        <f t="shared" si="352"/>
        <v>1.17534246575342</v>
      </c>
      <c r="U733" s="81"/>
      <c r="V733" s="81"/>
      <c r="W733" s="83">
        <f t="shared" si="348"/>
        <v>738.623539726027</v>
      </c>
      <c r="X733" s="84">
        <f t="shared" si="353"/>
        <v>11.307698630137</v>
      </c>
      <c r="Y733" s="84"/>
      <c r="Z733" s="81"/>
      <c r="AA733" s="84">
        <f t="shared" si="345"/>
        <v>11.307698630137</v>
      </c>
      <c r="AB733" s="94">
        <v>7.17</v>
      </c>
      <c r="AC733" s="81">
        <f t="shared" si="346"/>
        <v>81.0761991780822</v>
      </c>
      <c r="AD733" s="81">
        <f t="shared" si="344"/>
        <v>819.69973890411</v>
      </c>
      <c r="AE733" s="81">
        <f t="shared" si="347"/>
        <v>217.10026109589</v>
      </c>
    </row>
    <row r="734" customFormat="1" spans="1:31">
      <c r="A734" s="19"/>
      <c r="B734" s="20"/>
      <c r="C734" s="21">
        <v>240118000018</v>
      </c>
      <c r="D734" s="22">
        <v>45318</v>
      </c>
      <c r="E734" s="22" t="s">
        <v>37</v>
      </c>
      <c r="F734" s="20" t="s">
        <v>38</v>
      </c>
      <c r="G734" s="20" t="s">
        <v>475</v>
      </c>
      <c r="H734" s="20">
        <v>8</v>
      </c>
      <c r="I734" s="43">
        <v>704</v>
      </c>
      <c r="J734" s="44"/>
      <c r="K734" s="45"/>
      <c r="L734" s="44"/>
      <c r="M734" s="46"/>
      <c r="N734" s="20"/>
      <c r="O734" s="48">
        <f t="shared" si="349"/>
        <v>704</v>
      </c>
      <c r="P734" s="54"/>
      <c r="Q734" s="54"/>
      <c r="R734" s="81">
        <f t="shared" si="350"/>
        <v>357.030136986301</v>
      </c>
      <c r="S734" s="82">
        <f t="shared" si="351"/>
        <v>0.520504109589041</v>
      </c>
      <c r="T734" s="82">
        <f t="shared" si="352"/>
        <v>0.56986301369863</v>
      </c>
      <c r="U734" s="81"/>
      <c r="V734" s="81"/>
      <c r="W734" s="83">
        <f t="shared" si="348"/>
        <v>358.120504109589</v>
      </c>
      <c r="X734" s="84">
        <f t="shared" si="353"/>
        <v>5.48252054794521</v>
      </c>
      <c r="Y734" s="84"/>
      <c r="Z734" s="81"/>
      <c r="AA734" s="84">
        <f t="shared" si="345"/>
        <v>5.48252054794521</v>
      </c>
      <c r="AB734" s="94">
        <v>7.17</v>
      </c>
      <c r="AC734" s="81">
        <f t="shared" si="346"/>
        <v>39.3096723287671</v>
      </c>
      <c r="AD734" s="81">
        <f t="shared" si="344"/>
        <v>397.430176438356</v>
      </c>
      <c r="AE734" s="81">
        <f t="shared" si="347"/>
        <v>306.569823561644</v>
      </c>
    </row>
    <row r="735" customFormat="1" spans="1:31">
      <c r="A735" s="19"/>
      <c r="B735" s="20"/>
      <c r="C735" s="21">
        <v>240118000020</v>
      </c>
      <c r="D735" s="22">
        <v>45318</v>
      </c>
      <c r="E735" s="22" t="s">
        <v>49</v>
      </c>
      <c r="F735" s="20" t="s">
        <v>50</v>
      </c>
      <c r="G735" s="20" t="s">
        <v>219</v>
      </c>
      <c r="H735" s="20">
        <v>5</v>
      </c>
      <c r="I735" s="48"/>
      <c r="J735" s="55">
        <v>57961</v>
      </c>
      <c r="K735" s="56"/>
      <c r="L735" s="51">
        <f>SUM(J735/M735)</f>
        <v>1490</v>
      </c>
      <c r="M735" s="53">
        <v>38.9</v>
      </c>
      <c r="N735" s="20">
        <v>7.17</v>
      </c>
      <c r="O735" s="48">
        <f t="shared" ref="O735:O738" si="354">SUM(M735*N735)</f>
        <v>278.913</v>
      </c>
      <c r="P735" s="54"/>
      <c r="Q735" s="54"/>
      <c r="R735" s="81">
        <f t="shared" si="350"/>
        <v>223.143835616438</v>
      </c>
      <c r="S735" s="82">
        <f t="shared" si="351"/>
        <v>0.325315068493151</v>
      </c>
      <c r="T735" s="82">
        <f t="shared" si="352"/>
        <v>0.356164383561644</v>
      </c>
      <c r="U735" s="81"/>
      <c r="V735" s="81"/>
      <c r="W735" s="83">
        <f t="shared" si="348"/>
        <v>223.825315068493</v>
      </c>
      <c r="X735" s="84">
        <f t="shared" si="353"/>
        <v>3.42657534246575</v>
      </c>
      <c r="Y735" s="84"/>
      <c r="Z735" s="81"/>
      <c r="AA735" s="84">
        <f t="shared" si="345"/>
        <v>3.42657534246575</v>
      </c>
      <c r="AB735" s="94">
        <v>7.17</v>
      </c>
      <c r="AC735" s="81">
        <f t="shared" si="346"/>
        <v>24.5685452054795</v>
      </c>
      <c r="AD735" s="81">
        <f t="shared" si="344"/>
        <v>248.393860273973</v>
      </c>
      <c r="AE735" s="81">
        <f t="shared" si="347"/>
        <v>30.519139726027</v>
      </c>
    </row>
    <row r="736" customFormat="1" spans="1:31">
      <c r="A736" s="19"/>
      <c r="B736" s="20"/>
      <c r="C736" s="21">
        <v>240119000001</v>
      </c>
      <c r="D736" s="22">
        <v>45318</v>
      </c>
      <c r="E736" s="22" t="s">
        <v>49</v>
      </c>
      <c r="F736" s="20" t="s">
        <v>50</v>
      </c>
      <c r="G736" s="20" t="s">
        <v>476</v>
      </c>
      <c r="H736" s="20">
        <v>4</v>
      </c>
      <c r="I736" s="43">
        <v>347.6</v>
      </c>
      <c r="J736" s="44"/>
      <c r="K736" s="45"/>
      <c r="L736" s="44"/>
      <c r="M736" s="46"/>
      <c r="N736" s="20"/>
      <c r="O736" s="48">
        <f t="shared" ref="O736:O741" si="355">SUM(I736)</f>
        <v>347.6</v>
      </c>
      <c r="P736" s="54"/>
      <c r="Q736" s="54"/>
      <c r="R736" s="81">
        <f t="shared" si="350"/>
        <v>178.515068493151</v>
      </c>
      <c r="S736" s="82">
        <f t="shared" si="351"/>
        <v>0.260252054794521</v>
      </c>
      <c r="T736" s="82">
        <f t="shared" si="352"/>
        <v>0.284931506849315</v>
      </c>
      <c r="U736" s="81"/>
      <c r="V736" s="81"/>
      <c r="W736" s="83">
        <f t="shared" si="348"/>
        <v>179.060252054795</v>
      </c>
      <c r="X736" s="84">
        <f t="shared" si="353"/>
        <v>2.7412602739726</v>
      </c>
      <c r="Y736" s="84">
        <v>11.15</v>
      </c>
      <c r="Z736" s="81"/>
      <c r="AA736" s="84">
        <f t="shared" si="345"/>
        <v>13.8912602739726</v>
      </c>
      <c r="AB736" s="94">
        <v>7.17</v>
      </c>
      <c r="AC736" s="81">
        <f t="shared" si="346"/>
        <v>99.6003361643836</v>
      </c>
      <c r="AD736" s="81">
        <f t="shared" si="344"/>
        <v>278.660588219178</v>
      </c>
      <c r="AE736" s="81">
        <f t="shared" si="347"/>
        <v>68.939411780822</v>
      </c>
    </row>
    <row r="737" customFormat="1" spans="1:31">
      <c r="A737" s="19"/>
      <c r="B737" s="20"/>
      <c r="C737" s="21">
        <v>240119000003</v>
      </c>
      <c r="D737" s="22">
        <v>45318</v>
      </c>
      <c r="E737" s="22" t="s">
        <v>49</v>
      </c>
      <c r="F737" s="20" t="s">
        <v>50</v>
      </c>
      <c r="G737" s="20" t="s">
        <v>167</v>
      </c>
      <c r="H737" s="20">
        <v>3</v>
      </c>
      <c r="I737" s="48"/>
      <c r="J737" s="55">
        <v>48384</v>
      </c>
      <c r="K737" s="56"/>
      <c r="L737" s="51">
        <f>SUM(J737/M737)</f>
        <v>1548.288</v>
      </c>
      <c r="M737" s="53">
        <v>31.25</v>
      </c>
      <c r="N737" s="20">
        <v>7.17</v>
      </c>
      <c r="O737" s="48">
        <f t="shared" si="354"/>
        <v>224.0625</v>
      </c>
      <c r="P737" s="54"/>
      <c r="Q737" s="54"/>
      <c r="R737" s="81">
        <f t="shared" si="350"/>
        <v>133.886301369863</v>
      </c>
      <c r="S737" s="82">
        <f t="shared" si="351"/>
        <v>0.19518904109589</v>
      </c>
      <c r="T737" s="82">
        <f t="shared" si="352"/>
        <v>0.213698630136986</v>
      </c>
      <c r="U737" s="81"/>
      <c r="V737" s="81"/>
      <c r="W737" s="83">
        <f t="shared" si="348"/>
        <v>134.295189041096</v>
      </c>
      <c r="X737" s="84">
        <f t="shared" si="353"/>
        <v>2.05594520547945</v>
      </c>
      <c r="Y737" s="84"/>
      <c r="Z737" s="81"/>
      <c r="AA737" s="84">
        <f t="shared" si="345"/>
        <v>2.05594520547945</v>
      </c>
      <c r="AB737" s="94">
        <v>7.17</v>
      </c>
      <c r="AC737" s="81">
        <f t="shared" si="346"/>
        <v>14.7411271232877</v>
      </c>
      <c r="AD737" s="81">
        <f t="shared" si="344"/>
        <v>149.036316164384</v>
      </c>
      <c r="AE737" s="81">
        <f t="shared" si="347"/>
        <v>75.026183835616</v>
      </c>
    </row>
    <row r="738" customFormat="1" spans="1:31">
      <c r="A738" s="19"/>
      <c r="B738" s="20"/>
      <c r="C738" s="21">
        <v>240119000022</v>
      </c>
      <c r="D738" s="22">
        <v>45318</v>
      </c>
      <c r="E738" s="22" t="s">
        <v>37</v>
      </c>
      <c r="F738" s="20" t="s">
        <v>144</v>
      </c>
      <c r="G738" s="20" t="s">
        <v>145</v>
      </c>
      <c r="H738" s="20">
        <v>0.91</v>
      </c>
      <c r="I738" s="48"/>
      <c r="J738" s="55">
        <v>12600</v>
      </c>
      <c r="K738" s="56"/>
      <c r="L738" s="51">
        <f>SUM(J738/M738)</f>
        <v>1555.55555555556</v>
      </c>
      <c r="M738" s="53">
        <v>8.1</v>
      </c>
      <c r="N738" s="20">
        <v>7.17</v>
      </c>
      <c r="O738" s="48">
        <f t="shared" si="354"/>
        <v>58.077</v>
      </c>
      <c r="P738" s="54"/>
      <c r="Q738" s="54"/>
      <c r="R738" s="81">
        <f t="shared" si="350"/>
        <v>40.6121780821918</v>
      </c>
      <c r="S738" s="82">
        <f t="shared" si="351"/>
        <v>0.0592073424657534</v>
      </c>
      <c r="T738" s="82">
        <f t="shared" si="352"/>
        <v>0.0648219178082192</v>
      </c>
      <c r="U738" s="81"/>
      <c r="V738" s="81"/>
      <c r="W738" s="83">
        <f t="shared" si="348"/>
        <v>40.7362073424658</v>
      </c>
      <c r="X738" s="84">
        <f t="shared" si="353"/>
        <v>0.623636712328767</v>
      </c>
      <c r="Y738" s="84"/>
      <c r="Z738" s="81"/>
      <c r="AA738" s="84">
        <f t="shared" si="345"/>
        <v>0.623636712328767</v>
      </c>
      <c r="AB738" s="94">
        <v>7.17</v>
      </c>
      <c r="AC738" s="81">
        <f t="shared" si="346"/>
        <v>4.47147522739726</v>
      </c>
      <c r="AD738" s="81">
        <f t="shared" si="344"/>
        <v>45.207682569863</v>
      </c>
      <c r="AE738" s="81">
        <f t="shared" si="347"/>
        <v>12.869317430137</v>
      </c>
    </row>
    <row r="739" customFormat="1" spans="1:31">
      <c r="A739" s="19"/>
      <c r="B739" s="20"/>
      <c r="C739" s="21">
        <v>240119000042</v>
      </c>
      <c r="D739" s="22">
        <v>45318</v>
      </c>
      <c r="E739" s="22" t="s">
        <v>49</v>
      </c>
      <c r="F739" s="20" t="s">
        <v>374</v>
      </c>
      <c r="G739" s="20" t="s">
        <v>375</v>
      </c>
      <c r="H739" s="20">
        <v>4</v>
      </c>
      <c r="I739" s="43">
        <v>340.2</v>
      </c>
      <c r="J739" s="44"/>
      <c r="K739" s="45"/>
      <c r="L739" s="44"/>
      <c r="M739" s="46"/>
      <c r="N739" s="20"/>
      <c r="O739" s="48">
        <f t="shared" si="355"/>
        <v>340.2</v>
      </c>
      <c r="P739" s="54"/>
      <c r="Q739" s="54"/>
      <c r="R739" s="81">
        <f t="shared" si="350"/>
        <v>178.515068493151</v>
      </c>
      <c r="S739" s="82">
        <f t="shared" si="351"/>
        <v>0.260252054794521</v>
      </c>
      <c r="T739" s="82">
        <f t="shared" si="352"/>
        <v>0.284931506849315</v>
      </c>
      <c r="U739" s="81"/>
      <c r="V739" s="81"/>
      <c r="W739" s="83">
        <f t="shared" si="348"/>
        <v>179.060252054795</v>
      </c>
      <c r="X739" s="84">
        <f t="shared" si="353"/>
        <v>2.7412602739726</v>
      </c>
      <c r="Y739" s="84"/>
      <c r="Z739" s="81"/>
      <c r="AA739" s="84">
        <f t="shared" si="345"/>
        <v>2.7412602739726</v>
      </c>
      <c r="AB739" s="94">
        <v>7.17</v>
      </c>
      <c r="AC739" s="81">
        <f t="shared" si="346"/>
        <v>19.6548361643836</v>
      </c>
      <c r="AD739" s="81">
        <f t="shared" si="344"/>
        <v>198.715088219178</v>
      </c>
      <c r="AE739" s="81">
        <f t="shared" si="347"/>
        <v>141.484911780822</v>
      </c>
    </row>
    <row r="740" customFormat="1" spans="1:31">
      <c r="A740" s="19"/>
      <c r="B740" s="20"/>
      <c r="C740" s="21">
        <v>240119000044</v>
      </c>
      <c r="D740" s="22">
        <v>45318</v>
      </c>
      <c r="E740" s="22" t="s">
        <v>58</v>
      </c>
      <c r="F740" s="20" t="s">
        <v>477</v>
      </c>
      <c r="G740" s="20" t="s">
        <v>477</v>
      </c>
      <c r="H740" s="20">
        <v>5.5</v>
      </c>
      <c r="I740" s="43">
        <v>366.6</v>
      </c>
      <c r="J740" s="44"/>
      <c r="K740" s="45"/>
      <c r="L740" s="44"/>
      <c r="M740" s="46"/>
      <c r="N740" s="20"/>
      <c r="O740" s="48">
        <f t="shared" si="355"/>
        <v>366.6</v>
      </c>
      <c r="P740" s="54"/>
      <c r="Q740" s="54"/>
      <c r="R740" s="81">
        <f t="shared" si="350"/>
        <v>245.458219178082</v>
      </c>
      <c r="S740" s="82">
        <f t="shared" si="351"/>
        <v>0.357846575342466</v>
      </c>
      <c r="T740" s="82">
        <f t="shared" si="352"/>
        <v>0.391780821917808</v>
      </c>
      <c r="U740" s="81"/>
      <c r="V740" s="81"/>
      <c r="W740" s="83">
        <f t="shared" si="348"/>
        <v>246.207846575343</v>
      </c>
      <c r="X740" s="84">
        <f t="shared" si="353"/>
        <v>3.76923287671233</v>
      </c>
      <c r="Y740" s="84"/>
      <c r="Z740" s="81"/>
      <c r="AA740" s="84">
        <f t="shared" si="345"/>
        <v>3.76923287671233</v>
      </c>
      <c r="AB740" s="94">
        <v>7.17</v>
      </c>
      <c r="AC740" s="81">
        <f t="shared" si="346"/>
        <v>27.0253997260274</v>
      </c>
      <c r="AD740" s="81">
        <f t="shared" si="344"/>
        <v>273.23324630137</v>
      </c>
      <c r="AE740" s="81">
        <f t="shared" si="347"/>
        <v>93.36675369863</v>
      </c>
    </row>
    <row r="741" customFormat="1" spans="1:31">
      <c r="A741" s="19"/>
      <c r="B741" s="20"/>
      <c r="C741" s="21">
        <v>240119000045</v>
      </c>
      <c r="D741" s="22">
        <v>45318</v>
      </c>
      <c r="E741" s="22" t="s">
        <v>58</v>
      </c>
      <c r="F741" s="20" t="s">
        <v>477</v>
      </c>
      <c r="G741" s="20" t="s">
        <v>477</v>
      </c>
      <c r="H741" s="20">
        <v>1.5</v>
      </c>
      <c r="I741" s="43">
        <v>102.6</v>
      </c>
      <c r="J741" s="44"/>
      <c r="K741" s="45"/>
      <c r="L741" s="44"/>
      <c r="M741" s="46"/>
      <c r="N741" s="20"/>
      <c r="O741" s="48">
        <f t="shared" si="355"/>
        <v>102.6</v>
      </c>
      <c r="P741" s="54"/>
      <c r="Q741" s="54"/>
      <c r="R741" s="81">
        <f t="shared" si="350"/>
        <v>66.9431506849315</v>
      </c>
      <c r="S741" s="82">
        <f t="shared" si="351"/>
        <v>0.0975945205479452</v>
      </c>
      <c r="T741" s="82">
        <f t="shared" si="352"/>
        <v>0.106849315068493</v>
      </c>
      <c r="U741" s="81"/>
      <c r="V741" s="81"/>
      <c r="W741" s="83">
        <f t="shared" si="348"/>
        <v>67.1475945205479</v>
      </c>
      <c r="X741" s="84">
        <f t="shared" si="353"/>
        <v>1.02797260273973</v>
      </c>
      <c r="Y741" s="84"/>
      <c r="Z741" s="81"/>
      <c r="AA741" s="84">
        <f t="shared" si="345"/>
        <v>1.02797260273973</v>
      </c>
      <c r="AB741" s="94">
        <v>7.17</v>
      </c>
      <c r="AC741" s="81">
        <f t="shared" si="346"/>
        <v>7.37056356164384</v>
      </c>
      <c r="AD741" s="81">
        <f t="shared" si="344"/>
        <v>74.5181580821918</v>
      </c>
      <c r="AE741" s="81">
        <f t="shared" si="347"/>
        <v>28.0818419178082</v>
      </c>
    </row>
    <row r="742" customFormat="1" spans="1:31">
      <c r="A742" s="19"/>
      <c r="B742" s="20"/>
      <c r="C742" s="21">
        <v>240119000057</v>
      </c>
      <c r="D742" s="22">
        <v>45318</v>
      </c>
      <c r="E742" s="22" t="s">
        <v>69</v>
      </c>
      <c r="F742" s="20" t="s">
        <v>478</v>
      </c>
      <c r="G742" s="20" t="s">
        <v>479</v>
      </c>
      <c r="H742" s="20">
        <v>41</v>
      </c>
      <c r="I742" s="48"/>
      <c r="J742" s="55">
        <v>753000</v>
      </c>
      <c r="K742" s="56"/>
      <c r="L742" s="51">
        <f>SUM(J742/M742)</f>
        <v>1549.4783628619</v>
      </c>
      <c r="M742" s="53">
        <v>485.97</v>
      </c>
      <c r="N742" s="20">
        <v>7.17</v>
      </c>
      <c r="O742" s="48">
        <f>SUM(M742*N742)</f>
        <v>3484.4049</v>
      </c>
      <c r="P742" s="54"/>
      <c r="Q742" s="54"/>
      <c r="R742" s="81">
        <f t="shared" si="350"/>
        <v>1829.77945205479</v>
      </c>
      <c r="S742" s="82">
        <f t="shared" si="351"/>
        <v>2.66758356164384</v>
      </c>
      <c r="T742" s="82">
        <f t="shared" si="352"/>
        <v>2.92054794520548</v>
      </c>
      <c r="U742" s="81"/>
      <c r="V742" s="81"/>
      <c r="W742" s="83">
        <f t="shared" si="348"/>
        <v>1835.36758356164</v>
      </c>
      <c r="X742" s="84">
        <f t="shared" si="353"/>
        <v>28.0979178082192</v>
      </c>
      <c r="Y742" s="84"/>
      <c r="Z742" s="81"/>
      <c r="AA742" s="84">
        <f t="shared" si="345"/>
        <v>28.0979178082192</v>
      </c>
      <c r="AB742" s="94">
        <v>7.17</v>
      </c>
      <c r="AC742" s="81">
        <f t="shared" si="346"/>
        <v>201.462070684932</v>
      </c>
      <c r="AD742" s="81">
        <f t="shared" si="344"/>
        <v>2036.82965424658</v>
      </c>
      <c r="AE742" s="81">
        <f t="shared" si="347"/>
        <v>1447.57524575342</v>
      </c>
    </row>
    <row r="743" customFormat="1" spans="1:31">
      <c r="A743" s="19"/>
      <c r="B743" s="20"/>
      <c r="C743" s="21">
        <v>240120000003</v>
      </c>
      <c r="D743" s="22">
        <v>45318</v>
      </c>
      <c r="E743" s="22" t="s">
        <v>44</v>
      </c>
      <c r="F743" s="20" t="s">
        <v>45</v>
      </c>
      <c r="G743" s="20" t="s">
        <v>429</v>
      </c>
      <c r="H743" s="20">
        <v>20.5</v>
      </c>
      <c r="I743" s="43">
        <v>1433</v>
      </c>
      <c r="J743" s="44"/>
      <c r="K743" s="45"/>
      <c r="L743" s="44"/>
      <c r="M743" s="46"/>
      <c r="N743" s="20"/>
      <c r="O743" s="48">
        <f t="shared" ref="O743:O751" si="356">SUM(I743)</f>
        <v>1433</v>
      </c>
      <c r="P743" s="54"/>
      <c r="Q743" s="54"/>
      <c r="R743" s="81">
        <f t="shared" si="350"/>
        <v>914.889726027397</v>
      </c>
      <c r="S743" s="82">
        <f t="shared" si="351"/>
        <v>1.33379178082192</v>
      </c>
      <c r="T743" s="82">
        <f t="shared" si="352"/>
        <v>1.46027397260274</v>
      </c>
      <c r="U743" s="81"/>
      <c r="V743" s="81"/>
      <c r="W743" s="83">
        <f t="shared" si="348"/>
        <v>917.683791780822</v>
      </c>
      <c r="X743" s="84">
        <f t="shared" si="353"/>
        <v>14.0489589041096</v>
      </c>
      <c r="Y743" s="84"/>
      <c r="Z743" s="81"/>
      <c r="AA743" s="84">
        <f t="shared" si="345"/>
        <v>14.0489589041096</v>
      </c>
      <c r="AB743" s="94">
        <v>7.17</v>
      </c>
      <c r="AC743" s="81">
        <f t="shared" si="346"/>
        <v>100.731035342466</v>
      </c>
      <c r="AD743" s="81">
        <f t="shared" si="344"/>
        <v>1018.41482712329</v>
      </c>
      <c r="AE743" s="81">
        <f t="shared" si="347"/>
        <v>414.58517287671</v>
      </c>
    </row>
    <row r="744" customFormat="1" spans="1:31">
      <c r="A744" s="19"/>
      <c r="B744" s="20"/>
      <c r="C744" s="21">
        <v>240120000006</v>
      </c>
      <c r="D744" s="22">
        <v>45318</v>
      </c>
      <c r="E744" s="25" t="s">
        <v>69</v>
      </c>
      <c r="F744" s="20" t="s">
        <v>69</v>
      </c>
      <c r="G744" s="20" t="s">
        <v>480</v>
      </c>
      <c r="H744" s="20">
        <v>5.5</v>
      </c>
      <c r="I744" s="43">
        <v>366.6</v>
      </c>
      <c r="J744" s="44"/>
      <c r="K744" s="45"/>
      <c r="L744" s="44"/>
      <c r="M744" s="46"/>
      <c r="N744" s="20"/>
      <c r="O744" s="48">
        <f t="shared" si="356"/>
        <v>366.6</v>
      </c>
      <c r="P744" s="54"/>
      <c r="Q744" s="54"/>
      <c r="R744" s="81">
        <f t="shared" si="350"/>
        <v>245.458219178082</v>
      </c>
      <c r="S744" s="82">
        <f t="shared" si="351"/>
        <v>0.357846575342466</v>
      </c>
      <c r="T744" s="82">
        <f t="shared" si="352"/>
        <v>0.391780821917808</v>
      </c>
      <c r="U744" s="81"/>
      <c r="V744" s="81"/>
      <c r="W744" s="83">
        <f t="shared" si="348"/>
        <v>246.207846575343</v>
      </c>
      <c r="X744" s="84">
        <f t="shared" si="353"/>
        <v>3.76923287671233</v>
      </c>
      <c r="Y744" s="84"/>
      <c r="Z744" s="81"/>
      <c r="AA744" s="84">
        <f t="shared" si="345"/>
        <v>3.76923287671233</v>
      </c>
      <c r="AB744" s="94">
        <v>7.17</v>
      </c>
      <c r="AC744" s="81">
        <f t="shared" si="346"/>
        <v>27.0253997260274</v>
      </c>
      <c r="AD744" s="81">
        <f t="shared" si="344"/>
        <v>273.23324630137</v>
      </c>
      <c r="AE744" s="81">
        <f t="shared" si="347"/>
        <v>93.36675369863</v>
      </c>
    </row>
    <row r="745" customFormat="1" spans="1:31">
      <c r="A745" s="19"/>
      <c r="B745" s="20"/>
      <c r="C745" s="21">
        <v>240120000008</v>
      </c>
      <c r="D745" s="22">
        <v>45318</v>
      </c>
      <c r="E745" s="22" t="s">
        <v>44</v>
      </c>
      <c r="F745" s="20" t="s">
        <v>45</v>
      </c>
      <c r="G745" s="20" t="s">
        <v>440</v>
      </c>
      <c r="H745" s="20">
        <v>0.9975</v>
      </c>
      <c r="I745" s="43">
        <v>69</v>
      </c>
      <c r="J745" s="44"/>
      <c r="K745" s="45"/>
      <c r="L745" s="44"/>
      <c r="M745" s="46"/>
      <c r="N745" s="20"/>
      <c r="O745" s="48">
        <f t="shared" si="356"/>
        <v>69</v>
      </c>
      <c r="P745" s="54"/>
      <c r="Q745" s="54"/>
      <c r="R745" s="81">
        <f t="shared" si="350"/>
        <v>44.5171952054795</v>
      </c>
      <c r="S745" s="82">
        <f t="shared" si="351"/>
        <v>0.0649003561643836</v>
      </c>
      <c r="T745" s="82">
        <f t="shared" si="352"/>
        <v>0.0710547945205479</v>
      </c>
      <c r="U745" s="81"/>
      <c r="V745" s="81"/>
      <c r="W745" s="83">
        <f t="shared" si="348"/>
        <v>44.6531503561644</v>
      </c>
      <c r="X745" s="84">
        <f t="shared" si="353"/>
        <v>0.683601780821918</v>
      </c>
      <c r="Y745" s="84"/>
      <c r="Z745" s="81"/>
      <c r="AA745" s="84">
        <f t="shared" si="345"/>
        <v>0.683601780821918</v>
      </c>
      <c r="AB745" s="94">
        <v>7.17</v>
      </c>
      <c r="AC745" s="81">
        <f t="shared" si="346"/>
        <v>4.90142476849315</v>
      </c>
      <c r="AD745" s="81">
        <f t="shared" si="344"/>
        <v>49.5545751246575</v>
      </c>
      <c r="AE745" s="81">
        <f t="shared" si="347"/>
        <v>19.4454248753425</v>
      </c>
    </row>
    <row r="746" customFormat="1" spans="1:31">
      <c r="A746" s="19"/>
      <c r="B746" s="20"/>
      <c r="C746" s="21">
        <v>240120000012</v>
      </c>
      <c r="D746" s="22">
        <v>45318</v>
      </c>
      <c r="E746" s="22" t="s">
        <v>44</v>
      </c>
      <c r="F746" s="20" t="s">
        <v>45</v>
      </c>
      <c r="G746" s="20" t="s">
        <v>481</v>
      </c>
      <c r="H746" s="20">
        <v>9</v>
      </c>
      <c r="I746" s="43">
        <v>567</v>
      </c>
      <c r="J746" s="44"/>
      <c r="K746" s="45"/>
      <c r="L746" s="44"/>
      <c r="M746" s="46"/>
      <c r="N746" s="20"/>
      <c r="O746" s="48">
        <f t="shared" si="356"/>
        <v>567</v>
      </c>
      <c r="P746" s="54"/>
      <c r="Q746" s="54"/>
      <c r="R746" s="81">
        <f t="shared" si="350"/>
        <v>401.658904109589</v>
      </c>
      <c r="S746" s="82">
        <f t="shared" si="351"/>
        <v>0.585567123287671</v>
      </c>
      <c r="T746" s="82">
        <f t="shared" si="352"/>
        <v>0.641095890410959</v>
      </c>
      <c r="U746" s="81"/>
      <c r="V746" s="81"/>
      <c r="W746" s="83">
        <f t="shared" si="348"/>
        <v>402.885567123288</v>
      </c>
      <c r="X746" s="84">
        <f t="shared" si="353"/>
        <v>6.16783561643836</v>
      </c>
      <c r="Y746" s="84"/>
      <c r="Z746" s="81"/>
      <c r="AA746" s="84">
        <f t="shared" si="345"/>
        <v>6.16783561643836</v>
      </c>
      <c r="AB746" s="94">
        <v>7.17</v>
      </c>
      <c r="AC746" s="81">
        <f t="shared" si="346"/>
        <v>44.223381369863</v>
      </c>
      <c r="AD746" s="81">
        <f t="shared" si="344"/>
        <v>447.108948493151</v>
      </c>
      <c r="AE746" s="81">
        <f t="shared" si="347"/>
        <v>119.891051506849</v>
      </c>
    </row>
    <row r="747" customFormat="1" spans="1:31">
      <c r="A747" s="19"/>
      <c r="B747" s="20"/>
      <c r="C747" s="21">
        <v>240121000004</v>
      </c>
      <c r="D747" s="22">
        <v>45318</v>
      </c>
      <c r="E747" s="25" t="s">
        <v>69</v>
      </c>
      <c r="F747" s="20" t="s">
        <v>69</v>
      </c>
      <c r="G747" s="20" t="s">
        <v>124</v>
      </c>
      <c r="H747" s="20">
        <v>107.5</v>
      </c>
      <c r="I747" s="43">
        <v>6719.6</v>
      </c>
      <c r="J747" s="44"/>
      <c r="K747" s="45"/>
      <c r="L747" s="44"/>
      <c r="M747" s="46"/>
      <c r="N747" s="20"/>
      <c r="O747" s="48">
        <f t="shared" si="356"/>
        <v>6719.6</v>
      </c>
      <c r="P747" s="54"/>
      <c r="Q747" s="54"/>
      <c r="R747" s="81">
        <f t="shared" si="350"/>
        <v>4797.59246575343</v>
      </c>
      <c r="S747" s="82">
        <f t="shared" si="351"/>
        <v>6.99427397260274</v>
      </c>
      <c r="T747" s="82">
        <f t="shared" si="352"/>
        <v>7.65753424657534</v>
      </c>
      <c r="U747" s="81">
        <v>80</v>
      </c>
      <c r="V747" s="81"/>
      <c r="W747" s="83">
        <f t="shared" si="348"/>
        <v>4892.2442739726</v>
      </c>
      <c r="X747" s="84">
        <f t="shared" si="353"/>
        <v>73.6713698630137</v>
      </c>
      <c r="Y747" s="84"/>
      <c r="Z747" s="81"/>
      <c r="AA747" s="84">
        <f t="shared" si="345"/>
        <v>73.6713698630137</v>
      </c>
      <c r="AB747" s="94">
        <v>7.17</v>
      </c>
      <c r="AC747" s="81">
        <f t="shared" si="346"/>
        <v>528.223721917808</v>
      </c>
      <c r="AD747" s="81">
        <f t="shared" si="344"/>
        <v>5420.46799589041</v>
      </c>
      <c r="AE747" s="81">
        <f t="shared" si="347"/>
        <v>1299.13200410959</v>
      </c>
    </row>
    <row r="748" customFormat="1" spans="1:31">
      <c r="A748" s="19"/>
      <c r="B748" s="20"/>
      <c r="C748" s="21">
        <v>240121000005</v>
      </c>
      <c r="D748" s="22">
        <v>45318</v>
      </c>
      <c r="E748" s="25" t="s">
        <v>69</v>
      </c>
      <c r="F748" s="20" t="s">
        <v>69</v>
      </c>
      <c r="G748" s="20" t="s">
        <v>124</v>
      </c>
      <c r="H748" s="20">
        <v>5.5</v>
      </c>
      <c r="I748" s="43">
        <v>366.5</v>
      </c>
      <c r="J748" s="44"/>
      <c r="K748" s="45"/>
      <c r="L748" s="44"/>
      <c r="M748" s="46"/>
      <c r="N748" s="20"/>
      <c r="O748" s="48">
        <f t="shared" si="356"/>
        <v>366.5</v>
      </c>
      <c r="P748" s="54"/>
      <c r="Q748" s="54"/>
      <c r="R748" s="81">
        <f t="shared" si="350"/>
        <v>245.458219178082</v>
      </c>
      <c r="S748" s="82">
        <f t="shared" si="351"/>
        <v>0.357846575342466</v>
      </c>
      <c r="T748" s="82">
        <f t="shared" si="352"/>
        <v>0.391780821917808</v>
      </c>
      <c r="U748" s="81"/>
      <c r="V748" s="81"/>
      <c r="W748" s="83">
        <f t="shared" si="348"/>
        <v>246.207846575343</v>
      </c>
      <c r="X748" s="84">
        <f t="shared" si="353"/>
        <v>3.76923287671233</v>
      </c>
      <c r="Y748" s="84"/>
      <c r="Z748" s="81"/>
      <c r="AA748" s="84">
        <f t="shared" si="345"/>
        <v>3.76923287671233</v>
      </c>
      <c r="AB748" s="94">
        <v>7.17</v>
      </c>
      <c r="AC748" s="81">
        <f t="shared" si="346"/>
        <v>27.0253997260274</v>
      </c>
      <c r="AD748" s="81">
        <f t="shared" si="344"/>
        <v>273.23324630137</v>
      </c>
      <c r="AE748" s="81">
        <f t="shared" si="347"/>
        <v>93.26675369863</v>
      </c>
    </row>
    <row r="749" customFormat="1" spans="1:31">
      <c r="A749" s="19"/>
      <c r="B749" s="20"/>
      <c r="C749" s="21">
        <v>240122000002</v>
      </c>
      <c r="D749" s="22">
        <v>45318</v>
      </c>
      <c r="E749" s="22" t="s">
        <v>49</v>
      </c>
      <c r="F749" s="20" t="s">
        <v>50</v>
      </c>
      <c r="G749" s="20" t="s">
        <v>482</v>
      </c>
      <c r="H749" s="20">
        <v>11</v>
      </c>
      <c r="I749" s="43">
        <v>612</v>
      </c>
      <c r="J749" s="44"/>
      <c r="K749" s="45"/>
      <c r="L749" s="44"/>
      <c r="M749" s="46"/>
      <c r="N749" s="20"/>
      <c r="O749" s="48">
        <f t="shared" si="356"/>
        <v>612</v>
      </c>
      <c r="P749" s="54"/>
      <c r="Q749" s="54"/>
      <c r="R749" s="81">
        <f t="shared" si="350"/>
        <v>490.916438356164</v>
      </c>
      <c r="S749" s="82">
        <f t="shared" si="351"/>
        <v>0.715693150684931</v>
      </c>
      <c r="T749" s="82">
        <f t="shared" si="352"/>
        <v>0.783561643835616</v>
      </c>
      <c r="U749" s="81"/>
      <c r="V749" s="81"/>
      <c r="W749" s="83">
        <f t="shared" si="348"/>
        <v>492.415693150685</v>
      </c>
      <c r="X749" s="84">
        <f t="shared" si="353"/>
        <v>7.53846575342466</v>
      </c>
      <c r="Y749" s="84"/>
      <c r="Z749" s="81"/>
      <c r="AA749" s="84">
        <f t="shared" si="345"/>
        <v>7.53846575342466</v>
      </c>
      <c r="AB749" s="94">
        <v>7.17</v>
      </c>
      <c r="AC749" s="81">
        <f t="shared" si="346"/>
        <v>54.0507994520548</v>
      </c>
      <c r="AD749" s="81">
        <f t="shared" si="344"/>
        <v>546.46649260274</v>
      </c>
      <c r="AE749" s="81">
        <f t="shared" si="347"/>
        <v>65.53350739726</v>
      </c>
    </row>
    <row r="750" customFormat="1" spans="1:31">
      <c r="A750" s="19"/>
      <c r="B750" s="20"/>
      <c r="C750" s="21">
        <v>240122000009</v>
      </c>
      <c r="D750" s="22">
        <v>45318</v>
      </c>
      <c r="E750" s="22" t="s">
        <v>49</v>
      </c>
      <c r="F750" s="20" t="s">
        <v>50</v>
      </c>
      <c r="G750" s="20" t="s">
        <v>483</v>
      </c>
      <c r="H750" s="20">
        <v>2.5</v>
      </c>
      <c r="I750" s="43">
        <v>183.6</v>
      </c>
      <c r="J750" s="44"/>
      <c r="K750" s="45"/>
      <c r="L750" s="44"/>
      <c r="M750" s="46"/>
      <c r="N750" s="20"/>
      <c r="O750" s="48">
        <f t="shared" si="356"/>
        <v>183.6</v>
      </c>
      <c r="P750" s="54"/>
      <c r="Q750" s="54"/>
      <c r="R750" s="81">
        <f t="shared" si="350"/>
        <v>111.571917808219</v>
      </c>
      <c r="S750" s="82">
        <f t="shared" si="351"/>
        <v>0.162657534246575</v>
      </c>
      <c r="T750" s="82">
        <f t="shared" si="352"/>
        <v>0.178082191780822</v>
      </c>
      <c r="U750" s="81"/>
      <c r="V750" s="81"/>
      <c r="W750" s="83">
        <f t="shared" si="348"/>
        <v>111.912657534247</v>
      </c>
      <c r="X750" s="84">
        <f t="shared" si="353"/>
        <v>1.71328767123288</v>
      </c>
      <c r="Y750" s="84"/>
      <c r="Z750" s="81"/>
      <c r="AA750" s="84">
        <f t="shared" si="345"/>
        <v>1.71328767123288</v>
      </c>
      <c r="AB750" s="94">
        <v>7.17</v>
      </c>
      <c r="AC750" s="81">
        <f t="shared" si="346"/>
        <v>12.2842726027397</v>
      </c>
      <c r="AD750" s="81">
        <f t="shared" si="344"/>
        <v>124.196930136986</v>
      </c>
      <c r="AE750" s="81">
        <f t="shared" si="347"/>
        <v>59.403069863014</v>
      </c>
    </row>
    <row r="751" customFormat="1" spans="1:31">
      <c r="A751" s="19"/>
      <c r="B751" s="20"/>
      <c r="C751" s="23">
        <v>240122000011</v>
      </c>
      <c r="D751" s="24">
        <v>45318</v>
      </c>
      <c r="E751" s="22" t="s">
        <v>49</v>
      </c>
      <c r="F751" s="26" t="s">
        <v>50</v>
      </c>
      <c r="G751" s="26" t="s">
        <v>484</v>
      </c>
      <c r="H751" s="26">
        <v>1.5</v>
      </c>
      <c r="I751" s="43">
        <v>119.7</v>
      </c>
      <c r="J751" s="44"/>
      <c r="K751" s="45"/>
      <c r="L751" s="44"/>
      <c r="M751" s="46"/>
      <c r="N751" s="20"/>
      <c r="O751" s="48">
        <f t="shared" si="356"/>
        <v>119.7</v>
      </c>
      <c r="P751" s="54"/>
      <c r="Q751" s="54"/>
      <c r="R751" s="81">
        <f t="shared" si="350"/>
        <v>66.9431506849315</v>
      </c>
      <c r="S751" s="82">
        <f t="shared" si="351"/>
        <v>0.0975945205479452</v>
      </c>
      <c r="T751" s="82">
        <f t="shared" si="352"/>
        <v>0.106849315068493</v>
      </c>
      <c r="U751" s="81"/>
      <c r="V751" s="81"/>
      <c r="W751" s="83">
        <f t="shared" si="348"/>
        <v>67.1475945205479</v>
      </c>
      <c r="X751" s="84">
        <f t="shared" si="353"/>
        <v>1.02797260273973</v>
      </c>
      <c r="Y751" s="84"/>
      <c r="Z751" s="81"/>
      <c r="AA751" s="84">
        <f t="shared" si="345"/>
        <v>1.02797260273973</v>
      </c>
      <c r="AB751" s="94">
        <v>7.17</v>
      </c>
      <c r="AC751" s="81">
        <f t="shared" si="346"/>
        <v>7.37056356164384</v>
      </c>
      <c r="AD751" s="81">
        <f t="shared" si="344"/>
        <v>74.5181580821918</v>
      </c>
      <c r="AE751" s="81">
        <f t="shared" si="347"/>
        <v>45.1818419178082</v>
      </c>
    </row>
    <row r="752" customFormat="1" spans="1:31">
      <c r="A752" s="19"/>
      <c r="B752" s="20"/>
      <c r="C752" s="21">
        <v>240122000012</v>
      </c>
      <c r="D752" s="22">
        <v>45318</v>
      </c>
      <c r="E752" s="22" t="s">
        <v>49</v>
      </c>
      <c r="F752" s="20" t="s">
        <v>50</v>
      </c>
      <c r="G752" s="20" t="s">
        <v>167</v>
      </c>
      <c r="H752" s="20">
        <v>0.14</v>
      </c>
      <c r="I752" s="50"/>
      <c r="J752" s="51">
        <v>12461</v>
      </c>
      <c r="K752" s="52"/>
      <c r="L752" s="51">
        <f>SUM(J752/M752)</f>
        <v>1542.20297029703</v>
      </c>
      <c r="M752" s="53">
        <v>8.08</v>
      </c>
      <c r="N752" s="20">
        <v>7.17</v>
      </c>
      <c r="O752" s="48">
        <f t="shared" ref="O752:O756" si="357">SUM(M752*N752)</f>
        <v>57.9336</v>
      </c>
      <c r="P752" s="54"/>
      <c r="Q752" s="54"/>
      <c r="R752" s="81">
        <f t="shared" si="350"/>
        <v>6.24802739726027</v>
      </c>
      <c r="S752" s="82">
        <f t="shared" si="351"/>
        <v>0.00910882191780822</v>
      </c>
      <c r="T752" s="82">
        <f t="shared" si="352"/>
        <v>0.00997260273972603</v>
      </c>
      <c r="U752" s="81"/>
      <c r="V752" s="81"/>
      <c r="W752" s="83">
        <f t="shared" si="348"/>
        <v>6.26710882191781</v>
      </c>
      <c r="X752" s="84">
        <f t="shared" si="353"/>
        <v>0.0959441095890411</v>
      </c>
      <c r="Y752" s="84"/>
      <c r="Z752" s="81"/>
      <c r="AA752" s="84">
        <f t="shared" si="345"/>
        <v>0.0959441095890411</v>
      </c>
      <c r="AB752" s="94">
        <v>7.17</v>
      </c>
      <c r="AC752" s="81">
        <f t="shared" si="346"/>
        <v>0.687919265753425</v>
      </c>
      <c r="AD752" s="81">
        <f t="shared" si="344"/>
        <v>6.95502808767123</v>
      </c>
      <c r="AE752" s="81">
        <f t="shared" si="347"/>
        <v>50.9785719123288</v>
      </c>
    </row>
    <row r="753" customFormat="1" spans="1:31">
      <c r="A753" s="19"/>
      <c r="B753" s="20"/>
      <c r="C753" s="21">
        <v>240122000018</v>
      </c>
      <c r="D753" s="22">
        <v>45318</v>
      </c>
      <c r="E753" s="22" t="s">
        <v>49</v>
      </c>
      <c r="F753" s="20" t="s">
        <v>50</v>
      </c>
      <c r="G753" s="20" t="s">
        <v>210</v>
      </c>
      <c r="H753" s="20">
        <v>2</v>
      </c>
      <c r="I753" s="43">
        <v>140</v>
      </c>
      <c r="J753" s="44"/>
      <c r="K753" s="45"/>
      <c r="L753" s="44"/>
      <c r="M753" s="46"/>
      <c r="N753" s="20"/>
      <c r="O753" s="48">
        <f t="shared" ref="O753:O760" si="358">SUM(I753)</f>
        <v>140</v>
      </c>
      <c r="P753" s="54"/>
      <c r="Q753" s="54"/>
      <c r="R753" s="81">
        <f t="shared" si="350"/>
        <v>89.2575342465753</v>
      </c>
      <c r="S753" s="82">
        <f t="shared" si="351"/>
        <v>0.13012602739726</v>
      </c>
      <c r="T753" s="82">
        <f t="shared" si="352"/>
        <v>0.142465753424658</v>
      </c>
      <c r="U753" s="81"/>
      <c r="V753" s="81"/>
      <c r="W753" s="83">
        <f t="shared" si="348"/>
        <v>89.5301260273973</v>
      </c>
      <c r="X753" s="84">
        <f t="shared" si="353"/>
        <v>1.3706301369863</v>
      </c>
      <c r="Y753" s="84"/>
      <c r="Z753" s="81"/>
      <c r="AA753" s="84">
        <f t="shared" si="345"/>
        <v>1.3706301369863</v>
      </c>
      <c r="AB753" s="94">
        <v>7.17</v>
      </c>
      <c r="AC753" s="81">
        <f t="shared" si="346"/>
        <v>9.82741808219178</v>
      </c>
      <c r="AD753" s="81">
        <f t="shared" si="344"/>
        <v>99.3575441095891</v>
      </c>
      <c r="AE753" s="81">
        <f t="shared" si="347"/>
        <v>40.6424558904109</v>
      </c>
    </row>
    <row r="754" customFormat="1" spans="1:31">
      <c r="A754" s="19"/>
      <c r="B754" s="20"/>
      <c r="C754" s="21">
        <v>240122000021</v>
      </c>
      <c r="D754" s="22">
        <v>45318</v>
      </c>
      <c r="E754" s="22" t="s">
        <v>49</v>
      </c>
      <c r="F754" s="20" t="s">
        <v>50</v>
      </c>
      <c r="G754" s="20" t="s">
        <v>411</v>
      </c>
      <c r="H754" s="20">
        <v>2</v>
      </c>
      <c r="I754" s="43">
        <v>158.2</v>
      </c>
      <c r="J754" s="44"/>
      <c r="K754" s="45"/>
      <c r="L754" s="44"/>
      <c r="M754" s="46"/>
      <c r="N754" s="20"/>
      <c r="O754" s="48">
        <f t="shared" si="358"/>
        <v>158.2</v>
      </c>
      <c r="P754" s="54"/>
      <c r="Q754" s="54"/>
      <c r="R754" s="81">
        <f t="shared" si="350"/>
        <v>89.2575342465753</v>
      </c>
      <c r="S754" s="82">
        <f t="shared" si="351"/>
        <v>0.13012602739726</v>
      </c>
      <c r="T754" s="82">
        <f t="shared" si="352"/>
        <v>0.142465753424658</v>
      </c>
      <c r="U754" s="81"/>
      <c r="V754" s="81"/>
      <c r="W754" s="83">
        <f t="shared" si="348"/>
        <v>89.5301260273973</v>
      </c>
      <c r="X754" s="84">
        <f t="shared" si="353"/>
        <v>1.3706301369863</v>
      </c>
      <c r="Y754" s="84"/>
      <c r="Z754" s="81"/>
      <c r="AA754" s="84">
        <f t="shared" si="345"/>
        <v>1.3706301369863</v>
      </c>
      <c r="AB754" s="94">
        <v>7.17</v>
      </c>
      <c r="AC754" s="81">
        <f t="shared" si="346"/>
        <v>9.82741808219178</v>
      </c>
      <c r="AD754" s="81">
        <f t="shared" si="344"/>
        <v>99.3575441095891</v>
      </c>
      <c r="AE754" s="81">
        <f t="shared" si="347"/>
        <v>58.8424558904109</v>
      </c>
    </row>
    <row r="755" customFormat="1" spans="1:31">
      <c r="A755" s="19"/>
      <c r="B755" s="20"/>
      <c r="C755" s="21">
        <v>240122000023</v>
      </c>
      <c r="D755" s="22">
        <v>45318</v>
      </c>
      <c r="E755" s="22" t="s">
        <v>49</v>
      </c>
      <c r="F755" s="20" t="s">
        <v>50</v>
      </c>
      <c r="G755" s="20" t="s">
        <v>485</v>
      </c>
      <c r="H755" s="20">
        <v>20.5</v>
      </c>
      <c r="I755" s="50"/>
      <c r="J755" s="51">
        <v>276576</v>
      </c>
      <c r="K755" s="52"/>
      <c r="L755" s="51">
        <f>SUM(J755/M755)</f>
        <v>1541.58631068502</v>
      </c>
      <c r="M755" s="53">
        <v>179.41</v>
      </c>
      <c r="N755" s="20">
        <v>7.17</v>
      </c>
      <c r="O755" s="48">
        <f t="shared" si="357"/>
        <v>1286.3697</v>
      </c>
      <c r="P755" s="54"/>
      <c r="Q755" s="54"/>
      <c r="R755" s="81">
        <f t="shared" si="350"/>
        <v>914.889726027397</v>
      </c>
      <c r="S755" s="82">
        <f t="shared" si="351"/>
        <v>1.33379178082192</v>
      </c>
      <c r="T755" s="82">
        <f t="shared" si="352"/>
        <v>1.46027397260274</v>
      </c>
      <c r="U755" s="81"/>
      <c r="V755" s="81"/>
      <c r="W755" s="83">
        <f t="shared" si="348"/>
        <v>917.683791780822</v>
      </c>
      <c r="X755" s="84">
        <f t="shared" si="353"/>
        <v>14.0489589041096</v>
      </c>
      <c r="Y755" s="84"/>
      <c r="Z755" s="81"/>
      <c r="AA755" s="84">
        <f t="shared" si="345"/>
        <v>14.0489589041096</v>
      </c>
      <c r="AB755" s="94">
        <v>7.17</v>
      </c>
      <c r="AC755" s="81">
        <f t="shared" si="346"/>
        <v>100.731035342466</v>
      </c>
      <c r="AD755" s="81">
        <f t="shared" si="344"/>
        <v>1018.41482712329</v>
      </c>
      <c r="AE755" s="81">
        <f t="shared" si="347"/>
        <v>267.95487287671</v>
      </c>
    </row>
    <row r="756" customFormat="1" spans="1:31">
      <c r="A756" s="19"/>
      <c r="B756" s="20"/>
      <c r="C756" s="21">
        <v>240122000025</v>
      </c>
      <c r="D756" s="22">
        <v>45318</v>
      </c>
      <c r="E756" s="22" t="s">
        <v>49</v>
      </c>
      <c r="F756" s="20" t="s">
        <v>50</v>
      </c>
      <c r="G756" s="20" t="s">
        <v>64</v>
      </c>
      <c r="H756" s="20">
        <v>10</v>
      </c>
      <c r="I756" s="50"/>
      <c r="J756" s="51">
        <v>141700</v>
      </c>
      <c r="K756" s="52"/>
      <c r="L756" s="51">
        <f>SUM(J756/M756)</f>
        <v>1563.15499172642</v>
      </c>
      <c r="M756" s="53">
        <v>90.65</v>
      </c>
      <c r="N756" s="20">
        <v>7.17</v>
      </c>
      <c r="O756" s="48">
        <f t="shared" si="357"/>
        <v>649.9605</v>
      </c>
      <c r="P756" s="54"/>
      <c r="Q756" s="54"/>
      <c r="R756" s="81">
        <f t="shared" si="350"/>
        <v>446.287671232877</v>
      </c>
      <c r="S756" s="82">
        <f t="shared" si="351"/>
        <v>0.650630136986301</v>
      </c>
      <c r="T756" s="82">
        <f t="shared" si="352"/>
        <v>0.712328767123288</v>
      </c>
      <c r="U756" s="81"/>
      <c r="V756" s="81"/>
      <c r="W756" s="83">
        <f t="shared" si="348"/>
        <v>447.650630136986</v>
      </c>
      <c r="X756" s="84">
        <f t="shared" si="353"/>
        <v>6.85315068493151</v>
      </c>
      <c r="Y756" s="84"/>
      <c r="Z756" s="81"/>
      <c r="AA756" s="84">
        <f t="shared" si="345"/>
        <v>6.85315068493151</v>
      </c>
      <c r="AB756" s="94">
        <v>7.17</v>
      </c>
      <c r="AC756" s="81">
        <f t="shared" si="346"/>
        <v>49.1370904109589</v>
      </c>
      <c r="AD756" s="81">
        <f t="shared" si="344"/>
        <v>496.787720547945</v>
      </c>
      <c r="AE756" s="81">
        <f t="shared" si="347"/>
        <v>153.172779452055</v>
      </c>
    </row>
    <row r="757" customFormat="1" spans="1:31">
      <c r="A757" s="19"/>
      <c r="B757" s="20"/>
      <c r="C757" s="21">
        <v>240122000029</v>
      </c>
      <c r="D757" s="22">
        <v>45318</v>
      </c>
      <c r="E757" s="22" t="s">
        <v>58</v>
      </c>
      <c r="F757" s="20" t="s">
        <v>59</v>
      </c>
      <c r="G757" s="20" t="s">
        <v>137</v>
      </c>
      <c r="H757" s="20">
        <v>161.5</v>
      </c>
      <c r="I757" s="43">
        <v>11305</v>
      </c>
      <c r="J757" s="44"/>
      <c r="K757" s="45"/>
      <c r="L757" s="44"/>
      <c r="M757" s="46"/>
      <c r="N757" s="20"/>
      <c r="O757" s="48">
        <f t="shared" si="358"/>
        <v>11305</v>
      </c>
      <c r="P757" s="54"/>
      <c r="Q757" s="54"/>
      <c r="R757" s="81">
        <f t="shared" si="350"/>
        <v>7207.54589041096</v>
      </c>
      <c r="S757" s="82">
        <f t="shared" si="351"/>
        <v>10.5076767123288</v>
      </c>
      <c r="T757" s="82">
        <f t="shared" si="352"/>
        <v>11.5041095890411</v>
      </c>
      <c r="U757" s="81"/>
      <c r="V757" s="81"/>
      <c r="W757" s="83">
        <f t="shared" si="348"/>
        <v>7229.55767671233</v>
      </c>
      <c r="X757" s="84">
        <f t="shared" si="353"/>
        <v>110.678383561644</v>
      </c>
      <c r="Y757" s="84"/>
      <c r="Z757" s="81"/>
      <c r="AA757" s="84">
        <f t="shared" si="345"/>
        <v>110.678383561644</v>
      </c>
      <c r="AB757" s="94">
        <v>7.17</v>
      </c>
      <c r="AC757" s="81">
        <f t="shared" si="346"/>
        <v>793.564010136986</v>
      </c>
      <c r="AD757" s="81">
        <f t="shared" ref="AD757:AD776" si="359">SUM(W757+AC757)</f>
        <v>8023.12168684932</v>
      </c>
      <c r="AE757" s="81">
        <f t="shared" si="347"/>
        <v>3281.87831315068</v>
      </c>
    </row>
    <row r="758" customFormat="1" spans="1:31">
      <c r="A758" s="19"/>
      <c r="B758" s="20"/>
      <c r="C758" s="21">
        <v>240122000031</v>
      </c>
      <c r="D758" s="22">
        <v>45318</v>
      </c>
      <c r="E758" s="22" t="s">
        <v>41</v>
      </c>
      <c r="F758" s="20" t="s">
        <v>42</v>
      </c>
      <c r="G758" s="20" t="s">
        <v>164</v>
      </c>
      <c r="H758" s="20">
        <v>5.5</v>
      </c>
      <c r="I758" s="43">
        <v>427.7</v>
      </c>
      <c r="J758" s="44"/>
      <c r="K758" s="45"/>
      <c r="L758" s="44"/>
      <c r="M758" s="46"/>
      <c r="N758" s="20"/>
      <c r="O758" s="48">
        <f t="shared" si="358"/>
        <v>427.7</v>
      </c>
      <c r="P758" s="54"/>
      <c r="Q758" s="54"/>
      <c r="R758" s="81">
        <f t="shared" si="350"/>
        <v>245.458219178082</v>
      </c>
      <c r="S758" s="82">
        <f t="shared" si="351"/>
        <v>0.357846575342466</v>
      </c>
      <c r="T758" s="82">
        <f t="shared" si="352"/>
        <v>0.391780821917808</v>
      </c>
      <c r="U758" s="81"/>
      <c r="V758" s="81"/>
      <c r="W758" s="83">
        <f t="shared" si="348"/>
        <v>246.207846575343</v>
      </c>
      <c r="X758" s="84">
        <f t="shared" si="353"/>
        <v>3.76923287671233</v>
      </c>
      <c r="Y758" s="84"/>
      <c r="Z758" s="81"/>
      <c r="AA758" s="84">
        <f t="shared" si="345"/>
        <v>3.76923287671233</v>
      </c>
      <c r="AB758" s="94">
        <v>7.17</v>
      </c>
      <c r="AC758" s="81">
        <f t="shared" si="346"/>
        <v>27.0253997260274</v>
      </c>
      <c r="AD758" s="81">
        <f t="shared" si="359"/>
        <v>273.23324630137</v>
      </c>
      <c r="AE758" s="81">
        <f t="shared" si="347"/>
        <v>154.46675369863</v>
      </c>
    </row>
    <row r="759" customFormat="1" spans="1:31">
      <c r="A759" s="19"/>
      <c r="B759" s="20"/>
      <c r="C759" s="21">
        <v>240122000034</v>
      </c>
      <c r="D759" s="22">
        <v>45318</v>
      </c>
      <c r="E759" s="22" t="s">
        <v>110</v>
      </c>
      <c r="F759" s="20" t="s">
        <v>111</v>
      </c>
      <c r="G759" s="20" t="s">
        <v>486</v>
      </c>
      <c r="H759" s="20">
        <v>6.5</v>
      </c>
      <c r="I759" s="43">
        <v>412.8</v>
      </c>
      <c r="J759" s="44"/>
      <c r="K759" s="45"/>
      <c r="L759" s="44"/>
      <c r="M759" s="46"/>
      <c r="N759" s="20"/>
      <c r="O759" s="48">
        <f t="shared" si="358"/>
        <v>412.8</v>
      </c>
      <c r="P759" s="54"/>
      <c r="Q759" s="54"/>
      <c r="R759" s="81">
        <f t="shared" si="350"/>
        <v>290.08698630137</v>
      </c>
      <c r="S759" s="82">
        <f t="shared" si="351"/>
        <v>0.422909589041096</v>
      </c>
      <c r="T759" s="82">
        <f t="shared" si="352"/>
        <v>0.463013698630137</v>
      </c>
      <c r="U759" s="81"/>
      <c r="V759" s="81"/>
      <c r="W759" s="83">
        <f t="shared" si="348"/>
        <v>290.972909589041</v>
      </c>
      <c r="X759" s="84">
        <f t="shared" si="353"/>
        <v>4.45454794520548</v>
      </c>
      <c r="Y759" s="84"/>
      <c r="Z759" s="81"/>
      <c r="AA759" s="84">
        <f t="shared" si="345"/>
        <v>4.45454794520548</v>
      </c>
      <c r="AB759" s="94">
        <v>7.17</v>
      </c>
      <c r="AC759" s="81">
        <f t="shared" si="346"/>
        <v>31.9391087671233</v>
      </c>
      <c r="AD759" s="81">
        <f t="shared" si="359"/>
        <v>322.912018356164</v>
      </c>
      <c r="AE759" s="81">
        <f t="shared" si="347"/>
        <v>89.887981643836</v>
      </c>
    </row>
    <row r="760" customFormat="1" spans="1:31">
      <c r="A760" s="19"/>
      <c r="B760" s="20"/>
      <c r="C760" s="21">
        <v>240122000043</v>
      </c>
      <c r="D760" s="22">
        <v>45318</v>
      </c>
      <c r="E760" s="22" t="s">
        <v>49</v>
      </c>
      <c r="F760" s="20" t="s">
        <v>50</v>
      </c>
      <c r="G760" s="20" t="s">
        <v>228</v>
      </c>
      <c r="H760" s="20">
        <v>6</v>
      </c>
      <c r="I760" s="43">
        <v>402.6</v>
      </c>
      <c r="J760" s="44"/>
      <c r="K760" s="45"/>
      <c r="L760" s="44"/>
      <c r="M760" s="46"/>
      <c r="N760" s="20"/>
      <c r="O760" s="48">
        <f t="shared" si="358"/>
        <v>402.6</v>
      </c>
      <c r="P760" s="54"/>
      <c r="Q760" s="54"/>
      <c r="R760" s="81">
        <f t="shared" si="350"/>
        <v>267.772602739726</v>
      </c>
      <c r="S760" s="82">
        <f t="shared" si="351"/>
        <v>0.390378082191781</v>
      </c>
      <c r="T760" s="82">
        <f t="shared" si="352"/>
        <v>0.427397260273973</v>
      </c>
      <c r="U760" s="81">
        <v>40</v>
      </c>
      <c r="V760" s="81"/>
      <c r="W760" s="83">
        <f t="shared" si="348"/>
        <v>308.590378082192</v>
      </c>
      <c r="X760" s="84">
        <f t="shared" si="353"/>
        <v>4.1118904109589</v>
      </c>
      <c r="Y760" s="84"/>
      <c r="Z760" s="81"/>
      <c r="AA760" s="84">
        <f t="shared" ref="AA760:AA776" si="360">SUM(X760:Z760)</f>
        <v>4.1118904109589</v>
      </c>
      <c r="AB760" s="94">
        <v>7.17</v>
      </c>
      <c r="AC760" s="81">
        <f t="shared" ref="AC760:AC776" si="361">SUM(AA760*AB760)</f>
        <v>29.4822542465753</v>
      </c>
      <c r="AD760" s="81">
        <f t="shared" si="359"/>
        <v>338.072632328767</v>
      </c>
      <c r="AE760" s="81">
        <f t="shared" ref="AE760:AE776" si="362">SUM(O760-AD760)</f>
        <v>64.527367671233</v>
      </c>
    </row>
    <row r="761" customFormat="1" spans="1:31">
      <c r="A761" s="19"/>
      <c r="B761" s="20"/>
      <c r="C761" s="21">
        <v>240122000050</v>
      </c>
      <c r="D761" s="22">
        <v>45318</v>
      </c>
      <c r="E761" s="22" t="s">
        <v>37</v>
      </c>
      <c r="F761" s="20" t="s">
        <v>38</v>
      </c>
      <c r="G761" s="20" t="s">
        <v>487</v>
      </c>
      <c r="H761" s="20">
        <v>1.5</v>
      </c>
      <c r="I761" s="50"/>
      <c r="J761" s="51">
        <v>23994</v>
      </c>
      <c r="K761" s="52"/>
      <c r="L761" s="51">
        <f>SUM(J761/M761)</f>
        <v>1542.03084832905</v>
      </c>
      <c r="M761" s="53">
        <v>15.56</v>
      </c>
      <c r="N761" s="20">
        <v>7.17</v>
      </c>
      <c r="O761" s="48">
        <f>SUM(M761*N761)</f>
        <v>111.5652</v>
      </c>
      <c r="P761" s="54"/>
      <c r="Q761" s="54"/>
      <c r="R761" s="81">
        <f t="shared" si="350"/>
        <v>66.9431506849315</v>
      </c>
      <c r="S761" s="82">
        <f t="shared" si="351"/>
        <v>0.0975945205479452</v>
      </c>
      <c r="T761" s="82">
        <f t="shared" si="352"/>
        <v>0.106849315068493</v>
      </c>
      <c r="U761" s="81"/>
      <c r="V761" s="81"/>
      <c r="W761" s="83">
        <f t="shared" si="348"/>
        <v>67.1475945205479</v>
      </c>
      <c r="X761" s="84">
        <f t="shared" si="353"/>
        <v>1.02797260273973</v>
      </c>
      <c r="Y761" s="84"/>
      <c r="Z761" s="81"/>
      <c r="AA761" s="84">
        <f t="shared" si="360"/>
        <v>1.02797260273973</v>
      </c>
      <c r="AB761" s="94">
        <v>7.17</v>
      </c>
      <c r="AC761" s="81">
        <f t="shared" si="361"/>
        <v>7.37056356164384</v>
      </c>
      <c r="AD761" s="81">
        <f t="shared" si="359"/>
        <v>74.5181580821918</v>
      </c>
      <c r="AE761" s="81">
        <f t="shared" si="362"/>
        <v>37.0470419178082</v>
      </c>
    </row>
    <row r="762" customFormat="1" spans="1:31">
      <c r="A762" s="19"/>
      <c r="B762" s="20"/>
      <c r="C762" s="21">
        <v>240123000003</v>
      </c>
      <c r="D762" s="22">
        <v>45318</v>
      </c>
      <c r="E762" s="22" t="s">
        <v>58</v>
      </c>
      <c r="F762" s="20" t="s">
        <v>59</v>
      </c>
      <c r="G762" s="20" t="s">
        <v>488</v>
      </c>
      <c r="H762" s="20">
        <v>3.5</v>
      </c>
      <c r="I762" s="43">
        <v>273</v>
      </c>
      <c r="J762" s="44"/>
      <c r="K762" s="45"/>
      <c r="L762" s="44"/>
      <c r="M762" s="46"/>
      <c r="N762" s="20"/>
      <c r="O762" s="48">
        <f t="shared" ref="O762:O765" si="363">SUM(I762)</f>
        <v>273</v>
      </c>
      <c r="P762" s="54"/>
      <c r="Q762" s="54"/>
      <c r="R762" s="81">
        <f t="shared" si="350"/>
        <v>156.200684931507</v>
      </c>
      <c r="S762" s="82">
        <f t="shared" si="351"/>
        <v>0.227720547945205</v>
      </c>
      <c r="T762" s="82">
        <f t="shared" si="352"/>
        <v>0.249315068493151</v>
      </c>
      <c r="U762" s="81"/>
      <c r="V762" s="81"/>
      <c r="W762" s="83">
        <f t="shared" si="348"/>
        <v>156.677720547945</v>
      </c>
      <c r="X762" s="84">
        <f t="shared" si="353"/>
        <v>2.39860273972603</v>
      </c>
      <c r="Y762" s="84"/>
      <c r="Z762" s="81"/>
      <c r="AA762" s="84">
        <f t="shared" si="360"/>
        <v>2.39860273972603</v>
      </c>
      <c r="AB762" s="94">
        <v>7.17</v>
      </c>
      <c r="AC762" s="81">
        <f t="shared" si="361"/>
        <v>17.1979816438356</v>
      </c>
      <c r="AD762" s="81">
        <f t="shared" si="359"/>
        <v>173.875702191781</v>
      </c>
      <c r="AE762" s="81">
        <f t="shared" si="362"/>
        <v>99.124297808219</v>
      </c>
    </row>
    <row r="763" customFormat="1" spans="1:31">
      <c r="A763" s="19"/>
      <c r="B763" s="20"/>
      <c r="C763" s="21">
        <v>240123000005</v>
      </c>
      <c r="D763" s="22">
        <v>45318</v>
      </c>
      <c r="E763" s="22" t="s">
        <v>37</v>
      </c>
      <c r="F763" s="20" t="s">
        <v>38</v>
      </c>
      <c r="G763" s="20" t="s">
        <v>489</v>
      </c>
      <c r="H763" s="20">
        <v>38</v>
      </c>
      <c r="I763" s="43">
        <v>2394</v>
      </c>
      <c r="J763" s="44"/>
      <c r="K763" s="45"/>
      <c r="L763" s="44"/>
      <c r="M763" s="46"/>
      <c r="N763" s="20"/>
      <c r="O763" s="48">
        <f t="shared" si="363"/>
        <v>2394</v>
      </c>
      <c r="P763" s="54"/>
      <c r="Q763" s="54"/>
      <c r="R763" s="81">
        <f t="shared" si="350"/>
        <v>1695.89315068493</v>
      </c>
      <c r="S763" s="82">
        <f t="shared" si="351"/>
        <v>2.47239452054794</v>
      </c>
      <c r="T763" s="82">
        <f t="shared" si="352"/>
        <v>2.70684931506849</v>
      </c>
      <c r="U763" s="81"/>
      <c r="V763" s="81"/>
      <c r="W763" s="83">
        <f t="shared" si="348"/>
        <v>1701.07239452055</v>
      </c>
      <c r="X763" s="84">
        <f t="shared" si="353"/>
        <v>26.0419726027397</v>
      </c>
      <c r="Y763" s="84"/>
      <c r="Z763" s="81"/>
      <c r="AA763" s="84">
        <f t="shared" si="360"/>
        <v>26.0419726027397</v>
      </c>
      <c r="AB763" s="94">
        <v>7.17</v>
      </c>
      <c r="AC763" s="81">
        <f t="shared" si="361"/>
        <v>186.720943561644</v>
      </c>
      <c r="AD763" s="81">
        <f t="shared" si="359"/>
        <v>1887.79333808219</v>
      </c>
      <c r="AE763" s="81">
        <f t="shared" si="362"/>
        <v>506.20666191781</v>
      </c>
    </row>
    <row r="764" customFormat="1" spans="1:31">
      <c r="A764" s="19"/>
      <c r="B764" s="20"/>
      <c r="C764" s="21">
        <v>240123000010</v>
      </c>
      <c r="D764" s="22">
        <v>45318</v>
      </c>
      <c r="E764" s="22" t="s">
        <v>49</v>
      </c>
      <c r="F764" s="20" t="s">
        <v>50</v>
      </c>
      <c r="G764" s="20" t="s">
        <v>178</v>
      </c>
      <c r="H764" s="20">
        <v>64</v>
      </c>
      <c r="I764" s="43">
        <v>5148</v>
      </c>
      <c r="J764" s="44"/>
      <c r="K764" s="45"/>
      <c r="L764" s="44"/>
      <c r="M764" s="46"/>
      <c r="N764" s="20"/>
      <c r="O764" s="48">
        <f t="shared" si="363"/>
        <v>5148</v>
      </c>
      <c r="P764" s="54"/>
      <c r="Q764" s="54"/>
      <c r="R764" s="81">
        <f t="shared" si="350"/>
        <v>2856.24109589041</v>
      </c>
      <c r="S764" s="82">
        <f t="shared" si="351"/>
        <v>4.16403287671233</v>
      </c>
      <c r="T764" s="82">
        <f t="shared" si="352"/>
        <v>4.55890410958904</v>
      </c>
      <c r="U764" s="81"/>
      <c r="V764" s="81"/>
      <c r="W764" s="83">
        <f t="shared" si="348"/>
        <v>2864.96403287671</v>
      </c>
      <c r="X764" s="84">
        <f t="shared" si="353"/>
        <v>43.8601643835616</v>
      </c>
      <c r="Y764" s="84"/>
      <c r="Z764" s="81"/>
      <c r="AA764" s="84">
        <f t="shared" si="360"/>
        <v>43.8601643835616</v>
      </c>
      <c r="AB764" s="94">
        <v>7.17</v>
      </c>
      <c r="AC764" s="81">
        <f t="shared" si="361"/>
        <v>314.477378630137</v>
      </c>
      <c r="AD764" s="81">
        <f t="shared" si="359"/>
        <v>3179.44141150685</v>
      </c>
      <c r="AE764" s="81">
        <f t="shared" si="362"/>
        <v>1968.55858849315</v>
      </c>
    </row>
    <row r="765" customFormat="1" spans="1:31">
      <c r="A765" s="19"/>
      <c r="B765" s="20"/>
      <c r="C765" s="21">
        <v>240123000012</v>
      </c>
      <c r="D765" s="22">
        <v>45318</v>
      </c>
      <c r="E765" s="25" t="s">
        <v>69</v>
      </c>
      <c r="F765" s="20" t="s">
        <v>69</v>
      </c>
      <c r="G765" s="20" t="s">
        <v>130</v>
      </c>
      <c r="H765" s="20">
        <v>115</v>
      </c>
      <c r="I765" s="43">
        <v>6232.5</v>
      </c>
      <c r="J765" s="44"/>
      <c r="K765" s="45"/>
      <c r="L765" s="44"/>
      <c r="M765" s="46"/>
      <c r="N765" s="20"/>
      <c r="O765" s="48">
        <f t="shared" si="363"/>
        <v>6232.5</v>
      </c>
      <c r="P765" s="54"/>
      <c r="Q765" s="54"/>
      <c r="R765" s="81">
        <f t="shared" si="350"/>
        <v>5132.30821917808</v>
      </c>
      <c r="S765" s="82">
        <f t="shared" si="351"/>
        <v>7.48224657534247</v>
      </c>
      <c r="T765" s="82">
        <f t="shared" si="352"/>
        <v>8.19178082191781</v>
      </c>
      <c r="U765" s="81"/>
      <c r="V765" s="81"/>
      <c r="W765" s="83">
        <f t="shared" si="348"/>
        <v>5147.98224657534</v>
      </c>
      <c r="X765" s="84">
        <f t="shared" si="353"/>
        <v>78.8112328767123</v>
      </c>
      <c r="Y765" s="84"/>
      <c r="Z765" s="81"/>
      <c r="AA765" s="84">
        <f t="shared" si="360"/>
        <v>78.8112328767123</v>
      </c>
      <c r="AB765" s="94">
        <v>7.17</v>
      </c>
      <c r="AC765" s="81">
        <f t="shared" si="361"/>
        <v>565.076539726027</v>
      </c>
      <c r="AD765" s="81">
        <f t="shared" si="359"/>
        <v>5713.05878630137</v>
      </c>
      <c r="AE765" s="81">
        <f t="shared" si="362"/>
        <v>519.44121369863</v>
      </c>
    </row>
    <row r="766" customFormat="1" spans="1:31">
      <c r="A766" s="19"/>
      <c r="B766" s="20"/>
      <c r="C766" s="21">
        <v>240123000020</v>
      </c>
      <c r="D766" s="22">
        <v>45318</v>
      </c>
      <c r="E766" s="22" t="s">
        <v>49</v>
      </c>
      <c r="F766" s="20" t="s">
        <v>50</v>
      </c>
      <c r="G766" s="20" t="s">
        <v>334</v>
      </c>
      <c r="H766" s="20">
        <v>16.5</v>
      </c>
      <c r="I766" s="50"/>
      <c r="J766" s="51">
        <v>230480</v>
      </c>
      <c r="K766" s="52"/>
      <c r="L766" s="51">
        <f>SUM(J766/M766)</f>
        <v>1540.84770691269</v>
      </c>
      <c r="M766" s="53">
        <v>149.58</v>
      </c>
      <c r="N766" s="20">
        <v>7.17</v>
      </c>
      <c r="O766" s="48">
        <f>SUM(M766*N766)</f>
        <v>1072.4886</v>
      </c>
      <c r="P766" s="54"/>
      <c r="Q766" s="54"/>
      <c r="R766" s="81">
        <f t="shared" si="350"/>
        <v>736.374657534247</v>
      </c>
      <c r="S766" s="82">
        <f t="shared" si="351"/>
        <v>1.0735397260274</v>
      </c>
      <c r="T766" s="82">
        <f t="shared" si="352"/>
        <v>1.17534246575342</v>
      </c>
      <c r="U766" s="81"/>
      <c r="V766" s="81"/>
      <c r="W766" s="83">
        <f t="shared" si="348"/>
        <v>738.623539726027</v>
      </c>
      <c r="X766" s="84">
        <f t="shared" si="353"/>
        <v>11.307698630137</v>
      </c>
      <c r="Y766" s="84"/>
      <c r="Z766" s="81"/>
      <c r="AA766" s="84">
        <f t="shared" si="360"/>
        <v>11.307698630137</v>
      </c>
      <c r="AB766" s="94">
        <v>7.17</v>
      </c>
      <c r="AC766" s="81">
        <f t="shared" si="361"/>
        <v>81.0761991780822</v>
      </c>
      <c r="AD766" s="81">
        <f t="shared" si="359"/>
        <v>819.69973890411</v>
      </c>
      <c r="AE766" s="81">
        <f t="shared" si="362"/>
        <v>252.78886109589</v>
      </c>
    </row>
    <row r="767" customFormat="1" spans="1:31">
      <c r="A767" s="19"/>
      <c r="B767" s="20"/>
      <c r="C767" s="21">
        <v>240123000027</v>
      </c>
      <c r="D767" s="22">
        <v>45318</v>
      </c>
      <c r="E767" s="22" t="s">
        <v>37</v>
      </c>
      <c r="F767" s="20" t="s">
        <v>38</v>
      </c>
      <c r="G767" s="20" t="s">
        <v>316</v>
      </c>
      <c r="H767" s="20">
        <v>79</v>
      </c>
      <c r="I767" s="43">
        <v>4880</v>
      </c>
      <c r="J767" s="44"/>
      <c r="K767" s="45"/>
      <c r="L767" s="44"/>
      <c r="M767" s="46"/>
      <c r="N767" s="20"/>
      <c r="O767" s="48">
        <f t="shared" ref="O767:O773" si="364">SUM(I767)</f>
        <v>4880</v>
      </c>
      <c r="P767" s="54"/>
      <c r="Q767" s="54"/>
      <c r="R767" s="81">
        <f t="shared" si="350"/>
        <v>3525.67260273973</v>
      </c>
      <c r="S767" s="82">
        <f t="shared" si="351"/>
        <v>5.13997808219178</v>
      </c>
      <c r="T767" s="82">
        <f t="shared" si="352"/>
        <v>5.62739726027397</v>
      </c>
      <c r="U767" s="81">
        <v>140</v>
      </c>
      <c r="V767" s="81"/>
      <c r="W767" s="83">
        <f t="shared" si="348"/>
        <v>3676.43997808219</v>
      </c>
      <c r="X767" s="84">
        <f t="shared" si="353"/>
        <v>54.1398904109589</v>
      </c>
      <c r="Y767" s="84"/>
      <c r="Z767" s="81"/>
      <c r="AA767" s="84">
        <f t="shared" si="360"/>
        <v>54.1398904109589</v>
      </c>
      <c r="AB767" s="94">
        <v>7.17</v>
      </c>
      <c r="AC767" s="81">
        <f t="shared" si="361"/>
        <v>388.183014246575</v>
      </c>
      <c r="AD767" s="81">
        <f t="shared" si="359"/>
        <v>4064.62299232877</v>
      </c>
      <c r="AE767" s="81">
        <f t="shared" si="362"/>
        <v>815.37700767123</v>
      </c>
    </row>
    <row r="768" customFormat="1" spans="1:31">
      <c r="A768" s="19"/>
      <c r="B768" s="20"/>
      <c r="C768" s="21">
        <v>240123000034</v>
      </c>
      <c r="D768" s="22">
        <v>45318</v>
      </c>
      <c r="E768" s="22" t="s">
        <v>44</v>
      </c>
      <c r="F768" s="20" t="s">
        <v>45</v>
      </c>
      <c r="G768" s="20" t="s">
        <v>56</v>
      </c>
      <c r="H768" s="20">
        <v>9</v>
      </c>
      <c r="I768" s="48"/>
      <c r="J768" s="55">
        <v>99045</v>
      </c>
      <c r="K768" s="56"/>
      <c r="L768" s="51">
        <f>SUM(J768/M768)</f>
        <v>1526.11710323575</v>
      </c>
      <c r="M768" s="53">
        <v>64.9</v>
      </c>
      <c r="N768" s="20">
        <v>7.17</v>
      </c>
      <c r="O768" s="48">
        <f>SUM(M768*N768)</f>
        <v>465.333</v>
      </c>
      <c r="P768" s="54"/>
      <c r="Q768" s="54"/>
      <c r="R768" s="81">
        <f t="shared" si="350"/>
        <v>401.658904109589</v>
      </c>
      <c r="S768" s="82">
        <f t="shared" si="351"/>
        <v>0.585567123287671</v>
      </c>
      <c r="T768" s="82">
        <f t="shared" si="352"/>
        <v>0.641095890410959</v>
      </c>
      <c r="U768" s="81"/>
      <c r="V768" s="81"/>
      <c r="W768" s="83">
        <f t="shared" si="348"/>
        <v>402.885567123288</v>
      </c>
      <c r="X768" s="84">
        <f t="shared" si="353"/>
        <v>6.16783561643836</v>
      </c>
      <c r="Y768" s="84"/>
      <c r="Z768" s="81"/>
      <c r="AA768" s="84">
        <f t="shared" si="360"/>
        <v>6.16783561643836</v>
      </c>
      <c r="AB768" s="94">
        <v>7.17</v>
      </c>
      <c r="AC768" s="81">
        <f t="shared" si="361"/>
        <v>44.223381369863</v>
      </c>
      <c r="AD768" s="81">
        <f t="shared" si="359"/>
        <v>447.108948493151</v>
      </c>
      <c r="AE768" s="81">
        <f t="shared" si="362"/>
        <v>18.224051506849</v>
      </c>
    </row>
    <row r="769" customFormat="1" spans="1:31">
      <c r="A769" s="19"/>
      <c r="B769" s="20"/>
      <c r="C769" s="21">
        <v>240123000038</v>
      </c>
      <c r="D769" s="22">
        <v>45318</v>
      </c>
      <c r="E769" s="22" t="s">
        <v>37</v>
      </c>
      <c r="F769" s="20" t="s">
        <v>38</v>
      </c>
      <c r="G769" s="20" t="s">
        <v>490</v>
      </c>
      <c r="H769" s="20">
        <v>24.5</v>
      </c>
      <c r="I769" s="43">
        <v>1470</v>
      </c>
      <c r="J769" s="44"/>
      <c r="K769" s="45"/>
      <c r="L769" s="44"/>
      <c r="M769" s="46"/>
      <c r="N769" s="20"/>
      <c r="O769" s="48">
        <f t="shared" si="364"/>
        <v>1470</v>
      </c>
      <c r="P769" s="54"/>
      <c r="Q769" s="54"/>
      <c r="R769" s="81">
        <f t="shared" si="350"/>
        <v>1093.40479452055</v>
      </c>
      <c r="S769" s="82">
        <f t="shared" si="351"/>
        <v>1.59404383561644</v>
      </c>
      <c r="T769" s="82">
        <f t="shared" si="352"/>
        <v>1.74520547945205</v>
      </c>
      <c r="U769" s="81"/>
      <c r="V769" s="81"/>
      <c r="W769" s="83">
        <f t="shared" si="348"/>
        <v>1096.74404383562</v>
      </c>
      <c r="X769" s="84">
        <f t="shared" si="353"/>
        <v>16.7902191780822</v>
      </c>
      <c r="Y769" s="84"/>
      <c r="Z769" s="81"/>
      <c r="AA769" s="84">
        <f t="shared" si="360"/>
        <v>16.7902191780822</v>
      </c>
      <c r="AB769" s="94">
        <v>7.17</v>
      </c>
      <c r="AC769" s="81">
        <f t="shared" si="361"/>
        <v>120.385871506849</v>
      </c>
      <c r="AD769" s="81">
        <f t="shared" si="359"/>
        <v>1217.12991534247</v>
      </c>
      <c r="AE769" s="81">
        <f t="shared" si="362"/>
        <v>252.87008465753</v>
      </c>
    </row>
    <row r="770" customFormat="1" spans="1:31">
      <c r="A770" s="19"/>
      <c r="B770" s="20"/>
      <c r="C770" s="21">
        <v>240123000044</v>
      </c>
      <c r="D770" s="22">
        <v>45318</v>
      </c>
      <c r="E770" s="22" t="s">
        <v>44</v>
      </c>
      <c r="F770" s="20" t="s">
        <v>45</v>
      </c>
      <c r="G770" s="20" t="s">
        <v>85</v>
      </c>
      <c r="H770" s="20">
        <v>8.5</v>
      </c>
      <c r="I770" s="43">
        <v>882.3</v>
      </c>
      <c r="J770" s="44"/>
      <c r="K770" s="45"/>
      <c r="L770" s="44"/>
      <c r="M770" s="46"/>
      <c r="N770" s="20"/>
      <c r="O770" s="48">
        <f t="shared" si="364"/>
        <v>882.3</v>
      </c>
      <c r="P770" s="54"/>
      <c r="Q770" s="54"/>
      <c r="R770" s="81">
        <f t="shared" si="350"/>
        <v>379.344520547945</v>
      </c>
      <c r="S770" s="82">
        <f t="shared" si="351"/>
        <v>0.553035616438356</v>
      </c>
      <c r="T770" s="82">
        <f t="shared" si="352"/>
        <v>0.605479452054794</v>
      </c>
      <c r="U770" s="81"/>
      <c r="V770" s="81"/>
      <c r="W770" s="83">
        <f t="shared" si="348"/>
        <v>380.503035616438</v>
      </c>
      <c r="X770" s="84">
        <f t="shared" si="353"/>
        <v>5.82517808219178</v>
      </c>
      <c r="Y770" s="84"/>
      <c r="Z770" s="81"/>
      <c r="AA770" s="84">
        <f t="shared" si="360"/>
        <v>5.82517808219178</v>
      </c>
      <c r="AB770" s="94">
        <v>7.17</v>
      </c>
      <c r="AC770" s="81">
        <f t="shared" si="361"/>
        <v>41.7665268493151</v>
      </c>
      <c r="AD770" s="81">
        <f t="shared" si="359"/>
        <v>422.269562465753</v>
      </c>
      <c r="AE770" s="81">
        <f t="shared" si="362"/>
        <v>460.030437534247</v>
      </c>
    </row>
    <row r="771" customFormat="1" spans="1:31">
      <c r="A771" s="19"/>
      <c r="B771" s="20"/>
      <c r="C771" s="21">
        <v>240123000048</v>
      </c>
      <c r="D771" s="22">
        <v>45318</v>
      </c>
      <c r="E771" s="25" t="s">
        <v>69</v>
      </c>
      <c r="F771" s="20" t="s">
        <v>69</v>
      </c>
      <c r="G771" s="20" t="s">
        <v>92</v>
      </c>
      <c r="H771" s="20">
        <v>2</v>
      </c>
      <c r="I771" s="50">
        <v>135.6</v>
      </c>
      <c r="J771" s="59"/>
      <c r="K771" s="52"/>
      <c r="L771" s="59"/>
      <c r="M771" s="46"/>
      <c r="N771" s="20"/>
      <c r="O771" s="48">
        <f t="shared" si="364"/>
        <v>135.6</v>
      </c>
      <c r="P771" s="54"/>
      <c r="Q771" s="54"/>
      <c r="R771" s="81">
        <f t="shared" si="350"/>
        <v>89.2575342465753</v>
      </c>
      <c r="S771" s="82">
        <f t="shared" si="351"/>
        <v>0.13012602739726</v>
      </c>
      <c r="T771" s="82">
        <f t="shared" si="352"/>
        <v>0.142465753424658</v>
      </c>
      <c r="U771" s="81"/>
      <c r="V771" s="81"/>
      <c r="W771" s="83">
        <f t="shared" si="348"/>
        <v>89.5301260273973</v>
      </c>
      <c r="X771" s="84">
        <f t="shared" si="353"/>
        <v>1.3706301369863</v>
      </c>
      <c r="Y771" s="84"/>
      <c r="Z771" s="81"/>
      <c r="AA771" s="84">
        <f t="shared" si="360"/>
        <v>1.3706301369863</v>
      </c>
      <c r="AB771" s="94">
        <v>7.17</v>
      </c>
      <c r="AC771" s="81">
        <f t="shared" si="361"/>
        <v>9.82741808219178</v>
      </c>
      <c r="AD771" s="81">
        <f t="shared" si="359"/>
        <v>99.3575441095891</v>
      </c>
      <c r="AE771" s="81">
        <f t="shared" si="362"/>
        <v>36.2424558904109</v>
      </c>
    </row>
    <row r="772" customFormat="1" spans="1:31">
      <c r="A772" s="19"/>
      <c r="B772" s="20"/>
      <c r="C772" s="21">
        <v>240123000050</v>
      </c>
      <c r="D772" s="22">
        <v>45318</v>
      </c>
      <c r="E772" s="25" t="s">
        <v>69</v>
      </c>
      <c r="F772" s="20" t="s">
        <v>69</v>
      </c>
      <c r="G772" s="20" t="s">
        <v>175</v>
      </c>
      <c r="H772" s="20">
        <v>908</v>
      </c>
      <c r="I772" s="95">
        <v>46308</v>
      </c>
      <c r="J772" s="51"/>
      <c r="K772" s="96"/>
      <c r="L772" s="51"/>
      <c r="M772" s="46"/>
      <c r="N772" s="20"/>
      <c r="O772" s="48">
        <f t="shared" si="364"/>
        <v>46308</v>
      </c>
      <c r="P772" s="54"/>
      <c r="Q772" s="54"/>
      <c r="R772" s="81">
        <f t="shared" si="350"/>
        <v>40522.9205479452</v>
      </c>
      <c r="S772" s="82">
        <f t="shared" si="351"/>
        <v>59.0772164383562</v>
      </c>
      <c r="T772" s="82">
        <f t="shared" si="352"/>
        <v>64.6794520547945</v>
      </c>
      <c r="U772" s="81"/>
      <c r="V772" s="81"/>
      <c r="W772" s="83">
        <f t="shared" si="348"/>
        <v>40646.6772164384</v>
      </c>
      <c r="X772" s="84">
        <f t="shared" si="353"/>
        <v>622.266082191781</v>
      </c>
      <c r="Y772" s="84"/>
      <c r="Z772" s="81"/>
      <c r="AA772" s="84">
        <f t="shared" si="360"/>
        <v>622.266082191781</v>
      </c>
      <c r="AB772" s="94">
        <v>7.17</v>
      </c>
      <c r="AC772" s="81">
        <f t="shared" si="361"/>
        <v>4461.64780931507</v>
      </c>
      <c r="AD772" s="81">
        <f t="shared" ref="AD772:AD803" si="365">SUM(W772+AC772)</f>
        <v>45108.3250257534</v>
      </c>
      <c r="AE772" s="81">
        <f t="shared" si="362"/>
        <v>1199.6749742466</v>
      </c>
    </row>
    <row r="773" customFormat="1" spans="1:31">
      <c r="A773" s="19"/>
      <c r="B773" s="20"/>
      <c r="C773" s="21">
        <v>240124000008</v>
      </c>
      <c r="D773" s="22">
        <v>45318</v>
      </c>
      <c r="E773" s="22" t="s">
        <v>58</v>
      </c>
      <c r="F773" s="20" t="s">
        <v>59</v>
      </c>
      <c r="G773" s="20" t="s">
        <v>491</v>
      </c>
      <c r="H773" s="20">
        <v>34</v>
      </c>
      <c r="I773" s="43">
        <v>2253</v>
      </c>
      <c r="J773" s="44"/>
      <c r="K773" s="45"/>
      <c r="L773" s="44"/>
      <c r="M773" s="46"/>
      <c r="N773" s="20"/>
      <c r="O773" s="48">
        <f t="shared" si="364"/>
        <v>2253</v>
      </c>
      <c r="P773" s="54"/>
      <c r="Q773" s="54"/>
      <c r="R773" s="81">
        <f t="shared" si="350"/>
        <v>1517.37808219178</v>
      </c>
      <c r="S773" s="82">
        <f t="shared" si="351"/>
        <v>2.21214246575342</v>
      </c>
      <c r="T773" s="82">
        <f t="shared" si="352"/>
        <v>2.42191780821918</v>
      </c>
      <c r="U773" s="81"/>
      <c r="V773" s="81"/>
      <c r="W773" s="83">
        <f t="shared" si="348"/>
        <v>1522.01214246575</v>
      </c>
      <c r="X773" s="84">
        <f t="shared" si="353"/>
        <v>23.3007123287671</v>
      </c>
      <c r="Y773" s="84"/>
      <c r="Z773" s="81"/>
      <c r="AA773" s="84">
        <f t="shared" si="360"/>
        <v>23.3007123287671</v>
      </c>
      <c r="AB773" s="94">
        <v>7.17</v>
      </c>
      <c r="AC773" s="81">
        <f t="shared" si="361"/>
        <v>167.06610739726</v>
      </c>
      <c r="AD773" s="81">
        <f t="shared" si="365"/>
        <v>1689.07824986301</v>
      </c>
      <c r="AE773" s="81">
        <f t="shared" si="362"/>
        <v>563.92175013699</v>
      </c>
    </row>
    <row r="774" customFormat="1" spans="1:31">
      <c r="A774" s="19"/>
      <c r="B774" s="20"/>
      <c r="C774" s="21">
        <v>240124000012</v>
      </c>
      <c r="D774" s="22">
        <v>45318</v>
      </c>
      <c r="E774" s="22" t="s">
        <v>49</v>
      </c>
      <c r="F774" s="20" t="s">
        <v>50</v>
      </c>
      <c r="G774" s="20" t="s">
        <v>360</v>
      </c>
      <c r="H774" s="20">
        <v>1.5</v>
      </c>
      <c r="I774" s="50"/>
      <c r="J774" s="51">
        <v>2187</v>
      </c>
      <c r="K774" s="52"/>
      <c r="L774" s="51">
        <f>SUM(J774/M774)</f>
        <v>139.388145315488</v>
      </c>
      <c r="M774" s="53">
        <v>15.69</v>
      </c>
      <c r="N774" s="20">
        <v>7.17</v>
      </c>
      <c r="O774" s="48">
        <f t="shared" ref="O774:O783" si="366">SUM(M774*N774)</f>
        <v>112.4973</v>
      </c>
      <c r="P774" s="54"/>
      <c r="Q774" s="54"/>
      <c r="R774" s="81">
        <f t="shared" si="350"/>
        <v>66.9431506849315</v>
      </c>
      <c r="S774" s="82">
        <f t="shared" si="351"/>
        <v>0.0975945205479452</v>
      </c>
      <c r="T774" s="82">
        <f t="shared" si="352"/>
        <v>0.106849315068493</v>
      </c>
      <c r="U774" s="81"/>
      <c r="V774" s="81"/>
      <c r="W774" s="83">
        <f t="shared" si="348"/>
        <v>67.1475945205479</v>
      </c>
      <c r="X774" s="84">
        <f t="shared" si="353"/>
        <v>1.02797260273973</v>
      </c>
      <c r="Y774" s="84"/>
      <c r="Z774" s="81"/>
      <c r="AA774" s="84">
        <f t="shared" si="360"/>
        <v>1.02797260273973</v>
      </c>
      <c r="AB774" s="94">
        <v>7.17</v>
      </c>
      <c r="AC774" s="81">
        <f t="shared" si="361"/>
        <v>7.37056356164384</v>
      </c>
      <c r="AD774" s="81">
        <f t="shared" si="365"/>
        <v>74.5181580821918</v>
      </c>
      <c r="AE774" s="81">
        <f t="shared" ref="AE774:AE805" si="367">SUM(O774-AD774)</f>
        <v>37.9791419178082</v>
      </c>
    </row>
    <row r="775" customFormat="1" spans="1:31">
      <c r="A775" s="19"/>
      <c r="B775" s="20"/>
      <c r="C775" s="21">
        <v>240124000013</v>
      </c>
      <c r="D775" s="22">
        <v>45318</v>
      </c>
      <c r="E775" s="22" t="s">
        <v>49</v>
      </c>
      <c r="F775" s="20" t="s">
        <v>50</v>
      </c>
      <c r="G775" s="20" t="s">
        <v>455</v>
      </c>
      <c r="H775" s="20">
        <v>4</v>
      </c>
      <c r="I775" s="43">
        <v>248</v>
      </c>
      <c r="J775" s="44"/>
      <c r="K775" s="45"/>
      <c r="L775" s="44"/>
      <c r="M775" s="46"/>
      <c r="N775" s="20"/>
      <c r="O775" s="48">
        <f t="shared" ref="O775:O778" si="368">SUM(I775)</f>
        <v>248</v>
      </c>
      <c r="P775" s="54"/>
      <c r="Q775" s="54"/>
      <c r="R775" s="81">
        <f t="shared" si="350"/>
        <v>178.515068493151</v>
      </c>
      <c r="S775" s="82">
        <f t="shared" si="351"/>
        <v>0.260252054794521</v>
      </c>
      <c r="T775" s="82">
        <f t="shared" si="352"/>
        <v>0.284931506849315</v>
      </c>
      <c r="U775" s="81"/>
      <c r="V775" s="81"/>
      <c r="W775" s="83">
        <f t="shared" si="348"/>
        <v>179.060252054795</v>
      </c>
      <c r="X775" s="84">
        <f t="shared" si="353"/>
        <v>2.7412602739726</v>
      </c>
      <c r="Y775" s="84"/>
      <c r="Z775" s="81"/>
      <c r="AA775" s="84">
        <f t="shared" si="360"/>
        <v>2.7412602739726</v>
      </c>
      <c r="AB775" s="94">
        <v>7.17</v>
      </c>
      <c r="AC775" s="81">
        <f t="shared" si="361"/>
        <v>19.6548361643836</v>
      </c>
      <c r="AD775" s="81">
        <f t="shared" si="365"/>
        <v>198.715088219178</v>
      </c>
      <c r="AE775" s="81">
        <f t="shared" si="367"/>
        <v>49.284911780822</v>
      </c>
    </row>
    <row r="776" customFormat="1" spans="1:31">
      <c r="A776" s="19"/>
      <c r="B776" s="20"/>
      <c r="C776" s="21">
        <v>240124000017</v>
      </c>
      <c r="D776" s="22">
        <v>45318</v>
      </c>
      <c r="E776" s="25" t="s">
        <v>69</v>
      </c>
      <c r="F776" s="20" t="s">
        <v>69</v>
      </c>
      <c r="G776" s="20" t="s">
        <v>396</v>
      </c>
      <c r="H776" s="20">
        <v>80.5</v>
      </c>
      <c r="I776" s="43">
        <v>7756</v>
      </c>
      <c r="J776" s="44"/>
      <c r="K776" s="45"/>
      <c r="L776" s="44"/>
      <c r="M776" s="46"/>
      <c r="N776" s="20"/>
      <c r="O776" s="48">
        <f t="shared" si="368"/>
        <v>7756</v>
      </c>
      <c r="P776" s="60"/>
      <c r="Q776" s="60"/>
      <c r="R776" s="81">
        <f t="shared" si="350"/>
        <v>3592.61575342466</v>
      </c>
      <c r="S776" s="82">
        <f t="shared" si="351"/>
        <v>5.23757260273973</v>
      </c>
      <c r="T776" s="82">
        <f t="shared" si="352"/>
        <v>5.73424657534247</v>
      </c>
      <c r="U776" s="81"/>
      <c r="V776" s="81"/>
      <c r="W776" s="83">
        <f t="shared" ref="W776:W807" si="369">SUM(R776:V776)</f>
        <v>3603.58757260274</v>
      </c>
      <c r="X776" s="84">
        <f t="shared" si="353"/>
        <v>55.1678630136986</v>
      </c>
      <c r="Y776" s="84"/>
      <c r="Z776" s="81"/>
      <c r="AA776" s="84">
        <f t="shared" si="360"/>
        <v>55.1678630136986</v>
      </c>
      <c r="AB776" s="94">
        <v>7.17</v>
      </c>
      <c r="AC776" s="81">
        <f t="shared" ref="AC776:AC807" si="370">SUM(AA776*AB776)</f>
        <v>395.553577808219</v>
      </c>
      <c r="AD776" s="81">
        <f t="shared" si="365"/>
        <v>3999.14115041096</v>
      </c>
      <c r="AE776" s="81">
        <f t="shared" si="367"/>
        <v>3756.85884958904</v>
      </c>
    </row>
    <row r="777" customFormat="1" spans="1:31">
      <c r="A777" s="19" t="s">
        <v>492</v>
      </c>
      <c r="B777" s="20" t="s">
        <v>493</v>
      </c>
      <c r="C777" s="21">
        <v>240117000002</v>
      </c>
      <c r="D777" s="22">
        <v>45319</v>
      </c>
      <c r="E777" s="22" t="s">
        <v>58</v>
      </c>
      <c r="F777" s="20" t="s">
        <v>59</v>
      </c>
      <c r="G777" s="20" t="s">
        <v>298</v>
      </c>
      <c r="H777" s="20">
        <v>41.5</v>
      </c>
      <c r="I777" s="50"/>
      <c r="J777" s="51">
        <v>379808</v>
      </c>
      <c r="K777" s="52"/>
      <c r="L777" s="51">
        <f>SUM(J777/M777)</f>
        <v>1491.37314956611</v>
      </c>
      <c r="M777" s="53">
        <v>254.67</v>
      </c>
      <c r="N777" s="20">
        <v>7.17</v>
      </c>
      <c r="O777" s="48">
        <f t="shared" si="366"/>
        <v>1825.9839</v>
      </c>
      <c r="P777" s="49">
        <f>SUM(O777:O829)</f>
        <v>96366.04438566</v>
      </c>
      <c r="Q777" s="49" t="s">
        <v>494</v>
      </c>
      <c r="R777" s="81">
        <f>SUM(61074/1826)*H777</f>
        <v>1388.04545454545</v>
      </c>
      <c r="S777" s="81"/>
      <c r="T777" s="82">
        <f>SUM(150.5/1826)*H777</f>
        <v>3.42045454545455</v>
      </c>
      <c r="U777" s="81"/>
      <c r="V777" s="81"/>
      <c r="W777" s="83">
        <f t="shared" si="369"/>
        <v>1391.46590909091</v>
      </c>
      <c r="X777" s="84">
        <f>SUM(1246.17/1826)*H777</f>
        <v>28.3220454545455</v>
      </c>
      <c r="Y777" s="84"/>
      <c r="Z777" s="81"/>
      <c r="AA777" s="84">
        <f t="shared" ref="AA777:AA808" si="371">SUM(X777:Z777)</f>
        <v>28.3220454545455</v>
      </c>
      <c r="AB777" s="94">
        <v>7.17</v>
      </c>
      <c r="AC777" s="81">
        <f t="shared" si="370"/>
        <v>203.069065909091</v>
      </c>
      <c r="AD777" s="81">
        <f t="shared" si="365"/>
        <v>1594.534975</v>
      </c>
      <c r="AE777" s="81">
        <f t="shared" si="367"/>
        <v>231.448925</v>
      </c>
    </row>
    <row r="778" customFormat="1" spans="1:31">
      <c r="A778" s="19"/>
      <c r="B778" s="20"/>
      <c r="C778" s="21">
        <v>240118000019</v>
      </c>
      <c r="D778" s="22">
        <v>45319</v>
      </c>
      <c r="E778" s="22" t="s">
        <v>37</v>
      </c>
      <c r="F778" s="20" t="s">
        <v>38</v>
      </c>
      <c r="G778" s="20" t="s">
        <v>495</v>
      </c>
      <c r="H778" s="20">
        <v>4</v>
      </c>
      <c r="I778" s="43">
        <v>223</v>
      </c>
      <c r="J778" s="44"/>
      <c r="K778" s="45"/>
      <c r="L778" s="44"/>
      <c r="M778" s="46"/>
      <c r="N778" s="20"/>
      <c r="O778" s="48">
        <f t="shared" si="368"/>
        <v>223</v>
      </c>
      <c r="P778" s="54"/>
      <c r="Q778" s="54"/>
      <c r="R778" s="81">
        <f t="shared" ref="R778:R809" si="372">SUM(61074/1826)*H778</f>
        <v>133.787513691128</v>
      </c>
      <c r="S778" s="81"/>
      <c r="T778" s="82">
        <f t="shared" ref="T778:T809" si="373">SUM(150.5/1826)*H778</f>
        <v>0.329682365826944</v>
      </c>
      <c r="U778" s="81"/>
      <c r="V778" s="81"/>
      <c r="W778" s="83">
        <f t="shared" si="369"/>
        <v>134.117196056955</v>
      </c>
      <c r="X778" s="84">
        <f t="shared" ref="X778:X809" si="374">SUM(1246.17/1826)*H778</f>
        <v>2.72983570646221</v>
      </c>
      <c r="Y778" s="84"/>
      <c r="Z778" s="81"/>
      <c r="AA778" s="84">
        <f t="shared" si="371"/>
        <v>2.72983570646221</v>
      </c>
      <c r="AB778" s="94">
        <v>7.17</v>
      </c>
      <c r="AC778" s="81">
        <f t="shared" si="370"/>
        <v>19.5729220153341</v>
      </c>
      <c r="AD778" s="81">
        <f t="shared" si="365"/>
        <v>153.690118072289</v>
      </c>
      <c r="AE778" s="81">
        <f t="shared" si="367"/>
        <v>69.309881927711</v>
      </c>
    </row>
    <row r="779" customFormat="1" spans="1:31">
      <c r="A779" s="19"/>
      <c r="B779" s="20"/>
      <c r="C779" s="21">
        <v>240119000004</v>
      </c>
      <c r="D779" s="22">
        <v>45319</v>
      </c>
      <c r="E779" s="22" t="s">
        <v>44</v>
      </c>
      <c r="F779" s="20" t="s">
        <v>45</v>
      </c>
      <c r="G779" s="20" t="s">
        <v>267</v>
      </c>
      <c r="H779" s="20">
        <v>2.5</v>
      </c>
      <c r="I779" s="48"/>
      <c r="J779" s="55">
        <v>34597</v>
      </c>
      <c r="K779" s="56"/>
      <c r="L779" s="51">
        <f>SUM(J779/M779)</f>
        <v>1547.96420581655</v>
      </c>
      <c r="M779" s="109">
        <v>22.35</v>
      </c>
      <c r="N779" s="20">
        <v>7.17</v>
      </c>
      <c r="O779" s="48">
        <f t="shared" si="366"/>
        <v>160.2495</v>
      </c>
      <c r="P779" s="54"/>
      <c r="Q779" s="54"/>
      <c r="R779" s="81">
        <f t="shared" si="372"/>
        <v>83.6171960569551</v>
      </c>
      <c r="S779" s="81"/>
      <c r="T779" s="82">
        <f t="shared" si="373"/>
        <v>0.20605147864184</v>
      </c>
      <c r="U779" s="81"/>
      <c r="V779" s="81"/>
      <c r="W779" s="83">
        <f t="shared" si="369"/>
        <v>83.8232475355969</v>
      </c>
      <c r="X779" s="84">
        <f t="shared" si="374"/>
        <v>1.70614731653888</v>
      </c>
      <c r="Y779" s="84"/>
      <c r="Z779" s="81"/>
      <c r="AA779" s="84">
        <f t="shared" si="371"/>
        <v>1.70614731653888</v>
      </c>
      <c r="AB779" s="94">
        <v>7.17</v>
      </c>
      <c r="AC779" s="81">
        <f t="shared" si="370"/>
        <v>12.2330762595838</v>
      </c>
      <c r="AD779" s="81">
        <f t="shared" si="365"/>
        <v>96.0563237951807</v>
      </c>
      <c r="AE779" s="81">
        <f t="shared" si="367"/>
        <v>64.1931762048193</v>
      </c>
    </row>
    <row r="780" customFormat="1" spans="1:31">
      <c r="A780" s="19"/>
      <c r="B780" s="20"/>
      <c r="C780" s="21">
        <v>240119000007</v>
      </c>
      <c r="D780" s="22">
        <v>45319</v>
      </c>
      <c r="E780" s="22" t="s">
        <v>49</v>
      </c>
      <c r="F780" s="20" t="s">
        <v>50</v>
      </c>
      <c r="G780" s="20" t="s">
        <v>64</v>
      </c>
      <c r="H780" s="20">
        <v>18.5</v>
      </c>
      <c r="I780" s="50"/>
      <c r="J780" s="51">
        <v>201650</v>
      </c>
      <c r="K780" s="52"/>
      <c r="L780" s="51">
        <f>SUM(J780/M780)</f>
        <v>1563.17829457364</v>
      </c>
      <c r="M780" s="53">
        <v>129</v>
      </c>
      <c r="N780" s="20">
        <v>7.17</v>
      </c>
      <c r="O780" s="48">
        <f t="shared" si="366"/>
        <v>924.93</v>
      </c>
      <c r="P780" s="54"/>
      <c r="Q780" s="54"/>
      <c r="R780" s="81">
        <f t="shared" si="372"/>
        <v>618.767250821468</v>
      </c>
      <c r="S780" s="81"/>
      <c r="T780" s="82">
        <f t="shared" si="373"/>
        <v>1.52478094194962</v>
      </c>
      <c r="U780" s="81"/>
      <c r="V780" s="81"/>
      <c r="W780" s="83">
        <f t="shared" si="369"/>
        <v>620.292031763417</v>
      </c>
      <c r="X780" s="84">
        <f t="shared" si="374"/>
        <v>12.6254901423877</v>
      </c>
      <c r="Y780" s="84"/>
      <c r="Z780" s="81"/>
      <c r="AA780" s="84">
        <f t="shared" si="371"/>
        <v>12.6254901423877</v>
      </c>
      <c r="AB780" s="94">
        <v>7.17</v>
      </c>
      <c r="AC780" s="81">
        <f t="shared" si="370"/>
        <v>90.5247643209201</v>
      </c>
      <c r="AD780" s="81">
        <f t="shared" si="365"/>
        <v>710.816796084337</v>
      </c>
      <c r="AE780" s="81">
        <f t="shared" si="367"/>
        <v>214.113203915663</v>
      </c>
    </row>
    <row r="781" customFormat="1" spans="1:31">
      <c r="A781" s="19"/>
      <c r="B781" s="20"/>
      <c r="C781" s="21">
        <v>240119000013</v>
      </c>
      <c r="D781" s="22">
        <v>45319</v>
      </c>
      <c r="E781" s="22" t="s">
        <v>44</v>
      </c>
      <c r="F781" s="20" t="s">
        <v>45</v>
      </c>
      <c r="G781" s="20" t="s">
        <v>496</v>
      </c>
      <c r="H781" s="20">
        <v>9.5</v>
      </c>
      <c r="I781" s="48"/>
      <c r="J781" s="55">
        <v>116071</v>
      </c>
      <c r="K781" s="56"/>
      <c r="L781" s="51">
        <f>SUM(J781/M781)</f>
        <v>1695.70489408327</v>
      </c>
      <c r="M781" s="53">
        <v>68.45</v>
      </c>
      <c r="N781" s="20">
        <v>7.17</v>
      </c>
      <c r="O781" s="48">
        <f t="shared" si="366"/>
        <v>490.7865</v>
      </c>
      <c r="P781" s="54"/>
      <c r="Q781" s="54"/>
      <c r="R781" s="81">
        <f t="shared" si="372"/>
        <v>317.745345016429</v>
      </c>
      <c r="S781" s="81"/>
      <c r="T781" s="82">
        <f t="shared" si="373"/>
        <v>0.782995618838992</v>
      </c>
      <c r="U781" s="81"/>
      <c r="V781" s="81"/>
      <c r="W781" s="83">
        <f t="shared" si="369"/>
        <v>318.528340635268</v>
      </c>
      <c r="X781" s="84">
        <f t="shared" si="374"/>
        <v>6.48335980284776</v>
      </c>
      <c r="Y781" s="84"/>
      <c r="Z781" s="81"/>
      <c r="AA781" s="84">
        <f t="shared" si="371"/>
        <v>6.48335980284776</v>
      </c>
      <c r="AB781" s="94">
        <v>7.17</v>
      </c>
      <c r="AC781" s="81">
        <f t="shared" si="370"/>
        <v>46.4856897864184</v>
      </c>
      <c r="AD781" s="81">
        <f t="shared" si="365"/>
        <v>365.014030421687</v>
      </c>
      <c r="AE781" s="81">
        <f t="shared" si="367"/>
        <v>125.772469578313</v>
      </c>
    </row>
    <row r="782" customFormat="1" spans="1:31">
      <c r="A782" s="19"/>
      <c r="B782" s="20"/>
      <c r="C782" s="21">
        <v>240119000018</v>
      </c>
      <c r="D782" s="22">
        <v>45319</v>
      </c>
      <c r="E782" s="22" t="s">
        <v>44</v>
      </c>
      <c r="F782" s="20" t="s">
        <v>45</v>
      </c>
      <c r="G782" s="20" t="s">
        <v>56</v>
      </c>
      <c r="H782" s="20">
        <v>2.5</v>
      </c>
      <c r="I782" s="48"/>
      <c r="J782" s="55">
        <v>29120</v>
      </c>
      <c r="K782" s="56"/>
      <c r="L782" s="51">
        <f>SUM(J782/M782)</f>
        <v>1481.93384223919</v>
      </c>
      <c r="M782" s="53">
        <v>19.65</v>
      </c>
      <c r="N782" s="20">
        <v>7.17</v>
      </c>
      <c r="O782" s="48">
        <f t="shared" si="366"/>
        <v>140.8905</v>
      </c>
      <c r="P782" s="54"/>
      <c r="Q782" s="54"/>
      <c r="R782" s="81">
        <f t="shared" si="372"/>
        <v>83.6171960569551</v>
      </c>
      <c r="S782" s="81"/>
      <c r="T782" s="82">
        <f t="shared" si="373"/>
        <v>0.20605147864184</v>
      </c>
      <c r="U782" s="81"/>
      <c r="V782" s="81"/>
      <c r="W782" s="83">
        <f t="shared" si="369"/>
        <v>83.8232475355969</v>
      </c>
      <c r="X782" s="84">
        <f t="shared" si="374"/>
        <v>1.70614731653888</v>
      </c>
      <c r="Y782" s="84"/>
      <c r="Z782" s="81"/>
      <c r="AA782" s="84">
        <f t="shared" si="371"/>
        <v>1.70614731653888</v>
      </c>
      <c r="AB782" s="94">
        <v>7.17</v>
      </c>
      <c r="AC782" s="81">
        <f t="shared" si="370"/>
        <v>12.2330762595838</v>
      </c>
      <c r="AD782" s="81">
        <f t="shared" si="365"/>
        <v>96.0563237951807</v>
      </c>
      <c r="AE782" s="81">
        <f t="shared" si="367"/>
        <v>44.8341762048193</v>
      </c>
    </row>
    <row r="783" customFormat="1" spans="1:31">
      <c r="A783" s="19"/>
      <c r="B783" s="20"/>
      <c r="C783" s="21">
        <v>240119000025</v>
      </c>
      <c r="D783" s="22">
        <v>45319</v>
      </c>
      <c r="E783" s="25" t="s">
        <v>69</v>
      </c>
      <c r="F783" s="20" t="s">
        <v>69</v>
      </c>
      <c r="G783" s="20" t="s">
        <v>497</v>
      </c>
      <c r="H783" s="20">
        <v>5.5</v>
      </c>
      <c r="I783" s="48"/>
      <c r="J783" s="55">
        <v>71595</v>
      </c>
      <c r="K783" s="56"/>
      <c r="L783" s="51">
        <f>SUM(J783/M783)</f>
        <v>1548</v>
      </c>
      <c r="M783" s="53">
        <v>46.25</v>
      </c>
      <c r="N783" s="20">
        <v>7.17</v>
      </c>
      <c r="O783" s="48">
        <f t="shared" si="366"/>
        <v>331.6125</v>
      </c>
      <c r="P783" s="54"/>
      <c r="Q783" s="54"/>
      <c r="R783" s="81">
        <f t="shared" si="372"/>
        <v>183.957831325301</v>
      </c>
      <c r="S783" s="81"/>
      <c r="T783" s="82">
        <f t="shared" si="373"/>
        <v>0.453313253012048</v>
      </c>
      <c r="U783" s="81"/>
      <c r="V783" s="81"/>
      <c r="W783" s="83">
        <f t="shared" si="369"/>
        <v>184.411144578313</v>
      </c>
      <c r="X783" s="84">
        <f t="shared" si="374"/>
        <v>3.75352409638554</v>
      </c>
      <c r="Y783" s="84"/>
      <c r="Z783" s="81"/>
      <c r="AA783" s="84">
        <f t="shared" si="371"/>
        <v>3.75352409638554</v>
      </c>
      <c r="AB783" s="94">
        <v>7.17</v>
      </c>
      <c r="AC783" s="81">
        <f t="shared" si="370"/>
        <v>26.9127677710843</v>
      </c>
      <c r="AD783" s="81">
        <f t="shared" si="365"/>
        <v>211.323912349398</v>
      </c>
      <c r="AE783" s="81">
        <f t="shared" si="367"/>
        <v>120.288587650602</v>
      </c>
    </row>
    <row r="784" customFormat="1" spans="1:31">
      <c r="A784" s="19"/>
      <c r="B784" s="20"/>
      <c r="C784" s="21">
        <v>240119000028</v>
      </c>
      <c r="D784" s="22">
        <v>45319</v>
      </c>
      <c r="E784" s="22" t="s">
        <v>37</v>
      </c>
      <c r="F784" s="20" t="s">
        <v>38</v>
      </c>
      <c r="G784" s="20" t="s">
        <v>498</v>
      </c>
      <c r="H784" s="20">
        <v>14.5</v>
      </c>
      <c r="I784" s="43">
        <v>1064</v>
      </c>
      <c r="J784" s="44"/>
      <c r="K784" s="45"/>
      <c r="L784" s="44"/>
      <c r="M784" s="46"/>
      <c r="N784" s="20"/>
      <c r="O784" s="48">
        <f t="shared" ref="O784:O794" si="375">SUM(I784)</f>
        <v>1064</v>
      </c>
      <c r="P784" s="54"/>
      <c r="Q784" s="54"/>
      <c r="R784" s="81">
        <f t="shared" si="372"/>
        <v>484.97973713034</v>
      </c>
      <c r="S784" s="81"/>
      <c r="T784" s="82">
        <f t="shared" si="373"/>
        <v>1.19509857612267</v>
      </c>
      <c r="U784" s="81"/>
      <c r="V784" s="81"/>
      <c r="W784" s="83">
        <f t="shared" si="369"/>
        <v>486.174835706462</v>
      </c>
      <c r="X784" s="84">
        <f t="shared" si="374"/>
        <v>9.89565443592552</v>
      </c>
      <c r="Y784" s="84">
        <v>39.5</v>
      </c>
      <c r="Z784" s="81"/>
      <c r="AA784" s="84">
        <f t="shared" si="371"/>
        <v>49.3956544359255</v>
      </c>
      <c r="AB784" s="94">
        <v>7.17</v>
      </c>
      <c r="AC784" s="81">
        <f t="shared" si="370"/>
        <v>354.166842305586</v>
      </c>
      <c r="AD784" s="81">
        <f t="shared" si="365"/>
        <v>840.341678012048</v>
      </c>
      <c r="AE784" s="81">
        <f t="shared" si="367"/>
        <v>223.658321987952</v>
      </c>
    </row>
    <row r="785" customFormat="1" spans="1:31">
      <c r="A785" s="19"/>
      <c r="B785" s="20"/>
      <c r="C785" s="21">
        <v>240119000030</v>
      </c>
      <c r="D785" s="22">
        <v>45319</v>
      </c>
      <c r="E785" s="22" t="s">
        <v>37</v>
      </c>
      <c r="F785" s="20" t="s">
        <v>38</v>
      </c>
      <c r="G785" s="20" t="s">
        <v>499</v>
      </c>
      <c r="H785" s="20">
        <v>0.96</v>
      </c>
      <c r="I785" s="43">
        <v>63</v>
      </c>
      <c r="J785" s="44"/>
      <c r="K785" s="45"/>
      <c r="L785" s="44"/>
      <c r="M785" s="46"/>
      <c r="N785" s="20"/>
      <c r="O785" s="48">
        <f t="shared" si="375"/>
        <v>63</v>
      </c>
      <c r="P785" s="54"/>
      <c r="Q785" s="54"/>
      <c r="R785" s="81">
        <f t="shared" si="372"/>
        <v>32.1090032858708</v>
      </c>
      <c r="S785" s="81"/>
      <c r="T785" s="82">
        <f t="shared" si="373"/>
        <v>0.0791237677984666</v>
      </c>
      <c r="U785" s="81"/>
      <c r="V785" s="81"/>
      <c r="W785" s="83">
        <f t="shared" si="369"/>
        <v>32.1881270536692</v>
      </c>
      <c r="X785" s="84">
        <f t="shared" si="374"/>
        <v>0.655160569550931</v>
      </c>
      <c r="Y785" s="84"/>
      <c r="Z785" s="81"/>
      <c r="AA785" s="84">
        <f t="shared" si="371"/>
        <v>0.655160569550931</v>
      </c>
      <c r="AB785" s="94">
        <v>7.17</v>
      </c>
      <c r="AC785" s="81">
        <f t="shared" si="370"/>
        <v>4.69750128368018</v>
      </c>
      <c r="AD785" s="81">
        <f t="shared" si="365"/>
        <v>36.8856283373494</v>
      </c>
      <c r="AE785" s="81">
        <f t="shared" si="367"/>
        <v>26.1143716626506</v>
      </c>
    </row>
    <row r="786" customFormat="1" spans="1:31">
      <c r="A786" s="19"/>
      <c r="B786" s="20"/>
      <c r="C786" s="21">
        <v>240119000031</v>
      </c>
      <c r="D786" s="22">
        <v>45319</v>
      </c>
      <c r="E786" s="22" t="s">
        <v>58</v>
      </c>
      <c r="F786" s="20" t="s">
        <v>59</v>
      </c>
      <c r="G786" s="20" t="s">
        <v>500</v>
      </c>
      <c r="H786" s="20">
        <v>5.5</v>
      </c>
      <c r="I786" s="50"/>
      <c r="J786" s="51">
        <v>63239</v>
      </c>
      <c r="K786" s="52"/>
      <c r="L786" s="51">
        <f>SUM(J786/M786)</f>
        <v>1484.48356807512</v>
      </c>
      <c r="M786" s="53">
        <v>42.6</v>
      </c>
      <c r="N786" s="20">
        <v>7.17</v>
      </c>
      <c r="O786" s="48">
        <f>SUM(M786*N786)</f>
        <v>305.442</v>
      </c>
      <c r="P786" s="54"/>
      <c r="Q786" s="54"/>
      <c r="R786" s="81">
        <f t="shared" si="372"/>
        <v>183.957831325301</v>
      </c>
      <c r="S786" s="81"/>
      <c r="T786" s="82">
        <f t="shared" si="373"/>
        <v>0.453313253012048</v>
      </c>
      <c r="U786" s="81"/>
      <c r="V786" s="81"/>
      <c r="W786" s="83">
        <f t="shared" si="369"/>
        <v>184.411144578313</v>
      </c>
      <c r="X786" s="84">
        <f t="shared" si="374"/>
        <v>3.75352409638554</v>
      </c>
      <c r="Y786" s="84"/>
      <c r="Z786" s="81"/>
      <c r="AA786" s="84">
        <f t="shared" si="371"/>
        <v>3.75352409638554</v>
      </c>
      <c r="AB786" s="94">
        <v>7.17</v>
      </c>
      <c r="AC786" s="81">
        <f t="shared" si="370"/>
        <v>26.9127677710843</v>
      </c>
      <c r="AD786" s="81">
        <f t="shared" si="365"/>
        <v>211.323912349398</v>
      </c>
      <c r="AE786" s="81">
        <f t="shared" si="367"/>
        <v>94.118087650602</v>
      </c>
    </row>
    <row r="787" customFormat="1" spans="1:31">
      <c r="A787" s="19"/>
      <c r="B787" s="20"/>
      <c r="C787" s="21">
        <v>240119000043</v>
      </c>
      <c r="D787" s="22">
        <v>45319</v>
      </c>
      <c r="E787" s="22" t="s">
        <v>44</v>
      </c>
      <c r="F787" s="20" t="s">
        <v>45</v>
      </c>
      <c r="G787" s="20" t="s">
        <v>436</v>
      </c>
      <c r="H787" s="20">
        <v>0.7</v>
      </c>
      <c r="I787" s="48"/>
      <c r="J787" s="55">
        <v>12000</v>
      </c>
      <c r="K787" s="56"/>
      <c r="L787" s="51">
        <f>SUM(J787/M787)</f>
        <v>1481.48148148148</v>
      </c>
      <c r="M787" s="53">
        <v>8.1</v>
      </c>
      <c r="N787" s="20">
        <v>7.17</v>
      </c>
      <c r="O787" s="48">
        <f>SUM(M787*N787)</f>
        <v>58.077</v>
      </c>
      <c r="P787" s="54"/>
      <c r="Q787" s="54"/>
      <c r="R787" s="81">
        <f t="shared" si="372"/>
        <v>23.4128148959474</v>
      </c>
      <c r="S787" s="81"/>
      <c r="T787" s="82">
        <f t="shared" si="373"/>
        <v>0.0576944140197152</v>
      </c>
      <c r="U787" s="81"/>
      <c r="V787" s="81"/>
      <c r="W787" s="83">
        <f t="shared" si="369"/>
        <v>23.4705093099671</v>
      </c>
      <c r="X787" s="84">
        <f t="shared" si="374"/>
        <v>0.477721248630887</v>
      </c>
      <c r="Y787" s="84"/>
      <c r="Z787" s="81"/>
      <c r="AA787" s="84">
        <f t="shared" si="371"/>
        <v>0.477721248630887</v>
      </c>
      <c r="AB787" s="94">
        <v>7.17</v>
      </c>
      <c r="AC787" s="81">
        <f t="shared" si="370"/>
        <v>3.42526135268346</v>
      </c>
      <c r="AD787" s="81">
        <f t="shared" si="365"/>
        <v>26.8957706626506</v>
      </c>
      <c r="AE787" s="81">
        <f t="shared" si="367"/>
        <v>31.1812293373494</v>
      </c>
    </row>
    <row r="788" customFormat="1" spans="1:31">
      <c r="A788" s="19"/>
      <c r="B788" s="20"/>
      <c r="C788" s="21">
        <v>240119000053</v>
      </c>
      <c r="D788" s="22">
        <v>45319</v>
      </c>
      <c r="E788" s="22" t="s">
        <v>44</v>
      </c>
      <c r="F788" s="20" t="s">
        <v>45</v>
      </c>
      <c r="G788" s="20" t="s">
        <v>501</v>
      </c>
      <c r="H788" s="20">
        <v>2.5</v>
      </c>
      <c r="I788" s="43">
        <v>245</v>
      </c>
      <c r="J788" s="44"/>
      <c r="K788" s="45"/>
      <c r="L788" s="44"/>
      <c r="M788" s="46"/>
      <c r="N788" s="20"/>
      <c r="O788" s="48">
        <f t="shared" si="375"/>
        <v>245</v>
      </c>
      <c r="P788" s="54"/>
      <c r="Q788" s="54"/>
      <c r="R788" s="81">
        <f t="shared" si="372"/>
        <v>83.6171960569551</v>
      </c>
      <c r="S788" s="81"/>
      <c r="T788" s="82">
        <f t="shared" si="373"/>
        <v>0.20605147864184</v>
      </c>
      <c r="U788" s="81"/>
      <c r="V788" s="81"/>
      <c r="W788" s="83">
        <f t="shared" si="369"/>
        <v>83.8232475355969</v>
      </c>
      <c r="X788" s="84">
        <f t="shared" si="374"/>
        <v>1.70614731653888</v>
      </c>
      <c r="Y788" s="84"/>
      <c r="Z788" s="81"/>
      <c r="AA788" s="84">
        <f t="shared" si="371"/>
        <v>1.70614731653888</v>
      </c>
      <c r="AB788" s="94">
        <v>7.17</v>
      </c>
      <c r="AC788" s="81">
        <f t="shared" si="370"/>
        <v>12.2330762595838</v>
      </c>
      <c r="AD788" s="81">
        <f t="shared" si="365"/>
        <v>96.0563237951807</v>
      </c>
      <c r="AE788" s="81">
        <f t="shared" si="367"/>
        <v>148.943676204819</v>
      </c>
    </row>
    <row r="789" customFormat="1" spans="1:31">
      <c r="A789" s="19"/>
      <c r="B789" s="20"/>
      <c r="C789" s="21">
        <v>240119000054</v>
      </c>
      <c r="D789" s="22">
        <v>45319</v>
      </c>
      <c r="E789" s="22" t="s">
        <v>44</v>
      </c>
      <c r="F789" s="20" t="s">
        <v>45</v>
      </c>
      <c r="G789" s="20" t="s">
        <v>113</v>
      </c>
      <c r="H789" s="20">
        <v>17</v>
      </c>
      <c r="I789" s="43">
        <v>886</v>
      </c>
      <c r="J789" s="44"/>
      <c r="K789" s="45"/>
      <c r="L789" s="44"/>
      <c r="M789" s="46"/>
      <c r="N789" s="20"/>
      <c r="O789" s="48">
        <f t="shared" si="375"/>
        <v>886</v>
      </c>
      <c r="P789" s="54"/>
      <c r="Q789" s="54"/>
      <c r="R789" s="81">
        <f t="shared" si="372"/>
        <v>568.596933187295</v>
      </c>
      <c r="S789" s="81"/>
      <c r="T789" s="82">
        <f t="shared" si="373"/>
        <v>1.40115005476451</v>
      </c>
      <c r="U789" s="81"/>
      <c r="V789" s="81"/>
      <c r="W789" s="83">
        <f t="shared" si="369"/>
        <v>569.998083242059</v>
      </c>
      <c r="X789" s="84">
        <f t="shared" si="374"/>
        <v>11.6018017524644</v>
      </c>
      <c r="Y789" s="84"/>
      <c r="Z789" s="81"/>
      <c r="AA789" s="84">
        <f t="shared" si="371"/>
        <v>11.6018017524644</v>
      </c>
      <c r="AB789" s="94">
        <v>7.17</v>
      </c>
      <c r="AC789" s="81">
        <f t="shared" si="370"/>
        <v>83.1849185651698</v>
      </c>
      <c r="AD789" s="81">
        <f t="shared" si="365"/>
        <v>653.183001807229</v>
      </c>
      <c r="AE789" s="81">
        <f t="shared" si="367"/>
        <v>232.816998192771</v>
      </c>
    </row>
    <row r="790" customFormat="1" spans="1:31">
      <c r="A790" s="19"/>
      <c r="B790" s="20"/>
      <c r="C790" s="21">
        <v>240119000055</v>
      </c>
      <c r="D790" s="22">
        <v>45319</v>
      </c>
      <c r="E790" s="22" t="s">
        <v>44</v>
      </c>
      <c r="F790" s="20" t="s">
        <v>45</v>
      </c>
      <c r="G790" s="20" t="s">
        <v>502</v>
      </c>
      <c r="H790" s="20">
        <v>7.5</v>
      </c>
      <c r="I790" s="43">
        <v>502</v>
      </c>
      <c r="J790" s="44"/>
      <c r="K790" s="45"/>
      <c r="L790" s="44"/>
      <c r="M790" s="46"/>
      <c r="N790" s="20"/>
      <c r="O790" s="48">
        <f t="shared" si="375"/>
        <v>502</v>
      </c>
      <c r="P790" s="54"/>
      <c r="Q790" s="54"/>
      <c r="R790" s="81">
        <f t="shared" si="372"/>
        <v>250.851588170865</v>
      </c>
      <c r="S790" s="81"/>
      <c r="T790" s="82">
        <f t="shared" si="373"/>
        <v>0.61815443592552</v>
      </c>
      <c r="U790" s="81"/>
      <c r="V790" s="81"/>
      <c r="W790" s="83">
        <f t="shared" si="369"/>
        <v>251.469742606791</v>
      </c>
      <c r="X790" s="84">
        <f t="shared" si="374"/>
        <v>5.11844194961665</v>
      </c>
      <c r="Y790" s="84"/>
      <c r="Z790" s="81"/>
      <c r="AA790" s="84">
        <f t="shared" si="371"/>
        <v>5.11844194961665</v>
      </c>
      <c r="AB790" s="94">
        <v>7.17</v>
      </c>
      <c r="AC790" s="81">
        <f t="shared" si="370"/>
        <v>36.6992287787514</v>
      </c>
      <c r="AD790" s="81">
        <f t="shared" si="365"/>
        <v>288.168971385542</v>
      </c>
      <c r="AE790" s="81">
        <f t="shared" si="367"/>
        <v>213.831028614458</v>
      </c>
    </row>
    <row r="791" customFormat="1" spans="1:31">
      <c r="A791" s="19"/>
      <c r="B791" s="20"/>
      <c r="C791" s="21">
        <v>240119000059</v>
      </c>
      <c r="D791" s="22">
        <v>45319</v>
      </c>
      <c r="E791" s="25" t="s">
        <v>69</v>
      </c>
      <c r="F791" s="20" t="s">
        <v>69</v>
      </c>
      <c r="G791" s="20" t="s">
        <v>443</v>
      </c>
      <c r="H791" s="20">
        <v>75.5</v>
      </c>
      <c r="I791" s="43">
        <v>3397.5</v>
      </c>
      <c r="J791" s="44"/>
      <c r="K791" s="45"/>
      <c r="L791" s="44"/>
      <c r="M791" s="46"/>
      <c r="N791" s="20"/>
      <c r="O791" s="48">
        <f t="shared" si="375"/>
        <v>3397.5</v>
      </c>
      <c r="P791" s="54"/>
      <c r="Q791" s="54"/>
      <c r="R791" s="81">
        <f t="shared" si="372"/>
        <v>2525.23932092004</v>
      </c>
      <c r="S791" s="81"/>
      <c r="T791" s="82">
        <f t="shared" si="373"/>
        <v>6.22275465498357</v>
      </c>
      <c r="U791" s="81"/>
      <c r="V791" s="81"/>
      <c r="W791" s="83">
        <f t="shared" si="369"/>
        <v>2531.46207557503</v>
      </c>
      <c r="X791" s="84">
        <f t="shared" si="374"/>
        <v>51.5256489594743</v>
      </c>
      <c r="Y791" s="84"/>
      <c r="Z791" s="81"/>
      <c r="AA791" s="84">
        <f t="shared" si="371"/>
        <v>51.5256489594743</v>
      </c>
      <c r="AB791" s="94">
        <v>7.17</v>
      </c>
      <c r="AC791" s="81">
        <f t="shared" si="370"/>
        <v>369.43890303943</v>
      </c>
      <c r="AD791" s="81">
        <f t="shared" si="365"/>
        <v>2900.90097861446</v>
      </c>
      <c r="AE791" s="81">
        <f t="shared" si="367"/>
        <v>496.59902138554</v>
      </c>
    </row>
    <row r="792" customFormat="1" spans="1:31">
      <c r="A792" s="19"/>
      <c r="B792" s="20"/>
      <c r="C792" s="21">
        <v>240120000002</v>
      </c>
      <c r="D792" s="22">
        <v>45319</v>
      </c>
      <c r="E792" s="22" t="s">
        <v>37</v>
      </c>
      <c r="F792" s="20" t="s">
        <v>38</v>
      </c>
      <c r="G792" s="20" t="s">
        <v>503</v>
      </c>
      <c r="H792" s="20">
        <v>30</v>
      </c>
      <c r="I792" s="43">
        <v>1850</v>
      </c>
      <c r="J792" s="44"/>
      <c r="K792" s="45"/>
      <c r="L792" s="44"/>
      <c r="M792" s="46"/>
      <c r="N792" s="20"/>
      <c r="O792" s="48">
        <f t="shared" si="375"/>
        <v>1850</v>
      </c>
      <c r="P792" s="54"/>
      <c r="Q792" s="54"/>
      <c r="R792" s="81">
        <f t="shared" si="372"/>
        <v>1003.40635268346</v>
      </c>
      <c r="S792" s="81"/>
      <c r="T792" s="82">
        <f t="shared" si="373"/>
        <v>2.47261774370208</v>
      </c>
      <c r="U792" s="81"/>
      <c r="V792" s="81"/>
      <c r="W792" s="83">
        <f t="shared" si="369"/>
        <v>1005.87897042716</v>
      </c>
      <c r="X792" s="84">
        <f t="shared" si="374"/>
        <v>20.4737677984666</v>
      </c>
      <c r="Y792" s="84"/>
      <c r="Z792" s="81"/>
      <c r="AA792" s="84">
        <f t="shared" si="371"/>
        <v>20.4737677984666</v>
      </c>
      <c r="AB792" s="94">
        <v>7.17</v>
      </c>
      <c r="AC792" s="81">
        <f t="shared" si="370"/>
        <v>146.796915115006</v>
      </c>
      <c r="AD792" s="81">
        <f t="shared" si="365"/>
        <v>1152.67588554217</v>
      </c>
      <c r="AE792" s="81">
        <f t="shared" si="367"/>
        <v>697.32411445783</v>
      </c>
    </row>
    <row r="793" customFormat="1" spans="1:31">
      <c r="A793" s="19"/>
      <c r="B793" s="20"/>
      <c r="C793" s="21">
        <v>240120000004</v>
      </c>
      <c r="D793" s="22">
        <v>45319</v>
      </c>
      <c r="E793" s="22" t="s">
        <v>44</v>
      </c>
      <c r="F793" s="20" t="s">
        <v>45</v>
      </c>
      <c r="G793" s="20" t="s">
        <v>91</v>
      </c>
      <c r="H793" s="20">
        <v>0.44</v>
      </c>
      <c r="I793" s="43">
        <v>58</v>
      </c>
      <c r="J793" s="44"/>
      <c r="K793" s="45"/>
      <c r="L793" s="44"/>
      <c r="M793" s="46"/>
      <c r="N793" s="20"/>
      <c r="O793" s="48">
        <f t="shared" si="375"/>
        <v>58</v>
      </c>
      <c r="P793" s="54"/>
      <c r="Q793" s="54"/>
      <c r="R793" s="81">
        <f t="shared" si="372"/>
        <v>14.7166265060241</v>
      </c>
      <c r="S793" s="81"/>
      <c r="T793" s="82">
        <f t="shared" si="373"/>
        <v>0.0362650602409639</v>
      </c>
      <c r="U793" s="81"/>
      <c r="V793" s="81"/>
      <c r="W793" s="83">
        <f t="shared" si="369"/>
        <v>14.7528915662651</v>
      </c>
      <c r="X793" s="84">
        <f t="shared" si="374"/>
        <v>0.300281927710843</v>
      </c>
      <c r="Y793" s="84"/>
      <c r="Z793" s="81"/>
      <c r="AA793" s="84">
        <f t="shared" si="371"/>
        <v>0.300281927710843</v>
      </c>
      <c r="AB793" s="94">
        <v>7.17</v>
      </c>
      <c r="AC793" s="81">
        <f t="shared" si="370"/>
        <v>2.15302142168675</v>
      </c>
      <c r="AD793" s="81">
        <f t="shared" si="365"/>
        <v>16.9059129879518</v>
      </c>
      <c r="AE793" s="81">
        <f t="shared" si="367"/>
        <v>41.0940870120482</v>
      </c>
    </row>
    <row r="794" customFormat="1" spans="1:31">
      <c r="A794" s="19"/>
      <c r="B794" s="20"/>
      <c r="C794" s="21">
        <v>240120000007</v>
      </c>
      <c r="D794" s="22">
        <v>45319</v>
      </c>
      <c r="E794" s="22" t="s">
        <v>58</v>
      </c>
      <c r="F794" s="20" t="s">
        <v>59</v>
      </c>
      <c r="G794" s="20" t="s">
        <v>253</v>
      </c>
      <c r="H794" s="20">
        <v>6.5</v>
      </c>
      <c r="I794" s="43">
        <v>394</v>
      </c>
      <c r="J794" s="44"/>
      <c r="K794" s="45"/>
      <c r="L794" s="44"/>
      <c r="M794" s="46"/>
      <c r="N794" s="20"/>
      <c r="O794" s="48">
        <f t="shared" si="375"/>
        <v>394</v>
      </c>
      <c r="P794" s="54"/>
      <c r="Q794" s="54"/>
      <c r="R794" s="81">
        <f t="shared" si="372"/>
        <v>217.404709748083</v>
      </c>
      <c r="S794" s="81"/>
      <c r="T794" s="82">
        <f t="shared" si="373"/>
        <v>0.535733844468784</v>
      </c>
      <c r="U794" s="81">
        <v>50</v>
      </c>
      <c r="V794" s="81"/>
      <c r="W794" s="83">
        <f t="shared" si="369"/>
        <v>267.940443592552</v>
      </c>
      <c r="X794" s="84">
        <f t="shared" si="374"/>
        <v>4.4359830230011</v>
      </c>
      <c r="Y794" s="84"/>
      <c r="Z794" s="81"/>
      <c r="AA794" s="84">
        <f t="shared" si="371"/>
        <v>4.4359830230011</v>
      </c>
      <c r="AB794" s="94">
        <v>7.17</v>
      </c>
      <c r="AC794" s="81">
        <f t="shared" si="370"/>
        <v>31.8059982749179</v>
      </c>
      <c r="AD794" s="81">
        <f t="shared" si="365"/>
        <v>299.74644186747</v>
      </c>
      <c r="AE794" s="81">
        <f t="shared" si="367"/>
        <v>94.25355813253</v>
      </c>
    </row>
    <row r="795" customFormat="1" spans="1:31">
      <c r="A795" s="19"/>
      <c r="B795" s="20"/>
      <c r="C795" s="21">
        <v>240120000011</v>
      </c>
      <c r="D795" s="22">
        <v>45319</v>
      </c>
      <c r="E795" s="22" t="s">
        <v>44</v>
      </c>
      <c r="F795" s="20" t="s">
        <v>45</v>
      </c>
      <c r="G795" s="20" t="s">
        <v>504</v>
      </c>
      <c r="H795" s="20">
        <v>12.5</v>
      </c>
      <c r="I795" s="50"/>
      <c r="J795" s="51">
        <v>131456</v>
      </c>
      <c r="K795" s="52"/>
      <c r="L795" s="51">
        <f>SUM(J795/M795)</f>
        <v>1491.44542772861</v>
      </c>
      <c r="M795" s="53">
        <v>88.14</v>
      </c>
      <c r="N795" s="20">
        <v>7.17</v>
      </c>
      <c r="O795" s="48">
        <f t="shared" ref="O795:O801" si="376">SUM(M795*N795)</f>
        <v>631.9638</v>
      </c>
      <c r="P795" s="54"/>
      <c r="Q795" s="54"/>
      <c r="R795" s="81">
        <f t="shared" si="372"/>
        <v>418.085980284775</v>
      </c>
      <c r="S795" s="81"/>
      <c r="T795" s="82">
        <f t="shared" si="373"/>
        <v>1.0302573932092</v>
      </c>
      <c r="U795" s="81"/>
      <c r="V795" s="81"/>
      <c r="W795" s="83">
        <f t="shared" si="369"/>
        <v>419.116237677985</v>
      </c>
      <c r="X795" s="84">
        <f t="shared" si="374"/>
        <v>8.53073658269441</v>
      </c>
      <c r="Y795" s="84"/>
      <c r="Z795" s="81"/>
      <c r="AA795" s="84">
        <f t="shared" si="371"/>
        <v>8.53073658269441</v>
      </c>
      <c r="AB795" s="94">
        <v>7.17</v>
      </c>
      <c r="AC795" s="81">
        <f t="shared" si="370"/>
        <v>61.165381297919</v>
      </c>
      <c r="AD795" s="81">
        <f t="shared" si="365"/>
        <v>480.281618975904</v>
      </c>
      <c r="AE795" s="81">
        <f t="shared" si="367"/>
        <v>151.682181024096</v>
      </c>
    </row>
    <row r="796" customFormat="1" spans="1:31">
      <c r="A796" s="19"/>
      <c r="B796" s="20"/>
      <c r="C796" s="21">
        <v>240120000013</v>
      </c>
      <c r="D796" s="22">
        <v>45319</v>
      </c>
      <c r="E796" s="22" t="s">
        <v>37</v>
      </c>
      <c r="F796" s="20" t="s">
        <v>38</v>
      </c>
      <c r="G796" s="20" t="s">
        <v>309</v>
      </c>
      <c r="H796" s="20">
        <v>4.5</v>
      </c>
      <c r="I796" s="43">
        <v>250.5</v>
      </c>
      <c r="J796" s="44"/>
      <c r="K796" s="45"/>
      <c r="L796" s="44"/>
      <c r="M796" s="46"/>
      <c r="N796" s="20"/>
      <c r="O796" s="48">
        <f t="shared" ref="O796:O798" si="377">SUM(I796)</f>
        <v>250.5</v>
      </c>
      <c r="P796" s="54"/>
      <c r="Q796" s="54"/>
      <c r="R796" s="81">
        <f t="shared" si="372"/>
        <v>150.510952902519</v>
      </c>
      <c r="S796" s="81"/>
      <c r="T796" s="82">
        <f t="shared" si="373"/>
        <v>0.370892661555312</v>
      </c>
      <c r="U796" s="81"/>
      <c r="V796" s="81"/>
      <c r="W796" s="83">
        <f t="shared" si="369"/>
        <v>150.881845564074</v>
      </c>
      <c r="X796" s="84">
        <f t="shared" si="374"/>
        <v>3.07106516976999</v>
      </c>
      <c r="Y796" s="84"/>
      <c r="Z796" s="81"/>
      <c r="AA796" s="84">
        <f t="shared" si="371"/>
        <v>3.07106516976999</v>
      </c>
      <c r="AB796" s="94">
        <v>7.17</v>
      </c>
      <c r="AC796" s="81">
        <f t="shared" si="370"/>
        <v>22.0195372672508</v>
      </c>
      <c r="AD796" s="81">
        <f t="shared" si="365"/>
        <v>172.901382831325</v>
      </c>
      <c r="AE796" s="81">
        <f t="shared" si="367"/>
        <v>77.598617168675</v>
      </c>
    </row>
    <row r="797" customFormat="1" spans="1:31">
      <c r="A797" s="19"/>
      <c r="B797" s="20"/>
      <c r="C797" s="21">
        <v>240121000006</v>
      </c>
      <c r="D797" s="22">
        <v>45319</v>
      </c>
      <c r="E797" s="25" t="s">
        <v>69</v>
      </c>
      <c r="F797" s="20" t="s">
        <v>69</v>
      </c>
      <c r="G797" s="20" t="s">
        <v>70</v>
      </c>
      <c r="H797" s="20">
        <v>33.5</v>
      </c>
      <c r="I797" s="43">
        <v>2090</v>
      </c>
      <c r="J797" s="44"/>
      <c r="K797" s="45"/>
      <c r="L797" s="44"/>
      <c r="M797" s="46"/>
      <c r="N797" s="20"/>
      <c r="O797" s="48">
        <f t="shared" si="377"/>
        <v>2090</v>
      </c>
      <c r="P797" s="54"/>
      <c r="Q797" s="54"/>
      <c r="R797" s="81">
        <f t="shared" si="372"/>
        <v>1120.4704271632</v>
      </c>
      <c r="S797" s="81"/>
      <c r="T797" s="82">
        <f t="shared" si="373"/>
        <v>2.76108981380066</v>
      </c>
      <c r="U797" s="81"/>
      <c r="V797" s="81"/>
      <c r="W797" s="83">
        <f t="shared" si="369"/>
        <v>1123.231516977</v>
      </c>
      <c r="X797" s="84">
        <f t="shared" si="374"/>
        <v>22.862374041621</v>
      </c>
      <c r="Y797" s="84"/>
      <c r="Z797" s="81"/>
      <c r="AA797" s="84">
        <f t="shared" si="371"/>
        <v>22.862374041621</v>
      </c>
      <c r="AB797" s="94">
        <v>7.17</v>
      </c>
      <c r="AC797" s="81">
        <f t="shared" si="370"/>
        <v>163.923221878423</v>
      </c>
      <c r="AD797" s="81">
        <f t="shared" si="365"/>
        <v>1287.15473885542</v>
      </c>
      <c r="AE797" s="81">
        <f t="shared" si="367"/>
        <v>802.84526114458</v>
      </c>
    </row>
    <row r="798" customFormat="1" spans="1:31">
      <c r="A798" s="19"/>
      <c r="B798" s="20"/>
      <c r="C798" s="23">
        <v>240122000001</v>
      </c>
      <c r="D798" s="24">
        <v>45319</v>
      </c>
      <c r="E798" s="22" t="s">
        <v>49</v>
      </c>
      <c r="F798" s="26" t="s">
        <v>50</v>
      </c>
      <c r="G798" s="26" t="s">
        <v>505</v>
      </c>
      <c r="H798" s="26">
        <v>7</v>
      </c>
      <c r="I798" s="95">
        <v>411</v>
      </c>
      <c r="J798" s="51"/>
      <c r="K798" s="96"/>
      <c r="L798" s="51"/>
      <c r="M798" s="46"/>
      <c r="N798" s="20"/>
      <c r="O798" s="48">
        <f t="shared" si="377"/>
        <v>411</v>
      </c>
      <c r="P798" s="54"/>
      <c r="Q798" s="54"/>
      <c r="R798" s="81">
        <f t="shared" si="372"/>
        <v>234.128148959474</v>
      </c>
      <c r="S798" s="81"/>
      <c r="T798" s="82">
        <f t="shared" si="373"/>
        <v>0.576944140197152</v>
      </c>
      <c r="U798" s="81"/>
      <c r="V798" s="82">
        <v>26</v>
      </c>
      <c r="W798" s="83">
        <f t="shared" si="369"/>
        <v>260.705093099671</v>
      </c>
      <c r="X798" s="84">
        <f t="shared" si="374"/>
        <v>4.77721248630887</v>
      </c>
      <c r="Y798" s="84"/>
      <c r="Z798" s="81"/>
      <c r="AA798" s="84">
        <f t="shared" si="371"/>
        <v>4.77721248630887</v>
      </c>
      <c r="AB798" s="94">
        <v>7.17</v>
      </c>
      <c r="AC798" s="81">
        <f t="shared" si="370"/>
        <v>34.2526135268346</v>
      </c>
      <c r="AD798" s="81">
        <f t="shared" si="365"/>
        <v>294.957706626506</v>
      </c>
      <c r="AE798" s="81">
        <f t="shared" si="367"/>
        <v>116.042293373494</v>
      </c>
    </row>
    <row r="799" customFormat="1" spans="1:31">
      <c r="A799" s="19"/>
      <c r="B799" s="20"/>
      <c r="C799" s="21">
        <v>240122000003</v>
      </c>
      <c r="D799" s="22">
        <v>45319</v>
      </c>
      <c r="E799" s="22" t="s">
        <v>58</v>
      </c>
      <c r="F799" s="20" t="s">
        <v>59</v>
      </c>
      <c r="G799" s="20" t="s">
        <v>506</v>
      </c>
      <c r="H799" s="20">
        <v>0.98</v>
      </c>
      <c r="I799" s="48"/>
      <c r="J799" s="55">
        <v>12066</v>
      </c>
      <c r="K799" s="56"/>
      <c r="L799" s="51">
        <f>SUM(J799/M799)</f>
        <v>1489.62962962963</v>
      </c>
      <c r="M799" s="53">
        <v>8.1</v>
      </c>
      <c r="N799" s="20">
        <v>7.17</v>
      </c>
      <c r="O799" s="48">
        <f t="shared" si="376"/>
        <v>58.077</v>
      </c>
      <c r="P799" s="54"/>
      <c r="Q799" s="54"/>
      <c r="R799" s="81">
        <f t="shared" si="372"/>
        <v>32.7779408543264</v>
      </c>
      <c r="S799" s="81"/>
      <c r="T799" s="82">
        <f t="shared" si="373"/>
        <v>0.0807721796276013</v>
      </c>
      <c r="U799" s="81"/>
      <c r="V799" s="81"/>
      <c r="W799" s="83">
        <f t="shared" si="369"/>
        <v>32.858713033954</v>
      </c>
      <c r="X799" s="84">
        <f t="shared" si="374"/>
        <v>0.668809748083242</v>
      </c>
      <c r="Y799" s="84"/>
      <c r="Z799" s="81"/>
      <c r="AA799" s="84">
        <f t="shared" si="371"/>
        <v>0.668809748083242</v>
      </c>
      <c r="AB799" s="94">
        <v>7.17</v>
      </c>
      <c r="AC799" s="81">
        <f t="shared" si="370"/>
        <v>4.79536589375685</v>
      </c>
      <c r="AD799" s="81">
        <f t="shared" si="365"/>
        <v>37.6540789277108</v>
      </c>
      <c r="AE799" s="81">
        <f t="shared" si="367"/>
        <v>20.4229210722892</v>
      </c>
    </row>
    <row r="800" customFormat="1" spans="1:31">
      <c r="A800" s="19"/>
      <c r="B800" s="20"/>
      <c r="C800" s="21">
        <v>240122000008</v>
      </c>
      <c r="D800" s="22">
        <v>45319</v>
      </c>
      <c r="E800" s="22" t="s">
        <v>58</v>
      </c>
      <c r="F800" s="20" t="s">
        <v>59</v>
      </c>
      <c r="G800" s="20" t="s">
        <v>507</v>
      </c>
      <c r="H800" s="20">
        <v>98</v>
      </c>
      <c r="I800" s="48"/>
      <c r="J800" s="55">
        <v>1362582</v>
      </c>
      <c r="K800" s="56"/>
      <c r="L800" s="51">
        <f>SUM(J800/M800)</f>
        <v>1800</v>
      </c>
      <c r="M800" s="53">
        <v>756.99</v>
      </c>
      <c r="N800" s="20">
        <v>7.17</v>
      </c>
      <c r="O800" s="48">
        <f t="shared" si="376"/>
        <v>5427.6183</v>
      </c>
      <c r="P800" s="54"/>
      <c r="Q800" s="54"/>
      <c r="R800" s="81">
        <f t="shared" si="372"/>
        <v>3277.79408543264</v>
      </c>
      <c r="S800" s="81"/>
      <c r="T800" s="82">
        <f t="shared" si="373"/>
        <v>8.07721796276013</v>
      </c>
      <c r="U800" s="81"/>
      <c r="V800" s="81"/>
      <c r="W800" s="83">
        <f t="shared" si="369"/>
        <v>3285.8713033954</v>
      </c>
      <c r="X800" s="84">
        <f t="shared" si="374"/>
        <v>66.8809748083242</v>
      </c>
      <c r="Y800" s="84"/>
      <c r="Z800" s="81"/>
      <c r="AA800" s="84">
        <f t="shared" si="371"/>
        <v>66.8809748083242</v>
      </c>
      <c r="AB800" s="94">
        <v>7.17</v>
      </c>
      <c r="AC800" s="81">
        <f t="shared" si="370"/>
        <v>479.536589375685</v>
      </c>
      <c r="AD800" s="81">
        <f t="shared" si="365"/>
        <v>3765.40789277108</v>
      </c>
      <c r="AE800" s="81">
        <f t="shared" si="367"/>
        <v>1662.21040722892</v>
      </c>
    </row>
    <row r="801" customFormat="1" spans="1:31">
      <c r="A801" s="19"/>
      <c r="B801" s="20"/>
      <c r="C801" s="21">
        <v>240122000010</v>
      </c>
      <c r="D801" s="22">
        <v>45319</v>
      </c>
      <c r="E801" s="22" t="s">
        <v>49</v>
      </c>
      <c r="F801" s="20" t="s">
        <v>50</v>
      </c>
      <c r="G801" s="20" t="s">
        <v>508</v>
      </c>
      <c r="H801" s="20">
        <v>0.7</v>
      </c>
      <c r="I801" s="50"/>
      <c r="J801" s="51">
        <v>12470</v>
      </c>
      <c r="K801" s="52"/>
      <c r="L801" s="51">
        <f>SUM(J801/M801)</f>
        <v>1543.31683168317</v>
      </c>
      <c r="M801" s="53">
        <v>8.08</v>
      </c>
      <c r="N801" s="20">
        <v>7.17</v>
      </c>
      <c r="O801" s="48">
        <f t="shared" si="376"/>
        <v>57.9336</v>
      </c>
      <c r="P801" s="54"/>
      <c r="Q801" s="54"/>
      <c r="R801" s="81">
        <f t="shared" si="372"/>
        <v>23.4128148959474</v>
      </c>
      <c r="S801" s="81"/>
      <c r="T801" s="82">
        <f t="shared" si="373"/>
        <v>0.0576944140197152</v>
      </c>
      <c r="U801" s="81"/>
      <c r="V801" s="81"/>
      <c r="W801" s="83">
        <f t="shared" si="369"/>
        <v>23.4705093099671</v>
      </c>
      <c r="X801" s="84">
        <f t="shared" si="374"/>
        <v>0.477721248630887</v>
      </c>
      <c r="Y801" s="84"/>
      <c r="Z801" s="81"/>
      <c r="AA801" s="84">
        <f t="shared" si="371"/>
        <v>0.477721248630887</v>
      </c>
      <c r="AB801" s="94">
        <v>7.17</v>
      </c>
      <c r="AC801" s="81">
        <f t="shared" si="370"/>
        <v>3.42526135268346</v>
      </c>
      <c r="AD801" s="81">
        <f t="shared" si="365"/>
        <v>26.8957706626506</v>
      </c>
      <c r="AE801" s="81">
        <f t="shared" si="367"/>
        <v>31.0378293373494</v>
      </c>
    </row>
    <row r="802" customFormat="1" spans="1:31">
      <c r="A802" s="19"/>
      <c r="B802" s="20"/>
      <c r="C802" s="21">
        <v>240122000013</v>
      </c>
      <c r="D802" s="22">
        <v>45319</v>
      </c>
      <c r="E802" s="22" t="s">
        <v>49</v>
      </c>
      <c r="F802" s="20" t="s">
        <v>50</v>
      </c>
      <c r="G802" s="20" t="s">
        <v>66</v>
      </c>
      <c r="H802" s="20">
        <v>9</v>
      </c>
      <c r="I802" s="43">
        <v>399.5</v>
      </c>
      <c r="J802" s="44"/>
      <c r="K802" s="45"/>
      <c r="L802" s="44"/>
      <c r="M802" s="46"/>
      <c r="N802" s="20"/>
      <c r="O802" s="48">
        <f t="shared" ref="O802:O806" si="378">SUM(I802)</f>
        <v>399.5</v>
      </c>
      <c r="P802" s="54"/>
      <c r="Q802" s="54"/>
      <c r="R802" s="81">
        <f t="shared" si="372"/>
        <v>301.021905805038</v>
      </c>
      <c r="S802" s="81"/>
      <c r="T802" s="82">
        <f t="shared" si="373"/>
        <v>0.741785323110624</v>
      </c>
      <c r="U802" s="81"/>
      <c r="V802" s="81"/>
      <c r="W802" s="83">
        <f t="shared" si="369"/>
        <v>301.763691128149</v>
      </c>
      <c r="X802" s="84">
        <f t="shared" si="374"/>
        <v>6.14213033953998</v>
      </c>
      <c r="Y802" s="84"/>
      <c r="Z802" s="81"/>
      <c r="AA802" s="84">
        <f t="shared" si="371"/>
        <v>6.14213033953998</v>
      </c>
      <c r="AB802" s="94">
        <v>7.17</v>
      </c>
      <c r="AC802" s="81">
        <f t="shared" si="370"/>
        <v>44.0390745345016</v>
      </c>
      <c r="AD802" s="81">
        <f t="shared" si="365"/>
        <v>345.802765662651</v>
      </c>
      <c r="AE802" s="81">
        <f t="shared" si="367"/>
        <v>53.697234337349</v>
      </c>
    </row>
    <row r="803" customFormat="1" spans="1:31">
      <c r="A803" s="19"/>
      <c r="B803" s="20"/>
      <c r="C803" s="21">
        <v>240122000014</v>
      </c>
      <c r="D803" s="22">
        <v>45319</v>
      </c>
      <c r="E803" s="22" t="s">
        <v>49</v>
      </c>
      <c r="F803" s="20" t="s">
        <v>50</v>
      </c>
      <c r="G803" s="20" t="s">
        <v>300</v>
      </c>
      <c r="H803" s="20">
        <v>9.5</v>
      </c>
      <c r="I803" s="50"/>
      <c r="J803" s="51">
        <v>104500</v>
      </c>
      <c r="K803" s="52"/>
      <c r="L803" s="51">
        <f>SUM(J803/M803)</f>
        <v>1577.59661835749</v>
      </c>
      <c r="M803" s="53">
        <v>66.24</v>
      </c>
      <c r="N803" s="20">
        <v>7.17</v>
      </c>
      <c r="O803" s="48">
        <f t="shared" ref="O803:O807" si="379">SUM(M803*N803)</f>
        <v>474.9408</v>
      </c>
      <c r="P803" s="54"/>
      <c r="Q803" s="54"/>
      <c r="R803" s="81">
        <f t="shared" si="372"/>
        <v>317.745345016429</v>
      </c>
      <c r="S803" s="81"/>
      <c r="T803" s="82">
        <f t="shared" si="373"/>
        <v>0.782995618838992</v>
      </c>
      <c r="U803" s="81"/>
      <c r="V803" s="81"/>
      <c r="W803" s="83">
        <f t="shared" si="369"/>
        <v>318.528340635268</v>
      </c>
      <c r="X803" s="84">
        <f t="shared" si="374"/>
        <v>6.48335980284776</v>
      </c>
      <c r="Y803" s="84"/>
      <c r="Z803" s="81"/>
      <c r="AA803" s="84">
        <f t="shared" si="371"/>
        <v>6.48335980284776</v>
      </c>
      <c r="AB803" s="94">
        <v>7.17</v>
      </c>
      <c r="AC803" s="81">
        <f t="shared" si="370"/>
        <v>46.4856897864184</v>
      </c>
      <c r="AD803" s="81">
        <f t="shared" si="365"/>
        <v>365.014030421687</v>
      </c>
      <c r="AE803" s="81">
        <f t="shared" si="367"/>
        <v>109.926769578313</v>
      </c>
    </row>
    <row r="804" customFormat="1" spans="1:31">
      <c r="A804" s="19"/>
      <c r="B804" s="20"/>
      <c r="C804" s="21">
        <v>240122000016</v>
      </c>
      <c r="D804" s="22">
        <v>45319</v>
      </c>
      <c r="E804" s="22" t="s">
        <v>44</v>
      </c>
      <c r="F804" s="20" t="s">
        <v>45</v>
      </c>
      <c r="G804" s="20" t="s">
        <v>504</v>
      </c>
      <c r="H804" s="20">
        <v>3</v>
      </c>
      <c r="I804" s="50"/>
      <c r="J804" s="51">
        <v>34944</v>
      </c>
      <c r="K804" s="52"/>
      <c r="L804" s="51">
        <f>SUM(J804/M804)</f>
        <v>1491.42125480154</v>
      </c>
      <c r="M804" s="53">
        <v>23.43</v>
      </c>
      <c r="N804" s="20">
        <v>7.17</v>
      </c>
      <c r="O804" s="48">
        <f t="shared" si="379"/>
        <v>167.9931</v>
      </c>
      <c r="P804" s="54"/>
      <c r="Q804" s="54"/>
      <c r="R804" s="81">
        <f t="shared" si="372"/>
        <v>100.340635268346</v>
      </c>
      <c r="S804" s="81"/>
      <c r="T804" s="82">
        <f t="shared" si="373"/>
        <v>0.247261774370208</v>
      </c>
      <c r="U804" s="81"/>
      <c r="V804" s="81"/>
      <c r="W804" s="83">
        <f t="shared" si="369"/>
        <v>100.587897042716</v>
      </c>
      <c r="X804" s="84">
        <f t="shared" si="374"/>
        <v>2.04737677984666</v>
      </c>
      <c r="Y804" s="84"/>
      <c r="Z804" s="81"/>
      <c r="AA804" s="84">
        <f t="shared" si="371"/>
        <v>2.04737677984666</v>
      </c>
      <c r="AB804" s="94">
        <v>7.17</v>
      </c>
      <c r="AC804" s="81">
        <f t="shared" si="370"/>
        <v>14.6796915115005</v>
      </c>
      <c r="AD804" s="81">
        <f t="shared" ref="AD804:AD829" si="380">SUM(W804+AC804)</f>
        <v>115.267588554217</v>
      </c>
      <c r="AE804" s="81">
        <f t="shared" si="367"/>
        <v>52.725511445783</v>
      </c>
    </row>
    <row r="805" customFormat="1" spans="1:31">
      <c r="A805" s="19"/>
      <c r="B805" s="20"/>
      <c r="C805" s="21">
        <v>240122000026</v>
      </c>
      <c r="D805" s="22">
        <v>45319</v>
      </c>
      <c r="E805" s="22" t="s">
        <v>49</v>
      </c>
      <c r="F805" s="20" t="s">
        <v>50</v>
      </c>
      <c r="G805" s="20" t="s">
        <v>509</v>
      </c>
      <c r="H805" s="20">
        <v>4</v>
      </c>
      <c r="I805" s="43">
        <v>303</v>
      </c>
      <c r="J805" s="44"/>
      <c r="K805" s="45"/>
      <c r="L805" s="44"/>
      <c r="M805" s="46"/>
      <c r="N805" s="20"/>
      <c r="O805" s="48">
        <f t="shared" si="378"/>
        <v>303</v>
      </c>
      <c r="P805" s="54"/>
      <c r="Q805" s="54"/>
      <c r="R805" s="81">
        <f t="shared" si="372"/>
        <v>133.787513691128</v>
      </c>
      <c r="S805" s="81"/>
      <c r="T805" s="82">
        <f t="shared" si="373"/>
        <v>0.329682365826944</v>
      </c>
      <c r="U805" s="81"/>
      <c r="V805" s="81"/>
      <c r="W805" s="83">
        <f t="shared" si="369"/>
        <v>134.117196056955</v>
      </c>
      <c r="X805" s="84">
        <f t="shared" si="374"/>
        <v>2.72983570646221</v>
      </c>
      <c r="Y805" s="84">
        <v>11.15</v>
      </c>
      <c r="Z805" s="81"/>
      <c r="AA805" s="84">
        <f t="shared" si="371"/>
        <v>13.8798357064622</v>
      </c>
      <c r="AB805" s="94">
        <v>7.17</v>
      </c>
      <c r="AC805" s="81">
        <f t="shared" si="370"/>
        <v>99.5184220153341</v>
      </c>
      <c r="AD805" s="81">
        <f t="shared" si="380"/>
        <v>233.635618072289</v>
      </c>
      <c r="AE805" s="81">
        <f t="shared" si="367"/>
        <v>69.364381927711</v>
      </c>
    </row>
    <row r="806" customFormat="1" spans="1:31">
      <c r="A806" s="19"/>
      <c r="B806" s="20"/>
      <c r="C806" s="21">
        <v>240122000027</v>
      </c>
      <c r="D806" s="22">
        <v>45319</v>
      </c>
      <c r="E806" s="22" t="s">
        <v>110</v>
      </c>
      <c r="F806" s="20" t="s">
        <v>111</v>
      </c>
      <c r="G806" s="20" t="s">
        <v>510</v>
      </c>
      <c r="H806" s="20">
        <v>9.5</v>
      </c>
      <c r="I806" s="43">
        <v>556</v>
      </c>
      <c r="J806" s="44"/>
      <c r="K806" s="45"/>
      <c r="L806" s="44"/>
      <c r="M806" s="46"/>
      <c r="N806" s="20"/>
      <c r="O806" s="48">
        <f t="shared" si="378"/>
        <v>556</v>
      </c>
      <c r="P806" s="54"/>
      <c r="Q806" s="54"/>
      <c r="R806" s="81">
        <f t="shared" si="372"/>
        <v>317.745345016429</v>
      </c>
      <c r="S806" s="81"/>
      <c r="T806" s="82">
        <f t="shared" si="373"/>
        <v>0.782995618838992</v>
      </c>
      <c r="U806" s="81"/>
      <c r="V806" s="81"/>
      <c r="W806" s="83">
        <f t="shared" si="369"/>
        <v>318.528340635268</v>
      </c>
      <c r="X806" s="84">
        <f t="shared" si="374"/>
        <v>6.48335980284776</v>
      </c>
      <c r="Y806" s="84"/>
      <c r="Z806" s="81"/>
      <c r="AA806" s="84">
        <f t="shared" si="371"/>
        <v>6.48335980284776</v>
      </c>
      <c r="AB806" s="94">
        <v>7.17</v>
      </c>
      <c r="AC806" s="81">
        <f t="shared" si="370"/>
        <v>46.4856897864184</v>
      </c>
      <c r="AD806" s="81">
        <f t="shared" si="380"/>
        <v>365.014030421687</v>
      </c>
      <c r="AE806" s="81">
        <f t="shared" ref="AE806:AE829" si="381">SUM(O806-AD806)</f>
        <v>190.985969578313</v>
      </c>
    </row>
    <row r="807" customFormat="1" spans="1:31">
      <c r="A807" s="19"/>
      <c r="B807" s="20"/>
      <c r="C807" s="21">
        <v>240122000028</v>
      </c>
      <c r="D807" s="22">
        <v>45319</v>
      </c>
      <c r="E807" s="22" t="s">
        <v>49</v>
      </c>
      <c r="F807" s="20" t="s">
        <v>50</v>
      </c>
      <c r="G807" s="20" t="s">
        <v>383</v>
      </c>
      <c r="H807" s="20">
        <v>17</v>
      </c>
      <c r="I807" s="50"/>
      <c r="J807" s="51">
        <v>191600</v>
      </c>
      <c r="K807" s="52"/>
      <c r="L807" s="51">
        <f>SUM(J807/M807)</f>
        <v>1543.66741862714</v>
      </c>
      <c r="M807" s="53">
        <v>124.12</v>
      </c>
      <c r="N807" s="20">
        <v>7.17</v>
      </c>
      <c r="O807" s="48">
        <f t="shared" si="379"/>
        <v>889.9404</v>
      </c>
      <c r="P807" s="54"/>
      <c r="Q807" s="54"/>
      <c r="R807" s="81">
        <f t="shared" si="372"/>
        <v>568.596933187295</v>
      </c>
      <c r="S807" s="81"/>
      <c r="T807" s="82">
        <f t="shared" si="373"/>
        <v>1.40115005476451</v>
      </c>
      <c r="U807" s="81"/>
      <c r="V807" s="81"/>
      <c r="W807" s="83">
        <f t="shared" si="369"/>
        <v>569.998083242059</v>
      </c>
      <c r="X807" s="84">
        <f t="shared" si="374"/>
        <v>11.6018017524644</v>
      </c>
      <c r="Y807" s="84"/>
      <c r="Z807" s="81"/>
      <c r="AA807" s="84">
        <f t="shared" si="371"/>
        <v>11.6018017524644</v>
      </c>
      <c r="AB807" s="94">
        <v>7.17</v>
      </c>
      <c r="AC807" s="81">
        <f t="shared" si="370"/>
        <v>83.1849185651698</v>
      </c>
      <c r="AD807" s="81">
        <f t="shared" si="380"/>
        <v>653.183001807229</v>
      </c>
      <c r="AE807" s="81">
        <f t="shared" si="381"/>
        <v>236.757398192771</v>
      </c>
    </row>
    <row r="808" customFormat="1" spans="1:31">
      <c r="A808" s="19"/>
      <c r="B808" s="20"/>
      <c r="C808" s="21">
        <v>240122000036</v>
      </c>
      <c r="D808" s="22">
        <v>45319</v>
      </c>
      <c r="E808" s="22" t="s">
        <v>37</v>
      </c>
      <c r="F808" s="20" t="s">
        <v>38</v>
      </c>
      <c r="G808" s="20" t="s">
        <v>490</v>
      </c>
      <c r="H808" s="20">
        <v>79</v>
      </c>
      <c r="I808" s="43">
        <v>3713</v>
      </c>
      <c r="J808" s="44"/>
      <c r="K808" s="45"/>
      <c r="L808" s="44"/>
      <c r="M808" s="46"/>
      <c r="N808" s="20"/>
      <c r="O808" s="48">
        <f t="shared" ref="O808:O812" si="382">SUM(I808)</f>
        <v>3713</v>
      </c>
      <c r="P808" s="54"/>
      <c r="Q808" s="54"/>
      <c r="R808" s="81">
        <f t="shared" si="372"/>
        <v>2642.30339539978</v>
      </c>
      <c r="S808" s="81"/>
      <c r="T808" s="82">
        <f t="shared" si="373"/>
        <v>6.51122672508215</v>
      </c>
      <c r="U808" s="81"/>
      <c r="V808" s="81"/>
      <c r="W808" s="83">
        <f t="shared" ref="W808:W829" si="383">SUM(R808:V808)</f>
        <v>2648.81462212486</v>
      </c>
      <c r="X808" s="84">
        <f t="shared" si="374"/>
        <v>53.9142552026287</v>
      </c>
      <c r="Y808" s="84"/>
      <c r="Z808" s="81"/>
      <c r="AA808" s="84">
        <f t="shared" si="371"/>
        <v>53.9142552026287</v>
      </c>
      <c r="AB808" s="94">
        <v>7.17</v>
      </c>
      <c r="AC808" s="81">
        <f t="shared" ref="AC808:AC829" si="384">SUM(AA808*AB808)</f>
        <v>386.565209802848</v>
      </c>
      <c r="AD808" s="81">
        <f t="shared" si="380"/>
        <v>3035.37983192771</v>
      </c>
      <c r="AE808" s="81">
        <f t="shared" si="381"/>
        <v>677.62016807229</v>
      </c>
    </row>
    <row r="809" customFormat="1" spans="1:31">
      <c r="A809" s="19"/>
      <c r="B809" s="20"/>
      <c r="C809" s="21">
        <v>240122000038</v>
      </c>
      <c r="D809" s="22">
        <v>45319</v>
      </c>
      <c r="E809" s="22" t="s">
        <v>49</v>
      </c>
      <c r="F809" s="20" t="s">
        <v>50</v>
      </c>
      <c r="G809" s="20" t="s">
        <v>334</v>
      </c>
      <c r="H809" s="20">
        <v>112</v>
      </c>
      <c r="I809" s="43">
        <v>5864</v>
      </c>
      <c r="J809" s="59"/>
      <c r="K809" s="52"/>
      <c r="L809" s="51" t="e">
        <f>SUM(J809/M809)</f>
        <v>#DIV/0!</v>
      </c>
      <c r="M809" s="53"/>
      <c r="N809" s="20"/>
      <c r="O809" s="48">
        <f t="shared" si="382"/>
        <v>5864</v>
      </c>
      <c r="P809" s="54"/>
      <c r="Q809" s="54"/>
      <c r="R809" s="81">
        <f t="shared" si="372"/>
        <v>3746.05038335159</v>
      </c>
      <c r="S809" s="81"/>
      <c r="T809" s="82">
        <f t="shared" si="373"/>
        <v>9.23110624315444</v>
      </c>
      <c r="U809" s="81">
        <v>40</v>
      </c>
      <c r="V809" s="81"/>
      <c r="W809" s="83">
        <f t="shared" si="383"/>
        <v>3795.28148959474</v>
      </c>
      <c r="X809" s="84">
        <f t="shared" si="374"/>
        <v>76.435399780942</v>
      </c>
      <c r="Y809" s="84"/>
      <c r="Z809" s="81"/>
      <c r="AA809" s="84">
        <f t="shared" ref="AA809:AA829" si="385">SUM(X809:Z809)</f>
        <v>76.435399780942</v>
      </c>
      <c r="AB809" s="94">
        <v>7.17</v>
      </c>
      <c r="AC809" s="81">
        <f t="shared" si="384"/>
        <v>548.041816429354</v>
      </c>
      <c r="AD809" s="81">
        <f t="shared" si="380"/>
        <v>4343.3233060241</v>
      </c>
      <c r="AE809" s="81">
        <f t="shared" si="381"/>
        <v>1520.6766939759</v>
      </c>
    </row>
    <row r="810" customFormat="1" spans="1:31">
      <c r="A810" s="19"/>
      <c r="B810" s="20"/>
      <c r="C810" s="21">
        <v>240122000040</v>
      </c>
      <c r="D810" s="22">
        <v>45319</v>
      </c>
      <c r="E810" s="22" t="s">
        <v>49</v>
      </c>
      <c r="F810" s="20" t="s">
        <v>50</v>
      </c>
      <c r="G810" s="20" t="s">
        <v>79</v>
      </c>
      <c r="H810" s="20">
        <v>8</v>
      </c>
      <c r="I810" s="50"/>
      <c r="J810" s="51">
        <v>105280</v>
      </c>
      <c r="K810" s="52"/>
      <c r="L810" s="51">
        <f>SUM(J810/M810)</f>
        <v>2007.62776506484</v>
      </c>
      <c r="M810" s="53">
        <v>52.44</v>
      </c>
      <c r="N810" s="20">
        <v>7.17</v>
      </c>
      <c r="O810" s="48">
        <f t="shared" ref="O810:O813" si="386">SUM(M810*N810)</f>
        <v>375.9948</v>
      </c>
      <c r="P810" s="54"/>
      <c r="Q810" s="54"/>
      <c r="R810" s="81">
        <f t="shared" ref="R810:R829" si="387">SUM(61074/1826)*H810</f>
        <v>267.575027382256</v>
      </c>
      <c r="S810" s="81"/>
      <c r="T810" s="82">
        <f t="shared" ref="T810:T829" si="388">SUM(150.5/1826)*H810</f>
        <v>0.659364731653888</v>
      </c>
      <c r="U810" s="81"/>
      <c r="V810" s="81"/>
      <c r="W810" s="83">
        <f t="shared" si="383"/>
        <v>268.23439211391</v>
      </c>
      <c r="X810" s="84">
        <f t="shared" ref="X810:X829" si="389">SUM(1246.17/1826)*H810</f>
        <v>5.45967141292443</v>
      </c>
      <c r="Y810" s="84"/>
      <c r="Z810" s="81"/>
      <c r="AA810" s="84">
        <f t="shared" si="385"/>
        <v>5.45967141292443</v>
      </c>
      <c r="AB810" s="94">
        <v>7.17</v>
      </c>
      <c r="AC810" s="81">
        <f t="shared" si="384"/>
        <v>39.1458440306681</v>
      </c>
      <c r="AD810" s="81">
        <f t="shared" si="380"/>
        <v>307.380236144578</v>
      </c>
      <c r="AE810" s="81">
        <f t="shared" si="381"/>
        <v>68.614563855422</v>
      </c>
    </row>
    <row r="811" customFormat="1" spans="1:31">
      <c r="A811" s="19"/>
      <c r="B811" s="20"/>
      <c r="C811" s="21">
        <v>240122000042</v>
      </c>
      <c r="D811" s="22">
        <v>45319</v>
      </c>
      <c r="E811" s="22" t="s">
        <v>49</v>
      </c>
      <c r="F811" s="20" t="s">
        <v>50</v>
      </c>
      <c r="G811" s="20" t="s">
        <v>87</v>
      </c>
      <c r="H811" s="20">
        <v>13.5</v>
      </c>
      <c r="I811" s="48"/>
      <c r="J811" s="55">
        <v>185328</v>
      </c>
      <c r="K811" s="56"/>
      <c r="L811" s="51">
        <f>SUM(J811/M811)</f>
        <v>1490.97345132743</v>
      </c>
      <c r="M811" s="53">
        <v>124.3</v>
      </c>
      <c r="N811" s="20">
        <v>7.17</v>
      </c>
      <c r="O811" s="48">
        <f t="shared" si="386"/>
        <v>891.231</v>
      </c>
      <c r="P811" s="54"/>
      <c r="Q811" s="54"/>
      <c r="R811" s="81">
        <f t="shared" si="387"/>
        <v>451.532858707557</v>
      </c>
      <c r="S811" s="81"/>
      <c r="T811" s="82">
        <f t="shared" si="388"/>
        <v>1.11267798466594</v>
      </c>
      <c r="U811" s="81"/>
      <c r="V811" s="82">
        <v>248</v>
      </c>
      <c r="W811" s="83">
        <f t="shared" si="383"/>
        <v>700.645536692223</v>
      </c>
      <c r="X811" s="84">
        <f t="shared" si="389"/>
        <v>9.21319550930997</v>
      </c>
      <c r="Y811" s="84"/>
      <c r="Z811" s="81"/>
      <c r="AA811" s="84">
        <f t="shared" si="385"/>
        <v>9.21319550930997</v>
      </c>
      <c r="AB811" s="94">
        <v>7.17</v>
      </c>
      <c r="AC811" s="81">
        <f t="shared" si="384"/>
        <v>66.0586118017525</v>
      </c>
      <c r="AD811" s="81">
        <f t="shared" si="380"/>
        <v>766.704148493976</v>
      </c>
      <c r="AE811" s="81">
        <f t="shared" si="381"/>
        <v>124.526851506024</v>
      </c>
    </row>
    <row r="812" customFormat="1" spans="1:31">
      <c r="A812" s="19"/>
      <c r="B812" s="20"/>
      <c r="C812" s="21">
        <v>240122000047</v>
      </c>
      <c r="D812" s="22">
        <v>45319</v>
      </c>
      <c r="E812" s="22" t="s">
        <v>110</v>
      </c>
      <c r="F812" s="20" t="s">
        <v>111</v>
      </c>
      <c r="G812" s="20" t="s">
        <v>254</v>
      </c>
      <c r="H812" s="20">
        <v>4</v>
      </c>
      <c r="I812" s="43">
        <v>223</v>
      </c>
      <c r="J812" s="44"/>
      <c r="K812" s="45"/>
      <c r="L812" s="44"/>
      <c r="M812" s="46"/>
      <c r="N812" s="20"/>
      <c r="O812" s="48">
        <f t="shared" si="382"/>
        <v>223</v>
      </c>
      <c r="P812" s="54"/>
      <c r="Q812" s="54"/>
      <c r="R812" s="81">
        <f t="shared" si="387"/>
        <v>133.787513691128</v>
      </c>
      <c r="S812" s="81"/>
      <c r="T812" s="82">
        <f t="shared" si="388"/>
        <v>0.329682365826944</v>
      </c>
      <c r="U812" s="81"/>
      <c r="V812" s="81"/>
      <c r="W812" s="83">
        <f t="shared" si="383"/>
        <v>134.117196056955</v>
      </c>
      <c r="X812" s="84">
        <f t="shared" si="389"/>
        <v>2.72983570646221</v>
      </c>
      <c r="Y812" s="84"/>
      <c r="Z812" s="81"/>
      <c r="AA812" s="84">
        <f t="shared" si="385"/>
        <v>2.72983570646221</v>
      </c>
      <c r="AB812" s="94">
        <v>7.17</v>
      </c>
      <c r="AC812" s="81">
        <f t="shared" si="384"/>
        <v>19.5729220153341</v>
      </c>
      <c r="AD812" s="81">
        <f t="shared" si="380"/>
        <v>153.690118072289</v>
      </c>
      <c r="AE812" s="81">
        <f t="shared" si="381"/>
        <v>69.309881927711</v>
      </c>
    </row>
    <row r="813" customFormat="1" spans="1:31">
      <c r="A813" s="19"/>
      <c r="B813" s="20"/>
      <c r="C813" s="21">
        <v>240122000049</v>
      </c>
      <c r="D813" s="22">
        <v>45319</v>
      </c>
      <c r="E813" s="22" t="s">
        <v>37</v>
      </c>
      <c r="F813" s="20" t="s">
        <v>38</v>
      </c>
      <c r="G813" s="20" t="s">
        <v>511</v>
      </c>
      <c r="H813" s="20">
        <v>20</v>
      </c>
      <c r="I813" s="50"/>
      <c r="J813" s="51">
        <v>217568</v>
      </c>
      <c r="K813" s="52"/>
      <c r="L813" s="51">
        <f>SUM(J813/M813)</f>
        <v>1491.41760350973</v>
      </c>
      <c r="M813" s="53">
        <v>145.88</v>
      </c>
      <c r="N813" s="20">
        <v>7.17</v>
      </c>
      <c r="O813" s="48">
        <f t="shared" si="386"/>
        <v>1045.9596</v>
      </c>
      <c r="P813" s="54"/>
      <c r="Q813" s="54"/>
      <c r="R813" s="81">
        <f t="shared" si="387"/>
        <v>668.937568455641</v>
      </c>
      <c r="S813" s="81"/>
      <c r="T813" s="82">
        <f t="shared" si="388"/>
        <v>1.64841182913472</v>
      </c>
      <c r="U813" s="81"/>
      <c r="V813" s="81"/>
      <c r="W813" s="83">
        <f t="shared" si="383"/>
        <v>670.585980284775</v>
      </c>
      <c r="X813" s="84">
        <f t="shared" si="389"/>
        <v>13.6491785323111</v>
      </c>
      <c r="Y813" s="84"/>
      <c r="Z813" s="81"/>
      <c r="AA813" s="84">
        <f t="shared" si="385"/>
        <v>13.6491785323111</v>
      </c>
      <c r="AB813" s="94">
        <v>7.17</v>
      </c>
      <c r="AC813" s="81">
        <f t="shared" si="384"/>
        <v>97.8646100766703</v>
      </c>
      <c r="AD813" s="81">
        <f t="shared" si="380"/>
        <v>768.450590361446</v>
      </c>
      <c r="AE813" s="81">
        <f t="shared" si="381"/>
        <v>277.509009638554</v>
      </c>
    </row>
    <row r="814" customFormat="1" spans="1:31">
      <c r="A814" s="19"/>
      <c r="B814" s="20"/>
      <c r="C814" s="21">
        <v>240122000051</v>
      </c>
      <c r="D814" s="22">
        <v>45319</v>
      </c>
      <c r="E814" s="22" t="s">
        <v>49</v>
      </c>
      <c r="F814" s="20" t="s">
        <v>50</v>
      </c>
      <c r="G814" s="20" t="s">
        <v>66</v>
      </c>
      <c r="H814" s="20">
        <v>9.5</v>
      </c>
      <c r="I814" s="43">
        <v>446.5</v>
      </c>
      <c r="J814" s="44"/>
      <c r="K814" s="45"/>
      <c r="L814" s="44"/>
      <c r="M814" s="46"/>
      <c r="N814" s="20"/>
      <c r="O814" s="48">
        <f t="shared" ref="O814:O818" si="390">SUM(I814)</f>
        <v>446.5</v>
      </c>
      <c r="P814" s="54"/>
      <c r="Q814" s="54"/>
      <c r="R814" s="81">
        <f t="shared" si="387"/>
        <v>317.745345016429</v>
      </c>
      <c r="S814" s="81"/>
      <c r="T814" s="82">
        <f t="shared" si="388"/>
        <v>0.782995618838992</v>
      </c>
      <c r="U814" s="81"/>
      <c r="V814" s="81"/>
      <c r="W814" s="83">
        <f t="shared" si="383"/>
        <v>318.528340635268</v>
      </c>
      <c r="X814" s="84">
        <f t="shared" si="389"/>
        <v>6.48335980284776</v>
      </c>
      <c r="Y814" s="84"/>
      <c r="Z814" s="81"/>
      <c r="AA814" s="84">
        <f t="shared" si="385"/>
        <v>6.48335980284776</v>
      </c>
      <c r="AB814" s="94">
        <v>7.17</v>
      </c>
      <c r="AC814" s="81">
        <f t="shared" si="384"/>
        <v>46.4856897864184</v>
      </c>
      <c r="AD814" s="81">
        <f t="shared" si="380"/>
        <v>365.014030421687</v>
      </c>
      <c r="AE814" s="81">
        <f t="shared" si="381"/>
        <v>81.485969578313</v>
      </c>
    </row>
    <row r="815" customFormat="1" spans="1:31">
      <c r="A815" s="19"/>
      <c r="B815" s="20"/>
      <c r="C815" s="21">
        <v>240122000054</v>
      </c>
      <c r="D815" s="22">
        <v>45319</v>
      </c>
      <c r="E815" s="25" t="s">
        <v>69</v>
      </c>
      <c r="F815" s="20" t="s">
        <v>69</v>
      </c>
      <c r="G815" s="20" t="s">
        <v>92</v>
      </c>
      <c r="H815" s="20">
        <v>310</v>
      </c>
      <c r="I815" s="50">
        <v>15000</v>
      </c>
      <c r="J815" s="59"/>
      <c r="K815" s="52"/>
      <c r="L815" s="59"/>
      <c r="M815" s="46"/>
      <c r="N815" s="20"/>
      <c r="O815" s="48">
        <f t="shared" si="390"/>
        <v>15000</v>
      </c>
      <c r="P815" s="54"/>
      <c r="Q815" s="54"/>
      <c r="R815" s="81">
        <f t="shared" si="387"/>
        <v>10368.5323110624</v>
      </c>
      <c r="S815" s="81"/>
      <c r="T815" s="82">
        <f t="shared" si="388"/>
        <v>25.5503833515882</v>
      </c>
      <c r="U815" s="81"/>
      <c r="V815" s="81"/>
      <c r="W815" s="83">
        <f t="shared" si="383"/>
        <v>10394.082694414</v>
      </c>
      <c r="X815" s="84">
        <f t="shared" si="389"/>
        <v>211.562267250821</v>
      </c>
      <c r="Y815" s="84"/>
      <c r="Z815" s="81"/>
      <c r="AA815" s="84">
        <f t="shared" si="385"/>
        <v>211.562267250821</v>
      </c>
      <c r="AB815" s="94">
        <v>7.17</v>
      </c>
      <c r="AC815" s="81">
        <f t="shared" si="384"/>
        <v>1516.90145618839</v>
      </c>
      <c r="AD815" s="81">
        <f t="shared" si="380"/>
        <v>11910.9841506024</v>
      </c>
      <c r="AE815" s="81">
        <f t="shared" si="381"/>
        <v>3089.0158493976</v>
      </c>
    </row>
    <row r="816" customFormat="1" spans="1:31">
      <c r="A816" s="19"/>
      <c r="B816" s="20"/>
      <c r="C816" s="21">
        <v>240123000002</v>
      </c>
      <c r="D816" s="22">
        <v>45319</v>
      </c>
      <c r="E816" s="22" t="s">
        <v>44</v>
      </c>
      <c r="F816" s="20" t="s">
        <v>45</v>
      </c>
      <c r="G816" s="20" t="s">
        <v>56</v>
      </c>
      <c r="H816" s="20">
        <v>2.5</v>
      </c>
      <c r="I816" s="48"/>
      <c r="J816" s="55">
        <v>29120</v>
      </c>
      <c r="K816" s="56"/>
      <c r="L816" s="51">
        <f>SUM(J816/M816)</f>
        <v>1481.93384223919</v>
      </c>
      <c r="M816" s="53">
        <v>19.65</v>
      </c>
      <c r="N816" s="20">
        <v>7.17</v>
      </c>
      <c r="O816" s="48">
        <f t="shared" ref="O816:O821" si="391">SUM(M816*N816)</f>
        <v>140.8905</v>
      </c>
      <c r="P816" s="54"/>
      <c r="Q816" s="54"/>
      <c r="R816" s="81">
        <f t="shared" si="387"/>
        <v>83.6171960569551</v>
      </c>
      <c r="S816" s="81"/>
      <c r="T816" s="82">
        <f t="shared" si="388"/>
        <v>0.20605147864184</v>
      </c>
      <c r="U816" s="81"/>
      <c r="V816" s="81"/>
      <c r="W816" s="83">
        <f t="shared" si="383"/>
        <v>83.8232475355969</v>
      </c>
      <c r="X816" s="84">
        <f t="shared" si="389"/>
        <v>1.70614731653888</v>
      </c>
      <c r="Y816" s="84"/>
      <c r="Z816" s="81"/>
      <c r="AA816" s="84">
        <f t="shared" si="385"/>
        <v>1.70614731653888</v>
      </c>
      <c r="AB816" s="94">
        <v>7.17</v>
      </c>
      <c r="AC816" s="81">
        <f t="shared" si="384"/>
        <v>12.2330762595838</v>
      </c>
      <c r="AD816" s="81">
        <f t="shared" si="380"/>
        <v>96.0563237951807</v>
      </c>
      <c r="AE816" s="81">
        <f t="shared" si="381"/>
        <v>44.8341762048193</v>
      </c>
    </row>
    <row r="817" customFormat="1" spans="1:31">
      <c r="A817" s="19"/>
      <c r="B817" s="20"/>
      <c r="C817" s="21">
        <v>240123000004</v>
      </c>
      <c r="D817" s="22">
        <v>45319</v>
      </c>
      <c r="E817" s="22" t="s">
        <v>58</v>
      </c>
      <c r="F817" s="20" t="s">
        <v>59</v>
      </c>
      <c r="G817" s="20" t="s">
        <v>512</v>
      </c>
      <c r="H817" s="20">
        <v>2.5</v>
      </c>
      <c r="I817" s="43">
        <v>125</v>
      </c>
      <c r="J817" s="44"/>
      <c r="K817" s="45"/>
      <c r="L817" s="44"/>
      <c r="M817" s="46"/>
      <c r="N817" s="20"/>
      <c r="O817" s="48">
        <f t="shared" si="390"/>
        <v>125</v>
      </c>
      <c r="P817" s="54"/>
      <c r="Q817" s="54"/>
      <c r="R817" s="81">
        <f t="shared" si="387"/>
        <v>83.6171960569551</v>
      </c>
      <c r="S817" s="81"/>
      <c r="T817" s="82">
        <f t="shared" si="388"/>
        <v>0.20605147864184</v>
      </c>
      <c r="U817" s="81"/>
      <c r="V817" s="81"/>
      <c r="W817" s="83">
        <f t="shared" si="383"/>
        <v>83.8232475355969</v>
      </c>
      <c r="X817" s="84">
        <f t="shared" si="389"/>
        <v>1.70614731653888</v>
      </c>
      <c r="Y817" s="84"/>
      <c r="Z817" s="81"/>
      <c r="AA817" s="84">
        <f t="shared" si="385"/>
        <v>1.70614731653888</v>
      </c>
      <c r="AB817" s="94">
        <v>7.17</v>
      </c>
      <c r="AC817" s="81">
        <f t="shared" si="384"/>
        <v>12.2330762595838</v>
      </c>
      <c r="AD817" s="81">
        <f t="shared" si="380"/>
        <v>96.0563237951807</v>
      </c>
      <c r="AE817" s="81">
        <f t="shared" si="381"/>
        <v>28.9436762048193</v>
      </c>
    </row>
    <row r="818" customFormat="1" spans="1:31">
      <c r="A818" s="19"/>
      <c r="B818" s="20"/>
      <c r="C818" s="21">
        <v>240123000006</v>
      </c>
      <c r="D818" s="22">
        <v>45319</v>
      </c>
      <c r="E818" s="22" t="s">
        <v>49</v>
      </c>
      <c r="F818" s="20" t="s">
        <v>50</v>
      </c>
      <c r="G818" s="20" t="s">
        <v>186</v>
      </c>
      <c r="H818" s="20">
        <v>43</v>
      </c>
      <c r="I818" s="43">
        <v>2014.5</v>
      </c>
      <c r="J818" s="44"/>
      <c r="K818" s="45"/>
      <c r="L818" s="44"/>
      <c r="M818" s="46"/>
      <c r="N818" s="20"/>
      <c r="O818" s="48">
        <f t="shared" si="390"/>
        <v>2014.5</v>
      </c>
      <c r="P818" s="54"/>
      <c r="Q818" s="54"/>
      <c r="R818" s="81">
        <f t="shared" si="387"/>
        <v>1438.21577217963</v>
      </c>
      <c r="S818" s="81"/>
      <c r="T818" s="82">
        <f t="shared" si="388"/>
        <v>3.54408543263965</v>
      </c>
      <c r="U818" s="81"/>
      <c r="V818" s="81"/>
      <c r="W818" s="83">
        <f t="shared" si="383"/>
        <v>1441.75985761227</v>
      </c>
      <c r="X818" s="84">
        <f t="shared" si="389"/>
        <v>29.3457338444688</v>
      </c>
      <c r="Y818" s="84"/>
      <c r="Z818" s="81"/>
      <c r="AA818" s="84">
        <f t="shared" si="385"/>
        <v>29.3457338444688</v>
      </c>
      <c r="AB818" s="94">
        <v>7.17</v>
      </c>
      <c r="AC818" s="81">
        <f t="shared" si="384"/>
        <v>210.408911664841</v>
      </c>
      <c r="AD818" s="81">
        <f t="shared" si="380"/>
        <v>1652.16876927711</v>
      </c>
      <c r="AE818" s="81">
        <f t="shared" si="381"/>
        <v>362.33123072289</v>
      </c>
    </row>
    <row r="819" customFormat="1" spans="1:31">
      <c r="A819" s="19"/>
      <c r="B819" s="20"/>
      <c r="C819" s="21">
        <v>240123000008</v>
      </c>
      <c r="D819" s="22">
        <v>45319</v>
      </c>
      <c r="E819" s="22" t="s">
        <v>58</v>
      </c>
      <c r="F819" s="20" t="s">
        <v>59</v>
      </c>
      <c r="G819" s="20" t="s">
        <v>199</v>
      </c>
      <c r="H819" s="20">
        <v>3</v>
      </c>
      <c r="I819" s="48"/>
      <c r="J819" s="55">
        <v>39747</v>
      </c>
      <c r="K819" s="56"/>
      <c r="L819" s="51">
        <f>SUM(J819/M819)</f>
        <v>1558.70600460439</v>
      </c>
      <c r="M819" s="53">
        <v>25.499998</v>
      </c>
      <c r="N819" s="20">
        <v>7.17</v>
      </c>
      <c r="O819" s="48">
        <f t="shared" si="391"/>
        <v>182.83498566</v>
      </c>
      <c r="P819" s="54"/>
      <c r="Q819" s="54"/>
      <c r="R819" s="81">
        <f t="shared" si="387"/>
        <v>100.340635268346</v>
      </c>
      <c r="S819" s="81"/>
      <c r="T819" s="82">
        <f t="shared" si="388"/>
        <v>0.247261774370208</v>
      </c>
      <c r="U819" s="81"/>
      <c r="V819" s="81"/>
      <c r="W819" s="83">
        <f t="shared" si="383"/>
        <v>100.587897042716</v>
      </c>
      <c r="X819" s="84">
        <f t="shared" si="389"/>
        <v>2.04737677984666</v>
      </c>
      <c r="Y819" s="84"/>
      <c r="Z819" s="81"/>
      <c r="AA819" s="84">
        <f t="shared" si="385"/>
        <v>2.04737677984666</v>
      </c>
      <c r="AB819" s="94">
        <v>7.17</v>
      </c>
      <c r="AC819" s="81">
        <f t="shared" si="384"/>
        <v>14.6796915115005</v>
      </c>
      <c r="AD819" s="81">
        <f t="shared" si="380"/>
        <v>115.267588554217</v>
      </c>
      <c r="AE819" s="81">
        <f t="shared" si="381"/>
        <v>67.567397105783</v>
      </c>
    </row>
    <row r="820" customFormat="1" spans="1:31">
      <c r="A820" s="19"/>
      <c r="B820" s="20"/>
      <c r="C820" s="23">
        <v>240123000009</v>
      </c>
      <c r="D820" s="24">
        <v>45319</v>
      </c>
      <c r="E820" s="22" t="s">
        <v>44</v>
      </c>
      <c r="F820" s="26" t="s">
        <v>45</v>
      </c>
      <c r="G820" s="26" t="s">
        <v>56</v>
      </c>
      <c r="H820" s="26">
        <v>4</v>
      </c>
      <c r="I820" s="50"/>
      <c r="J820" s="51">
        <v>46860</v>
      </c>
      <c r="K820" s="52"/>
      <c r="L820" s="51">
        <f>SUM(J820/M820)</f>
        <v>1501.92307692308</v>
      </c>
      <c r="M820" s="100">
        <v>31.2</v>
      </c>
      <c r="N820" s="20">
        <v>7.17</v>
      </c>
      <c r="O820" s="48">
        <f t="shared" si="391"/>
        <v>223.704</v>
      </c>
      <c r="P820" s="54"/>
      <c r="Q820" s="54"/>
      <c r="R820" s="81">
        <f t="shared" si="387"/>
        <v>133.787513691128</v>
      </c>
      <c r="S820" s="81"/>
      <c r="T820" s="82">
        <f t="shared" si="388"/>
        <v>0.329682365826944</v>
      </c>
      <c r="U820" s="81"/>
      <c r="V820" s="81"/>
      <c r="W820" s="83">
        <f t="shared" si="383"/>
        <v>134.117196056955</v>
      </c>
      <c r="X820" s="84">
        <f t="shared" si="389"/>
        <v>2.72983570646221</v>
      </c>
      <c r="Y820" s="84"/>
      <c r="Z820" s="81"/>
      <c r="AA820" s="84">
        <f t="shared" si="385"/>
        <v>2.72983570646221</v>
      </c>
      <c r="AB820" s="94">
        <v>7.17</v>
      </c>
      <c r="AC820" s="81">
        <f t="shared" si="384"/>
        <v>19.5729220153341</v>
      </c>
      <c r="AD820" s="81">
        <f t="shared" si="380"/>
        <v>153.690118072289</v>
      </c>
      <c r="AE820" s="81">
        <f t="shared" si="381"/>
        <v>70.013881927711</v>
      </c>
    </row>
    <row r="821" customFormat="1" spans="1:31">
      <c r="A821" s="19"/>
      <c r="B821" s="20"/>
      <c r="C821" s="21">
        <v>240123000015</v>
      </c>
      <c r="D821" s="22">
        <v>45319</v>
      </c>
      <c r="E821" s="22" t="s">
        <v>49</v>
      </c>
      <c r="F821" s="20" t="s">
        <v>50</v>
      </c>
      <c r="G821" s="20" t="s">
        <v>215</v>
      </c>
      <c r="H821" s="20">
        <v>32</v>
      </c>
      <c r="I821" s="50"/>
      <c r="J821" s="51">
        <v>299092.5</v>
      </c>
      <c r="K821" s="52"/>
      <c r="L821" s="51">
        <f>SUM(J821/M821)</f>
        <v>1512.93692144266</v>
      </c>
      <c r="M821" s="53">
        <v>197.69</v>
      </c>
      <c r="N821" s="20">
        <v>7.17</v>
      </c>
      <c r="O821" s="48">
        <f t="shared" si="391"/>
        <v>1417.4373</v>
      </c>
      <c r="P821" s="54"/>
      <c r="Q821" s="54"/>
      <c r="R821" s="81">
        <f t="shared" si="387"/>
        <v>1070.30010952903</v>
      </c>
      <c r="S821" s="81"/>
      <c r="T821" s="82">
        <f t="shared" si="388"/>
        <v>2.63745892661555</v>
      </c>
      <c r="U821" s="81"/>
      <c r="V821" s="81"/>
      <c r="W821" s="83">
        <f t="shared" si="383"/>
        <v>1072.93756845564</v>
      </c>
      <c r="X821" s="84">
        <f t="shared" si="389"/>
        <v>21.8386856516977</v>
      </c>
      <c r="Y821" s="84"/>
      <c r="Z821" s="81"/>
      <c r="AA821" s="84">
        <f t="shared" si="385"/>
        <v>21.8386856516977</v>
      </c>
      <c r="AB821" s="94">
        <v>7.17</v>
      </c>
      <c r="AC821" s="81">
        <f t="shared" si="384"/>
        <v>156.583376122673</v>
      </c>
      <c r="AD821" s="81">
        <f t="shared" si="380"/>
        <v>1229.52094457831</v>
      </c>
      <c r="AE821" s="81">
        <f t="shared" si="381"/>
        <v>187.91635542169</v>
      </c>
    </row>
    <row r="822" customFormat="1" spans="1:31">
      <c r="A822" s="19"/>
      <c r="B822" s="20"/>
      <c r="C822" s="21">
        <v>240123000023</v>
      </c>
      <c r="D822" s="22">
        <v>45319</v>
      </c>
      <c r="E822" s="25" t="s">
        <v>69</v>
      </c>
      <c r="F822" s="20" t="s">
        <v>69</v>
      </c>
      <c r="G822" s="20" t="s">
        <v>332</v>
      </c>
      <c r="H822" s="20">
        <v>177</v>
      </c>
      <c r="I822" s="43">
        <v>9130</v>
      </c>
      <c r="J822" s="44"/>
      <c r="K822" s="45"/>
      <c r="L822" s="44"/>
      <c r="M822" s="46"/>
      <c r="N822" s="20"/>
      <c r="O822" s="48">
        <f>SUM(I822)</f>
        <v>9130</v>
      </c>
      <c r="P822" s="54"/>
      <c r="Q822" s="54"/>
      <c r="R822" s="81">
        <f t="shared" si="387"/>
        <v>5920.09748083242</v>
      </c>
      <c r="S822" s="81"/>
      <c r="T822" s="82">
        <f t="shared" si="388"/>
        <v>14.5884446878423</v>
      </c>
      <c r="U822" s="81"/>
      <c r="V822" s="81"/>
      <c r="W822" s="83">
        <f t="shared" si="383"/>
        <v>5934.68592552026</v>
      </c>
      <c r="X822" s="84">
        <f t="shared" si="389"/>
        <v>120.795230010953</v>
      </c>
      <c r="Y822" s="84"/>
      <c r="Z822" s="81"/>
      <c r="AA822" s="84">
        <f t="shared" si="385"/>
        <v>120.795230010953</v>
      </c>
      <c r="AB822" s="94">
        <v>7.17</v>
      </c>
      <c r="AC822" s="81">
        <f t="shared" si="384"/>
        <v>866.101799178532</v>
      </c>
      <c r="AD822" s="81">
        <f t="shared" si="380"/>
        <v>6800.7877246988</v>
      </c>
      <c r="AE822" s="81">
        <f t="shared" si="381"/>
        <v>2329.2122753012</v>
      </c>
    </row>
    <row r="823" customFormat="1" spans="1:31">
      <c r="A823" s="19"/>
      <c r="B823" s="20"/>
      <c r="C823" s="21">
        <v>240123000032</v>
      </c>
      <c r="D823" s="22">
        <v>45319</v>
      </c>
      <c r="E823" s="22" t="s">
        <v>44</v>
      </c>
      <c r="F823" s="20" t="s">
        <v>45</v>
      </c>
      <c r="G823" s="20" t="s">
        <v>56</v>
      </c>
      <c r="H823" s="20">
        <v>18.5</v>
      </c>
      <c r="I823" s="48"/>
      <c r="J823" s="55">
        <v>202137</v>
      </c>
      <c r="K823" s="56"/>
      <c r="L823" s="51">
        <f>SUM(J823/M823)</f>
        <v>1527.2912731394</v>
      </c>
      <c r="M823" s="53">
        <v>132.35</v>
      </c>
      <c r="N823" s="20">
        <v>7.17</v>
      </c>
      <c r="O823" s="48">
        <f t="shared" ref="O823:O826" si="392">SUM(M823*N823)</f>
        <v>948.9495</v>
      </c>
      <c r="P823" s="54"/>
      <c r="Q823" s="54"/>
      <c r="R823" s="81">
        <f t="shared" si="387"/>
        <v>618.767250821468</v>
      </c>
      <c r="S823" s="81"/>
      <c r="T823" s="82">
        <f t="shared" si="388"/>
        <v>1.52478094194962</v>
      </c>
      <c r="U823" s="81"/>
      <c r="V823" s="81"/>
      <c r="W823" s="83">
        <f t="shared" si="383"/>
        <v>620.292031763417</v>
      </c>
      <c r="X823" s="84">
        <f t="shared" si="389"/>
        <v>12.6254901423877</v>
      </c>
      <c r="Y823" s="84"/>
      <c r="Z823" s="81"/>
      <c r="AA823" s="84">
        <f t="shared" si="385"/>
        <v>12.6254901423877</v>
      </c>
      <c r="AB823" s="94">
        <v>7.17</v>
      </c>
      <c r="AC823" s="81">
        <f t="shared" si="384"/>
        <v>90.5247643209201</v>
      </c>
      <c r="AD823" s="81">
        <f t="shared" si="380"/>
        <v>710.816796084337</v>
      </c>
      <c r="AE823" s="81">
        <f t="shared" si="381"/>
        <v>238.132703915663</v>
      </c>
    </row>
    <row r="824" customFormat="1" spans="1:31">
      <c r="A824" s="19"/>
      <c r="B824" s="20"/>
      <c r="C824" s="21">
        <v>240123000035</v>
      </c>
      <c r="D824" s="22">
        <v>45319</v>
      </c>
      <c r="E824" s="22" t="s">
        <v>49</v>
      </c>
      <c r="F824" s="20" t="s">
        <v>50</v>
      </c>
      <c r="G824" s="20" t="s">
        <v>87</v>
      </c>
      <c r="H824" s="20">
        <v>3</v>
      </c>
      <c r="I824" s="50"/>
      <c r="J824" s="51">
        <v>34823</v>
      </c>
      <c r="K824" s="52"/>
      <c r="L824" s="51">
        <f>SUM(J824/M824)</f>
        <v>1486.25693555271</v>
      </c>
      <c r="M824" s="53">
        <v>23.43</v>
      </c>
      <c r="N824" s="20">
        <v>7.17</v>
      </c>
      <c r="O824" s="48">
        <f t="shared" si="392"/>
        <v>167.9931</v>
      </c>
      <c r="P824" s="54"/>
      <c r="Q824" s="54"/>
      <c r="R824" s="81">
        <f t="shared" si="387"/>
        <v>100.340635268346</v>
      </c>
      <c r="S824" s="81"/>
      <c r="T824" s="82">
        <f t="shared" si="388"/>
        <v>0.247261774370208</v>
      </c>
      <c r="U824" s="81"/>
      <c r="V824" s="81"/>
      <c r="W824" s="83">
        <f t="shared" si="383"/>
        <v>100.587897042716</v>
      </c>
      <c r="X824" s="84">
        <f t="shared" si="389"/>
        <v>2.04737677984666</v>
      </c>
      <c r="Y824" s="84"/>
      <c r="Z824" s="81"/>
      <c r="AA824" s="84">
        <f t="shared" si="385"/>
        <v>2.04737677984666</v>
      </c>
      <c r="AB824" s="94">
        <v>7.17</v>
      </c>
      <c r="AC824" s="81">
        <f t="shared" si="384"/>
        <v>14.6796915115005</v>
      </c>
      <c r="AD824" s="81">
        <f t="shared" si="380"/>
        <v>115.267588554217</v>
      </c>
      <c r="AE824" s="81">
        <f t="shared" si="381"/>
        <v>52.725511445783</v>
      </c>
    </row>
    <row r="825" customFormat="1" spans="1:31">
      <c r="A825" s="19"/>
      <c r="B825" s="20"/>
      <c r="C825" s="21">
        <v>240123000037</v>
      </c>
      <c r="D825" s="22">
        <v>45319</v>
      </c>
      <c r="E825" s="22" t="s">
        <v>49</v>
      </c>
      <c r="F825" s="20" t="s">
        <v>50</v>
      </c>
      <c r="G825" s="20" t="s">
        <v>64</v>
      </c>
      <c r="H825" s="20">
        <v>97</v>
      </c>
      <c r="I825" s="50"/>
      <c r="J825" s="51">
        <v>1057300</v>
      </c>
      <c r="K825" s="52"/>
      <c r="L825" s="51">
        <f>SUM(J825/M825)</f>
        <v>1563.082108749</v>
      </c>
      <c r="M825" s="53">
        <v>676.42</v>
      </c>
      <c r="N825" s="20">
        <v>7.17</v>
      </c>
      <c r="O825" s="48">
        <f t="shared" si="392"/>
        <v>4849.9314</v>
      </c>
      <c r="P825" s="54"/>
      <c r="Q825" s="54"/>
      <c r="R825" s="81">
        <f t="shared" si="387"/>
        <v>3244.34720700986</v>
      </c>
      <c r="S825" s="81"/>
      <c r="T825" s="82">
        <f t="shared" si="388"/>
        <v>7.9947973713034</v>
      </c>
      <c r="U825" s="81"/>
      <c r="V825" s="81"/>
      <c r="W825" s="83">
        <f t="shared" si="383"/>
        <v>3252.34200438116</v>
      </c>
      <c r="X825" s="84">
        <f t="shared" si="389"/>
        <v>66.1985158817087</v>
      </c>
      <c r="Y825" s="84"/>
      <c r="Z825" s="81"/>
      <c r="AA825" s="84">
        <f t="shared" si="385"/>
        <v>66.1985158817087</v>
      </c>
      <c r="AB825" s="94">
        <v>7.17</v>
      </c>
      <c r="AC825" s="81">
        <f t="shared" si="384"/>
        <v>474.643358871851</v>
      </c>
      <c r="AD825" s="81">
        <f t="shared" si="380"/>
        <v>3726.98536325301</v>
      </c>
      <c r="AE825" s="81">
        <f t="shared" si="381"/>
        <v>1122.94603674699</v>
      </c>
    </row>
    <row r="826" customFormat="1" spans="1:31">
      <c r="A826" s="19"/>
      <c r="B826" s="20"/>
      <c r="C826" s="21">
        <v>240123000043</v>
      </c>
      <c r="D826" s="22">
        <v>45319</v>
      </c>
      <c r="E826" s="22" t="s">
        <v>69</v>
      </c>
      <c r="F826" s="20" t="s">
        <v>125</v>
      </c>
      <c r="G826" s="20" t="s">
        <v>126</v>
      </c>
      <c r="H826" s="20">
        <v>69.5</v>
      </c>
      <c r="I826" s="48"/>
      <c r="J826" s="55">
        <v>670932</v>
      </c>
      <c r="K826" s="56"/>
      <c r="L826" s="51">
        <f>SUM(J826/M826)</f>
        <v>1489.9997779209</v>
      </c>
      <c r="M826" s="53">
        <v>450.29</v>
      </c>
      <c r="N826" s="20">
        <v>7.17</v>
      </c>
      <c r="O826" s="48">
        <f t="shared" si="392"/>
        <v>3228.5793</v>
      </c>
      <c r="P826" s="54"/>
      <c r="Q826" s="54"/>
      <c r="R826" s="81">
        <f t="shared" si="387"/>
        <v>2324.55805038335</v>
      </c>
      <c r="S826" s="81"/>
      <c r="T826" s="82">
        <f t="shared" si="388"/>
        <v>5.72823110624315</v>
      </c>
      <c r="U826" s="81"/>
      <c r="V826" s="81"/>
      <c r="W826" s="83">
        <f t="shared" si="383"/>
        <v>2330.28628148959</v>
      </c>
      <c r="X826" s="84">
        <f t="shared" si="389"/>
        <v>47.4308953997809</v>
      </c>
      <c r="Y826" s="84"/>
      <c r="Z826" s="81"/>
      <c r="AA826" s="84">
        <f t="shared" si="385"/>
        <v>47.4308953997809</v>
      </c>
      <c r="AB826" s="94">
        <v>7.17</v>
      </c>
      <c r="AC826" s="81">
        <f t="shared" si="384"/>
        <v>340.079520016429</v>
      </c>
      <c r="AD826" s="81">
        <f t="shared" si="380"/>
        <v>2670.36580150602</v>
      </c>
      <c r="AE826" s="81">
        <f t="shared" si="381"/>
        <v>558.21349849398</v>
      </c>
    </row>
    <row r="827" customFormat="1" spans="1:31">
      <c r="A827" s="19"/>
      <c r="B827" s="20"/>
      <c r="C827" s="21">
        <v>240123000045</v>
      </c>
      <c r="D827" s="22">
        <v>45319</v>
      </c>
      <c r="E827" s="22" t="s">
        <v>44</v>
      </c>
      <c r="F827" s="20" t="s">
        <v>45</v>
      </c>
      <c r="G827" s="20" t="s">
        <v>85</v>
      </c>
      <c r="H827" s="20">
        <v>13</v>
      </c>
      <c r="I827" s="43">
        <v>730.6</v>
      </c>
      <c r="J827" s="44"/>
      <c r="K827" s="45"/>
      <c r="L827" s="44"/>
      <c r="M827" s="46"/>
      <c r="N827" s="20"/>
      <c r="O827" s="48">
        <f t="shared" ref="O827:O833" si="393">SUM(I827)</f>
        <v>730.6</v>
      </c>
      <c r="P827" s="54"/>
      <c r="Q827" s="54"/>
      <c r="R827" s="81">
        <f t="shared" si="387"/>
        <v>434.809419496166</v>
      </c>
      <c r="S827" s="81"/>
      <c r="T827" s="82">
        <f t="shared" si="388"/>
        <v>1.07146768893757</v>
      </c>
      <c r="U827" s="81"/>
      <c r="V827" s="81"/>
      <c r="W827" s="83">
        <f t="shared" si="383"/>
        <v>435.880887185104</v>
      </c>
      <c r="X827" s="84">
        <f t="shared" si="389"/>
        <v>8.87196604600219</v>
      </c>
      <c r="Y827" s="84"/>
      <c r="Z827" s="81"/>
      <c r="AA827" s="84">
        <f t="shared" si="385"/>
        <v>8.87196604600219</v>
      </c>
      <c r="AB827" s="94">
        <v>7.17</v>
      </c>
      <c r="AC827" s="81">
        <f t="shared" si="384"/>
        <v>63.6119965498357</v>
      </c>
      <c r="AD827" s="81">
        <f t="shared" si="380"/>
        <v>499.49288373494</v>
      </c>
      <c r="AE827" s="81">
        <f t="shared" si="381"/>
        <v>231.10711626506</v>
      </c>
    </row>
    <row r="828" customFormat="1" spans="1:31">
      <c r="A828" s="19"/>
      <c r="B828" s="20"/>
      <c r="C828" s="21">
        <v>240123000047</v>
      </c>
      <c r="D828" s="22">
        <v>45319</v>
      </c>
      <c r="E828" s="25" t="s">
        <v>69</v>
      </c>
      <c r="F828" s="20" t="s">
        <v>69</v>
      </c>
      <c r="G828" s="20" t="s">
        <v>92</v>
      </c>
      <c r="H828" s="20">
        <v>523</v>
      </c>
      <c r="I828" s="50">
        <v>20920</v>
      </c>
      <c r="J828" s="59"/>
      <c r="K828" s="52"/>
      <c r="L828" s="59"/>
      <c r="M828" s="46"/>
      <c r="N828" s="20"/>
      <c r="O828" s="48">
        <f t="shared" si="393"/>
        <v>20920</v>
      </c>
      <c r="P828" s="54"/>
      <c r="Q828" s="54"/>
      <c r="R828" s="81">
        <f t="shared" si="387"/>
        <v>17492.717415115</v>
      </c>
      <c r="S828" s="81"/>
      <c r="T828" s="82">
        <f t="shared" si="388"/>
        <v>43.1059693318729</v>
      </c>
      <c r="U828" s="81"/>
      <c r="V828" s="81"/>
      <c r="W828" s="83">
        <f t="shared" ref="W828:W844" si="394">SUM(R828:V828)</f>
        <v>17535.8233844469</v>
      </c>
      <c r="X828" s="84">
        <f t="shared" si="389"/>
        <v>356.926018619934</v>
      </c>
      <c r="Y828" s="84"/>
      <c r="Z828" s="81"/>
      <c r="AA828" s="84">
        <f t="shared" ref="AA828:AA844" si="395">SUM(X828:Z828)</f>
        <v>356.926018619934</v>
      </c>
      <c r="AB828" s="94">
        <v>7.17</v>
      </c>
      <c r="AC828" s="81">
        <f t="shared" si="384"/>
        <v>2559.15955350493</v>
      </c>
      <c r="AD828" s="81">
        <f t="shared" si="380"/>
        <v>20094.9829379518</v>
      </c>
      <c r="AE828" s="81">
        <f t="shared" si="381"/>
        <v>825.017062048199</v>
      </c>
    </row>
    <row r="829" customFormat="1" spans="1:31">
      <c r="A829" s="19"/>
      <c r="B829" s="20"/>
      <c r="C829" s="21">
        <v>240123000049</v>
      </c>
      <c r="D829" s="22">
        <v>45319</v>
      </c>
      <c r="E829" s="25" t="s">
        <v>69</v>
      </c>
      <c r="F829" s="20" t="s">
        <v>69</v>
      </c>
      <c r="G829" s="20" t="s">
        <v>131</v>
      </c>
      <c r="H829" s="20">
        <v>1.5</v>
      </c>
      <c r="I829" s="43">
        <v>87</v>
      </c>
      <c r="J829" s="44"/>
      <c r="K829" s="45"/>
      <c r="L829" s="44"/>
      <c r="M829" s="46"/>
      <c r="N829" s="20"/>
      <c r="O829" s="48">
        <f t="shared" si="393"/>
        <v>87</v>
      </c>
      <c r="P829" s="60"/>
      <c r="Q829" s="60"/>
      <c r="R829" s="81">
        <f t="shared" si="387"/>
        <v>50.1703176341731</v>
      </c>
      <c r="S829" s="81"/>
      <c r="T829" s="82">
        <f t="shared" si="388"/>
        <v>0.123630887185104</v>
      </c>
      <c r="U829" s="81"/>
      <c r="V829" s="81"/>
      <c r="W829" s="83">
        <f t="shared" si="394"/>
        <v>50.2939485213582</v>
      </c>
      <c r="X829" s="84">
        <f t="shared" si="389"/>
        <v>1.02368838992333</v>
      </c>
      <c r="Y829" s="84"/>
      <c r="Z829" s="81"/>
      <c r="AA829" s="84">
        <f t="shared" si="395"/>
        <v>1.02368838992333</v>
      </c>
      <c r="AB829" s="94">
        <v>7.17</v>
      </c>
      <c r="AC829" s="81">
        <f t="shared" ref="AC829:AC844" si="396">SUM(AA829*AB829)</f>
        <v>7.33984575575027</v>
      </c>
      <c r="AD829" s="81">
        <f t="shared" ref="AD829:AD844" si="397">SUM(W829+AC829)</f>
        <v>57.6337942771084</v>
      </c>
      <c r="AE829" s="81">
        <f t="shared" ref="AE829:AE844" si="398">SUM(O829-AD829)</f>
        <v>29.3662057228916</v>
      </c>
    </row>
    <row r="830" customFormat="1" spans="1:31">
      <c r="A830" s="19" t="s">
        <v>513</v>
      </c>
      <c r="B830" s="20" t="s">
        <v>514</v>
      </c>
      <c r="C830" s="21">
        <v>240119000011</v>
      </c>
      <c r="D830" s="22">
        <v>45319</v>
      </c>
      <c r="E830" s="22" t="s">
        <v>37</v>
      </c>
      <c r="F830" s="20" t="s">
        <v>203</v>
      </c>
      <c r="G830" s="20" t="s">
        <v>122</v>
      </c>
      <c r="H830" s="20">
        <v>132</v>
      </c>
      <c r="I830" s="43">
        <v>6395.2</v>
      </c>
      <c r="J830" s="44"/>
      <c r="K830" s="45"/>
      <c r="L830" s="44"/>
      <c r="M830" s="46"/>
      <c r="N830" s="20"/>
      <c r="O830" s="48">
        <f t="shared" si="393"/>
        <v>6395.2</v>
      </c>
      <c r="P830" s="49">
        <f>SUM(O830:O842)</f>
        <v>139792.3118</v>
      </c>
      <c r="Q830" s="80" t="s">
        <v>165</v>
      </c>
      <c r="R830" s="81">
        <f>SUM(297866/8639)*H830</f>
        <v>4551.25732144924</v>
      </c>
      <c r="S830" s="82">
        <f>SUM(260/8639)*H830</f>
        <v>3.97268202338234</v>
      </c>
      <c r="T830" s="81">
        <v>0</v>
      </c>
      <c r="U830" s="81"/>
      <c r="V830" s="82">
        <v>191.2</v>
      </c>
      <c r="W830" s="83">
        <f t="shared" si="394"/>
        <v>4746.43000347262</v>
      </c>
      <c r="X830" s="84">
        <f>SUM(4983.48/8639)*H830</f>
        <v>76.1453131149438</v>
      </c>
      <c r="Y830" s="84"/>
      <c r="Z830" s="81"/>
      <c r="AA830" s="84">
        <f t="shared" si="395"/>
        <v>76.1453131149438</v>
      </c>
      <c r="AB830" s="94">
        <v>7.17</v>
      </c>
      <c r="AC830" s="81">
        <f t="shared" si="396"/>
        <v>545.961895034147</v>
      </c>
      <c r="AD830" s="81">
        <f t="shared" si="397"/>
        <v>5292.39189850677</v>
      </c>
      <c r="AE830" s="81">
        <f t="shared" si="398"/>
        <v>1102.80810149323</v>
      </c>
    </row>
    <row r="831" customFormat="1" spans="1:31">
      <c r="A831" s="19"/>
      <c r="B831" s="20"/>
      <c r="C831" s="21">
        <v>240119000027</v>
      </c>
      <c r="D831" s="22">
        <v>45319</v>
      </c>
      <c r="E831" s="22" t="s">
        <v>49</v>
      </c>
      <c r="F831" s="20" t="s">
        <v>50</v>
      </c>
      <c r="G831" s="20" t="s">
        <v>338</v>
      </c>
      <c r="H831" s="20">
        <v>21</v>
      </c>
      <c r="I831" s="43">
        <v>1447</v>
      </c>
      <c r="J831" s="44"/>
      <c r="K831" s="45"/>
      <c r="L831" s="44"/>
      <c r="M831" s="46"/>
      <c r="N831" s="20"/>
      <c r="O831" s="48">
        <f t="shared" si="393"/>
        <v>1447</v>
      </c>
      <c r="P831" s="54"/>
      <c r="Q831" s="54"/>
      <c r="R831" s="81">
        <f t="shared" ref="R831:R844" si="399">SUM(297866/8639)*H831</f>
        <v>724.063664776016</v>
      </c>
      <c r="S831" s="82">
        <f t="shared" ref="S831:S844" si="400">SUM(260/8639)*H831</f>
        <v>0.632017594629008</v>
      </c>
      <c r="T831" s="81">
        <v>0</v>
      </c>
      <c r="U831" s="81"/>
      <c r="V831" s="81"/>
      <c r="W831" s="83">
        <f t="shared" si="394"/>
        <v>724.695682370645</v>
      </c>
      <c r="X831" s="84">
        <f t="shared" ref="X831:X844" si="401">SUM(4983.48/8639)*H831</f>
        <v>12.1140270864683</v>
      </c>
      <c r="Y831" s="84"/>
      <c r="Z831" s="81"/>
      <c r="AA831" s="84">
        <f t="shared" si="395"/>
        <v>12.1140270864683</v>
      </c>
      <c r="AB831" s="94">
        <v>7.17</v>
      </c>
      <c r="AC831" s="81">
        <f t="shared" si="396"/>
        <v>86.857574209978</v>
      </c>
      <c r="AD831" s="81">
        <f t="shared" si="397"/>
        <v>811.553256580623</v>
      </c>
      <c r="AE831" s="81">
        <f t="shared" si="398"/>
        <v>635.446743419377</v>
      </c>
    </row>
    <row r="832" customFormat="1" spans="1:31">
      <c r="A832" s="19"/>
      <c r="B832" s="20"/>
      <c r="C832" s="21">
        <v>240119000033</v>
      </c>
      <c r="D832" s="22">
        <v>45319</v>
      </c>
      <c r="E832" s="22" t="s">
        <v>37</v>
      </c>
      <c r="F832" s="20" t="s">
        <v>203</v>
      </c>
      <c r="G832" s="20" t="s">
        <v>122</v>
      </c>
      <c r="H832" s="20">
        <v>6.5</v>
      </c>
      <c r="I832" s="43">
        <v>655.5</v>
      </c>
      <c r="J832" s="44"/>
      <c r="K832" s="45"/>
      <c r="L832" s="44"/>
      <c r="M832" s="46"/>
      <c r="N832" s="20"/>
      <c r="O832" s="48">
        <f t="shared" si="393"/>
        <v>655.5</v>
      </c>
      <c r="P832" s="54"/>
      <c r="Q832" s="54"/>
      <c r="R832" s="81">
        <f t="shared" si="399"/>
        <v>224.114943859243</v>
      </c>
      <c r="S832" s="82">
        <f t="shared" si="400"/>
        <v>0.195624493575645</v>
      </c>
      <c r="T832" s="81">
        <v>0</v>
      </c>
      <c r="U832" s="81"/>
      <c r="V832" s="81"/>
      <c r="W832" s="83">
        <f t="shared" si="394"/>
        <v>224.310568352819</v>
      </c>
      <c r="X832" s="84">
        <f t="shared" si="401"/>
        <v>3.7495798124783</v>
      </c>
      <c r="Y832" s="84"/>
      <c r="Z832" s="81"/>
      <c r="AA832" s="84">
        <f t="shared" si="395"/>
        <v>3.7495798124783</v>
      </c>
      <c r="AB832" s="94">
        <v>7.17</v>
      </c>
      <c r="AC832" s="81">
        <f t="shared" si="396"/>
        <v>26.8844872554694</v>
      </c>
      <c r="AD832" s="81">
        <f t="shared" si="397"/>
        <v>251.195055608288</v>
      </c>
      <c r="AE832" s="81">
        <f t="shared" si="398"/>
        <v>404.304944391712</v>
      </c>
    </row>
    <row r="833" customFormat="1" spans="1:31">
      <c r="A833" s="19"/>
      <c r="B833" s="20"/>
      <c r="C833" s="21">
        <v>240120000009</v>
      </c>
      <c r="D833" s="22">
        <v>45319</v>
      </c>
      <c r="E833" s="22" t="s">
        <v>44</v>
      </c>
      <c r="F833" s="20" t="s">
        <v>45</v>
      </c>
      <c r="G833" s="20" t="s">
        <v>121</v>
      </c>
      <c r="H833" s="20">
        <v>15</v>
      </c>
      <c r="I833" s="43">
        <v>963</v>
      </c>
      <c r="J833" s="44"/>
      <c r="K833" s="45"/>
      <c r="L833" s="44"/>
      <c r="M833" s="46"/>
      <c r="N833" s="20"/>
      <c r="O833" s="48">
        <f t="shared" si="393"/>
        <v>963</v>
      </c>
      <c r="P833" s="54"/>
      <c r="Q833" s="54"/>
      <c r="R833" s="81">
        <f t="shared" si="399"/>
        <v>517.188331982868</v>
      </c>
      <c r="S833" s="82">
        <f t="shared" si="400"/>
        <v>0.45144113902072</v>
      </c>
      <c r="T833" s="81">
        <v>0</v>
      </c>
      <c r="U833" s="81"/>
      <c r="V833" s="82">
        <v>113</v>
      </c>
      <c r="W833" s="83">
        <f t="shared" si="394"/>
        <v>630.639773121889</v>
      </c>
      <c r="X833" s="84">
        <f t="shared" si="401"/>
        <v>8.65287649033453</v>
      </c>
      <c r="Y833" s="84"/>
      <c r="Z833" s="81"/>
      <c r="AA833" s="84">
        <f t="shared" si="395"/>
        <v>8.65287649033453</v>
      </c>
      <c r="AB833" s="94">
        <v>7.17</v>
      </c>
      <c r="AC833" s="81">
        <f t="shared" si="396"/>
        <v>62.0411244356986</v>
      </c>
      <c r="AD833" s="81">
        <f t="shared" si="397"/>
        <v>692.680897557588</v>
      </c>
      <c r="AE833" s="81">
        <f t="shared" si="398"/>
        <v>270.319102442412</v>
      </c>
    </row>
    <row r="834" customFormat="1" spans="1:31">
      <c r="A834" s="19"/>
      <c r="B834" s="20"/>
      <c r="C834" s="21">
        <v>240121000002</v>
      </c>
      <c r="D834" s="22">
        <v>45319</v>
      </c>
      <c r="E834" s="25" t="s">
        <v>69</v>
      </c>
      <c r="F834" s="20" t="s">
        <v>69</v>
      </c>
      <c r="G834" s="20" t="s">
        <v>83</v>
      </c>
      <c r="H834" s="20">
        <v>372</v>
      </c>
      <c r="I834" s="43">
        <v>372</v>
      </c>
      <c r="J834" s="44">
        <v>3919020</v>
      </c>
      <c r="K834" s="45"/>
      <c r="L834" s="51">
        <f>SUM(J834/M834)</f>
        <v>1453.66939297836</v>
      </c>
      <c r="M834" s="53">
        <v>2695.95</v>
      </c>
      <c r="N834" s="20">
        <v>7.17</v>
      </c>
      <c r="O834" s="48">
        <f>SUM(M834*N834+I834)</f>
        <v>19701.9615</v>
      </c>
      <c r="P834" s="54"/>
      <c r="Q834" s="54"/>
      <c r="R834" s="81">
        <f t="shared" si="399"/>
        <v>12826.2706331751</v>
      </c>
      <c r="S834" s="82">
        <f t="shared" si="400"/>
        <v>11.1957402477139</v>
      </c>
      <c r="T834" s="81">
        <v>0</v>
      </c>
      <c r="U834" s="81"/>
      <c r="V834" s="81"/>
      <c r="W834" s="83">
        <f t="shared" si="394"/>
        <v>12837.4663734229</v>
      </c>
      <c r="X834" s="84">
        <f t="shared" si="401"/>
        <v>214.591336960296</v>
      </c>
      <c r="Y834" s="84"/>
      <c r="Z834" s="81"/>
      <c r="AA834" s="84">
        <f t="shared" si="395"/>
        <v>214.591336960296</v>
      </c>
      <c r="AB834" s="94">
        <v>7.17</v>
      </c>
      <c r="AC834" s="81">
        <f t="shared" si="396"/>
        <v>1538.61988600532</v>
      </c>
      <c r="AD834" s="81">
        <f t="shared" si="397"/>
        <v>14376.0862594282</v>
      </c>
      <c r="AE834" s="81">
        <f t="shared" si="398"/>
        <v>5325.8752405718</v>
      </c>
    </row>
    <row r="835" customFormat="1" spans="1:31">
      <c r="A835" s="19"/>
      <c r="B835" s="20"/>
      <c r="C835" s="21">
        <v>240122000007</v>
      </c>
      <c r="D835" s="22">
        <v>45319</v>
      </c>
      <c r="E835" s="22" t="s">
        <v>44</v>
      </c>
      <c r="F835" s="20" t="s">
        <v>45</v>
      </c>
      <c r="G835" s="20" t="s">
        <v>121</v>
      </c>
      <c r="H835" s="20">
        <v>117.5</v>
      </c>
      <c r="I835" s="43">
        <v>6175</v>
      </c>
      <c r="J835" s="44"/>
      <c r="K835" s="45"/>
      <c r="L835" s="44"/>
      <c r="M835" s="46"/>
      <c r="N835" s="20"/>
      <c r="O835" s="48">
        <f t="shared" ref="O835:O840" si="402">SUM(I835)</f>
        <v>6175</v>
      </c>
      <c r="P835" s="54"/>
      <c r="Q835" s="54"/>
      <c r="R835" s="81">
        <f t="shared" si="399"/>
        <v>4051.30860053247</v>
      </c>
      <c r="S835" s="82">
        <f t="shared" si="400"/>
        <v>3.53628892232897</v>
      </c>
      <c r="T835" s="81">
        <v>0</v>
      </c>
      <c r="U835" s="81"/>
      <c r="V835" s="81"/>
      <c r="W835" s="83">
        <f t="shared" si="394"/>
        <v>4054.8448894548</v>
      </c>
      <c r="X835" s="84">
        <f t="shared" si="401"/>
        <v>67.7808658409538</v>
      </c>
      <c r="Y835" s="84"/>
      <c r="Z835" s="81"/>
      <c r="AA835" s="84">
        <f t="shared" si="395"/>
        <v>67.7808658409538</v>
      </c>
      <c r="AB835" s="94">
        <v>7.17</v>
      </c>
      <c r="AC835" s="81">
        <f t="shared" si="396"/>
        <v>485.988808079639</v>
      </c>
      <c r="AD835" s="81">
        <f t="shared" si="397"/>
        <v>4540.83369753444</v>
      </c>
      <c r="AE835" s="81">
        <f t="shared" si="398"/>
        <v>1634.16630246556</v>
      </c>
    </row>
    <row r="836" customFormat="1" spans="1:31">
      <c r="A836" s="19"/>
      <c r="B836" s="20"/>
      <c r="C836" s="21">
        <v>240122000022</v>
      </c>
      <c r="D836" s="22">
        <v>45319</v>
      </c>
      <c r="E836" s="22" t="s">
        <v>49</v>
      </c>
      <c r="F836" s="20" t="s">
        <v>50</v>
      </c>
      <c r="G836" s="20" t="s">
        <v>215</v>
      </c>
      <c r="H836" s="20">
        <v>845</v>
      </c>
      <c r="I836" s="50"/>
      <c r="J836" s="51">
        <v>8023275</v>
      </c>
      <c r="K836" s="52"/>
      <c r="L836" s="51">
        <f>SUM(J836/M836)</f>
        <v>1512.87207684214</v>
      </c>
      <c r="M836" s="53">
        <v>5303.34</v>
      </c>
      <c r="N836" s="20">
        <v>7.17</v>
      </c>
      <c r="O836" s="48">
        <f t="shared" ref="O836:O839" si="403">SUM(M836*N836)</f>
        <v>38024.9478</v>
      </c>
      <c r="P836" s="54"/>
      <c r="Q836" s="54"/>
      <c r="R836" s="81">
        <f t="shared" si="399"/>
        <v>29134.9427017016</v>
      </c>
      <c r="S836" s="82">
        <f t="shared" si="400"/>
        <v>25.4311841648339</v>
      </c>
      <c r="T836" s="81">
        <v>0</v>
      </c>
      <c r="U836" s="81"/>
      <c r="V836" s="81"/>
      <c r="W836" s="83">
        <f t="shared" si="394"/>
        <v>29160.3738858664</v>
      </c>
      <c r="X836" s="84">
        <f t="shared" si="401"/>
        <v>487.445375622178</v>
      </c>
      <c r="Y836" s="84"/>
      <c r="Z836" s="81"/>
      <c r="AA836" s="84">
        <f t="shared" si="395"/>
        <v>487.445375622178</v>
      </c>
      <c r="AB836" s="94">
        <v>7.17</v>
      </c>
      <c r="AC836" s="81">
        <f t="shared" si="396"/>
        <v>3494.98334321102</v>
      </c>
      <c r="AD836" s="81">
        <f t="shared" si="397"/>
        <v>32655.3572290774</v>
      </c>
      <c r="AE836" s="81">
        <f t="shared" si="398"/>
        <v>5369.5905709226</v>
      </c>
    </row>
    <row r="837" customFormat="1" spans="1:31">
      <c r="A837" s="19"/>
      <c r="B837" s="20"/>
      <c r="C837" s="21">
        <v>240122000035</v>
      </c>
      <c r="D837" s="22">
        <v>45319</v>
      </c>
      <c r="E837" s="22" t="s">
        <v>37</v>
      </c>
      <c r="F837" s="20" t="s">
        <v>38</v>
      </c>
      <c r="G837" s="20" t="s">
        <v>515</v>
      </c>
      <c r="H837" s="20">
        <v>36.5</v>
      </c>
      <c r="I837" s="43">
        <v>2215.5</v>
      </c>
      <c r="J837" s="44"/>
      <c r="K837" s="45"/>
      <c r="L837" s="44"/>
      <c r="M837" s="46"/>
      <c r="N837" s="20"/>
      <c r="O837" s="48">
        <f t="shared" si="402"/>
        <v>2215.5</v>
      </c>
      <c r="P837" s="54"/>
      <c r="Q837" s="54"/>
      <c r="R837" s="81">
        <f t="shared" si="399"/>
        <v>1258.49160782498</v>
      </c>
      <c r="S837" s="82">
        <f t="shared" si="400"/>
        <v>1.09850677161709</v>
      </c>
      <c r="T837" s="81">
        <v>0</v>
      </c>
      <c r="U837" s="81"/>
      <c r="V837" s="81"/>
      <c r="W837" s="83">
        <f t="shared" si="394"/>
        <v>1259.5901145966</v>
      </c>
      <c r="X837" s="84">
        <f t="shared" si="401"/>
        <v>21.0553327931474</v>
      </c>
      <c r="Y837" s="84"/>
      <c r="Z837" s="81"/>
      <c r="AA837" s="84">
        <f t="shared" si="395"/>
        <v>21.0553327931474</v>
      </c>
      <c r="AB837" s="94">
        <v>7.17</v>
      </c>
      <c r="AC837" s="81">
        <f t="shared" si="396"/>
        <v>150.966736126866</v>
      </c>
      <c r="AD837" s="81">
        <f t="shared" si="397"/>
        <v>1410.55685072346</v>
      </c>
      <c r="AE837" s="81">
        <f t="shared" si="398"/>
        <v>804.94314927654</v>
      </c>
    </row>
    <row r="838" customFormat="1" spans="1:31">
      <c r="A838" s="19"/>
      <c r="B838" s="20"/>
      <c r="C838" s="21">
        <v>240123000001</v>
      </c>
      <c r="D838" s="22">
        <v>45319</v>
      </c>
      <c r="E838" s="22" t="s">
        <v>99</v>
      </c>
      <c r="F838" s="20" t="s">
        <v>216</v>
      </c>
      <c r="G838" s="20" t="s">
        <v>217</v>
      </c>
      <c r="H838" s="20">
        <v>50</v>
      </c>
      <c r="I838" s="48"/>
      <c r="J838" s="55">
        <v>543503</v>
      </c>
      <c r="K838" s="56"/>
      <c r="L838" s="51">
        <f>SUM(J838/M838)</f>
        <v>1548.00056963828</v>
      </c>
      <c r="M838" s="53">
        <v>351.1</v>
      </c>
      <c r="N838" s="20">
        <v>7.17</v>
      </c>
      <c r="O838" s="48">
        <f t="shared" si="403"/>
        <v>2517.387</v>
      </c>
      <c r="P838" s="54"/>
      <c r="Q838" s="54"/>
      <c r="R838" s="81">
        <f t="shared" si="399"/>
        <v>1723.96110660956</v>
      </c>
      <c r="S838" s="82">
        <f t="shared" si="400"/>
        <v>1.50480379673573</v>
      </c>
      <c r="T838" s="81">
        <v>0</v>
      </c>
      <c r="U838" s="81"/>
      <c r="V838" s="81"/>
      <c r="W838" s="83">
        <f t="shared" si="394"/>
        <v>1725.4659104063</v>
      </c>
      <c r="X838" s="84">
        <f t="shared" si="401"/>
        <v>28.8429216344484</v>
      </c>
      <c r="Y838" s="84"/>
      <c r="Z838" s="81"/>
      <c r="AA838" s="84">
        <f t="shared" si="395"/>
        <v>28.8429216344484</v>
      </c>
      <c r="AB838" s="94">
        <v>7.17</v>
      </c>
      <c r="AC838" s="81">
        <f t="shared" si="396"/>
        <v>206.803748118995</v>
      </c>
      <c r="AD838" s="81">
        <f t="shared" si="397"/>
        <v>1932.26965852529</v>
      </c>
      <c r="AE838" s="81">
        <f t="shared" si="398"/>
        <v>585.11734147471</v>
      </c>
    </row>
    <row r="839" customFormat="1" spans="1:31">
      <c r="A839" s="19"/>
      <c r="B839" s="20"/>
      <c r="C839" s="21">
        <v>240123000014</v>
      </c>
      <c r="D839" s="22">
        <v>45319</v>
      </c>
      <c r="E839" s="22" t="s">
        <v>49</v>
      </c>
      <c r="F839" s="20" t="s">
        <v>50</v>
      </c>
      <c r="G839" s="20" t="s">
        <v>215</v>
      </c>
      <c r="H839" s="20">
        <v>528</v>
      </c>
      <c r="I839" s="50"/>
      <c r="J839" s="51">
        <v>5087210</v>
      </c>
      <c r="K839" s="52"/>
      <c r="L839" s="51">
        <f>SUM(J839/M839)</f>
        <v>1512.87091613087</v>
      </c>
      <c r="M839" s="53">
        <v>3362.62</v>
      </c>
      <c r="N839" s="20">
        <v>7.17</v>
      </c>
      <c r="O839" s="48">
        <f t="shared" si="403"/>
        <v>24109.9854</v>
      </c>
      <c r="P839" s="54"/>
      <c r="Q839" s="54"/>
      <c r="R839" s="81">
        <f t="shared" si="399"/>
        <v>18205.029285797</v>
      </c>
      <c r="S839" s="82">
        <f t="shared" si="400"/>
        <v>15.8907280935293</v>
      </c>
      <c r="T839" s="81">
        <v>0</v>
      </c>
      <c r="U839" s="81"/>
      <c r="V839" s="81"/>
      <c r="W839" s="83">
        <f t="shared" si="394"/>
        <v>18220.9200138905</v>
      </c>
      <c r="X839" s="84">
        <f t="shared" si="401"/>
        <v>304.581252459775</v>
      </c>
      <c r="Y839" s="84"/>
      <c r="Z839" s="81"/>
      <c r="AA839" s="84">
        <f t="shared" si="395"/>
        <v>304.581252459775</v>
      </c>
      <c r="AB839" s="94">
        <v>7.17</v>
      </c>
      <c r="AC839" s="81">
        <f t="shared" si="396"/>
        <v>2183.84758013659</v>
      </c>
      <c r="AD839" s="81">
        <f t="shared" si="397"/>
        <v>20404.7675940271</v>
      </c>
      <c r="AE839" s="81">
        <f t="shared" si="398"/>
        <v>3705.2178059729</v>
      </c>
    </row>
    <row r="840" customFormat="1" spans="1:31">
      <c r="A840" s="19"/>
      <c r="B840" s="20"/>
      <c r="C840" s="21">
        <v>240123000019</v>
      </c>
      <c r="D840" s="22">
        <v>45319</v>
      </c>
      <c r="E840" s="25" t="s">
        <v>69</v>
      </c>
      <c r="F840" s="20" t="s">
        <v>69</v>
      </c>
      <c r="G840" s="20" t="s">
        <v>274</v>
      </c>
      <c r="H840" s="20">
        <v>226</v>
      </c>
      <c r="I840" s="43">
        <v>11348</v>
      </c>
      <c r="J840" s="44"/>
      <c r="K840" s="45"/>
      <c r="L840" s="44"/>
      <c r="M840" s="46"/>
      <c r="N840" s="20"/>
      <c r="O840" s="48">
        <f t="shared" si="402"/>
        <v>11348</v>
      </c>
      <c r="P840" s="54"/>
      <c r="Q840" s="54"/>
      <c r="R840" s="81">
        <f t="shared" si="399"/>
        <v>7792.30420187522</v>
      </c>
      <c r="S840" s="82">
        <f t="shared" si="400"/>
        <v>6.80171316124552</v>
      </c>
      <c r="T840" s="81">
        <v>0</v>
      </c>
      <c r="U840" s="81"/>
      <c r="V840" s="81"/>
      <c r="W840" s="83">
        <f t="shared" si="394"/>
        <v>7799.10591503646</v>
      </c>
      <c r="X840" s="84">
        <f t="shared" si="401"/>
        <v>130.370005787707</v>
      </c>
      <c r="Y840" s="84"/>
      <c r="Z840" s="81"/>
      <c r="AA840" s="84">
        <f t="shared" si="395"/>
        <v>130.370005787707</v>
      </c>
      <c r="AB840" s="94">
        <v>7.17</v>
      </c>
      <c r="AC840" s="81">
        <f t="shared" si="396"/>
        <v>934.752941497858</v>
      </c>
      <c r="AD840" s="81">
        <f t="shared" si="397"/>
        <v>8733.85885653432</v>
      </c>
      <c r="AE840" s="81">
        <f t="shared" si="398"/>
        <v>2614.14114346568</v>
      </c>
    </row>
    <row r="841" customFormat="1" spans="1:31">
      <c r="A841" s="19"/>
      <c r="B841" s="20"/>
      <c r="C841" s="21">
        <v>240123000028</v>
      </c>
      <c r="D841" s="22">
        <v>45319</v>
      </c>
      <c r="E841" s="22" t="s">
        <v>49</v>
      </c>
      <c r="F841" s="20" t="s">
        <v>50</v>
      </c>
      <c r="G841" s="20" t="s">
        <v>223</v>
      </c>
      <c r="H841" s="20">
        <v>152.5</v>
      </c>
      <c r="I841" s="50"/>
      <c r="J841" s="51">
        <v>1725685</v>
      </c>
      <c r="K841" s="52"/>
      <c r="L841" s="51">
        <f>SUM(J841/M841)</f>
        <v>1541.56095905095</v>
      </c>
      <c r="M841" s="53">
        <v>1119.44</v>
      </c>
      <c r="N841" s="20">
        <v>7.17</v>
      </c>
      <c r="O841" s="48">
        <f>SUM(M841*N841)</f>
        <v>8026.3848</v>
      </c>
      <c r="P841" s="54"/>
      <c r="Q841" s="54"/>
      <c r="R841" s="81">
        <f t="shared" si="399"/>
        <v>5258.08137515916</v>
      </c>
      <c r="S841" s="82">
        <f t="shared" si="400"/>
        <v>4.58965158004399</v>
      </c>
      <c r="T841" s="81">
        <v>0</v>
      </c>
      <c r="U841" s="81"/>
      <c r="V841" s="82">
        <v>96.44</v>
      </c>
      <c r="W841" s="83">
        <f t="shared" si="394"/>
        <v>5359.11102673921</v>
      </c>
      <c r="X841" s="84">
        <f t="shared" si="401"/>
        <v>87.9709109850677</v>
      </c>
      <c r="Y841" s="84"/>
      <c r="Z841" s="81"/>
      <c r="AA841" s="84">
        <f t="shared" si="395"/>
        <v>87.9709109850677</v>
      </c>
      <c r="AB841" s="94">
        <v>7.17</v>
      </c>
      <c r="AC841" s="81">
        <f t="shared" si="396"/>
        <v>630.751431762935</v>
      </c>
      <c r="AD841" s="81">
        <f t="shared" si="397"/>
        <v>5989.86245850214</v>
      </c>
      <c r="AE841" s="81">
        <f t="shared" si="398"/>
        <v>2036.52234149786</v>
      </c>
    </row>
    <row r="842" customFormat="1" spans="1:31">
      <c r="A842" s="19"/>
      <c r="B842" s="20"/>
      <c r="C842" s="21">
        <v>240123000039</v>
      </c>
      <c r="D842" s="22">
        <v>45319</v>
      </c>
      <c r="E842" s="22" t="s">
        <v>49</v>
      </c>
      <c r="F842" s="20" t="s">
        <v>50</v>
      </c>
      <c r="G842" s="20" t="s">
        <v>79</v>
      </c>
      <c r="H842" s="20">
        <v>388</v>
      </c>
      <c r="I842" s="50"/>
      <c r="J842" s="51">
        <v>5099500</v>
      </c>
      <c r="K842" s="52"/>
      <c r="L842" s="51">
        <f>SUM(J842/M842)</f>
        <v>2007.60602970761</v>
      </c>
      <c r="M842" s="53">
        <v>2540.09</v>
      </c>
      <c r="N842" s="20">
        <v>7.17</v>
      </c>
      <c r="O842" s="48">
        <f>SUM(M842*N842)</f>
        <v>18212.4453</v>
      </c>
      <c r="P842" s="60"/>
      <c r="Q842" s="60"/>
      <c r="R842" s="81">
        <f t="shared" si="399"/>
        <v>13377.9381872902</v>
      </c>
      <c r="S842" s="82">
        <f t="shared" si="400"/>
        <v>11.6772774626693</v>
      </c>
      <c r="T842" s="81">
        <v>0</v>
      </c>
      <c r="U842" s="81"/>
      <c r="V842" s="81"/>
      <c r="W842" s="83">
        <f t="shared" si="394"/>
        <v>13389.6154647529</v>
      </c>
      <c r="X842" s="84">
        <f t="shared" si="401"/>
        <v>223.82107188332</v>
      </c>
      <c r="Y842" s="84"/>
      <c r="Z842" s="81"/>
      <c r="AA842" s="84">
        <f t="shared" si="395"/>
        <v>223.82107188332</v>
      </c>
      <c r="AB842" s="94">
        <v>7.17</v>
      </c>
      <c r="AC842" s="81">
        <f t="shared" si="396"/>
        <v>1604.7970854034</v>
      </c>
      <c r="AD842" s="81">
        <f t="shared" si="397"/>
        <v>14994.4125501563</v>
      </c>
      <c r="AE842" s="81">
        <f t="shared" ref="AE842:AE873" si="404">SUM(O842-AD842)</f>
        <v>3218.0327498437</v>
      </c>
    </row>
    <row r="843" customFormat="1" spans="1:31">
      <c r="A843" s="19" t="s">
        <v>516</v>
      </c>
      <c r="B843" s="20" t="s">
        <v>517</v>
      </c>
      <c r="C843" s="21">
        <v>240122000004</v>
      </c>
      <c r="D843" s="22">
        <v>45319</v>
      </c>
      <c r="E843" s="22" t="s">
        <v>44</v>
      </c>
      <c r="F843" s="20" t="s">
        <v>45</v>
      </c>
      <c r="G843" s="20" t="s">
        <v>518</v>
      </c>
      <c r="H843" s="20">
        <v>970</v>
      </c>
      <c r="I843" s="43">
        <v>48500</v>
      </c>
      <c r="J843" s="44"/>
      <c r="K843" s="45"/>
      <c r="L843" s="44"/>
      <c r="M843" s="46"/>
      <c r="N843" s="20"/>
      <c r="O843" s="48">
        <f t="shared" ref="O843:O852" si="405">SUM(I843)</f>
        <v>48500</v>
      </c>
      <c r="P843" s="49">
        <f>SUM(O843:O844)</f>
        <v>293229</v>
      </c>
      <c r="Q843" s="80" t="s">
        <v>494</v>
      </c>
      <c r="R843" s="81">
        <f t="shared" si="399"/>
        <v>33444.8454682255</v>
      </c>
      <c r="S843" s="82">
        <f t="shared" si="400"/>
        <v>29.1931936566732</v>
      </c>
      <c r="T843" s="81">
        <v>0</v>
      </c>
      <c r="U843" s="81"/>
      <c r="V843" s="81"/>
      <c r="W843" s="83">
        <f t="shared" si="394"/>
        <v>33474.0386618822</v>
      </c>
      <c r="X843" s="84">
        <f t="shared" si="401"/>
        <v>559.552679708299</v>
      </c>
      <c r="Y843" s="84"/>
      <c r="Z843" s="81"/>
      <c r="AA843" s="84">
        <f t="shared" ref="AA843:AA873" si="406">SUM(X843:Z843)</f>
        <v>559.552679708299</v>
      </c>
      <c r="AB843" s="94">
        <v>7.17</v>
      </c>
      <c r="AC843" s="81">
        <f t="shared" ref="AC843:AC873" si="407">SUM(AA843*AB843)</f>
        <v>4011.99271350851</v>
      </c>
      <c r="AD843" s="81">
        <f t="shared" ref="AD843:AD873" si="408">SUM(W843+AC843)</f>
        <v>37486.0313753907</v>
      </c>
      <c r="AE843" s="81">
        <f t="shared" si="404"/>
        <v>11013.9686246093</v>
      </c>
    </row>
    <row r="844" customFormat="1" spans="1:31">
      <c r="A844" s="19"/>
      <c r="B844" s="20"/>
      <c r="C844" s="21">
        <v>240123000021</v>
      </c>
      <c r="D844" s="22">
        <v>45319</v>
      </c>
      <c r="E844" s="22" t="s">
        <v>37</v>
      </c>
      <c r="F844" s="20" t="s">
        <v>38</v>
      </c>
      <c r="G844" s="20" t="s">
        <v>515</v>
      </c>
      <c r="H844" s="20">
        <v>4779</v>
      </c>
      <c r="I844" s="43">
        <v>244729</v>
      </c>
      <c r="J844" s="44"/>
      <c r="K844" s="45"/>
      <c r="L844" s="44"/>
      <c r="M844" s="46"/>
      <c r="N844" s="20"/>
      <c r="O844" s="48">
        <f t="shared" si="405"/>
        <v>244729</v>
      </c>
      <c r="P844" s="60"/>
      <c r="Q844" s="60"/>
      <c r="R844" s="81">
        <f t="shared" si="399"/>
        <v>164776.202569742</v>
      </c>
      <c r="S844" s="82">
        <f t="shared" si="400"/>
        <v>143.829146892001</v>
      </c>
      <c r="T844" s="81">
        <v>0</v>
      </c>
      <c r="U844" s="81"/>
      <c r="V844" s="81"/>
      <c r="W844" s="83">
        <f t="shared" ref="W844:W873" si="409">SUM(R844:V844)</f>
        <v>164920.031716634</v>
      </c>
      <c r="X844" s="84">
        <f t="shared" si="401"/>
        <v>2756.80644982058</v>
      </c>
      <c r="Y844" s="84"/>
      <c r="Z844" s="81"/>
      <c r="AA844" s="84">
        <f t="shared" si="406"/>
        <v>2756.80644982058</v>
      </c>
      <c r="AB844" s="94">
        <v>7.17</v>
      </c>
      <c r="AC844" s="81">
        <f t="shared" si="407"/>
        <v>19766.3022452136</v>
      </c>
      <c r="AD844" s="81">
        <f t="shared" si="408"/>
        <v>184686.333961847</v>
      </c>
      <c r="AE844" s="81">
        <f t="shared" si="404"/>
        <v>60042.666038153</v>
      </c>
    </row>
    <row r="845" customFormat="1" spans="1:31">
      <c r="A845" s="19" t="s">
        <v>519</v>
      </c>
      <c r="B845" s="20" t="s">
        <v>520</v>
      </c>
      <c r="C845" s="21">
        <v>240123000018</v>
      </c>
      <c r="D845" s="22">
        <v>45321</v>
      </c>
      <c r="E845" s="22" t="s">
        <v>49</v>
      </c>
      <c r="F845" s="20" t="s">
        <v>50</v>
      </c>
      <c r="G845" s="20" t="s">
        <v>521</v>
      </c>
      <c r="H845" s="20">
        <v>9.5</v>
      </c>
      <c r="I845" s="43">
        <v>600</v>
      </c>
      <c r="J845" s="44"/>
      <c r="K845" s="45"/>
      <c r="L845" s="44"/>
      <c r="M845" s="46"/>
      <c r="N845" s="20"/>
      <c r="O845" s="48">
        <f t="shared" si="405"/>
        <v>600</v>
      </c>
      <c r="P845" s="49">
        <f>SUM(O845:O873)</f>
        <v>90876.75832151</v>
      </c>
      <c r="Q845" s="80" t="s">
        <v>522</v>
      </c>
      <c r="R845" s="81">
        <f>SUM(66069/1534)*H845</f>
        <v>409.162646675359</v>
      </c>
      <c r="S845" s="81"/>
      <c r="T845" s="82">
        <f>SUM(130/1534)*H845</f>
        <v>0.805084745762712</v>
      </c>
      <c r="U845" s="81"/>
      <c r="V845" s="81"/>
      <c r="W845" s="83">
        <f t="shared" si="409"/>
        <v>409.967731421121</v>
      </c>
      <c r="X845" s="84">
        <f>SUM(790.56/1534)*H845</f>
        <v>4.89590612777053</v>
      </c>
      <c r="Y845" s="84"/>
      <c r="Z845" s="81"/>
      <c r="AA845" s="84">
        <f t="shared" si="406"/>
        <v>4.89590612777053</v>
      </c>
      <c r="AB845" s="94">
        <v>7.17</v>
      </c>
      <c r="AC845" s="81">
        <f t="shared" si="407"/>
        <v>35.1036469361147</v>
      </c>
      <c r="AD845" s="81">
        <f t="shared" si="408"/>
        <v>445.071378357236</v>
      </c>
      <c r="AE845" s="81">
        <f t="shared" si="404"/>
        <v>154.928621642764</v>
      </c>
    </row>
    <row r="846" customFormat="1" spans="1:31">
      <c r="A846" s="19"/>
      <c r="B846" s="20"/>
      <c r="C846" s="21">
        <v>240123000022</v>
      </c>
      <c r="D846" s="22">
        <v>45321</v>
      </c>
      <c r="E846" s="22" t="s">
        <v>41</v>
      </c>
      <c r="F846" s="20" t="s">
        <v>42</v>
      </c>
      <c r="G846" s="20" t="s">
        <v>523</v>
      </c>
      <c r="H846" s="20">
        <v>18</v>
      </c>
      <c r="I846" s="43">
        <v>1130.4</v>
      </c>
      <c r="J846" s="44"/>
      <c r="K846" s="45"/>
      <c r="L846" s="44"/>
      <c r="M846" s="46"/>
      <c r="N846" s="20"/>
      <c r="O846" s="48">
        <f t="shared" si="405"/>
        <v>1130.4</v>
      </c>
      <c r="P846" s="54"/>
      <c r="Q846" s="54"/>
      <c r="R846" s="81">
        <f t="shared" ref="R846:R873" si="410">SUM(66069/1534)*H846</f>
        <v>775.2555410691</v>
      </c>
      <c r="S846" s="81"/>
      <c r="T846" s="82">
        <f t="shared" ref="T846:T873" si="411">SUM(130/1534)*H846</f>
        <v>1.52542372881356</v>
      </c>
      <c r="U846" s="81"/>
      <c r="V846" s="81"/>
      <c r="W846" s="83">
        <f t="shared" si="409"/>
        <v>776.780964797914</v>
      </c>
      <c r="X846" s="84">
        <f t="shared" ref="X846:X873" si="412">SUM(790.56/1534)*H846</f>
        <v>9.27645371577575</v>
      </c>
      <c r="Y846" s="84"/>
      <c r="Z846" s="81"/>
      <c r="AA846" s="84">
        <f t="shared" si="406"/>
        <v>9.27645371577575</v>
      </c>
      <c r="AB846" s="94">
        <v>7.17</v>
      </c>
      <c r="AC846" s="81">
        <f t="shared" si="407"/>
        <v>66.5121731421121</v>
      </c>
      <c r="AD846" s="81">
        <f t="shared" si="408"/>
        <v>843.293137940026</v>
      </c>
      <c r="AE846" s="81">
        <f t="shared" si="404"/>
        <v>287.106862059974</v>
      </c>
    </row>
    <row r="847" customFormat="1" spans="1:31">
      <c r="A847" s="19"/>
      <c r="B847" s="20"/>
      <c r="C847" s="21">
        <v>240123000042</v>
      </c>
      <c r="D847" s="22">
        <v>45321</v>
      </c>
      <c r="E847" s="22" t="s">
        <v>58</v>
      </c>
      <c r="F847" s="20" t="s">
        <v>59</v>
      </c>
      <c r="G847" s="20" t="s">
        <v>279</v>
      </c>
      <c r="H847" s="20">
        <v>3.5</v>
      </c>
      <c r="I847" s="43">
        <v>360.25</v>
      </c>
      <c r="J847" s="44"/>
      <c r="K847" s="45"/>
      <c r="L847" s="44"/>
      <c r="M847" s="46"/>
      <c r="N847" s="20"/>
      <c r="O847" s="48">
        <f t="shared" si="405"/>
        <v>360.25</v>
      </c>
      <c r="P847" s="54"/>
      <c r="Q847" s="54"/>
      <c r="R847" s="81">
        <f t="shared" si="410"/>
        <v>150.744132985658</v>
      </c>
      <c r="S847" s="81"/>
      <c r="T847" s="82">
        <f t="shared" si="411"/>
        <v>0.296610169491525</v>
      </c>
      <c r="U847" s="81"/>
      <c r="V847" s="81"/>
      <c r="W847" s="83">
        <f t="shared" si="409"/>
        <v>151.04074315515</v>
      </c>
      <c r="X847" s="84">
        <f t="shared" si="412"/>
        <v>1.80375488917862</v>
      </c>
      <c r="Y847" s="84"/>
      <c r="Z847" s="81"/>
      <c r="AA847" s="84">
        <f t="shared" si="406"/>
        <v>1.80375488917862</v>
      </c>
      <c r="AB847" s="94">
        <v>7.17</v>
      </c>
      <c r="AC847" s="81">
        <f t="shared" si="407"/>
        <v>12.9329225554107</v>
      </c>
      <c r="AD847" s="81">
        <f t="shared" si="408"/>
        <v>163.973665710561</v>
      </c>
      <c r="AE847" s="81">
        <f t="shared" si="404"/>
        <v>196.276334289439</v>
      </c>
    </row>
    <row r="848" customFormat="1" spans="1:31">
      <c r="A848" s="19"/>
      <c r="B848" s="20"/>
      <c r="C848" s="21">
        <v>240124000002</v>
      </c>
      <c r="D848" s="22">
        <v>45321</v>
      </c>
      <c r="E848" s="22" t="s">
        <v>44</v>
      </c>
      <c r="F848" s="20" t="s">
        <v>45</v>
      </c>
      <c r="G848" s="20" t="s">
        <v>183</v>
      </c>
      <c r="H848" s="20">
        <v>9.5</v>
      </c>
      <c r="I848" s="43">
        <v>619</v>
      </c>
      <c r="J848" s="44"/>
      <c r="K848" s="45"/>
      <c r="L848" s="44"/>
      <c r="M848" s="46"/>
      <c r="N848" s="20"/>
      <c r="O848" s="48">
        <f t="shared" si="405"/>
        <v>619</v>
      </c>
      <c r="P848" s="54"/>
      <c r="Q848" s="54"/>
      <c r="R848" s="81">
        <f t="shared" si="410"/>
        <v>409.162646675359</v>
      </c>
      <c r="S848" s="81"/>
      <c r="T848" s="82">
        <f t="shared" si="411"/>
        <v>0.805084745762712</v>
      </c>
      <c r="U848" s="81">
        <v>40</v>
      </c>
      <c r="V848" s="81"/>
      <c r="W848" s="83">
        <f t="shared" si="409"/>
        <v>449.967731421121</v>
      </c>
      <c r="X848" s="84">
        <f t="shared" si="412"/>
        <v>4.89590612777053</v>
      </c>
      <c r="Y848" s="84"/>
      <c r="Z848" s="81"/>
      <c r="AA848" s="84">
        <f t="shared" si="406"/>
        <v>4.89590612777053</v>
      </c>
      <c r="AB848" s="94">
        <v>7.17</v>
      </c>
      <c r="AC848" s="81">
        <f t="shared" si="407"/>
        <v>35.1036469361147</v>
      </c>
      <c r="AD848" s="81">
        <f t="shared" si="408"/>
        <v>485.071378357236</v>
      </c>
      <c r="AE848" s="81">
        <f t="shared" si="404"/>
        <v>133.928621642764</v>
      </c>
    </row>
    <row r="849" customFormat="1" spans="1:31">
      <c r="A849" s="19"/>
      <c r="B849" s="20"/>
      <c r="C849" s="21">
        <v>240124000003</v>
      </c>
      <c r="D849" s="22">
        <v>45321</v>
      </c>
      <c r="E849" s="22" t="s">
        <v>44</v>
      </c>
      <c r="F849" s="20" t="s">
        <v>45</v>
      </c>
      <c r="G849" s="20" t="s">
        <v>183</v>
      </c>
      <c r="H849" s="20">
        <v>5.5</v>
      </c>
      <c r="I849" s="43">
        <v>390</v>
      </c>
      <c r="J849" s="44"/>
      <c r="K849" s="45"/>
      <c r="L849" s="44"/>
      <c r="M849" s="46"/>
      <c r="N849" s="20"/>
      <c r="O849" s="48">
        <f t="shared" si="405"/>
        <v>390</v>
      </c>
      <c r="P849" s="54"/>
      <c r="Q849" s="54"/>
      <c r="R849" s="81">
        <f t="shared" si="410"/>
        <v>236.883637548892</v>
      </c>
      <c r="S849" s="81"/>
      <c r="T849" s="82">
        <f t="shared" si="411"/>
        <v>0.466101694915254</v>
      </c>
      <c r="U849" s="81">
        <v>40</v>
      </c>
      <c r="V849" s="81"/>
      <c r="W849" s="83">
        <f t="shared" si="409"/>
        <v>277.349739243807</v>
      </c>
      <c r="X849" s="84">
        <f t="shared" si="412"/>
        <v>2.83447196870926</v>
      </c>
      <c r="Y849" s="84"/>
      <c r="Z849" s="81"/>
      <c r="AA849" s="84">
        <f t="shared" si="406"/>
        <v>2.83447196870926</v>
      </c>
      <c r="AB849" s="94">
        <v>7.17</v>
      </c>
      <c r="AC849" s="81">
        <f t="shared" si="407"/>
        <v>20.3231640156454</v>
      </c>
      <c r="AD849" s="81">
        <f t="shared" si="408"/>
        <v>297.672903259452</v>
      </c>
      <c r="AE849" s="81">
        <f t="shared" si="404"/>
        <v>92.327096740548</v>
      </c>
    </row>
    <row r="850" customFormat="1" spans="1:31">
      <c r="A850" s="19"/>
      <c r="B850" s="20"/>
      <c r="C850" s="21">
        <v>240124000010</v>
      </c>
      <c r="D850" s="22">
        <v>45321</v>
      </c>
      <c r="E850" s="22" t="s">
        <v>49</v>
      </c>
      <c r="F850" s="20" t="s">
        <v>50</v>
      </c>
      <c r="G850" s="20" t="s">
        <v>65</v>
      </c>
      <c r="H850" s="20">
        <v>2</v>
      </c>
      <c r="I850" s="43">
        <v>155</v>
      </c>
      <c r="J850" s="44"/>
      <c r="K850" s="45"/>
      <c r="L850" s="44"/>
      <c r="M850" s="46"/>
      <c r="N850" s="20"/>
      <c r="O850" s="48">
        <f t="shared" si="405"/>
        <v>155</v>
      </c>
      <c r="P850" s="54"/>
      <c r="Q850" s="54"/>
      <c r="R850" s="81">
        <f t="shared" si="410"/>
        <v>86.1395045632334</v>
      </c>
      <c r="S850" s="81"/>
      <c r="T850" s="82">
        <f t="shared" si="411"/>
        <v>0.169491525423729</v>
      </c>
      <c r="U850" s="81"/>
      <c r="V850" s="82">
        <v>7.1</v>
      </c>
      <c r="W850" s="83">
        <f t="shared" si="409"/>
        <v>93.4089960886571</v>
      </c>
      <c r="X850" s="84">
        <f t="shared" si="412"/>
        <v>1.03071707953064</v>
      </c>
      <c r="Y850" s="84"/>
      <c r="Z850" s="81"/>
      <c r="AA850" s="84">
        <f t="shared" si="406"/>
        <v>1.03071707953064</v>
      </c>
      <c r="AB850" s="94">
        <v>7.17</v>
      </c>
      <c r="AC850" s="81">
        <f t="shared" si="407"/>
        <v>7.39024146023468</v>
      </c>
      <c r="AD850" s="81">
        <f t="shared" si="408"/>
        <v>100.799237548892</v>
      </c>
      <c r="AE850" s="81">
        <f t="shared" si="404"/>
        <v>54.200762451108</v>
      </c>
    </row>
    <row r="851" customFormat="1" spans="1:31">
      <c r="A851" s="19"/>
      <c r="B851" s="20"/>
      <c r="C851" s="21">
        <v>240124000016</v>
      </c>
      <c r="D851" s="22">
        <v>45321</v>
      </c>
      <c r="E851" s="25" t="s">
        <v>69</v>
      </c>
      <c r="F851" s="20" t="s">
        <v>69</v>
      </c>
      <c r="G851" s="20" t="s">
        <v>524</v>
      </c>
      <c r="H851" s="20">
        <v>16</v>
      </c>
      <c r="I851" s="43">
        <v>1005.6</v>
      </c>
      <c r="J851" s="44"/>
      <c r="K851" s="45"/>
      <c r="L851" s="44"/>
      <c r="M851" s="46"/>
      <c r="N851" s="20"/>
      <c r="O851" s="48">
        <f t="shared" si="405"/>
        <v>1005.6</v>
      </c>
      <c r="P851" s="54"/>
      <c r="Q851" s="54"/>
      <c r="R851" s="81">
        <f t="shared" si="410"/>
        <v>689.116036505867</v>
      </c>
      <c r="S851" s="81"/>
      <c r="T851" s="82">
        <f t="shared" si="411"/>
        <v>1.35593220338983</v>
      </c>
      <c r="U851" s="81"/>
      <c r="V851" s="81"/>
      <c r="W851" s="83">
        <f t="shared" si="409"/>
        <v>690.471968709257</v>
      </c>
      <c r="X851" s="84">
        <f t="shared" si="412"/>
        <v>8.24573663624511</v>
      </c>
      <c r="Y851" s="84"/>
      <c r="Z851" s="81"/>
      <c r="AA851" s="84">
        <f t="shared" si="406"/>
        <v>8.24573663624511</v>
      </c>
      <c r="AB851" s="94">
        <v>7.17</v>
      </c>
      <c r="AC851" s="81">
        <f t="shared" si="407"/>
        <v>59.1219316818774</v>
      </c>
      <c r="AD851" s="81">
        <f t="shared" si="408"/>
        <v>749.593900391134</v>
      </c>
      <c r="AE851" s="81">
        <f t="shared" si="404"/>
        <v>256.006099608866</v>
      </c>
    </row>
    <row r="852" customFormat="1" spans="1:31">
      <c r="A852" s="19"/>
      <c r="B852" s="20"/>
      <c r="C852" s="21">
        <v>240124000026</v>
      </c>
      <c r="D852" s="22">
        <v>45321</v>
      </c>
      <c r="E852" s="22" t="s">
        <v>37</v>
      </c>
      <c r="F852" s="20" t="s">
        <v>38</v>
      </c>
      <c r="G852" s="20" t="s">
        <v>272</v>
      </c>
      <c r="H852" s="20">
        <v>1.5</v>
      </c>
      <c r="I852" s="43">
        <v>221</v>
      </c>
      <c r="J852" s="44"/>
      <c r="K852" s="45"/>
      <c r="L852" s="44"/>
      <c r="M852" s="46"/>
      <c r="N852" s="20"/>
      <c r="O852" s="48">
        <f t="shared" si="405"/>
        <v>221</v>
      </c>
      <c r="P852" s="54"/>
      <c r="Q852" s="54"/>
      <c r="R852" s="81">
        <f t="shared" si="410"/>
        <v>64.604628422425</v>
      </c>
      <c r="S852" s="81"/>
      <c r="T852" s="82">
        <f t="shared" si="411"/>
        <v>0.127118644067797</v>
      </c>
      <c r="U852" s="81"/>
      <c r="V852" s="81"/>
      <c r="W852" s="83">
        <f t="shared" si="409"/>
        <v>64.7317470664928</v>
      </c>
      <c r="X852" s="84">
        <f t="shared" si="412"/>
        <v>0.773037809647979</v>
      </c>
      <c r="Y852" s="84">
        <v>11.8</v>
      </c>
      <c r="Z852" s="81"/>
      <c r="AA852" s="84">
        <f t="shared" si="406"/>
        <v>12.573037809648</v>
      </c>
      <c r="AB852" s="94">
        <v>7.17</v>
      </c>
      <c r="AC852" s="81">
        <f t="shared" si="407"/>
        <v>90.148681095176</v>
      </c>
      <c r="AD852" s="81">
        <f t="shared" si="408"/>
        <v>154.880428161669</v>
      </c>
      <c r="AE852" s="81">
        <f t="shared" si="404"/>
        <v>66.119571838331</v>
      </c>
    </row>
    <row r="853" customFormat="1" spans="1:31">
      <c r="A853" s="19"/>
      <c r="B853" s="20"/>
      <c r="C853" s="21">
        <v>240124000034</v>
      </c>
      <c r="D853" s="22">
        <v>45321</v>
      </c>
      <c r="E853" s="22" t="s">
        <v>99</v>
      </c>
      <c r="F853" s="20" t="s">
        <v>100</v>
      </c>
      <c r="G853" s="20" t="s">
        <v>525</v>
      </c>
      <c r="H853" s="20">
        <v>19.5</v>
      </c>
      <c r="I853" s="48"/>
      <c r="J853" s="55">
        <v>259042.32</v>
      </c>
      <c r="K853" s="56"/>
      <c r="L853" s="51">
        <f>SUM(J853/M853)</f>
        <v>1548</v>
      </c>
      <c r="M853" s="53">
        <v>167.34</v>
      </c>
      <c r="N853" s="20">
        <v>7.17</v>
      </c>
      <c r="O853" s="48">
        <f t="shared" ref="O853:O858" si="413">SUM(M853*N853)</f>
        <v>1199.8278</v>
      </c>
      <c r="P853" s="54"/>
      <c r="Q853" s="54"/>
      <c r="R853" s="81">
        <f t="shared" si="410"/>
        <v>839.860169491525</v>
      </c>
      <c r="S853" s="81"/>
      <c r="T853" s="82">
        <f t="shared" si="411"/>
        <v>1.65254237288136</v>
      </c>
      <c r="U853" s="81"/>
      <c r="V853" s="81"/>
      <c r="W853" s="83">
        <f t="shared" si="409"/>
        <v>841.512711864407</v>
      </c>
      <c r="X853" s="84">
        <f t="shared" si="412"/>
        <v>10.0494915254237</v>
      </c>
      <c r="Y853" s="84"/>
      <c r="Z853" s="81"/>
      <c r="AA853" s="84">
        <f t="shared" si="406"/>
        <v>10.0494915254237</v>
      </c>
      <c r="AB853" s="94">
        <v>7.17</v>
      </c>
      <c r="AC853" s="81">
        <f t="shared" si="407"/>
        <v>72.0548542372881</v>
      </c>
      <c r="AD853" s="81">
        <f t="shared" si="408"/>
        <v>913.567566101695</v>
      </c>
      <c r="AE853" s="81">
        <f t="shared" si="404"/>
        <v>286.260233898305</v>
      </c>
    </row>
    <row r="854" customFormat="1" spans="1:31">
      <c r="A854" s="19"/>
      <c r="B854" s="20"/>
      <c r="C854" s="21">
        <v>240124000037</v>
      </c>
      <c r="D854" s="22">
        <v>45321</v>
      </c>
      <c r="E854" s="22" t="s">
        <v>58</v>
      </c>
      <c r="F854" s="20" t="s">
        <v>329</v>
      </c>
      <c r="G854" s="20" t="s">
        <v>330</v>
      </c>
      <c r="H854" s="20">
        <v>0.88</v>
      </c>
      <c r="I854" s="43">
        <v>92.8</v>
      </c>
      <c r="J854" s="44"/>
      <c r="K854" s="45"/>
      <c r="L854" s="44"/>
      <c r="M854" s="46"/>
      <c r="N854" s="20"/>
      <c r="O854" s="48">
        <f t="shared" ref="O854:O856" si="414">SUM(I854)</f>
        <v>92.8</v>
      </c>
      <c r="P854" s="54"/>
      <c r="Q854" s="54"/>
      <c r="R854" s="81">
        <f t="shared" si="410"/>
        <v>37.9013820078227</v>
      </c>
      <c r="S854" s="81"/>
      <c r="T854" s="82">
        <f t="shared" si="411"/>
        <v>0.0745762711864407</v>
      </c>
      <c r="U854" s="81"/>
      <c r="V854" s="81"/>
      <c r="W854" s="83">
        <f t="shared" si="409"/>
        <v>37.9759582790091</v>
      </c>
      <c r="X854" s="84">
        <f t="shared" si="412"/>
        <v>0.453515514993481</v>
      </c>
      <c r="Y854" s="84"/>
      <c r="Z854" s="81"/>
      <c r="AA854" s="84">
        <f t="shared" si="406"/>
        <v>0.453515514993481</v>
      </c>
      <c r="AB854" s="94">
        <v>7.17</v>
      </c>
      <c r="AC854" s="81">
        <f t="shared" si="407"/>
        <v>3.25170624250326</v>
      </c>
      <c r="AD854" s="81">
        <f t="shared" si="408"/>
        <v>41.2276645215124</v>
      </c>
      <c r="AE854" s="81">
        <f t="shared" si="404"/>
        <v>51.5723354784876</v>
      </c>
    </row>
    <row r="855" customFormat="1" spans="1:31">
      <c r="A855" s="19"/>
      <c r="B855" s="20"/>
      <c r="C855" s="21">
        <v>240125000002</v>
      </c>
      <c r="D855" s="22">
        <v>45321</v>
      </c>
      <c r="E855" s="25" t="s">
        <v>69</v>
      </c>
      <c r="F855" s="20" t="s">
        <v>69</v>
      </c>
      <c r="G855" s="20" t="s">
        <v>124</v>
      </c>
      <c r="H855" s="20">
        <v>0.64</v>
      </c>
      <c r="I855" s="43">
        <v>69.6</v>
      </c>
      <c r="J855" s="44"/>
      <c r="K855" s="45"/>
      <c r="L855" s="44"/>
      <c r="M855" s="46"/>
      <c r="N855" s="20"/>
      <c r="O855" s="48">
        <f t="shared" si="414"/>
        <v>69.6</v>
      </c>
      <c r="P855" s="54"/>
      <c r="Q855" s="54"/>
      <c r="R855" s="81">
        <f t="shared" si="410"/>
        <v>27.5646414602347</v>
      </c>
      <c r="S855" s="81"/>
      <c r="T855" s="82">
        <f t="shared" si="411"/>
        <v>0.0542372881355932</v>
      </c>
      <c r="U855" s="81"/>
      <c r="V855" s="81"/>
      <c r="W855" s="83">
        <f t="shared" si="409"/>
        <v>27.6188787483703</v>
      </c>
      <c r="X855" s="84">
        <f t="shared" si="412"/>
        <v>0.329829465449804</v>
      </c>
      <c r="Y855" s="84"/>
      <c r="Z855" s="81"/>
      <c r="AA855" s="84">
        <f t="shared" si="406"/>
        <v>0.329829465449804</v>
      </c>
      <c r="AB855" s="94">
        <v>7.17</v>
      </c>
      <c r="AC855" s="81">
        <f t="shared" si="407"/>
        <v>2.3648772672751</v>
      </c>
      <c r="AD855" s="81">
        <f t="shared" si="408"/>
        <v>29.9837560156454</v>
      </c>
      <c r="AE855" s="81">
        <f t="shared" si="404"/>
        <v>39.6162439843546</v>
      </c>
    </row>
    <row r="856" customFormat="1" spans="1:31">
      <c r="A856" s="19"/>
      <c r="B856" s="20"/>
      <c r="C856" s="21">
        <v>240125000006</v>
      </c>
      <c r="D856" s="22">
        <v>45321</v>
      </c>
      <c r="E856" s="22" t="s">
        <v>44</v>
      </c>
      <c r="F856" s="20" t="s">
        <v>45</v>
      </c>
      <c r="G856" s="20" t="s">
        <v>429</v>
      </c>
      <c r="H856" s="20">
        <v>4</v>
      </c>
      <c r="I856" s="43">
        <v>292</v>
      </c>
      <c r="J856" s="44"/>
      <c r="K856" s="45"/>
      <c r="L856" s="44"/>
      <c r="M856" s="46"/>
      <c r="N856" s="20"/>
      <c r="O856" s="48">
        <f t="shared" si="414"/>
        <v>292</v>
      </c>
      <c r="P856" s="54"/>
      <c r="Q856" s="54"/>
      <c r="R856" s="81">
        <f t="shared" si="410"/>
        <v>172.279009126467</v>
      </c>
      <c r="S856" s="81"/>
      <c r="T856" s="82">
        <f t="shared" si="411"/>
        <v>0.338983050847458</v>
      </c>
      <c r="U856" s="81"/>
      <c r="V856" s="81"/>
      <c r="W856" s="83">
        <f t="shared" si="409"/>
        <v>172.617992177314</v>
      </c>
      <c r="X856" s="84">
        <f t="shared" si="412"/>
        <v>2.06143415906128</v>
      </c>
      <c r="Y856" s="84"/>
      <c r="Z856" s="81"/>
      <c r="AA856" s="84">
        <f t="shared" si="406"/>
        <v>2.06143415906128</v>
      </c>
      <c r="AB856" s="94">
        <v>7.17</v>
      </c>
      <c r="AC856" s="81">
        <f t="shared" si="407"/>
        <v>14.7804829204694</v>
      </c>
      <c r="AD856" s="81">
        <f t="shared" si="408"/>
        <v>187.398475097784</v>
      </c>
      <c r="AE856" s="81">
        <f t="shared" si="404"/>
        <v>104.601524902216</v>
      </c>
    </row>
    <row r="857" customFormat="1" spans="1:31">
      <c r="A857" s="19"/>
      <c r="B857" s="20"/>
      <c r="C857" s="21">
        <v>240125000009</v>
      </c>
      <c r="D857" s="22">
        <v>45321</v>
      </c>
      <c r="E857" s="22" t="s">
        <v>58</v>
      </c>
      <c r="F857" s="20" t="s">
        <v>59</v>
      </c>
      <c r="G857" s="20" t="s">
        <v>526</v>
      </c>
      <c r="H857" s="20">
        <v>4</v>
      </c>
      <c r="I857" s="48"/>
      <c r="J857" s="55">
        <v>62000</v>
      </c>
      <c r="K857" s="56"/>
      <c r="L857" s="51">
        <f>SUM(J857/M857)</f>
        <v>1655.98281752229</v>
      </c>
      <c r="M857" s="53">
        <v>37.440002</v>
      </c>
      <c r="N857" s="20">
        <v>7.17</v>
      </c>
      <c r="O857" s="48">
        <f t="shared" si="413"/>
        <v>268.44481434</v>
      </c>
      <c r="P857" s="54"/>
      <c r="Q857" s="54"/>
      <c r="R857" s="81">
        <f t="shared" si="410"/>
        <v>172.279009126467</v>
      </c>
      <c r="S857" s="81"/>
      <c r="T857" s="82">
        <f t="shared" si="411"/>
        <v>0.338983050847458</v>
      </c>
      <c r="U857" s="81"/>
      <c r="V857" s="81"/>
      <c r="W857" s="83">
        <f t="shared" si="409"/>
        <v>172.617992177314</v>
      </c>
      <c r="X857" s="84">
        <f t="shared" si="412"/>
        <v>2.06143415906128</v>
      </c>
      <c r="Y857" s="84"/>
      <c r="Z857" s="81"/>
      <c r="AA857" s="84">
        <f t="shared" si="406"/>
        <v>2.06143415906128</v>
      </c>
      <c r="AB857" s="94">
        <v>7.17</v>
      </c>
      <c r="AC857" s="81">
        <f t="shared" si="407"/>
        <v>14.7804829204694</v>
      </c>
      <c r="AD857" s="81">
        <f t="shared" si="408"/>
        <v>187.398475097784</v>
      </c>
      <c r="AE857" s="81">
        <f t="shared" si="404"/>
        <v>81.046339242216</v>
      </c>
    </row>
    <row r="858" customFormat="1" spans="1:31">
      <c r="A858" s="19"/>
      <c r="B858" s="20"/>
      <c r="C858" s="21">
        <v>240125000012</v>
      </c>
      <c r="D858" s="22">
        <v>45321</v>
      </c>
      <c r="E858" s="22" t="s">
        <v>49</v>
      </c>
      <c r="F858" s="20" t="s">
        <v>50</v>
      </c>
      <c r="G858" s="20" t="s">
        <v>153</v>
      </c>
      <c r="H858" s="20">
        <v>0.59</v>
      </c>
      <c r="I858" s="50"/>
      <c r="J858" s="51">
        <v>17458</v>
      </c>
      <c r="K858" s="52"/>
      <c r="L858" s="51">
        <f>SUM(J858/M858)</f>
        <v>1542.22614840989</v>
      </c>
      <c r="M858" s="53">
        <v>11.32</v>
      </c>
      <c r="N858" s="20">
        <v>7.17</v>
      </c>
      <c r="O858" s="48">
        <f t="shared" si="413"/>
        <v>81.1644</v>
      </c>
      <c r="P858" s="54"/>
      <c r="Q858" s="54"/>
      <c r="R858" s="81">
        <f t="shared" si="410"/>
        <v>25.4111538461538</v>
      </c>
      <c r="S858" s="81"/>
      <c r="T858" s="82">
        <f t="shared" si="411"/>
        <v>0.05</v>
      </c>
      <c r="U858" s="81"/>
      <c r="V858" s="81"/>
      <c r="W858" s="83">
        <f t="shared" si="409"/>
        <v>25.4611538461538</v>
      </c>
      <c r="X858" s="84">
        <f t="shared" si="412"/>
        <v>0.304061538461538</v>
      </c>
      <c r="Y858" s="84"/>
      <c r="Z858" s="81"/>
      <c r="AA858" s="84">
        <f t="shared" si="406"/>
        <v>0.304061538461538</v>
      </c>
      <c r="AB858" s="94">
        <v>7.17</v>
      </c>
      <c r="AC858" s="81">
        <f t="shared" si="407"/>
        <v>2.18012123076923</v>
      </c>
      <c r="AD858" s="81">
        <f t="shared" si="408"/>
        <v>27.6412750769231</v>
      </c>
      <c r="AE858" s="81">
        <f t="shared" si="404"/>
        <v>53.5231249230769</v>
      </c>
    </row>
    <row r="859" customFormat="1" spans="1:31">
      <c r="A859" s="19"/>
      <c r="B859" s="20"/>
      <c r="C859" s="21">
        <v>240125000020</v>
      </c>
      <c r="D859" s="22">
        <v>45321</v>
      </c>
      <c r="E859" s="22" t="s">
        <v>49</v>
      </c>
      <c r="F859" s="20" t="s">
        <v>50</v>
      </c>
      <c r="G859" s="20" t="s">
        <v>66</v>
      </c>
      <c r="H859" s="20">
        <v>3.5</v>
      </c>
      <c r="I859" s="43">
        <v>164.5</v>
      </c>
      <c r="J859" s="44"/>
      <c r="K859" s="45"/>
      <c r="L859" s="44"/>
      <c r="M859" s="46"/>
      <c r="N859" s="20"/>
      <c r="O859" s="48">
        <f t="shared" ref="O859:O866" si="415">SUM(I859)</f>
        <v>164.5</v>
      </c>
      <c r="P859" s="54"/>
      <c r="Q859" s="54"/>
      <c r="R859" s="81">
        <f t="shared" si="410"/>
        <v>150.744132985658</v>
      </c>
      <c r="S859" s="81"/>
      <c r="T859" s="82">
        <f t="shared" si="411"/>
        <v>0.296610169491525</v>
      </c>
      <c r="U859" s="81"/>
      <c r="V859" s="81"/>
      <c r="W859" s="83">
        <f t="shared" si="409"/>
        <v>151.04074315515</v>
      </c>
      <c r="X859" s="84">
        <f t="shared" si="412"/>
        <v>1.80375488917862</v>
      </c>
      <c r="Y859" s="84"/>
      <c r="Z859" s="81"/>
      <c r="AA859" s="84">
        <f t="shared" si="406"/>
        <v>1.80375488917862</v>
      </c>
      <c r="AB859" s="94">
        <v>7.17</v>
      </c>
      <c r="AC859" s="81">
        <f t="shared" si="407"/>
        <v>12.9329225554107</v>
      </c>
      <c r="AD859" s="81">
        <f t="shared" si="408"/>
        <v>163.973665710561</v>
      </c>
      <c r="AE859" s="81">
        <f t="shared" si="404"/>
        <v>0.526334289439006</v>
      </c>
    </row>
    <row r="860" customFormat="1" spans="1:31">
      <c r="A860" s="19"/>
      <c r="B860" s="20"/>
      <c r="C860" s="21">
        <v>240125000026</v>
      </c>
      <c r="D860" s="22">
        <v>45321</v>
      </c>
      <c r="E860" s="22" t="s">
        <v>37</v>
      </c>
      <c r="F860" s="20" t="s">
        <v>38</v>
      </c>
      <c r="G860" s="20" t="s">
        <v>122</v>
      </c>
      <c r="H860" s="20">
        <v>509.5</v>
      </c>
      <c r="I860" s="43">
        <v>33117.5</v>
      </c>
      <c r="J860" s="44"/>
      <c r="K860" s="45"/>
      <c r="L860" s="44"/>
      <c r="M860" s="46"/>
      <c r="N860" s="20"/>
      <c r="O860" s="48">
        <f t="shared" si="415"/>
        <v>33117.5</v>
      </c>
      <c r="P860" s="54"/>
      <c r="Q860" s="54"/>
      <c r="R860" s="81">
        <f t="shared" si="410"/>
        <v>21944.0387874837</v>
      </c>
      <c r="S860" s="81"/>
      <c r="T860" s="82">
        <f t="shared" si="411"/>
        <v>43.1779661016949</v>
      </c>
      <c r="U860" s="81"/>
      <c r="V860" s="81"/>
      <c r="W860" s="83">
        <f t="shared" si="409"/>
        <v>21987.2167535854</v>
      </c>
      <c r="X860" s="84">
        <f t="shared" si="412"/>
        <v>262.57517601043</v>
      </c>
      <c r="Y860" s="84"/>
      <c r="Z860" s="81"/>
      <c r="AA860" s="84">
        <f t="shared" si="406"/>
        <v>262.57517601043</v>
      </c>
      <c r="AB860" s="94">
        <v>7.17</v>
      </c>
      <c r="AC860" s="81">
        <f t="shared" si="407"/>
        <v>1882.66401199478</v>
      </c>
      <c r="AD860" s="81">
        <f t="shared" si="408"/>
        <v>23869.8807655802</v>
      </c>
      <c r="AE860" s="81">
        <f t="shared" si="404"/>
        <v>9247.6192344198</v>
      </c>
    </row>
    <row r="861" customFormat="1" spans="1:31">
      <c r="A861" s="19"/>
      <c r="B861" s="20"/>
      <c r="C861" s="21">
        <v>240125000030</v>
      </c>
      <c r="D861" s="22">
        <v>45321</v>
      </c>
      <c r="E861" s="22" t="s">
        <v>41</v>
      </c>
      <c r="F861" s="20" t="s">
        <v>42</v>
      </c>
      <c r="G861" s="20" t="s">
        <v>527</v>
      </c>
      <c r="H861" s="20">
        <v>2.5</v>
      </c>
      <c r="I861" s="50"/>
      <c r="J861" s="51">
        <v>45838</v>
      </c>
      <c r="K861" s="52"/>
      <c r="L861" s="51">
        <f>SUM(J861/M861)</f>
        <v>1534.58319383997</v>
      </c>
      <c r="M861" s="53">
        <v>29.87</v>
      </c>
      <c r="N861" s="20">
        <v>7.17</v>
      </c>
      <c r="O861" s="48">
        <f>SUM(M861*N861)</f>
        <v>214.1679</v>
      </c>
      <c r="P861" s="54"/>
      <c r="Q861" s="54"/>
      <c r="R861" s="81">
        <f t="shared" si="410"/>
        <v>107.674380704042</v>
      </c>
      <c r="S861" s="81"/>
      <c r="T861" s="82">
        <f t="shared" si="411"/>
        <v>0.211864406779661</v>
      </c>
      <c r="U861" s="81"/>
      <c r="V861" s="81"/>
      <c r="W861" s="83">
        <f t="shared" si="409"/>
        <v>107.886245110821</v>
      </c>
      <c r="X861" s="84">
        <f t="shared" si="412"/>
        <v>1.2883963494133</v>
      </c>
      <c r="Y861" s="84"/>
      <c r="Z861" s="81"/>
      <c r="AA861" s="84">
        <f t="shared" si="406"/>
        <v>1.2883963494133</v>
      </c>
      <c r="AB861" s="94">
        <v>7.17</v>
      </c>
      <c r="AC861" s="81">
        <f t="shared" si="407"/>
        <v>9.23780182529335</v>
      </c>
      <c r="AD861" s="81">
        <f t="shared" si="408"/>
        <v>117.124046936115</v>
      </c>
      <c r="AE861" s="81">
        <f t="shared" si="404"/>
        <v>97.043853063885</v>
      </c>
    </row>
    <row r="862" customFormat="1" spans="1:31">
      <c r="A862" s="19"/>
      <c r="B862" s="20"/>
      <c r="C862" s="21">
        <v>240125000031</v>
      </c>
      <c r="D862" s="22">
        <v>45321</v>
      </c>
      <c r="E862" s="22" t="s">
        <v>44</v>
      </c>
      <c r="F862" s="20" t="s">
        <v>45</v>
      </c>
      <c r="G862" s="20" t="s">
        <v>528</v>
      </c>
      <c r="H862" s="20">
        <v>1.5</v>
      </c>
      <c r="I862" s="43">
        <v>102</v>
      </c>
      <c r="J862" s="44"/>
      <c r="K862" s="45"/>
      <c r="L862" s="44"/>
      <c r="M862" s="46"/>
      <c r="N862" s="20"/>
      <c r="O862" s="48">
        <f t="shared" si="415"/>
        <v>102</v>
      </c>
      <c r="P862" s="54"/>
      <c r="Q862" s="54"/>
      <c r="R862" s="81">
        <f t="shared" si="410"/>
        <v>64.604628422425</v>
      </c>
      <c r="S862" s="81"/>
      <c r="T862" s="82">
        <f t="shared" si="411"/>
        <v>0.127118644067797</v>
      </c>
      <c r="U862" s="81"/>
      <c r="V862" s="81"/>
      <c r="W862" s="83">
        <f t="shared" si="409"/>
        <v>64.7317470664928</v>
      </c>
      <c r="X862" s="84">
        <f t="shared" si="412"/>
        <v>0.773037809647979</v>
      </c>
      <c r="Y862" s="84"/>
      <c r="Z862" s="81"/>
      <c r="AA862" s="84">
        <f t="shared" si="406"/>
        <v>0.773037809647979</v>
      </c>
      <c r="AB862" s="94">
        <v>7.17</v>
      </c>
      <c r="AC862" s="81">
        <f t="shared" si="407"/>
        <v>5.54268109517601</v>
      </c>
      <c r="AD862" s="81">
        <f t="shared" si="408"/>
        <v>70.2744281616688</v>
      </c>
      <c r="AE862" s="81">
        <f t="shared" si="404"/>
        <v>31.7255718383312</v>
      </c>
    </row>
    <row r="863" customFormat="1" spans="1:31">
      <c r="A863" s="19"/>
      <c r="B863" s="20"/>
      <c r="C863" s="21">
        <v>240125000035</v>
      </c>
      <c r="D863" s="22">
        <v>45321</v>
      </c>
      <c r="E863" s="22" t="s">
        <v>58</v>
      </c>
      <c r="F863" s="20" t="s">
        <v>59</v>
      </c>
      <c r="G863" s="20" t="s">
        <v>529</v>
      </c>
      <c r="H863" s="20">
        <v>7</v>
      </c>
      <c r="I863" s="43">
        <v>840</v>
      </c>
      <c r="J863" s="44"/>
      <c r="K863" s="45"/>
      <c r="L863" s="44"/>
      <c r="M863" s="46"/>
      <c r="N863" s="20"/>
      <c r="O863" s="48">
        <f t="shared" si="415"/>
        <v>840</v>
      </c>
      <c r="P863" s="54"/>
      <c r="Q863" s="54"/>
      <c r="R863" s="81">
        <f t="shared" si="410"/>
        <v>301.488265971317</v>
      </c>
      <c r="S863" s="81"/>
      <c r="T863" s="82">
        <f t="shared" si="411"/>
        <v>0.593220338983051</v>
      </c>
      <c r="U863" s="81"/>
      <c r="V863" s="81"/>
      <c r="W863" s="83">
        <f t="shared" si="409"/>
        <v>302.0814863103</v>
      </c>
      <c r="X863" s="84">
        <f t="shared" si="412"/>
        <v>3.60750977835724</v>
      </c>
      <c r="Y863" s="84"/>
      <c r="Z863" s="81"/>
      <c r="AA863" s="84">
        <f t="shared" si="406"/>
        <v>3.60750977835724</v>
      </c>
      <c r="AB863" s="94">
        <v>7.17</v>
      </c>
      <c r="AC863" s="81">
        <f t="shared" si="407"/>
        <v>25.8658451108214</v>
      </c>
      <c r="AD863" s="81">
        <f t="shared" si="408"/>
        <v>327.947331421121</v>
      </c>
      <c r="AE863" s="81">
        <f t="shared" si="404"/>
        <v>512.052668578879</v>
      </c>
    </row>
    <row r="864" customFormat="1" spans="1:31">
      <c r="A864" s="19"/>
      <c r="B864" s="20"/>
      <c r="C864" s="21">
        <v>240125000040</v>
      </c>
      <c r="D864" s="22">
        <v>45321</v>
      </c>
      <c r="E864" s="22" t="s">
        <v>37</v>
      </c>
      <c r="F864" s="20" t="s">
        <v>38</v>
      </c>
      <c r="G864" s="20" t="s">
        <v>530</v>
      </c>
      <c r="H864" s="20">
        <v>17</v>
      </c>
      <c r="I864" s="43">
        <v>1542.5</v>
      </c>
      <c r="J864" s="44"/>
      <c r="K864" s="45"/>
      <c r="L864" s="44"/>
      <c r="M864" s="46"/>
      <c r="N864" s="20"/>
      <c r="O864" s="48">
        <f t="shared" si="415"/>
        <v>1542.5</v>
      </c>
      <c r="P864" s="54"/>
      <c r="Q864" s="54"/>
      <c r="R864" s="81">
        <f t="shared" si="410"/>
        <v>732.185788787484</v>
      </c>
      <c r="S864" s="81"/>
      <c r="T864" s="82">
        <f t="shared" si="411"/>
        <v>1.44067796610169</v>
      </c>
      <c r="U864" s="81">
        <v>50</v>
      </c>
      <c r="V864" s="81">
        <v>50</v>
      </c>
      <c r="W864" s="83">
        <f t="shared" si="409"/>
        <v>833.626466753585</v>
      </c>
      <c r="X864" s="84">
        <f t="shared" si="412"/>
        <v>8.76109517601043</v>
      </c>
      <c r="Y864" s="84">
        <v>7.7</v>
      </c>
      <c r="Z864" s="81"/>
      <c r="AA864" s="84">
        <f t="shared" si="406"/>
        <v>16.4610951760104</v>
      </c>
      <c r="AB864" s="94">
        <v>7.17</v>
      </c>
      <c r="AC864" s="81">
        <f t="shared" si="407"/>
        <v>118.026052411995</v>
      </c>
      <c r="AD864" s="81">
        <f t="shared" si="408"/>
        <v>951.65251916558</v>
      </c>
      <c r="AE864" s="81">
        <f t="shared" si="404"/>
        <v>590.84748083442</v>
      </c>
    </row>
    <row r="865" customFormat="1" spans="1:31">
      <c r="A865" s="19"/>
      <c r="B865" s="20"/>
      <c r="C865" s="21">
        <v>240125000041</v>
      </c>
      <c r="D865" s="22">
        <v>45321</v>
      </c>
      <c r="E865" s="22" t="s">
        <v>37</v>
      </c>
      <c r="F865" s="20" t="s">
        <v>38</v>
      </c>
      <c r="G865" s="20" t="s">
        <v>531</v>
      </c>
      <c r="H865" s="20">
        <v>27</v>
      </c>
      <c r="I865" s="43">
        <v>1985</v>
      </c>
      <c r="J865" s="44"/>
      <c r="K865" s="45"/>
      <c r="L865" s="44"/>
      <c r="M865" s="46"/>
      <c r="N865" s="20"/>
      <c r="O865" s="48">
        <f t="shared" si="415"/>
        <v>1985</v>
      </c>
      <c r="P865" s="54"/>
      <c r="Q865" s="54"/>
      <c r="R865" s="81">
        <f t="shared" si="410"/>
        <v>1162.88331160365</v>
      </c>
      <c r="S865" s="81"/>
      <c r="T865" s="82">
        <f t="shared" si="411"/>
        <v>2.28813559322034</v>
      </c>
      <c r="U865" s="81">
        <v>60</v>
      </c>
      <c r="V865" s="81"/>
      <c r="W865" s="83">
        <f t="shared" si="409"/>
        <v>1225.17144719687</v>
      </c>
      <c r="X865" s="84">
        <f t="shared" si="412"/>
        <v>13.9146805736636</v>
      </c>
      <c r="Y865" s="84"/>
      <c r="Z865" s="81"/>
      <c r="AA865" s="84">
        <f t="shared" si="406"/>
        <v>13.9146805736636</v>
      </c>
      <c r="AB865" s="94">
        <v>7.17</v>
      </c>
      <c r="AC865" s="81">
        <f t="shared" si="407"/>
        <v>99.7682597131682</v>
      </c>
      <c r="AD865" s="81">
        <f t="shared" si="408"/>
        <v>1324.93970691004</v>
      </c>
      <c r="AE865" s="81">
        <f t="shared" si="404"/>
        <v>660.06029308996</v>
      </c>
    </row>
    <row r="866" customFormat="1" spans="1:31">
      <c r="A866" s="19"/>
      <c r="B866" s="20"/>
      <c r="C866" s="23">
        <v>240125000047</v>
      </c>
      <c r="D866" s="24">
        <v>45321</v>
      </c>
      <c r="E866" s="22" t="s">
        <v>49</v>
      </c>
      <c r="F866" s="26" t="s">
        <v>50</v>
      </c>
      <c r="G866" s="26" t="s">
        <v>282</v>
      </c>
      <c r="H866" s="26">
        <v>15</v>
      </c>
      <c r="I866" s="43">
        <v>940</v>
      </c>
      <c r="J866" s="44"/>
      <c r="K866" s="45"/>
      <c r="L866" s="44"/>
      <c r="M866" s="46"/>
      <c r="N866" s="20"/>
      <c r="O866" s="48">
        <f t="shared" si="415"/>
        <v>940</v>
      </c>
      <c r="P866" s="54"/>
      <c r="Q866" s="54"/>
      <c r="R866" s="81">
        <f t="shared" si="410"/>
        <v>646.04628422425</v>
      </c>
      <c r="S866" s="81"/>
      <c r="T866" s="82">
        <f t="shared" si="411"/>
        <v>1.27118644067797</v>
      </c>
      <c r="U866" s="81">
        <v>40</v>
      </c>
      <c r="V866" s="81"/>
      <c r="W866" s="83">
        <f t="shared" si="409"/>
        <v>687.317470664928</v>
      </c>
      <c r="X866" s="84">
        <f t="shared" si="412"/>
        <v>7.73037809647979</v>
      </c>
      <c r="Y866" s="84"/>
      <c r="Z866" s="81"/>
      <c r="AA866" s="84">
        <f t="shared" si="406"/>
        <v>7.73037809647979</v>
      </c>
      <c r="AB866" s="94">
        <v>7.17</v>
      </c>
      <c r="AC866" s="81">
        <f t="shared" si="407"/>
        <v>55.4268109517601</v>
      </c>
      <c r="AD866" s="81">
        <f t="shared" si="408"/>
        <v>742.744281616688</v>
      </c>
      <c r="AE866" s="81">
        <f t="shared" si="404"/>
        <v>197.255718383312</v>
      </c>
    </row>
    <row r="867" customFormat="1" spans="1:31">
      <c r="A867" s="19"/>
      <c r="B867" s="20"/>
      <c r="C867" s="21">
        <v>240126000007</v>
      </c>
      <c r="D867" s="22">
        <v>45321</v>
      </c>
      <c r="E867" s="22" t="s">
        <v>58</v>
      </c>
      <c r="F867" s="20" t="s">
        <v>59</v>
      </c>
      <c r="G867" s="20" t="s">
        <v>532</v>
      </c>
      <c r="H867" s="20">
        <v>2</v>
      </c>
      <c r="I867" s="48"/>
      <c r="J867" s="55">
        <v>29350</v>
      </c>
      <c r="K867" s="56"/>
      <c r="L867" s="51">
        <f>SUM(J867/M867)</f>
        <v>1547.99569894537</v>
      </c>
      <c r="M867" s="53">
        <v>18.960001</v>
      </c>
      <c r="N867" s="20">
        <v>7.17</v>
      </c>
      <c r="O867" s="48">
        <f>SUM(M867*N867)</f>
        <v>135.94320717</v>
      </c>
      <c r="P867" s="54"/>
      <c r="Q867" s="54"/>
      <c r="R867" s="81">
        <f t="shared" si="410"/>
        <v>86.1395045632334</v>
      </c>
      <c r="S867" s="81"/>
      <c r="T867" s="82">
        <f t="shared" si="411"/>
        <v>0.169491525423729</v>
      </c>
      <c r="U867" s="81"/>
      <c r="V867" s="81"/>
      <c r="W867" s="83">
        <f t="shared" si="409"/>
        <v>86.3089960886571</v>
      </c>
      <c r="X867" s="84">
        <f t="shared" si="412"/>
        <v>1.03071707953064</v>
      </c>
      <c r="Y867" s="84"/>
      <c r="Z867" s="81"/>
      <c r="AA867" s="84">
        <f t="shared" si="406"/>
        <v>1.03071707953064</v>
      </c>
      <c r="AB867" s="94">
        <v>7.17</v>
      </c>
      <c r="AC867" s="81">
        <f t="shared" si="407"/>
        <v>7.39024146023468</v>
      </c>
      <c r="AD867" s="81">
        <f t="shared" si="408"/>
        <v>93.6992375488918</v>
      </c>
      <c r="AE867" s="81">
        <f t="shared" si="404"/>
        <v>42.2439696211082</v>
      </c>
    </row>
    <row r="868" customFormat="1" spans="1:31">
      <c r="A868" s="19"/>
      <c r="B868" s="20"/>
      <c r="C868" s="21">
        <v>240126000021</v>
      </c>
      <c r="D868" s="22">
        <v>45321</v>
      </c>
      <c r="E868" s="25" t="s">
        <v>69</v>
      </c>
      <c r="F868" s="20" t="s">
        <v>69</v>
      </c>
      <c r="G868" s="20" t="s">
        <v>130</v>
      </c>
      <c r="H868" s="20">
        <v>234</v>
      </c>
      <c r="I868" s="43">
        <v>12517.5</v>
      </c>
      <c r="J868" s="44"/>
      <c r="K868" s="45"/>
      <c r="L868" s="44"/>
      <c r="M868" s="46"/>
      <c r="N868" s="20"/>
      <c r="O868" s="48">
        <f t="shared" ref="O868:O880" si="416">SUM(I868)</f>
        <v>12517.5</v>
      </c>
      <c r="P868" s="54"/>
      <c r="Q868" s="54"/>
      <c r="R868" s="81">
        <f t="shared" si="410"/>
        <v>10078.3220338983</v>
      </c>
      <c r="S868" s="81"/>
      <c r="T868" s="82">
        <f t="shared" si="411"/>
        <v>19.8305084745763</v>
      </c>
      <c r="U868" s="81"/>
      <c r="V868" s="81"/>
      <c r="W868" s="83">
        <f t="shared" si="409"/>
        <v>10098.1525423729</v>
      </c>
      <c r="X868" s="84">
        <f t="shared" si="412"/>
        <v>120.593898305085</v>
      </c>
      <c r="Y868" s="84"/>
      <c r="Z868" s="81"/>
      <c r="AA868" s="84">
        <f t="shared" si="406"/>
        <v>120.593898305085</v>
      </c>
      <c r="AB868" s="94">
        <v>7.17</v>
      </c>
      <c r="AC868" s="81">
        <f t="shared" si="407"/>
        <v>864.658250847458</v>
      </c>
      <c r="AD868" s="81">
        <f t="shared" si="408"/>
        <v>10962.8107932203</v>
      </c>
      <c r="AE868" s="81">
        <f t="shared" si="404"/>
        <v>1554.6892067797</v>
      </c>
    </row>
    <row r="869" customFormat="1" spans="1:31">
      <c r="A869" s="19"/>
      <c r="B869" s="20"/>
      <c r="C869" s="21">
        <v>240126000038</v>
      </c>
      <c r="D869" s="22">
        <v>45321</v>
      </c>
      <c r="E869" s="22" t="s">
        <v>49</v>
      </c>
      <c r="F869" s="20" t="s">
        <v>50</v>
      </c>
      <c r="G869" s="20" t="s">
        <v>215</v>
      </c>
      <c r="H869" s="20">
        <v>0.53</v>
      </c>
      <c r="I869" s="50"/>
      <c r="J869" s="51">
        <v>13845</v>
      </c>
      <c r="K869" s="52"/>
      <c r="L869" s="51">
        <f>SUM(J869/M869)</f>
        <v>1528.14569536424</v>
      </c>
      <c r="M869" s="53">
        <v>9.06</v>
      </c>
      <c r="N869" s="20">
        <v>7.17</v>
      </c>
      <c r="O869" s="48">
        <f>SUM(M869*N869)</f>
        <v>64.9602</v>
      </c>
      <c r="P869" s="54"/>
      <c r="Q869" s="54"/>
      <c r="R869" s="81">
        <f t="shared" si="410"/>
        <v>22.8269687092568</v>
      </c>
      <c r="S869" s="81"/>
      <c r="T869" s="82">
        <f t="shared" si="411"/>
        <v>0.0449152542372881</v>
      </c>
      <c r="U869" s="81"/>
      <c r="V869" s="81"/>
      <c r="W869" s="83">
        <f t="shared" si="409"/>
        <v>22.8718839634941</v>
      </c>
      <c r="X869" s="84">
        <f t="shared" si="412"/>
        <v>0.273140026075619</v>
      </c>
      <c r="Y869" s="84"/>
      <c r="Z869" s="81"/>
      <c r="AA869" s="84">
        <f t="shared" si="406"/>
        <v>0.273140026075619</v>
      </c>
      <c r="AB869" s="94">
        <v>7.17</v>
      </c>
      <c r="AC869" s="81">
        <f t="shared" si="407"/>
        <v>1.95841398696219</v>
      </c>
      <c r="AD869" s="81">
        <f t="shared" si="408"/>
        <v>24.8302979504563</v>
      </c>
      <c r="AE869" s="81">
        <f t="shared" si="404"/>
        <v>40.1299020495437</v>
      </c>
    </row>
    <row r="870" customFormat="1" spans="1:31">
      <c r="A870" s="19"/>
      <c r="B870" s="20"/>
      <c r="C870" s="21">
        <v>240126000046</v>
      </c>
      <c r="D870" s="22">
        <v>45321</v>
      </c>
      <c r="E870" s="25" t="s">
        <v>69</v>
      </c>
      <c r="F870" s="20" t="s">
        <v>69</v>
      </c>
      <c r="G870" s="20" t="s">
        <v>92</v>
      </c>
      <c r="H870" s="20">
        <v>2</v>
      </c>
      <c r="I870" s="50">
        <v>135.6</v>
      </c>
      <c r="J870" s="59"/>
      <c r="K870" s="52"/>
      <c r="L870" s="59"/>
      <c r="M870" s="46"/>
      <c r="N870" s="20"/>
      <c r="O870" s="48">
        <f t="shared" si="416"/>
        <v>135.6</v>
      </c>
      <c r="P870" s="54"/>
      <c r="Q870" s="54"/>
      <c r="R870" s="81">
        <f t="shared" si="410"/>
        <v>86.1395045632334</v>
      </c>
      <c r="S870" s="81"/>
      <c r="T870" s="82">
        <f t="shared" si="411"/>
        <v>0.169491525423729</v>
      </c>
      <c r="U870" s="81"/>
      <c r="V870" s="81"/>
      <c r="W870" s="83">
        <f t="shared" si="409"/>
        <v>86.3089960886571</v>
      </c>
      <c r="X870" s="84">
        <f t="shared" si="412"/>
        <v>1.03071707953064</v>
      </c>
      <c r="Y870" s="84"/>
      <c r="Z870" s="81"/>
      <c r="AA870" s="84">
        <f t="shared" si="406"/>
        <v>1.03071707953064</v>
      </c>
      <c r="AB870" s="94">
        <v>7.17</v>
      </c>
      <c r="AC870" s="81">
        <f t="shared" si="407"/>
        <v>7.39024146023468</v>
      </c>
      <c r="AD870" s="81">
        <f t="shared" si="408"/>
        <v>93.6992375488918</v>
      </c>
      <c r="AE870" s="81">
        <f t="shared" si="404"/>
        <v>41.9007624511082</v>
      </c>
    </row>
    <row r="871" customFormat="1" spans="1:31">
      <c r="A871" s="19"/>
      <c r="B871" s="20"/>
      <c r="C871" s="21">
        <v>240126000048</v>
      </c>
      <c r="D871" s="22">
        <v>45321</v>
      </c>
      <c r="E871" s="25" t="s">
        <v>69</v>
      </c>
      <c r="F871" s="20" t="s">
        <v>69</v>
      </c>
      <c r="G871" s="20" t="s">
        <v>175</v>
      </c>
      <c r="H871" s="20">
        <v>602.5</v>
      </c>
      <c r="I871" s="50">
        <v>30727.5</v>
      </c>
      <c r="J871" s="59"/>
      <c r="K871" s="52"/>
      <c r="L871" s="59"/>
      <c r="M871" s="46"/>
      <c r="N871" s="20"/>
      <c r="O871" s="48">
        <f t="shared" si="416"/>
        <v>30727.5</v>
      </c>
      <c r="P871" s="54"/>
      <c r="Q871" s="54"/>
      <c r="R871" s="81">
        <f t="shared" si="410"/>
        <v>25949.5257496741</v>
      </c>
      <c r="S871" s="81"/>
      <c r="T871" s="82">
        <f t="shared" si="411"/>
        <v>51.0593220338983</v>
      </c>
      <c r="U871" s="81"/>
      <c r="V871" s="81"/>
      <c r="W871" s="83">
        <f t="shared" si="409"/>
        <v>26000.585071708</v>
      </c>
      <c r="X871" s="84">
        <f t="shared" si="412"/>
        <v>310.503520208605</v>
      </c>
      <c r="Y871" s="84"/>
      <c r="Z871" s="81"/>
      <c r="AA871" s="84">
        <f t="shared" si="406"/>
        <v>310.503520208605</v>
      </c>
      <c r="AB871" s="94">
        <v>7.17</v>
      </c>
      <c r="AC871" s="81">
        <f t="shared" ref="AC871:AC889" si="417">SUM(AA871*AB871)</f>
        <v>2226.3102398957</v>
      </c>
      <c r="AD871" s="81">
        <f t="shared" ref="AD871:AD889" si="418">SUM(W871+AC871)</f>
        <v>28226.8953116037</v>
      </c>
      <c r="AE871" s="81">
        <f t="shared" si="404"/>
        <v>2500.6046883963</v>
      </c>
    </row>
    <row r="872" customFormat="1" spans="1:31">
      <c r="A872" s="19"/>
      <c r="B872" s="20"/>
      <c r="C872" s="21">
        <v>240126000049</v>
      </c>
      <c r="D872" s="22">
        <v>45321</v>
      </c>
      <c r="E872" s="22" t="s">
        <v>44</v>
      </c>
      <c r="F872" s="20" t="s">
        <v>45</v>
      </c>
      <c r="G872" s="20" t="s">
        <v>85</v>
      </c>
      <c r="H872" s="20">
        <v>5</v>
      </c>
      <c r="I872" s="43">
        <v>519</v>
      </c>
      <c r="J872" s="44"/>
      <c r="K872" s="45"/>
      <c r="L872" s="44"/>
      <c r="M872" s="46"/>
      <c r="N872" s="20"/>
      <c r="O872" s="48">
        <f t="shared" si="416"/>
        <v>519</v>
      </c>
      <c r="P872" s="54"/>
      <c r="Q872" s="54"/>
      <c r="R872" s="81">
        <f t="shared" si="410"/>
        <v>215.348761408083</v>
      </c>
      <c r="S872" s="81"/>
      <c r="T872" s="82">
        <f t="shared" si="411"/>
        <v>0.423728813559322</v>
      </c>
      <c r="U872" s="81"/>
      <c r="V872" s="81"/>
      <c r="W872" s="83">
        <f t="shared" si="409"/>
        <v>215.772490221643</v>
      </c>
      <c r="X872" s="84">
        <f t="shared" si="412"/>
        <v>2.5767926988266</v>
      </c>
      <c r="Y872" s="84"/>
      <c r="Z872" s="81"/>
      <c r="AA872" s="84">
        <f t="shared" ref="AA872:AA889" si="419">SUM(X872:Z872)</f>
        <v>2.5767926988266</v>
      </c>
      <c r="AB872" s="94">
        <v>7.17</v>
      </c>
      <c r="AC872" s="81">
        <f t="shared" si="417"/>
        <v>18.4756036505867</v>
      </c>
      <c r="AD872" s="81">
        <f t="shared" si="418"/>
        <v>234.248093872229</v>
      </c>
      <c r="AE872" s="81">
        <f t="shared" ref="AE872:AE889" si="420">SUM(O872-AD872)</f>
        <v>284.751906127771</v>
      </c>
    </row>
    <row r="873" customFormat="1" spans="1:31">
      <c r="A873" s="19"/>
      <c r="B873" s="20"/>
      <c r="C873" s="21">
        <v>240126000051</v>
      </c>
      <c r="D873" s="22">
        <v>45321</v>
      </c>
      <c r="E873" s="22" t="s">
        <v>44</v>
      </c>
      <c r="F873" s="20" t="s">
        <v>45</v>
      </c>
      <c r="G873" s="20" t="s">
        <v>85</v>
      </c>
      <c r="H873" s="20">
        <v>17</v>
      </c>
      <c r="I873" s="43">
        <v>1385.5</v>
      </c>
      <c r="J873" s="44"/>
      <c r="K873" s="45"/>
      <c r="L873" s="44"/>
      <c r="M873" s="46"/>
      <c r="N873" s="20"/>
      <c r="O873" s="48">
        <f t="shared" si="416"/>
        <v>1385.5</v>
      </c>
      <c r="P873" s="60"/>
      <c r="Q873" s="60"/>
      <c r="R873" s="81">
        <f t="shared" si="410"/>
        <v>732.185788787484</v>
      </c>
      <c r="S873" s="81"/>
      <c r="T873" s="82">
        <f t="shared" si="411"/>
        <v>1.44067796610169</v>
      </c>
      <c r="U873" s="81"/>
      <c r="V873" s="81"/>
      <c r="W873" s="83">
        <f t="shared" ref="W873:W889" si="421">SUM(R873:V873)</f>
        <v>733.626466753585</v>
      </c>
      <c r="X873" s="84">
        <f t="shared" si="412"/>
        <v>8.76109517601043</v>
      </c>
      <c r="Y873" s="84"/>
      <c r="Z873" s="81"/>
      <c r="AA873" s="84">
        <f t="shared" si="419"/>
        <v>8.76109517601043</v>
      </c>
      <c r="AB873" s="94">
        <v>7.17</v>
      </c>
      <c r="AC873" s="81">
        <f t="shared" si="417"/>
        <v>62.8170524119948</v>
      </c>
      <c r="AD873" s="81">
        <f t="shared" si="418"/>
        <v>796.44351916558</v>
      </c>
      <c r="AE873" s="81">
        <f t="shared" si="420"/>
        <v>589.05648083442</v>
      </c>
    </row>
    <row r="874" customFormat="1" spans="1:31">
      <c r="A874" s="19" t="s">
        <v>533</v>
      </c>
      <c r="B874" s="20" t="s">
        <v>534</v>
      </c>
      <c r="C874" s="21">
        <v>240123000051</v>
      </c>
      <c r="D874" s="22">
        <v>45322</v>
      </c>
      <c r="E874" s="22" t="s">
        <v>69</v>
      </c>
      <c r="F874" s="20" t="s">
        <v>192</v>
      </c>
      <c r="G874" s="20" t="s">
        <v>193</v>
      </c>
      <c r="H874" s="20">
        <v>1.5</v>
      </c>
      <c r="I874" s="43">
        <v>195</v>
      </c>
      <c r="J874" s="44"/>
      <c r="K874" s="45"/>
      <c r="L874" s="44"/>
      <c r="M874" s="46"/>
      <c r="N874" s="20"/>
      <c r="O874" s="48">
        <f t="shared" si="416"/>
        <v>195</v>
      </c>
      <c r="P874" s="49">
        <f>SUM(O874:O889)</f>
        <v>10905.8831</v>
      </c>
      <c r="Q874" s="49" t="s">
        <v>146</v>
      </c>
      <c r="R874" s="81">
        <f>SUM(4400/64)*H874</f>
        <v>103.125</v>
      </c>
      <c r="S874" s="81"/>
      <c r="T874" s="82">
        <f>SUM(78.81/64)*H874</f>
        <v>1.847109375</v>
      </c>
      <c r="U874" s="81"/>
      <c r="V874" s="81"/>
      <c r="W874" s="83">
        <f t="shared" si="421"/>
        <v>104.972109375</v>
      </c>
      <c r="X874" s="84">
        <f>SUM(111.54/64)*H874</f>
        <v>2.61421875</v>
      </c>
      <c r="Y874" s="84"/>
      <c r="Z874" s="81"/>
      <c r="AA874" s="84">
        <f t="shared" si="419"/>
        <v>2.61421875</v>
      </c>
      <c r="AB874" s="94">
        <v>7.17</v>
      </c>
      <c r="AC874" s="81">
        <f t="shared" si="417"/>
        <v>18.7439484375</v>
      </c>
      <c r="AD874" s="81">
        <f t="shared" si="418"/>
        <v>123.7160578125</v>
      </c>
      <c r="AE874" s="81">
        <f t="shared" si="420"/>
        <v>71.2839421875</v>
      </c>
    </row>
    <row r="875" customFormat="1" spans="1:31">
      <c r="A875" s="19"/>
      <c r="B875" s="20"/>
      <c r="C875" s="21">
        <v>240124000014</v>
      </c>
      <c r="D875" s="22">
        <v>45322</v>
      </c>
      <c r="E875" s="22" t="s">
        <v>58</v>
      </c>
      <c r="F875" s="20" t="s">
        <v>59</v>
      </c>
      <c r="G875" s="20" t="s">
        <v>535</v>
      </c>
      <c r="H875" s="20">
        <v>2</v>
      </c>
      <c r="I875" s="43">
        <v>585</v>
      </c>
      <c r="J875" s="44"/>
      <c r="K875" s="45"/>
      <c r="L875" s="44"/>
      <c r="M875" s="46"/>
      <c r="N875" s="20"/>
      <c r="O875" s="48">
        <f t="shared" si="416"/>
        <v>585</v>
      </c>
      <c r="P875" s="54"/>
      <c r="Q875" s="54"/>
      <c r="R875" s="81">
        <f t="shared" ref="R875:R889" si="422">SUM(4400/64)*H875</f>
        <v>137.5</v>
      </c>
      <c r="S875" s="81"/>
      <c r="T875" s="82">
        <f t="shared" ref="T875:T889" si="423">SUM(78.81/64)*H875</f>
        <v>2.4628125</v>
      </c>
      <c r="U875" s="81"/>
      <c r="V875" s="81"/>
      <c r="W875" s="83">
        <f t="shared" si="421"/>
        <v>139.9628125</v>
      </c>
      <c r="X875" s="84">
        <f t="shared" ref="X875:X889" si="424">SUM(111.54/64)*H875</f>
        <v>3.485625</v>
      </c>
      <c r="Y875" s="84"/>
      <c r="Z875" s="81"/>
      <c r="AA875" s="84">
        <f t="shared" si="419"/>
        <v>3.485625</v>
      </c>
      <c r="AB875" s="94">
        <v>7.17</v>
      </c>
      <c r="AC875" s="81">
        <f t="shared" si="417"/>
        <v>24.99193125</v>
      </c>
      <c r="AD875" s="81">
        <f t="shared" si="418"/>
        <v>164.95474375</v>
      </c>
      <c r="AE875" s="81">
        <f t="shared" si="420"/>
        <v>420.04525625</v>
      </c>
    </row>
    <row r="876" customFormat="1" spans="1:31">
      <c r="A876" s="19"/>
      <c r="B876" s="20"/>
      <c r="C876" s="21">
        <v>240125000039</v>
      </c>
      <c r="D876" s="22">
        <v>45322</v>
      </c>
      <c r="E876" s="22" t="s">
        <v>49</v>
      </c>
      <c r="F876" s="20" t="s">
        <v>374</v>
      </c>
      <c r="G876" s="20" t="s">
        <v>375</v>
      </c>
      <c r="H876" s="20">
        <v>1.5</v>
      </c>
      <c r="I876" s="43">
        <v>240</v>
      </c>
      <c r="J876" s="44"/>
      <c r="K876" s="45"/>
      <c r="L876" s="44"/>
      <c r="M876" s="46"/>
      <c r="N876" s="20"/>
      <c r="O876" s="48">
        <f t="shared" si="416"/>
        <v>240</v>
      </c>
      <c r="P876" s="54"/>
      <c r="Q876" s="54"/>
      <c r="R876" s="81">
        <f t="shared" si="422"/>
        <v>103.125</v>
      </c>
      <c r="S876" s="81"/>
      <c r="T876" s="82">
        <f t="shared" si="423"/>
        <v>1.847109375</v>
      </c>
      <c r="U876" s="81"/>
      <c r="V876" s="81"/>
      <c r="W876" s="83">
        <f t="shared" si="421"/>
        <v>104.972109375</v>
      </c>
      <c r="X876" s="84">
        <f t="shared" si="424"/>
        <v>2.61421875</v>
      </c>
      <c r="Y876" s="84"/>
      <c r="Z876" s="81"/>
      <c r="AA876" s="84">
        <f t="shared" si="419"/>
        <v>2.61421875</v>
      </c>
      <c r="AB876" s="94">
        <v>7.17</v>
      </c>
      <c r="AC876" s="81">
        <f t="shared" si="417"/>
        <v>18.7439484375</v>
      </c>
      <c r="AD876" s="81">
        <f t="shared" si="418"/>
        <v>123.7160578125</v>
      </c>
      <c r="AE876" s="81">
        <f t="shared" si="420"/>
        <v>116.2839421875</v>
      </c>
    </row>
    <row r="877" customFormat="1" spans="1:31">
      <c r="A877" s="19"/>
      <c r="B877" s="20"/>
      <c r="C877" s="21">
        <v>240126000016</v>
      </c>
      <c r="D877" s="22">
        <v>45322</v>
      </c>
      <c r="E877" s="22" t="s">
        <v>37</v>
      </c>
      <c r="F877" s="20" t="s">
        <v>38</v>
      </c>
      <c r="G877" s="20" t="s">
        <v>148</v>
      </c>
      <c r="H877" s="20">
        <v>1</v>
      </c>
      <c r="I877" s="43">
        <v>125</v>
      </c>
      <c r="J877" s="44"/>
      <c r="K877" s="45"/>
      <c r="L877" s="44"/>
      <c r="M877" s="46"/>
      <c r="N877" s="20"/>
      <c r="O877" s="48">
        <f t="shared" si="416"/>
        <v>125</v>
      </c>
      <c r="P877" s="54"/>
      <c r="Q877" s="54"/>
      <c r="R877" s="81">
        <f t="shared" si="422"/>
        <v>68.75</v>
      </c>
      <c r="S877" s="81"/>
      <c r="T877" s="82">
        <f t="shared" si="423"/>
        <v>1.23140625</v>
      </c>
      <c r="U877" s="81"/>
      <c r="V877" s="81"/>
      <c r="W877" s="83">
        <f t="shared" si="421"/>
        <v>69.98140625</v>
      </c>
      <c r="X877" s="84">
        <f t="shared" si="424"/>
        <v>1.7428125</v>
      </c>
      <c r="Y877" s="84"/>
      <c r="Z877" s="81"/>
      <c r="AA877" s="84">
        <f t="shared" si="419"/>
        <v>1.7428125</v>
      </c>
      <c r="AB877" s="94">
        <v>7.17</v>
      </c>
      <c r="AC877" s="81">
        <f t="shared" si="417"/>
        <v>12.495965625</v>
      </c>
      <c r="AD877" s="81">
        <f t="shared" si="418"/>
        <v>82.477371875</v>
      </c>
      <c r="AE877" s="81">
        <f t="shared" si="420"/>
        <v>42.522628125</v>
      </c>
    </row>
    <row r="878" customFormat="1" spans="1:31">
      <c r="A878" s="19"/>
      <c r="B878" s="20"/>
      <c r="C878" s="21">
        <v>240126000029</v>
      </c>
      <c r="D878" s="22">
        <v>45322</v>
      </c>
      <c r="E878" s="22" t="s">
        <v>44</v>
      </c>
      <c r="F878" s="20" t="s">
        <v>45</v>
      </c>
      <c r="G878" s="20" t="s">
        <v>395</v>
      </c>
      <c r="H878" s="20">
        <v>2</v>
      </c>
      <c r="I878" s="43">
        <v>260</v>
      </c>
      <c r="J878" s="44"/>
      <c r="K878" s="45"/>
      <c r="L878" s="44"/>
      <c r="M878" s="46"/>
      <c r="N878" s="20"/>
      <c r="O878" s="48">
        <f t="shared" si="416"/>
        <v>260</v>
      </c>
      <c r="P878" s="54"/>
      <c r="Q878" s="54"/>
      <c r="R878" s="81">
        <f t="shared" si="422"/>
        <v>137.5</v>
      </c>
      <c r="S878" s="81"/>
      <c r="T878" s="82">
        <f t="shared" si="423"/>
        <v>2.4628125</v>
      </c>
      <c r="U878" s="81"/>
      <c r="V878" s="81"/>
      <c r="W878" s="83">
        <f t="shared" si="421"/>
        <v>139.9628125</v>
      </c>
      <c r="X878" s="84">
        <f t="shared" si="424"/>
        <v>3.485625</v>
      </c>
      <c r="Y878" s="84"/>
      <c r="Z878" s="81"/>
      <c r="AA878" s="84">
        <f t="shared" si="419"/>
        <v>3.485625</v>
      </c>
      <c r="AB878" s="94">
        <v>7.17</v>
      </c>
      <c r="AC878" s="81">
        <f t="shared" si="417"/>
        <v>24.99193125</v>
      </c>
      <c r="AD878" s="81">
        <f t="shared" si="418"/>
        <v>164.95474375</v>
      </c>
      <c r="AE878" s="81">
        <f t="shared" si="420"/>
        <v>95.04525625</v>
      </c>
    </row>
    <row r="879" customFormat="1" spans="1:31">
      <c r="A879" s="19"/>
      <c r="B879" s="20"/>
      <c r="C879" s="21">
        <v>240126000031</v>
      </c>
      <c r="D879" s="22">
        <v>45322</v>
      </c>
      <c r="E879" s="22" t="s">
        <v>44</v>
      </c>
      <c r="F879" s="20" t="s">
        <v>45</v>
      </c>
      <c r="G879" s="20" t="s">
        <v>395</v>
      </c>
      <c r="H879" s="20">
        <v>0.46</v>
      </c>
      <c r="I879" s="43">
        <v>130</v>
      </c>
      <c r="J879" s="44"/>
      <c r="K879" s="45"/>
      <c r="L879" s="44"/>
      <c r="M879" s="46"/>
      <c r="N879" s="20"/>
      <c r="O879" s="48">
        <f t="shared" si="416"/>
        <v>130</v>
      </c>
      <c r="P879" s="54"/>
      <c r="Q879" s="54"/>
      <c r="R879" s="81">
        <f t="shared" si="422"/>
        <v>31.625</v>
      </c>
      <c r="S879" s="81"/>
      <c r="T879" s="82">
        <f t="shared" si="423"/>
        <v>0.566446875</v>
      </c>
      <c r="U879" s="81"/>
      <c r="V879" s="81"/>
      <c r="W879" s="83">
        <f t="shared" si="421"/>
        <v>32.191446875</v>
      </c>
      <c r="X879" s="84">
        <f t="shared" si="424"/>
        <v>0.80169375</v>
      </c>
      <c r="Y879" s="84"/>
      <c r="Z879" s="81"/>
      <c r="AA879" s="84">
        <f t="shared" si="419"/>
        <v>0.80169375</v>
      </c>
      <c r="AB879" s="94">
        <v>7.17</v>
      </c>
      <c r="AC879" s="81">
        <f t="shared" si="417"/>
        <v>5.7481441875</v>
      </c>
      <c r="AD879" s="81">
        <f t="shared" si="418"/>
        <v>37.9395910625</v>
      </c>
      <c r="AE879" s="81">
        <f t="shared" si="420"/>
        <v>92.0604089375</v>
      </c>
    </row>
    <row r="880" customFormat="1" spans="1:31">
      <c r="A880" s="19"/>
      <c r="B880" s="20"/>
      <c r="C880" s="21">
        <v>240126000041</v>
      </c>
      <c r="D880" s="22">
        <v>45322</v>
      </c>
      <c r="E880" s="22" t="s">
        <v>58</v>
      </c>
      <c r="F880" s="20" t="s">
        <v>59</v>
      </c>
      <c r="G880" s="20" t="s">
        <v>536</v>
      </c>
      <c r="H880" s="20">
        <v>0.78</v>
      </c>
      <c r="I880" s="43">
        <v>125</v>
      </c>
      <c r="J880" s="44"/>
      <c r="K880" s="45"/>
      <c r="L880" s="44"/>
      <c r="M880" s="46"/>
      <c r="N880" s="20"/>
      <c r="O880" s="48">
        <f t="shared" si="416"/>
        <v>125</v>
      </c>
      <c r="P880" s="54"/>
      <c r="Q880" s="54"/>
      <c r="R880" s="81">
        <f t="shared" si="422"/>
        <v>53.625</v>
      </c>
      <c r="S880" s="81"/>
      <c r="T880" s="82">
        <f t="shared" si="423"/>
        <v>0.960496875</v>
      </c>
      <c r="U880" s="81"/>
      <c r="V880" s="81"/>
      <c r="W880" s="83">
        <f t="shared" si="421"/>
        <v>54.585496875</v>
      </c>
      <c r="X880" s="84">
        <f t="shared" si="424"/>
        <v>1.35939375</v>
      </c>
      <c r="Y880" s="84"/>
      <c r="Z880" s="81"/>
      <c r="AA880" s="84">
        <f t="shared" si="419"/>
        <v>1.35939375</v>
      </c>
      <c r="AB880" s="94">
        <v>7.17</v>
      </c>
      <c r="AC880" s="81">
        <f t="shared" si="417"/>
        <v>9.7468531875</v>
      </c>
      <c r="AD880" s="81">
        <f t="shared" si="418"/>
        <v>64.3323500625</v>
      </c>
      <c r="AE880" s="81">
        <f t="shared" si="420"/>
        <v>60.6676499375</v>
      </c>
    </row>
    <row r="881" customFormat="1" spans="1:31">
      <c r="A881" s="19"/>
      <c r="B881" s="20"/>
      <c r="C881" s="21">
        <v>240126000044</v>
      </c>
      <c r="D881" s="22">
        <v>45322</v>
      </c>
      <c r="E881" s="22" t="s">
        <v>37</v>
      </c>
      <c r="F881" s="20" t="s">
        <v>38</v>
      </c>
      <c r="G881" s="20" t="s">
        <v>537</v>
      </c>
      <c r="H881" s="20">
        <v>2.5</v>
      </c>
      <c r="I881" s="50"/>
      <c r="J881" s="51">
        <v>67187</v>
      </c>
      <c r="K881" s="52"/>
      <c r="L881" s="51">
        <f>SUM(J881/M881)</f>
        <v>1541.69343735659</v>
      </c>
      <c r="M881" s="53">
        <v>43.58</v>
      </c>
      <c r="N881" s="20">
        <v>7.17</v>
      </c>
      <c r="O881" s="48">
        <f t="shared" ref="O881:O886" si="425">SUM(M881*N881)</f>
        <v>312.4686</v>
      </c>
      <c r="P881" s="54"/>
      <c r="Q881" s="54"/>
      <c r="R881" s="81">
        <f t="shared" si="422"/>
        <v>171.875</v>
      </c>
      <c r="S881" s="81"/>
      <c r="T881" s="82">
        <f t="shared" si="423"/>
        <v>3.078515625</v>
      </c>
      <c r="U881" s="81"/>
      <c r="V881" s="81"/>
      <c r="W881" s="83">
        <f t="shared" si="421"/>
        <v>174.953515625</v>
      </c>
      <c r="X881" s="84">
        <f t="shared" si="424"/>
        <v>4.35703125</v>
      </c>
      <c r="Y881" s="84"/>
      <c r="Z881" s="81"/>
      <c r="AA881" s="84">
        <f t="shared" si="419"/>
        <v>4.35703125</v>
      </c>
      <c r="AB881" s="94">
        <v>7.17</v>
      </c>
      <c r="AC881" s="81">
        <f t="shared" si="417"/>
        <v>31.2399140625</v>
      </c>
      <c r="AD881" s="81">
        <f t="shared" si="418"/>
        <v>206.1934296875</v>
      </c>
      <c r="AE881" s="81">
        <f t="shared" si="420"/>
        <v>106.2751703125</v>
      </c>
    </row>
    <row r="882" customFormat="1" spans="1:31">
      <c r="A882" s="19"/>
      <c r="B882" s="20"/>
      <c r="C882" s="21">
        <v>240126000045</v>
      </c>
      <c r="D882" s="22">
        <v>45322</v>
      </c>
      <c r="E882" s="25" t="s">
        <v>69</v>
      </c>
      <c r="F882" s="20" t="s">
        <v>69</v>
      </c>
      <c r="G882" s="20" t="s">
        <v>274</v>
      </c>
      <c r="H882" s="20">
        <v>1.5</v>
      </c>
      <c r="I882" s="43">
        <v>160</v>
      </c>
      <c r="J882" s="44"/>
      <c r="K882" s="45"/>
      <c r="L882" s="44"/>
      <c r="M882" s="46"/>
      <c r="N882" s="20"/>
      <c r="O882" s="48">
        <f t="shared" ref="O882:O885" si="426">SUM(I882)</f>
        <v>160</v>
      </c>
      <c r="P882" s="54"/>
      <c r="Q882" s="54"/>
      <c r="R882" s="81">
        <f t="shared" si="422"/>
        <v>103.125</v>
      </c>
      <c r="S882" s="81"/>
      <c r="T882" s="82">
        <f t="shared" si="423"/>
        <v>1.847109375</v>
      </c>
      <c r="U882" s="81"/>
      <c r="V882" s="81"/>
      <c r="W882" s="83">
        <f t="shared" si="421"/>
        <v>104.972109375</v>
      </c>
      <c r="X882" s="84">
        <f t="shared" si="424"/>
        <v>2.61421875</v>
      </c>
      <c r="Y882" s="84"/>
      <c r="Z882" s="81"/>
      <c r="AA882" s="84">
        <f t="shared" si="419"/>
        <v>2.61421875</v>
      </c>
      <c r="AB882" s="94">
        <v>7.17</v>
      </c>
      <c r="AC882" s="81">
        <f t="shared" si="417"/>
        <v>18.7439484375</v>
      </c>
      <c r="AD882" s="81">
        <f t="shared" si="418"/>
        <v>123.7160578125</v>
      </c>
      <c r="AE882" s="81">
        <f t="shared" si="420"/>
        <v>36.2839421875</v>
      </c>
    </row>
    <row r="883" customFormat="1" spans="1:31">
      <c r="A883" s="19"/>
      <c r="B883" s="20"/>
      <c r="C883" s="21">
        <v>240127000004</v>
      </c>
      <c r="D883" s="22">
        <v>45322</v>
      </c>
      <c r="E883" s="25" t="s">
        <v>69</v>
      </c>
      <c r="F883" s="20" t="s">
        <v>69</v>
      </c>
      <c r="G883" s="20" t="s">
        <v>240</v>
      </c>
      <c r="H883" s="20">
        <v>3</v>
      </c>
      <c r="I883" s="43">
        <v>375</v>
      </c>
      <c r="J883" s="44"/>
      <c r="K883" s="45"/>
      <c r="L883" s="44"/>
      <c r="M883" s="46"/>
      <c r="N883" s="20"/>
      <c r="O883" s="48">
        <f t="shared" si="426"/>
        <v>375</v>
      </c>
      <c r="P883" s="54"/>
      <c r="Q883" s="54"/>
      <c r="R883" s="81">
        <f t="shared" si="422"/>
        <v>206.25</v>
      </c>
      <c r="S883" s="81"/>
      <c r="T883" s="82">
        <f t="shared" si="423"/>
        <v>3.69421875</v>
      </c>
      <c r="U883" s="81"/>
      <c r="V883" s="81"/>
      <c r="W883" s="83">
        <f t="shared" si="421"/>
        <v>209.94421875</v>
      </c>
      <c r="X883" s="84">
        <f t="shared" si="424"/>
        <v>5.2284375</v>
      </c>
      <c r="Y883" s="84"/>
      <c r="Z883" s="81"/>
      <c r="AA883" s="84">
        <f t="shared" si="419"/>
        <v>5.2284375</v>
      </c>
      <c r="AB883" s="94">
        <v>7.17</v>
      </c>
      <c r="AC883" s="81">
        <f t="shared" si="417"/>
        <v>37.487896875</v>
      </c>
      <c r="AD883" s="81">
        <f t="shared" si="418"/>
        <v>247.432115625</v>
      </c>
      <c r="AE883" s="81">
        <f t="shared" si="420"/>
        <v>127.567884375</v>
      </c>
    </row>
    <row r="884" customFormat="1" spans="1:31">
      <c r="A884" s="19"/>
      <c r="B884" s="20"/>
      <c r="C884" s="21">
        <v>240127000019</v>
      </c>
      <c r="D884" s="22">
        <v>45322</v>
      </c>
      <c r="E884" s="22" t="s">
        <v>44</v>
      </c>
      <c r="F884" s="20" t="s">
        <v>45</v>
      </c>
      <c r="G884" s="20" t="s">
        <v>538</v>
      </c>
      <c r="H884" s="20">
        <v>6</v>
      </c>
      <c r="I884" s="48"/>
      <c r="J884" s="55">
        <v>167215</v>
      </c>
      <c r="K884" s="56"/>
      <c r="L884" s="51">
        <f>SUM(J884/M884)</f>
        <v>1548.0003703018</v>
      </c>
      <c r="M884" s="53">
        <v>108.02</v>
      </c>
      <c r="N884" s="20">
        <v>7.17</v>
      </c>
      <c r="O884" s="48">
        <f t="shared" si="425"/>
        <v>774.5034</v>
      </c>
      <c r="P884" s="54"/>
      <c r="Q884" s="54"/>
      <c r="R884" s="81">
        <f t="shared" si="422"/>
        <v>412.5</v>
      </c>
      <c r="S884" s="81"/>
      <c r="T884" s="82">
        <f t="shared" si="423"/>
        <v>7.3884375</v>
      </c>
      <c r="U884" s="81"/>
      <c r="V884" s="82">
        <v>17</v>
      </c>
      <c r="W884" s="83">
        <f t="shared" si="421"/>
        <v>436.8884375</v>
      </c>
      <c r="X884" s="84">
        <f t="shared" si="424"/>
        <v>10.456875</v>
      </c>
      <c r="Y884" s="84"/>
      <c r="Z884" s="81"/>
      <c r="AA884" s="84">
        <f t="shared" si="419"/>
        <v>10.456875</v>
      </c>
      <c r="AB884" s="94">
        <v>7.17</v>
      </c>
      <c r="AC884" s="81">
        <f t="shared" si="417"/>
        <v>74.97579375</v>
      </c>
      <c r="AD884" s="81">
        <f t="shared" si="418"/>
        <v>511.86423125</v>
      </c>
      <c r="AE884" s="81">
        <f t="shared" si="420"/>
        <v>262.63916875</v>
      </c>
    </row>
    <row r="885" customFormat="1" spans="1:31">
      <c r="A885" s="19"/>
      <c r="B885" s="20"/>
      <c r="C885" s="21">
        <v>240127000020</v>
      </c>
      <c r="D885" s="22">
        <v>45322</v>
      </c>
      <c r="E885" s="25" t="s">
        <v>69</v>
      </c>
      <c r="F885" s="20" t="s">
        <v>69</v>
      </c>
      <c r="G885" s="20" t="s">
        <v>252</v>
      </c>
      <c r="H885" s="20">
        <v>3.5</v>
      </c>
      <c r="I885" s="43">
        <v>437.5</v>
      </c>
      <c r="J885" s="44"/>
      <c r="K885" s="45"/>
      <c r="L885" s="44"/>
      <c r="M885" s="46"/>
      <c r="N885" s="20"/>
      <c r="O885" s="48">
        <f t="shared" si="426"/>
        <v>437.5</v>
      </c>
      <c r="P885" s="54"/>
      <c r="Q885" s="54"/>
      <c r="R885" s="81">
        <f t="shared" si="422"/>
        <v>240.625</v>
      </c>
      <c r="S885" s="81"/>
      <c r="T885" s="82">
        <f t="shared" si="423"/>
        <v>4.309921875</v>
      </c>
      <c r="U885" s="81"/>
      <c r="V885" s="81"/>
      <c r="W885" s="83">
        <f t="shared" si="421"/>
        <v>244.934921875</v>
      </c>
      <c r="X885" s="84">
        <f t="shared" si="424"/>
        <v>6.09984375</v>
      </c>
      <c r="Y885" s="84"/>
      <c r="Z885" s="81"/>
      <c r="AA885" s="84">
        <f t="shared" si="419"/>
        <v>6.09984375</v>
      </c>
      <c r="AB885" s="94">
        <v>7.17</v>
      </c>
      <c r="AC885" s="81">
        <f t="shared" si="417"/>
        <v>43.7358796875</v>
      </c>
      <c r="AD885" s="81">
        <f t="shared" si="418"/>
        <v>288.6708015625</v>
      </c>
      <c r="AE885" s="81">
        <f t="shared" si="420"/>
        <v>148.8291984375</v>
      </c>
    </row>
    <row r="886" customFormat="1" spans="1:31">
      <c r="A886" s="19"/>
      <c r="B886" s="20"/>
      <c r="C886" s="21">
        <v>240128000003</v>
      </c>
      <c r="D886" s="22">
        <v>45322</v>
      </c>
      <c r="E886" s="22" t="s">
        <v>49</v>
      </c>
      <c r="F886" s="20" t="s">
        <v>50</v>
      </c>
      <c r="G886" s="20" t="s">
        <v>264</v>
      </c>
      <c r="H886" s="20">
        <v>2.5</v>
      </c>
      <c r="I886" s="50"/>
      <c r="J886" s="51">
        <v>67290</v>
      </c>
      <c r="K886" s="52"/>
      <c r="L886" s="51">
        <f>SUM(J886/M886)</f>
        <v>1613.6690647482</v>
      </c>
      <c r="M886" s="53">
        <v>41.7</v>
      </c>
      <c r="N886" s="20">
        <v>7.17</v>
      </c>
      <c r="O886" s="48">
        <f t="shared" si="425"/>
        <v>298.989</v>
      </c>
      <c r="P886" s="54"/>
      <c r="Q886" s="54"/>
      <c r="R886" s="81">
        <f t="shared" si="422"/>
        <v>171.875</v>
      </c>
      <c r="S886" s="81"/>
      <c r="T886" s="82">
        <f t="shared" si="423"/>
        <v>3.078515625</v>
      </c>
      <c r="U886" s="81"/>
      <c r="V886" s="81"/>
      <c r="W886" s="83">
        <f t="shared" si="421"/>
        <v>174.953515625</v>
      </c>
      <c r="X886" s="84">
        <f t="shared" si="424"/>
        <v>4.35703125</v>
      </c>
      <c r="Y886" s="84"/>
      <c r="Z886" s="81"/>
      <c r="AA886" s="84">
        <f t="shared" si="419"/>
        <v>4.35703125</v>
      </c>
      <c r="AB886" s="94">
        <v>7.17</v>
      </c>
      <c r="AC886" s="81">
        <f t="shared" si="417"/>
        <v>31.2399140625</v>
      </c>
      <c r="AD886" s="81">
        <f t="shared" si="418"/>
        <v>206.1934296875</v>
      </c>
      <c r="AE886" s="81">
        <f t="shared" si="420"/>
        <v>92.7955703125</v>
      </c>
    </row>
    <row r="887" customFormat="1" spans="1:31">
      <c r="A887" s="19"/>
      <c r="B887" s="20"/>
      <c r="C887" s="21">
        <v>240129000043</v>
      </c>
      <c r="D887" s="22">
        <v>45322</v>
      </c>
      <c r="E887" s="22" t="s">
        <v>49</v>
      </c>
      <c r="F887" s="20" t="s">
        <v>50</v>
      </c>
      <c r="G887" s="20" t="s">
        <v>189</v>
      </c>
      <c r="H887" s="20">
        <v>3.5</v>
      </c>
      <c r="I887" s="43">
        <v>455</v>
      </c>
      <c r="J887" s="44"/>
      <c r="K887" s="45"/>
      <c r="L887" s="44"/>
      <c r="M887" s="46"/>
      <c r="N887" s="20"/>
      <c r="O887" s="48">
        <f>SUM(I887)</f>
        <v>455</v>
      </c>
      <c r="P887" s="54"/>
      <c r="Q887" s="54"/>
      <c r="R887" s="81">
        <f t="shared" si="422"/>
        <v>240.625</v>
      </c>
      <c r="S887" s="81"/>
      <c r="T887" s="82">
        <f t="shared" si="423"/>
        <v>4.309921875</v>
      </c>
      <c r="U887" s="81"/>
      <c r="V887" s="81"/>
      <c r="W887" s="83">
        <f t="shared" si="421"/>
        <v>244.934921875</v>
      </c>
      <c r="X887" s="84">
        <f t="shared" si="424"/>
        <v>6.09984375</v>
      </c>
      <c r="Y887" s="84"/>
      <c r="Z887" s="81"/>
      <c r="AA887" s="84">
        <f t="shared" si="419"/>
        <v>6.09984375</v>
      </c>
      <c r="AB887" s="94">
        <v>7.17</v>
      </c>
      <c r="AC887" s="81">
        <f t="shared" si="417"/>
        <v>43.7358796875</v>
      </c>
      <c r="AD887" s="81">
        <f t="shared" ref="AD887:AD902" si="427">SUM(W887+AC887)</f>
        <v>288.6708015625</v>
      </c>
      <c r="AE887" s="81">
        <f t="shared" ref="AE887:AE902" si="428">SUM(O887-AD887)</f>
        <v>166.3291984375</v>
      </c>
    </row>
    <row r="888" customFormat="1" spans="1:31">
      <c r="A888" s="19"/>
      <c r="B888" s="20"/>
      <c r="C888" s="21">
        <v>240129000061</v>
      </c>
      <c r="D888" s="22">
        <v>45322</v>
      </c>
      <c r="E888" s="22" t="s">
        <v>49</v>
      </c>
      <c r="F888" s="20" t="s">
        <v>50</v>
      </c>
      <c r="G888" s="20" t="s">
        <v>116</v>
      </c>
      <c r="H888" s="20">
        <v>21.5</v>
      </c>
      <c r="I888" s="50"/>
      <c r="J888" s="51">
        <v>716487.5</v>
      </c>
      <c r="K888" s="52"/>
      <c r="L888" s="51">
        <f>SUM(J888/M888)</f>
        <v>1541.56267481389</v>
      </c>
      <c r="M888" s="53">
        <v>464.78</v>
      </c>
      <c r="N888" s="20">
        <v>7.17</v>
      </c>
      <c r="O888" s="48">
        <f t="shared" ref="O888:O892" si="429">SUM(M888*N888)</f>
        <v>3332.4726</v>
      </c>
      <c r="P888" s="54"/>
      <c r="Q888" s="54"/>
      <c r="R888" s="81">
        <f t="shared" si="422"/>
        <v>1478.125</v>
      </c>
      <c r="S888" s="81"/>
      <c r="T888" s="82">
        <f t="shared" si="423"/>
        <v>26.475234375</v>
      </c>
      <c r="U888" s="81"/>
      <c r="V888" s="81"/>
      <c r="W888" s="83">
        <f t="shared" ref="W888:W902" si="430">SUM(R888:V888)</f>
        <v>1504.600234375</v>
      </c>
      <c r="X888" s="84">
        <f t="shared" si="424"/>
        <v>37.47046875</v>
      </c>
      <c r="Y888" s="84"/>
      <c r="Z888" s="81"/>
      <c r="AA888" s="84">
        <f t="shared" ref="AA888:AA902" si="431">SUM(X888:Z888)</f>
        <v>37.47046875</v>
      </c>
      <c r="AB888" s="94">
        <v>7.17</v>
      </c>
      <c r="AC888" s="81">
        <f t="shared" ref="AC888:AC902" si="432">SUM(AA888*AB888)</f>
        <v>268.6632609375</v>
      </c>
      <c r="AD888" s="81">
        <f t="shared" si="427"/>
        <v>1773.2634953125</v>
      </c>
      <c r="AE888" s="81">
        <f t="shared" si="428"/>
        <v>1559.2091046875</v>
      </c>
    </row>
    <row r="889" customFormat="1" spans="1:31">
      <c r="A889" s="19"/>
      <c r="B889" s="20"/>
      <c r="C889" s="21">
        <v>240129000062</v>
      </c>
      <c r="D889" s="22">
        <v>45322</v>
      </c>
      <c r="E889" s="22" t="s">
        <v>49</v>
      </c>
      <c r="F889" s="20" t="s">
        <v>50</v>
      </c>
      <c r="G889" s="20" t="s">
        <v>116</v>
      </c>
      <c r="H889" s="20">
        <v>20</v>
      </c>
      <c r="I889" s="50"/>
      <c r="J889" s="51">
        <v>666500</v>
      </c>
      <c r="K889" s="52"/>
      <c r="L889" s="51">
        <f>SUM(J889/M889)</f>
        <v>1541.57511275587</v>
      </c>
      <c r="M889" s="53">
        <v>432.35</v>
      </c>
      <c r="N889" s="20">
        <v>7.17</v>
      </c>
      <c r="O889" s="48">
        <f t="shared" si="429"/>
        <v>3099.9495</v>
      </c>
      <c r="P889" s="60"/>
      <c r="Q889" s="60"/>
      <c r="R889" s="81">
        <f t="shared" si="422"/>
        <v>1375</v>
      </c>
      <c r="S889" s="81"/>
      <c r="T889" s="82">
        <f t="shared" si="423"/>
        <v>24.628125</v>
      </c>
      <c r="U889" s="81"/>
      <c r="V889" s="81"/>
      <c r="W889" s="83">
        <f t="shared" si="430"/>
        <v>1399.628125</v>
      </c>
      <c r="X889" s="84">
        <f t="shared" si="424"/>
        <v>34.85625</v>
      </c>
      <c r="Y889" s="84"/>
      <c r="Z889" s="81"/>
      <c r="AA889" s="84">
        <f t="shared" si="431"/>
        <v>34.85625</v>
      </c>
      <c r="AB889" s="94">
        <v>7.17</v>
      </c>
      <c r="AC889" s="81">
        <f t="shared" si="432"/>
        <v>249.9193125</v>
      </c>
      <c r="AD889" s="81">
        <f t="shared" si="427"/>
        <v>1649.5474375</v>
      </c>
      <c r="AE889" s="81">
        <f t="shared" si="428"/>
        <v>1450.4020625</v>
      </c>
    </row>
    <row r="890" customFormat="1" spans="1:31">
      <c r="A890" s="19" t="s">
        <v>539</v>
      </c>
      <c r="B890" s="20" t="s">
        <v>540</v>
      </c>
      <c r="C890" s="21">
        <v>240122000048</v>
      </c>
      <c r="D890" s="22">
        <v>45322</v>
      </c>
      <c r="E890" s="22" t="s">
        <v>49</v>
      </c>
      <c r="F890" s="20" t="s">
        <v>50</v>
      </c>
      <c r="G890" s="20" t="s">
        <v>541</v>
      </c>
      <c r="H890" s="20">
        <v>24</v>
      </c>
      <c r="I890" s="43">
        <v>1320</v>
      </c>
      <c r="J890" s="44"/>
      <c r="K890" s="45"/>
      <c r="L890" s="44"/>
      <c r="M890" s="46"/>
      <c r="N890" s="20"/>
      <c r="O890" s="48">
        <f t="shared" ref="O890:O898" si="433">SUM(I890)</f>
        <v>1320</v>
      </c>
      <c r="P890" s="49">
        <f>SUM(O890:O902)</f>
        <v>351251.484</v>
      </c>
      <c r="Q890" s="49" t="s">
        <v>494</v>
      </c>
      <c r="R890" s="81">
        <f>SUM(248116/7338)*H890</f>
        <v>811.499591169256</v>
      </c>
      <c r="S890" s="81"/>
      <c r="T890" s="82">
        <f>SUM(138/7338)*H890</f>
        <v>0.451349141455437</v>
      </c>
      <c r="U890" s="81"/>
      <c r="V890" s="81"/>
      <c r="W890" s="83">
        <f t="shared" si="430"/>
        <v>811.950940310711</v>
      </c>
      <c r="X890" s="84">
        <f>SUM(5777.57/7338)*H890</f>
        <v>18.8963859362224</v>
      </c>
      <c r="Y890" s="84"/>
      <c r="Z890" s="81"/>
      <c r="AA890" s="84">
        <f t="shared" si="431"/>
        <v>18.8963859362224</v>
      </c>
      <c r="AB890" s="94">
        <v>7.17</v>
      </c>
      <c r="AC890" s="81">
        <f t="shared" si="432"/>
        <v>135.487087162715</v>
      </c>
      <c r="AD890" s="81">
        <f t="shared" si="427"/>
        <v>947.438027473426</v>
      </c>
      <c r="AE890" s="81">
        <f t="shared" si="428"/>
        <v>372.561972526574</v>
      </c>
    </row>
    <row r="891" customFormat="1" spans="1:31">
      <c r="A891" s="19"/>
      <c r="B891" s="20"/>
      <c r="C891" s="21">
        <v>240123000007</v>
      </c>
      <c r="D891" s="22">
        <v>45322</v>
      </c>
      <c r="E891" s="22" t="s">
        <v>58</v>
      </c>
      <c r="F891" s="20" t="s">
        <v>59</v>
      </c>
      <c r="G891" s="20" t="s">
        <v>437</v>
      </c>
      <c r="H891" s="20">
        <v>174</v>
      </c>
      <c r="I891" s="50"/>
      <c r="J891" s="51">
        <v>1931564</v>
      </c>
      <c r="K891" s="52"/>
      <c r="L891" s="51">
        <f>SUM(J891/M891)</f>
        <v>1534.38773483735</v>
      </c>
      <c r="M891" s="53">
        <v>1258.85</v>
      </c>
      <c r="N891" s="20">
        <v>7.17</v>
      </c>
      <c r="O891" s="48">
        <f t="shared" si="429"/>
        <v>9025.9545</v>
      </c>
      <c r="P891" s="54"/>
      <c r="Q891" s="54"/>
      <c r="R891" s="81">
        <f t="shared" ref="R891:R902" si="434">SUM(248116/7338)*H891</f>
        <v>5883.37203597711</v>
      </c>
      <c r="S891" s="81"/>
      <c r="T891" s="82">
        <f t="shared" ref="T891:T902" si="435">SUM(138/7338)*H891</f>
        <v>3.27228127555192</v>
      </c>
      <c r="U891" s="81"/>
      <c r="V891" s="81"/>
      <c r="W891" s="83">
        <f t="shared" si="430"/>
        <v>5886.64431725266</v>
      </c>
      <c r="X891" s="84">
        <f t="shared" ref="X891:X902" si="436">SUM(5777.57/7338)*H891</f>
        <v>136.998798037612</v>
      </c>
      <c r="Y891" s="84"/>
      <c r="Z891" s="81"/>
      <c r="AA891" s="84">
        <f t="shared" si="431"/>
        <v>136.998798037612</v>
      </c>
      <c r="AB891" s="94">
        <v>7.17</v>
      </c>
      <c r="AC891" s="81">
        <f t="shared" si="432"/>
        <v>982.281381929681</v>
      </c>
      <c r="AD891" s="81">
        <f t="shared" si="427"/>
        <v>6868.92569918234</v>
      </c>
      <c r="AE891" s="81">
        <f t="shared" si="428"/>
        <v>2157.02880081766</v>
      </c>
    </row>
    <row r="892" customFormat="1" spans="1:31">
      <c r="A892" s="19"/>
      <c r="B892" s="20"/>
      <c r="C892" s="21">
        <v>240123000040</v>
      </c>
      <c r="D892" s="22">
        <v>45322</v>
      </c>
      <c r="E892" s="22" t="s">
        <v>44</v>
      </c>
      <c r="F892" s="20" t="s">
        <v>73</v>
      </c>
      <c r="G892" s="20" t="s">
        <v>74</v>
      </c>
      <c r="H892" s="20">
        <v>60.5</v>
      </c>
      <c r="I892" s="48"/>
      <c r="J892" s="55">
        <v>657280</v>
      </c>
      <c r="K892" s="56"/>
      <c r="L892" s="51">
        <f>SUM(J892/M892)</f>
        <v>1547.99811587376</v>
      </c>
      <c r="M892" s="53">
        <v>424.6</v>
      </c>
      <c r="N892" s="20">
        <v>7.17</v>
      </c>
      <c r="O892" s="48">
        <f t="shared" si="429"/>
        <v>3044.382</v>
      </c>
      <c r="P892" s="54"/>
      <c r="Q892" s="54"/>
      <c r="R892" s="81">
        <f t="shared" si="434"/>
        <v>2045.65521940583</v>
      </c>
      <c r="S892" s="81"/>
      <c r="T892" s="82">
        <f t="shared" si="435"/>
        <v>1.13777596075225</v>
      </c>
      <c r="U892" s="81"/>
      <c r="V892" s="81"/>
      <c r="W892" s="83">
        <f t="shared" si="430"/>
        <v>2046.79299536658</v>
      </c>
      <c r="X892" s="84">
        <f t="shared" si="436"/>
        <v>47.6346395475606</v>
      </c>
      <c r="Y892" s="84"/>
      <c r="Z892" s="81"/>
      <c r="AA892" s="84">
        <f t="shared" si="431"/>
        <v>47.6346395475606</v>
      </c>
      <c r="AB892" s="94">
        <v>7.17</v>
      </c>
      <c r="AC892" s="81">
        <f t="shared" si="432"/>
        <v>341.54036555601</v>
      </c>
      <c r="AD892" s="81">
        <f t="shared" si="427"/>
        <v>2388.33336092259</v>
      </c>
      <c r="AE892" s="81">
        <f t="shared" si="428"/>
        <v>656.04863907741</v>
      </c>
    </row>
    <row r="893" customFormat="1" spans="1:31">
      <c r="A893" s="19"/>
      <c r="B893" s="20"/>
      <c r="C893" s="21">
        <v>240124000021</v>
      </c>
      <c r="D893" s="22">
        <v>45322</v>
      </c>
      <c r="E893" s="25" t="s">
        <v>69</v>
      </c>
      <c r="F893" s="20" t="s">
        <v>69</v>
      </c>
      <c r="G893" s="20" t="s">
        <v>351</v>
      </c>
      <c r="H893" s="20">
        <v>561</v>
      </c>
      <c r="I893" s="43">
        <v>30863</v>
      </c>
      <c r="J893" s="44"/>
      <c r="K893" s="45"/>
      <c r="L893" s="44"/>
      <c r="M893" s="46"/>
      <c r="N893" s="20"/>
      <c r="O893" s="48">
        <f t="shared" si="433"/>
        <v>30863</v>
      </c>
      <c r="P893" s="54"/>
      <c r="Q893" s="54"/>
      <c r="R893" s="81">
        <f t="shared" si="434"/>
        <v>18968.8029435814</v>
      </c>
      <c r="S893" s="81"/>
      <c r="T893" s="82">
        <f t="shared" si="435"/>
        <v>10.5502861815209</v>
      </c>
      <c r="U893" s="81"/>
      <c r="V893" s="81"/>
      <c r="W893" s="83">
        <f t="shared" si="430"/>
        <v>18979.3532297629</v>
      </c>
      <c r="X893" s="84">
        <f t="shared" si="436"/>
        <v>441.703021259199</v>
      </c>
      <c r="Y893" s="84"/>
      <c r="Z893" s="81"/>
      <c r="AA893" s="84">
        <f t="shared" si="431"/>
        <v>441.703021259199</v>
      </c>
      <c r="AB893" s="94">
        <v>7.17</v>
      </c>
      <c r="AC893" s="81">
        <f t="shared" si="432"/>
        <v>3167.01066242845</v>
      </c>
      <c r="AD893" s="81">
        <f t="shared" si="427"/>
        <v>22146.3638921913</v>
      </c>
      <c r="AE893" s="81">
        <f t="shared" si="428"/>
        <v>8716.6361078087</v>
      </c>
    </row>
    <row r="894" customFormat="1" spans="1:31">
      <c r="A894" s="19"/>
      <c r="B894" s="20"/>
      <c r="C894" s="21">
        <v>240124000028</v>
      </c>
      <c r="D894" s="22">
        <v>45322</v>
      </c>
      <c r="E894" s="22" t="s">
        <v>58</v>
      </c>
      <c r="F894" s="20" t="s">
        <v>59</v>
      </c>
      <c r="G894" s="20" t="s">
        <v>542</v>
      </c>
      <c r="H894" s="20">
        <v>30.5</v>
      </c>
      <c r="I894" s="43">
        <v>1633.5</v>
      </c>
      <c r="J894" s="44"/>
      <c r="K894" s="45"/>
      <c r="L894" s="44"/>
      <c r="M894" s="46"/>
      <c r="N894" s="20"/>
      <c r="O894" s="48">
        <f t="shared" si="433"/>
        <v>1633.5</v>
      </c>
      <c r="P894" s="54"/>
      <c r="Q894" s="54"/>
      <c r="R894" s="81">
        <f t="shared" si="434"/>
        <v>1031.28073044426</v>
      </c>
      <c r="S894" s="81"/>
      <c r="T894" s="82">
        <f t="shared" si="435"/>
        <v>0.573589533932952</v>
      </c>
      <c r="U894" s="82">
        <v>200</v>
      </c>
      <c r="V894" s="81"/>
      <c r="W894" s="83">
        <f t="shared" si="430"/>
        <v>1231.8543199782</v>
      </c>
      <c r="X894" s="84">
        <f t="shared" si="436"/>
        <v>24.0141571272826</v>
      </c>
      <c r="Y894" s="84"/>
      <c r="Z894" s="81"/>
      <c r="AA894" s="84">
        <f t="shared" si="431"/>
        <v>24.0141571272826</v>
      </c>
      <c r="AB894" s="94">
        <v>7.17</v>
      </c>
      <c r="AC894" s="81">
        <f t="shared" si="432"/>
        <v>172.181506602617</v>
      </c>
      <c r="AD894" s="81">
        <f t="shared" si="427"/>
        <v>1404.03582658081</v>
      </c>
      <c r="AE894" s="81">
        <f t="shared" si="428"/>
        <v>229.46417341919</v>
      </c>
    </row>
    <row r="895" customFormat="1" spans="1:31">
      <c r="A895" s="19"/>
      <c r="B895" s="20"/>
      <c r="C895" s="21">
        <v>240125000011</v>
      </c>
      <c r="D895" s="22">
        <v>45322</v>
      </c>
      <c r="E895" s="25" t="s">
        <v>69</v>
      </c>
      <c r="F895" s="20" t="s">
        <v>69</v>
      </c>
      <c r="G895" s="20" t="s">
        <v>274</v>
      </c>
      <c r="H895" s="20">
        <v>155</v>
      </c>
      <c r="I895" s="43">
        <v>7758</v>
      </c>
      <c r="J895" s="44"/>
      <c r="K895" s="45"/>
      <c r="L895" s="44"/>
      <c r="M895" s="46"/>
      <c r="N895" s="20"/>
      <c r="O895" s="48">
        <f t="shared" si="433"/>
        <v>7758</v>
      </c>
      <c r="P895" s="54"/>
      <c r="Q895" s="54"/>
      <c r="R895" s="81">
        <f t="shared" si="434"/>
        <v>5240.93485963478</v>
      </c>
      <c r="S895" s="81"/>
      <c r="T895" s="82">
        <f t="shared" si="435"/>
        <v>2.91496320523303</v>
      </c>
      <c r="U895" s="81"/>
      <c r="V895" s="81"/>
      <c r="W895" s="83">
        <f t="shared" si="430"/>
        <v>5243.84982284001</v>
      </c>
      <c r="X895" s="84">
        <f t="shared" si="436"/>
        <v>122.039159171436</v>
      </c>
      <c r="Y895" s="84"/>
      <c r="Z895" s="81"/>
      <c r="AA895" s="84">
        <f t="shared" si="431"/>
        <v>122.039159171436</v>
      </c>
      <c r="AB895" s="94">
        <v>7.17</v>
      </c>
      <c r="AC895" s="81">
        <f t="shared" si="432"/>
        <v>875.020771259199</v>
      </c>
      <c r="AD895" s="81">
        <f t="shared" si="427"/>
        <v>6118.87059409921</v>
      </c>
      <c r="AE895" s="81">
        <f t="shared" si="428"/>
        <v>1639.12940590079</v>
      </c>
    </row>
    <row r="896" customFormat="1" spans="1:31">
      <c r="A896" s="19"/>
      <c r="B896" s="20"/>
      <c r="C896" s="21">
        <v>240125000021</v>
      </c>
      <c r="D896" s="22">
        <v>45322</v>
      </c>
      <c r="E896" s="22" t="s">
        <v>37</v>
      </c>
      <c r="F896" s="20" t="s">
        <v>38</v>
      </c>
      <c r="G896" s="20" t="s">
        <v>543</v>
      </c>
      <c r="H896" s="20">
        <v>199</v>
      </c>
      <c r="I896" s="43">
        <v>10231</v>
      </c>
      <c r="J896" s="44"/>
      <c r="K896" s="45"/>
      <c r="L896" s="44"/>
      <c r="M896" s="46"/>
      <c r="N896" s="20"/>
      <c r="O896" s="48">
        <f t="shared" si="433"/>
        <v>10231</v>
      </c>
      <c r="P896" s="54"/>
      <c r="Q896" s="54"/>
      <c r="R896" s="81">
        <f t="shared" si="434"/>
        <v>6728.68411011175</v>
      </c>
      <c r="S896" s="81"/>
      <c r="T896" s="82">
        <f t="shared" si="435"/>
        <v>3.74243663123467</v>
      </c>
      <c r="U896" s="81"/>
      <c r="V896" s="81"/>
      <c r="W896" s="83">
        <f t="shared" si="430"/>
        <v>6732.42654674298</v>
      </c>
      <c r="X896" s="84">
        <f t="shared" si="436"/>
        <v>156.682533387844</v>
      </c>
      <c r="Y896" s="84">
        <v>41.5</v>
      </c>
      <c r="Z896" s="81"/>
      <c r="AA896" s="84">
        <f t="shared" si="431"/>
        <v>198.182533387844</v>
      </c>
      <c r="AB896" s="94">
        <v>7.17</v>
      </c>
      <c r="AC896" s="81">
        <f t="shared" si="432"/>
        <v>1420.96876439084</v>
      </c>
      <c r="AD896" s="81">
        <f t="shared" si="427"/>
        <v>8153.39531113382</v>
      </c>
      <c r="AE896" s="81">
        <f t="shared" si="428"/>
        <v>2077.60468886618</v>
      </c>
    </row>
    <row r="897" customFormat="1" spans="1:31">
      <c r="A897" s="19"/>
      <c r="B897" s="20"/>
      <c r="C897" s="21">
        <v>240125000049</v>
      </c>
      <c r="D897" s="22">
        <v>45322</v>
      </c>
      <c r="E897" s="22" t="s">
        <v>37</v>
      </c>
      <c r="F897" s="20" t="s">
        <v>38</v>
      </c>
      <c r="G897" s="20" t="s">
        <v>297</v>
      </c>
      <c r="H897" s="20">
        <v>3942</v>
      </c>
      <c r="I897" s="43">
        <v>186424</v>
      </c>
      <c r="J897" s="44"/>
      <c r="K897" s="45"/>
      <c r="L897" s="44"/>
      <c r="M897" s="46"/>
      <c r="N897" s="20"/>
      <c r="O897" s="48">
        <f t="shared" si="433"/>
        <v>186424</v>
      </c>
      <c r="P897" s="54"/>
      <c r="Q897" s="54"/>
      <c r="R897" s="81">
        <f t="shared" si="434"/>
        <v>133288.80784955</v>
      </c>
      <c r="S897" s="81"/>
      <c r="T897" s="82">
        <f t="shared" si="435"/>
        <v>74.1340964840556</v>
      </c>
      <c r="U897" s="81"/>
      <c r="V897" s="81"/>
      <c r="W897" s="83">
        <f t="shared" si="430"/>
        <v>133362.941946034</v>
      </c>
      <c r="X897" s="84">
        <f t="shared" si="436"/>
        <v>3103.73139002453</v>
      </c>
      <c r="Y897" s="84">
        <v>69.7</v>
      </c>
      <c r="Z897" s="81"/>
      <c r="AA897" s="84">
        <f t="shared" si="431"/>
        <v>3173.43139002453</v>
      </c>
      <c r="AB897" s="94">
        <v>7.17</v>
      </c>
      <c r="AC897" s="81">
        <f t="shared" si="432"/>
        <v>22753.5030664759</v>
      </c>
      <c r="AD897" s="81">
        <f t="shared" si="427"/>
        <v>156116.44501251</v>
      </c>
      <c r="AE897" s="81">
        <f t="shared" si="428"/>
        <v>30307.55498749</v>
      </c>
    </row>
    <row r="898" customFormat="1" spans="1:31">
      <c r="A898" s="19"/>
      <c r="B898" s="20"/>
      <c r="C898" s="21">
        <v>240126000013</v>
      </c>
      <c r="D898" s="22">
        <v>45322</v>
      </c>
      <c r="E898" s="22" t="s">
        <v>58</v>
      </c>
      <c r="F898" s="20" t="s">
        <v>59</v>
      </c>
      <c r="G898" s="20" t="s">
        <v>488</v>
      </c>
      <c r="H898" s="20">
        <v>254</v>
      </c>
      <c r="I898" s="43">
        <v>11938</v>
      </c>
      <c r="J898" s="44"/>
      <c r="K898" s="45"/>
      <c r="L898" s="44"/>
      <c r="M898" s="46"/>
      <c r="N898" s="20"/>
      <c r="O898" s="48">
        <f t="shared" si="433"/>
        <v>11938</v>
      </c>
      <c r="P898" s="54"/>
      <c r="Q898" s="54"/>
      <c r="R898" s="81">
        <f t="shared" si="434"/>
        <v>8588.37067320796</v>
      </c>
      <c r="S898" s="81"/>
      <c r="T898" s="82">
        <f t="shared" si="435"/>
        <v>4.77677841373671</v>
      </c>
      <c r="U898" s="81"/>
      <c r="V898" s="81"/>
      <c r="W898" s="83">
        <f t="shared" si="430"/>
        <v>8593.14745162169</v>
      </c>
      <c r="X898" s="84">
        <f t="shared" si="436"/>
        <v>199.986751158354</v>
      </c>
      <c r="Y898" s="84"/>
      <c r="Z898" s="81"/>
      <c r="AA898" s="84">
        <f t="shared" si="431"/>
        <v>199.986751158354</v>
      </c>
      <c r="AB898" s="94">
        <v>7.17</v>
      </c>
      <c r="AC898" s="81">
        <f t="shared" si="432"/>
        <v>1433.9050058054</v>
      </c>
      <c r="AD898" s="81">
        <f t="shared" si="427"/>
        <v>10027.0524574271</v>
      </c>
      <c r="AE898" s="81">
        <f t="shared" si="428"/>
        <v>1910.9475425729</v>
      </c>
    </row>
    <row r="899" customFormat="1" spans="1:31">
      <c r="A899" s="19"/>
      <c r="B899" s="20"/>
      <c r="C899" s="21">
        <v>240126000014</v>
      </c>
      <c r="D899" s="22">
        <v>45322</v>
      </c>
      <c r="E899" s="22" t="s">
        <v>49</v>
      </c>
      <c r="F899" s="20" t="s">
        <v>50</v>
      </c>
      <c r="G899" s="20" t="s">
        <v>79</v>
      </c>
      <c r="H899" s="20">
        <v>95</v>
      </c>
      <c r="I899" s="50"/>
      <c r="J899" s="51">
        <v>1250200</v>
      </c>
      <c r="K899" s="52"/>
      <c r="L899" s="51">
        <f>SUM(J899/M899)</f>
        <v>2007.61164549644</v>
      </c>
      <c r="M899" s="53">
        <v>622.73</v>
      </c>
      <c r="N899" s="20">
        <v>7.17</v>
      </c>
      <c r="O899" s="48">
        <f>SUM(M899*N899)</f>
        <v>4464.9741</v>
      </c>
      <c r="P899" s="54"/>
      <c r="Q899" s="54"/>
      <c r="R899" s="81">
        <f t="shared" si="434"/>
        <v>3212.18588171164</v>
      </c>
      <c r="S899" s="81"/>
      <c r="T899" s="82">
        <f t="shared" si="435"/>
        <v>1.78659035159444</v>
      </c>
      <c r="U899" s="81"/>
      <c r="V899" s="81"/>
      <c r="W899" s="83">
        <f t="shared" si="430"/>
        <v>3213.97247206323</v>
      </c>
      <c r="X899" s="84">
        <f t="shared" si="436"/>
        <v>74.7981943308803</v>
      </c>
      <c r="Y899" s="84"/>
      <c r="Z899" s="81"/>
      <c r="AA899" s="84">
        <f t="shared" si="431"/>
        <v>74.7981943308803</v>
      </c>
      <c r="AB899" s="94">
        <v>7.17</v>
      </c>
      <c r="AC899" s="81">
        <f t="shared" si="432"/>
        <v>536.303053352412</v>
      </c>
      <c r="AD899" s="81">
        <f t="shared" si="427"/>
        <v>3750.27552541564</v>
      </c>
      <c r="AE899" s="81">
        <f t="shared" si="428"/>
        <v>714.69857458436</v>
      </c>
    </row>
    <row r="900" customFormat="1" spans="1:31">
      <c r="A900" s="19"/>
      <c r="B900" s="20"/>
      <c r="C900" s="21">
        <v>240126000036</v>
      </c>
      <c r="D900" s="22">
        <v>45322</v>
      </c>
      <c r="E900" s="22" t="s">
        <v>49</v>
      </c>
      <c r="F900" s="20" t="s">
        <v>50</v>
      </c>
      <c r="G900" s="20" t="s">
        <v>528</v>
      </c>
      <c r="H900" s="20">
        <v>1192.5</v>
      </c>
      <c r="I900" s="43">
        <v>56047.5</v>
      </c>
      <c r="J900" s="44"/>
      <c r="K900" s="45"/>
      <c r="L900" s="44"/>
      <c r="M900" s="46"/>
      <c r="N900" s="20"/>
      <c r="O900" s="48">
        <f>SUM(I900)</f>
        <v>56047.5</v>
      </c>
      <c r="P900" s="54"/>
      <c r="Q900" s="54"/>
      <c r="R900" s="81">
        <f t="shared" si="434"/>
        <v>40321.3859362224</v>
      </c>
      <c r="S900" s="81"/>
      <c r="T900" s="82">
        <f t="shared" si="435"/>
        <v>22.4264104660671</v>
      </c>
      <c r="U900" s="81"/>
      <c r="V900" s="81"/>
      <c r="W900" s="83">
        <f t="shared" si="430"/>
        <v>40343.8123466885</v>
      </c>
      <c r="X900" s="84">
        <f t="shared" si="436"/>
        <v>938.914176206051</v>
      </c>
      <c r="Y900" s="84"/>
      <c r="Z900" s="81"/>
      <c r="AA900" s="84">
        <f t="shared" si="431"/>
        <v>938.914176206051</v>
      </c>
      <c r="AB900" s="94">
        <v>7.17</v>
      </c>
      <c r="AC900" s="81">
        <f t="shared" si="432"/>
        <v>6732.01464339738</v>
      </c>
      <c r="AD900" s="81">
        <f t="shared" si="427"/>
        <v>47075.8269900859</v>
      </c>
      <c r="AE900" s="81">
        <f t="shared" si="428"/>
        <v>8971.6730099141</v>
      </c>
    </row>
    <row r="901" customFormat="1" spans="1:31">
      <c r="A901" s="19"/>
      <c r="B901" s="20"/>
      <c r="C901" s="21">
        <v>240126000053</v>
      </c>
      <c r="D901" s="22">
        <v>45322</v>
      </c>
      <c r="E901" s="22" t="s">
        <v>69</v>
      </c>
      <c r="F901" s="20" t="s">
        <v>125</v>
      </c>
      <c r="G901" s="20" t="s">
        <v>126</v>
      </c>
      <c r="H901" s="20">
        <v>271.5</v>
      </c>
      <c r="I901" s="48"/>
      <c r="J901" s="55">
        <v>2772963</v>
      </c>
      <c r="K901" s="56"/>
      <c r="L901" s="51">
        <f>SUM(J901/M901)</f>
        <v>1576.42494116042</v>
      </c>
      <c r="M901" s="53">
        <v>1759.02</v>
      </c>
      <c r="N901" s="20">
        <v>7.17</v>
      </c>
      <c r="O901" s="48">
        <f>SUM(M901*N901)</f>
        <v>12612.1734</v>
      </c>
      <c r="P901" s="54"/>
      <c r="Q901" s="54"/>
      <c r="R901" s="81">
        <f t="shared" si="434"/>
        <v>9180.08912510221</v>
      </c>
      <c r="S901" s="81"/>
      <c r="T901" s="82">
        <f t="shared" si="435"/>
        <v>5.10588716271464</v>
      </c>
      <c r="U901" s="81"/>
      <c r="V901" s="81"/>
      <c r="W901" s="83">
        <f t="shared" si="430"/>
        <v>9185.19501226492</v>
      </c>
      <c r="X901" s="84">
        <f t="shared" si="436"/>
        <v>213.765365903516</v>
      </c>
      <c r="Y901" s="84"/>
      <c r="Z901" s="81"/>
      <c r="AA901" s="84">
        <f t="shared" si="431"/>
        <v>213.765365903516</v>
      </c>
      <c r="AB901" s="94">
        <v>7.17</v>
      </c>
      <c r="AC901" s="81">
        <f t="shared" si="432"/>
        <v>1532.69767352821</v>
      </c>
      <c r="AD901" s="81">
        <f t="shared" si="427"/>
        <v>10717.8926857931</v>
      </c>
      <c r="AE901" s="81">
        <f t="shared" si="428"/>
        <v>1894.2807142069</v>
      </c>
    </row>
    <row r="902" customFormat="1" spans="1:31">
      <c r="A902" s="19"/>
      <c r="B902" s="20"/>
      <c r="C902" s="21">
        <v>240126000054</v>
      </c>
      <c r="D902" s="22">
        <v>45322</v>
      </c>
      <c r="E902" s="25" t="s">
        <v>69</v>
      </c>
      <c r="F902" s="20" t="s">
        <v>69</v>
      </c>
      <c r="G902" s="20" t="s">
        <v>544</v>
      </c>
      <c r="H902" s="20">
        <v>379</v>
      </c>
      <c r="I902" s="50">
        <v>15889</v>
      </c>
      <c r="J902" s="59"/>
      <c r="K902" s="52"/>
      <c r="L902" s="59"/>
      <c r="M902" s="46"/>
      <c r="N902" s="20"/>
      <c r="O902" s="48">
        <f>SUM(I902)</f>
        <v>15889</v>
      </c>
      <c r="P902" s="60"/>
      <c r="Q902" s="60"/>
      <c r="R902" s="81">
        <f t="shared" si="434"/>
        <v>12814.9310438812</v>
      </c>
      <c r="S902" s="81"/>
      <c r="T902" s="82">
        <f t="shared" si="435"/>
        <v>7.12755519215045</v>
      </c>
      <c r="U902" s="81"/>
      <c r="V902" s="81"/>
      <c r="W902" s="83">
        <f t="shared" si="430"/>
        <v>12822.0585990733</v>
      </c>
      <c r="X902" s="84">
        <f t="shared" si="436"/>
        <v>298.405427909512</v>
      </c>
      <c r="Y902" s="84"/>
      <c r="Z902" s="81"/>
      <c r="AA902" s="84">
        <f t="shared" si="431"/>
        <v>298.405427909512</v>
      </c>
      <c r="AB902" s="94">
        <v>7.17</v>
      </c>
      <c r="AC902" s="81">
        <f t="shared" si="432"/>
        <v>2139.5669181112</v>
      </c>
      <c r="AD902" s="81">
        <f t="shared" si="427"/>
        <v>14961.6255171845</v>
      </c>
      <c r="AE902" s="81">
        <f t="shared" si="428"/>
        <v>927.3744828155</v>
      </c>
    </row>
    <row r="903" spans="1:31">
      <c r="A903" s="112" t="s">
        <v>545</v>
      </c>
      <c r="B903" s="113"/>
      <c r="C903" s="113"/>
      <c r="D903" s="113"/>
      <c r="E903" s="113"/>
      <c r="F903" s="113"/>
      <c r="G903" s="113"/>
      <c r="H903" s="113"/>
      <c r="I903" s="113">
        <f>SUM(I3:I902)</f>
        <v>2343451.19</v>
      </c>
      <c r="J903" s="113"/>
      <c r="K903" s="113"/>
      <c r="L903" s="114"/>
      <c r="M903" s="113">
        <f>SUM(M3:M902)</f>
        <v>93605.539934</v>
      </c>
      <c r="N903" s="113"/>
      <c r="O903" s="113">
        <f>SUM(O3:O902)</f>
        <v>3014602.91132679</v>
      </c>
      <c r="P903" s="113">
        <f>SUM(P3:P902)</f>
        <v>3014602.91132678</v>
      </c>
      <c r="Q903" s="113"/>
      <c r="R903" s="113"/>
      <c r="S903" s="113"/>
      <c r="T903" s="113"/>
      <c r="U903" s="113"/>
      <c r="V903" s="113"/>
      <c r="W903" s="115">
        <f>SUM(W3:W3)</f>
        <v>0</v>
      </c>
      <c r="X903" s="116"/>
      <c r="Y903" s="116"/>
      <c r="Z903" s="116"/>
      <c r="AA903" s="116"/>
      <c r="AB903" s="117"/>
      <c r="AC903" s="113"/>
      <c r="AD903" s="113"/>
      <c r="AE903" s="118">
        <f>SUM(AE4:AE902)</f>
        <v>624828.568209098</v>
      </c>
    </row>
    <row r="906" spans="10:14">
      <c r="J906" s="5"/>
      <c r="N906" t="e">
        <f>SUM(M903*#REF!)</f>
        <v>#REF!</v>
      </c>
    </row>
    <row r="907" customFormat="1" spans="4:28">
      <c r="D907" s="2"/>
      <c r="E907" s="2"/>
      <c r="L907" s="3"/>
      <c r="N907">
        <f>SUM(I903)</f>
        <v>2343451.19</v>
      </c>
      <c r="W907" s="5"/>
      <c r="X907" s="6"/>
      <c r="Y907" s="6"/>
      <c r="Z907" s="6"/>
      <c r="AA907" s="6"/>
      <c r="AB907" s="7"/>
    </row>
    <row r="908" customFormat="1" spans="4:28">
      <c r="D908" s="2"/>
      <c r="E908" s="2"/>
      <c r="L908" s="3"/>
      <c r="N908" t="e">
        <f>SUM(M906:N907)</f>
        <v>#REF!</v>
      </c>
      <c r="W908" s="5"/>
      <c r="X908" s="6"/>
      <c r="Y908" s="6"/>
      <c r="Z908" s="6"/>
      <c r="AA908" s="6"/>
      <c r="AB908" s="7"/>
    </row>
    <row r="909" customFormat="1" spans="4:28">
      <c r="D909" s="2"/>
      <c r="E909" s="2"/>
      <c r="L909" s="3"/>
      <c r="W909" s="5"/>
      <c r="X909" s="6"/>
      <c r="Y909" s="6"/>
      <c r="Z909" s="6"/>
      <c r="AA909" s="6"/>
      <c r="AB909" s="7"/>
    </row>
    <row r="910" customFormat="1" spans="4:28">
      <c r="D910" s="2"/>
      <c r="E910" s="2"/>
      <c r="L910" s="3"/>
      <c r="W910" s="5"/>
      <c r="X910" s="6"/>
      <c r="Y910" s="6"/>
      <c r="Z910" s="6"/>
      <c r="AA910" s="6"/>
      <c r="AB910" s="7"/>
    </row>
    <row r="911" customFormat="1" spans="4:28">
      <c r="D911" s="2"/>
      <c r="E911" s="2"/>
      <c r="L911" s="3"/>
      <c r="W911" s="5"/>
      <c r="X911" s="6"/>
      <c r="Y911" s="6"/>
      <c r="Z911" s="6"/>
      <c r="AA911" s="6"/>
      <c r="AB911" s="7"/>
    </row>
    <row r="912" customFormat="1" spans="4:28">
      <c r="D912" s="2"/>
      <c r="E912" s="2"/>
      <c r="L912" s="3"/>
      <c r="W912" s="5"/>
      <c r="X912" s="6"/>
      <c r="Y912" s="6"/>
      <c r="Z912" s="6"/>
      <c r="AA912" s="6"/>
      <c r="AB912" s="7"/>
    </row>
    <row r="913" customFormat="1" spans="4:28">
      <c r="D913" s="2"/>
      <c r="E913" s="2"/>
      <c r="L913" s="3"/>
      <c r="W913" s="5"/>
      <c r="X913" s="6"/>
      <c r="Y913" s="6"/>
      <c r="Z913" s="6"/>
      <c r="AA913" s="6"/>
      <c r="AB913" s="7"/>
    </row>
    <row r="914" customFormat="1" spans="4:28">
      <c r="D914" s="2"/>
      <c r="E914" s="2"/>
      <c r="L914" s="3"/>
      <c r="W914" s="5"/>
      <c r="X914" s="6"/>
      <c r="Y914" s="6"/>
      <c r="Z914" s="6"/>
      <c r="AA914" s="6"/>
      <c r="AB914" s="7"/>
    </row>
    <row r="915" customFormat="1" spans="4:28">
      <c r="D915" s="2"/>
      <c r="E915" s="2"/>
      <c r="L915" s="3"/>
      <c r="W915" s="5"/>
      <c r="X915" s="6"/>
      <c r="Y915" s="6"/>
      <c r="Z915" s="6"/>
      <c r="AA915" s="6"/>
      <c r="AB915" s="7"/>
    </row>
    <row r="916" customFormat="1" spans="4:28">
      <c r="D916" s="2"/>
      <c r="E916" s="2"/>
      <c r="L916" s="3"/>
      <c r="W916" s="5"/>
      <c r="X916" s="6"/>
      <c r="Y916" s="6"/>
      <c r="Z916" s="6"/>
      <c r="AA916" s="6"/>
      <c r="AB916" s="7"/>
    </row>
    <row r="917" customFormat="1" spans="4:28">
      <c r="D917" s="2"/>
      <c r="E917" s="2"/>
      <c r="L917" s="3"/>
      <c r="W917" s="5"/>
      <c r="X917" s="6"/>
      <c r="Y917" s="6"/>
      <c r="Z917" s="6"/>
      <c r="AA917" s="6"/>
      <c r="AB917" s="7"/>
    </row>
    <row r="918" customFormat="1" spans="4:28">
      <c r="D918" s="2"/>
      <c r="E918" s="2"/>
      <c r="L918" s="3"/>
      <c r="W918" s="5"/>
      <c r="X918" s="6"/>
      <c r="Y918" s="6"/>
      <c r="Z918" s="6"/>
      <c r="AA918" s="6"/>
      <c r="AB918" s="7"/>
    </row>
    <row r="919" customFormat="1" spans="4:28">
      <c r="D919" s="2"/>
      <c r="E919" s="2"/>
      <c r="L919" s="3"/>
      <c r="W919" s="5"/>
      <c r="X919" s="6"/>
      <c r="Y919" s="6"/>
      <c r="Z919" s="6"/>
      <c r="AA919" s="6"/>
      <c r="AB919" s="7"/>
    </row>
    <row r="920" customFormat="1" spans="4:28">
      <c r="D920" s="2"/>
      <c r="E920" s="2"/>
      <c r="L920" s="3"/>
      <c r="W920" s="5"/>
      <c r="X920" s="6"/>
      <c r="Y920" s="6"/>
      <c r="Z920" s="6"/>
      <c r="AA920" s="6"/>
      <c r="AB920" s="7"/>
    </row>
    <row r="921" customFormat="1" spans="4:28">
      <c r="D921" s="2"/>
      <c r="E921" s="2"/>
      <c r="L921" s="3"/>
      <c r="W921" s="5"/>
      <c r="X921" s="6"/>
      <c r="Y921" s="6"/>
      <c r="Z921" s="6"/>
      <c r="AA921" s="6"/>
      <c r="AB921" s="7"/>
    </row>
    <row r="922" customFormat="1" spans="4:28">
      <c r="D922" s="2"/>
      <c r="E922" s="2"/>
      <c r="L922" s="3"/>
      <c r="W922" s="5"/>
      <c r="X922" s="6"/>
      <c r="Y922" s="6"/>
      <c r="Z922" s="6"/>
      <c r="AA922" s="6"/>
      <c r="AB922" s="7"/>
    </row>
    <row r="923" customFormat="1" spans="4:28">
      <c r="D923" s="2"/>
      <c r="E923" s="2"/>
      <c r="L923" s="3"/>
      <c r="W923" s="5"/>
      <c r="X923" s="6"/>
      <c r="Y923" s="6"/>
      <c r="Z923" s="6"/>
      <c r="AA923" s="6"/>
      <c r="AB923" s="7"/>
    </row>
    <row r="924" customFormat="1" spans="4:28">
      <c r="D924" s="2"/>
      <c r="E924" s="2"/>
      <c r="L924" s="3"/>
      <c r="W924" s="5"/>
      <c r="X924" s="6"/>
      <c r="Y924" s="6"/>
      <c r="Z924" s="6"/>
      <c r="AA924" s="6"/>
      <c r="AB924" s="7"/>
    </row>
    <row r="925" customFormat="1" spans="4:28">
      <c r="D925" s="2"/>
      <c r="E925" s="2"/>
      <c r="L925" s="3"/>
      <c r="W925" s="5"/>
      <c r="X925" s="6"/>
      <c r="Y925" s="6"/>
      <c r="Z925" s="6"/>
      <c r="AA925" s="6"/>
      <c r="AB925" s="7"/>
    </row>
    <row r="926" customFormat="1" spans="4:28">
      <c r="D926" s="2"/>
      <c r="E926" s="2"/>
      <c r="L926" s="3"/>
      <c r="W926" s="5"/>
      <c r="X926" s="6"/>
      <c r="Y926" s="6"/>
      <c r="Z926" s="6"/>
      <c r="AA926" s="6"/>
      <c r="AB926" s="7"/>
    </row>
    <row r="927" customFormat="1" spans="4:28">
      <c r="D927" s="2"/>
      <c r="E927" s="2"/>
      <c r="L927" s="3"/>
      <c r="W927" s="5"/>
      <c r="X927" s="6"/>
      <c r="Y927" s="6"/>
      <c r="Z927" s="6"/>
      <c r="AA927" s="6"/>
      <c r="AB927" s="7"/>
    </row>
    <row r="928" customFormat="1" spans="4:28">
      <c r="D928" s="2"/>
      <c r="E928" s="2"/>
      <c r="L928" s="3"/>
      <c r="W928" s="5"/>
      <c r="X928" s="6"/>
      <c r="Y928" s="6"/>
      <c r="Z928" s="6"/>
      <c r="AA928" s="6"/>
      <c r="AB928" s="7"/>
    </row>
    <row r="929" customFormat="1" spans="4:28">
      <c r="D929" s="2"/>
      <c r="E929" s="2"/>
      <c r="L929" s="3"/>
      <c r="W929" s="5"/>
      <c r="X929" s="6"/>
      <c r="Y929" s="6"/>
      <c r="Z929" s="6"/>
      <c r="AA929" s="6"/>
      <c r="AB929" s="7"/>
    </row>
    <row r="930" customFormat="1" spans="4:28">
      <c r="D930" s="2"/>
      <c r="E930" s="2"/>
      <c r="L930" s="3"/>
      <c r="W930" s="5"/>
      <c r="X930" s="6"/>
      <c r="Y930" s="6"/>
      <c r="Z930" s="6"/>
      <c r="AA930" s="6"/>
      <c r="AB930" s="7"/>
    </row>
    <row r="931" customFormat="1" spans="4:28">
      <c r="D931" s="2"/>
      <c r="E931" s="2"/>
      <c r="L931" s="3"/>
      <c r="W931" s="5"/>
      <c r="X931" s="6"/>
      <c r="Y931" s="6"/>
      <c r="Z931" s="6"/>
      <c r="AA931" s="6"/>
      <c r="AB931" s="7"/>
    </row>
    <row r="932" customFormat="1" spans="4:28">
      <c r="D932" s="2"/>
      <c r="E932" s="2"/>
      <c r="L932" s="3"/>
      <c r="W932" s="5"/>
      <c r="X932" s="6"/>
      <c r="Y932" s="6"/>
      <c r="Z932" s="6"/>
      <c r="AA932" s="6"/>
      <c r="AB932" s="7"/>
    </row>
    <row r="933" customFormat="1" spans="4:28">
      <c r="D933" s="2"/>
      <c r="E933" s="2"/>
      <c r="L933" s="3"/>
      <c r="W933" s="5"/>
      <c r="X933" s="6"/>
      <c r="Y933" s="6"/>
      <c r="Z933" s="6"/>
      <c r="AA933" s="6"/>
      <c r="AB933" s="7"/>
    </row>
    <row r="934" customFormat="1" spans="4:28">
      <c r="D934" s="2"/>
      <c r="E934" s="2"/>
      <c r="L934" s="3"/>
      <c r="W934" s="5"/>
      <c r="X934" s="6"/>
      <c r="Y934" s="6"/>
      <c r="Z934" s="6"/>
      <c r="AA934" s="6"/>
      <c r="AB934" s="7"/>
    </row>
    <row r="935" customFormat="1" spans="4:28">
      <c r="D935" s="2"/>
      <c r="E935" s="2"/>
      <c r="L935" s="3"/>
      <c r="W935" s="5"/>
      <c r="X935" s="6"/>
      <c r="Y935" s="6"/>
      <c r="Z935" s="6"/>
      <c r="AA935" s="6"/>
      <c r="AB935" s="7"/>
    </row>
    <row r="936" customFormat="1" spans="4:28">
      <c r="D936" s="2"/>
      <c r="E936" s="2"/>
      <c r="L936" s="3"/>
      <c r="W936" s="5"/>
      <c r="X936" s="6"/>
      <c r="Y936" s="6"/>
      <c r="Z936" s="6"/>
      <c r="AA936" s="6"/>
      <c r="AB936" s="7"/>
    </row>
    <row r="937" customFormat="1" spans="4:28">
      <c r="D937" s="2"/>
      <c r="E937" s="2"/>
      <c r="L937" s="3"/>
      <c r="W937" s="5"/>
      <c r="X937" s="6"/>
      <c r="Y937" s="6"/>
      <c r="Z937" s="6"/>
      <c r="AA937" s="6"/>
      <c r="AB937" s="7"/>
    </row>
    <row r="938" customFormat="1" spans="4:28">
      <c r="D938" s="2"/>
      <c r="E938" s="2"/>
      <c r="L938" s="3"/>
      <c r="W938" s="5"/>
      <c r="X938" s="6"/>
      <c r="Y938" s="6"/>
      <c r="Z938" s="6"/>
      <c r="AA938" s="6"/>
      <c r="AB938" s="7"/>
    </row>
    <row r="939" customFormat="1" spans="4:28">
      <c r="D939" s="2"/>
      <c r="E939" s="2"/>
      <c r="L939" s="3"/>
      <c r="W939" s="5"/>
      <c r="X939" s="6"/>
      <c r="Y939" s="6"/>
      <c r="Z939" s="6"/>
      <c r="AA939" s="6"/>
      <c r="AB939" s="7"/>
    </row>
    <row r="940" customFormat="1" spans="4:28">
      <c r="D940" s="2"/>
      <c r="E940" s="2"/>
      <c r="L940" s="3"/>
      <c r="W940" s="5"/>
      <c r="X940" s="6"/>
      <c r="Y940" s="6"/>
      <c r="Z940" s="6"/>
      <c r="AA940" s="6"/>
      <c r="AB940" s="7"/>
    </row>
    <row r="941" customFormat="1" spans="4:28">
      <c r="D941" s="2"/>
      <c r="E941" s="2"/>
      <c r="L941" s="3"/>
      <c r="W941" s="5"/>
      <c r="X941" s="6"/>
      <c r="Y941" s="6"/>
      <c r="Z941" s="6"/>
      <c r="AA941" s="6"/>
      <c r="AB941" s="7"/>
    </row>
    <row r="942" customFormat="1" spans="4:28">
      <c r="D942" s="2"/>
      <c r="E942" s="2"/>
      <c r="L942" s="3"/>
      <c r="W942" s="5"/>
      <c r="X942" s="6"/>
      <c r="Y942" s="6"/>
      <c r="Z942" s="6"/>
      <c r="AA942" s="6"/>
      <c r="AB942" s="7"/>
    </row>
    <row r="943" customFormat="1" spans="4:28">
      <c r="D943" s="2"/>
      <c r="E943" s="2"/>
      <c r="L943" s="3"/>
      <c r="W943" s="5"/>
      <c r="X943" s="6"/>
      <c r="Y943" s="6"/>
      <c r="Z943" s="6"/>
      <c r="AA943" s="6"/>
      <c r="AB943" s="7"/>
    </row>
    <row r="944" customFormat="1" spans="4:28">
      <c r="D944" s="2"/>
      <c r="E944" s="2"/>
      <c r="L944" s="3"/>
      <c r="W944" s="5"/>
      <c r="X944" s="6"/>
      <c r="Y944" s="6"/>
      <c r="Z944" s="6"/>
      <c r="AA944" s="6"/>
      <c r="AB944" s="7"/>
    </row>
    <row r="945" customFormat="1" spans="4:28">
      <c r="D945" s="2"/>
      <c r="E945" s="2"/>
      <c r="L945" s="3"/>
      <c r="W945" s="5"/>
      <c r="X945" s="6"/>
      <c r="Y945" s="6"/>
      <c r="Z945" s="6"/>
      <c r="AA945" s="6"/>
      <c r="AB945" s="7"/>
    </row>
    <row r="946" customFormat="1" spans="4:28">
      <c r="D946" s="2"/>
      <c r="E946" s="2"/>
      <c r="L946" s="3"/>
      <c r="W946" s="5"/>
      <c r="X946" s="6"/>
      <c r="Y946" s="6"/>
      <c r="Z946" s="6"/>
      <c r="AA946" s="6"/>
      <c r="AB946" s="7"/>
    </row>
    <row r="947" customFormat="1" spans="4:28">
      <c r="D947" s="2"/>
      <c r="E947" s="2"/>
      <c r="L947" s="3"/>
      <c r="W947" s="5"/>
      <c r="X947" s="6"/>
      <c r="Y947" s="6"/>
      <c r="Z947" s="6"/>
      <c r="AA947" s="6"/>
      <c r="AB947" s="7"/>
    </row>
    <row r="948" customFormat="1" spans="4:28">
      <c r="D948" s="2"/>
      <c r="E948" s="2"/>
      <c r="L948" s="3"/>
      <c r="W948" s="5"/>
      <c r="X948" s="6"/>
      <c r="Y948" s="6"/>
      <c r="Z948" s="6"/>
      <c r="AA948" s="6"/>
      <c r="AB948" s="7"/>
    </row>
    <row r="949" customFormat="1" spans="4:28">
      <c r="D949" s="2"/>
      <c r="E949" s="2"/>
      <c r="L949" s="3"/>
      <c r="W949" s="5"/>
      <c r="X949" s="6"/>
      <c r="Y949" s="6"/>
      <c r="Z949" s="6"/>
      <c r="AA949" s="6"/>
      <c r="AB949" s="7"/>
    </row>
  </sheetData>
  <autoFilter xmlns:etc="http://www.wps.cn/officeDocument/2017/etCustomData" ref="A2:AE903" etc:filterBottomFollowUsedRange="0">
    <extLst/>
  </autoFilter>
  <mergeCells count="152">
    <mergeCell ref="A1:AE1"/>
    <mergeCell ref="I2:O2"/>
    <mergeCell ref="Q2:U2"/>
    <mergeCell ref="X2:AC2"/>
    <mergeCell ref="A2:A3"/>
    <mergeCell ref="A4:A64"/>
    <mergeCell ref="A65:A88"/>
    <mergeCell ref="A89:A91"/>
    <mergeCell ref="A93:A110"/>
    <mergeCell ref="A111:A155"/>
    <mergeCell ref="A156:A162"/>
    <mergeCell ref="A163:A234"/>
    <mergeCell ref="A235:A236"/>
    <mergeCell ref="A238:A260"/>
    <mergeCell ref="A261:A269"/>
    <mergeCell ref="A270:A329"/>
    <mergeCell ref="A330:A350"/>
    <mergeCell ref="A351:A423"/>
    <mergeCell ref="A424:A427"/>
    <mergeCell ref="A428:A434"/>
    <mergeCell ref="A435:A451"/>
    <mergeCell ref="A452:A489"/>
    <mergeCell ref="A490:A528"/>
    <mergeCell ref="A529:A537"/>
    <mergeCell ref="A538:A551"/>
    <mergeCell ref="A552:A555"/>
    <mergeCell ref="A556:A600"/>
    <mergeCell ref="A601:A635"/>
    <mergeCell ref="A636:A668"/>
    <mergeCell ref="A669:A695"/>
    <mergeCell ref="A696:A716"/>
    <mergeCell ref="A717:A729"/>
    <mergeCell ref="A730:A776"/>
    <mergeCell ref="A777:A829"/>
    <mergeCell ref="A830:A842"/>
    <mergeCell ref="A843:A844"/>
    <mergeCell ref="A845:A873"/>
    <mergeCell ref="A874:A889"/>
    <mergeCell ref="A890:A902"/>
    <mergeCell ref="B2:B3"/>
    <mergeCell ref="B4:B64"/>
    <mergeCell ref="B65:B88"/>
    <mergeCell ref="B89:B91"/>
    <mergeCell ref="B93:B110"/>
    <mergeCell ref="B111:B155"/>
    <mergeCell ref="B156:B162"/>
    <mergeCell ref="B163:B234"/>
    <mergeCell ref="B235:B236"/>
    <mergeCell ref="B238:B260"/>
    <mergeCell ref="B261:B269"/>
    <mergeCell ref="B270:B329"/>
    <mergeCell ref="B330:B350"/>
    <mergeCell ref="B351:B423"/>
    <mergeCell ref="B424:B427"/>
    <mergeCell ref="B428:B434"/>
    <mergeCell ref="B435:B451"/>
    <mergeCell ref="B452:B489"/>
    <mergeCell ref="B490:B528"/>
    <mergeCell ref="B529:B537"/>
    <mergeCell ref="B538:B551"/>
    <mergeCell ref="B552:B555"/>
    <mergeCell ref="B556:B600"/>
    <mergeCell ref="B601:B635"/>
    <mergeCell ref="B636:B668"/>
    <mergeCell ref="B669:B695"/>
    <mergeCell ref="B696:B716"/>
    <mergeCell ref="B717:B729"/>
    <mergeCell ref="B730:B776"/>
    <mergeCell ref="B777:B829"/>
    <mergeCell ref="B830:B842"/>
    <mergeCell ref="B843:B844"/>
    <mergeCell ref="B845:B873"/>
    <mergeCell ref="B874:B889"/>
    <mergeCell ref="B890:B902"/>
    <mergeCell ref="C2:C3"/>
    <mergeCell ref="D2:D3"/>
    <mergeCell ref="E2:E3"/>
    <mergeCell ref="F2:F3"/>
    <mergeCell ref="G2:G3"/>
    <mergeCell ref="H2:H3"/>
    <mergeCell ref="P2:P3"/>
    <mergeCell ref="P4:P64"/>
    <mergeCell ref="P65:P88"/>
    <mergeCell ref="P89:P91"/>
    <mergeCell ref="P93:P110"/>
    <mergeCell ref="P111:P155"/>
    <mergeCell ref="P156:P162"/>
    <mergeCell ref="P163:P234"/>
    <mergeCell ref="P235:P236"/>
    <mergeCell ref="P238:P260"/>
    <mergeCell ref="P261:P269"/>
    <mergeCell ref="P270:P329"/>
    <mergeCell ref="P330:P350"/>
    <mergeCell ref="P351:P423"/>
    <mergeCell ref="P424:P427"/>
    <mergeCell ref="P428:P434"/>
    <mergeCell ref="P435:P451"/>
    <mergeCell ref="P452:P489"/>
    <mergeCell ref="P490:P528"/>
    <mergeCell ref="P529:P537"/>
    <mergeCell ref="P538:P551"/>
    <mergeCell ref="P552:P555"/>
    <mergeCell ref="P556:P600"/>
    <mergeCell ref="P601:P635"/>
    <mergeCell ref="P636:P668"/>
    <mergeCell ref="P669:P695"/>
    <mergeCell ref="P696:P716"/>
    <mergeCell ref="P717:P729"/>
    <mergeCell ref="P730:P776"/>
    <mergeCell ref="P777:P829"/>
    <mergeCell ref="P830:P842"/>
    <mergeCell ref="P843:P844"/>
    <mergeCell ref="P845:P873"/>
    <mergeCell ref="P874:P889"/>
    <mergeCell ref="P890:P902"/>
    <mergeCell ref="Q4:Q64"/>
    <mergeCell ref="Q65:Q88"/>
    <mergeCell ref="Q89:Q91"/>
    <mergeCell ref="Q93:Q110"/>
    <mergeCell ref="Q111:Q155"/>
    <mergeCell ref="Q156:Q162"/>
    <mergeCell ref="Q163:Q234"/>
    <mergeCell ref="Q235:Q236"/>
    <mergeCell ref="Q238:Q260"/>
    <mergeCell ref="Q261:Q269"/>
    <mergeCell ref="Q270:Q329"/>
    <mergeCell ref="Q330:Q350"/>
    <mergeCell ref="Q351:Q423"/>
    <mergeCell ref="Q424:Q427"/>
    <mergeCell ref="Q428:Q434"/>
    <mergeCell ref="Q435:Q451"/>
    <mergeCell ref="Q452:Q489"/>
    <mergeCell ref="Q490:Q528"/>
    <mergeCell ref="Q529:Q537"/>
    <mergeCell ref="Q538:Q551"/>
    <mergeCell ref="Q552:Q555"/>
    <mergeCell ref="Q556:Q600"/>
    <mergeCell ref="Q601:Q635"/>
    <mergeCell ref="Q636:Q668"/>
    <mergeCell ref="Q669:Q695"/>
    <mergeCell ref="Q696:Q716"/>
    <mergeCell ref="Q717:Q729"/>
    <mergeCell ref="Q730:Q776"/>
    <mergeCell ref="Q777:Q829"/>
    <mergeCell ref="Q830:Q842"/>
    <mergeCell ref="Q843:Q844"/>
    <mergeCell ref="Q845:Q873"/>
    <mergeCell ref="Q874:Q889"/>
    <mergeCell ref="Q890:Q902"/>
    <mergeCell ref="V2:V3"/>
    <mergeCell ref="W2:W3"/>
    <mergeCell ref="AE2:AE3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2024-12-11T09:56:07Z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