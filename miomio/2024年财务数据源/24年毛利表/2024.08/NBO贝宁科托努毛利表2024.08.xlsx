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30" windowHeight="12975"/>
  </bookViews>
  <sheets>
    <sheet name="毛利表2023" sheetId="2" r:id="rId1"/>
  </sheets>
  <definedNames>
    <definedName name="_xlnm._FilterDatabase" localSheetId="0" hidden="1">毛利表2023!$B$3:$T$8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<sst xmlns="http://schemas.openxmlformats.org/spreadsheetml/2006/main" count="46" uniqueCount="40">
  <si>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ＮＢＯ贝宁科托努毛利表（8月）</t>
  </si>
  <si>
    <t>日期：2019年</t>
  </si>
  <si>
    <t>JOB</t>
  </si>
  <si>
    <t>集装编号 </t>
  </si>
  <si>
    <t>运单编号 </t>
  </si>
  <si>
    <t>日期</t>
  </si>
  <si>
    <t>发货人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</si>
  <si>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</si>
  <si>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</si>
  <si>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</si>
  <si>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</si>
  <si>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</si>
  <si>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</si>
  <si>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</si>
  <si>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</si>
  <si>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</si>
  <si>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</si>
  <si>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</si>
  <si>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</si>
  <si>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</si>
  <si>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</si>
  <si>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</si>
  <si>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</si>
  <si>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</si>
  <si>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</si>
  <si>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</si>
  <si>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</si>
  <si>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</si>
  <si>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</si>
  <si>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JOB080386</t>
  </si>
  <si>
    <t>COLL004120</t>
  </si>
  <si>
    <t>ying</t>
  </si>
  <si>
    <t>Alice Waweru</t>
  </si>
  <si>
    <t>冠粤</t>
  </si>
  <si>
    <t>JOB080395</t>
  </si>
  <si>
    <t>COLL004130</t>
  </si>
  <si>
    <t>Kim.</t>
  </si>
  <si>
    <t>JOB100327</t>
  </si>
  <si>
    <t>COLL004192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</si>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</sst>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m&quot;月&quot;d&quot;日&quot;;@"/>
    <numFmt numFmtId="178" formatCode="0_ "/>
    <numFmt numFmtId="179" formatCode="&quot;￥&quot;#,##0.00_);[Red]\(&quot;￥&quot;#,##0.00\)"/>
    <numFmt numFmtId="180" formatCode="_ * #,##0.00_ ;_ * \-#,##0.00_ ;_ * &quot;-&quot;_ ;_ @_ "/>
    <numFmt numFmtId="181" formatCode="&quot;US$&quot;#,##0.00;\-&quot;US$&quot;#,##0.00"/>
  </numFmts>
  <fonts count="36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10"/>
      <color theme="1"/>
      <name val="宋体"/>
      <charset val="134"/>
      <scheme val="minor"/>
    </font>
    <font>
      <sz val="10"/>
      <color rgb="FFFF0000"/>
      <name val="Microsoft JhengHei"/>
      <charset val="134"/>
    </font>
    <font>
      <sz val="9"/>
      <color theme="1"/>
      <name val="Microsoft JhengHei"/>
      <charset val="134"/>
    </font>
    <font>
      <sz val="10"/>
      <color theme="1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1"/>
      <color theme="1"/>
      <name val="Microsoft JhengHei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15" applyNumberFormat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9" borderId="15" applyNumberFormat="0" applyAlignment="0" applyProtection="0">
      <alignment vertical="center"/>
    </xf>
    <xf numFmtId="0" fontId="28" fillId="10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7" fontId="6" fillId="2" borderId="1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8" fontId="8" fillId="0" borderId="1" xfId="0" applyNumberFormat="1" applyFont="1" applyFill="1" applyBorder="1">
      <alignment vertical="center"/>
    </xf>
    <xf numFmtId="58" fontId="8" fillId="0" borderId="1" xfId="0" applyNumberFormat="1" applyFont="1" applyBorder="1" applyAlignment="1">
      <alignment horizontal="center" vertical="center"/>
    </xf>
    <xf numFmtId="179" fontId="9" fillId="2" borderId="1" xfId="0" applyNumberFormat="1" applyFont="1" applyFill="1" applyBorder="1">
      <alignment vertical="center"/>
    </xf>
    <xf numFmtId="178" fontId="10" fillId="0" borderId="1" xfId="0" applyNumberFormat="1" applyFont="1" applyFill="1" applyBorder="1">
      <alignment vertical="center"/>
    </xf>
    <xf numFmtId="179" fontId="9" fillId="0" borderId="1" xfId="0" applyNumberFormat="1" applyFont="1" applyFill="1" applyBorder="1">
      <alignment vertical="center"/>
    </xf>
    <xf numFmtId="58" fontId="1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179" fontId="3" fillId="3" borderId="4" xfId="0" applyNumberFormat="1" applyFont="1" applyFill="1" applyBorder="1" applyAlignment="1">
      <alignment horizontal="center" vertical="center"/>
    </xf>
    <xf numFmtId="179" fontId="3" fillId="5" borderId="5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179" fontId="12" fillId="3" borderId="1" xfId="0" applyNumberFormat="1" applyFont="1" applyFill="1" applyBorder="1" applyAlignment="1">
      <alignment horizontal="center" vertical="center"/>
    </xf>
    <xf numFmtId="179" fontId="3" fillId="5" borderId="6" xfId="0" applyNumberFormat="1" applyFont="1" applyFill="1" applyBorder="1" applyAlignment="1">
      <alignment horizontal="center" vertical="center"/>
    </xf>
    <xf numFmtId="180" fontId="13" fillId="4" borderId="1" xfId="4" applyNumberFormat="1" applyFont="1" applyFill="1" applyBorder="1" applyAlignment="1">
      <alignment horizontal="center" vertical="center"/>
    </xf>
    <xf numFmtId="179" fontId="13" fillId="4" borderId="1" xfId="4" applyNumberFormat="1" applyFont="1" applyFill="1" applyBorder="1" applyAlignment="1">
      <alignment horizontal="center" vertical="center"/>
    </xf>
    <xf numFmtId="179" fontId="7" fillId="2" borderId="1" xfId="0" applyNumberFormat="1" applyFont="1" applyFill="1" applyBorder="1">
      <alignment vertical="center"/>
    </xf>
    <xf numFmtId="179" fontId="11" fillId="0" borderId="1" xfId="0" applyNumberFormat="1" applyFont="1" applyBorder="1" applyAlignment="1">
      <alignment horizontal="center" vertical="center"/>
    </xf>
    <xf numFmtId="179" fontId="11" fillId="3" borderId="1" xfId="0" applyNumberFormat="1" applyFont="1" applyFill="1" applyBorder="1" applyAlignment="1">
      <alignment horizontal="center" vertical="center"/>
    </xf>
    <xf numFmtId="179" fontId="14" fillId="0" borderId="1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79" fontId="15" fillId="4" borderId="7" xfId="0" applyNumberFormat="1" applyFont="1" applyFill="1" applyBorder="1" applyAlignment="1">
      <alignment horizontal="center" vertical="center"/>
    </xf>
    <xf numFmtId="179" fontId="15" fillId="0" borderId="5" xfId="0" applyNumberFormat="1" applyFont="1" applyFill="1" applyBorder="1" applyAlignment="1">
      <alignment horizontal="center" vertical="center" wrapText="1"/>
    </xf>
    <xf numFmtId="181" fontId="12" fillId="3" borderId="7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179" fontId="12" fillId="0" borderId="9" xfId="0" applyNumberFormat="1" applyFont="1" applyFill="1" applyBorder="1" applyAlignment="1">
      <alignment horizontal="center" vertical="center"/>
    </xf>
    <xf numFmtId="179" fontId="12" fillId="5" borderId="5" xfId="0" applyNumberFormat="1" applyFont="1" applyFill="1" applyBorder="1" applyAlignment="1">
      <alignment horizontal="center" vertical="center"/>
    </xf>
    <xf numFmtId="8" fontId="3" fillId="6" borderId="5" xfId="0" applyNumberFormat="1" applyFont="1" applyFill="1" applyBorder="1" applyAlignment="1">
      <alignment horizontal="center" vertical="center"/>
    </xf>
    <xf numFmtId="179" fontId="16" fillId="4" borderId="10" xfId="0" applyNumberFormat="1" applyFont="1" applyFill="1" applyBorder="1" applyAlignment="1">
      <alignment horizontal="center" vertical="center"/>
    </xf>
    <xf numFmtId="179" fontId="15" fillId="0" borderId="6" xfId="0" applyNumberFormat="1" applyFont="1" applyFill="1" applyBorder="1" applyAlignment="1">
      <alignment horizontal="center" vertical="center" wrapText="1"/>
    </xf>
    <xf numFmtId="181" fontId="12" fillId="3" borderId="1" xfId="0" applyNumberFormat="1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/>
    </xf>
    <xf numFmtId="179" fontId="12" fillId="5" borderId="1" xfId="0" applyNumberFormat="1" applyFont="1" applyFill="1" applyBorder="1" applyAlignment="1">
      <alignment horizontal="center" vertical="center"/>
    </xf>
    <xf numFmtId="8" fontId="3" fillId="6" borderId="11" xfId="0" applyNumberFormat="1" applyFont="1" applyFill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2"/>
  <sheetViews>
    <sheetView tabSelected="1" topLeftCell="E1" workbookViewId="0">
      <pane ySplit="4" topLeftCell="A5" activePane="bottomLeft" state="frozen"/>
      <selection/>
      <selection pane="bottomLeft" activeCell="X8" sqref="X8"/>
    </sheetView>
  </sheetViews>
  <sheetFormatPr defaultColWidth="9" defaultRowHeight="19" customHeight="1"/>
  <cols>
    <col min="1" max="1" width="10.375" style="3"/>
    <col min="2" max="2" width="10.375" style="1" customWidth="1"/>
    <col min="3" max="3" width="11.875" style="1" customWidth="1"/>
    <col min="4" max="5" width="7.125" style="1" customWidth="1"/>
    <col min="6" max="6" width="8.125" style="1" customWidth="1"/>
    <col min="7" max="7" width="7.75" style="1" customWidth="1"/>
    <col min="8" max="8" width="11.5" style="1" customWidth="1"/>
    <col min="9" max="9" width="7.5" style="1" customWidth="1"/>
    <col min="10" max="10" width="4.625" style="1" customWidth="1"/>
    <col min="11" max="11" width="12.875" style="1" customWidth="1"/>
    <col min="12" max="12" width="13.625" style="1"/>
    <col min="13" max="13" width="9" style="1"/>
    <col min="14" max="14" width="11" style="1" customWidth="1"/>
    <col min="15" max="15" width="9.25" style="1"/>
    <col min="16" max="16" width="10.25" style="1"/>
    <col min="17" max="17" width="9.625" style="1" customWidth="1"/>
    <col min="18" max="18" width="9" style="1"/>
    <col min="19" max="19" width="11.25" style="1" customWidth="1"/>
    <col min="20" max="22" width="9" style="1"/>
    <col min="23" max="23" width="12.25" style="1" customWidth="1"/>
    <col min="24" max="24" width="12.875" style="1"/>
    <col min="25" max="16384" width="9" style="1"/>
  </cols>
  <sheetData>
    <row r="1" ht="20.25" customHeight="1" spans="1:20">
      <c r="A1" s="4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="1" customFormat="1" ht="21" customHeight="1" spans="1:20">
      <c r="A2" s="4"/>
      <c r="B2" s="5"/>
      <c r="C2" s="5"/>
      <c r="D2" s="5"/>
      <c r="E2" s="5"/>
      <c r="F2" s="5"/>
      <c r="G2" s="5"/>
      <c r="H2" s="5"/>
      <c r="I2" s="5"/>
      <c r="J2" s="2"/>
      <c r="K2" s="23"/>
      <c r="L2" s="23"/>
      <c r="M2" s="23"/>
      <c r="N2" s="23"/>
      <c r="O2" s="23"/>
      <c r="Q2" s="23"/>
      <c r="R2" s="23" t="s">
        <v>1</v>
      </c>
      <c r="S2" s="23"/>
      <c r="T2" s="23"/>
    </row>
    <row r="3" s="1" customFormat="1" ht="17" customHeight="1" spans="1:24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10" t="s">
        <v>9</v>
      </c>
      <c r="I3" s="24"/>
      <c r="J3" s="25"/>
      <c r="K3" s="26"/>
      <c r="L3" s="27" t="s">
        <v>10</v>
      </c>
      <c r="M3" s="28" t="s">
        <v>11</v>
      </c>
      <c r="N3" s="29"/>
      <c r="O3" s="29"/>
      <c r="P3" s="29"/>
      <c r="Q3" s="40"/>
      <c r="R3" s="41" t="s">
        <v>12</v>
      </c>
      <c r="S3" s="42" t="s">
        <v>13</v>
      </c>
      <c r="T3" s="43" t="s">
        <v>14</v>
      </c>
      <c r="U3" s="44"/>
      <c r="V3" s="45"/>
      <c r="W3" s="46" t="s">
        <v>15</v>
      </c>
      <c r="X3" s="47" t="s">
        <v>16</v>
      </c>
    </row>
    <row r="4" s="1" customFormat="1" ht="39" customHeight="1" spans="1:24">
      <c r="A4" s="6"/>
      <c r="B4" s="7"/>
      <c r="C4" s="8"/>
      <c r="D4" s="9"/>
      <c r="E4" s="9"/>
      <c r="F4" s="7"/>
      <c r="G4" s="7"/>
      <c r="H4" s="11" t="s">
        <v>17</v>
      </c>
      <c r="I4" s="11" t="s">
        <v>18</v>
      </c>
      <c r="J4" s="30" t="s">
        <v>19</v>
      </c>
      <c r="K4" s="31" t="s">
        <v>20</v>
      </c>
      <c r="L4" s="32"/>
      <c r="M4" s="33" t="s">
        <v>21</v>
      </c>
      <c r="N4" s="34" t="s">
        <v>22</v>
      </c>
      <c r="O4" s="34" t="s">
        <v>23</v>
      </c>
      <c r="P4" s="34" t="s">
        <v>24</v>
      </c>
      <c r="Q4" s="34" t="s">
        <v>25</v>
      </c>
      <c r="R4" s="48"/>
      <c r="S4" s="49"/>
      <c r="T4" s="50" t="s">
        <v>26</v>
      </c>
      <c r="U4" s="11" t="s">
        <v>27</v>
      </c>
      <c r="V4" s="51" t="s">
        <v>20</v>
      </c>
      <c r="W4" s="52" t="s">
        <v>28</v>
      </c>
      <c r="X4" s="53"/>
    </row>
    <row r="5" s="1" customFormat="1" customHeight="1" spans="1:24">
      <c r="A5" s="12" t="s">
        <v>29</v>
      </c>
      <c r="B5" s="13" t="s">
        <v>30</v>
      </c>
      <c r="C5" s="14">
        <v>240809000035</v>
      </c>
      <c r="D5" s="15">
        <v>45526</v>
      </c>
      <c r="E5" s="13" t="s">
        <v>31</v>
      </c>
      <c r="F5" s="13" t="s">
        <v>32</v>
      </c>
      <c r="G5" s="13">
        <v>37</v>
      </c>
      <c r="H5" s="16">
        <v>2941</v>
      </c>
      <c r="I5" s="35"/>
      <c r="J5" s="35"/>
      <c r="K5" s="35">
        <f t="shared" ref="K5:K7" si="0">SUM(H5)</f>
        <v>2941</v>
      </c>
      <c r="L5" s="35">
        <f t="shared" ref="L5:L7" si="1">SUM(K5)</f>
        <v>2941</v>
      </c>
      <c r="M5" s="36" t="s">
        <v>33</v>
      </c>
      <c r="N5" s="36">
        <v>2374.4</v>
      </c>
      <c r="O5" s="36"/>
      <c r="P5" s="37">
        <v>31</v>
      </c>
      <c r="Q5" s="36"/>
      <c r="R5" s="37">
        <v>86</v>
      </c>
      <c r="S5" s="36">
        <f t="shared" ref="S5:S7" si="2">SUM(N5:R5)</f>
        <v>2491.4</v>
      </c>
      <c r="T5" s="36"/>
      <c r="U5" s="36"/>
      <c r="V5" s="36">
        <v>0</v>
      </c>
      <c r="W5" s="36">
        <f t="shared" ref="W5:W7" si="3">SUM(S5+V5)</f>
        <v>2491.4</v>
      </c>
      <c r="X5" s="36">
        <f t="shared" ref="X5:X7" si="4">SUM(L5-W5)</f>
        <v>449.6</v>
      </c>
    </row>
    <row r="6" s="1" customFormat="1" customHeight="1" spans="1:24">
      <c r="A6" s="12" t="s">
        <v>34</v>
      </c>
      <c r="B6" s="13" t="s">
        <v>35</v>
      </c>
      <c r="C6" s="17">
        <v>240816000022</v>
      </c>
      <c r="D6" s="15">
        <v>45531</v>
      </c>
      <c r="E6" s="13" t="s">
        <v>31</v>
      </c>
      <c r="F6" s="13" t="s">
        <v>36</v>
      </c>
      <c r="G6" s="13">
        <v>27.5</v>
      </c>
      <c r="H6" s="18">
        <v>2562.5</v>
      </c>
      <c r="I6" s="35"/>
      <c r="J6" s="35"/>
      <c r="K6" s="35">
        <f t="shared" si="0"/>
        <v>2562.5</v>
      </c>
      <c r="L6" s="35">
        <f t="shared" si="1"/>
        <v>2562.5</v>
      </c>
      <c r="M6" s="36" t="s">
        <v>33</v>
      </c>
      <c r="N6" s="36">
        <v>2192.6</v>
      </c>
      <c r="O6" s="36"/>
      <c r="P6" s="37">
        <v>31</v>
      </c>
      <c r="Q6" s="36"/>
      <c r="R6" s="36"/>
      <c r="S6" s="36">
        <f t="shared" si="2"/>
        <v>2223.6</v>
      </c>
      <c r="T6" s="36"/>
      <c r="U6" s="36"/>
      <c r="V6" s="36">
        <v>0</v>
      </c>
      <c r="W6" s="36">
        <f t="shared" si="3"/>
        <v>2223.6</v>
      </c>
      <c r="X6" s="36">
        <f t="shared" si="4"/>
        <v>338.9</v>
      </c>
    </row>
    <row r="7" s="1" customFormat="1" customHeight="1" spans="1:24">
      <c r="A7" s="12" t="s">
        <v>37</v>
      </c>
      <c r="B7" s="13" t="s">
        <v>38</v>
      </c>
      <c r="C7" s="14">
        <v>240814000001</v>
      </c>
      <c r="D7" s="19">
        <v>45520</v>
      </c>
      <c r="E7" s="13" t="s">
        <v>31</v>
      </c>
      <c r="F7" s="13" t="s">
        <v>36</v>
      </c>
      <c r="G7" s="13">
        <v>16</v>
      </c>
      <c r="H7" s="18">
        <v>1340</v>
      </c>
      <c r="I7" s="35"/>
      <c r="J7" s="35"/>
      <c r="K7" s="35">
        <f t="shared" si="0"/>
        <v>1340</v>
      </c>
      <c r="L7" s="35">
        <f t="shared" si="1"/>
        <v>1340</v>
      </c>
      <c r="M7" s="36" t="s">
        <v>33</v>
      </c>
      <c r="N7" s="36">
        <v>1125</v>
      </c>
      <c r="O7" s="38"/>
      <c r="P7" s="38">
        <v>13.68</v>
      </c>
      <c r="Q7" s="38"/>
      <c r="R7" s="38"/>
      <c r="S7" s="38">
        <f t="shared" si="2"/>
        <v>1138.68</v>
      </c>
      <c r="T7" s="38"/>
      <c r="U7" s="38"/>
      <c r="V7" s="38">
        <v>0</v>
      </c>
      <c r="W7" s="38">
        <f t="shared" si="3"/>
        <v>1138.68</v>
      </c>
      <c r="X7" s="38">
        <f t="shared" si="4"/>
        <v>201.32</v>
      </c>
    </row>
    <row r="8" s="2" customFormat="1" ht="20" customHeight="1" spans="1:24">
      <c r="A8" s="20" t="s">
        <v>39</v>
      </c>
      <c r="B8" s="20"/>
      <c r="C8" s="21"/>
      <c r="D8" s="22"/>
      <c r="E8" s="2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54">
        <f>SUM(X5:X7)</f>
        <v>989.82</v>
      </c>
    </row>
    <row r="9" ht="14" customHeight="1"/>
    <row r="10" ht="14" customHeight="1" spans="11:17">
      <c r="K10" s="39"/>
      <c r="L10" s="39"/>
      <c r="M10" s="39"/>
      <c r="N10" s="39"/>
      <c r="O10" s="39"/>
      <c r="P10" s="39"/>
      <c r="Q10" s="39"/>
    </row>
    <row r="11" ht="14" customHeight="1"/>
    <row r="12" ht="14" customHeight="1"/>
  </sheetData>
  <autoFilter xmlns:etc="http://www.wps.cn/officeDocument/2017/etCustomData" ref="B3:T8" etc:filterBottomFollowUsedRange="0">
    <extLst/>
  </autoFilter>
  <mergeCells count="16">
    <mergeCell ref="B1:T1"/>
    <mergeCell ref="H3:K3"/>
    <mergeCell ref="M3:Q3"/>
    <mergeCell ref="T3:V3"/>
    <mergeCell ref="A8:B8"/>
    <mergeCell ref="A3:A4"/>
    <mergeCell ref="B3:B4"/>
    <mergeCell ref="C3:C4"/>
    <mergeCell ref="D3:D4"/>
    <mergeCell ref="E3:E4"/>
    <mergeCell ref="F3:F4"/>
    <mergeCell ref="G3:G4"/>
    <mergeCell ref="L3:L4"/>
    <mergeCell ref="R3:R4"/>
    <mergeCell ref="S3:S4"/>
    <mergeCell ref="X3:X4"/>
  </mergeCells>
  <printOptions horizontalCentered="1"/>
  <pageMargins left="0.354166666666667" right="0.354166666666667" top="0.393055555555556" bottom="0.511805555555556" header="0.11805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毛利表2023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2018-03-09T08:26:00Z</dcterms:created>
  <dcterms:modified xsi:type="dcterms:W3CDTF">2024-12-10T07:00:49Z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KSORubyTemplateID" linkTarget="0">
    <vt:lpwstr>11</vt:lpwstr>
  </property>
  <property fmtid="{D5CDD505-2E9C-101B-9397-08002B2CF9AE}" pid="4" name="ICV">
    <vt:lpwstr>F753902E71D6468A8ACD77BB82A111CA</vt:lpwstr>
  </property>
</Properties>
</file>