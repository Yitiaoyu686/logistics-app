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1" sheetId="1" r:id="rId1"/>
  </sheets>
  <definedNames>
    <definedName name="_xlnm._FilterDatabase" localSheetId="0" hidden="1">Sheet1!$A$2:$AE$1062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30993</author>
  </authors>
  <commentList>
    <comment ref="M4" authorId="0">
      <text>
        <r>
          <rPr>
            <sz val="9"/>
            <rFont val="宋体"/>
            <charset val="134"/>
          </rPr>
          <t xml:space="preserve">预付1286.57转到位SD179.93.
</t>
        </r>
      </text>
    </comment>
    <comment ref="M7" authorId="0">
      <text>
        <r>
          <rPr>
            <sz val="9"/>
            <rFont val="宋体"/>
            <charset val="134"/>
          </rPr>
          <t xml:space="preserve">预付234.3转到付USD32.76.
</t>
        </r>
      </text>
    </comment>
    <comment ref="M9" authorId="0">
      <text>
        <r>
          <rPr>
            <sz val="9"/>
            <rFont val="宋体"/>
            <charset val="134"/>
          </rPr>
          <t xml:space="preserve">预付3306转到付USD462.37.
</t>
        </r>
      </text>
    </comment>
    <comment ref="M12" authorId="0">
      <text>
        <r>
          <rPr>
            <sz val="9"/>
            <rFont val="宋体"/>
            <charset val="134"/>
          </rPr>
          <t xml:space="preserve">预付80转到付SD11.01.
</t>
        </r>
      </text>
    </comment>
    <comment ref="M14" authorId="0">
      <text>
        <r>
          <rPr>
            <sz val="9"/>
            <rFont val="宋体"/>
            <charset val="134"/>
          </rPr>
          <t xml:space="preserve">预付1769转到位USD243.66.
</t>
        </r>
      </text>
    </comment>
    <comment ref="M15" authorId="0">
      <text>
        <r>
          <rPr>
            <sz val="9"/>
            <rFont val="宋体"/>
            <charset val="134"/>
          </rPr>
          <t>预付405转到付USD56.4.</t>
        </r>
      </text>
    </comment>
    <comment ref="M24" authorId="0">
      <text>
        <r>
          <rPr>
            <sz val="9"/>
            <rFont val="宋体"/>
            <charset val="134"/>
          </rPr>
          <t xml:space="preserve">预付110转到付SD15.38.
</t>
        </r>
      </text>
    </comment>
    <comment ref="M26" authorId="0">
      <text>
        <r>
          <rPr>
            <sz val="9"/>
            <rFont val="宋体"/>
            <charset val="134"/>
          </rPr>
          <t xml:space="preserve">预付1798转到付USD251.46.
</t>
        </r>
      </text>
    </comment>
    <comment ref="M30" authorId="0">
      <text>
        <r>
          <rPr>
            <sz val="9"/>
            <rFont val="宋体"/>
            <charset val="134"/>
          </rPr>
          <t xml:space="preserve">预付3551转到付USD490.46.
</t>
        </r>
      </text>
    </comment>
    <comment ref="M33" authorId="0">
      <text>
        <r>
          <rPr>
            <sz val="9"/>
            <rFont val="宋体"/>
            <charset val="134"/>
          </rPr>
          <t xml:space="preserve">预付93转到付USD12.95.
</t>
        </r>
      </text>
    </comment>
    <comment ref="M36" authorId="0">
      <text>
        <r>
          <rPr>
            <b/>
            <sz val="9"/>
            <rFont val="宋体"/>
            <charset val="134"/>
          </rPr>
          <t>3预付174转到位USD24.33.</t>
        </r>
        <r>
          <rPr>
            <sz val="9"/>
            <rFont val="宋体"/>
            <charset val="134"/>
          </rPr>
          <t xml:space="preserve">
</t>
        </r>
      </text>
    </comment>
    <comment ref="M37" authorId="0">
      <text>
        <r>
          <rPr>
            <sz val="9"/>
            <rFont val="宋体"/>
            <charset val="134"/>
          </rPr>
          <t>预付3206.5转到付USD448.46.</t>
        </r>
      </text>
    </comment>
    <comment ref="M38" authorId="0">
      <text>
        <r>
          <rPr>
            <sz val="9"/>
            <rFont val="宋体"/>
            <charset val="134"/>
          </rPr>
          <t xml:space="preserve">预付203转到位USD28.39.
</t>
        </r>
      </text>
    </comment>
    <comment ref="M39" authorId="0">
      <text>
        <r>
          <rPr>
            <sz val="9"/>
            <rFont val="宋体"/>
            <charset val="134"/>
          </rPr>
          <t xml:space="preserve">预付995转到付SD137.43.
</t>
        </r>
      </text>
    </comment>
    <comment ref="M41" authorId="0">
      <text>
        <r>
          <rPr>
            <sz val="9"/>
            <rFont val="宋体"/>
            <charset val="134"/>
          </rPr>
          <t xml:space="preserve">预付115转到付USD16.01.
</t>
        </r>
      </text>
    </comment>
    <comment ref="M42" authorId="0">
      <text>
        <r>
          <rPr>
            <sz val="9"/>
            <rFont val="宋体"/>
            <charset val="134"/>
          </rPr>
          <t xml:space="preserve">预付115转到付USD16.01.
</t>
        </r>
      </text>
    </comment>
    <comment ref="M43" authorId="0">
      <text>
        <r>
          <rPr>
            <sz val="9"/>
            <rFont val="宋体"/>
            <charset val="134"/>
          </rPr>
          <t xml:space="preserve">预付115转到付USD16.08.
</t>
        </r>
      </text>
    </comment>
    <comment ref="M47" authorId="0">
      <text>
        <r>
          <rPr>
            <sz val="9"/>
            <rFont val="宋体"/>
            <charset val="134"/>
          </rPr>
          <t xml:space="preserve">预付3969转到付USD551.25
</t>
        </r>
      </text>
    </comment>
    <comment ref="I62" authorId="0">
      <text>
        <r>
          <rPr>
            <sz val="9"/>
            <rFont val="宋体"/>
            <charset val="134"/>
          </rPr>
          <t xml:space="preserve">到付USD2590转预付15692.
</t>
        </r>
      </text>
    </comment>
    <comment ref="I64" authorId="0">
      <text>
        <r>
          <rPr>
            <sz val="9"/>
            <rFont val="宋体"/>
            <charset val="134"/>
          </rPr>
          <t xml:space="preserve">到付USD71.75转预付520.
</t>
        </r>
      </text>
    </comment>
    <comment ref="M69" authorId="0">
      <text>
        <r>
          <rPr>
            <sz val="9"/>
            <rFont val="宋体"/>
            <charset val="134"/>
          </rPr>
          <t xml:space="preserve">预付1811.5转到付USD249.51.
</t>
        </r>
      </text>
    </comment>
    <comment ref="M74" authorId="0">
      <text>
        <r>
          <rPr>
            <sz val="9"/>
            <rFont val="宋体"/>
            <charset val="134"/>
          </rPr>
          <t xml:space="preserve">预付11553转到付SD1615.8.
</t>
        </r>
      </text>
    </comment>
    <comment ref="M76" authorId="0">
      <text>
        <r>
          <rPr>
            <sz val="9"/>
            <rFont val="宋体"/>
            <charset val="134"/>
          </rPr>
          <t>预付476.85转到付USD66.41.</t>
        </r>
      </text>
    </comment>
    <comment ref="M92" authorId="0">
      <text>
        <r>
          <rPr>
            <sz val="9"/>
            <rFont val="宋体"/>
            <charset val="134"/>
          </rPr>
          <t xml:space="preserve">预付184.8转到付USD25.84.
</t>
        </r>
      </text>
    </comment>
    <comment ref="I97" authorId="0">
      <text>
        <r>
          <rPr>
            <sz val="9"/>
            <rFont val="宋体"/>
            <charset val="134"/>
          </rPr>
          <t>货物损坏赔偿2399元，实收2399元.</t>
        </r>
      </text>
    </comment>
    <comment ref="I99" authorId="0">
      <text>
        <r>
          <rPr>
            <b/>
            <sz val="9"/>
            <rFont val="宋体"/>
            <charset val="134"/>
          </rPr>
          <t>20/8微信支付</t>
        </r>
        <r>
          <rPr>
            <sz val="9"/>
            <rFont val="宋体"/>
            <charset val="134"/>
          </rPr>
          <t xml:space="preserve">货物损坏赔偿费用139元，实收1121.60元.
</t>
        </r>
      </text>
    </comment>
    <comment ref="M103" authorId="0">
      <text>
        <r>
          <rPr>
            <sz val="9"/>
            <rFont val="宋体"/>
            <charset val="134"/>
          </rPr>
          <t xml:space="preserve">预付115.4转到付USD156.
</t>
        </r>
      </text>
    </comment>
    <comment ref="M109" authorId="0">
      <text>
        <r>
          <rPr>
            <sz val="9"/>
            <rFont val="宋体"/>
            <charset val="134"/>
          </rPr>
          <t xml:space="preserve">预付1856转到付USD259.58.
</t>
        </r>
      </text>
    </comment>
    <comment ref="M111" authorId="0">
      <text>
        <r>
          <rPr>
            <sz val="9"/>
            <rFont val="宋体"/>
            <charset val="134"/>
          </rPr>
          <t xml:space="preserve">预付3275转到付USD456.12.
</t>
        </r>
      </text>
    </comment>
    <comment ref="M120" authorId="0">
      <text>
        <r>
          <rPr>
            <sz val="9"/>
            <rFont val="宋体"/>
            <charset val="134"/>
          </rPr>
          <t xml:space="preserve">预付135.3转到付USD18.92.
</t>
        </r>
      </text>
    </comment>
    <comment ref="M129" authorId="0">
      <text>
        <r>
          <rPr>
            <sz val="9"/>
            <rFont val="宋体"/>
            <charset val="134"/>
          </rPr>
          <t xml:space="preserve">预付120转到付USD16.78.
</t>
        </r>
      </text>
    </comment>
    <comment ref="M133" authorId="0">
      <text>
        <r>
          <rPr>
            <sz val="9"/>
            <rFont val="宋体"/>
            <charset val="134"/>
          </rPr>
          <t xml:space="preserve">预付63转到付USD8.77
</t>
        </r>
      </text>
    </comment>
    <comment ref="I135" authorId="0">
      <text>
        <r>
          <rPr>
            <sz val="9"/>
            <rFont val="宋体"/>
            <charset val="134"/>
          </rPr>
          <t xml:space="preserve">到付USD88.8转预付630.
</t>
        </r>
      </text>
    </comment>
    <comment ref="M136" authorId="0">
      <text>
        <r>
          <rPr>
            <sz val="9"/>
            <rFont val="宋体"/>
            <charset val="134"/>
          </rPr>
          <t xml:space="preserve">预付2139转到付USD299.16.
</t>
        </r>
      </text>
    </comment>
    <comment ref="M139" authorId="0">
      <text>
        <r>
          <rPr>
            <sz val="9"/>
            <rFont val="宋体"/>
            <charset val="134"/>
          </rPr>
          <t xml:space="preserve">预付10709.25转到付USD1497.79.
</t>
        </r>
      </text>
    </comment>
    <comment ref="M143" authorId="0">
      <text>
        <r>
          <rPr>
            <sz val="9"/>
            <rFont val="宋体"/>
            <charset val="134"/>
          </rPr>
          <t xml:space="preserve">预付183转到付USD25.59.
</t>
        </r>
      </text>
    </comment>
    <comment ref="M161" authorId="0">
      <text>
        <r>
          <rPr>
            <sz val="9"/>
            <rFont val="宋体"/>
            <charset val="134"/>
          </rPr>
          <t xml:space="preserve">预付3760转到付USD525.87.
</t>
        </r>
      </text>
    </comment>
    <comment ref="M177" authorId="0">
      <text>
        <r>
          <rPr>
            <sz val="9"/>
            <rFont val="宋体"/>
            <charset val="134"/>
          </rPr>
          <t xml:space="preserve">预付570.9转到付USD79.51.
</t>
        </r>
      </text>
    </comment>
    <comment ref="I178" authorId="0">
      <text>
        <r>
          <rPr>
            <sz val="9"/>
            <rFont val="宋体"/>
            <charset val="134"/>
          </rPr>
          <t xml:space="preserve">到付USD68.05转预付493.
</t>
        </r>
      </text>
    </comment>
    <comment ref="M184" authorId="0">
      <text>
        <r>
          <rPr>
            <sz val="9"/>
            <rFont val="宋体"/>
            <charset val="134"/>
          </rPr>
          <t xml:space="preserve">预付102.3转到付SD14.3.
</t>
        </r>
      </text>
    </comment>
    <comment ref="M185" authorId="0">
      <text>
        <r>
          <rPr>
            <sz val="9"/>
            <rFont val="宋体"/>
            <charset val="134"/>
          </rPr>
          <t xml:space="preserve">预付865转到付USD120.97.
</t>
        </r>
      </text>
    </comment>
    <comment ref="M197" authorId="0">
      <text>
        <r>
          <rPr>
            <sz val="9"/>
            <rFont val="宋体"/>
            <charset val="134"/>
          </rPr>
          <t xml:space="preserve">预付3060转到付USD427.97.
</t>
        </r>
      </text>
    </comment>
    <comment ref="M210" authorId="0">
      <text>
        <r>
          <rPr>
            <sz val="9"/>
            <rFont val="宋体"/>
            <charset val="134"/>
          </rPr>
          <t xml:space="preserve">预付150转到位USD20.97.
</t>
        </r>
      </text>
    </comment>
    <comment ref="M223" authorId="0">
      <text>
        <r>
          <rPr>
            <sz val="9"/>
            <rFont val="宋体"/>
            <charset val="134"/>
          </rPr>
          <t xml:space="preserve">预付53转到付USD7.3.
</t>
        </r>
      </text>
    </comment>
    <comment ref="M224" authorId="0">
      <text>
        <r>
          <rPr>
            <sz val="9"/>
            <rFont val="宋体"/>
            <charset val="134"/>
          </rPr>
          <t xml:space="preserve">预付183转到付USD25.59.
</t>
        </r>
      </text>
    </comment>
    <comment ref="M226" authorId="0">
      <text>
        <r>
          <rPr>
            <sz val="9"/>
            <rFont val="宋体"/>
            <charset val="134"/>
          </rPr>
          <t xml:space="preserve">预付138转到付USD19.22.
</t>
        </r>
      </text>
    </comment>
    <comment ref="M229" authorId="0">
      <text>
        <r>
          <rPr>
            <sz val="9"/>
            <rFont val="宋体"/>
            <charset val="134"/>
          </rPr>
          <t xml:space="preserve">预付348转到付USD48.67.
</t>
        </r>
      </text>
    </comment>
    <comment ref="I230" authorId="0">
      <text>
        <r>
          <rPr>
            <sz val="9"/>
            <rFont val="宋体"/>
            <charset val="134"/>
          </rPr>
          <t>到付USD28.54转预付204.</t>
        </r>
      </text>
    </comment>
    <comment ref="M236" authorId="0">
      <text>
        <r>
          <rPr>
            <sz val="9"/>
            <rFont val="宋体"/>
            <charset val="134"/>
          </rPr>
          <t>预付1034.5转USD144.68.</t>
        </r>
      </text>
    </comment>
    <comment ref="M240" authorId="0">
      <text>
        <r>
          <rPr>
            <sz val="9"/>
            <rFont val="宋体"/>
            <charset val="134"/>
          </rPr>
          <t xml:space="preserve">预付243转到付USD33.84.
</t>
        </r>
      </text>
    </comment>
    <comment ref="M242" authorId="0">
      <text>
        <r>
          <rPr>
            <b/>
            <sz val="9"/>
            <rFont val="宋体"/>
            <charset val="134"/>
          </rPr>
          <t>30993:</t>
        </r>
        <r>
          <rPr>
            <sz val="9"/>
            <rFont val="宋体"/>
            <charset val="134"/>
          </rPr>
          <t xml:space="preserve">
预付174转到位USD24.33.</t>
        </r>
      </text>
    </comment>
    <comment ref="M248" authorId="0">
      <text>
        <r>
          <rPr>
            <sz val="9"/>
            <rFont val="宋体"/>
            <charset val="134"/>
          </rPr>
          <t xml:space="preserve">预付93转到付USD13.
</t>
        </r>
      </text>
    </comment>
    <comment ref="M249" authorId="0">
      <text>
        <r>
          <rPr>
            <sz val="9"/>
            <rFont val="宋体"/>
            <charset val="134"/>
          </rPr>
          <t xml:space="preserve">预付3606转到付USD462.37.
</t>
        </r>
      </text>
    </comment>
    <comment ref="M250" authorId="0">
      <text>
        <r>
          <rPr>
            <sz val="9"/>
            <rFont val="宋体"/>
            <charset val="134"/>
          </rPr>
          <t xml:space="preserve">预付480转到付USD66.85.
</t>
        </r>
      </text>
    </comment>
    <comment ref="M251" authorId="0">
      <text>
        <r>
          <rPr>
            <sz val="9"/>
            <rFont val="宋体"/>
            <charset val="134"/>
          </rPr>
          <t xml:space="preserve">预付3164转到位USD442.51.
</t>
        </r>
      </text>
    </comment>
    <comment ref="M252" authorId="0">
      <text>
        <r>
          <rPr>
            <sz val="9"/>
            <rFont val="宋体"/>
            <charset val="134"/>
          </rPr>
          <t xml:space="preserve">预付5225转到付USD730.76.
</t>
        </r>
      </text>
    </comment>
    <comment ref="M261" authorId="0">
      <text>
        <r>
          <rPr>
            <sz val="9"/>
            <rFont val="宋体"/>
            <charset val="134"/>
          </rPr>
          <t xml:space="preserve">预付848转到付USD117.12.
</t>
        </r>
      </text>
    </comment>
    <comment ref="M264" authorId="0">
      <text>
        <r>
          <rPr>
            <sz val="9"/>
            <rFont val="宋体"/>
            <charset val="134"/>
          </rPr>
          <t xml:space="preserve">预付79.5转到付USD10.98.
</t>
        </r>
      </text>
    </comment>
    <comment ref="M268" authorId="0">
      <text>
        <r>
          <rPr>
            <sz val="9"/>
            <rFont val="宋体"/>
            <charset val="134"/>
          </rPr>
          <t xml:space="preserve">预付123转到付USD17.13.
</t>
        </r>
      </text>
    </comment>
    <comment ref="M269" authorId="0">
      <text>
        <r>
          <rPr>
            <sz val="9"/>
            <rFont val="宋体"/>
            <charset val="134"/>
          </rPr>
          <t xml:space="preserve">预付333转到付USD46.37.
</t>
        </r>
      </text>
    </comment>
    <comment ref="M274" authorId="0">
      <text>
        <r>
          <rPr>
            <sz val="9"/>
            <rFont val="宋体"/>
            <charset val="134"/>
          </rPr>
          <t xml:space="preserve">预付9234转到付SD1275.41.
</t>
        </r>
      </text>
    </comment>
    <comment ref="M276" authorId="0">
      <text>
        <r>
          <rPr>
            <sz val="9"/>
            <rFont val="宋体"/>
            <charset val="134"/>
          </rPr>
          <t xml:space="preserve">预付1008转到位USD140.97.
</t>
        </r>
      </text>
    </comment>
    <comment ref="M283" authorId="0">
      <text>
        <r>
          <rPr>
            <sz val="9"/>
            <rFont val="宋体"/>
            <charset val="134"/>
          </rPr>
          <t xml:space="preserve">预付663转到付USD92.72.
</t>
        </r>
      </text>
    </comment>
    <comment ref="M284" authorId="0">
      <text>
        <r>
          <rPr>
            <sz val="9"/>
            <rFont val="宋体"/>
            <charset val="134"/>
          </rPr>
          <t>预付5648转到付USD789.93</t>
        </r>
      </text>
    </comment>
    <comment ref="M285" authorId="0">
      <text>
        <r>
          <rPr>
            <sz val="9"/>
            <rFont val="宋体"/>
            <charset val="134"/>
          </rPr>
          <t xml:space="preserve">预付79.5转到付USD10.98.
</t>
        </r>
      </text>
    </comment>
    <comment ref="M288" authorId="0">
      <text>
        <r>
          <rPr>
            <sz val="9"/>
            <rFont val="宋体"/>
            <charset val="134"/>
          </rPr>
          <t xml:space="preserve">预付1174.5转USD164.26.
</t>
        </r>
      </text>
    </comment>
    <comment ref="M298" authorId="0">
      <text>
        <r>
          <rPr>
            <sz val="9"/>
            <rFont val="宋体"/>
            <charset val="134"/>
          </rPr>
          <t xml:space="preserve">预付338转到位USD47.27.
</t>
        </r>
      </text>
    </comment>
    <comment ref="M299" authorId="0">
      <text>
        <r>
          <rPr>
            <sz val="9"/>
            <rFont val="宋体"/>
            <charset val="134"/>
          </rPr>
          <t xml:space="preserve">预付1685.5转到付SD235.73.
</t>
        </r>
      </text>
    </comment>
    <comment ref="M304" authorId="0">
      <text>
        <r>
          <rPr>
            <sz val="9"/>
            <rFont val="宋体"/>
            <charset val="134"/>
          </rPr>
          <t xml:space="preserve">预付102转到付USD14.26.
</t>
        </r>
      </text>
    </comment>
    <comment ref="M308" authorId="0">
      <text>
        <r>
          <rPr>
            <sz val="9"/>
            <rFont val="宋体"/>
            <charset val="134"/>
          </rPr>
          <t>预付433.5转到付USD60.62.</t>
        </r>
      </text>
    </comment>
    <comment ref="M318" authorId="0">
      <text>
        <r>
          <rPr>
            <sz val="9"/>
            <rFont val="宋体"/>
            <charset val="134"/>
          </rPr>
          <t xml:space="preserve">预付1708转到位USD238.88
</t>
        </r>
      </text>
    </comment>
    <comment ref="M323" authorId="0">
      <text>
        <r>
          <rPr>
            <sz val="9"/>
            <rFont val="宋体"/>
            <charset val="134"/>
          </rPr>
          <t xml:space="preserve">预付178.5转到付USD24.65.
</t>
        </r>
      </text>
    </comment>
    <comment ref="M339" authorId="0">
      <text>
        <r>
          <rPr>
            <sz val="9"/>
            <rFont val="宋体"/>
            <charset val="134"/>
          </rPr>
          <t>预付3180转到位USD444.75.</t>
        </r>
      </text>
    </comment>
    <comment ref="M346" authorId="0">
      <text>
        <r>
          <rPr>
            <sz val="9"/>
            <rFont val="宋体"/>
            <charset val="134"/>
          </rPr>
          <t xml:space="preserve">预付150转到付USD20.97.
</t>
        </r>
      </text>
    </comment>
    <comment ref="M349" authorId="0">
      <text>
        <r>
          <rPr>
            <sz val="9"/>
            <rFont val="宋体"/>
            <charset val="134"/>
          </rPr>
          <t xml:space="preserve">预付172.5转到付SD24.12.
</t>
        </r>
      </text>
    </comment>
    <comment ref="I352" authorId="0">
      <text>
        <r>
          <rPr>
            <sz val="9"/>
            <rFont val="宋体"/>
            <charset val="134"/>
          </rPr>
          <t xml:space="preserve">到付USD56.69转预付402.5.
</t>
        </r>
      </text>
    </comment>
    <comment ref="M362" authorId="0">
      <text>
        <r>
          <rPr>
            <sz val="9"/>
            <rFont val="宋体"/>
            <charset val="134"/>
          </rPr>
          <t xml:space="preserve">预付145转到付USD20.02
</t>
        </r>
      </text>
    </comment>
    <comment ref="M372" authorId="0">
      <text>
        <r>
          <rPr>
            <sz val="9"/>
            <rFont val="宋体"/>
            <charset val="134"/>
          </rPr>
          <t xml:space="preserve">预付251.25转到付UD35.13.
</t>
        </r>
      </text>
    </comment>
    <comment ref="M377" authorId="0">
      <text>
        <r>
          <rPr>
            <sz val="9"/>
            <rFont val="宋体"/>
            <charset val="134"/>
          </rPr>
          <t xml:space="preserve">预付105.3转到付USD14.72.
</t>
        </r>
      </text>
    </comment>
    <comment ref="M384" authorId="0">
      <text>
        <r>
          <rPr>
            <sz val="9"/>
            <rFont val="宋体"/>
            <charset val="134"/>
          </rPr>
          <t xml:space="preserve">预付138转到付SD19.3
</t>
        </r>
      </text>
    </comment>
    <comment ref="M387" authorId="0">
      <text>
        <r>
          <rPr>
            <sz val="9"/>
            <rFont val="宋体"/>
            <charset val="134"/>
          </rPr>
          <t xml:space="preserve">预付667转到付USD93.28.
</t>
        </r>
      </text>
    </comment>
    <comment ref="M395" authorId="0">
      <text>
        <r>
          <rPr>
            <sz val="9"/>
            <rFont val="宋体"/>
            <charset val="134"/>
          </rPr>
          <t xml:space="preserve">预付234.3转到付SD32.36.
</t>
        </r>
      </text>
    </comment>
    <comment ref="M396" authorId="0">
      <text>
        <r>
          <rPr>
            <sz val="9"/>
            <rFont val="宋体"/>
            <charset val="134"/>
          </rPr>
          <t xml:space="preserve">预付4121转到付USD576.36.
</t>
        </r>
      </text>
    </comment>
    <comment ref="M405" authorId="0">
      <text>
        <r>
          <rPr>
            <sz val="9"/>
            <rFont val="宋体"/>
            <charset val="134"/>
          </rPr>
          <t xml:space="preserve">预付135.3转到位USD18.63..
</t>
        </r>
      </text>
    </comment>
    <comment ref="I417" authorId="0">
      <text>
        <r>
          <rPr>
            <b/>
            <sz val="9"/>
            <rFont val="宋体"/>
            <charset val="134"/>
          </rPr>
          <t>29/9企业支付宝支付19905.45欠4742.55</t>
        </r>
        <r>
          <rPr>
            <sz val="9"/>
            <rFont val="宋体"/>
            <charset val="134"/>
          </rPr>
          <t xml:space="preserve">
</t>
        </r>
      </text>
    </comment>
    <comment ref="M439" authorId="0">
      <text>
        <r>
          <rPr>
            <sz val="9"/>
            <rFont val="宋体"/>
            <charset val="134"/>
          </rPr>
          <t xml:space="preserve">预付730.5转到付USD102.16.
</t>
        </r>
      </text>
    </comment>
    <comment ref="M445" authorId="0">
      <text>
        <r>
          <rPr>
            <sz val="9"/>
            <rFont val="宋体"/>
            <charset val="134"/>
          </rPr>
          <t xml:space="preserve">预付819转到付USD114.54.
</t>
        </r>
      </text>
    </comment>
    <comment ref="M448" authorId="0">
      <text>
        <r>
          <rPr>
            <sz val="9"/>
            <rFont val="宋体"/>
            <charset val="134"/>
          </rPr>
          <t xml:space="preserve">预付340.2转到付USD47.58.
</t>
        </r>
      </text>
    </comment>
    <comment ref="M460" authorId="0">
      <text>
        <r>
          <rPr>
            <sz val="9"/>
            <rFont val="宋体"/>
            <charset val="134"/>
          </rPr>
          <t xml:space="preserve">预付14964转到付USD2092.86.
</t>
        </r>
      </text>
    </comment>
    <comment ref="M472" authorId="0">
      <text>
        <r>
          <rPr>
            <sz val="9"/>
            <rFont val="宋体"/>
            <charset val="134"/>
          </rPr>
          <t xml:space="preserve">预付1008转到付USD140.97.
</t>
        </r>
      </text>
    </comment>
    <comment ref="M480" authorId="0">
      <text>
        <r>
          <rPr>
            <sz val="9"/>
            <rFont val="宋体"/>
            <charset val="134"/>
          </rPr>
          <t xml:space="preserve">预付1599转到付USD223.63.
</t>
        </r>
      </text>
    </comment>
    <comment ref="M487" authorId="0">
      <text>
        <r>
          <rPr>
            <sz val="9"/>
            <rFont val="宋体"/>
            <charset val="134"/>
          </rPr>
          <t xml:space="preserve">预付2230转到付USD308.01
</t>
        </r>
      </text>
    </comment>
    <comment ref="M495" authorId="0">
      <text>
        <r>
          <rPr>
            <sz val="9"/>
            <rFont val="宋体"/>
            <charset val="134"/>
          </rPr>
          <t xml:space="preserve">预付366转到付USD51.18.
</t>
        </r>
      </text>
    </comment>
    <comment ref="M496" authorId="0">
      <text>
        <r>
          <rPr>
            <sz val="9"/>
            <rFont val="宋体"/>
            <charset val="134"/>
          </rPr>
          <t xml:space="preserve">预付9020转到付USD1261.53.
</t>
        </r>
      </text>
    </comment>
    <comment ref="M498" authorId="0">
      <text>
        <r>
          <rPr>
            <sz val="9"/>
            <rFont val="宋体"/>
            <charset val="134"/>
          </rPr>
          <t xml:space="preserve">预付183转到付USD25.59.
</t>
        </r>
      </text>
    </comment>
    <comment ref="M503" authorId="0">
      <text>
        <r>
          <rPr>
            <sz val="9"/>
            <rFont val="宋体"/>
            <charset val="134"/>
          </rPr>
          <t xml:space="preserve">预付519转到付SDS72.58.
</t>
        </r>
      </text>
    </comment>
    <comment ref="M506" authorId="0">
      <text>
        <r>
          <rPr>
            <sz val="9"/>
            <rFont val="宋体"/>
            <charset val="134"/>
          </rPr>
          <t xml:space="preserve">预付3660转到付SD511.88
</t>
        </r>
      </text>
    </comment>
    <comment ref="M509" authorId="0">
      <text>
        <r>
          <rPr>
            <sz val="9"/>
            <rFont val="宋体"/>
            <charset val="134"/>
          </rPr>
          <t xml:space="preserve">预付135转到付USD18.88.
</t>
        </r>
      </text>
    </comment>
    <comment ref="M530" authorId="0">
      <text>
        <r>
          <rPr>
            <sz val="9"/>
            <rFont val="宋体"/>
            <charset val="134"/>
          </rPr>
          <t xml:space="preserve">预付183转到付USD25.59.
</t>
        </r>
      </text>
    </comment>
    <comment ref="M536" authorId="0">
      <text>
        <r>
          <rPr>
            <sz val="9"/>
            <rFont val="宋体"/>
            <charset val="134"/>
          </rPr>
          <t xml:space="preserve">预付1836转到付USD253.59.
</t>
        </r>
      </text>
    </comment>
    <comment ref="M538" authorId="0">
      <text>
        <r>
          <rPr>
            <sz val="9"/>
            <rFont val="宋体"/>
            <charset val="134"/>
          </rPr>
          <t xml:space="preserve">预付2856转到付SD399.44
</t>
        </r>
      </text>
    </comment>
    <comment ref="M540" authorId="0">
      <text>
        <r>
          <rPr>
            <sz val="9"/>
            <rFont val="宋体"/>
            <charset val="134"/>
          </rPr>
          <t xml:space="preserve">预付2018转到付SD282.23.
</t>
        </r>
      </text>
    </comment>
    <comment ref="M543" authorId="0">
      <text>
        <r>
          <rPr>
            <sz val="9"/>
            <rFont val="宋体"/>
            <charset val="134"/>
          </rPr>
          <t xml:space="preserve">预付93转到付USD13.
</t>
        </r>
      </text>
    </comment>
    <comment ref="M553" authorId="0">
      <text>
        <r>
          <rPr>
            <sz val="9"/>
            <rFont val="宋体"/>
            <charset val="134"/>
          </rPr>
          <t xml:space="preserve">预付287.5转到付USD40.2.
</t>
        </r>
      </text>
    </comment>
    <comment ref="M574" authorId="0">
      <text>
        <r>
          <rPr>
            <sz val="9"/>
            <rFont val="宋体"/>
            <charset val="134"/>
          </rPr>
          <t xml:space="preserve">预付907.5转至USD126.92.
</t>
        </r>
      </text>
    </comment>
    <comment ref="M575" authorId="0">
      <text>
        <r>
          <rPr>
            <sz val="9"/>
            <rFont val="宋体"/>
            <charset val="134"/>
          </rPr>
          <t xml:space="preserve">预付1520.5转到付USD212.65.
</t>
        </r>
      </text>
    </comment>
    <comment ref="M576" authorId="0">
      <text>
        <r>
          <rPr>
            <sz val="9"/>
            <rFont val="宋体"/>
            <charset val="134"/>
          </rPr>
          <t xml:space="preserve">预付1810.5转到付USD255.
</t>
        </r>
      </text>
    </comment>
    <comment ref="M578" authorId="0">
      <text>
        <r>
          <rPr>
            <sz val="9"/>
            <rFont val="宋体"/>
            <charset val="134"/>
          </rPr>
          <t xml:space="preserve">预付93转到付USD13.01.
</t>
        </r>
      </text>
    </comment>
    <comment ref="M580" authorId="0">
      <text>
        <r>
          <rPr>
            <sz val="9"/>
            <rFont val="宋体"/>
            <charset val="134"/>
          </rPr>
          <t xml:space="preserve">预付1515.5转到付USD211.95.
</t>
        </r>
      </text>
    </comment>
    <comment ref="M595" authorId="0">
      <text>
        <r>
          <rPr>
            <sz val="9"/>
            <rFont val="宋体"/>
            <charset val="134"/>
          </rPr>
          <t xml:space="preserve">预付1291.5转到付USD180.62.
</t>
        </r>
      </text>
    </comment>
    <comment ref="M596" authorId="0">
      <text>
        <r>
          <rPr>
            <sz val="9"/>
            <rFont val="宋体"/>
            <charset val="134"/>
          </rPr>
          <t xml:space="preserve">预付816转到付SD114.12.
</t>
        </r>
      </text>
    </comment>
    <comment ref="M598" authorId="0">
      <text>
        <r>
          <rPr>
            <sz val="9"/>
            <rFont val="宋体"/>
            <charset val="134"/>
          </rPr>
          <t xml:space="preserve">预付5488转到付USD767.55
</t>
        </r>
      </text>
    </comment>
    <comment ref="M599" authorId="0">
      <text>
        <r>
          <rPr>
            <sz val="9"/>
            <rFont val="宋体"/>
            <charset val="134"/>
          </rPr>
          <t xml:space="preserve">预付3248转到付USD454.26.
</t>
        </r>
      </text>
    </comment>
    <comment ref="I602" authorId="0">
      <text>
        <r>
          <rPr>
            <sz val="9"/>
            <rFont val="宋体"/>
            <charset val="134"/>
          </rPr>
          <t xml:space="preserve">到付USD40.18转预付280.
</t>
        </r>
      </text>
    </comment>
    <comment ref="M612" authorId="0">
      <text>
        <r>
          <rPr>
            <sz val="9"/>
            <rFont val="宋体"/>
            <charset val="134"/>
          </rPr>
          <t xml:space="preserve">预付571.27转到付USD78.9
</t>
        </r>
      </text>
    </comment>
    <comment ref="M613" authorId="0">
      <text>
        <r>
          <rPr>
            <sz val="9"/>
            <rFont val="宋体"/>
            <charset val="134"/>
          </rPr>
          <t xml:space="preserve">预付3006.5转到付USD415.26.
</t>
        </r>
      </text>
    </comment>
    <comment ref="M614" authorId="0">
      <text>
        <r>
          <rPr>
            <sz val="9"/>
            <rFont val="宋体"/>
            <charset val="134"/>
          </rPr>
          <t xml:space="preserve">预付2464转到付USD344.61.
</t>
        </r>
      </text>
    </comment>
    <comment ref="M615" authorId="0">
      <text>
        <r>
          <rPr>
            <b/>
            <sz val="9"/>
            <rFont val="宋体"/>
            <charset val="134"/>
          </rPr>
          <t>预付4279转到付SD598.46.:</t>
        </r>
        <r>
          <rPr>
            <sz val="9"/>
            <rFont val="宋体"/>
            <charset val="134"/>
          </rPr>
          <t xml:space="preserve">
</t>
        </r>
      </text>
    </comment>
    <comment ref="M616" authorId="0">
      <text>
        <r>
          <rPr>
            <sz val="9"/>
            <rFont val="宋体"/>
            <charset val="134"/>
          </rPr>
          <t>预付3930.5转到付SD549.72.</t>
        </r>
      </text>
    </comment>
    <comment ref="M617" authorId="0">
      <text>
        <r>
          <rPr>
            <sz val="9"/>
            <rFont val="宋体"/>
            <charset val="134"/>
          </rPr>
          <t xml:space="preserve">预付504转到你地USD70.48.
</t>
        </r>
      </text>
    </comment>
    <comment ref="M629" authorId="0">
      <text>
        <r>
          <rPr>
            <sz val="9"/>
            <rFont val="宋体"/>
            <charset val="134"/>
          </rPr>
          <t xml:space="preserve">预付402.5转到付USD56.29.
</t>
        </r>
      </text>
    </comment>
    <comment ref="M631" authorId="0">
      <text>
        <r>
          <rPr>
            <sz val="9"/>
            <rFont val="宋体"/>
            <charset val="134"/>
          </rPr>
          <t>预付7017.54转到付USD981.47.</t>
        </r>
      </text>
    </comment>
    <comment ref="M638" authorId="0">
      <text>
        <r>
          <rPr>
            <sz val="9"/>
            <rFont val="宋体"/>
            <charset val="134"/>
          </rPr>
          <t xml:space="preserve">预付1080转到付USD151.04.
</t>
        </r>
      </text>
    </comment>
    <comment ref="M654" authorId="0">
      <text>
        <r>
          <rPr>
            <sz val="9"/>
            <rFont val="宋体"/>
            <charset val="134"/>
          </rPr>
          <t xml:space="preserve">预付1059转到付USD148.11.
</t>
        </r>
      </text>
    </comment>
    <comment ref="M664" authorId="0">
      <text>
        <r>
          <rPr>
            <sz val="9"/>
            <rFont val="宋体"/>
            <charset val="134"/>
          </rPr>
          <t xml:space="preserve">预付765转到付USD106.99.
</t>
        </r>
      </text>
    </comment>
    <comment ref="M677" authorId="0">
      <text>
        <r>
          <rPr>
            <sz val="9"/>
            <rFont val="宋体"/>
            <charset val="134"/>
          </rPr>
          <t xml:space="preserve">预付667.5转到付USD93.35.
</t>
        </r>
      </text>
    </comment>
    <comment ref="M683" authorId="0">
      <text>
        <r>
          <rPr>
            <sz val="9"/>
            <rFont val="宋体"/>
            <charset val="134"/>
          </rPr>
          <t xml:space="preserve">预付637.5转到付USD88.05.
</t>
        </r>
      </text>
    </comment>
    <comment ref="M684" authorId="0">
      <text>
        <r>
          <rPr>
            <sz val="9"/>
            <rFont val="宋体"/>
            <charset val="134"/>
          </rPr>
          <t xml:space="preserve">预付3162转到付USD442.23.
</t>
        </r>
      </text>
    </comment>
    <comment ref="M686" authorId="0">
      <text>
        <r>
          <rPr>
            <sz val="9"/>
            <rFont val="宋体"/>
            <charset val="134"/>
          </rPr>
          <t xml:space="preserve">预付22417.5转到付USD3135.31.
</t>
        </r>
      </text>
    </comment>
    <comment ref="M705" authorId="0">
      <text>
        <r>
          <rPr>
            <sz val="9"/>
            <rFont val="宋体"/>
            <charset val="134"/>
          </rPr>
          <t xml:space="preserve">预付11016转到付USD1540.69.
</t>
        </r>
      </text>
    </comment>
    <comment ref="M707" authorId="0">
      <text>
        <r>
          <rPr>
            <sz val="9"/>
            <rFont val="宋体"/>
            <charset val="134"/>
          </rPr>
          <t xml:space="preserve">预付69.3转到付USD9.69.
</t>
        </r>
      </text>
    </comment>
    <comment ref="M709" authorId="0">
      <text>
        <r>
          <rPr>
            <sz val="9"/>
            <rFont val="宋体"/>
            <charset val="134"/>
          </rPr>
          <t xml:space="preserve">预付2979.9转到付SD416.76.
</t>
        </r>
      </text>
    </comment>
    <comment ref="M726" authorId="0">
      <text>
        <r>
          <rPr>
            <sz val="9"/>
            <rFont val="宋体"/>
            <charset val="134"/>
          </rPr>
          <t xml:space="preserve">预付633.6转到付USD88.63.
</t>
        </r>
      </text>
    </comment>
    <comment ref="M739" authorId="0">
      <text>
        <r>
          <rPr>
            <sz val="9"/>
            <rFont val="宋体"/>
            <charset val="134"/>
          </rPr>
          <t xml:space="preserve">预付102.3转到付SD14.3.
</t>
        </r>
      </text>
    </comment>
    <comment ref="M740" authorId="0">
      <text>
        <r>
          <rPr>
            <sz val="9"/>
            <rFont val="宋体"/>
            <charset val="134"/>
          </rPr>
          <t>预付267.3转到付USD37.38.</t>
        </r>
      </text>
    </comment>
    <comment ref="M744" authorId="0">
      <text>
        <r>
          <rPr>
            <sz val="9"/>
            <rFont val="宋体"/>
            <charset val="134"/>
          </rPr>
          <t xml:space="preserve">预付102转到付USD14.26.
</t>
        </r>
      </text>
    </comment>
    <comment ref="M752" authorId="0">
      <text>
        <r>
          <rPr>
            <sz val="9"/>
            <rFont val="宋体"/>
            <charset val="134"/>
          </rPr>
          <t xml:space="preserve">预付2112转到付USD295.38.
</t>
        </r>
      </text>
    </comment>
    <comment ref="M754" authorId="0">
      <text>
        <r>
          <rPr>
            <sz val="9"/>
            <rFont val="宋体"/>
            <charset val="134"/>
          </rPr>
          <t xml:space="preserve">预付604.5转到付SD84.54.
</t>
        </r>
      </text>
    </comment>
    <comment ref="J765" authorId="0">
      <text>
        <r>
          <rPr>
            <sz val="9"/>
            <rFont val="宋体"/>
            <charset val="134"/>
          </rPr>
          <t xml:space="preserve">合计237800000.
</t>
        </r>
      </text>
    </comment>
    <comment ref="M765" authorId="0">
      <text>
        <r>
          <rPr>
            <sz val="9"/>
            <rFont val="宋体"/>
            <charset val="134"/>
          </rPr>
          <t xml:space="preserve">预付49998转到付USD6992.72.
</t>
        </r>
      </text>
    </comment>
    <comment ref="M773" authorId="0">
      <text>
        <r>
          <rPr>
            <sz val="9"/>
            <rFont val="宋体"/>
            <charset val="134"/>
          </rPr>
          <t xml:space="preserve">预付5018转到付USD701.81.
</t>
        </r>
      </text>
    </comment>
    <comment ref="M786" authorId="0">
      <text>
        <r>
          <rPr>
            <sz val="9"/>
            <rFont val="宋体"/>
            <charset val="134"/>
          </rPr>
          <t xml:space="preserve">预付9900转到付USD1384.61.
</t>
        </r>
      </text>
    </comment>
    <comment ref="M787" authorId="0">
      <text>
        <r>
          <rPr>
            <sz val="9"/>
            <rFont val="宋体"/>
            <charset val="134"/>
          </rPr>
          <t xml:space="preserve">预付1820转到付USD254.54.
</t>
        </r>
      </text>
    </comment>
    <comment ref="M788" authorId="0">
      <text>
        <r>
          <rPr>
            <sz val="9"/>
            <rFont val="宋体"/>
            <charset val="134"/>
          </rPr>
          <t>预付224转到付USD313.32.</t>
        </r>
      </text>
    </comment>
    <comment ref="M793" authorId="0">
      <text>
        <r>
          <rPr>
            <sz val="9"/>
            <rFont val="宋体"/>
            <charset val="134"/>
          </rPr>
          <t xml:space="preserve">预付2445转到付USD341.95.
</t>
        </r>
      </text>
    </comment>
    <comment ref="M796" authorId="0">
      <text>
        <r>
          <rPr>
            <sz val="9"/>
            <rFont val="宋体"/>
            <charset val="134"/>
          </rPr>
          <t xml:space="preserve">预付138转到付USD19.3
</t>
        </r>
      </text>
    </comment>
    <comment ref="M801" authorId="0">
      <text>
        <r>
          <rPr>
            <sz val="9"/>
            <rFont val="宋体"/>
            <charset val="134"/>
          </rPr>
          <t xml:space="preserve">预付7022.5转到付USD982.16.
</t>
        </r>
      </text>
    </comment>
    <comment ref="M805" authorId="0">
      <text>
        <r>
          <rPr>
            <sz val="9"/>
            <rFont val="宋体"/>
            <charset val="134"/>
          </rPr>
          <t xml:space="preserve">预付1463.7转到付USD204.71.
</t>
        </r>
      </text>
    </comment>
    <comment ref="M807" authorId="0">
      <text>
        <r>
          <rPr>
            <sz val="9"/>
            <rFont val="宋体"/>
            <charset val="134"/>
          </rPr>
          <t xml:space="preserve">预付327.6转到USD45.81.
</t>
        </r>
      </text>
    </comment>
    <comment ref="M814" authorId="0">
      <text>
        <r>
          <rPr>
            <sz val="9"/>
            <rFont val="宋体"/>
            <charset val="134"/>
          </rPr>
          <t xml:space="preserve">预付635转到位SD88.81.
</t>
        </r>
      </text>
    </comment>
    <comment ref="M822" authorId="0">
      <text>
        <r>
          <rPr>
            <sz val="9"/>
            <rFont val="宋体"/>
            <charset val="134"/>
          </rPr>
          <t xml:space="preserve">预付1205转到付USD168.53.
</t>
        </r>
      </text>
    </comment>
    <comment ref="M823" authorId="0">
      <text>
        <r>
          <rPr>
            <sz val="9"/>
            <rFont val="宋体"/>
            <charset val="134"/>
          </rPr>
          <t xml:space="preserve">预付3245转到付USD458.33
</t>
        </r>
      </text>
    </comment>
    <comment ref="M824" authorId="0">
      <text>
        <r>
          <rPr>
            <sz val="9"/>
            <rFont val="宋体"/>
            <charset val="134"/>
          </rPr>
          <t xml:space="preserve">预付855转到付USD119.58.
</t>
        </r>
      </text>
    </comment>
    <comment ref="M825" authorId="0">
      <text>
        <r>
          <rPr>
            <sz val="9"/>
            <rFont val="宋体"/>
            <charset val="134"/>
          </rPr>
          <t xml:space="preserve">预付1827.5转到付USD255.59.
</t>
        </r>
      </text>
    </comment>
    <comment ref="M845" authorId="0">
      <text>
        <r>
          <rPr>
            <sz val="9"/>
            <rFont val="宋体"/>
            <charset val="134"/>
          </rPr>
          <t xml:space="preserve">预付669.9转到付USD93.69
</t>
        </r>
      </text>
    </comment>
    <comment ref="M846" authorId="0">
      <text>
        <r>
          <rPr>
            <sz val="9"/>
            <rFont val="宋体"/>
            <charset val="134"/>
          </rPr>
          <t xml:space="preserve">预付60转到付SD8.39.
</t>
        </r>
      </text>
    </comment>
    <comment ref="M849" authorId="0">
      <text>
        <r>
          <rPr>
            <sz val="9"/>
            <rFont val="宋体"/>
            <charset val="134"/>
          </rPr>
          <t xml:space="preserve">预付25012转到付SD3498.18.
</t>
        </r>
      </text>
    </comment>
    <comment ref="I852" authorId="0">
      <text>
        <r>
          <rPr>
            <sz val="9"/>
            <rFont val="宋体"/>
            <charset val="134"/>
          </rPr>
          <t xml:space="preserve">到付USD264.66转预付1906.
</t>
        </r>
      </text>
    </comment>
    <comment ref="M853" authorId="0">
      <text>
        <r>
          <rPr>
            <sz val="9"/>
            <rFont val="宋体"/>
            <charset val="134"/>
          </rPr>
          <t xml:space="preserve">预付606转到付SD84.75.
</t>
        </r>
      </text>
    </comment>
    <comment ref="M860" authorId="0">
      <text>
        <r>
          <rPr>
            <sz val="9"/>
            <rFont val="宋体"/>
            <charset val="134"/>
          </rPr>
          <t>预付93转到付USD13.</t>
        </r>
      </text>
    </comment>
    <comment ref="M864" authorId="0">
      <text>
        <r>
          <rPr>
            <sz val="9"/>
            <rFont val="宋体"/>
            <charset val="134"/>
          </rPr>
          <t xml:space="preserve">预付213转到付SD29.79.
</t>
        </r>
      </text>
    </comment>
    <comment ref="M866" authorId="0">
      <text>
        <r>
          <rPr>
            <sz val="9"/>
            <rFont val="宋体"/>
            <charset val="134"/>
          </rPr>
          <t>预付770转到位SD107.69.</t>
        </r>
      </text>
    </comment>
    <comment ref="M886" authorId="0">
      <text>
        <r>
          <rPr>
            <sz val="9"/>
            <rFont val="宋体"/>
            <charset val="134"/>
          </rPr>
          <t>预付1428转到付USD199.72.</t>
        </r>
      </text>
    </comment>
    <comment ref="M891" authorId="0">
      <text>
        <r>
          <rPr>
            <sz val="9"/>
            <rFont val="宋体"/>
            <charset val="134"/>
          </rPr>
          <t xml:space="preserve">预付1147.5转致命地SD1690.48.
</t>
        </r>
      </text>
    </comment>
    <comment ref="M902" authorId="0">
      <text>
        <r>
          <rPr>
            <sz val="9"/>
            <rFont val="宋体"/>
            <charset val="134"/>
          </rPr>
          <t xml:space="preserve">预付5236转到付USSD732.3
</t>
        </r>
      </text>
    </comment>
    <comment ref="M903" authorId="0">
      <text>
        <r>
          <rPr>
            <sz val="9"/>
            <rFont val="宋体"/>
            <charset val="134"/>
          </rPr>
          <t xml:space="preserve">预付448转到付USD62.65.
</t>
        </r>
      </text>
    </comment>
    <comment ref="M904" authorId="0">
      <text>
        <r>
          <rPr>
            <sz val="9"/>
            <rFont val="宋体"/>
            <charset val="134"/>
          </rPr>
          <t xml:space="preserve">预付1836转到付USD256.78.
</t>
        </r>
      </text>
    </comment>
    <comment ref="M913" authorId="0">
      <text>
        <r>
          <rPr>
            <sz val="9"/>
            <rFont val="宋体"/>
            <charset val="134"/>
          </rPr>
          <t xml:space="preserve">预付560转到付USD77.13.
</t>
        </r>
      </text>
    </comment>
    <comment ref="M919" authorId="0">
      <text>
        <r>
          <rPr>
            <sz val="9"/>
            <rFont val="宋体"/>
            <charset val="134"/>
          </rPr>
          <t xml:space="preserve">预付1581转到付USD221.11.
</t>
        </r>
      </text>
    </comment>
    <comment ref="M920" authorId="0">
      <text>
        <r>
          <rPr>
            <sz val="9"/>
            <rFont val="宋体"/>
            <charset val="134"/>
          </rPr>
          <t xml:space="preserve">预付2499转到付USD349.51.
</t>
        </r>
      </text>
    </comment>
    <comment ref="M928" authorId="0">
      <text>
        <r>
          <rPr>
            <sz val="9"/>
            <rFont val="宋体"/>
            <charset val="134"/>
          </rPr>
          <t xml:space="preserve">预付308转到付USD43.08
</t>
        </r>
      </text>
    </comment>
    <comment ref="M932" authorId="0">
      <text>
        <r>
          <rPr>
            <sz val="9"/>
            <rFont val="宋体"/>
            <charset val="134"/>
          </rPr>
          <t xml:space="preserve">预付225转到付USD31.46.
</t>
        </r>
      </text>
    </comment>
    <comment ref="M936" authorId="0">
      <text>
        <r>
          <rPr>
            <sz val="9"/>
            <rFont val="宋体"/>
            <charset val="134"/>
          </rPr>
          <t>预付1443.5转到付SD201.88</t>
        </r>
      </text>
    </comment>
    <comment ref="M937" authorId="0">
      <text>
        <r>
          <rPr>
            <sz val="9"/>
            <rFont val="宋体"/>
            <charset val="134"/>
          </rPr>
          <t xml:space="preserve">预付402.5转到付USD56.29.
</t>
        </r>
      </text>
    </comment>
    <comment ref="M939" authorId="0">
      <text>
        <r>
          <rPr>
            <sz val="9"/>
            <rFont val="宋体"/>
            <charset val="134"/>
          </rPr>
          <t xml:space="preserve">预付170转到付USD23.77
</t>
        </r>
      </text>
    </comment>
    <comment ref="M941" authorId="0">
      <text>
        <r>
          <rPr>
            <sz val="9"/>
            <rFont val="宋体"/>
            <charset val="134"/>
          </rPr>
          <t xml:space="preserve">预付2932.5转到付USD410.13
</t>
        </r>
      </text>
    </comment>
    <comment ref="M954" authorId="0">
      <text>
        <r>
          <rPr>
            <sz val="9"/>
            <rFont val="宋体"/>
            <charset val="134"/>
          </rPr>
          <t xml:space="preserve">预付230转到付USD32.16.
</t>
        </r>
      </text>
    </comment>
    <comment ref="M958" authorId="0">
      <text>
        <r>
          <rPr>
            <sz val="9"/>
            <rFont val="宋体"/>
            <charset val="134"/>
          </rPr>
          <t xml:space="preserve">预付172.5转到付USD24.12.
</t>
        </r>
      </text>
    </comment>
    <comment ref="M970" authorId="0">
      <text>
        <r>
          <rPr>
            <sz val="9"/>
            <rFont val="宋体"/>
            <charset val="134"/>
          </rPr>
          <t xml:space="preserve">预付312.8转到付USD43.74.
</t>
        </r>
      </text>
    </comment>
    <comment ref="M979" authorId="0">
      <text>
        <r>
          <rPr>
            <sz val="9"/>
            <rFont val="宋体"/>
            <charset val="134"/>
          </rPr>
          <t xml:space="preserve">预付1419转到付USD198.46.
</t>
        </r>
      </text>
    </comment>
    <comment ref="M983" authorId="0">
      <text>
        <r>
          <rPr>
            <sz val="9"/>
            <rFont val="宋体"/>
            <charset val="134"/>
          </rPr>
          <t>预付69.3转到付USD9.69.</t>
        </r>
      </text>
    </comment>
    <comment ref="M1007" authorId="0">
      <text>
        <r>
          <rPr>
            <sz val="9"/>
            <rFont val="宋体"/>
            <charset val="134"/>
          </rPr>
          <t xml:space="preserve">预付489.5转到付USD68.46.
</t>
        </r>
      </text>
    </comment>
    <comment ref="M1019" authorId="0">
      <text>
        <r>
          <rPr>
            <sz val="9"/>
            <rFont val="宋体"/>
            <charset val="134"/>
          </rPr>
          <t xml:space="preserve">预付2233转到付USD312.3.
</t>
        </r>
      </text>
    </comment>
    <comment ref="M1021" authorId="0">
      <text>
        <r>
          <rPr>
            <sz val="9"/>
            <rFont val="宋体"/>
            <charset val="134"/>
          </rPr>
          <t xml:space="preserve">预付24990转到付USD3495.1
</t>
        </r>
      </text>
    </comment>
    <comment ref="M1022" authorId="0">
      <text>
        <r>
          <rPr>
            <sz val="9"/>
            <rFont val="宋体"/>
            <charset val="134"/>
          </rPr>
          <t xml:space="preserve">预付118672转到付SD16597.48.
</t>
        </r>
      </text>
    </comment>
    <comment ref="M1024" authorId="0">
      <text>
        <r>
          <rPr>
            <sz val="9"/>
            <rFont val="宋体"/>
            <charset val="134"/>
          </rPr>
          <t xml:space="preserve">预付4410转到付USD616.78.
</t>
        </r>
      </text>
    </comment>
    <comment ref="I1032" authorId="0">
      <text>
        <r>
          <rPr>
            <sz val="9"/>
            <rFont val="宋体"/>
            <charset val="134"/>
          </rPr>
          <t xml:space="preserve">到付USD4587.5转预付33938.05.
</t>
        </r>
      </text>
    </comment>
    <comment ref="I1038" authorId="0">
      <text>
        <r>
          <rPr>
            <b/>
            <sz val="9"/>
            <rFont val="宋体"/>
            <charset val="134"/>
          </rPr>
          <t>22/4赔偿5000元抵扣24092900054运费.实收</t>
        </r>
        <r>
          <rPr>
            <sz val="9"/>
            <rFont val="宋体"/>
            <charset val="134"/>
          </rPr>
          <t xml:space="preserve">
</t>
        </r>
      </text>
    </comment>
    <comment ref="I1041" authorId="0">
      <text>
        <r>
          <rPr>
            <sz val="9"/>
            <rFont val="宋体"/>
            <charset val="134"/>
          </rPr>
          <t xml:space="preserve">到付USD4253.67转预付30597
</t>
        </r>
      </text>
    </comment>
    <comment ref="I1043" authorId="0">
      <text>
        <r>
          <rPr>
            <sz val="9"/>
            <rFont val="宋体"/>
            <charset val="134"/>
          </rPr>
          <t xml:space="preserve">到付USD2572.37转预付18953.08.
</t>
        </r>
      </text>
    </comment>
    <comment ref="I1045" authorId="0">
      <text>
        <r>
          <rPr>
            <sz val="9"/>
            <rFont val="宋体"/>
            <charset val="134"/>
          </rPr>
          <t xml:space="preserve">到付USD1132.24转预付8322.
</t>
        </r>
      </text>
    </comment>
    <comment ref="I1046" authorId="0">
      <text>
        <r>
          <rPr>
            <sz val="9"/>
            <rFont val="宋体"/>
            <charset val="134"/>
          </rPr>
          <t xml:space="preserve">到付USD35转预付254.45.
</t>
        </r>
      </text>
    </comment>
    <comment ref="I1047" authorId="0">
      <text>
        <r>
          <rPr>
            <sz val="9"/>
            <rFont val="宋体"/>
            <charset val="134"/>
          </rPr>
          <t xml:space="preserve">到付USD770转预付5597.5.
</t>
        </r>
      </text>
    </comment>
    <comment ref="I1049" authorId="0">
      <text>
        <r>
          <rPr>
            <sz val="9"/>
            <rFont val="宋体"/>
            <charset val="134"/>
          </rPr>
          <t xml:space="preserve">到付USD62.4转预付350.
</t>
        </r>
      </text>
    </comment>
    <comment ref="I1050" authorId="0">
      <text>
        <r>
          <rPr>
            <sz val="9"/>
            <rFont val="宋体"/>
            <charset val="134"/>
          </rPr>
          <t>这个单是公司叉车发去尼日利亚的费打木箱费用.</t>
        </r>
      </text>
    </comment>
    <comment ref="I1051" authorId="0">
      <text>
        <r>
          <rPr>
            <sz val="9"/>
            <rFont val="宋体"/>
            <charset val="134"/>
          </rPr>
          <t xml:space="preserve">到付USD1537.4转预付11300.
</t>
        </r>
      </text>
    </comment>
    <comment ref="I1061" authorId="0">
      <text>
        <r>
          <rPr>
            <sz val="9"/>
            <rFont val="宋体"/>
            <charset val="134"/>
          </rPr>
          <t xml:space="preserve">到付USD2817.04转预付18500.
</t>
        </r>
      </text>
    </comment>
  </commentList>
</comments>
</file>

<file path=xl/sharedStrings.xml><?xml version="1.0" encoding="utf-8"?>
<sst xmlns="http://schemas.openxmlformats.org/spreadsheetml/2006/main" count="3448" uniqueCount="647">
  <si>
    <t>2024年08月份LOS毛利表</t>
  </si>
  <si>
    <t>JOB</t>
  </si>
  <si>
    <t>集装编号 </t>
  </si>
  <si>
    <t>运单编号 </t>
  </si>
  <si>
    <t>日期</t>
  </si>
  <si>
    <t>业务</t>
  </si>
  <si>
    <t>发货人 </t>
  </si>
  <si>
    <t>收货人 </t>
  </si>
  <si>
    <t>计费重量 </t>
  </si>
  <si>
    <t>应  收</t>
  </si>
  <si>
    <t>总应收</t>
  </si>
  <si>
    <t>起      运      港      成      本</t>
  </si>
  <si>
    <t>代垫运费</t>
  </si>
  <si>
    <t>起运港成本
合计</t>
  </si>
  <si>
    <t>目的港成本</t>
  </si>
  <si>
    <t>总支出</t>
  </si>
  <si>
    <t>利润</t>
  </si>
  <si>
    <t>应收RMB</t>
  </si>
  <si>
    <t>LOS
Income(NGN)收到(奈拉)</t>
  </si>
  <si>
    <t>LOS
收到USD</t>
  </si>
  <si>
    <t>美元汇率
dollar currency rate</t>
  </si>
  <si>
    <t>应收
到付款USD</t>
  </si>
  <si>
    <t>汇率</t>
  </si>
  <si>
    <t>人民币</t>
  </si>
  <si>
    <t>代理商</t>
  </si>
  <si>
    <t>运费</t>
  </si>
  <si>
    <t>提货费</t>
  </si>
  <si>
    <t>送货费</t>
  </si>
  <si>
    <t>包装费</t>
  </si>
  <si>
    <t>进口报关费</t>
  </si>
  <si>
    <t>到门配送费</t>
  </si>
  <si>
    <t>转运费</t>
  </si>
  <si>
    <t>目的港支出</t>
  </si>
  <si>
    <r>
      <rPr>
        <b/>
        <sz val="10"/>
        <color theme="1"/>
        <rFont val="Microsoft JhengHei"/>
        <charset val="134"/>
      </rPr>
      <t>汇</t>
    </r>
    <r>
      <rPr>
        <b/>
        <sz val="10"/>
        <color theme="1"/>
        <rFont val="宋体"/>
        <charset val="134"/>
      </rPr>
      <t>率</t>
    </r>
  </si>
  <si>
    <r>
      <rPr>
        <b/>
        <sz val="9"/>
        <color theme="1"/>
        <rFont val="宋体"/>
        <charset val="134"/>
      </rPr>
      <t>起运港</t>
    </r>
    <r>
      <rPr>
        <b/>
        <sz val="9"/>
        <color theme="1"/>
        <rFont val="Microsoft JhengHei"/>
        <charset val="134"/>
      </rPr>
      <t>+</t>
    </r>
    <r>
      <rPr>
        <b/>
        <sz val="9"/>
        <color theme="1"/>
        <rFont val="宋体"/>
        <charset val="134"/>
      </rPr>
      <t>目的港</t>
    </r>
  </si>
  <si>
    <t>JOB080355</t>
  </si>
  <si>
    <t>COLL004086</t>
  </si>
  <si>
    <t>吕沛霖</t>
  </si>
  <si>
    <t>喵喵速运-Layne</t>
  </si>
  <si>
    <t>SHAEK</t>
  </si>
  <si>
    <t>顶派</t>
  </si>
  <si>
    <t>黄颖</t>
  </si>
  <si>
    <t>ying</t>
  </si>
  <si>
    <t>zhounengquan</t>
  </si>
  <si>
    <t>朱小飞</t>
  </si>
  <si>
    <t>Isabel Zhu</t>
  </si>
  <si>
    <t>Wu Jiao Xing</t>
  </si>
  <si>
    <t>Jinggang Pan</t>
  </si>
  <si>
    <t>Xiao Xiao</t>
  </si>
  <si>
    <t>zhaojiqiang</t>
  </si>
  <si>
    <t>REMI</t>
  </si>
  <si>
    <t>Bella</t>
  </si>
  <si>
    <t>Bella Chan</t>
  </si>
  <si>
    <t>li tao</t>
  </si>
  <si>
    <t>William Xu</t>
  </si>
  <si>
    <t>chenxiaojie</t>
  </si>
  <si>
    <t>Miss Yemisi</t>
  </si>
  <si>
    <t>Sam.Pao</t>
  </si>
  <si>
    <t>MaiKaiNian</t>
  </si>
  <si>
    <t>new hope 边鹏飞</t>
  </si>
  <si>
    <t>clarkzeng2</t>
  </si>
  <si>
    <t>zengyugui</t>
  </si>
  <si>
    <t>LiGuoFeng</t>
  </si>
  <si>
    <t>Gbenga</t>
  </si>
  <si>
    <t>Lin Qing Yuan</t>
  </si>
  <si>
    <t>Ka Ka 4分部</t>
  </si>
  <si>
    <t>LEO WEI</t>
  </si>
  <si>
    <t>Mr Wang</t>
  </si>
  <si>
    <t>Sowsco Well Services Nig Ltd</t>
  </si>
  <si>
    <t>Jhon</t>
  </si>
  <si>
    <t>Liang Liu Liu</t>
  </si>
  <si>
    <t>CHENG ZHONG</t>
  </si>
  <si>
    <t>Mary Oyebade</t>
  </si>
  <si>
    <t>wangweijun</t>
  </si>
  <si>
    <t>Latoyaandstyles</t>
  </si>
  <si>
    <t>SF Jerry 顾</t>
  </si>
  <si>
    <t>Hu Hai Liang</t>
  </si>
  <si>
    <t>JOB080356</t>
  </si>
  <si>
    <t>COLL004090</t>
  </si>
  <si>
    <t>Ye Hui</t>
  </si>
  <si>
    <t>富姐</t>
  </si>
  <si>
    <t>Charles</t>
  </si>
  <si>
    <t>罗伟健</t>
  </si>
  <si>
    <t>MailMail速运-演员</t>
  </si>
  <si>
    <t>Li Feilong</t>
  </si>
  <si>
    <t>LOUIS</t>
  </si>
  <si>
    <t>WEI PING</t>
  </si>
  <si>
    <t>NAN GUA</t>
  </si>
  <si>
    <t>JOB080357</t>
  </si>
  <si>
    <t>COLL004092</t>
  </si>
  <si>
    <t>Adindu</t>
  </si>
  <si>
    <t>阿米拉海运</t>
  </si>
  <si>
    <t>Halifa Success</t>
  </si>
  <si>
    <t>Sunday Adelena</t>
  </si>
  <si>
    <t>David</t>
  </si>
  <si>
    <t>Nura</t>
  </si>
  <si>
    <t>james</t>
  </si>
  <si>
    <t>Chinwe</t>
  </si>
  <si>
    <t>Nick Wang</t>
  </si>
  <si>
    <t>WENDY</t>
  </si>
  <si>
    <t>Mr Zhuan</t>
  </si>
  <si>
    <t>Tunde Adisa</t>
  </si>
  <si>
    <t>DING</t>
  </si>
  <si>
    <t>Wendy</t>
  </si>
  <si>
    <t>Blessing</t>
  </si>
  <si>
    <t>JOB080358</t>
  </si>
  <si>
    <t>COLL004091</t>
  </si>
  <si>
    <t>JiaFeng</t>
  </si>
  <si>
    <t>jiafeng</t>
  </si>
  <si>
    <t>shagamu</t>
  </si>
  <si>
    <t>Wang Jian</t>
  </si>
  <si>
    <t>Shuai ge</t>
  </si>
  <si>
    <t>Lee Wen Wei</t>
  </si>
  <si>
    <t>YEMI</t>
  </si>
  <si>
    <t>JOB080359</t>
  </si>
  <si>
    <t>COLL004084</t>
  </si>
  <si>
    <t>Wangxiangru</t>
  </si>
  <si>
    <t>Oba Adeoriyomi Oyebo</t>
  </si>
  <si>
    <t>Jerry Zhang</t>
  </si>
  <si>
    <t>WEI</t>
  </si>
  <si>
    <t>Li Si Zhe</t>
  </si>
  <si>
    <t>William Wei</t>
  </si>
  <si>
    <t>zhang long ting</t>
  </si>
  <si>
    <t>MIranda</t>
  </si>
  <si>
    <t>wangmeng</t>
  </si>
  <si>
    <t>Jr.Feng.Shiue</t>
  </si>
  <si>
    <t>Abubakar</t>
  </si>
  <si>
    <t>无人</t>
  </si>
  <si>
    <t>Mailmail Abv sales person 1</t>
  </si>
  <si>
    <t>Kalio Edith</t>
  </si>
  <si>
    <t>Sagamu</t>
  </si>
  <si>
    <t>Ding Hui Fang</t>
  </si>
  <si>
    <t>zhou ji kao rou</t>
  </si>
  <si>
    <t>Johnson</t>
  </si>
  <si>
    <t>Lukas</t>
  </si>
  <si>
    <t>Zhao Xin</t>
  </si>
  <si>
    <t>hujunle</t>
  </si>
  <si>
    <t>chenchen</t>
  </si>
  <si>
    <t>ShanShan</t>
  </si>
  <si>
    <t>Auwal Tee</t>
  </si>
  <si>
    <t>Harry</t>
  </si>
  <si>
    <t>Angel</t>
  </si>
  <si>
    <t>you wenwei</t>
  </si>
  <si>
    <t>Mr Yang</t>
  </si>
  <si>
    <t>Dan Dan</t>
  </si>
  <si>
    <t>A JIE</t>
  </si>
  <si>
    <t>Mr Folabidayo</t>
  </si>
  <si>
    <t>Tomonsachi</t>
  </si>
  <si>
    <t>Mr</t>
  </si>
  <si>
    <t>chenlu</t>
  </si>
  <si>
    <t>Nkechi</t>
  </si>
  <si>
    <t>Ms Zhou</t>
  </si>
  <si>
    <t>Shalewa</t>
  </si>
  <si>
    <t>CJ</t>
  </si>
  <si>
    <t>Xue</t>
  </si>
  <si>
    <t>SKY JET</t>
  </si>
  <si>
    <t>JOB080360</t>
  </si>
  <si>
    <t>COLL004095</t>
  </si>
  <si>
    <t>KeKe</t>
  </si>
  <si>
    <t>lyke</t>
  </si>
  <si>
    <t>YUE</t>
  </si>
  <si>
    <t>Mr yuan</t>
  </si>
  <si>
    <t>Anthony</t>
  </si>
  <si>
    <t>JOB080365</t>
  </si>
  <si>
    <t>COLL004089</t>
  </si>
  <si>
    <t>Mr.Cui</t>
  </si>
  <si>
    <t>Hillter</t>
  </si>
  <si>
    <t>Rose 徐艳秋</t>
  </si>
  <si>
    <t>yanjiafu</t>
  </si>
  <si>
    <t>zhang feng</t>
  </si>
  <si>
    <t>Francis</t>
  </si>
  <si>
    <t>los徐周鹏</t>
  </si>
  <si>
    <t>Lisa</t>
  </si>
  <si>
    <t>陆总</t>
  </si>
  <si>
    <t>LuZhiLong</t>
  </si>
  <si>
    <t>WuTao</t>
  </si>
  <si>
    <t>Tommy</t>
  </si>
  <si>
    <t>Li Chang Rong</t>
  </si>
  <si>
    <t>Cindy</t>
  </si>
  <si>
    <t>Ms</t>
  </si>
  <si>
    <t>Joy</t>
  </si>
  <si>
    <t>DAVID ZHAO</t>
  </si>
  <si>
    <t>ERIC</t>
  </si>
  <si>
    <t>JOB080366</t>
  </si>
  <si>
    <t>COLL004101</t>
  </si>
  <si>
    <t>shangyafei</t>
  </si>
  <si>
    <t>huang</t>
  </si>
  <si>
    <t>Mr Chen</t>
  </si>
  <si>
    <t>JOB080367</t>
  </si>
  <si>
    <t>COLL004093</t>
  </si>
  <si>
    <t>David Wei</t>
  </si>
  <si>
    <t>Usma</t>
  </si>
  <si>
    <t>Victor Tang</t>
  </si>
  <si>
    <t>lucy</t>
  </si>
  <si>
    <t>dejare James</t>
  </si>
  <si>
    <t>Adam e</t>
  </si>
  <si>
    <t>Pepsi Cola</t>
  </si>
  <si>
    <t>MU SHI SHI</t>
  </si>
  <si>
    <t>Luo Bo</t>
  </si>
  <si>
    <t>Emma YE</t>
  </si>
  <si>
    <t>Fang Shi Ei Duo</t>
  </si>
  <si>
    <t>wu jiang bin</t>
  </si>
  <si>
    <t>ER NIU</t>
  </si>
  <si>
    <t>Eric Wang</t>
  </si>
  <si>
    <t>Kelly</t>
  </si>
  <si>
    <t>Lee Ming</t>
  </si>
  <si>
    <t>Kim</t>
  </si>
  <si>
    <t>James</t>
  </si>
  <si>
    <t>Lu Shi Huang</t>
  </si>
  <si>
    <t>YaYa</t>
  </si>
  <si>
    <t>ICS Dr</t>
  </si>
  <si>
    <t>Joseph</t>
  </si>
  <si>
    <t>fast hours DM NIGHT LED</t>
  </si>
  <si>
    <t>Pang Xie</t>
  </si>
  <si>
    <t>Paul</t>
  </si>
  <si>
    <t>wang qiang</t>
  </si>
  <si>
    <t>Mr.Bernie</t>
  </si>
  <si>
    <t>Mr. Jiang</t>
  </si>
  <si>
    <t>JOB080368</t>
  </si>
  <si>
    <t>COLL004102</t>
  </si>
  <si>
    <t>Hui Zi</t>
  </si>
  <si>
    <t>Xie Yi</t>
  </si>
  <si>
    <t>鸿</t>
  </si>
  <si>
    <t>Alice08105750388</t>
  </si>
  <si>
    <t>ANQI</t>
  </si>
  <si>
    <t>JOB080369</t>
  </si>
  <si>
    <t>COLL004094</t>
  </si>
  <si>
    <t>MA ZONG</t>
  </si>
  <si>
    <t>los吴江斌</t>
  </si>
  <si>
    <t>FANGYONG</t>
  </si>
  <si>
    <t>Mr.Cheng</t>
  </si>
  <si>
    <t>Yao</t>
  </si>
  <si>
    <t>zhangjingcheng</t>
  </si>
  <si>
    <t>Ke Ren</t>
  </si>
  <si>
    <t>NiNi</t>
  </si>
  <si>
    <t>Felix</t>
  </si>
  <si>
    <t>Ope Olofinjana</t>
  </si>
  <si>
    <t>SH</t>
  </si>
  <si>
    <t>Jason</t>
  </si>
  <si>
    <t>Lu Hu</t>
  </si>
  <si>
    <t>Cherry</t>
  </si>
  <si>
    <t>啃樱桃的小丸子</t>
  </si>
  <si>
    <t>nick.wang</t>
  </si>
  <si>
    <t>蔡鲜昇</t>
  </si>
  <si>
    <t>JASON</t>
  </si>
  <si>
    <t>Tensam-谢</t>
  </si>
  <si>
    <t>Toyin Adekunle</t>
  </si>
  <si>
    <t>JOB080370</t>
  </si>
  <si>
    <t>COLL004099</t>
  </si>
  <si>
    <t>xiongge</t>
  </si>
  <si>
    <t>ouyang</t>
  </si>
  <si>
    <t>zhou jia jun</t>
  </si>
  <si>
    <t>Priscella</t>
  </si>
  <si>
    <t>tianlili</t>
  </si>
  <si>
    <t>GONG</t>
  </si>
  <si>
    <t>Fatihu Habib Abba</t>
  </si>
  <si>
    <t>A YU</t>
  </si>
  <si>
    <t>Jing Li</t>
  </si>
  <si>
    <t>Mrs Williams （BEYOND Fitness）</t>
  </si>
  <si>
    <t>Mr.Leo</t>
  </si>
  <si>
    <t>David Zhao</t>
  </si>
  <si>
    <t>Loria</t>
  </si>
  <si>
    <t>Mr.Wang Mian</t>
  </si>
  <si>
    <t>Mr YiBinYu</t>
  </si>
  <si>
    <t>Mr Ola</t>
  </si>
  <si>
    <t>JOB080375</t>
  </si>
  <si>
    <t>COLL004104</t>
  </si>
  <si>
    <t>Yang Yang</t>
  </si>
  <si>
    <t>Zhang Xin Jian</t>
  </si>
  <si>
    <t>FENG</t>
  </si>
  <si>
    <t>chidi</t>
  </si>
  <si>
    <t>Cheaf</t>
  </si>
  <si>
    <t>Jerry</t>
  </si>
  <si>
    <t>fair may</t>
  </si>
  <si>
    <t>Mu Shi Shi</t>
  </si>
  <si>
    <t>Aminu</t>
  </si>
  <si>
    <t>CHE YUAN</t>
  </si>
  <si>
    <t>Ejike</t>
  </si>
  <si>
    <t>ChenGaoHong</t>
  </si>
  <si>
    <t>Maureen Kingsley</t>
  </si>
  <si>
    <t>Annie</t>
  </si>
  <si>
    <t>Huang peng</t>
  </si>
  <si>
    <t>liangyu</t>
  </si>
  <si>
    <t>Chen Hong</t>
  </si>
  <si>
    <t>Kenny Oyekunle</t>
  </si>
  <si>
    <t>Zou Qiyang</t>
  </si>
  <si>
    <t>JOB080376</t>
  </si>
  <si>
    <t>COLL004110</t>
  </si>
  <si>
    <t>eng.Muhammad Hassnain</t>
  </si>
  <si>
    <t>JOB080377</t>
  </si>
  <si>
    <t>COLL004109</t>
  </si>
  <si>
    <t>Zhang Sheng</t>
  </si>
  <si>
    <t>Xia Xing Dong</t>
  </si>
  <si>
    <t>shagam</t>
  </si>
  <si>
    <t>JOB080378</t>
  </si>
  <si>
    <t>COLL004103</t>
  </si>
  <si>
    <t>javen</t>
  </si>
  <si>
    <t>qi qi</t>
  </si>
  <si>
    <t>Sun Lu Jie</t>
  </si>
  <si>
    <t>Bian Qian Jie</t>
  </si>
  <si>
    <t>wfy</t>
  </si>
  <si>
    <t>Peggy</t>
  </si>
  <si>
    <t>Japhia 于佳慧</t>
  </si>
  <si>
    <t>xiaoxiao晓晓</t>
  </si>
  <si>
    <t>Luo Xian Bin</t>
  </si>
  <si>
    <t>Emmanuel Agwegiokhe</t>
  </si>
  <si>
    <t>Wang Fei</t>
  </si>
  <si>
    <t>Chen Xing Jun</t>
  </si>
  <si>
    <t>Tom Wu</t>
  </si>
  <si>
    <t>Wole Solanke</t>
  </si>
  <si>
    <t>Jiang Xiaomin</t>
  </si>
  <si>
    <t>Hu Bin</t>
  </si>
  <si>
    <t>kevin</t>
  </si>
  <si>
    <t>Solomon</t>
  </si>
  <si>
    <t>Derrick</t>
  </si>
  <si>
    <t>Ren Cheng</t>
  </si>
  <si>
    <t>Mrs Wang</t>
  </si>
  <si>
    <t>Fu Xu Hua</t>
  </si>
  <si>
    <t>Zhang yong chong</t>
  </si>
  <si>
    <t>BFSH</t>
  </si>
  <si>
    <t>Fang Yu Lan</t>
  </si>
  <si>
    <t>Likebin</t>
  </si>
  <si>
    <t>Liu Mao</t>
  </si>
  <si>
    <t>JOB080379</t>
  </si>
  <si>
    <t>COLL004113</t>
  </si>
  <si>
    <t>Unique Desh logistics</t>
  </si>
  <si>
    <t>Mailmail/Taiwo</t>
  </si>
  <si>
    <t>Huang Song</t>
  </si>
  <si>
    <t>Kristy Liu</t>
  </si>
  <si>
    <t>JOB080380</t>
  </si>
  <si>
    <t>COLL004114</t>
  </si>
  <si>
    <t>Sampao</t>
  </si>
  <si>
    <t>LOS发上海</t>
  </si>
  <si>
    <t>JOB080381</t>
  </si>
  <si>
    <t>COLL004112</t>
  </si>
  <si>
    <t>Melody</t>
  </si>
  <si>
    <t>You Qian Hua</t>
  </si>
  <si>
    <t>Jumoke</t>
  </si>
  <si>
    <t>YA</t>
  </si>
  <si>
    <t>Lyaon</t>
  </si>
  <si>
    <t>MA WEI</t>
  </si>
  <si>
    <t>Harafoam</t>
  </si>
  <si>
    <t>Shangqiang Fang</t>
  </si>
  <si>
    <t>seanpeal</t>
  </si>
  <si>
    <t>NRLY-D4</t>
  </si>
  <si>
    <t>LI LING BO</t>
  </si>
  <si>
    <t>Boss</t>
  </si>
  <si>
    <t>William benson</t>
  </si>
  <si>
    <t>Godsown global</t>
  </si>
  <si>
    <t>Hellen</t>
  </si>
  <si>
    <t>libiao</t>
  </si>
  <si>
    <t>Zhang Da Bao</t>
  </si>
  <si>
    <t>Shuaibu musa</t>
  </si>
  <si>
    <t>罗珮文</t>
  </si>
  <si>
    <t>Shirley</t>
  </si>
  <si>
    <t>DUDUHE鹤</t>
  </si>
  <si>
    <t>SHAN NAN</t>
  </si>
  <si>
    <t>Jing</t>
  </si>
  <si>
    <t>Jin Hu</t>
  </si>
  <si>
    <t>Chen Fang Ping</t>
  </si>
  <si>
    <t>JOB080382</t>
  </si>
  <si>
    <t>COLL004111</t>
  </si>
  <si>
    <t>yangxianwu</t>
  </si>
  <si>
    <t>yuyibin</t>
  </si>
  <si>
    <t>Victor</t>
  </si>
  <si>
    <t>Mr. Max Ji</t>
  </si>
  <si>
    <t>Feng</t>
  </si>
  <si>
    <t>TT</t>
  </si>
  <si>
    <t>Freeman Feng</t>
  </si>
  <si>
    <t>FanXiangGuo</t>
  </si>
  <si>
    <t>Adel Maged</t>
  </si>
  <si>
    <t>Gao Hui</t>
  </si>
  <si>
    <t>Viki</t>
  </si>
  <si>
    <t>Shen Zhuo Wei</t>
  </si>
  <si>
    <t>Shijianguo</t>
  </si>
  <si>
    <t>SEGUN</t>
  </si>
  <si>
    <t>Mr .Abubaka</t>
  </si>
  <si>
    <t>Jessica</t>
  </si>
  <si>
    <t>CHINEDU FRANCIS-WALTER</t>
  </si>
  <si>
    <t>Wo Wo</t>
  </si>
  <si>
    <t>JAMES Felicity</t>
  </si>
  <si>
    <t>Henry Adelaye</t>
  </si>
  <si>
    <t>JOB080383</t>
  </si>
  <si>
    <t>COLL004116</t>
  </si>
  <si>
    <t>Liu Yan</t>
  </si>
  <si>
    <t>Allison</t>
  </si>
  <si>
    <t>Julie LEE</t>
  </si>
  <si>
    <t>Julie lee</t>
  </si>
  <si>
    <t>Olatunde Mustapha</t>
  </si>
  <si>
    <t>Kaylee Tan</t>
  </si>
  <si>
    <t>EY</t>
  </si>
  <si>
    <t>JOB080384</t>
  </si>
  <si>
    <t>COLL004117</t>
  </si>
  <si>
    <t>YunLong Hu</t>
  </si>
  <si>
    <t>Liu</t>
  </si>
  <si>
    <t>Jason Zhou</t>
  </si>
  <si>
    <t>Li Ce</t>
  </si>
  <si>
    <t>chi de jian</t>
  </si>
  <si>
    <t>SHI</t>
  </si>
  <si>
    <t>JOB080388</t>
  </si>
  <si>
    <t>COLL004122</t>
  </si>
  <si>
    <t>AKai</t>
  </si>
  <si>
    <t>taizhong huochetou</t>
  </si>
  <si>
    <t>JOB080390</t>
  </si>
  <si>
    <t>COLL004115</t>
  </si>
  <si>
    <t>Cui Jinghui</t>
  </si>
  <si>
    <t>Kevin Wang</t>
  </si>
  <si>
    <t>Diana</t>
  </si>
  <si>
    <t>Fafunso</t>
  </si>
  <si>
    <t>Leo Liang</t>
  </si>
  <si>
    <t>Mr Huang</t>
  </si>
  <si>
    <t>Mr Song</t>
  </si>
  <si>
    <t>Qingqing Zhang</t>
  </si>
  <si>
    <t>Mr Jiang Li</t>
  </si>
  <si>
    <t>Musa Ojutalayo</t>
  </si>
  <si>
    <t>fang jun peng</t>
  </si>
  <si>
    <t>fang ming</t>
  </si>
  <si>
    <t>zhangtao</t>
  </si>
  <si>
    <t>ZOU Qiyang</t>
  </si>
  <si>
    <t>Wang Xin Ling</t>
  </si>
  <si>
    <t>Nicolas</t>
  </si>
  <si>
    <t>Val</t>
  </si>
  <si>
    <t>JOB080392</t>
  </si>
  <si>
    <t>COLL004126</t>
  </si>
  <si>
    <t>Walker</t>
  </si>
  <si>
    <t>shaola</t>
  </si>
  <si>
    <t>YING HUI HUI</t>
  </si>
  <si>
    <t>HuaHan</t>
  </si>
  <si>
    <t>JOB080393</t>
  </si>
  <si>
    <t>COLL004127</t>
  </si>
  <si>
    <t>Michael</t>
  </si>
  <si>
    <t>Ye Zi</t>
  </si>
  <si>
    <t>太阳能，逆变器09065760799</t>
  </si>
  <si>
    <t>Hu</t>
  </si>
  <si>
    <t>songjunqiang</t>
  </si>
  <si>
    <t>sky</t>
  </si>
  <si>
    <t>JOB080394</t>
  </si>
  <si>
    <t>COLL004123</t>
  </si>
  <si>
    <t>Xiao Hai Tun</t>
  </si>
  <si>
    <t>Chukwu Ogbonna</t>
  </si>
  <si>
    <t>Chukwudi Ibe</t>
  </si>
  <si>
    <t>Jane</t>
  </si>
  <si>
    <t>Philip</t>
  </si>
  <si>
    <t>Steven Abuja</t>
  </si>
  <si>
    <t>matt</t>
  </si>
  <si>
    <t>Forrest</t>
  </si>
  <si>
    <t>Lan Ling</t>
  </si>
  <si>
    <t>Akindele Abdulrahmon</t>
  </si>
  <si>
    <t>MR HE</t>
  </si>
  <si>
    <t>zhang guang li</t>
  </si>
  <si>
    <t>Eric Qu</t>
  </si>
  <si>
    <t>lin wei hui</t>
  </si>
  <si>
    <t>Nicole li</t>
  </si>
  <si>
    <t>hanzong</t>
  </si>
  <si>
    <t>ZHENG ZONG</t>
  </si>
  <si>
    <t>Huang Zhang Heng</t>
  </si>
  <si>
    <t>Tania</t>
  </si>
  <si>
    <t>TangQiang</t>
  </si>
  <si>
    <t>JOB080396</t>
  </si>
  <si>
    <t>COLL004118</t>
  </si>
  <si>
    <t>lulu</t>
  </si>
  <si>
    <t>Miss Chen</t>
  </si>
  <si>
    <t>Vicky Kuo</t>
  </si>
  <si>
    <t>Charles obiora chukwuekmeka</t>
  </si>
  <si>
    <t>Solomon Okoro</t>
  </si>
  <si>
    <t>Alina</t>
  </si>
  <si>
    <t>Mohammed</t>
  </si>
  <si>
    <t>亚丽</t>
  </si>
  <si>
    <t>Mr zhang</t>
  </si>
  <si>
    <t>LING</t>
  </si>
  <si>
    <t>MeiMei</t>
  </si>
  <si>
    <t>Mr.Zhang</t>
  </si>
  <si>
    <t>wangleishan</t>
  </si>
  <si>
    <t>Li Shi Jiang</t>
  </si>
  <si>
    <t>Du Ming Jin</t>
  </si>
  <si>
    <t>EmmaYe</t>
  </si>
  <si>
    <t>Zhou Ji BBQ</t>
  </si>
  <si>
    <t>danyang</t>
  </si>
  <si>
    <t>Sky</t>
  </si>
  <si>
    <t>Musa Mohammed</t>
  </si>
  <si>
    <t>WENCY</t>
  </si>
  <si>
    <t>huang peng</t>
  </si>
  <si>
    <t>Lin Bao Zhen</t>
  </si>
  <si>
    <t>Jonathan Liveth</t>
  </si>
  <si>
    <t>HALSOMETS DIGITAL TECHNOLOGIES LIMITED</t>
  </si>
  <si>
    <t>Damilola</t>
  </si>
  <si>
    <t>JOB080398</t>
  </si>
  <si>
    <t>COLL004128</t>
  </si>
  <si>
    <t>Adams</t>
  </si>
  <si>
    <t>Yang Yu</t>
  </si>
  <si>
    <t>Funtua Mr Lee</t>
  </si>
  <si>
    <t>Segun Babatunde</t>
  </si>
  <si>
    <t>Mr Luo</t>
  </si>
  <si>
    <t>东东</t>
  </si>
  <si>
    <t>Yang</t>
  </si>
  <si>
    <t>Atten Engr Kola Balogun</t>
  </si>
  <si>
    <t>Peng Yong Tao</t>
  </si>
  <si>
    <t>Duo Mao Mao</t>
  </si>
  <si>
    <t>Mr.Richard 志强</t>
  </si>
  <si>
    <t>Yasmin</t>
  </si>
  <si>
    <t>JOB080399</t>
  </si>
  <si>
    <t>COLL004129</t>
  </si>
  <si>
    <t>Obinna Peter</t>
  </si>
  <si>
    <t>Zhang Wen Hao</t>
  </si>
  <si>
    <t>haowangjun</t>
  </si>
  <si>
    <t>Li Li</t>
  </si>
  <si>
    <t>Mr.ken</t>
  </si>
  <si>
    <t>Habiba Musa</t>
  </si>
  <si>
    <t>Hashimu Aminu</t>
  </si>
  <si>
    <t>Mr.Yang</t>
  </si>
  <si>
    <t>方 丽 娟</t>
  </si>
  <si>
    <t>Bridge</t>
  </si>
  <si>
    <t>Mr.Li</t>
  </si>
  <si>
    <t>Han Yi</t>
  </si>
  <si>
    <t>Laura</t>
  </si>
  <si>
    <t>Rabiu Mohammed</t>
  </si>
  <si>
    <t>Akodu Loveth Titilayomi</t>
  </si>
  <si>
    <t>Livinus</t>
  </si>
  <si>
    <t>Lily</t>
  </si>
  <si>
    <t>Yusky</t>
  </si>
  <si>
    <t>JOB080401</t>
  </si>
  <si>
    <t>COLL004131</t>
  </si>
  <si>
    <t>Arasi Ibrahim</t>
  </si>
  <si>
    <t>Gao Tian</t>
  </si>
  <si>
    <t>lanyuhua</t>
  </si>
  <si>
    <t>Spring 盛世飞扬</t>
  </si>
  <si>
    <t>Sue</t>
  </si>
  <si>
    <t>KINGSLEY IJEH</t>
  </si>
  <si>
    <t>James Mr.Yuan</t>
  </si>
  <si>
    <t>JOB080402</t>
  </si>
  <si>
    <t>COLL004134</t>
  </si>
  <si>
    <t>zhang yong chong</t>
  </si>
  <si>
    <t>Jossie</t>
  </si>
  <si>
    <t>Leng Feng</t>
  </si>
  <si>
    <t>Ding Kai Ming</t>
  </si>
  <si>
    <t>Fagbulu Simisola</t>
  </si>
  <si>
    <t>Lao Fu</t>
  </si>
  <si>
    <t>KE ZONG</t>
  </si>
  <si>
    <t>wujiyong</t>
  </si>
  <si>
    <t>ARIBOIL</t>
  </si>
  <si>
    <t>JOB080403</t>
  </si>
  <si>
    <t>COLL004136</t>
  </si>
  <si>
    <t>CHIMEZIE MARTIN</t>
  </si>
  <si>
    <t>Chen Yi</t>
  </si>
  <si>
    <t>Wang Hui Feng</t>
  </si>
  <si>
    <t>Sadiq</t>
  </si>
  <si>
    <t>jackson</t>
  </si>
  <si>
    <t>CENTURY INDUSTRIAL FZE</t>
  </si>
  <si>
    <t>王 军</t>
  </si>
  <si>
    <t>MR.Lang</t>
  </si>
  <si>
    <t>Yuan</t>
  </si>
  <si>
    <t>sun li</t>
  </si>
  <si>
    <t>JOB080404</t>
  </si>
  <si>
    <t>COLL004135</t>
  </si>
  <si>
    <t xml:space="preserve">顶派
</t>
  </si>
  <si>
    <t>Mr.Chao</t>
  </si>
  <si>
    <t>lu tong liu</t>
  </si>
  <si>
    <t>Kingsley James</t>
  </si>
  <si>
    <t>Felix Lee</t>
  </si>
  <si>
    <t>yangzekun</t>
  </si>
  <si>
    <t>Mr Francis Chukwu</t>
  </si>
  <si>
    <t>Derren</t>
  </si>
  <si>
    <t>YAN YAN</t>
  </si>
  <si>
    <t>Beautiful Boss</t>
  </si>
  <si>
    <t>Mr. GIBSON</t>
  </si>
  <si>
    <t>MR li</t>
  </si>
  <si>
    <t>June</t>
  </si>
  <si>
    <t>Mark</t>
  </si>
  <si>
    <t>AiGeLi</t>
  </si>
  <si>
    <t>Wen Yi Min</t>
  </si>
  <si>
    <t>Adam Labaran</t>
  </si>
  <si>
    <t>David Achimugu</t>
  </si>
  <si>
    <t>陆梓龙</t>
  </si>
  <si>
    <t>xiaowu</t>
  </si>
  <si>
    <t>Xi Bao</t>
  </si>
  <si>
    <t>JOB080405</t>
  </si>
  <si>
    <t>COLL004138</t>
  </si>
  <si>
    <t>Mr.Gao</t>
  </si>
  <si>
    <t>JOB050369</t>
  </si>
  <si>
    <t>COLL003970</t>
  </si>
  <si>
    <t>chuks</t>
  </si>
  <si>
    <t>JOB050368</t>
  </si>
  <si>
    <t>COLL003969</t>
  </si>
  <si>
    <t>JOB110336</t>
  </si>
  <si>
    <t>COLL004230</t>
  </si>
  <si>
    <t>JOB050352</t>
  </si>
  <si>
    <t>COLL003955</t>
  </si>
  <si>
    <t>JOB050357</t>
  </si>
  <si>
    <t>COLL003959</t>
  </si>
  <si>
    <t>JOB050358</t>
  </si>
  <si>
    <t>COLL003960</t>
  </si>
  <si>
    <t>Gold tech</t>
  </si>
  <si>
    <t>JOB110332</t>
  </si>
  <si>
    <t>COLL004225</t>
  </si>
  <si>
    <t>JOB050353</t>
  </si>
  <si>
    <t>COLL003956</t>
  </si>
  <si>
    <t>Gold Tech</t>
  </si>
  <si>
    <t>JOB100367</t>
  </si>
  <si>
    <t>COLL004222</t>
  </si>
  <si>
    <t>Charles zhao</t>
  </si>
  <si>
    <t>阿米拉海运=13060.43
钰鼎坚=5504.2</t>
  </si>
  <si>
    <t>JOB050354</t>
  </si>
  <si>
    <t>COLL003957</t>
  </si>
  <si>
    <t>风儿吹</t>
  </si>
  <si>
    <t>JOB050356</t>
  </si>
  <si>
    <t>COLL003958</t>
  </si>
  <si>
    <t>JOB110335</t>
  </si>
  <si>
    <t>COLL004229</t>
  </si>
  <si>
    <t>JOB050359</t>
  </si>
  <si>
    <t>COLL003961</t>
  </si>
  <si>
    <t>lijiang</t>
  </si>
  <si>
    <t>JOB100368</t>
  </si>
  <si>
    <t>COLL004223</t>
  </si>
  <si>
    <t>Ke Zong</t>
  </si>
  <si>
    <t>JOB050370</t>
  </si>
  <si>
    <t>COLL003971</t>
  </si>
  <si>
    <t>Ebun</t>
  </si>
  <si>
    <t>JOB060347</t>
  </si>
  <si>
    <t>COLL003998</t>
  </si>
  <si>
    <t>Idris</t>
  </si>
  <si>
    <t>JOB060348</t>
  </si>
  <si>
    <t>COLL003999</t>
  </si>
  <si>
    <t>JOB060349</t>
  </si>
  <si>
    <t>COLL004000</t>
  </si>
  <si>
    <t>JOB060352</t>
  </si>
  <si>
    <t>COLL004003</t>
  </si>
  <si>
    <t>JOB060354</t>
  </si>
  <si>
    <t>COLL004005</t>
  </si>
  <si>
    <t>jiangnan</t>
  </si>
  <si>
    <t>JOB060356</t>
  </si>
  <si>
    <t>COLL004007</t>
  </si>
  <si>
    <t>JOB060357</t>
  </si>
  <si>
    <t>COLL004008</t>
  </si>
  <si>
    <t>JOB060353</t>
  </si>
  <si>
    <t>COLL004004</t>
  </si>
  <si>
    <t>baozi</t>
  </si>
  <si>
    <t>JOB040340</t>
  </si>
  <si>
    <t>COLL003912</t>
  </si>
  <si>
    <t>JOB060351</t>
  </si>
  <si>
    <t>COLL004002</t>
  </si>
  <si>
    <t>JOB060350</t>
  </si>
  <si>
    <t>COLL004001</t>
  </si>
  <si>
    <t>Vijay Beauty</t>
  </si>
  <si>
    <t>Cosyzix</t>
  </si>
  <si>
    <t>COLL003962</t>
  </si>
  <si>
    <t>Rasak</t>
  </si>
  <si>
    <t>捷道海运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</si>
</sst>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&quot;US$&quot;#,##0.00;\-&quot;US$&quot;#,##0.00"/>
    <numFmt numFmtId="178" formatCode="&quot;JOB&quot;000000"/>
    <numFmt numFmtId="179" formatCode="000000"/>
    <numFmt numFmtId="180" formatCode="m&quot;月&quot;d&quot;日&quot;;@"/>
    <numFmt numFmtId="181" formatCode="0_ "/>
    <numFmt numFmtId="182" formatCode="0.0000_ "/>
    <numFmt numFmtId="183" formatCode="&quot;￥&quot;#,##0.00_);[Red]\(&quot;￥&quot;#,##0.00\)"/>
    <numFmt numFmtId="184" formatCode="_ * #,##0.00_ ;_ * \-#,##0.00_ ;_ * &quot;-&quot;_ ;_ @_ "/>
  </numFmts>
  <fonts count="43">
    <font>
      <sz val="11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10"/>
      <color theme="1"/>
      <name val="Microsoft JhengHei"/>
      <charset val="134"/>
    </font>
    <font>
      <b/>
      <sz val="18"/>
      <color theme="1"/>
      <name val="宋体"/>
      <charset val="134"/>
      <scheme val="minor"/>
    </font>
    <font>
      <b/>
      <sz val="9"/>
      <color theme="1"/>
      <name val="Microsoft JhengHei"/>
      <charset val="134"/>
    </font>
    <font>
      <b/>
      <sz val="10"/>
      <name val="Microsoft JhengHei"/>
      <charset val="134"/>
    </font>
    <font>
      <sz val="9"/>
      <name val="宋体"/>
      <charset val="134"/>
    </font>
    <font>
      <sz val="10"/>
      <name val="Microsoft JhengHei"/>
      <charset val="134"/>
    </font>
    <font>
      <sz val="9"/>
      <color theme="1"/>
      <name val="宋体"/>
      <charset val="134"/>
      <scheme val="minor"/>
    </font>
    <font>
      <b/>
      <sz val="18"/>
      <color rgb="FFFF0000"/>
      <name val="宋体"/>
      <charset val="134"/>
      <scheme val="minor"/>
    </font>
    <font>
      <b/>
      <sz val="10"/>
      <name val="宋体"/>
      <charset val="134"/>
      <scheme val="minor"/>
    </font>
    <font>
      <b/>
      <sz val="9"/>
      <color rgb="FFFF0000"/>
      <name val="Microsoft JhengHei"/>
      <charset val="134"/>
    </font>
    <font>
      <b/>
      <sz val="9"/>
      <color theme="1"/>
      <name val="宋体"/>
      <charset val="134"/>
    </font>
    <font>
      <b/>
      <sz val="10"/>
      <name val="宋体"/>
      <charset val="134"/>
    </font>
    <font>
      <sz val="10"/>
      <color rgb="FFFF0000"/>
      <name val="Microsoft JhengHei"/>
      <charset val="134"/>
    </font>
    <font>
      <sz val="9"/>
      <name val="Microsoft JhengHei"/>
      <charset val="134"/>
    </font>
    <font>
      <b/>
      <sz val="10"/>
      <color theme="1"/>
      <name val="Microsoft JhengHei"/>
      <charset val="134"/>
    </font>
    <font>
      <b/>
      <sz val="9"/>
      <name val="宋体"/>
      <charset val="134"/>
    </font>
    <font>
      <b/>
      <sz val="10"/>
      <color theme="1"/>
      <name val="宋体"/>
      <charset val="134"/>
    </font>
    <font>
      <sz val="9"/>
      <color theme="1"/>
      <name val="Microsoft JhengHei"/>
      <charset val="134"/>
    </font>
    <font>
      <sz val="9"/>
      <name val="宋体"/>
      <charset val="134"/>
      <scheme val="minor"/>
    </font>
    <font>
      <sz val="10"/>
      <color rgb="FF000000"/>
      <name val="Microsoft Jheng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8" borderId="13" applyNumberFormat="0" applyAlignment="0" applyProtection="0">
      <alignment vertical="center"/>
    </xf>
    <xf numFmtId="0" fontId="31" fillId="9" borderId="14" applyNumberFormat="0" applyAlignment="0" applyProtection="0">
      <alignment vertical="center"/>
    </xf>
    <xf numFmtId="0" fontId="32" fillId="9" borderId="13" applyNumberFormat="0" applyAlignment="0" applyProtection="0">
      <alignment vertical="center"/>
    </xf>
    <xf numFmtId="0" fontId="33" fillId="10" borderId="15" applyNumberFormat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35" fillId="0" borderId="17" applyNumberFormat="0" applyFill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</cellStyleXfs>
  <cellXfs count="12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Fill="1">
      <alignment vertical="center"/>
    </xf>
    <xf numFmtId="7" fontId="2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79" fontId="5" fillId="2" borderId="2" xfId="1" applyNumberFormat="1" applyFont="1" applyFill="1" applyBorder="1" applyAlignment="1">
      <alignment horizontal="center" vertical="center"/>
    </xf>
    <xf numFmtId="180" fontId="6" fillId="2" borderId="2" xfId="1" applyNumberFormat="1" applyFont="1" applyFill="1" applyBorder="1" applyAlignment="1">
      <alignment horizontal="center" vertical="center"/>
    </xf>
    <xf numFmtId="180" fontId="6" fillId="2" borderId="1" xfId="1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8" fontId="4" fillId="0" borderId="3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180" fontId="6" fillId="2" borderId="3" xfId="1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2" xfId="0" applyFont="1" applyFill="1" applyBorder="1">
      <alignment vertical="center"/>
    </xf>
    <xf numFmtId="181" fontId="2" fillId="0" borderId="2" xfId="0" applyNumberFormat="1" applyFont="1" applyFill="1" applyBorder="1">
      <alignment vertical="center"/>
    </xf>
    <xf numFmtId="58" fontId="8" fillId="0" borderId="2" xfId="0" applyNumberFormat="1" applyFont="1" applyBorder="1" applyAlignment="1">
      <alignment horizontal="center" vertical="center"/>
    </xf>
    <xf numFmtId="181" fontId="2" fillId="3" borderId="2" xfId="0" applyNumberFormat="1" applyFont="1" applyFill="1" applyBorder="1">
      <alignment vertical="center"/>
    </xf>
    <xf numFmtId="58" fontId="8" fillId="3" borderId="2" xfId="0" applyNumberFormat="1" applyFont="1" applyFill="1" applyBorder="1" applyAlignment="1">
      <alignment horizontal="center" vertical="center"/>
    </xf>
    <xf numFmtId="0" fontId="7" fillId="3" borderId="2" xfId="0" applyFont="1" applyFill="1" applyBorder="1">
      <alignment vertical="center"/>
    </xf>
    <xf numFmtId="182" fontId="7" fillId="2" borderId="2" xfId="0" applyNumberFormat="1" applyFont="1" applyFill="1" applyBorder="1">
      <alignment vertical="center"/>
    </xf>
    <xf numFmtId="181" fontId="7" fillId="0" borderId="2" xfId="0" applyNumberFormat="1" applyFont="1" applyFill="1" applyBorder="1">
      <alignment vertical="center"/>
    </xf>
    <xf numFmtId="176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83" fontId="1" fillId="3" borderId="4" xfId="0" applyNumberFormat="1" applyFont="1" applyFill="1" applyBorder="1" applyAlignment="1">
      <alignment horizontal="center" vertical="center"/>
    </xf>
    <xf numFmtId="176" fontId="1" fillId="3" borderId="5" xfId="0" applyNumberFormat="1" applyFont="1" applyFill="1" applyBorder="1" applyAlignment="1">
      <alignment horizontal="center" vertical="center"/>
    </xf>
    <xf numFmtId="177" fontId="1" fillId="3" borderId="5" xfId="0" applyNumberFormat="1" applyFont="1" applyFill="1" applyBorder="1" applyAlignment="1">
      <alignment horizontal="center" vertical="center"/>
    </xf>
    <xf numFmtId="0" fontId="1" fillId="3" borderId="5" xfId="0" applyNumberFormat="1" applyFont="1" applyFill="1" applyBorder="1" applyAlignment="1">
      <alignment horizontal="center" vertical="center"/>
    </xf>
    <xf numFmtId="183" fontId="10" fillId="0" borderId="6" xfId="0" applyNumberFormat="1" applyFont="1" applyFill="1" applyBorder="1" applyAlignment="1">
      <alignment horizontal="right" vertical="center"/>
    </xf>
    <xf numFmtId="183" fontId="1" fillId="4" borderId="1" xfId="0" applyNumberFormat="1" applyFont="1" applyFill="1" applyBorder="1" applyAlignment="1">
      <alignment horizontal="center" vertical="center"/>
    </xf>
    <xf numFmtId="183" fontId="4" fillId="3" borderId="2" xfId="0" applyNumberFormat="1" applyFont="1" applyFill="1" applyBorder="1" applyAlignment="1">
      <alignment horizontal="right" vertical="center"/>
    </xf>
    <xf numFmtId="176" fontId="11" fillId="3" borderId="2" xfId="0" applyNumberFormat="1" applyFont="1" applyFill="1" applyBorder="1" applyAlignment="1">
      <alignment horizontal="center" vertical="center" wrapText="1"/>
    </xf>
    <xf numFmtId="177" fontId="11" fillId="3" borderId="2" xfId="0" applyNumberFormat="1" applyFont="1" applyFill="1" applyBorder="1" applyAlignment="1">
      <alignment horizontal="center" vertical="center" wrapText="1"/>
    </xf>
    <xf numFmtId="177" fontId="4" fillId="3" borderId="2" xfId="0" applyNumberFormat="1" applyFont="1" applyFill="1" applyBorder="1" applyAlignment="1">
      <alignment horizontal="center" vertical="center" wrapText="1"/>
    </xf>
    <xf numFmtId="0" fontId="12" fillId="3" borderId="2" xfId="0" applyNumberFormat="1" applyFont="1" applyFill="1" applyBorder="1" applyAlignment="1">
      <alignment horizontal="center" vertical="center"/>
    </xf>
    <xf numFmtId="183" fontId="13" fillId="0" borderId="2" xfId="0" applyNumberFormat="1" applyFont="1" applyFill="1" applyBorder="1" applyAlignment="1">
      <alignment horizontal="right" vertical="center"/>
    </xf>
    <xf numFmtId="183" fontId="1" fillId="4" borderId="3" xfId="0" applyNumberFormat="1" applyFont="1" applyFill="1" applyBorder="1" applyAlignment="1">
      <alignment horizontal="center" vertical="center"/>
    </xf>
    <xf numFmtId="183" fontId="7" fillId="3" borderId="2" xfId="0" applyNumberFormat="1" applyFont="1" applyFill="1" applyBorder="1">
      <alignment vertical="center"/>
    </xf>
    <xf numFmtId="176" fontId="14" fillId="0" borderId="2" xfId="0" applyNumberFormat="1" applyFont="1" applyBorder="1" applyAlignment="1">
      <alignment horizontal="center" vertical="center"/>
    </xf>
    <xf numFmtId="177" fontId="7" fillId="2" borderId="2" xfId="0" applyNumberFormat="1" applyFont="1" applyFill="1" applyBorder="1">
      <alignment vertical="center"/>
    </xf>
    <xf numFmtId="176" fontId="14" fillId="3" borderId="2" xfId="0" applyNumberFormat="1" applyFont="1" applyFill="1" applyBorder="1" applyAlignment="1">
      <alignment horizontal="center" vertical="center"/>
    </xf>
    <xf numFmtId="177" fontId="14" fillId="2" borderId="2" xfId="0" applyNumberFormat="1" applyFont="1" applyFill="1" applyBorder="1">
      <alignment vertical="center"/>
    </xf>
    <xf numFmtId="176" fontId="15" fillId="2" borderId="2" xfId="0" applyNumberFormat="1" applyFont="1" applyFill="1" applyBorder="1" applyAlignment="1">
      <alignment horizontal="center" vertical="center"/>
    </xf>
    <xf numFmtId="183" fontId="7" fillId="2" borderId="2" xfId="0" applyNumberFormat="1" applyFont="1" applyFill="1" applyBorder="1">
      <alignment vertical="center"/>
    </xf>
    <xf numFmtId="183" fontId="2" fillId="0" borderId="1" xfId="0" applyNumberFormat="1" applyFont="1" applyBorder="1" applyAlignment="1">
      <alignment horizontal="center" vertical="center"/>
    </xf>
    <xf numFmtId="183" fontId="14" fillId="0" borderId="2" xfId="0" applyNumberFormat="1" applyFont="1" applyFill="1" applyBorder="1">
      <alignment vertical="center"/>
    </xf>
    <xf numFmtId="176" fontId="2" fillId="0" borderId="2" xfId="0" applyNumberFormat="1" applyFont="1" applyBorder="1" applyAlignment="1">
      <alignment horizontal="center" vertical="center"/>
    </xf>
    <xf numFmtId="183" fontId="2" fillId="0" borderId="3" xfId="0" applyNumberFormat="1" applyFont="1" applyBorder="1" applyAlignment="1">
      <alignment horizontal="center" vertical="center"/>
    </xf>
    <xf numFmtId="183" fontId="2" fillId="0" borderId="7" xfId="0" applyNumberFormat="1" applyFont="1" applyBorder="1" applyAlignment="1">
      <alignment horizontal="center" vertical="center"/>
    </xf>
    <xf numFmtId="183" fontId="2" fillId="0" borderId="2" xfId="0" applyNumberFormat="1" applyFont="1" applyBorder="1" applyAlignment="1">
      <alignment horizontal="center" vertical="center"/>
    </xf>
    <xf numFmtId="183" fontId="14" fillId="3" borderId="2" xfId="0" applyNumberFormat="1" applyFont="1" applyFill="1" applyBorder="1">
      <alignment vertical="center"/>
    </xf>
    <xf numFmtId="183" fontId="14" fillId="2" borderId="2" xfId="0" applyNumberFormat="1" applyFont="1" applyFill="1" applyBorder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right" vertical="center"/>
    </xf>
    <xf numFmtId="7" fontId="16" fillId="0" borderId="0" xfId="0" applyNumberFormat="1" applyFont="1" applyFill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183" fontId="4" fillId="5" borderId="5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183" fontId="4" fillId="0" borderId="5" xfId="0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183" fontId="12" fillId="0" borderId="8" xfId="0" applyNumberFormat="1" applyFont="1" applyFill="1" applyBorder="1" applyAlignment="1">
      <alignment horizontal="center" vertical="center" wrapText="1"/>
    </xf>
    <xf numFmtId="7" fontId="16" fillId="3" borderId="1" xfId="0" applyNumberFormat="1" applyFont="1" applyFill="1" applyBorder="1" applyAlignment="1">
      <alignment horizontal="center" vertical="center" wrapText="1"/>
    </xf>
    <xf numFmtId="177" fontId="12" fillId="3" borderId="2" xfId="0" applyNumberFormat="1" applyFont="1" applyFill="1" applyBorder="1" applyAlignment="1">
      <alignment horizontal="center" vertical="center"/>
    </xf>
    <xf numFmtId="184" fontId="17" fillId="5" borderId="2" xfId="4" applyNumberFormat="1" applyFont="1" applyFill="1" applyBorder="1" applyAlignment="1">
      <alignment horizontal="center" vertical="center"/>
    </xf>
    <xf numFmtId="183" fontId="13" fillId="5" borderId="2" xfId="4" applyNumberFormat="1" applyFont="1" applyFill="1" applyBorder="1" applyAlignment="1">
      <alignment horizontal="center" vertical="center"/>
    </xf>
    <xf numFmtId="184" fontId="13" fillId="0" borderId="2" xfId="4" applyNumberFormat="1" applyFont="1" applyFill="1" applyBorder="1" applyAlignment="1">
      <alignment horizontal="center" vertical="center"/>
    </xf>
    <xf numFmtId="183" fontId="13" fillId="0" borderId="2" xfId="4" applyNumberFormat="1" applyFont="1" applyFill="1" applyBorder="1" applyAlignment="1">
      <alignment horizontal="center" vertical="center"/>
    </xf>
    <xf numFmtId="183" fontId="12" fillId="0" borderId="9" xfId="0" applyNumberFormat="1" applyFont="1" applyFill="1" applyBorder="1" applyAlignment="1">
      <alignment horizontal="center" vertical="center" wrapText="1"/>
    </xf>
    <xf numFmtId="7" fontId="16" fillId="3" borderId="3" xfId="0" applyNumberFormat="1" applyFont="1" applyFill="1" applyBorder="1" applyAlignment="1">
      <alignment horizontal="center" vertical="center" wrapText="1"/>
    </xf>
    <xf numFmtId="177" fontId="18" fillId="3" borderId="2" xfId="0" applyNumberFormat="1" applyFont="1" applyFill="1" applyBorder="1" applyAlignment="1">
      <alignment vertical="center" wrapText="1"/>
    </xf>
    <xf numFmtId="183" fontId="2" fillId="0" borderId="2" xfId="0" applyNumberFormat="1" applyFont="1" applyBorder="1" applyAlignment="1">
      <alignment vertical="center"/>
    </xf>
    <xf numFmtId="183" fontId="2" fillId="3" borderId="2" xfId="0" applyNumberFormat="1" applyFont="1" applyFill="1" applyBorder="1" applyAlignment="1">
      <alignment vertical="center"/>
    </xf>
    <xf numFmtId="7" fontId="2" fillId="0" borderId="2" xfId="0" applyNumberFormat="1" applyFont="1" applyBorder="1" applyAlignment="1">
      <alignment vertical="center"/>
    </xf>
    <xf numFmtId="177" fontId="2" fillId="0" borderId="2" xfId="0" applyNumberFormat="1" applyFont="1" applyBorder="1" applyAlignment="1">
      <alignment vertical="center"/>
    </xf>
    <xf numFmtId="183" fontId="2" fillId="0" borderId="2" xfId="0" applyNumberFormat="1" applyFont="1" applyBorder="1">
      <alignment vertical="center"/>
    </xf>
    <xf numFmtId="177" fontId="2" fillId="0" borderId="2" xfId="0" applyNumberFormat="1" applyFont="1" applyBorder="1" applyAlignment="1">
      <alignment horizontal="center" vertical="center"/>
    </xf>
    <xf numFmtId="176" fontId="12" fillId="3" borderId="2" xfId="0" applyNumberFormat="1" applyFont="1" applyFill="1" applyBorder="1" applyAlignment="1">
      <alignment horizontal="center" vertical="center"/>
    </xf>
    <xf numFmtId="183" fontId="12" fillId="4" borderId="1" xfId="0" applyNumberFormat="1" applyFont="1" applyFill="1" applyBorder="1" applyAlignment="1">
      <alignment horizontal="center" vertical="center"/>
    </xf>
    <xf numFmtId="183" fontId="1" fillId="6" borderId="1" xfId="0" applyNumberFormat="1" applyFont="1" applyFill="1" applyBorder="1" applyAlignment="1">
      <alignment horizontal="center" vertical="center"/>
    </xf>
    <xf numFmtId="177" fontId="12" fillId="3" borderId="2" xfId="0" applyNumberFormat="1" applyFont="1" applyFill="1" applyBorder="1" applyAlignment="1">
      <alignment horizontal="right" vertical="center"/>
    </xf>
    <xf numFmtId="176" fontId="16" fillId="3" borderId="2" xfId="0" applyNumberFormat="1" applyFont="1" applyFill="1" applyBorder="1" applyAlignment="1">
      <alignment horizontal="center" vertical="center"/>
    </xf>
    <xf numFmtId="183" fontId="12" fillId="3" borderId="2" xfId="0" applyNumberFormat="1" applyFont="1" applyFill="1" applyBorder="1" applyAlignment="1">
      <alignment horizontal="center" vertical="center"/>
    </xf>
    <xf numFmtId="183" fontId="12" fillId="4" borderId="2" xfId="0" applyNumberFormat="1" applyFont="1" applyFill="1" applyBorder="1" applyAlignment="1">
      <alignment horizontal="center" vertical="center"/>
    </xf>
    <xf numFmtId="183" fontId="1" fillId="6" borderId="7" xfId="0" applyNumberFormat="1" applyFont="1" applyFill="1" applyBorder="1" applyAlignment="1">
      <alignment horizontal="center" vertical="center"/>
    </xf>
    <xf numFmtId="176" fontId="2" fillId="0" borderId="2" xfId="0" applyNumberFormat="1" applyFont="1" applyBorder="1" applyAlignment="1">
      <alignment vertical="center"/>
    </xf>
    <xf numFmtId="177" fontId="2" fillId="3" borderId="2" xfId="0" applyNumberFormat="1" applyFont="1" applyFill="1" applyBorder="1" applyAlignment="1">
      <alignment horizontal="center" vertical="center"/>
    </xf>
    <xf numFmtId="183" fontId="19" fillId="0" borderId="1" xfId="0" applyNumberFormat="1" applyFont="1" applyBorder="1" applyAlignment="1">
      <alignment horizontal="center" vertical="center"/>
    </xf>
    <xf numFmtId="183" fontId="19" fillId="0" borderId="2" xfId="0" applyNumberFormat="1" applyFont="1" applyBorder="1" applyAlignment="1">
      <alignment vertical="center"/>
    </xf>
    <xf numFmtId="183" fontId="19" fillId="3" borderId="2" xfId="0" applyNumberFormat="1" applyFont="1" applyFill="1" applyBorder="1" applyAlignment="1">
      <alignment vertical="center"/>
    </xf>
    <xf numFmtId="177" fontId="19" fillId="0" borderId="2" xfId="0" applyNumberFormat="1" applyFont="1" applyBorder="1" applyAlignment="1">
      <alignment vertical="center"/>
    </xf>
    <xf numFmtId="183" fontId="19" fillId="0" borderId="3" xfId="0" applyNumberFormat="1" applyFont="1" applyBorder="1" applyAlignment="1">
      <alignment horizontal="center" vertical="center"/>
    </xf>
    <xf numFmtId="183" fontId="19" fillId="0" borderId="7" xfId="0" applyNumberFormat="1" applyFont="1" applyBorder="1" applyAlignment="1">
      <alignment horizontal="center" vertical="center"/>
    </xf>
    <xf numFmtId="177" fontId="7" fillId="3" borderId="2" xfId="0" applyNumberFormat="1" applyFont="1" applyFill="1" applyBorder="1">
      <alignment vertical="center"/>
    </xf>
    <xf numFmtId="177" fontId="14" fillId="3" borderId="2" xfId="0" applyNumberFormat="1" applyFont="1" applyFill="1" applyBorder="1">
      <alignment vertical="center"/>
    </xf>
    <xf numFmtId="183" fontId="7" fillId="0" borderId="2" xfId="0" applyNumberFormat="1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>
      <alignment vertical="center"/>
    </xf>
    <xf numFmtId="183" fontId="14" fillId="0" borderId="1" xfId="0" applyNumberFormat="1" applyFont="1" applyFill="1" applyBorder="1">
      <alignment vertical="center"/>
    </xf>
    <xf numFmtId="177" fontId="7" fillId="2" borderId="1" xfId="0" applyNumberFormat="1" applyFont="1" applyFill="1" applyBorder="1">
      <alignment vertical="center"/>
    </xf>
    <xf numFmtId="176" fontId="19" fillId="0" borderId="2" xfId="0" applyNumberFormat="1" applyFont="1" applyBorder="1" applyAlignment="1">
      <alignment horizontal="center" vertical="center"/>
    </xf>
    <xf numFmtId="183" fontId="19" fillId="0" borderId="2" xfId="0" applyNumberFormat="1" applyFont="1" applyBorder="1" applyAlignment="1">
      <alignment horizontal="center" vertical="center"/>
    </xf>
    <xf numFmtId="177" fontId="19" fillId="0" borderId="2" xfId="0" applyNumberFormat="1" applyFont="1" applyBorder="1" applyAlignment="1">
      <alignment horizontal="center" vertical="center"/>
    </xf>
    <xf numFmtId="183" fontId="7" fillId="0" borderId="2" xfId="0" applyNumberFormat="1" applyFont="1" applyFill="1" applyBorder="1">
      <alignment vertical="center"/>
    </xf>
    <xf numFmtId="176" fontId="7" fillId="2" borderId="2" xfId="0" applyNumberFormat="1" applyFont="1" applyFill="1" applyBorder="1" applyAlignment="1">
      <alignment horizontal="center" vertical="center"/>
    </xf>
    <xf numFmtId="176" fontId="14" fillId="2" borderId="2" xfId="0" applyNumberFormat="1" applyFont="1" applyFill="1" applyBorder="1" applyAlignment="1">
      <alignment horizontal="center" vertical="center"/>
    </xf>
    <xf numFmtId="176" fontId="20" fillId="2" borderId="2" xfId="0" applyNumberFormat="1" applyFont="1" applyFill="1" applyBorder="1" applyAlignment="1">
      <alignment horizontal="center" vertical="center"/>
    </xf>
    <xf numFmtId="176" fontId="14" fillId="0" borderId="2" xfId="0" applyNumberFormat="1" applyFont="1" applyFill="1" applyBorder="1" applyAlignment="1">
      <alignment horizontal="center" vertical="center"/>
    </xf>
    <xf numFmtId="177" fontId="14" fillId="0" borderId="2" xfId="0" applyNumberFormat="1" applyFont="1" applyFill="1" applyBorder="1">
      <alignment vertical="center"/>
    </xf>
    <xf numFmtId="183" fontId="21" fillId="3" borderId="2" xfId="0" applyNumberFormat="1" applyFont="1" applyFill="1" applyBorder="1">
      <alignment vertical="center"/>
    </xf>
    <xf numFmtId="183" fontId="2" fillId="0" borderId="1" xfId="0" applyNumberFormat="1" applyFont="1" applyBorder="1" applyAlignment="1">
      <alignment horizontal="center" vertical="center" wrapText="1"/>
    </xf>
    <xf numFmtId="7" fontId="2" fillId="0" borderId="2" xfId="0" applyNumberFormat="1" applyFont="1" applyBorder="1" applyAlignment="1">
      <alignment horizontal="center" vertical="center"/>
    </xf>
    <xf numFmtId="182" fontId="7" fillId="3" borderId="2" xfId="0" applyNumberFormat="1" applyFont="1" applyFill="1" applyBorder="1">
      <alignment vertical="center"/>
    </xf>
    <xf numFmtId="181" fontId="7" fillId="2" borderId="2" xfId="0" applyNumberFormat="1" applyFont="1" applyFill="1" applyBorder="1">
      <alignment vertical="center"/>
    </xf>
    <xf numFmtId="0" fontId="0" fillId="0" borderId="2" xfId="0" applyBorder="1" applyAlignment="1">
      <alignment vertical="center"/>
    </xf>
    <xf numFmtId="177" fontId="2" fillId="2" borderId="2" xfId="0" applyNumberFormat="1" applyFont="1" applyFill="1" applyBorder="1">
      <alignment vertical="center"/>
    </xf>
    <xf numFmtId="177" fontId="21" fillId="2" borderId="2" xfId="0" applyNumberFormat="1" applyFont="1" applyFill="1" applyBorder="1">
      <alignment vertical="center"/>
    </xf>
    <xf numFmtId="183" fontId="2" fillId="3" borderId="2" xfId="0" applyNumberFormat="1" applyFont="1" applyFill="1" applyBorder="1">
      <alignment vertical="center"/>
    </xf>
    <xf numFmtId="183" fontId="2" fillId="0" borderId="2" xfId="0" applyNumberFormat="1" applyFont="1" applyBorder="1" applyAlignment="1">
      <alignment horizontal="center" vertical="center" wrapText="1"/>
    </xf>
    <xf numFmtId="183" fontId="8" fillId="0" borderId="2" xfId="0" applyNumberFormat="1" applyFont="1" applyBorder="1" applyAlignment="1">
      <alignment horizontal="center" vertical="center"/>
    </xf>
    <xf numFmtId="183" fontId="0" fillId="0" borderId="2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E1097"/>
  <sheetViews>
    <sheetView tabSelected="1" zoomScale="110" zoomScaleNormal="110" workbookViewId="0">
      <selection activeCell="E142" sqref="E142:E828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2"/>
    <col min="6" max="6" width="17.375" customWidth="1"/>
    <col min="7" max="8" width="11.5"/>
    <col min="9" max="9" width="17"/>
    <col min="10" max="10" width="15.125" style="3"/>
    <col min="11" max="11" width="15.125" style="4"/>
    <col min="12" max="12" width="13.875" style="3"/>
    <col min="13" max="13" width="13.625"/>
    <col min="14" max="14" width="13.75"/>
    <col min="15" max="15" width="13.875"/>
    <col min="16" max="16" width="18.8583333333333" customWidth="1"/>
    <col min="17" max="17" width="11.25" customWidth="1"/>
    <col min="18" max="18" width="16.125"/>
    <col min="19" max="19" width="11.25" style="5" customWidth="1"/>
    <col min="20" max="20" width="10.25" style="5"/>
    <col min="21" max="22" width="11.25" style="5"/>
    <col min="23" max="23" width="14.75" style="6"/>
    <col min="24" max="24" width="11.875" style="4" customWidth="1"/>
    <col min="25" max="25" width="11.125" style="4" customWidth="1"/>
    <col min="26" max="26" width="11.375" style="4"/>
    <col min="27" max="27" width="12.625" style="4"/>
    <col min="28" max="28" width="12" style="3"/>
    <col min="29" max="29" width="12.875"/>
    <col min="30" max="30" width="14.875"/>
    <col min="31" max="31" width="14.75"/>
    <col min="32" max="32" width="12.625"/>
  </cols>
  <sheetData>
    <row r="1" ht="31" customHeight="1" spans="1:31">
      <c r="A1" s="7" t="s">
        <v>0</v>
      </c>
      <c r="B1" s="7"/>
      <c r="C1" s="7"/>
      <c r="D1" s="7"/>
      <c r="E1" s="7"/>
      <c r="F1" s="7"/>
      <c r="G1" s="7"/>
      <c r="H1" s="7"/>
      <c r="I1" s="7"/>
      <c r="J1" s="27"/>
      <c r="K1" s="28"/>
      <c r="L1" s="27"/>
      <c r="M1" s="7"/>
      <c r="N1" s="29"/>
      <c r="O1" s="7"/>
      <c r="P1" s="7"/>
      <c r="Q1" s="7"/>
      <c r="R1" s="7"/>
      <c r="S1" s="58"/>
      <c r="T1" s="58"/>
      <c r="U1" s="59"/>
      <c r="V1" s="58"/>
      <c r="W1" s="60"/>
      <c r="X1" s="28"/>
      <c r="Y1" s="28"/>
      <c r="Z1" s="28"/>
      <c r="AA1" s="28"/>
      <c r="AB1" s="27"/>
      <c r="AC1" s="28"/>
      <c r="AD1" s="7"/>
      <c r="AE1" s="7"/>
    </row>
    <row r="2" s="1" customFormat="1" ht="23" customHeight="1" spans="1:31">
      <c r="A2" s="8" t="s">
        <v>1</v>
      </c>
      <c r="B2" s="9" t="s">
        <v>2</v>
      </c>
      <c r="C2" s="10" t="s">
        <v>3</v>
      </c>
      <c r="D2" s="11" t="s">
        <v>4</v>
      </c>
      <c r="E2" s="12" t="s">
        <v>5</v>
      </c>
      <c r="F2" s="13" t="s">
        <v>6</v>
      </c>
      <c r="G2" s="13" t="s">
        <v>7</v>
      </c>
      <c r="H2" s="13" t="s">
        <v>8</v>
      </c>
      <c r="I2" s="30" t="s">
        <v>9</v>
      </c>
      <c r="J2" s="31"/>
      <c r="K2" s="32"/>
      <c r="L2" s="31"/>
      <c r="M2" s="32"/>
      <c r="N2" s="33"/>
      <c r="O2" s="34"/>
      <c r="P2" s="35" t="s">
        <v>10</v>
      </c>
      <c r="Q2" s="61" t="s">
        <v>11</v>
      </c>
      <c r="R2" s="62"/>
      <c r="S2" s="63"/>
      <c r="T2" s="64"/>
      <c r="U2" s="65"/>
      <c r="V2" s="66" t="s">
        <v>12</v>
      </c>
      <c r="W2" s="67" t="s">
        <v>13</v>
      </c>
      <c r="X2" s="68" t="s">
        <v>14</v>
      </c>
      <c r="Y2" s="68"/>
      <c r="Z2" s="68"/>
      <c r="AA2" s="68"/>
      <c r="AB2" s="82"/>
      <c r="AC2" s="68"/>
      <c r="AD2" s="83" t="s">
        <v>15</v>
      </c>
      <c r="AE2" s="84" t="s">
        <v>16</v>
      </c>
    </row>
    <row r="3" s="1" customFormat="1" ht="27" customHeight="1" spans="1:31">
      <c r="A3" s="14"/>
      <c r="B3" s="15"/>
      <c r="C3" s="10"/>
      <c r="D3" s="11"/>
      <c r="E3" s="16"/>
      <c r="F3" s="17"/>
      <c r="G3" s="17"/>
      <c r="H3" s="17"/>
      <c r="I3" s="36" t="s">
        <v>17</v>
      </c>
      <c r="J3" s="37" t="s">
        <v>18</v>
      </c>
      <c r="K3" s="38" t="s">
        <v>19</v>
      </c>
      <c r="L3" s="37" t="s">
        <v>20</v>
      </c>
      <c r="M3" s="39" t="s">
        <v>21</v>
      </c>
      <c r="N3" s="40" t="s">
        <v>22</v>
      </c>
      <c r="O3" s="41" t="s">
        <v>23</v>
      </c>
      <c r="P3" s="42"/>
      <c r="Q3" s="69" t="s">
        <v>24</v>
      </c>
      <c r="R3" s="70" t="s">
        <v>25</v>
      </c>
      <c r="S3" s="71" t="s">
        <v>26</v>
      </c>
      <c r="T3" s="72" t="s">
        <v>27</v>
      </c>
      <c r="U3" s="71" t="s">
        <v>28</v>
      </c>
      <c r="V3" s="73"/>
      <c r="W3" s="74"/>
      <c r="X3" s="75" t="s">
        <v>29</v>
      </c>
      <c r="Y3" s="75" t="s">
        <v>30</v>
      </c>
      <c r="Z3" s="75" t="s">
        <v>31</v>
      </c>
      <c r="AA3" s="85" t="s">
        <v>32</v>
      </c>
      <c r="AB3" s="86" t="s">
        <v>33</v>
      </c>
      <c r="AC3" s="87" t="s">
        <v>23</v>
      </c>
      <c r="AD3" s="88" t="s">
        <v>34</v>
      </c>
      <c r="AE3" s="89"/>
    </row>
    <row r="4" customFormat="1" spans="1:31">
      <c r="A4" s="18" t="s">
        <v>35</v>
      </c>
      <c r="B4" s="19" t="s">
        <v>36</v>
      </c>
      <c r="C4" s="20">
        <v>240729000061</v>
      </c>
      <c r="D4" s="21">
        <v>45509</v>
      </c>
      <c r="E4" s="21" t="s">
        <v>37</v>
      </c>
      <c r="F4" s="19" t="s">
        <v>38</v>
      </c>
      <c r="G4" s="19" t="s">
        <v>39</v>
      </c>
      <c r="H4" s="19">
        <v>25.5</v>
      </c>
      <c r="I4" s="43"/>
      <c r="J4" s="44">
        <v>286905</v>
      </c>
      <c r="K4" s="45"/>
      <c r="L4" s="46">
        <f t="shared" ref="L4:L9" si="0">SUM(J4/M4)</f>
        <v>1594.53676429723</v>
      </c>
      <c r="M4" s="47">
        <v>179.93</v>
      </c>
      <c r="N4" s="48">
        <v>7.15</v>
      </c>
      <c r="O4" s="49">
        <f t="shared" ref="O4:O9" si="1">SUM(M4*N4)</f>
        <v>1286.4995</v>
      </c>
      <c r="P4" s="50">
        <f>SUM(O4:O38)</f>
        <v>64827.486502145</v>
      </c>
      <c r="Q4" s="50" t="s">
        <v>40</v>
      </c>
      <c r="R4" s="76">
        <f>SUM(49189/1168)*H4</f>
        <v>1073.90368150685</v>
      </c>
      <c r="S4" s="76"/>
      <c r="T4" s="77">
        <f>SUM(181.75/1168)*H4</f>
        <v>3.96800085616438</v>
      </c>
      <c r="U4" s="76"/>
      <c r="V4" s="76"/>
      <c r="W4" s="78">
        <f>SUM(R4:V4)</f>
        <v>1077.87168236301</v>
      </c>
      <c r="X4" s="79">
        <f>SUM(855.97/1168)*H4</f>
        <v>18.6877011986301</v>
      </c>
      <c r="Y4" s="79"/>
      <c r="Z4" s="79"/>
      <c r="AA4" s="79">
        <f>SUM(X4:Z4)</f>
        <v>18.6877011986301</v>
      </c>
      <c r="AB4" s="90">
        <v>7.15</v>
      </c>
      <c r="AC4" s="76">
        <f>SUM(AA4*AB4)</f>
        <v>133.617063570205</v>
      </c>
      <c r="AD4" s="76">
        <f>SUM(W4+AC4)</f>
        <v>1211.48874593322</v>
      </c>
      <c r="AE4" s="76">
        <f>SUM(O4-AD4)</f>
        <v>75.0107540667809</v>
      </c>
    </row>
    <row r="5" customFormat="1" spans="1:31">
      <c r="A5" s="18"/>
      <c r="B5" s="19"/>
      <c r="C5" s="20">
        <v>240730000028</v>
      </c>
      <c r="D5" s="21">
        <v>45509</v>
      </c>
      <c r="E5" s="21" t="s">
        <v>41</v>
      </c>
      <c r="F5" s="19" t="s">
        <v>42</v>
      </c>
      <c r="G5" s="19" t="s">
        <v>43</v>
      </c>
      <c r="H5" s="19">
        <v>3</v>
      </c>
      <c r="I5" s="51">
        <v>159</v>
      </c>
      <c r="J5" s="52"/>
      <c r="K5" s="45"/>
      <c r="L5" s="19"/>
      <c r="M5" s="45"/>
      <c r="N5" s="48"/>
      <c r="O5" s="49">
        <f t="shared" ref="O5:O11" si="2">SUM(I5)</f>
        <v>159</v>
      </c>
      <c r="P5" s="53"/>
      <c r="Q5" s="53"/>
      <c r="R5" s="76">
        <f t="shared" ref="R5:R38" si="3">SUM(49189/1168)*H5</f>
        <v>126.341609589041</v>
      </c>
      <c r="S5" s="76"/>
      <c r="T5" s="77">
        <f t="shared" ref="T5:T38" si="4">SUM(181.75/1168)*H5</f>
        <v>0.466823630136986</v>
      </c>
      <c r="U5" s="76"/>
      <c r="V5" s="76"/>
      <c r="W5" s="78">
        <f t="shared" ref="W5:W38" si="5">SUM(R5:V5)</f>
        <v>126.808433219178</v>
      </c>
      <c r="X5" s="79">
        <f t="shared" ref="X5:X38" si="6">SUM(855.97/1168)*H5</f>
        <v>2.19855308219178</v>
      </c>
      <c r="Y5" s="79"/>
      <c r="Z5" s="79"/>
      <c r="AA5" s="79">
        <f t="shared" ref="AA5:AA38" si="7">SUM(X5:Z5)</f>
        <v>2.19855308219178</v>
      </c>
      <c r="AB5" s="90">
        <v>7.15</v>
      </c>
      <c r="AC5" s="76">
        <f t="shared" ref="AC5:AC38" si="8">SUM(AA5*AB5)</f>
        <v>15.7196545376712</v>
      </c>
      <c r="AD5" s="76">
        <f t="shared" ref="AD5:AD38" si="9">SUM(W5+AC5)</f>
        <v>142.528087756849</v>
      </c>
      <c r="AE5" s="76">
        <f t="shared" ref="AE5:AE38" si="10">SUM(O5-AD5)</f>
        <v>16.471912243151</v>
      </c>
    </row>
    <row r="6" customFormat="1" spans="1:31">
      <c r="A6" s="18"/>
      <c r="B6" s="19"/>
      <c r="C6" s="20">
        <v>240730000034</v>
      </c>
      <c r="D6" s="21">
        <v>45509</v>
      </c>
      <c r="E6" s="21" t="s">
        <v>41</v>
      </c>
      <c r="F6" s="19" t="s">
        <v>42</v>
      </c>
      <c r="G6" s="19" t="s">
        <v>43</v>
      </c>
      <c r="H6" s="19">
        <v>0.28</v>
      </c>
      <c r="I6" s="51">
        <v>53</v>
      </c>
      <c r="J6" s="52"/>
      <c r="K6" s="45"/>
      <c r="L6" s="19"/>
      <c r="M6" s="45"/>
      <c r="N6" s="48"/>
      <c r="O6" s="49">
        <f t="shared" si="2"/>
        <v>53</v>
      </c>
      <c r="P6" s="53"/>
      <c r="Q6" s="53"/>
      <c r="R6" s="76">
        <f t="shared" si="3"/>
        <v>11.7918835616438</v>
      </c>
      <c r="S6" s="76"/>
      <c r="T6" s="77">
        <f t="shared" si="4"/>
        <v>0.0435702054794521</v>
      </c>
      <c r="U6" s="76"/>
      <c r="V6" s="76"/>
      <c r="W6" s="78">
        <f t="shared" si="5"/>
        <v>11.8354537671233</v>
      </c>
      <c r="X6" s="79">
        <f t="shared" si="6"/>
        <v>0.205198287671233</v>
      </c>
      <c r="Y6" s="79"/>
      <c r="Z6" s="79"/>
      <c r="AA6" s="79">
        <f t="shared" si="7"/>
        <v>0.205198287671233</v>
      </c>
      <c r="AB6" s="90">
        <v>7.15</v>
      </c>
      <c r="AC6" s="76">
        <f t="shared" si="8"/>
        <v>1.46716775684932</v>
      </c>
      <c r="AD6" s="76">
        <f t="shared" si="9"/>
        <v>13.3026215239726</v>
      </c>
      <c r="AE6" s="76">
        <f t="shared" si="10"/>
        <v>39.6973784760274</v>
      </c>
    </row>
    <row r="7" customFormat="1" spans="1:31">
      <c r="A7" s="18"/>
      <c r="B7" s="19"/>
      <c r="C7" s="20">
        <v>240731000002</v>
      </c>
      <c r="D7" s="21">
        <v>45509</v>
      </c>
      <c r="E7" s="21" t="s">
        <v>44</v>
      </c>
      <c r="F7" s="19" t="s">
        <v>45</v>
      </c>
      <c r="G7" s="19" t="s">
        <v>46</v>
      </c>
      <c r="H7" s="19">
        <v>3.5</v>
      </c>
      <c r="I7" s="43"/>
      <c r="J7" s="44">
        <v>52182</v>
      </c>
      <c r="K7" s="45"/>
      <c r="L7" s="46">
        <f t="shared" si="0"/>
        <v>1592.85714285714</v>
      </c>
      <c r="M7" s="47">
        <v>32.76</v>
      </c>
      <c r="N7" s="48">
        <v>7.15</v>
      </c>
      <c r="O7" s="49">
        <f t="shared" si="1"/>
        <v>234.234</v>
      </c>
      <c r="P7" s="53"/>
      <c r="Q7" s="53"/>
      <c r="R7" s="76">
        <f t="shared" si="3"/>
        <v>147.398544520548</v>
      </c>
      <c r="S7" s="76"/>
      <c r="T7" s="77">
        <f t="shared" si="4"/>
        <v>0.544627568493151</v>
      </c>
      <c r="U7" s="76"/>
      <c r="V7" s="76"/>
      <c r="W7" s="78">
        <f t="shared" si="5"/>
        <v>147.943172089041</v>
      </c>
      <c r="X7" s="79">
        <f t="shared" si="6"/>
        <v>2.56497859589041</v>
      </c>
      <c r="Y7" s="79"/>
      <c r="Z7" s="79"/>
      <c r="AA7" s="79">
        <f t="shared" si="7"/>
        <v>2.56497859589041</v>
      </c>
      <c r="AB7" s="90">
        <v>7.15</v>
      </c>
      <c r="AC7" s="76">
        <f t="shared" si="8"/>
        <v>18.3395969606164</v>
      </c>
      <c r="AD7" s="76">
        <f t="shared" si="9"/>
        <v>166.282769049658</v>
      </c>
      <c r="AE7" s="76">
        <f t="shared" si="10"/>
        <v>67.951230950342</v>
      </c>
    </row>
    <row r="8" customFormat="1" spans="1:31">
      <c r="A8" s="18"/>
      <c r="B8" s="19"/>
      <c r="C8" s="20">
        <v>240731000005</v>
      </c>
      <c r="D8" s="21">
        <v>45509</v>
      </c>
      <c r="E8" s="21" t="s">
        <v>37</v>
      </c>
      <c r="F8" s="19" t="s">
        <v>38</v>
      </c>
      <c r="G8" s="19" t="s">
        <v>47</v>
      </c>
      <c r="H8" s="19">
        <v>0.69</v>
      </c>
      <c r="I8" s="49"/>
      <c r="J8" s="44">
        <v>14291</v>
      </c>
      <c r="K8" s="45"/>
      <c r="L8" s="46">
        <f t="shared" si="0"/>
        <v>1623.97727272727</v>
      </c>
      <c r="M8" s="47">
        <v>8.8</v>
      </c>
      <c r="N8" s="48">
        <v>7.15</v>
      </c>
      <c r="O8" s="49">
        <f t="shared" si="1"/>
        <v>62.92</v>
      </c>
      <c r="P8" s="53"/>
      <c r="Q8" s="53"/>
      <c r="R8" s="76">
        <f t="shared" si="3"/>
        <v>29.0585702054794</v>
      </c>
      <c r="S8" s="76"/>
      <c r="T8" s="77">
        <f t="shared" si="4"/>
        <v>0.107369434931507</v>
      </c>
      <c r="U8" s="76"/>
      <c r="V8" s="76"/>
      <c r="W8" s="78">
        <f t="shared" si="5"/>
        <v>29.165939640411</v>
      </c>
      <c r="X8" s="79">
        <f t="shared" si="6"/>
        <v>0.50566720890411</v>
      </c>
      <c r="Y8" s="79"/>
      <c r="Z8" s="79"/>
      <c r="AA8" s="79">
        <f t="shared" si="7"/>
        <v>0.50566720890411</v>
      </c>
      <c r="AB8" s="90">
        <v>7.15</v>
      </c>
      <c r="AC8" s="76">
        <f t="shared" si="8"/>
        <v>3.61552054366438</v>
      </c>
      <c r="AD8" s="76">
        <f t="shared" si="9"/>
        <v>32.7814601840753</v>
      </c>
      <c r="AE8" s="76">
        <f t="shared" si="10"/>
        <v>30.1385398159247</v>
      </c>
    </row>
    <row r="9" customFormat="1" spans="1:31">
      <c r="A9" s="18"/>
      <c r="B9" s="19"/>
      <c r="C9" s="20">
        <v>240731000006</v>
      </c>
      <c r="D9" s="21">
        <v>45509</v>
      </c>
      <c r="E9" s="21" t="s">
        <v>37</v>
      </c>
      <c r="F9" s="19" t="s">
        <v>38</v>
      </c>
      <c r="G9" s="19" t="s">
        <v>39</v>
      </c>
      <c r="H9" s="19">
        <v>62.5</v>
      </c>
      <c r="I9" s="43"/>
      <c r="J9" s="44">
        <v>737238</v>
      </c>
      <c r="K9" s="45"/>
      <c r="L9" s="46">
        <f t="shared" si="0"/>
        <v>1594.47628522612</v>
      </c>
      <c r="M9" s="47">
        <v>462.37</v>
      </c>
      <c r="N9" s="48">
        <v>7.15</v>
      </c>
      <c r="O9" s="49">
        <f t="shared" si="1"/>
        <v>3305.9455</v>
      </c>
      <c r="P9" s="53"/>
      <c r="Q9" s="53"/>
      <c r="R9" s="76">
        <f t="shared" si="3"/>
        <v>2632.11686643836</v>
      </c>
      <c r="S9" s="76"/>
      <c r="T9" s="77">
        <f t="shared" si="4"/>
        <v>9.72549229452055</v>
      </c>
      <c r="U9" s="76"/>
      <c r="V9" s="77">
        <f>SUM(81+100)</f>
        <v>181</v>
      </c>
      <c r="W9" s="78">
        <f t="shared" si="5"/>
        <v>2822.84235873288</v>
      </c>
      <c r="X9" s="79">
        <f t="shared" si="6"/>
        <v>45.8031892123288</v>
      </c>
      <c r="Y9" s="79"/>
      <c r="Z9" s="79"/>
      <c r="AA9" s="79">
        <f t="shared" si="7"/>
        <v>45.8031892123288</v>
      </c>
      <c r="AB9" s="90">
        <v>7.15</v>
      </c>
      <c r="AC9" s="76">
        <f t="shared" si="8"/>
        <v>327.492802868151</v>
      </c>
      <c r="AD9" s="76">
        <f t="shared" si="9"/>
        <v>3150.33516160103</v>
      </c>
      <c r="AE9" s="76">
        <f t="shared" si="10"/>
        <v>155.61033839897</v>
      </c>
    </row>
    <row r="10" customFormat="1" spans="1:31">
      <c r="A10" s="18"/>
      <c r="B10" s="19"/>
      <c r="C10" s="20">
        <v>240731000007</v>
      </c>
      <c r="D10" s="21">
        <v>45509</v>
      </c>
      <c r="E10" s="21" t="s">
        <v>37</v>
      </c>
      <c r="F10" s="19" t="s">
        <v>38</v>
      </c>
      <c r="G10" s="19" t="s">
        <v>48</v>
      </c>
      <c r="H10" s="19">
        <v>0.36</v>
      </c>
      <c r="I10" s="51">
        <v>94</v>
      </c>
      <c r="J10" s="52"/>
      <c r="K10" s="45"/>
      <c r="L10" s="19"/>
      <c r="M10" s="45"/>
      <c r="N10" s="48"/>
      <c r="O10" s="49">
        <f t="shared" si="2"/>
        <v>94</v>
      </c>
      <c r="P10" s="53"/>
      <c r="Q10" s="53"/>
      <c r="R10" s="76">
        <f t="shared" si="3"/>
        <v>15.1609931506849</v>
      </c>
      <c r="S10" s="76"/>
      <c r="T10" s="77">
        <f t="shared" si="4"/>
        <v>0.0560188356164383</v>
      </c>
      <c r="U10" s="76"/>
      <c r="V10" s="76"/>
      <c r="W10" s="78">
        <f t="shared" si="5"/>
        <v>15.2170119863014</v>
      </c>
      <c r="X10" s="79">
        <f t="shared" si="6"/>
        <v>0.263826369863014</v>
      </c>
      <c r="Y10" s="79">
        <v>3.44</v>
      </c>
      <c r="Z10" s="79"/>
      <c r="AA10" s="79">
        <f t="shared" si="7"/>
        <v>3.70382636986301</v>
      </c>
      <c r="AB10" s="90">
        <v>7.15</v>
      </c>
      <c r="AC10" s="76">
        <f t="shared" si="8"/>
        <v>26.4823585445205</v>
      </c>
      <c r="AD10" s="76">
        <f t="shared" si="9"/>
        <v>41.6993705308219</v>
      </c>
      <c r="AE10" s="76">
        <f t="shared" si="10"/>
        <v>52.3006294691781</v>
      </c>
    </row>
    <row r="11" customFormat="1" spans="1:31">
      <c r="A11" s="18"/>
      <c r="B11" s="19"/>
      <c r="C11" s="20">
        <v>240731000021</v>
      </c>
      <c r="D11" s="21">
        <v>45509</v>
      </c>
      <c r="E11" s="21" t="s">
        <v>41</v>
      </c>
      <c r="F11" s="19" t="s">
        <v>42</v>
      </c>
      <c r="G11" s="19" t="s">
        <v>49</v>
      </c>
      <c r="H11" s="19">
        <v>648.5</v>
      </c>
      <c r="I11" s="51">
        <v>35667.5</v>
      </c>
      <c r="J11" s="52"/>
      <c r="K11" s="45"/>
      <c r="L11" s="19"/>
      <c r="M11" s="45"/>
      <c r="N11" s="48"/>
      <c r="O11" s="49">
        <f t="shared" si="2"/>
        <v>35667.5</v>
      </c>
      <c r="P11" s="53"/>
      <c r="Q11" s="53"/>
      <c r="R11" s="76">
        <f t="shared" si="3"/>
        <v>27310.8446061644</v>
      </c>
      <c r="S11" s="76"/>
      <c r="T11" s="77">
        <f t="shared" si="4"/>
        <v>100.911708047945</v>
      </c>
      <c r="U11" s="76"/>
      <c r="V11" s="76"/>
      <c r="W11" s="78">
        <f t="shared" si="5"/>
        <v>27411.7563142123</v>
      </c>
      <c r="X11" s="79">
        <f t="shared" si="6"/>
        <v>475.253891267123</v>
      </c>
      <c r="Y11" s="79"/>
      <c r="Z11" s="79"/>
      <c r="AA11" s="79">
        <f t="shared" si="7"/>
        <v>475.253891267123</v>
      </c>
      <c r="AB11" s="90">
        <v>7.15</v>
      </c>
      <c r="AC11" s="76">
        <f t="shared" si="8"/>
        <v>3398.06532255993</v>
      </c>
      <c r="AD11" s="76">
        <f t="shared" si="9"/>
        <v>30809.8216367723</v>
      </c>
      <c r="AE11" s="76">
        <f t="shared" si="10"/>
        <v>4857.6783632277</v>
      </c>
    </row>
    <row r="12" customFormat="1" spans="1:31">
      <c r="A12" s="18"/>
      <c r="B12" s="19"/>
      <c r="C12" s="20">
        <v>240731000025</v>
      </c>
      <c r="D12" s="21">
        <v>45509</v>
      </c>
      <c r="E12" s="21" t="s">
        <v>37</v>
      </c>
      <c r="F12" s="19" t="s">
        <v>38</v>
      </c>
      <c r="G12" s="19" t="s">
        <v>50</v>
      </c>
      <c r="H12" s="19">
        <v>0.36</v>
      </c>
      <c r="I12" s="43"/>
      <c r="J12" s="44">
        <v>19120</v>
      </c>
      <c r="K12" s="45"/>
      <c r="L12" s="46">
        <f t="shared" ref="L12:L15" si="11">SUM(J12/M12)</f>
        <v>1710.19677996422</v>
      </c>
      <c r="M12" s="47">
        <v>11.18</v>
      </c>
      <c r="N12" s="48">
        <v>7.15</v>
      </c>
      <c r="O12" s="49">
        <f t="shared" ref="O12:O15" si="12">SUM(M12*N12)</f>
        <v>79.937</v>
      </c>
      <c r="P12" s="53"/>
      <c r="Q12" s="53"/>
      <c r="R12" s="76">
        <f t="shared" si="3"/>
        <v>15.1609931506849</v>
      </c>
      <c r="S12" s="76"/>
      <c r="T12" s="77">
        <f t="shared" si="4"/>
        <v>0.0560188356164383</v>
      </c>
      <c r="U12" s="76"/>
      <c r="V12" s="77">
        <v>12</v>
      </c>
      <c r="W12" s="78">
        <f t="shared" si="5"/>
        <v>27.2170119863014</v>
      </c>
      <c r="X12" s="79">
        <f t="shared" si="6"/>
        <v>0.263826369863014</v>
      </c>
      <c r="Y12" s="79"/>
      <c r="Z12" s="79"/>
      <c r="AA12" s="79">
        <f t="shared" si="7"/>
        <v>0.263826369863014</v>
      </c>
      <c r="AB12" s="90">
        <v>7.15</v>
      </c>
      <c r="AC12" s="76">
        <f t="shared" si="8"/>
        <v>1.88635854452055</v>
      </c>
      <c r="AD12" s="76">
        <f t="shared" si="9"/>
        <v>29.1033705308219</v>
      </c>
      <c r="AE12" s="76">
        <f t="shared" si="10"/>
        <v>50.8336294691781</v>
      </c>
    </row>
    <row r="13" customFormat="1" spans="1:31">
      <c r="A13" s="18"/>
      <c r="B13" s="19"/>
      <c r="C13" s="20">
        <v>240731000026</v>
      </c>
      <c r="D13" s="21">
        <v>45509</v>
      </c>
      <c r="E13" s="21" t="s">
        <v>51</v>
      </c>
      <c r="F13" s="19" t="s">
        <v>52</v>
      </c>
      <c r="G13" s="19" t="s">
        <v>53</v>
      </c>
      <c r="H13" s="19">
        <v>4.5</v>
      </c>
      <c r="I13" s="51">
        <v>273</v>
      </c>
      <c r="J13" s="52"/>
      <c r="K13" s="45"/>
      <c r="L13" s="19"/>
      <c r="M13" s="45"/>
      <c r="N13" s="48"/>
      <c r="O13" s="49">
        <f t="shared" ref="O13:O17" si="13">SUM(I13)</f>
        <v>273</v>
      </c>
      <c r="P13" s="53"/>
      <c r="Q13" s="53"/>
      <c r="R13" s="76">
        <f t="shared" si="3"/>
        <v>189.512414383562</v>
      </c>
      <c r="S13" s="76"/>
      <c r="T13" s="77">
        <f t="shared" si="4"/>
        <v>0.700235445205479</v>
      </c>
      <c r="U13" s="76"/>
      <c r="V13" s="76"/>
      <c r="W13" s="78">
        <f t="shared" si="5"/>
        <v>190.212649828767</v>
      </c>
      <c r="X13" s="79">
        <f t="shared" si="6"/>
        <v>3.29782962328767</v>
      </c>
      <c r="Y13" s="79"/>
      <c r="Z13" s="79"/>
      <c r="AA13" s="79">
        <f t="shared" si="7"/>
        <v>3.29782962328767</v>
      </c>
      <c r="AB13" s="90">
        <v>7.15</v>
      </c>
      <c r="AC13" s="76">
        <f t="shared" si="8"/>
        <v>23.5794818065069</v>
      </c>
      <c r="AD13" s="76">
        <f t="shared" si="9"/>
        <v>213.792131635274</v>
      </c>
      <c r="AE13" s="76">
        <f t="shared" si="10"/>
        <v>59.207868364726</v>
      </c>
    </row>
    <row r="14" customFormat="1" spans="1:31">
      <c r="A14" s="18"/>
      <c r="B14" s="19"/>
      <c r="C14" s="20">
        <v>240731000028</v>
      </c>
      <c r="D14" s="21">
        <v>45509</v>
      </c>
      <c r="E14" s="21" t="s">
        <v>37</v>
      </c>
      <c r="F14" s="19" t="s">
        <v>38</v>
      </c>
      <c r="G14" s="19" t="s">
        <v>54</v>
      </c>
      <c r="H14" s="19">
        <v>30.5</v>
      </c>
      <c r="I14" s="43"/>
      <c r="J14" s="44">
        <v>401563</v>
      </c>
      <c r="K14" s="45"/>
      <c r="L14" s="46">
        <f t="shared" si="11"/>
        <v>1623.06697384908</v>
      </c>
      <c r="M14" s="47">
        <v>247.41</v>
      </c>
      <c r="N14" s="48">
        <v>7.15</v>
      </c>
      <c r="O14" s="49">
        <f t="shared" si="12"/>
        <v>1768.9815</v>
      </c>
      <c r="P14" s="53"/>
      <c r="Q14" s="53"/>
      <c r="R14" s="76">
        <f t="shared" si="3"/>
        <v>1284.47303082192</v>
      </c>
      <c r="S14" s="76"/>
      <c r="T14" s="77">
        <f t="shared" si="4"/>
        <v>4.74604023972603</v>
      </c>
      <c r="U14" s="76"/>
      <c r="V14" s="76"/>
      <c r="W14" s="78">
        <f t="shared" si="5"/>
        <v>1289.21907106164</v>
      </c>
      <c r="X14" s="79">
        <f t="shared" si="6"/>
        <v>22.3519563356164</v>
      </c>
      <c r="Y14" s="79"/>
      <c r="Z14" s="79"/>
      <c r="AA14" s="79">
        <f t="shared" si="7"/>
        <v>22.3519563356164</v>
      </c>
      <c r="AB14" s="90">
        <v>7.15</v>
      </c>
      <c r="AC14" s="76">
        <f t="shared" si="8"/>
        <v>159.816487799658</v>
      </c>
      <c r="AD14" s="76">
        <f t="shared" si="9"/>
        <v>1449.0355588613</v>
      </c>
      <c r="AE14" s="76">
        <f t="shared" si="10"/>
        <v>319.9459411387</v>
      </c>
    </row>
    <row r="15" customFormat="1" spans="1:31">
      <c r="A15" s="18"/>
      <c r="B15" s="19"/>
      <c r="C15" s="20">
        <v>240731000029</v>
      </c>
      <c r="D15" s="21">
        <v>45509</v>
      </c>
      <c r="E15" s="21" t="s">
        <v>41</v>
      </c>
      <c r="F15" s="19" t="s">
        <v>42</v>
      </c>
      <c r="G15" s="19" t="s">
        <v>55</v>
      </c>
      <c r="H15" s="19">
        <v>7</v>
      </c>
      <c r="I15" s="43"/>
      <c r="J15" s="44">
        <v>93483</v>
      </c>
      <c r="K15" s="45"/>
      <c r="L15" s="46">
        <f t="shared" si="11"/>
        <v>1650.47669491525</v>
      </c>
      <c r="M15" s="47">
        <v>56.64</v>
      </c>
      <c r="N15" s="48">
        <v>7.15</v>
      </c>
      <c r="O15" s="49">
        <f t="shared" si="12"/>
        <v>404.976</v>
      </c>
      <c r="P15" s="53"/>
      <c r="Q15" s="53"/>
      <c r="R15" s="76">
        <f t="shared" si="3"/>
        <v>294.797089041096</v>
      </c>
      <c r="S15" s="76"/>
      <c r="T15" s="77">
        <f t="shared" si="4"/>
        <v>1.0892551369863</v>
      </c>
      <c r="U15" s="76"/>
      <c r="V15" s="76"/>
      <c r="W15" s="78">
        <f t="shared" si="5"/>
        <v>295.886344178082</v>
      </c>
      <c r="X15" s="79">
        <f t="shared" si="6"/>
        <v>5.12995719178082</v>
      </c>
      <c r="Y15" s="79"/>
      <c r="Z15" s="79"/>
      <c r="AA15" s="79">
        <f t="shared" si="7"/>
        <v>5.12995719178082</v>
      </c>
      <c r="AB15" s="90">
        <v>7.15</v>
      </c>
      <c r="AC15" s="76">
        <f t="shared" si="8"/>
        <v>36.6791939212329</v>
      </c>
      <c r="AD15" s="76">
        <f t="shared" si="9"/>
        <v>332.565538099315</v>
      </c>
      <c r="AE15" s="76">
        <f t="shared" si="10"/>
        <v>72.410461900685</v>
      </c>
    </row>
    <row r="16" customFormat="1" spans="1:31">
      <c r="A16" s="18"/>
      <c r="B16" s="19"/>
      <c r="C16" s="20">
        <v>240731000033</v>
      </c>
      <c r="D16" s="21">
        <v>45509</v>
      </c>
      <c r="E16" s="21" t="s">
        <v>41</v>
      </c>
      <c r="F16" s="19" t="s">
        <v>42</v>
      </c>
      <c r="G16" s="19" t="s">
        <v>56</v>
      </c>
      <c r="H16" s="19">
        <v>1</v>
      </c>
      <c r="I16" s="51">
        <v>63</v>
      </c>
      <c r="J16" s="52"/>
      <c r="K16" s="45"/>
      <c r="L16" s="19"/>
      <c r="M16" s="45"/>
      <c r="N16" s="48"/>
      <c r="O16" s="49">
        <f t="shared" si="13"/>
        <v>63</v>
      </c>
      <c r="P16" s="53"/>
      <c r="Q16" s="53"/>
      <c r="R16" s="76">
        <f t="shared" si="3"/>
        <v>42.1138698630137</v>
      </c>
      <c r="S16" s="76"/>
      <c r="T16" s="77">
        <f t="shared" si="4"/>
        <v>0.155607876712329</v>
      </c>
      <c r="U16" s="76"/>
      <c r="V16" s="76"/>
      <c r="W16" s="78">
        <f t="shared" si="5"/>
        <v>42.269477739726</v>
      </c>
      <c r="X16" s="79">
        <f t="shared" si="6"/>
        <v>0.73285102739726</v>
      </c>
      <c r="Y16" s="79"/>
      <c r="Z16" s="79"/>
      <c r="AA16" s="79">
        <f t="shared" si="7"/>
        <v>0.73285102739726</v>
      </c>
      <c r="AB16" s="90">
        <v>7.15</v>
      </c>
      <c r="AC16" s="76">
        <f t="shared" si="8"/>
        <v>5.23988484589041</v>
      </c>
      <c r="AD16" s="76">
        <f t="shared" si="9"/>
        <v>47.5093625856164</v>
      </c>
      <c r="AE16" s="76">
        <f t="shared" si="10"/>
        <v>15.4906374143836</v>
      </c>
    </row>
    <row r="17" customFormat="1" spans="1:31">
      <c r="A17" s="18"/>
      <c r="B17" s="19"/>
      <c r="C17" s="20">
        <v>240731000035</v>
      </c>
      <c r="D17" s="21">
        <v>45509</v>
      </c>
      <c r="E17" s="21" t="s">
        <v>57</v>
      </c>
      <c r="F17" s="19" t="s">
        <v>57</v>
      </c>
      <c r="G17" s="19" t="s">
        <v>58</v>
      </c>
      <c r="H17" s="19">
        <v>27.5</v>
      </c>
      <c r="I17" s="51">
        <v>1585.5</v>
      </c>
      <c r="J17" s="52"/>
      <c r="K17" s="45"/>
      <c r="L17" s="19"/>
      <c r="M17" s="45"/>
      <c r="N17" s="48"/>
      <c r="O17" s="49">
        <f t="shared" si="13"/>
        <v>1585.5</v>
      </c>
      <c r="P17" s="53"/>
      <c r="Q17" s="53"/>
      <c r="R17" s="76">
        <f t="shared" si="3"/>
        <v>1158.13142123288</v>
      </c>
      <c r="S17" s="76"/>
      <c r="T17" s="77">
        <f t="shared" si="4"/>
        <v>4.27921660958904</v>
      </c>
      <c r="U17" s="76"/>
      <c r="V17" s="77">
        <v>65</v>
      </c>
      <c r="W17" s="78">
        <f t="shared" si="5"/>
        <v>1227.41063784247</v>
      </c>
      <c r="X17" s="79">
        <f t="shared" si="6"/>
        <v>20.1534032534247</v>
      </c>
      <c r="Y17" s="79"/>
      <c r="Z17" s="79"/>
      <c r="AA17" s="79">
        <f t="shared" si="7"/>
        <v>20.1534032534247</v>
      </c>
      <c r="AB17" s="90">
        <v>7.15</v>
      </c>
      <c r="AC17" s="76">
        <f t="shared" si="8"/>
        <v>144.096833261986</v>
      </c>
      <c r="AD17" s="76">
        <f t="shared" si="9"/>
        <v>1371.50747110445</v>
      </c>
      <c r="AE17" s="76">
        <f t="shared" si="10"/>
        <v>213.99252889555</v>
      </c>
    </row>
    <row r="18" customFormat="1" spans="1:31">
      <c r="A18" s="18"/>
      <c r="B18" s="19"/>
      <c r="C18" s="20">
        <v>240731000037</v>
      </c>
      <c r="D18" s="21">
        <v>45509</v>
      </c>
      <c r="E18" s="21" t="s">
        <v>51</v>
      </c>
      <c r="F18" s="19" t="s">
        <v>52</v>
      </c>
      <c r="G18" s="19" t="s">
        <v>59</v>
      </c>
      <c r="H18" s="19">
        <v>94</v>
      </c>
      <c r="I18" s="49"/>
      <c r="J18" s="44">
        <v>1160368.8</v>
      </c>
      <c r="K18" s="45"/>
      <c r="L18" s="46">
        <f t="shared" ref="L18:L22" si="14">SUM(J18/M18)</f>
        <v>1616</v>
      </c>
      <c r="M18" s="47">
        <v>718.05</v>
      </c>
      <c r="N18" s="48">
        <v>7.15</v>
      </c>
      <c r="O18" s="49">
        <f t="shared" ref="O18:O22" si="15">SUM(M18*N18)</f>
        <v>5134.0575</v>
      </c>
      <c r="P18" s="53"/>
      <c r="Q18" s="53"/>
      <c r="R18" s="76">
        <f t="shared" si="3"/>
        <v>3958.70376712329</v>
      </c>
      <c r="S18" s="76"/>
      <c r="T18" s="77">
        <f t="shared" si="4"/>
        <v>14.6271404109589</v>
      </c>
      <c r="U18" s="76"/>
      <c r="V18" s="76"/>
      <c r="W18" s="78">
        <f t="shared" si="5"/>
        <v>3973.33090753425</v>
      </c>
      <c r="X18" s="79">
        <f t="shared" si="6"/>
        <v>68.8879965753425</v>
      </c>
      <c r="Y18" s="79"/>
      <c r="Z18" s="79"/>
      <c r="AA18" s="79">
        <f t="shared" si="7"/>
        <v>68.8879965753425</v>
      </c>
      <c r="AB18" s="90">
        <v>7.15</v>
      </c>
      <c r="AC18" s="76">
        <f t="shared" si="8"/>
        <v>492.549175513699</v>
      </c>
      <c r="AD18" s="76">
        <f t="shared" si="9"/>
        <v>4465.88008304794</v>
      </c>
      <c r="AE18" s="76">
        <f t="shared" si="10"/>
        <v>668.17741695206</v>
      </c>
    </row>
    <row r="19" customFormat="1" spans="1:31">
      <c r="A19" s="18"/>
      <c r="B19" s="19"/>
      <c r="C19" s="20">
        <v>240731000039</v>
      </c>
      <c r="D19" s="21">
        <v>45509</v>
      </c>
      <c r="E19" s="21" t="s">
        <v>41</v>
      </c>
      <c r="F19" s="19" t="s">
        <v>60</v>
      </c>
      <c r="G19" s="19" t="s">
        <v>61</v>
      </c>
      <c r="H19" s="19">
        <v>7.5</v>
      </c>
      <c r="I19" s="51">
        <v>478.5</v>
      </c>
      <c r="J19" s="52"/>
      <c r="K19" s="45"/>
      <c r="L19" s="19"/>
      <c r="M19" s="45"/>
      <c r="N19" s="48"/>
      <c r="O19" s="49">
        <f>SUM(I19)</f>
        <v>478.5</v>
      </c>
      <c r="P19" s="53"/>
      <c r="Q19" s="53"/>
      <c r="R19" s="76">
        <f t="shared" si="3"/>
        <v>315.854023972603</v>
      </c>
      <c r="S19" s="76"/>
      <c r="T19" s="77">
        <f t="shared" si="4"/>
        <v>1.16705907534247</v>
      </c>
      <c r="U19" s="76"/>
      <c r="V19" s="76"/>
      <c r="W19" s="78">
        <f t="shared" si="5"/>
        <v>317.021083047945</v>
      </c>
      <c r="X19" s="79">
        <f t="shared" si="6"/>
        <v>5.49638270547945</v>
      </c>
      <c r="Y19" s="79"/>
      <c r="Z19" s="79"/>
      <c r="AA19" s="79">
        <f t="shared" si="7"/>
        <v>5.49638270547945</v>
      </c>
      <c r="AB19" s="90">
        <v>7.15</v>
      </c>
      <c r="AC19" s="76">
        <f t="shared" si="8"/>
        <v>39.2991363441781</v>
      </c>
      <c r="AD19" s="76">
        <f t="shared" si="9"/>
        <v>356.320219392123</v>
      </c>
      <c r="AE19" s="76">
        <f t="shared" si="10"/>
        <v>122.179780607877</v>
      </c>
    </row>
    <row r="20" customFormat="1" spans="1:31">
      <c r="A20" s="18"/>
      <c r="B20" s="19"/>
      <c r="C20" s="20">
        <v>240801000002</v>
      </c>
      <c r="D20" s="21">
        <v>45509</v>
      </c>
      <c r="E20" s="21" t="s">
        <v>57</v>
      </c>
      <c r="F20" s="19" t="s">
        <v>57</v>
      </c>
      <c r="G20" s="19" t="s">
        <v>62</v>
      </c>
      <c r="H20" s="19">
        <v>12.5</v>
      </c>
      <c r="I20" s="49"/>
      <c r="J20" s="44">
        <v>179939</v>
      </c>
      <c r="K20" s="45"/>
      <c r="L20" s="46">
        <f t="shared" si="14"/>
        <v>1623.99819494585</v>
      </c>
      <c r="M20" s="47">
        <v>110.8</v>
      </c>
      <c r="N20" s="48">
        <v>7.15</v>
      </c>
      <c r="O20" s="49">
        <f t="shared" si="15"/>
        <v>792.22</v>
      </c>
      <c r="P20" s="53"/>
      <c r="Q20" s="53"/>
      <c r="R20" s="76">
        <f t="shared" si="3"/>
        <v>526.423373287671</v>
      </c>
      <c r="S20" s="76"/>
      <c r="T20" s="77">
        <f t="shared" si="4"/>
        <v>1.94509845890411</v>
      </c>
      <c r="U20" s="76"/>
      <c r="V20" s="76"/>
      <c r="W20" s="78">
        <f t="shared" si="5"/>
        <v>528.368471746575</v>
      </c>
      <c r="X20" s="79">
        <f t="shared" si="6"/>
        <v>9.16063784246575</v>
      </c>
      <c r="Y20" s="79"/>
      <c r="Z20" s="79"/>
      <c r="AA20" s="79">
        <f t="shared" si="7"/>
        <v>9.16063784246575</v>
      </c>
      <c r="AB20" s="90">
        <v>7.15</v>
      </c>
      <c r="AC20" s="76">
        <f t="shared" si="8"/>
        <v>65.4985605736301</v>
      </c>
      <c r="AD20" s="76">
        <f t="shared" si="9"/>
        <v>593.867032320205</v>
      </c>
      <c r="AE20" s="76">
        <f t="shared" si="10"/>
        <v>198.352967679795</v>
      </c>
    </row>
    <row r="21" customFormat="1" spans="1:31">
      <c r="A21" s="18"/>
      <c r="B21" s="19"/>
      <c r="C21" s="20">
        <v>240801000007</v>
      </c>
      <c r="D21" s="21">
        <v>45509</v>
      </c>
      <c r="E21" s="21" t="s">
        <v>44</v>
      </c>
      <c r="F21" s="19" t="s">
        <v>45</v>
      </c>
      <c r="G21" s="19" t="s">
        <v>63</v>
      </c>
      <c r="H21" s="19">
        <v>25.5</v>
      </c>
      <c r="I21" s="49"/>
      <c r="J21" s="44">
        <v>336980</v>
      </c>
      <c r="K21" s="45"/>
      <c r="L21" s="46">
        <f t="shared" si="14"/>
        <v>1773.57894736842</v>
      </c>
      <c r="M21" s="47">
        <v>190</v>
      </c>
      <c r="N21" s="48">
        <v>7.15</v>
      </c>
      <c r="O21" s="49">
        <f t="shared" si="15"/>
        <v>1358.5</v>
      </c>
      <c r="P21" s="53"/>
      <c r="Q21" s="53"/>
      <c r="R21" s="76">
        <f t="shared" si="3"/>
        <v>1073.90368150685</v>
      </c>
      <c r="S21" s="76"/>
      <c r="T21" s="77">
        <f t="shared" si="4"/>
        <v>3.96800085616438</v>
      </c>
      <c r="U21" s="76"/>
      <c r="V21" s="76"/>
      <c r="W21" s="78">
        <f t="shared" si="5"/>
        <v>1077.87168236301</v>
      </c>
      <c r="X21" s="79">
        <f t="shared" si="6"/>
        <v>18.6877011986301</v>
      </c>
      <c r="Y21" s="79">
        <v>17</v>
      </c>
      <c r="Z21" s="79"/>
      <c r="AA21" s="79">
        <f t="shared" si="7"/>
        <v>35.6877011986301</v>
      </c>
      <c r="AB21" s="90">
        <v>7.15</v>
      </c>
      <c r="AC21" s="76">
        <f t="shared" si="8"/>
        <v>255.167063570205</v>
      </c>
      <c r="AD21" s="76">
        <f t="shared" si="9"/>
        <v>1333.03874593322</v>
      </c>
      <c r="AE21" s="76">
        <f t="shared" si="10"/>
        <v>25.4612540667799</v>
      </c>
    </row>
    <row r="22" customFormat="1" spans="1:31">
      <c r="A22" s="18"/>
      <c r="B22" s="19"/>
      <c r="C22" s="20">
        <v>240801000008</v>
      </c>
      <c r="D22" s="21">
        <v>45509</v>
      </c>
      <c r="E22" s="21" t="s">
        <v>51</v>
      </c>
      <c r="F22" s="19" t="s">
        <v>52</v>
      </c>
      <c r="G22" s="19" t="s">
        <v>59</v>
      </c>
      <c r="H22" s="19">
        <v>0.82</v>
      </c>
      <c r="I22" s="49"/>
      <c r="J22" s="44">
        <v>12346.24</v>
      </c>
      <c r="K22" s="45"/>
      <c r="L22" s="46">
        <f t="shared" si="14"/>
        <v>1615.99993654451</v>
      </c>
      <c r="M22" s="47">
        <v>7.6400003</v>
      </c>
      <c r="N22" s="48">
        <v>7.15</v>
      </c>
      <c r="O22" s="49">
        <f t="shared" si="15"/>
        <v>54.626002145</v>
      </c>
      <c r="P22" s="53"/>
      <c r="Q22" s="53"/>
      <c r="R22" s="76">
        <f t="shared" si="3"/>
        <v>34.5333732876712</v>
      </c>
      <c r="S22" s="76"/>
      <c r="T22" s="77">
        <f t="shared" si="4"/>
        <v>0.12759845890411</v>
      </c>
      <c r="U22" s="76"/>
      <c r="V22" s="76"/>
      <c r="W22" s="78">
        <f t="shared" si="5"/>
        <v>34.6609717465753</v>
      </c>
      <c r="X22" s="79">
        <f t="shared" si="6"/>
        <v>0.600937842465753</v>
      </c>
      <c r="Y22" s="79"/>
      <c r="Z22" s="79"/>
      <c r="AA22" s="79">
        <f t="shared" si="7"/>
        <v>0.600937842465753</v>
      </c>
      <c r="AB22" s="90">
        <v>7.15</v>
      </c>
      <c r="AC22" s="76">
        <f t="shared" si="8"/>
        <v>4.29670557363014</v>
      </c>
      <c r="AD22" s="76">
        <f t="shared" si="9"/>
        <v>38.9576773202055</v>
      </c>
      <c r="AE22" s="76">
        <f t="shared" si="10"/>
        <v>15.6683248247945</v>
      </c>
    </row>
    <row r="23" customFormat="1" spans="1:31">
      <c r="A23" s="18"/>
      <c r="B23" s="19"/>
      <c r="C23" s="20">
        <v>240801000009</v>
      </c>
      <c r="D23" s="21">
        <v>45509</v>
      </c>
      <c r="E23" s="21" t="s">
        <v>41</v>
      </c>
      <c r="F23" s="19" t="s">
        <v>42</v>
      </c>
      <c r="G23" s="19" t="s">
        <v>43</v>
      </c>
      <c r="H23" s="19">
        <v>2.5</v>
      </c>
      <c r="I23" s="51">
        <v>132.5</v>
      </c>
      <c r="J23" s="52"/>
      <c r="K23" s="45"/>
      <c r="L23" s="19"/>
      <c r="M23" s="45"/>
      <c r="N23" s="48"/>
      <c r="O23" s="49">
        <f t="shared" ref="O23:O29" si="16">SUM(I23)</f>
        <v>132.5</v>
      </c>
      <c r="P23" s="53"/>
      <c r="Q23" s="53"/>
      <c r="R23" s="76">
        <f t="shared" si="3"/>
        <v>105.284674657534</v>
      </c>
      <c r="S23" s="76"/>
      <c r="T23" s="77">
        <f t="shared" si="4"/>
        <v>0.389019691780822</v>
      </c>
      <c r="U23" s="76"/>
      <c r="V23" s="76"/>
      <c r="W23" s="78">
        <f t="shared" si="5"/>
        <v>105.673694349315</v>
      </c>
      <c r="X23" s="79">
        <f t="shared" si="6"/>
        <v>1.83212756849315</v>
      </c>
      <c r="Y23" s="79"/>
      <c r="Z23" s="79"/>
      <c r="AA23" s="79">
        <f t="shared" si="7"/>
        <v>1.83212756849315</v>
      </c>
      <c r="AB23" s="90">
        <v>7.15</v>
      </c>
      <c r="AC23" s="76">
        <f t="shared" si="8"/>
        <v>13.099712114726</v>
      </c>
      <c r="AD23" s="76">
        <f t="shared" si="9"/>
        <v>118.773406464041</v>
      </c>
      <c r="AE23" s="76">
        <f t="shared" si="10"/>
        <v>13.726593535959</v>
      </c>
    </row>
    <row r="24" customFormat="1" spans="1:31">
      <c r="A24" s="18"/>
      <c r="B24" s="19"/>
      <c r="C24" s="20">
        <v>240801000010</v>
      </c>
      <c r="D24" s="21">
        <v>45509</v>
      </c>
      <c r="E24" s="21" t="s">
        <v>37</v>
      </c>
      <c r="F24" s="19" t="s">
        <v>38</v>
      </c>
      <c r="G24" s="19" t="s">
        <v>64</v>
      </c>
      <c r="H24" s="19">
        <v>2</v>
      </c>
      <c r="I24" s="43"/>
      <c r="J24" s="44">
        <v>25520</v>
      </c>
      <c r="K24" s="45"/>
      <c r="L24" s="46">
        <f>SUM(J24/M24)</f>
        <v>1659.2977893368</v>
      </c>
      <c r="M24" s="47">
        <v>15.38</v>
      </c>
      <c r="N24" s="48">
        <v>7.15</v>
      </c>
      <c r="O24" s="49">
        <f>SUM(M24*N24)</f>
        <v>109.967</v>
      </c>
      <c r="P24" s="53"/>
      <c r="Q24" s="53"/>
      <c r="R24" s="76">
        <f t="shared" si="3"/>
        <v>84.2277397260274</v>
      </c>
      <c r="S24" s="76"/>
      <c r="T24" s="77">
        <f t="shared" si="4"/>
        <v>0.311215753424658</v>
      </c>
      <c r="U24" s="76"/>
      <c r="V24" s="76"/>
      <c r="W24" s="78">
        <f t="shared" si="5"/>
        <v>84.5389554794521</v>
      </c>
      <c r="X24" s="79">
        <f t="shared" si="6"/>
        <v>1.46570205479452</v>
      </c>
      <c r="Y24" s="79"/>
      <c r="Z24" s="79"/>
      <c r="AA24" s="79">
        <f t="shared" si="7"/>
        <v>1.46570205479452</v>
      </c>
      <c r="AB24" s="90">
        <v>7.15</v>
      </c>
      <c r="AC24" s="76">
        <f t="shared" si="8"/>
        <v>10.4797696917808</v>
      </c>
      <c r="AD24" s="76">
        <f t="shared" si="9"/>
        <v>95.0187251712329</v>
      </c>
      <c r="AE24" s="76">
        <f t="shared" si="10"/>
        <v>14.9482748287671</v>
      </c>
    </row>
    <row r="25" customFormat="1" spans="1:31">
      <c r="A25" s="18"/>
      <c r="B25" s="19"/>
      <c r="C25" s="22">
        <v>240801000011</v>
      </c>
      <c r="D25" s="23">
        <v>45509</v>
      </c>
      <c r="E25" s="21" t="s">
        <v>37</v>
      </c>
      <c r="F25" s="24" t="s">
        <v>38</v>
      </c>
      <c r="G25" s="24" t="s">
        <v>65</v>
      </c>
      <c r="H25" s="24">
        <v>10</v>
      </c>
      <c r="I25" s="51">
        <v>600</v>
      </c>
      <c r="J25" s="52"/>
      <c r="K25" s="45"/>
      <c r="L25" s="19"/>
      <c r="M25" s="45"/>
      <c r="N25" s="48"/>
      <c r="O25" s="49">
        <f t="shared" si="16"/>
        <v>600</v>
      </c>
      <c r="P25" s="53"/>
      <c r="Q25" s="53"/>
      <c r="R25" s="76">
        <f t="shared" si="3"/>
        <v>421.138698630137</v>
      </c>
      <c r="S25" s="76"/>
      <c r="T25" s="77">
        <f t="shared" si="4"/>
        <v>1.55607876712329</v>
      </c>
      <c r="U25" s="76"/>
      <c r="V25" s="76"/>
      <c r="W25" s="78">
        <f t="shared" si="5"/>
        <v>422.69477739726</v>
      </c>
      <c r="X25" s="79">
        <f t="shared" si="6"/>
        <v>7.3285102739726</v>
      </c>
      <c r="Y25" s="79"/>
      <c r="Z25" s="79"/>
      <c r="AA25" s="79">
        <f t="shared" si="7"/>
        <v>7.3285102739726</v>
      </c>
      <c r="AB25" s="90">
        <v>7.15</v>
      </c>
      <c r="AC25" s="76">
        <f t="shared" si="8"/>
        <v>52.3988484589041</v>
      </c>
      <c r="AD25" s="76">
        <f t="shared" si="9"/>
        <v>475.093625856164</v>
      </c>
      <c r="AE25" s="76">
        <f t="shared" si="10"/>
        <v>124.906374143836</v>
      </c>
    </row>
    <row r="26" customFormat="1" spans="1:31">
      <c r="A26" s="18"/>
      <c r="B26" s="19"/>
      <c r="C26" s="20">
        <v>240801000012</v>
      </c>
      <c r="D26" s="21">
        <v>45509</v>
      </c>
      <c r="E26" s="21" t="s">
        <v>37</v>
      </c>
      <c r="F26" s="19" t="s">
        <v>38</v>
      </c>
      <c r="G26" s="19" t="s">
        <v>66</v>
      </c>
      <c r="H26" s="19">
        <v>31</v>
      </c>
      <c r="I26" s="43"/>
      <c r="J26" s="44">
        <v>397358</v>
      </c>
      <c r="K26" s="45"/>
      <c r="L26" s="46">
        <f t="shared" ref="L26:L32" si="17">SUM(J26/M26)</f>
        <v>1580.20361091227</v>
      </c>
      <c r="M26" s="47">
        <v>251.46</v>
      </c>
      <c r="N26" s="48">
        <v>7.15</v>
      </c>
      <c r="O26" s="49">
        <f t="shared" ref="O26:O34" si="18">SUM(M26*N26)</f>
        <v>1797.939</v>
      </c>
      <c r="P26" s="53"/>
      <c r="Q26" s="53"/>
      <c r="R26" s="76">
        <f t="shared" si="3"/>
        <v>1305.52996575342</v>
      </c>
      <c r="S26" s="76"/>
      <c r="T26" s="77">
        <f t="shared" si="4"/>
        <v>4.82384417808219</v>
      </c>
      <c r="U26" s="76"/>
      <c r="V26" s="76"/>
      <c r="W26" s="78">
        <f t="shared" si="5"/>
        <v>1310.35380993151</v>
      </c>
      <c r="X26" s="79">
        <f t="shared" si="6"/>
        <v>22.7183818493151</v>
      </c>
      <c r="Y26" s="79"/>
      <c r="Z26" s="79"/>
      <c r="AA26" s="79">
        <f t="shared" si="7"/>
        <v>22.7183818493151</v>
      </c>
      <c r="AB26" s="90">
        <v>7.15</v>
      </c>
      <c r="AC26" s="76">
        <f t="shared" si="8"/>
        <v>162.436430222603</v>
      </c>
      <c r="AD26" s="76">
        <f t="shared" si="9"/>
        <v>1472.79024015411</v>
      </c>
      <c r="AE26" s="76">
        <f t="shared" si="10"/>
        <v>325.14875984589</v>
      </c>
    </row>
    <row r="27" customFormat="1" spans="1:31">
      <c r="A27" s="18"/>
      <c r="B27" s="19"/>
      <c r="C27" s="20">
        <v>240801000016</v>
      </c>
      <c r="D27" s="21">
        <v>45509</v>
      </c>
      <c r="E27" s="21" t="s">
        <v>41</v>
      </c>
      <c r="F27" s="19" t="s">
        <v>67</v>
      </c>
      <c r="G27" s="19" t="s">
        <v>68</v>
      </c>
      <c r="H27" s="19">
        <v>4</v>
      </c>
      <c r="I27" s="51">
        <v>374</v>
      </c>
      <c r="J27" s="52"/>
      <c r="K27" s="45"/>
      <c r="L27" s="19"/>
      <c r="M27" s="45"/>
      <c r="N27" s="48"/>
      <c r="O27" s="49">
        <f t="shared" si="16"/>
        <v>374</v>
      </c>
      <c r="P27" s="53"/>
      <c r="Q27" s="53"/>
      <c r="R27" s="76">
        <f t="shared" si="3"/>
        <v>168.455479452055</v>
      </c>
      <c r="S27" s="76"/>
      <c r="T27" s="77">
        <f t="shared" si="4"/>
        <v>0.622431506849315</v>
      </c>
      <c r="U27" s="76"/>
      <c r="V27" s="76"/>
      <c r="W27" s="78">
        <f t="shared" si="5"/>
        <v>169.077910958904</v>
      </c>
      <c r="X27" s="79">
        <f t="shared" si="6"/>
        <v>2.93140410958904</v>
      </c>
      <c r="Y27" s="79"/>
      <c r="Z27" s="79"/>
      <c r="AA27" s="79">
        <f t="shared" si="7"/>
        <v>2.93140410958904</v>
      </c>
      <c r="AB27" s="90">
        <v>7.15</v>
      </c>
      <c r="AC27" s="76">
        <f t="shared" si="8"/>
        <v>20.9595393835616</v>
      </c>
      <c r="AD27" s="76">
        <f t="shared" si="9"/>
        <v>190.037450342466</v>
      </c>
      <c r="AE27" s="76">
        <f t="shared" si="10"/>
        <v>183.962549657534</v>
      </c>
    </row>
    <row r="28" customFormat="1" spans="1:31">
      <c r="A28" s="18"/>
      <c r="B28" s="19"/>
      <c r="C28" s="20">
        <v>240801000021</v>
      </c>
      <c r="D28" s="21">
        <v>45509</v>
      </c>
      <c r="E28" s="21" t="s">
        <v>57</v>
      </c>
      <c r="F28" s="19" t="s">
        <v>57</v>
      </c>
      <c r="G28" s="19" t="s">
        <v>69</v>
      </c>
      <c r="H28" s="19">
        <v>2</v>
      </c>
      <c r="I28" s="43">
        <v>177</v>
      </c>
      <c r="J28" s="52"/>
      <c r="K28" s="45"/>
      <c r="L28" s="19"/>
      <c r="M28" s="45"/>
      <c r="N28" s="48"/>
      <c r="O28" s="49">
        <f t="shared" si="16"/>
        <v>177</v>
      </c>
      <c r="P28" s="53"/>
      <c r="Q28" s="53"/>
      <c r="R28" s="76">
        <f t="shared" si="3"/>
        <v>84.2277397260274</v>
      </c>
      <c r="S28" s="76"/>
      <c r="T28" s="77">
        <f t="shared" si="4"/>
        <v>0.311215753424658</v>
      </c>
      <c r="U28" s="76"/>
      <c r="V28" s="76"/>
      <c r="W28" s="78">
        <f t="shared" si="5"/>
        <v>84.5389554794521</v>
      </c>
      <c r="X28" s="79">
        <f t="shared" si="6"/>
        <v>1.46570205479452</v>
      </c>
      <c r="Y28" s="79"/>
      <c r="Z28" s="79"/>
      <c r="AA28" s="79">
        <f t="shared" si="7"/>
        <v>1.46570205479452</v>
      </c>
      <c r="AB28" s="90">
        <v>7.15</v>
      </c>
      <c r="AC28" s="76">
        <f t="shared" si="8"/>
        <v>10.4797696917808</v>
      </c>
      <c r="AD28" s="76">
        <f t="shared" si="9"/>
        <v>95.0187251712329</v>
      </c>
      <c r="AE28" s="76">
        <f t="shared" si="10"/>
        <v>81.9812748287671</v>
      </c>
    </row>
    <row r="29" customFormat="1" spans="1:31">
      <c r="A29" s="18"/>
      <c r="B29" s="19"/>
      <c r="C29" s="20">
        <v>240802000003</v>
      </c>
      <c r="D29" s="21">
        <v>45509</v>
      </c>
      <c r="E29" s="21" t="s">
        <v>44</v>
      </c>
      <c r="F29" s="19" t="s">
        <v>45</v>
      </c>
      <c r="G29" s="19" t="s">
        <v>70</v>
      </c>
      <c r="H29" s="19">
        <v>2</v>
      </c>
      <c r="I29" s="51">
        <v>135</v>
      </c>
      <c r="J29" s="52"/>
      <c r="K29" s="45"/>
      <c r="L29" s="19"/>
      <c r="M29" s="45"/>
      <c r="N29" s="48"/>
      <c r="O29" s="49">
        <f t="shared" si="16"/>
        <v>135</v>
      </c>
      <c r="P29" s="53"/>
      <c r="Q29" s="53"/>
      <c r="R29" s="76">
        <f t="shared" si="3"/>
        <v>84.2277397260274</v>
      </c>
      <c r="S29" s="76"/>
      <c r="T29" s="77">
        <f t="shared" si="4"/>
        <v>0.311215753424658</v>
      </c>
      <c r="U29" s="76"/>
      <c r="V29" s="76"/>
      <c r="W29" s="78">
        <f t="shared" si="5"/>
        <v>84.5389554794521</v>
      </c>
      <c r="X29" s="79">
        <f t="shared" si="6"/>
        <v>1.46570205479452</v>
      </c>
      <c r="Y29" s="79"/>
      <c r="Z29" s="79"/>
      <c r="AA29" s="79">
        <f t="shared" si="7"/>
        <v>1.46570205479452</v>
      </c>
      <c r="AB29" s="90">
        <v>7.15</v>
      </c>
      <c r="AC29" s="76">
        <f t="shared" si="8"/>
        <v>10.4797696917808</v>
      </c>
      <c r="AD29" s="76">
        <f t="shared" si="9"/>
        <v>95.0187251712329</v>
      </c>
      <c r="AE29" s="76">
        <f t="shared" si="10"/>
        <v>39.9812748287671</v>
      </c>
    </row>
    <row r="30" customFormat="1" spans="1:31">
      <c r="A30" s="18"/>
      <c r="B30" s="19"/>
      <c r="C30" s="20">
        <v>240802000007</v>
      </c>
      <c r="D30" s="21">
        <v>45509</v>
      </c>
      <c r="E30" s="21" t="s">
        <v>37</v>
      </c>
      <c r="F30" s="19" t="s">
        <v>38</v>
      </c>
      <c r="G30" s="19" t="s">
        <v>50</v>
      </c>
      <c r="H30" s="19">
        <v>67</v>
      </c>
      <c r="I30" s="43"/>
      <c r="J30" s="44">
        <v>848689</v>
      </c>
      <c r="K30" s="45"/>
      <c r="L30" s="46">
        <f t="shared" si="17"/>
        <v>1708.8615496134</v>
      </c>
      <c r="M30" s="47">
        <v>496.64</v>
      </c>
      <c r="N30" s="48">
        <v>7.15</v>
      </c>
      <c r="O30" s="49">
        <f t="shared" si="18"/>
        <v>3550.976</v>
      </c>
      <c r="P30" s="53"/>
      <c r="Q30" s="53"/>
      <c r="R30" s="76">
        <f t="shared" si="3"/>
        <v>2821.62928082192</v>
      </c>
      <c r="S30" s="76"/>
      <c r="T30" s="77">
        <f t="shared" si="4"/>
        <v>10.425727739726</v>
      </c>
      <c r="U30" s="76"/>
      <c r="V30" s="76"/>
      <c r="W30" s="78">
        <f t="shared" si="5"/>
        <v>2832.05500856164</v>
      </c>
      <c r="X30" s="79">
        <f t="shared" si="6"/>
        <v>49.1010188356164</v>
      </c>
      <c r="Y30" s="79"/>
      <c r="Z30" s="79"/>
      <c r="AA30" s="79">
        <f t="shared" si="7"/>
        <v>49.1010188356164</v>
      </c>
      <c r="AB30" s="90">
        <v>7.15</v>
      </c>
      <c r="AC30" s="76">
        <f t="shared" si="8"/>
        <v>351.072284674658</v>
      </c>
      <c r="AD30" s="76">
        <f t="shared" si="9"/>
        <v>3183.1272932363</v>
      </c>
      <c r="AE30" s="76">
        <f t="shared" si="10"/>
        <v>367.8487067637</v>
      </c>
    </row>
    <row r="31" customFormat="1" spans="1:31">
      <c r="A31" s="18"/>
      <c r="B31" s="19"/>
      <c r="C31" s="20">
        <v>240802000011</v>
      </c>
      <c r="D31" s="21">
        <v>45509</v>
      </c>
      <c r="E31" s="21" t="s">
        <v>37</v>
      </c>
      <c r="F31" s="19" t="s">
        <v>38</v>
      </c>
      <c r="G31" s="19" t="s">
        <v>71</v>
      </c>
      <c r="H31" s="19">
        <v>9</v>
      </c>
      <c r="I31" s="49"/>
      <c r="J31" s="44">
        <v>123700</v>
      </c>
      <c r="K31" s="45"/>
      <c r="L31" s="46">
        <f t="shared" si="17"/>
        <v>1623.99894971774</v>
      </c>
      <c r="M31" s="47">
        <v>76.17</v>
      </c>
      <c r="N31" s="48">
        <v>7.15</v>
      </c>
      <c r="O31" s="49">
        <f t="shared" si="18"/>
        <v>544.6155</v>
      </c>
      <c r="P31" s="53"/>
      <c r="Q31" s="53"/>
      <c r="R31" s="76">
        <f t="shared" si="3"/>
        <v>379.024828767123</v>
      </c>
      <c r="S31" s="76"/>
      <c r="T31" s="77">
        <f t="shared" si="4"/>
        <v>1.40047089041096</v>
      </c>
      <c r="U31" s="76">
        <v>30</v>
      </c>
      <c r="V31" s="76"/>
      <c r="W31" s="78">
        <f t="shared" si="5"/>
        <v>410.425299657534</v>
      </c>
      <c r="X31" s="79">
        <f t="shared" si="6"/>
        <v>6.59565924657534</v>
      </c>
      <c r="Y31" s="79"/>
      <c r="Z31" s="79"/>
      <c r="AA31" s="79">
        <f t="shared" si="7"/>
        <v>6.59565924657534</v>
      </c>
      <c r="AB31" s="90">
        <v>7.15</v>
      </c>
      <c r="AC31" s="76">
        <f t="shared" si="8"/>
        <v>47.1589636130137</v>
      </c>
      <c r="AD31" s="76">
        <f t="shared" si="9"/>
        <v>457.584263270548</v>
      </c>
      <c r="AE31" s="76">
        <f t="shared" si="10"/>
        <v>87.031236729452</v>
      </c>
    </row>
    <row r="32" customFormat="1" spans="1:31">
      <c r="A32" s="18"/>
      <c r="B32" s="19"/>
      <c r="C32" s="20">
        <v>240802000014</v>
      </c>
      <c r="D32" s="21">
        <v>45509</v>
      </c>
      <c r="E32" s="21" t="s">
        <v>51</v>
      </c>
      <c r="F32" s="19" t="s">
        <v>52</v>
      </c>
      <c r="G32" s="19" t="s">
        <v>72</v>
      </c>
      <c r="H32" s="19">
        <v>10</v>
      </c>
      <c r="I32" s="49"/>
      <c r="J32" s="44">
        <v>129757.6</v>
      </c>
      <c r="K32" s="45"/>
      <c r="L32" s="46">
        <f t="shared" si="17"/>
        <v>1624</v>
      </c>
      <c r="M32" s="47">
        <v>79.9</v>
      </c>
      <c r="N32" s="48">
        <v>7.15</v>
      </c>
      <c r="O32" s="49">
        <f t="shared" si="18"/>
        <v>571.285</v>
      </c>
      <c r="P32" s="53"/>
      <c r="Q32" s="53"/>
      <c r="R32" s="76">
        <f t="shared" si="3"/>
        <v>421.138698630137</v>
      </c>
      <c r="S32" s="76"/>
      <c r="T32" s="77">
        <f t="shared" si="4"/>
        <v>1.55607876712329</v>
      </c>
      <c r="U32" s="76"/>
      <c r="V32" s="76"/>
      <c r="W32" s="78">
        <f t="shared" si="5"/>
        <v>422.69477739726</v>
      </c>
      <c r="X32" s="79">
        <f t="shared" si="6"/>
        <v>7.3285102739726</v>
      </c>
      <c r="Y32" s="79"/>
      <c r="Z32" s="79"/>
      <c r="AA32" s="79">
        <f t="shared" si="7"/>
        <v>7.3285102739726</v>
      </c>
      <c r="AB32" s="90">
        <v>7.15</v>
      </c>
      <c r="AC32" s="76">
        <f t="shared" si="8"/>
        <v>52.3988484589041</v>
      </c>
      <c r="AD32" s="76">
        <f t="shared" si="9"/>
        <v>475.093625856164</v>
      </c>
      <c r="AE32" s="76">
        <f t="shared" si="10"/>
        <v>96.1913741438361</v>
      </c>
    </row>
    <row r="33" customFormat="1" spans="1:31">
      <c r="A33" s="18"/>
      <c r="B33" s="19"/>
      <c r="C33" s="20">
        <v>240802000027</v>
      </c>
      <c r="D33" s="21">
        <v>45509</v>
      </c>
      <c r="E33" s="21" t="s">
        <v>41</v>
      </c>
      <c r="F33" s="19" t="s">
        <v>42</v>
      </c>
      <c r="G33" s="19" t="s">
        <v>73</v>
      </c>
      <c r="H33" s="19">
        <v>1.5</v>
      </c>
      <c r="I33" s="43"/>
      <c r="J33" s="44">
        <v>20553</v>
      </c>
      <c r="K33" s="45"/>
      <c r="L33" s="46">
        <f t="shared" ref="L33:L39" si="19">SUM(J33/M33)</f>
        <v>1581</v>
      </c>
      <c r="M33" s="47">
        <v>13</v>
      </c>
      <c r="N33" s="48">
        <v>7.15</v>
      </c>
      <c r="O33" s="49">
        <f t="shared" si="18"/>
        <v>92.95</v>
      </c>
      <c r="P33" s="53"/>
      <c r="Q33" s="53"/>
      <c r="R33" s="76">
        <f t="shared" si="3"/>
        <v>63.1708047945205</v>
      </c>
      <c r="S33" s="76"/>
      <c r="T33" s="77">
        <f t="shared" si="4"/>
        <v>0.233411815068493</v>
      </c>
      <c r="U33" s="76"/>
      <c r="V33" s="76"/>
      <c r="W33" s="78">
        <f t="shared" si="5"/>
        <v>63.404216609589</v>
      </c>
      <c r="X33" s="79">
        <f t="shared" si="6"/>
        <v>1.09927654109589</v>
      </c>
      <c r="Y33" s="79"/>
      <c r="Z33" s="79"/>
      <c r="AA33" s="79">
        <f t="shared" si="7"/>
        <v>1.09927654109589</v>
      </c>
      <c r="AB33" s="90">
        <v>7.15</v>
      </c>
      <c r="AC33" s="76">
        <f t="shared" si="8"/>
        <v>7.85982726883562</v>
      </c>
      <c r="AD33" s="76">
        <f t="shared" si="9"/>
        <v>71.2640438784247</v>
      </c>
      <c r="AE33" s="76">
        <f t="shared" si="10"/>
        <v>21.6859561215753</v>
      </c>
    </row>
    <row r="34" customFormat="1" spans="1:31">
      <c r="A34" s="18"/>
      <c r="B34" s="19"/>
      <c r="C34" s="20">
        <v>240802000030</v>
      </c>
      <c r="D34" s="21">
        <v>45509</v>
      </c>
      <c r="E34" s="21" t="s">
        <v>44</v>
      </c>
      <c r="F34" s="19" t="s">
        <v>45</v>
      </c>
      <c r="G34" s="19" t="s">
        <v>74</v>
      </c>
      <c r="H34" s="19">
        <v>0.54</v>
      </c>
      <c r="I34" s="49"/>
      <c r="J34" s="44">
        <v>14191.2</v>
      </c>
      <c r="K34" s="45"/>
      <c r="L34" s="46">
        <f t="shared" si="19"/>
        <v>1612.63636363636</v>
      </c>
      <c r="M34" s="47">
        <v>8.8</v>
      </c>
      <c r="N34" s="48">
        <v>7.15</v>
      </c>
      <c r="O34" s="49">
        <f t="shared" si="18"/>
        <v>62.92</v>
      </c>
      <c r="P34" s="53"/>
      <c r="Q34" s="53"/>
      <c r="R34" s="76">
        <f t="shared" si="3"/>
        <v>22.7414897260274</v>
      </c>
      <c r="S34" s="76"/>
      <c r="T34" s="77">
        <f t="shared" si="4"/>
        <v>0.0840282534246575</v>
      </c>
      <c r="U34" s="76"/>
      <c r="V34" s="76"/>
      <c r="W34" s="78">
        <f t="shared" si="5"/>
        <v>22.8255179794521</v>
      </c>
      <c r="X34" s="79">
        <f t="shared" si="6"/>
        <v>0.395739554794521</v>
      </c>
      <c r="Y34" s="79"/>
      <c r="Z34" s="79"/>
      <c r="AA34" s="79">
        <f t="shared" si="7"/>
        <v>0.395739554794521</v>
      </c>
      <c r="AB34" s="90">
        <v>7.15</v>
      </c>
      <c r="AC34" s="76">
        <f t="shared" si="8"/>
        <v>2.82953781678082</v>
      </c>
      <c r="AD34" s="76">
        <f t="shared" si="9"/>
        <v>25.6550557962329</v>
      </c>
      <c r="AE34" s="76">
        <f t="shared" si="10"/>
        <v>37.2649442037671</v>
      </c>
    </row>
    <row r="35" customFormat="1" spans="1:31">
      <c r="A35" s="18"/>
      <c r="B35" s="19"/>
      <c r="C35" s="20">
        <v>240802000031</v>
      </c>
      <c r="D35" s="21">
        <v>45509</v>
      </c>
      <c r="E35" s="21" t="s">
        <v>37</v>
      </c>
      <c r="F35" s="19" t="s">
        <v>38</v>
      </c>
      <c r="G35" s="19" t="s">
        <v>75</v>
      </c>
      <c r="H35" s="19">
        <v>4.5</v>
      </c>
      <c r="I35" s="51">
        <v>238.5</v>
      </c>
      <c r="J35" s="52"/>
      <c r="K35" s="45"/>
      <c r="L35" s="19"/>
      <c r="M35" s="45"/>
      <c r="N35" s="48"/>
      <c r="O35" s="49">
        <f>SUM(I35)</f>
        <v>238.5</v>
      </c>
      <c r="P35" s="53"/>
      <c r="Q35" s="53"/>
      <c r="R35" s="76">
        <f t="shared" si="3"/>
        <v>189.512414383562</v>
      </c>
      <c r="S35" s="76"/>
      <c r="T35" s="77">
        <f t="shared" si="4"/>
        <v>0.700235445205479</v>
      </c>
      <c r="U35" s="76"/>
      <c r="V35" s="76"/>
      <c r="W35" s="78">
        <f t="shared" si="5"/>
        <v>190.212649828767</v>
      </c>
      <c r="X35" s="79">
        <f t="shared" si="6"/>
        <v>3.29782962328767</v>
      </c>
      <c r="Y35" s="79"/>
      <c r="Z35" s="79"/>
      <c r="AA35" s="79">
        <f t="shared" si="7"/>
        <v>3.29782962328767</v>
      </c>
      <c r="AB35" s="90">
        <v>7.15</v>
      </c>
      <c r="AC35" s="76">
        <f t="shared" si="8"/>
        <v>23.5794818065069</v>
      </c>
      <c r="AD35" s="76">
        <f t="shared" si="9"/>
        <v>213.792131635274</v>
      </c>
      <c r="AE35" s="76">
        <f t="shared" si="10"/>
        <v>24.707868364726</v>
      </c>
    </row>
    <row r="36" customFormat="1" spans="1:31">
      <c r="A36" s="18"/>
      <c r="B36" s="19"/>
      <c r="C36" s="20">
        <v>240802000039</v>
      </c>
      <c r="D36" s="21">
        <v>45509</v>
      </c>
      <c r="E36" s="21" t="s">
        <v>37</v>
      </c>
      <c r="F36" s="19" t="s">
        <v>38</v>
      </c>
      <c r="G36" s="19" t="s">
        <v>54</v>
      </c>
      <c r="H36" s="19">
        <v>3</v>
      </c>
      <c r="I36" s="43"/>
      <c r="J36" s="44">
        <v>39498</v>
      </c>
      <c r="K36" s="45"/>
      <c r="L36" s="46">
        <f t="shared" si="19"/>
        <v>1623.42786683107</v>
      </c>
      <c r="M36" s="47">
        <v>24.33</v>
      </c>
      <c r="N36" s="48">
        <v>7.15</v>
      </c>
      <c r="O36" s="49">
        <f t="shared" ref="O36:O39" si="20">SUM(M36*N36)</f>
        <v>173.9595</v>
      </c>
      <c r="P36" s="53"/>
      <c r="Q36" s="53"/>
      <c r="R36" s="76">
        <f t="shared" si="3"/>
        <v>126.341609589041</v>
      </c>
      <c r="S36" s="76"/>
      <c r="T36" s="77">
        <f t="shared" si="4"/>
        <v>0.466823630136986</v>
      </c>
      <c r="U36" s="76"/>
      <c r="V36" s="76"/>
      <c r="W36" s="78">
        <f t="shared" si="5"/>
        <v>126.808433219178</v>
      </c>
      <c r="X36" s="79">
        <f t="shared" si="6"/>
        <v>2.19855308219178</v>
      </c>
      <c r="Y36" s="79"/>
      <c r="Z36" s="79"/>
      <c r="AA36" s="79">
        <f t="shared" si="7"/>
        <v>2.19855308219178</v>
      </c>
      <c r="AB36" s="90">
        <v>7.15</v>
      </c>
      <c r="AC36" s="76">
        <f t="shared" si="8"/>
        <v>15.7196545376712</v>
      </c>
      <c r="AD36" s="76">
        <f t="shared" si="9"/>
        <v>142.528087756849</v>
      </c>
      <c r="AE36" s="76">
        <f t="shared" si="10"/>
        <v>31.431412243151</v>
      </c>
    </row>
    <row r="37" customFormat="1" spans="1:31">
      <c r="A37" s="18"/>
      <c r="B37" s="19"/>
      <c r="C37" s="20">
        <v>240802000040</v>
      </c>
      <c r="D37" s="21">
        <v>45509</v>
      </c>
      <c r="E37" s="21" t="s">
        <v>37</v>
      </c>
      <c r="F37" s="19" t="s">
        <v>38</v>
      </c>
      <c r="G37" s="19" t="s">
        <v>76</v>
      </c>
      <c r="H37" s="19">
        <v>60.5</v>
      </c>
      <c r="I37" s="43"/>
      <c r="J37" s="44">
        <v>785592.5</v>
      </c>
      <c r="K37" s="45"/>
      <c r="L37" s="46">
        <f t="shared" si="19"/>
        <v>1751.75600945458</v>
      </c>
      <c r="M37" s="47">
        <v>448.46</v>
      </c>
      <c r="N37" s="48">
        <v>7.15</v>
      </c>
      <c r="O37" s="49">
        <f t="shared" si="20"/>
        <v>3206.489</v>
      </c>
      <c r="P37" s="53"/>
      <c r="Q37" s="53"/>
      <c r="R37" s="76">
        <f t="shared" si="3"/>
        <v>2547.88912671233</v>
      </c>
      <c r="S37" s="76"/>
      <c r="T37" s="77">
        <f t="shared" si="4"/>
        <v>9.41427654109589</v>
      </c>
      <c r="U37" s="76"/>
      <c r="V37" s="76"/>
      <c r="W37" s="78">
        <f t="shared" si="5"/>
        <v>2557.30340325342</v>
      </c>
      <c r="X37" s="79">
        <f t="shared" si="6"/>
        <v>44.3374871575342</v>
      </c>
      <c r="Y37" s="79"/>
      <c r="Z37" s="79"/>
      <c r="AA37" s="79">
        <f t="shared" si="7"/>
        <v>44.3374871575342</v>
      </c>
      <c r="AB37" s="90">
        <v>7.15</v>
      </c>
      <c r="AC37" s="76">
        <f t="shared" ref="AC37:AC46" si="21">SUM(AA37*AB37)</f>
        <v>317.01303317637</v>
      </c>
      <c r="AD37" s="76">
        <f t="shared" si="9"/>
        <v>2874.31643642979</v>
      </c>
      <c r="AE37" s="76">
        <f t="shared" si="10"/>
        <v>332.17256357021</v>
      </c>
    </row>
    <row r="38" customFormat="1" spans="1:31">
      <c r="A38" s="18"/>
      <c r="B38" s="19"/>
      <c r="C38" s="20">
        <v>240802000041</v>
      </c>
      <c r="D38" s="21">
        <v>45509</v>
      </c>
      <c r="E38" s="21" t="s">
        <v>37</v>
      </c>
      <c r="F38" s="19" t="s">
        <v>38</v>
      </c>
      <c r="G38" s="19" t="s">
        <v>54</v>
      </c>
      <c r="H38" s="19">
        <v>3.5</v>
      </c>
      <c r="I38" s="43"/>
      <c r="J38" s="44">
        <v>46081</v>
      </c>
      <c r="K38" s="45"/>
      <c r="L38" s="46">
        <f t="shared" si="19"/>
        <v>1623.14195139133</v>
      </c>
      <c r="M38" s="47">
        <v>28.39</v>
      </c>
      <c r="N38" s="48">
        <v>7.15</v>
      </c>
      <c r="O38" s="49">
        <f t="shared" si="20"/>
        <v>202.9885</v>
      </c>
      <c r="P38" s="54"/>
      <c r="Q38" s="54"/>
      <c r="R38" s="76">
        <f t="shared" si="3"/>
        <v>147.398544520548</v>
      </c>
      <c r="S38" s="76"/>
      <c r="T38" s="77">
        <f t="shared" si="4"/>
        <v>0.544627568493151</v>
      </c>
      <c r="U38" s="76"/>
      <c r="V38" s="76"/>
      <c r="W38" s="78">
        <f t="shared" si="5"/>
        <v>147.943172089041</v>
      </c>
      <c r="X38" s="79">
        <f t="shared" si="6"/>
        <v>2.56497859589041</v>
      </c>
      <c r="Y38" s="79"/>
      <c r="Z38" s="79"/>
      <c r="AA38" s="79">
        <f t="shared" si="7"/>
        <v>2.56497859589041</v>
      </c>
      <c r="AB38" s="90">
        <v>7.15</v>
      </c>
      <c r="AC38" s="76">
        <f t="shared" si="21"/>
        <v>18.3395969606164</v>
      </c>
      <c r="AD38" s="76">
        <f t="shared" ref="AD38:AD46" si="22">SUM(W38+AC38)</f>
        <v>166.282769049658</v>
      </c>
      <c r="AE38" s="76">
        <f t="shared" ref="AE38:AE46" si="23">SUM(O38-AD38)</f>
        <v>36.7057309503425</v>
      </c>
    </row>
    <row r="39" customFormat="1" spans="1:31">
      <c r="A39" s="18" t="s">
        <v>77</v>
      </c>
      <c r="B39" s="19" t="s">
        <v>78</v>
      </c>
      <c r="C39" s="20">
        <v>240731000036</v>
      </c>
      <c r="D39" s="21">
        <v>45510</v>
      </c>
      <c r="E39" s="21" t="s">
        <v>37</v>
      </c>
      <c r="F39" s="19" t="s">
        <v>38</v>
      </c>
      <c r="G39" s="19" t="s">
        <v>79</v>
      </c>
      <c r="H39" s="19">
        <v>8.5</v>
      </c>
      <c r="I39" s="43"/>
      <c r="J39" s="44">
        <v>219895</v>
      </c>
      <c r="K39" s="45"/>
      <c r="L39" s="46">
        <f t="shared" si="19"/>
        <v>1580.15952860017</v>
      </c>
      <c r="M39" s="47">
        <v>139.16</v>
      </c>
      <c r="N39" s="48">
        <v>7.15</v>
      </c>
      <c r="O39" s="49">
        <f t="shared" si="20"/>
        <v>994.994</v>
      </c>
      <c r="P39" s="50">
        <f>SUM(O39:O46)</f>
        <v>4889.91</v>
      </c>
      <c r="Q39" s="50" t="s">
        <v>80</v>
      </c>
      <c r="R39" s="76">
        <f>SUM(2400/32)*H39</f>
        <v>637.5</v>
      </c>
      <c r="S39" s="76"/>
      <c r="T39" s="77">
        <f>SUM(63.65/32)*H39</f>
        <v>16.90703125</v>
      </c>
      <c r="U39" s="76"/>
      <c r="V39" s="77">
        <v>75.5</v>
      </c>
      <c r="W39" s="78">
        <f t="shared" ref="W39:W46" si="24">SUM(R39:V39)</f>
        <v>729.90703125</v>
      </c>
      <c r="X39" s="79">
        <f>SUM(108.19/32)*H39</f>
        <v>28.73796875</v>
      </c>
      <c r="Y39" s="79"/>
      <c r="Z39" s="79"/>
      <c r="AA39" s="79">
        <f t="shared" ref="AA39:AA46" si="25">SUM(X39:Z39)</f>
        <v>28.73796875</v>
      </c>
      <c r="AB39" s="90">
        <v>7.15</v>
      </c>
      <c r="AC39" s="76">
        <f t="shared" si="21"/>
        <v>205.4764765625</v>
      </c>
      <c r="AD39" s="76">
        <f t="shared" si="22"/>
        <v>935.3835078125</v>
      </c>
      <c r="AE39" s="76">
        <f t="shared" si="23"/>
        <v>59.6104921875</v>
      </c>
    </row>
    <row r="40" customFormat="1" spans="1:31">
      <c r="A40" s="18"/>
      <c r="B40" s="19"/>
      <c r="C40" s="20">
        <v>240802000034</v>
      </c>
      <c r="D40" s="21">
        <v>45510</v>
      </c>
      <c r="E40" s="21" t="s">
        <v>37</v>
      </c>
      <c r="F40" s="19" t="s">
        <v>38</v>
      </c>
      <c r="G40" s="19" t="s">
        <v>75</v>
      </c>
      <c r="H40" s="19">
        <v>9</v>
      </c>
      <c r="I40" s="51">
        <v>1035</v>
      </c>
      <c r="J40" s="52"/>
      <c r="K40" s="45"/>
      <c r="L40" s="19"/>
      <c r="M40" s="45"/>
      <c r="N40" s="48"/>
      <c r="O40" s="49">
        <f t="shared" ref="O40:O46" si="26">SUM(I40)</f>
        <v>1035</v>
      </c>
      <c r="P40" s="53"/>
      <c r="Q40" s="53"/>
      <c r="R40" s="76">
        <f t="shared" ref="R40:R46" si="27">SUM(2400/32)*H40</f>
        <v>675</v>
      </c>
      <c r="S40" s="76"/>
      <c r="T40" s="77">
        <f t="shared" ref="T40:T46" si="28">SUM(63.65/32)*H40</f>
        <v>17.9015625</v>
      </c>
      <c r="U40" s="76"/>
      <c r="V40" s="76"/>
      <c r="W40" s="78">
        <f t="shared" si="24"/>
        <v>692.9015625</v>
      </c>
      <c r="X40" s="79">
        <f t="shared" ref="X40:X46" si="29">SUM(108.19/32)*H40</f>
        <v>30.4284375</v>
      </c>
      <c r="Y40" s="79"/>
      <c r="Z40" s="79"/>
      <c r="AA40" s="79">
        <f t="shared" si="25"/>
        <v>30.4284375</v>
      </c>
      <c r="AB40" s="90">
        <v>7.15</v>
      </c>
      <c r="AC40" s="76">
        <f t="shared" si="21"/>
        <v>217.563328125</v>
      </c>
      <c r="AD40" s="76">
        <f t="shared" si="22"/>
        <v>910.464890625</v>
      </c>
      <c r="AE40" s="76">
        <f t="shared" si="23"/>
        <v>124.535109375</v>
      </c>
    </row>
    <row r="41" customFormat="1" spans="1:31">
      <c r="A41" s="18"/>
      <c r="B41" s="19"/>
      <c r="C41" s="20">
        <v>240803000001</v>
      </c>
      <c r="D41" s="21">
        <v>45510</v>
      </c>
      <c r="E41" s="21" t="s">
        <v>41</v>
      </c>
      <c r="F41" s="19" t="s">
        <v>42</v>
      </c>
      <c r="G41" s="19" t="s">
        <v>81</v>
      </c>
      <c r="H41" s="19">
        <v>0.1</v>
      </c>
      <c r="I41" s="43"/>
      <c r="J41" s="44">
        <v>25415</v>
      </c>
      <c r="K41" s="45"/>
      <c r="L41" s="46">
        <f t="shared" ref="L41:L43" si="30">SUM(J41/M41)</f>
        <v>1580.53482587065</v>
      </c>
      <c r="M41" s="47">
        <v>16.08</v>
      </c>
      <c r="N41" s="48">
        <v>7.15</v>
      </c>
      <c r="O41" s="49">
        <f t="shared" ref="O41:O43" si="31">SUM(M41*N41)</f>
        <v>114.972</v>
      </c>
      <c r="P41" s="53"/>
      <c r="Q41" s="53"/>
      <c r="R41" s="76">
        <f t="shared" si="27"/>
        <v>7.5</v>
      </c>
      <c r="S41" s="76"/>
      <c r="T41" s="77">
        <f t="shared" si="28"/>
        <v>0.19890625</v>
      </c>
      <c r="U41" s="76"/>
      <c r="V41" s="76"/>
      <c r="W41" s="78">
        <f t="shared" si="24"/>
        <v>7.69890625</v>
      </c>
      <c r="X41" s="79">
        <f t="shared" si="29"/>
        <v>0.33809375</v>
      </c>
      <c r="Y41" s="79"/>
      <c r="Z41" s="79"/>
      <c r="AA41" s="79">
        <f t="shared" si="25"/>
        <v>0.33809375</v>
      </c>
      <c r="AB41" s="90">
        <v>7.15</v>
      </c>
      <c r="AC41" s="76">
        <f t="shared" si="21"/>
        <v>2.4173703125</v>
      </c>
      <c r="AD41" s="76">
        <f t="shared" si="22"/>
        <v>10.1162765625</v>
      </c>
      <c r="AE41" s="76">
        <f t="shared" si="23"/>
        <v>104.8557234375</v>
      </c>
    </row>
    <row r="42" customFormat="1" spans="1:31">
      <c r="A42" s="18"/>
      <c r="B42" s="19"/>
      <c r="C42" s="20">
        <v>240803000002</v>
      </c>
      <c r="D42" s="21">
        <v>45510</v>
      </c>
      <c r="E42" s="21" t="s">
        <v>41</v>
      </c>
      <c r="F42" s="19" t="s">
        <v>42</v>
      </c>
      <c r="G42" s="19" t="s">
        <v>81</v>
      </c>
      <c r="H42" s="19">
        <v>0.24</v>
      </c>
      <c r="I42" s="43"/>
      <c r="J42" s="44">
        <v>25415</v>
      </c>
      <c r="K42" s="45"/>
      <c r="L42" s="46">
        <f t="shared" si="30"/>
        <v>1580.53482587065</v>
      </c>
      <c r="M42" s="47">
        <v>16.08</v>
      </c>
      <c r="N42" s="48">
        <v>7.15</v>
      </c>
      <c r="O42" s="49">
        <f t="shared" si="31"/>
        <v>114.972</v>
      </c>
      <c r="P42" s="53"/>
      <c r="Q42" s="53"/>
      <c r="R42" s="76">
        <f t="shared" si="27"/>
        <v>18</v>
      </c>
      <c r="S42" s="76"/>
      <c r="T42" s="77">
        <f t="shared" si="28"/>
        <v>0.477375</v>
      </c>
      <c r="U42" s="76"/>
      <c r="V42" s="76"/>
      <c r="W42" s="78">
        <f t="shared" si="24"/>
        <v>18.477375</v>
      </c>
      <c r="X42" s="79">
        <f t="shared" si="29"/>
        <v>0.811425</v>
      </c>
      <c r="Y42" s="79"/>
      <c r="Z42" s="79"/>
      <c r="AA42" s="79">
        <f t="shared" si="25"/>
        <v>0.811425</v>
      </c>
      <c r="AB42" s="90">
        <v>7.15</v>
      </c>
      <c r="AC42" s="76">
        <f t="shared" si="21"/>
        <v>5.80168875</v>
      </c>
      <c r="AD42" s="76">
        <f t="shared" ref="AD42:AD72" si="32">SUM(W42+AC42)</f>
        <v>24.27906375</v>
      </c>
      <c r="AE42" s="76">
        <f t="shared" si="23"/>
        <v>90.69293625</v>
      </c>
    </row>
    <row r="43" customFormat="1" spans="1:31">
      <c r="A43" s="18"/>
      <c r="B43" s="19"/>
      <c r="C43" s="20">
        <v>240803000003</v>
      </c>
      <c r="D43" s="21">
        <v>45510</v>
      </c>
      <c r="E43" s="21" t="s">
        <v>82</v>
      </c>
      <c r="F43" s="19" t="s">
        <v>83</v>
      </c>
      <c r="G43" s="19" t="s">
        <v>84</v>
      </c>
      <c r="H43" s="19">
        <v>0.1</v>
      </c>
      <c r="I43" s="43"/>
      <c r="J43" s="44">
        <v>25415</v>
      </c>
      <c r="K43" s="45"/>
      <c r="L43" s="46">
        <f t="shared" si="30"/>
        <v>1580.53482587065</v>
      </c>
      <c r="M43" s="47">
        <v>16.08</v>
      </c>
      <c r="N43" s="48">
        <v>7.15</v>
      </c>
      <c r="O43" s="49">
        <f t="shared" si="31"/>
        <v>114.972</v>
      </c>
      <c r="P43" s="53"/>
      <c r="Q43" s="53"/>
      <c r="R43" s="76">
        <f t="shared" si="27"/>
        <v>7.5</v>
      </c>
      <c r="S43" s="76"/>
      <c r="T43" s="77">
        <f t="shared" si="28"/>
        <v>0.19890625</v>
      </c>
      <c r="U43" s="76"/>
      <c r="V43" s="76"/>
      <c r="W43" s="78">
        <f t="shared" si="24"/>
        <v>7.69890625</v>
      </c>
      <c r="X43" s="79">
        <f t="shared" si="29"/>
        <v>0.33809375</v>
      </c>
      <c r="Y43" s="79"/>
      <c r="Z43" s="79"/>
      <c r="AA43" s="79">
        <f t="shared" si="25"/>
        <v>0.33809375</v>
      </c>
      <c r="AB43" s="90">
        <v>7.15</v>
      </c>
      <c r="AC43" s="76">
        <f t="shared" si="21"/>
        <v>2.4173703125</v>
      </c>
      <c r="AD43" s="76">
        <f t="shared" si="32"/>
        <v>10.1162765625</v>
      </c>
      <c r="AE43" s="76">
        <f t="shared" si="23"/>
        <v>104.8557234375</v>
      </c>
    </row>
    <row r="44" customFormat="1" spans="1:31">
      <c r="A44" s="18"/>
      <c r="B44" s="19"/>
      <c r="C44" s="20">
        <v>240803000019</v>
      </c>
      <c r="D44" s="21">
        <v>45510</v>
      </c>
      <c r="E44" s="21" t="s">
        <v>41</v>
      </c>
      <c r="F44" s="19" t="s">
        <v>42</v>
      </c>
      <c r="G44" s="19" t="s">
        <v>85</v>
      </c>
      <c r="H44" s="19">
        <v>0.5</v>
      </c>
      <c r="I44" s="51">
        <v>115</v>
      </c>
      <c r="J44" s="52"/>
      <c r="K44" s="45"/>
      <c r="L44" s="19"/>
      <c r="M44" s="45"/>
      <c r="N44" s="48"/>
      <c r="O44" s="49">
        <f t="shared" si="26"/>
        <v>115</v>
      </c>
      <c r="P44" s="53"/>
      <c r="Q44" s="53"/>
      <c r="R44" s="76">
        <f t="shared" si="27"/>
        <v>37.5</v>
      </c>
      <c r="S44" s="76"/>
      <c r="T44" s="77">
        <f t="shared" si="28"/>
        <v>0.99453125</v>
      </c>
      <c r="U44" s="76"/>
      <c r="V44" s="76"/>
      <c r="W44" s="78">
        <f t="shared" si="24"/>
        <v>38.49453125</v>
      </c>
      <c r="X44" s="79">
        <f t="shared" si="29"/>
        <v>1.69046875</v>
      </c>
      <c r="Y44" s="79"/>
      <c r="Z44" s="79"/>
      <c r="AA44" s="79">
        <f t="shared" ref="AA44:AA72" si="33">SUM(X44:Z44)</f>
        <v>1.69046875</v>
      </c>
      <c r="AB44" s="90">
        <v>7.15</v>
      </c>
      <c r="AC44" s="76">
        <f t="shared" ref="AC44:AC72" si="34">SUM(AA44*AB44)</f>
        <v>12.0868515625</v>
      </c>
      <c r="AD44" s="76">
        <f t="shared" si="32"/>
        <v>50.5813828125</v>
      </c>
      <c r="AE44" s="76">
        <f t="shared" si="23"/>
        <v>64.4186171875</v>
      </c>
    </row>
    <row r="45" customFormat="1" spans="1:31">
      <c r="A45" s="18"/>
      <c r="B45" s="19"/>
      <c r="C45" s="20">
        <v>240805000005</v>
      </c>
      <c r="D45" s="21">
        <v>45510</v>
      </c>
      <c r="E45" s="21" t="s">
        <v>37</v>
      </c>
      <c r="F45" s="19" t="s">
        <v>38</v>
      </c>
      <c r="G45" s="19" t="s">
        <v>86</v>
      </c>
      <c r="H45" s="19">
        <v>19</v>
      </c>
      <c r="I45" s="51">
        <v>2230</v>
      </c>
      <c r="J45" s="52"/>
      <c r="K45" s="45"/>
      <c r="L45" s="19"/>
      <c r="M45" s="45"/>
      <c r="N45" s="48"/>
      <c r="O45" s="49">
        <f t="shared" si="26"/>
        <v>2230</v>
      </c>
      <c r="P45" s="53"/>
      <c r="Q45" s="53"/>
      <c r="R45" s="76">
        <f t="shared" si="27"/>
        <v>1425</v>
      </c>
      <c r="S45" s="76"/>
      <c r="T45" s="77">
        <f t="shared" si="28"/>
        <v>37.7921875</v>
      </c>
      <c r="U45" s="76"/>
      <c r="V45" s="76"/>
      <c r="W45" s="78">
        <f t="shared" ref="W45:W72" si="35">SUM(R45:V45)</f>
        <v>1462.7921875</v>
      </c>
      <c r="X45" s="79">
        <f t="shared" si="29"/>
        <v>64.2378125</v>
      </c>
      <c r="Y45" s="79"/>
      <c r="Z45" s="79"/>
      <c r="AA45" s="79">
        <f t="shared" si="33"/>
        <v>64.2378125</v>
      </c>
      <c r="AB45" s="90">
        <v>7.15</v>
      </c>
      <c r="AC45" s="76">
        <f t="shared" si="34"/>
        <v>459.300359375</v>
      </c>
      <c r="AD45" s="76">
        <f t="shared" si="32"/>
        <v>1922.092546875</v>
      </c>
      <c r="AE45" s="76">
        <f t="shared" ref="AE45:AE72" si="36">SUM(O45-AD45)</f>
        <v>307.907453125</v>
      </c>
    </row>
    <row r="46" customFormat="1" spans="1:31">
      <c r="A46" s="18"/>
      <c r="B46" s="19"/>
      <c r="C46" s="20">
        <v>240805000022</v>
      </c>
      <c r="D46" s="21">
        <v>45510</v>
      </c>
      <c r="E46" s="21" t="s">
        <v>37</v>
      </c>
      <c r="F46" s="19" t="s">
        <v>38</v>
      </c>
      <c r="G46" s="19" t="s">
        <v>87</v>
      </c>
      <c r="H46" s="19">
        <v>1.5</v>
      </c>
      <c r="I46" s="51">
        <v>170</v>
      </c>
      <c r="J46" s="52"/>
      <c r="K46" s="45"/>
      <c r="L46" s="19"/>
      <c r="M46" s="45"/>
      <c r="N46" s="48"/>
      <c r="O46" s="49">
        <f t="shared" si="26"/>
        <v>170</v>
      </c>
      <c r="P46" s="54"/>
      <c r="Q46" s="54"/>
      <c r="R46" s="76">
        <f t="shared" si="27"/>
        <v>112.5</v>
      </c>
      <c r="S46" s="76"/>
      <c r="T46" s="77">
        <f t="shared" si="28"/>
        <v>2.98359375</v>
      </c>
      <c r="U46" s="76"/>
      <c r="V46" s="76"/>
      <c r="W46" s="78">
        <f t="shared" si="35"/>
        <v>115.48359375</v>
      </c>
      <c r="X46" s="79">
        <f t="shared" si="29"/>
        <v>5.07140625</v>
      </c>
      <c r="Y46" s="79"/>
      <c r="Z46" s="79"/>
      <c r="AA46" s="79">
        <f t="shared" si="33"/>
        <v>5.07140625</v>
      </c>
      <c r="AB46" s="90">
        <v>7.15</v>
      </c>
      <c r="AC46" s="76">
        <f t="shared" si="34"/>
        <v>36.2605546875</v>
      </c>
      <c r="AD46" s="76">
        <f t="shared" si="32"/>
        <v>151.7441484375</v>
      </c>
      <c r="AE46" s="76">
        <f t="shared" si="36"/>
        <v>18.2558515625</v>
      </c>
    </row>
    <row r="47" customFormat="1" spans="1:31">
      <c r="A47" s="18" t="s">
        <v>88</v>
      </c>
      <c r="B47" s="19" t="s">
        <v>89</v>
      </c>
      <c r="C47" s="20">
        <v>240417000037</v>
      </c>
      <c r="D47" s="21">
        <v>45510</v>
      </c>
      <c r="E47" s="21" t="s">
        <v>41</v>
      </c>
      <c r="F47" s="19" t="s">
        <v>42</v>
      </c>
      <c r="G47" s="19" t="s">
        <v>90</v>
      </c>
      <c r="H47" s="19">
        <v>1.176</v>
      </c>
      <c r="I47" s="43"/>
      <c r="J47" s="44">
        <v>823567</v>
      </c>
      <c r="K47" s="45"/>
      <c r="L47" s="46">
        <f>SUM(J47/M47)</f>
        <v>1483.63718248964</v>
      </c>
      <c r="M47" s="47">
        <v>555.1</v>
      </c>
      <c r="N47" s="48">
        <v>7.15</v>
      </c>
      <c r="O47" s="49">
        <f>SUM(M47*N47)</f>
        <v>3968.965</v>
      </c>
      <c r="P47" s="55">
        <f t="shared" ref="P47:P66" si="37">SUM(O47)</f>
        <v>3968.965</v>
      </c>
      <c r="Q47" s="55" t="s">
        <v>91</v>
      </c>
      <c r="R47" s="80">
        <v>2415.7245</v>
      </c>
      <c r="S47" s="80"/>
      <c r="T47" s="55">
        <v>69.9</v>
      </c>
      <c r="U47" s="80">
        <v>170</v>
      </c>
      <c r="V47" s="80"/>
      <c r="W47" s="78">
        <f t="shared" si="35"/>
        <v>2655.6245</v>
      </c>
      <c r="X47" s="81"/>
      <c r="Y47" s="81"/>
      <c r="Z47" s="81"/>
      <c r="AA47" s="79">
        <f t="shared" si="33"/>
        <v>0</v>
      </c>
      <c r="AB47" s="90">
        <v>7.15</v>
      </c>
      <c r="AC47" s="76">
        <f t="shared" si="34"/>
        <v>0</v>
      </c>
      <c r="AD47" s="76">
        <f t="shared" si="32"/>
        <v>2655.6245</v>
      </c>
      <c r="AE47" s="76">
        <f t="shared" si="36"/>
        <v>1313.3405</v>
      </c>
    </row>
    <row r="48" customFormat="1" spans="1:31">
      <c r="A48" s="18"/>
      <c r="B48" s="19"/>
      <c r="C48" s="20">
        <v>240422000032</v>
      </c>
      <c r="D48" s="21">
        <v>45510</v>
      </c>
      <c r="E48" s="21" t="s">
        <v>44</v>
      </c>
      <c r="F48" s="19" t="s">
        <v>45</v>
      </c>
      <c r="G48" s="19" t="s">
        <v>92</v>
      </c>
      <c r="H48" s="19">
        <v>1.4556</v>
      </c>
      <c r="I48" s="51">
        <v>3078.12</v>
      </c>
      <c r="J48" s="52"/>
      <c r="K48" s="45"/>
      <c r="L48" s="19"/>
      <c r="M48" s="45"/>
      <c r="N48" s="48"/>
      <c r="O48" s="49">
        <f t="shared" ref="O48:O51" si="38">SUM(I48)</f>
        <v>3078.12</v>
      </c>
      <c r="P48" s="55">
        <f t="shared" si="37"/>
        <v>3078.12</v>
      </c>
      <c r="Q48" s="55" t="s">
        <v>91</v>
      </c>
      <c r="R48" s="80">
        <v>2888.63</v>
      </c>
      <c r="S48" s="80"/>
      <c r="T48" s="55"/>
      <c r="U48" s="80"/>
      <c r="V48" s="80"/>
      <c r="W48" s="78">
        <f t="shared" si="35"/>
        <v>2888.63</v>
      </c>
      <c r="X48" s="81"/>
      <c r="Y48" s="81"/>
      <c r="Z48" s="81"/>
      <c r="AA48" s="79">
        <f t="shared" si="33"/>
        <v>0</v>
      </c>
      <c r="AB48" s="90">
        <v>7.15</v>
      </c>
      <c r="AC48" s="76">
        <f t="shared" si="34"/>
        <v>0</v>
      </c>
      <c r="AD48" s="76">
        <f t="shared" si="32"/>
        <v>2888.63</v>
      </c>
      <c r="AE48" s="76">
        <f t="shared" si="36"/>
        <v>189.49</v>
      </c>
    </row>
    <row r="49" customFormat="1" spans="1:31">
      <c r="A49" s="18"/>
      <c r="B49" s="19"/>
      <c r="C49" s="20">
        <v>240423000006</v>
      </c>
      <c r="D49" s="21">
        <v>45510</v>
      </c>
      <c r="E49" s="21" t="s">
        <v>44</v>
      </c>
      <c r="F49" s="19" t="s">
        <v>45</v>
      </c>
      <c r="G49" s="19" t="s">
        <v>92</v>
      </c>
      <c r="H49" s="19">
        <v>0.2385</v>
      </c>
      <c r="I49" s="51">
        <v>505.99</v>
      </c>
      <c r="J49" s="52"/>
      <c r="K49" s="45"/>
      <c r="L49" s="19"/>
      <c r="M49" s="45"/>
      <c r="N49" s="48"/>
      <c r="O49" s="49">
        <f t="shared" si="38"/>
        <v>505.99</v>
      </c>
      <c r="P49" s="55">
        <f t="shared" si="37"/>
        <v>505.99</v>
      </c>
      <c r="Q49" s="55" t="s">
        <v>91</v>
      </c>
      <c r="R49" s="80">
        <v>473.3</v>
      </c>
      <c r="S49" s="80"/>
      <c r="T49" s="55"/>
      <c r="U49" s="80"/>
      <c r="V49" s="80"/>
      <c r="W49" s="78">
        <f t="shared" si="35"/>
        <v>473.3</v>
      </c>
      <c r="X49" s="81"/>
      <c r="Y49" s="81"/>
      <c r="Z49" s="81"/>
      <c r="AA49" s="79">
        <f t="shared" si="33"/>
        <v>0</v>
      </c>
      <c r="AB49" s="90">
        <v>7.15</v>
      </c>
      <c r="AC49" s="76">
        <f t="shared" si="34"/>
        <v>0</v>
      </c>
      <c r="AD49" s="76">
        <f t="shared" si="32"/>
        <v>473.3</v>
      </c>
      <c r="AE49" s="76">
        <f t="shared" si="36"/>
        <v>32.69</v>
      </c>
    </row>
    <row r="50" customFormat="1" spans="1:31">
      <c r="A50" s="18"/>
      <c r="B50" s="19"/>
      <c r="C50" s="20">
        <v>240423000007</v>
      </c>
      <c r="D50" s="21">
        <v>45510</v>
      </c>
      <c r="E50" s="21" t="s">
        <v>44</v>
      </c>
      <c r="F50" s="19" t="s">
        <v>45</v>
      </c>
      <c r="G50" s="19" t="s">
        <v>92</v>
      </c>
      <c r="H50" s="19">
        <v>10.6928</v>
      </c>
      <c r="I50" s="51">
        <v>22558.812</v>
      </c>
      <c r="J50" s="52"/>
      <c r="K50" s="45"/>
      <c r="L50" s="19"/>
      <c r="M50" s="45"/>
      <c r="N50" s="48"/>
      <c r="O50" s="49">
        <f t="shared" si="38"/>
        <v>22558.812</v>
      </c>
      <c r="P50" s="55">
        <f t="shared" si="37"/>
        <v>22558.812</v>
      </c>
      <c r="Q50" s="55" t="s">
        <v>91</v>
      </c>
      <c r="R50" s="80">
        <v>21219.7</v>
      </c>
      <c r="S50" s="80"/>
      <c r="T50" s="55"/>
      <c r="U50" s="80"/>
      <c r="V50" s="80"/>
      <c r="W50" s="78">
        <f t="shared" si="35"/>
        <v>21219.7</v>
      </c>
      <c r="X50" s="81"/>
      <c r="Y50" s="81"/>
      <c r="Z50" s="81"/>
      <c r="AA50" s="79">
        <f t="shared" si="33"/>
        <v>0</v>
      </c>
      <c r="AB50" s="90">
        <v>7.15</v>
      </c>
      <c r="AC50" s="76">
        <f t="shared" si="34"/>
        <v>0</v>
      </c>
      <c r="AD50" s="76">
        <f t="shared" si="32"/>
        <v>21219.7</v>
      </c>
      <c r="AE50" s="76">
        <f t="shared" si="36"/>
        <v>1339.112</v>
      </c>
    </row>
    <row r="51" customFormat="1" spans="1:31">
      <c r="A51" s="18"/>
      <c r="B51" s="19"/>
      <c r="C51" s="20">
        <v>240423000020</v>
      </c>
      <c r="D51" s="21">
        <v>45510</v>
      </c>
      <c r="E51" s="21" t="s">
        <v>41</v>
      </c>
      <c r="F51" s="19" t="s">
        <v>42</v>
      </c>
      <c r="G51" s="19" t="s">
        <v>93</v>
      </c>
      <c r="H51" s="19">
        <v>0.8999</v>
      </c>
      <c r="I51" s="51">
        <v>3194.55</v>
      </c>
      <c r="J51" s="52"/>
      <c r="K51" s="45"/>
      <c r="L51" s="19"/>
      <c r="M51" s="45"/>
      <c r="N51" s="48"/>
      <c r="O51" s="49">
        <f t="shared" si="38"/>
        <v>3194.55</v>
      </c>
      <c r="P51" s="55">
        <f t="shared" si="37"/>
        <v>3194.55</v>
      </c>
      <c r="Q51" s="55" t="s">
        <v>91</v>
      </c>
      <c r="R51" s="80">
        <v>2882.7435</v>
      </c>
      <c r="S51" s="80"/>
      <c r="T51" s="55"/>
      <c r="U51" s="80"/>
      <c r="V51" s="80"/>
      <c r="W51" s="78">
        <f t="shared" si="35"/>
        <v>2882.7435</v>
      </c>
      <c r="X51" s="81"/>
      <c r="Y51" s="81"/>
      <c r="Z51" s="81"/>
      <c r="AA51" s="79">
        <f t="shared" si="33"/>
        <v>0</v>
      </c>
      <c r="AB51" s="90">
        <v>7.15</v>
      </c>
      <c r="AC51" s="76">
        <f t="shared" si="34"/>
        <v>0</v>
      </c>
      <c r="AD51" s="76">
        <f t="shared" si="32"/>
        <v>2882.7435</v>
      </c>
      <c r="AE51" s="76">
        <f t="shared" si="36"/>
        <v>311.8065</v>
      </c>
    </row>
    <row r="52" customFormat="1" spans="1:31">
      <c r="A52" s="18"/>
      <c r="B52" s="19"/>
      <c r="C52" s="20">
        <v>240426000045</v>
      </c>
      <c r="D52" s="21">
        <v>45510</v>
      </c>
      <c r="E52" s="21" t="s">
        <v>44</v>
      </c>
      <c r="F52" s="19" t="s">
        <v>45</v>
      </c>
      <c r="G52" s="19" t="s">
        <v>94</v>
      </c>
      <c r="H52" s="19">
        <v>2.7559</v>
      </c>
      <c r="I52" s="49"/>
      <c r="J52" s="44">
        <v>1709040</v>
      </c>
      <c r="K52" s="45"/>
      <c r="L52" s="46">
        <f>SUM(J52/M52)</f>
        <v>1598.01024797098</v>
      </c>
      <c r="M52" s="47">
        <v>1069.48</v>
      </c>
      <c r="N52" s="48">
        <v>7.15</v>
      </c>
      <c r="O52" s="49">
        <f>SUM(M52*N52)</f>
        <v>7646.782</v>
      </c>
      <c r="P52" s="55">
        <f t="shared" si="37"/>
        <v>7646.782</v>
      </c>
      <c r="Q52" s="55" t="s">
        <v>91</v>
      </c>
      <c r="R52" s="80">
        <v>5469.0615</v>
      </c>
      <c r="S52" s="80"/>
      <c r="T52" s="55"/>
      <c r="U52" s="80"/>
      <c r="V52" s="80">
        <v>1950</v>
      </c>
      <c r="W52" s="78">
        <f t="shared" si="35"/>
        <v>7419.0615</v>
      </c>
      <c r="X52" s="81"/>
      <c r="Y52" s="81"/>
      <c r="Z52" s="81"/>
      <c r="AA52" s="79">
        <f t="shared" si="33"/>
        <v>0</v>
      </c>
      <c r="AB52" s="90">
        <v>7.15</v>
      </c>
      <c r="AC52" s="76">
        <f t="shared" si="34"/>
        <v>0</v>
      </c>
      <c r="AD52" s="76">
        <f t="shared" si="32"/>
        <v>7419.0615</v>
      </c>
      <c r="AE52" s="76">
        <f t="shared" si="36"/>
        <v>227.7205</v>
      </c>
    </row>
    <row r="53" customFormat="1" spans="1:31">
      <c r="A53" s="18"/>
      <c r="B53" s="19"/>
      <c r="C53" s="20">
        <v>240430000009</v>
      </c>
      <c r="D53" s="21">
        <v>45510</v>
      </c>
      <c r="E53" s="21" t="s">
        <v>41</v>
      </c>
      <c r="F53" s="19" t="s">
        <v>42</v>
      </c>
      <c r="G53" s="19" t="s">
        <v>95</v>
      </c>
      <c r="H53" s="19">
        <v>0.2444</v>
      </c>
      <c r="I53" s="51">
        <v>1066</v>
      </c>
      <c r="J53" s="52"/>
      <c r="K53" s="45"/>
      <c r="L53" s="19"/>
      <c r="M53" s="45"/>
      <c r="N53" s="48"/>
      <c r="O53" s="49">
        <f t="shared" ref="O53:O61" si="39">SUM(I53)</f>
        <v>1066</v>
      </c>
      <c r="P53" s="55">
        <f t="shared" si="37"/>
        <v>1066</v>
      </c>
      <c r="Q53" s="55" t="s">
        <v>91</v>
      </c>
      <c r="R53" s="80">
        <v>484.806</v>
      </c>
      <c r="S53" s="80"/>
      <c r="T53" s="55"/>
      <c r="U53" s="80"/>
      <c r="V53" s="80"/>
      <c r="W53" s="78">
        <f t="shared" si="35"/>
        <v>484.806</v>
      </c>
      <c r="X53" s="81"/>
      <c r="Y53" s="81"/>
      <c r="Z53" s="81"/>
      <c r="AA53" s="79">
        <f t="shared" si="33"/>
        <v>0</v>
      </c>
      <c r="AB53" s="90">
        <v>7.15</v>
      </c>
      <c r="AC53" s="76">
        <f t="shared" si="34"/>
        <v>0</v>
      </c>
      <c r="AD53" s="76">
        <f t="shared" si="32"/>
        <v>484.806</v>
      </c>
      <c r="AE53" s="76">
        <f t="shared" si="36"/>
        <v>581.194</v>
      </c>
    </row>
    <row r="54" customFormat="1" spans="1:31">
      <c r="A54" s="18"/>
      <c r="B54" s="19"/>
      <c r="C54" s="20">
        <v>240506000049</v>
      </c>
      <c r="D54" s="21">
        <v>45510</v>
      </c>
      <c r="E54" s="21" t="s">
        <v>57</v>
      </c>
      <c r="F54" s="19" t="s">
        <v>57</v>
      </c>
      <c r="G54" s="19" t="s">
        <v>58</v>
      </c>
      <c r="H54" s="25">
        <v>0.206</v>
      </c>
      <c r="I54" s="51">
        <v>556</v>
      </c>
      <c r="J54" s="52"/>
      <c r="K54" s="45"/>
      <c r="L54" s="19"/>
      <c r="M54" s="45"/>
      <c r="N54" s="48"/>
      <c r="O54" s="49">
        <f t="shared" si="39"/>
        <v>556</v>
      </c>
      <c r="P54" s="55">
        <f t="shared" si="37"/>
        <v>556</v>
      </c>
      <c r="Q54" s="55" t="s">
        <v>91</v>
      </c>
      <c r="R54" s="80">
        <v>510.0165</v>
      </c>
      <c r="S54" s="80"/>
      <c r="T54" s="55"/>
      <c r="U54" s="80"/>
      <c r="V54" s="80"/>
      <c r="W54" s="78">
        <f t="shared" si="35"/>
        <v>510.0165</v>
      </c>
      <c r="X54" s="81"/>
      <c r="Y54" s="81"/>
      <c r="Z54" s="81"/>
      <c r="AA54" s="79">
        <f t="shared" si="33"/>
        <v>0</v>
      </c>
      <c r="AB54" s="90">
        <v>7.15</v>
      </c>
      <c r="AC54" s="76">
        <f t="shared" si="34"/>
        <v>0</v>
      </c>
      <c r="AD54" s="76">
        <f t="shared" si="32"/>
        <v>510.0165</v>
      </c>
      <c r="AE54" s="76">
        <f t="shared" si="36"/>
        <v>45.9835</v>
      </c>
    </row>
    <row r="55" customFormat="1" spans="1:31">
      <c r="A55" s="18"/>
      <c r="B55" s="19"/>
      <c r="C55" s="20">
        <v>240506000052</v>
      </c>
      <c r="D55" s="21">
        <v>45510</v>
      </c>
      <c r="E55" s="21" t="s">
        <v>51</v>
      </c>
      <c r="F55" s="19" t="s">
        <v>52</v>
      </c>
      <c r="G55" s="19" t="s">
        <v>96</v>
      </c>
      <c r="H55" s="19">
        <v>1.9048</v>
      </c>
      <c r="I55" s="49"/>
      <c r="J55" s="52"/>
      <c r="K55" s="47">
        <v>611.2</v>
      </c>
      <c r="L55" s="19"/>
      <c r="M55" s="47">
        <v>611.19995</v>
      </c>
      <c r="N55" s="48">
        <v>7.15</v>
      </c>
      <c r="O55" s="49">
        <f>SUM(M55*N55)</f>
        <v>4370.0796425</v>
      </c>
      <c r="P55" s="55">
        <f t="shared" si="37"/>
        <v>4370.0796425</v>
      </c>
      <c r="Q55" s="55" t="s">
        <v>91</v>
      </c>
      <c r="R55" s="80">
        <v>4256.091</v>
      </c>
      <c r="S55" s="80"/>
      <c r="T55" s="55"/>
      <c r="U55" s="80"/>
      <c r="V55" s="80"/>
      <c r="W55" s="78">
        <f t="shared" si="35"/>
        <v>4256.091</v>
      </c>
      <c r="X55" s="81"/>
      <c r="Y55" s="81"/>
      <c r="Z55" s="81"/>
      <c r="AA55" s="79">
        <f t="shared" si="33"/>
        <v>0</v>
      </c>
      <c r="AB55" s="90">
        <v>7.15</v>
      </c>
      <c r="AC55" s="76">
        <f t="shared" si="34"/>
        <v>0</v>
      </c>
      <c r="AD55" s="76">
        <f t="shared" si="32"/>
        <v>4256.091</v>
      </c>
      <c r="AE55" s="76">
        <f t="shared" si="36"/>
        <v>113.9886425</v>
      </c>
    </row>
    <row r="56" customFormat="1" spans="1:31">
      <c r="A56" s="18"/>
      <c r="B56" s="19"/>
      <c r="C56" s="20">
        <v>240509000007</v>
      </c>
      <c r="D56" s="21">
        <v>45510</v>
      </c>
      <c r="E56" s="21" t="s">
        <v>44</v>
      </c>
      <c r="F56" s="19" t="s">
        <v>45</v>
      </c>
      <c r="G56" s="19" t="s">
        <v>92</v>
      </c>
      <c r="H56" s="25">
        <v>0.734</v>
      </c>
      <c r="I56" s="51">
        <v>1613.23</v>
      </c>
      <c r="J56" s="52"/>
      <c r="K56" s="45"/>
      <c r="L56" s="19"/>
      <c r="M56" s="45"/>
      <c r="N56" s="48"/>
      <c r="O56" s="49">
        <f t="shared" si="39"/>
        <v>1613.23</v>
      </c>
      <c r="P56" s="55">
        <f t="shared" si="37"/>
        <v>1613.23</v>
      </c>
      <c r="Q56" s="55" t="s">
        <v>91</v>
      </c>
      <c r="R56" s="80">
        <v>1512.04</v>
      </c>
      <c r="S56" s="80"/>
      <c r="T56" s="55"/>
      <c r="U56" s="80"/>
      <c r="V56" s="80"/>
      <c r="W56" s="78">
        <f t="shared" si="35"/>
        <v>1512.04</v>
      </c>
      <c r="X56" s="81"/>
      <c r="Y56" s="81"/>
      <c r="Z56" s="81"/>
      <c r="AA56" s="79">
        <f t="shared" si="33"/>
        <v>0</v>
      </c>
      <c r="AB56" s="90">
        <v>7.15</v>
      </c>
      <c r="AC56" s="76">
        <f t="shared" si="34"/>
        <v>0</v>
      </c>
      <c r="AD56" s="76">
        <f t="shared" si="32"/>
        <v>1512.04</v>
      </c>
      <c r="AE56" s="76">
        <f t="shared" si="36"/>
        <v>101.19</v>
      </c>
    </row>
    <row r="57" customFormat="1" spans="1:31">
      <c r="A57" s="18"/>
      <c r="B57" s="19"/>
      <c r="C57" s="20">
        <v>240511000020</v>
      </c>
      <c r="D57" s="21">
        <v>45510</v>
      </c>
      <c r="E57" s="21" t="s">
        <v>41</v>
      </c>
      <c r="F57" s="19" t="s">
        <v>42</v>
      </c>
      <c r="G57" s="19" t="s">
        <v>97</v>
      </c>
      <c r="H57" s="19">
        <v>2.8418</v>
      </c>
      <c r="I57" s="51">
        <v>7884</v>
      </c>
      <c r="J57" s="52"/>
      <c r="K57" s="45"/>
      <c r="L57" s="19"/>
      <c r="M57" s="45"/>
      <c r="N57" s="48"/>
      <c r="O57" s="49">
        <f t="shared" si="39"/>
        <v>7884</v>
      </c>
      <c r="P57" s="55">
        <f t="shared" si="37"/>
        <v>7884</v>
      </c>
      <c r="Q57" s="55" t="s">
        <v>91</v>
      </c>
      <c r="R57" s="80">
        <v>6266.169</v>
      </c>
      <c r="S57" s="80"/>
      <c r="T57" s="55"/>
      <c r="U57" s="80"/>
      <c r="V57" s="80"/>
      <c r="W57" s="78">
        <f t="shared" si="35"/>
        <v>6266.169</v>
      </c>
      <c r="X57" s="81"/>
      <c r="Y57" s="81"/>
      <c r="Z57" s="81"/>
      <c r="AA57" s="79">
        <f t="shared" si="33"/>
        <v>0</v>
      </c>
      <c r="AB57" s="90">
        <v>7.15</v>
      </c>
      <c r="AC57" s="76">
        <f t="shared" si="34"/>
        <v>0</v>
      </c>
      <c r="AD57" s="76">
        <f t="shared" si="32"/>
        <v>6266.169</v>
      </c>
      <c r="AE57" s="76">
        <f t="shared" si="36"/>
        <v>1617.831</v>
      </c>
    </row>
    <row r="58" customFormat="1" spans="1:31">
      <c r="A58" s="18"/>
      <c r="B58" s="19"/>
      <c r="C58" s="20">
        <v>240513000044</v>
      </c>
      <c r="D58" s="21">
        <v>45510</v>
      </c>
      <c r="E58" s="21" t="s">
        <v>44</v>
      </c>
      <c r="F58" s="19" t="s">
        <v>45</v>
      </c>
      <c r="G58" s="19" t="s">
        <v>92</v>
      </c>
      <c r="H58" s="25">
        <v>4.537</v>
      </c>
      <c r="I58" s="51">
        <v>9571.68</v>
      </c>
      <c r="J58" s="52"/>
      <c r="K58" s="45"/>
      <c r="L58" s="19"/>
      <c r="M58" s="45"/>
      <c r="N58" s="48"/>
      <c r="O58" s="49">
        <f t="shared" si="39"/>
        <v>9571.68</v>
      </c>
      <c r="P58" s="55">
        <f t="shared" si="37"/>
        <v>9571.68</v>
      </c>
      <c r="Q58" s="55" t="s">
        <v>91</v>
      </c>
      <c r="R58" s="80">
        <v>9003.456</v>
      </c>
      <c r="S58" s="80"/>
      <c r="T58" s="55"/>
      <c r="U58" s="80"/>
      <c r="V58" s="80"/>
      <c r="W58" s="78">
        <f t="shared" si="35"/>
        <v>9003.456</v>
      </c>
      <c r="X58" s="81"/>
      <c r="Y58" s="81"/>
      <c r="Z58" s="81"/>
      <c r="AA58" s="79">
        <f t="shared" si="33"/>
        <v>0</v>
      </c>
      <c r="AB58" s="90">
        <v>7.15</v>
      </c>
      <c r="AC58" s="76">
        <f t="shared" si="34"/>
        <v>0</v>
      </c>
      <c r="AD58" s="76">
        <f t="shared" si="32"/>
        <v>9003.456</v>
      </c>
      <c r="AE58" s="76">
        <f t="shared" si="36"/>
        <v>568.224</v>
      </c>
    </row>
    <row r="59" customFormat="1" spans="1:31">
      <c r="A59" s="18"/>
      <c r="B59" s="19"/>
      <c r="C59" s="20">
        <v>240513000049</v>
      </c>
      <c r="D59" s="21">
        <v>45510</v>
      </c>
      <c r="E59" s="21" t="s">
        <v>44</v>
      </c>
      <c r="F59" s="19" t="s">
        <v>45</v>
      </c>
      <c r="G59" s="19" t="s">
        <v>92</v>
      </c>
      <c r="H59" s="19">
        <v>0.2282</v>
      </c>
      <c r="I59" s="51">
        <v>484.91003</v>
      </c>
      <c r="J59" s="52"/>
      <c r="K59" s="45"/>
      <c r="L59" s="19"/>
      <c r="M59" s="45"/>
      <c r="N59" s="48"/>
      <c r="O59" s="49">
        <f t="shared" si="39"/>
        <v>484.91003</v>
      </c>
      <c r="P59" s="55">
        <f t="shared" si="37"/>
        <v>484.91003</v>
      </c>
      <c r="Q59" s="55" t="s">
        <v>91</v>
      </c>
      <c r="R59" s="80">
        <v>469.4445</v>
      </c>
      <c r="S59" s="80"/>
      <c r="T59" s="55"/>
      <c r="U59" s="80"/>
      <c r="V59" s="80"/>
      <c r="W59" s="78">
        <f t="shared" si="35"/>
        <v>469.4445</v>
      </c>
      <c r="X59" s="81"/>
      <c r="Y59" s="81"/>
      <c r="Z59" s="81"/>
      <c r="AA59" s="79">
        <f t="shared" si="33"/>
        <v>0</v>
      </c>
      <c r="AB59" s="90">
        <v>7.15</v>
      </c>
      <c r="AC59" s="76">
        <f t="shared" si="34"/>
        <v>0</v>
      </c>
      <c r="AD59" s="76">
        <f t="shared" si="32"/>
        <v>469.4445</v>
      </c>
      <c r="AE59" s="76">
        <f t="shared" si="36"/>
        <v>15.46553</v>
      </c>
    </row>
    <row r="60" customFormat="1" spans="1:31">
      <c r="A60" s="18"/>
      <c r="B60" s="19"/>
      <c r="C60" s="26">
        <v>240523000022</v>
      </c>
      <c r="D60" s="21">
        <v>45510</v>
      </c>
      <c r="E60" s="21" t="s">
        <v>57</v>
      </c>
      <c r="F60" s="19" t="s">
        <v>57</v>
      </c>
      <c r="G60" s="19" t="s">
        <v>98</v>
      </c>
      <c r="H60" s="19">
        <v>0.2559</v>
      </c>
      <c r="I60" s="56">
        <v>1795</v>
      </c>
      <c r="J60" s="52"/>
      <c r="K60" s="45"/>
      <c r="L60" s="19"/>
      <c r="M60" s="45"/>
      <c r="N60" s="48"/>
      <c r="O60" s="49">
        <f t="shared" si="39"/>
        <v>1795</v>
      </c>
      <c r="P60" s="55">
        <f t="shared" si="37"/>
        <v>1795</v>
      </c>
      <c r="Q60" s="55" t="s">
        <v>91</v>
      </c>
      <c r="R60" s="80">
        <v>534.051</v>
      </c>
      <c r="S60" s="80"/>
      <c r="T60" s="55"/>
      <c r="U60" s="80"/>
      <c r="V60" s="80"/>
      <c r="W60" s="78">
        <f t="shared" si="35"/>
        <v>534.051</v>
      </c>
      <c r="X60" s="81"/>
      <c r="Y60" s="81"/>
      <c r="Z60" s="81"/>
      <c r="AA60" s="79">
        <f t="shared" si="33"/>
        <v>0</v>
      </c>
      <c r="AB60" s="90">
        <v>7.15</v>
      </c>
      <c r="AC60" s="76">
        <f t="shared" si="34"/>
        <v>0</v>
      </c>
      <c r="AD60" s="76">
        <f t="shared" si="32"/>
        <v>534.051</v>
      </c>
      <c r="AE60" s="76">
        <f t="shared" si="36"/>
        <v>1260.949</v>
      </c>
    </row>
    <row r="61" customFormat="1" spans="1:31">
      <c r="A61" s="18"/>
      <c r="B61" s="19"/>
      <c r="C61" s="20">
        <v>240613000019</v>
      </c>
      <c r="D61" s="21">
        <v>45510</v>
      </c>
      <c r="E61" s="21" t="s">
        <v>37</v>
      </c>
      <c r="F61" s="19" t="s">
        <v>38</v>
      </c>
      <c r="G61" s="19" t="s">
        <v>99</v>
      </c>
      <c r="H61" s="19">
        <v>1.7727</v>
      </c>
      <c r="I61" s="51">
        <v>3836.7</v>
      </c>
      <c r="J61" s="52"/>
      <c r="K61" s="45"/>
      <c r="L61" s="19"/>
      <c r="M61" s="45"/>
      <c r="N61" s="48"/>
      <c r="O61" s="49">
        <f t="shared" si="39"/>
        <v>3836.7</v>
      </c>
      <c r="P61" s="55">
        <f t="shared" si="37"/>
        <v>3836.7</v>
      </c>
      <c r="Q61" s="55" t="s">
        <v>91</v>
      </c>
      <c r="R61" s="80">
        <v>3648.246</v>
      </c>
      <c r="S61" s="80"/>
      <c r="T61" s="55"/>
      <c r="U61" s="80"/>
      <c r="V61" s="80"/>
      <c r="W61" s="78">
        <f t="shared" si="35"/>
        <v>3648.246</v>
      </c>
      <c r="X61" s="81"/>
      <c r="Y61" s="81"/>
      <c r="Z61" s="81"/>
      <c r="AA61" s="79">
        <f t="shared" si="33"/>
        <v>0</v>
      </c>
      <c r="AB61" s="90">
        <v>7.15</v>
      </c>
      <c r="AC61" s="76">
        <f t="shared" si="34"/>
        <v>0</v>
      </c>
      <c r="AD61" s="76">
        <f t="shared" si="32"/>
        <v>3648.246</v>
      </c>
      <c r="AE61" s="76">
        <f t="shared" si="36"/>
        <v>188.454</v>
      </c>
    </row>
    <row r="62" customFormat="1" spans="1:31">
      <c r="A62" s="18"/>
      <c r="B62" s="19"/>
      <c r="C62" s="20">
        <v>240702000032</v>
      </c>
      <c r="D62" s="21">
        <v>45510</v>
      </c>
      <c r="E62" s="21" t="s">
        <v>57</v>
      </c>
      <c r="F62" s="19" t="s">
        <v>57</v>
      </c>
      <c r="G62" s="19" t="s">
        <v>100</v>
      </c>
      <c r="H62" s="19">
        <v>7.0018</v>
      </c>
      <c r="I62" s="57">
        <v>15692</v>
      </c>
      <c r="J62" s="52"/>
      <c r="K62" s="45"/>
      <c r="L62" s="19"/>
      <c r="M62" s="45"/>
      <c r="N62" s="48"/>
      <c r="O62" s="49">
        <f>SUBTOTAL(9,I62)</f>
        <v>15692</v>
      </c>
      <c r="P62" s="55">
        <f t="shared" si="37"/>
        <v>15692</v>
      </c>
      <c r="Q62" s="55" t="s">
        <v>91</v>
      </c>
      <c r="R62" s="80">
        <v>12865.6605</v>
      </c>
      <c r="S62" s="80"/>
      <c r="T62" s="55"/>
      <c r="U62" s="80"/>
      <c r="V62" s="80"/>
      <c r="W62" s="78">
        <f t="shared" si="35"/>
        <v>12865.6605</v>
      </c>
      <c r="X62" s="81"/>
      <c r="Y62" s="81"/>
      <c r="Z62" s="81"/>
      <c r="AA62" s="79">
        <f t="shared" si="33"/>
        <v>0</v>
      </c>
      <c r="AB62" s="90">
        <v>7.15</v>
      </c>
      <c r="AC62" s="76">
        <f t="shared" si="34"/>
        <v>0</v>
      </c>
      <c r="AD62" s="76">
        <f t="shared" si="32"/>
        <v>12865.6605</v>
      </c>
      <c r="AE62" s="76">
        <f t="shared" si="36"/>
        <v>2826.3395</v>
      </c>
    </row>
    <row r="63" customFormat="1" spans="1:31">
      <c r="A63" s="18"/>
      <c r="B63" s="19"/>
      <c r="C63" s="20">
        <v>240716000033</v>
      </c>
      <c r="D63" s="21">
        <v>45510</v>
      </c>
      <c r="E63" s="21" t="s">
        <v>57</v>
      </c>
      <c r="F63" s="19" t="s">
        <v>57</v>
      </c>
      <c r="G63" s="19" t="s">
        <v>101</v>
      </c>
      <c r="H63" s="19">
        <v>1.5347</v>
      </c>
      <c r="I63" s="51">
        <v>3626.4</v>
      </c>
      <c r="J63" s="52"/>
      <c r="K63" s="45"/>
      <c r="L63" s="19"/>
      <c r="M63" s="45"/>
      <c r="N63" s="48"/>
      <c r="O63" s="49">
        <f t="shared" ref="O63:O66" si="40">SUM(I63)</f>
        <v>3626.4</v>
      </c>
      <c r="P63" s="55">
        <f t="shared" si="37"/>
        <v>3626.4</v>
      </c>
      <c r="Q63" s="55" t="s">
        <v>91</v>
      </c>
      <c r="R63" s="80">
        <v>3270.9705</v>
      </c>
      <c r="S63" s="80"/>
      <c r="T63" s="55"/>
      <c r="U63" s="80"/>
      <c r="V63" s="80"/>
      <c r="W63" s="78">
        <f t="shared" si="35"/>
        <v>3270.9705</v>
      </c>
      <c r="X63" s="81"/>
      <c r="Y63" s="91">
        <v>27.44</v>
      </c>
      <c r="Z63" s="81"/>
      <c r="AA63" s="79">
        <f t="shared" si="33"/>
        <v>27.44</v>
      </c>
      <c r="AB63" s="90">
        <v>7.15</v>
      </c>
      <c r="AC63" s="76">
        <f t="shared" si="34"/>
        <v>196.196</v>
      </c>
      <c r="AD63" s="76">
        <f t="shared" si="32"/>
        <v>3467.1665</v>
      </c>
      <c r="AE63" s="76">
        <f t="shared" si="36"/>
        <v>159.2335</v>
      </c>
    </row>
    <row r="64" customFormat="1" spans="1:31">
      <c r="A64" s="18"/>
      <c r="B64" s="19"/>
      <c r="C64" s="20">
        <v>240716000036</v>
      </c>
      <c r="D64" s="21">
        <v>45510</v>
      </c>
      <c r="E64" s="21" t="s">
        <v>57</v>
      </c>
      <c r="F64" s="19" t="s">
        <v>57</v>
      </c>
      <c r="G64" s="19" t="s">
        <v>102</v>
      </c>
      <c r="H64" s="19">
        <v>0.1268</v>
      </c>
      <c r="I64" s="57">
        <v>520</v>
      </c>
      <c r="J64" s="52"/>
      <c r="K64" s="45"/>
      <c r="L64" s="19"/>
      <c r="M64" s="45"/>
      <c r="N64" s="48"/>
      <c r="O64" s="49">
        <f>SUBTOTAL(9,I64)</f>
        <v>520</v>
      </c>
      <c r="P64" s="55">
        <f t="shared" si="37"/>
        <v>520</v>
      </c>
      <c r="Q64" s="55" t="s">
        <v>91</v>
      </c>
      <c r="R64" s="80">
        <v>279.3735</v>
      </c>
      <c r="S64" s="80"/>
      <c r="T64" s="55"/>
      <c r="U64" s="80"/>
      <c r="V64" s="80"/>
      <c r="W64" s="78">
        <f t="shared" si="35"/>
        <v>279.3735</v>
      </c>
      <c r="X64" s="81"/>
      <c r="Y64" s="81"/>
      <c r="Z64" s="81"/>
      <c r="AA64" s="79">
        <f t="shared" si="33"/>
        <v>0</v>
      </c>
      <c r="AB64" s="90">
        <v>7.15</v>
      </c>
      <c r="AC64" s="76">
        <f t="shared" si="34"/>
        <v>0</v>
      </c>
      <c r="AD64" s="76">
        <f t="shared" si="32"/>
        <v>279.3735</v>
      </c>
      <c r="AE64" s="76">
        <f t="shared" si="36"/>
        <v>240.6265</v>
      </c>
    </row>
    <row r="65" customFormat="1" spans="1:31">
      <c r="A65" s="18"/>
      <c r="B65" s="19"/>
      <c r="C65" s="20">
        <v>240722000033</v>
      </c>
      <c r="D65" s="21">
        <v>45510</v>
      </c>
      <c r="E65" s="21" t="s">
        <v>37</v>
      </c>
      <c r="F65" s="19" t="s">
        <v>38</v>
      </c>
      <c r="G65" s="19" t="s">
        <v>103</v>
      </c>
      <c r="H65" s="19">
        <v>35.0267</v>
      </c>
      <c r="I65" s="51">
        <v>79936.44</v>
      </c>
      <c r="J65" s="52"/>
      <c r="K65" s="45"/>
      <c r="L65" s="19"/>
      <c r="M65" s="45"/>
      <c r="N65" s="48"/>
      <c r="O65" s="49">
        <f t="shared" si="40"/>
        <v>79936.44</v>
      </c>
      <c r="P65" s="55">
        <f t="shared" si="37"/>
        <v>79936.44</v>
      </c>
      <c r="Q65" s="55" t="s">
        <v>91</v>
      </c>
      <c r="R65" s="80">
        <v>66806.21</v>
      </c>
      <c r="S65" s="80"/>
      <c r="T65" s="55"/>
      <c r="U65" s="80"/>
      <c r="V65" s="80"/>
      <c r="W65" s="78">
        <f t="shared" si="35"/>
        <v>66806.21</v>
      </c>
      <c r="X65" s="81"/>
      <c r="Y65" s="91">
        <v>1341.46</v>
      </c>
      <c r="Z65" s="81"/>
      <c r="AA65" s="79">
        <f t="shared" si="33"/>
        <v>1341.46</v>
      </c>
      <c r="AB65" s="90">
        <v>7.15</v>
      </c>
      <c r="AC65" s="76">
        <f t="shared" si="34"/>
        <v>9591.439</v>
      </c>
      <c r="AD65" s="76">
        <f t="shared" si="32"/>
        <v>76397.649</v>
      </c>
      <c r="AE65" s="76">
        <f t="shared" si="36"/>
        <v>3538.791</v>
      </c>
    </row>
    <row r="66" customFormat="1" spans="1:31">
      <c r="A66" s="18"/>
      <c r="B66" s="19"/>
      <c r="C66" s="20">
        <v>240723000023</v>
      </c>
      <c r="D66" s="21">
        <v>45510</v>
      </c>
      <c r="E66" s="21" t="s">
        <v>37</v>
      </c>
      <c r="F66" s="19" t="s">
        <v>38</v>
      </c>
      <c r="G66" s="19" t="s">
        <v>104</v>
      </c>
      <c r="H66" s="19">
        <v>24.0556</v>
      </c>
      <c r="I66" s="51">
        <v>59692.99</v>
      </c>
      <c r="J66" s="52"/>
      <c r="K66" s="45"/>
      <c r="L66" s="19"/>
      <c r="M66" s="45"/>
      <c r="N66" s="48"/>
      <c r="O66" s="49">
        <f t="shared" si="40"/>
        <v>59692.99</v>
      </c>
      <c r="P66" s="55">
        <f t="shared" si="37"/>
        <v>59692.99</v>
      </c>
      <c r="Q66" s="55" t="s">
        <v>91</v>
      </c>
      <c r="R66" s="80">
        <v>47738.544</v>
      </c>
      <c r="S66" s="80"/>
      <c r="T66" s="55"/>
      <c r="U66" s="80"/>
      <c r="V66" s="80"/>
      <c r="W66" s="78">
        <f t="shared" si="35"/>
        <v>47738.544</v>
      </c>
      <c r="X66" s="81"/>
      <c r="Y66" s="91">
        <v>1234.17</v>
      </c>
      <c r="Z66" s="81"/>
      <c r="AA66" s="79">
        <f t="shared" si="33"/>
        <v>1234.17</v>
      </c>
      <c r="AB66" s="90">
        <v>7.15</v>
      </c>
      <c r="AC66" s="76">
        <f t="shared" si="34"/>
        <v>8824.3155</v>
      </c>
      <c r="AD66" s="76">
        <f t="shared" si="32"/>
        <v>56562.8595</v>
      </c>
      <c r="AE66" s="76">
        <f t="shared" si="36"/>
        <v>3130.1305</v>
      </c>
    </row>
    <row r="67" customFormat="1" spans="1:31">
      <c r="A67" s="18" t="s">
        <v>105</v>
      </c>
      <c r="B67" s="19" t="s">
        <v>106</v>
      </c>
      <c r="C67" s="20">
        <v>240802000036</v>
      </c>
      <c r="D67" s="21">
        <v>45510</v>
      </c>
      <c r="E67" s="21" t="s">
        <v>41</v>
      </c>
      <c r="F67" s="19" t="s">
        <v>107</v>
      </c>
      <c r="G67" s="19" t="s">
        <v>108</v>
      </c>
      <c r="H67" s="19">
        <v>2.5</v>
      </c>
      <c r="I67" s="49"/>
      <c r="J67" s="44">
        <v>64850</v>
      </c>
      <c r="K67" s="45"/>
      <c r="L67" s="46">
        <f>SUM(J67/M67)</f>
        <v>1624.09216128224</v>
      </c>
      <c r="M67" s="47">
        <v>39.93</v>
      </c>
      <c r="N67" s="48">
        <v>7.15</v>
      </c>
      <c r="O67" s="49">
        <f>SUM(M67*N67)</f>
        <v>285.4995</v>
      </c>
      <c r="P67" s="50">
        <f>SUM(O67:O72)</f>
        <v>3794.452</v>
      </c>
      <c r="Q67" s="92" t="s">
        <v>80</v>
      </c>
      <c r="R67" s="93">
        <f t="shared" ref="R67:R72" si="41">SUM(2400/32)*H67</f>
        <v>187.5</v>
      </c>
      <c r="S67" s="93"/>
      <c r="T67" s="94">
        <f t="shared" ref="T67:T72" si="42">SUM(63.65/32)*H67</f>
        <v>4.97265625</v>
      </c>
      <c r="U67" s="93"/>
      <c r="V67" s="93"/>
      <c r="W67" s="78">
        <f t="shared" si="35"/>
        <v>192.47265625</v>
      </c>
      <c r="X67" s="95">
        <f t="shared" ref="X67:X72" si="43">SUM(104.99/32)*H67</f>
        <v>8.20234375</v>
      </c>
      <c r="Y67" s="79"/>
      <c r="Z67" s="95"/>
      <c r="AA67" s="79">
        <f t="shared" si="33"/>
        <v>8.20234375</v>
      </c>
      <c r="AB67" s="90">
        <v>7.15</v>
      </c>
      <c r="AC67" s="76">
        <f t="shared" si="34"/>
        <v>58.6467578125</v>
      </c>
      <c r="AD67" s="76">
        <f t="shared" si="32"/>
        <v>251.1194140625</v>
      </c>
      <c r="AE67" s="76">
        <f t="shared" si="36"/>
        <v>34.3800859375</v>
      </c>
    </row>
    <row r="68" customFormat="1" spans="1:31">
      <c r="A68" s="18"/>
      <c r="B68" s="19"/>
      <c r="C68" s="20">
        <v>240802000037</v>
      </c>
      <c r="D68" s="21">
        <v>45510</v>
      </c>
      <c r="E68" s="21" t="s">
        <v>41</v>
      </c>
      <c r="F68" s="19" t="s">
        <v>42</v>
      </c>
      <c r="G68" s="19" t="s">
        <v>109</v>
      </c>
      <c r="H68" s="19">
        <v>0.76</v>
      </c>
      <c r="I68" s="51">
        <v>190</v>
      </c>
      <c r="J68" s="52"/>
      <c r="K68" s="45"/>
      <c r="L68" s="19"/>
      <c r="M68" s="45"/>
      <c r="N68" s="48"/>
      <c r="O68" s="49">
        <f t="shared" ref="O68:O73" si="44">SUM(I68)</f>
        <v>190</v>
      </c>
      <c r="P68" s="53"/>
      <c r="Q68" s="96"/>
      <c r="R68" s="93">
        <f t="shared" si="41"/>
        <v>57</v>
      </c>
      <c r="S68" s="93"/>
      <c r="T68" s="94">
        <f t="shared" si="42"/>
        <v>1.5116875</v>
      </c>
      <c r="U68" s="93"/>
      <c r="V68" s="93"/>
      <c r="W68" s="78">
        <f t="shared" si="35"/>
        <v>58.5116875</v>
      </c>
      <c r="X68" s="95">
        <f t="shared" si="43"/>
        <v>2.4935125</v>
      </c>
      <c r="Y68" s="79"/>
      <c r="Z68" s="95"/>
      <c r="AA68" s="79">
        <f t="shared" si="33"/>
        <v>2.4935125</v>
      </c>
      <c r="AB68" s="90">
        <v>7.15</v>
      </c>
      <c r="AC68" s="76">
        <f t="shared" si="34"/>
        <v>17.828614375</v>
      </c>
      <c r="AD68" s="76">
        <f t="shared" si="32"/>
        <v>76.340301875</v>
      </c>
      <c r="AE68" s="76">
        <f t="shared" si="36"/>
        <v>113.659698125</v>
      </c>
    </row>
    <row r="69" customFormat="1" spans="1:31">
      <c r="A69" s="18"/>
      <c r="B69" s="19"/>
      <c r="C69" s="20">
        <v>240805000010</v>
      </c>
      <c r="D69" s="21">
        <v>45510</v>
      </c>
      <c r="E69" s="21" t="s">
        <v>44</v>
      </c>
      <c r="F69" s="19" t="s">
        <v>45</v>
      </c>
      <c r="G69" s="19" t="s">
        <v>110</v>
      </c>
      <c r="H69" s="19">
        <v>14.5</v>
      </c>
      <c r="I69" s="43"/>
      <c r="J69" s="44">
        <v>400341.5</v>
      </c>
      <c r="K69" s="45"/>
      <c r="L69" s="46">
        <f>SUM(J69/M69)</f>
        <v>1580.19143477403</v>
      </c>
      <c r="M69" s="47">
        <v>253.35</v>
      </c>
      <c r="N69" s="48">
        <v>7.15</v>
      </c>
      <c r="O69" s="49">
        <f>SUM(M69*N69)</f>
        <v>1811.4525</v>
      </c>
      <c r="P69" s="53"/>
      <c r="Q69" s="96"/>
      <c r="R69" s="93">
        <f t="shared" si="41"/>
        <v>1087.5</v>
      </c>
      <c r="S69" s="93"/>
      <c r="T69" s="94">
        <f t="shared" si="42"/>
        <v>28.84140625</v>
      </c>
      <c r="U69" s="93"/>
      <c r="V69" s="94">
        <v>144</v>
      </c>
      <c r="W69" s="78">
        <f t="shared" si="35"/>
        <v>1260.34140625</v>
      </c>
      <c r="X69" s="95">
        <f t="shared" si="43"/>
        <v>47.57359375</v>
      </c>
      <c r="Y69" s="79"/>
      <c r="Z69" s="95"/>
      <c r="AA69" s="79">
        <f t="shared" si="33"/>
        <v>47.57359375</v>
      </c>
      <c r="AB69" s="90">
        <v>7.15</v>
      </c>
      <c r="AC69" s="76">
        <f t="shared" si="34"/>
        <v>340.1511953125</v>
      </c>
      <c r="AD69" s="76">
        <f t="shared" si="32"/>
        <v>1600.4926015625</v>
      </c>
      <c r="AE69" s="76">
        <f t="shared" si="36"/>
        <v>210.9598984375</v>
      </c>
    </row>
    <row r="70" customFormat="1" spans="1:31">
      <c r="A70" s="18"/>
      <c r="B70" s="19"/>
      <c r="C70" s="20">
        <v>240805000019</v>
      </c>
      <c r="D70" s="21">
        <v>45510</v>
      </c>
      <c r="E70" s="21" t="s">
        <v>51</v>
      </c>
      <c r="F70" s="19" t="s">
        <v>52</v>
      </c>
      <c r="G70" s="19" t="s">
        <v>111</v>
      </c>
      <c r="H70" s="19">
        <v>7.5</v>
      </c>
      <c r="I70" s="51">
        <v>900</v>
      </c>
      <c r="J70" s="52"/>
      <c r="K70" s="45"/>
      <c r="L70" s="19"/>
      <c r="M70" s="45"/>
      <c r="N70" s="48"/>
      <c r="O70" s="49">
        <f t="shared" si="44"/>
        <v>900</v>
      </c>
      <c r="P70" s="53"/>
      <c r="Q70" s="96"/>
      <c r="R70" s="93">
        <f t="shared" si="41"/>
        <v>562.5</v>
      </c>
      <c r="S70" s="93"/>
      <c r="T70" s="94">
        <f t="shared" si="42"/>
        <v>14.91796875</v>
      </c>
      <c r="U70" s="93"/>
      <c r="V70" s="93"/>
      <c r="W70" s="78">
        <f t="shared" si="35"/>
        <v>577.41796875</v>
      </c>
      <c r="X70" s="95">
        <f t="shared" si="43"/>
        <v>24.60703125</v>
      </c>
      <c r="Y70" s="79"/>
      <c r="Z70" s="95"/>
      <c r="AA70" s="79">
        <f t="shared" si="33"/>
        <v>24.60703125</v>
      </c>
      <c r="AB70" s="90">
        <v>7.15</v>
      </c>
      <c r="AC70" s="76">
        <f t="shared" si="34"/>
        <v>175.9402734375</v>
      </c>
      <c r="AD70" s="76">
        <f t="shared" ref="AD70:AD101" si="45">SUM(W70+AC70)</f>
        <v>753.3582421875</v>
      </c>
      <c r="AE70" s="76">
        <f t="shared" si="36"/>
        <v>146.6417578125</v>
      </c>
    </row>
    <row r="71" customFormat="1" spans="1:31">
      <c r="A71" s="18"/>
      <c r="B71" s="19"/>
      <c r="C71" s="20">
        <v>240805000028</v>
      </c>
      <c r="D71" s="21">
        <v>45510</v>
      </c>
      <c r="E71" s="21" t="s">
        <v>37</v>
      </c>
      <c r="F71" s="19" t="s">
        <v>38</v>
      </c>
      <c r="G71" s="19" t="s">
        <v>112</v>
      </c>
      <c r="H71" s="19">
        <v>2.5</v>
      </c>
      <c r="I71" s="51">
        <v>362.5</v>
      </c>
      <c r="J71" s="52"/>
      <c r="K71" s="45"/>
      <c r="L71" s="19"/>
      <c r="M71" s="45"/>
      <c r="N71" s="48"/>
      <c r="O71" s="49">
        <f t="shared" si="44"/>
        <v>362.5</v>
      </c>
      <c r="P71" s="53"/>
      <c r="Q71" s="96"/>
      <c r="R71" s="93">
        <f t="shared" si="41"/>
        <v>187.5</v>
      </c>
      <c r="S71" s="93"/>
      <c r="T71" s="94">
        <f t="shared" si="42"/>
        <v>4.97265625</v>
      </c>
      <c r="U71" s="93"/>
      <c r="V71" s="93"/>
      <c r="W71" s="78">
        <f t="shared" ref="W71:W102" si="46">SUM(R71:V71)</f>
        <v>192.47265625</v>
      </c>
      <c r="X71" s="95">
        <f t="shared" si="43"/>
        <v>8.20234375</v>
      </c>
      <c r="Y71" s="79"/>
      <c r="Z71" s="95"/>
      <c r="AA71" s="79">
        <f t="shared" si="33"/>
        <v>8.20234375</v>
      </c>
      <c r="AB71" s="90">
        <v>7.15</v>
      </c>
      <c r="AC71" s="76">
        <f t="shared" si="34"/>
        <v>58.6467578125</v>
      </c>
      <c r="AD71" s="76">
        <f t="shared" si="45"/>
        <v>251.1194140625</v>
      </c>
      <c r="AE71" s="76">
        <f t="shared" ref="AE71:AE102" si="47">SUM(O71-AD71)</f>
        <v>111.3805859375</v>
      </c>
    </row>
    <row r="72" customFormat="1" spans="1:31">
      <c r="A72" s="18"/>
      <c r="B72" s="19"/>
      <c r="C72" s="20">
        <v>240805000046</v>
      </c>
      <c r="D72" s="21">
        <v>45510</v>
      </c>
      <c r="E72" s="21" t="s">
        <v>51</v>
      </c>
      <c r="F72" s="19" t="s">
        <v>52</v>
      </c>
      <c r="G72" s="19" t="s">
        <v>113</v>
      </c>
      <c r="H72" s="19">
        <v>2</v>
      </c>
      <c r="I72" s="51">
        <v>245</v>
      </c>
      <c r="J72" s="52"/>
      <c r="K72" s="45"/>
      <c r="L72" s="19"/>
      <c r="M72" s="45"/>
      <c r="N72" s="48"/>
      <c r="O72" s="49">
        <f t="shared" si="44"/>
        <v>245</v>
      </c>
      <c r="P72" s="54"/>
      <c r="Q72" s="97"/>
      <c r="R72" s="93">
        <f t="shared" si="41"/>
        <v>150</v>
      </c>
      <c r="S72" s="93"/>
      <c r="T72" s="94">
        <f t="shared" si="42"/>
        <v>3.978125</v>
      </c>
      <c r="U72" s="93"/>
      <c r="V72" s="94">
        <v>15</v>
      </c>
      <c r="W72" s="78">
        <f t="shared" si="46"/>
        <v>168.978125</v>
      </c>
      <c r="X72" s="95">
        <f t="shared" si="43"/>
        <v>6.561875</v>
      </c>
      <c r="Y72" s="79"/>
      <c r="Z72" s="95"/>
      <c r="AA72" s="79">
        <f t="shared" si="33"/>
        <v>6.561875</v>
      </c>
      <c r="AB72" s="90">
        <v>7.15</v>
      </c>
      <c r="AC72" s="76">
        <f t="shared" ref="AC72:AC103" si="48">SUM(AA72*AB72)</f>
        <v>46.91740625</v>
      </c>
      <c r="AD72" s="76">
        <f t="shared" si="45"/>
        <v>215.89553125</v>
      </c>
      <c r="AE72" s="76">
        <f t="shared" si="47"/>
        <v>29.10446875</v>
      </c>
    </row>
    <row r="73" customFormat="1" spans="1:31">
      <c r="A73" s="18" t="s">
        <v>114</v>
      </c>
      <c r="B73" s="19" t="s">
        <v>115</v>
      </c>
      <c r="C73" s="20">
        <v>240724000013</v>
      </c>
      <c r="D73" s="21">
        <v>45512</v>
      </c>
      <c r="E73" s="21" t="s">
        <v>41</v>
      </c>
      <c r="F73" s="19" t="s">
        <v>42</v>
      </c>
      <c r="G73" s="19" t="s">
        <v>116</v>
      </c>
      <c r="H73" s="19">
        <v>34.5</v>
      </c>
      <c r="I73" s="51">
        <v>2096</v>
      </c>
      <c r="J73" s="52"/>
      <c r="K73" s="45"/>
      <c r="L73" s="19"/>
      <c r="M73" s="45"/>
      <c r="N73" s="48"/>
      <c r="O73" s="49">
        <f t="shared" si="44"/>
        <v>2096</v>
      </c>
      <c r="P73" s="50">
        <f>SUM(O73:O122)</f>
        <v>93104.30526455</v>
      </c>
      <c r="Q73" s="50" t="s">
        <v>40</v>
      </c>
      <c r="R73" s="76">
        <f>SUM(71408.4/1491)*H73</f>
        <v>1652.30704225352</v>
      </c>
      <c r="S73" s="76"/>
      <c r="T73" s="77">
        <f>SUM(130/1491)*H73</f>
        <v>3.00804828973843</v>
      </c>
      <c r="U73" s="76"/>
      <c r="V73" s="76"/>
      <c r="W73" s="78">
        <f t="shared" si="46"/>
        <v>1655.31509054326</v>
      </c>
      <c r="X73" s="79">
        <f>SUM(994.62/1491)*H73</f>
        <v>23.0143460764588</v>
      </c>
      <c r="Y73" s="79"/>
      <c r="Z73" s="79"/>
      <c r="AA73" s="79">
        <f t="shared" ref="AA73:AA104" si="49">SUM(X73:Z73)</f>
        <v>23.0143460764588</v>
      </c>
      <c r="AB73" s="90">
        <v>7.15</v>
      </c>
      <c r="AC73" s="76">
        <f t="shared" si="48"/>
        <v>164.55257444668</v>
      </c>
      <c r="AD73" s="76">
        <f t="shared" si="45"/>
        <v>1819.86766498994</v>
      </c>
      <c r="AE73" s="76">
        <f t="shared" si="47"/>
        <v>276.132335010061</v>
      </c>
    </row>
    <row r="74" customFormat="1" spans="1:31">
      <c r="A74" s="18"/>
      <c r="B74" s="19"/>
      <c r="C74" s="20">
        <v>240727000011</v>
      </c>
      <c r="D74" s="21">
        <v>45512</v>
      </c>
      <c r="E74" s="21" t="s">
        <v>41</v>
      </c>
      <c r="F74" s="19" t="s">
        <v>42</v>
      </c>
      <c r="G74" s="19" t="s">
        <v>117</v>
      </c>
      <c r="H74" s="19">
        <v>177.5</v>
      </c>
      <c r="I74" s="43"/>
      <c r="J74" s="44">
        <v>2599425</v>
      </c>
      <c r="K74" s="45"/>
      <c r="L74" s="46">
        <f>SUM(J74/M74)</f>
        <v>1608.75417749722</v>
      </c>
      <c r="M74" s="47">
        <v>1615.8</v>
      </c>
      <c r="N74" s="48">
        <v>7.15</v>
      </c>
      <c r="O74" s="49">
        <f>SUM(M74*N74)</f>
        <v>11552.97</v>
      </c>
      <c r="P74" s="53"/>
      <c r="Q74" s="53"/>
      <c r="R74" s="76">
        <f t="shared" ref="R74:R105" si="50">SUM(71408.4/1491)*H74</f>
        <v>8501</v>
      </c>
      <c r="S74" s="76"/>
      <c r="T74" s="77">
        <f t="shared" ref="T74:T105" si="51">SUM(130/1491)*H74</f>
        <v>15.4761904761905</v>
      </c>
      <c r="U74" s="77">
        <v>450</v>
      </c>
      <c r="V74" s="76"/>
      <c r="W74" s="78">
        <f t="shared" si="46"/>
        <v>8966.47619047619</v>
      </c>
      <c r="X74" s="79">
        <f t="shared" ref="X74:X105" si="52">SUM(994.62/1491)*H74</f>
        <v>118.407142857143</v>
      </c>
      <c r="Y74" s="79"/>
      <c r="Z74" s="79"/>
      <c r="AA74" s="79">
        <f t="shared" si="49"/>
        <v>118.407142857143</v>
      </c>
      <c r="AB74" s="90">
        <v>7.15</v>
      </c>
      <c r="AC74" s="76">
        <f t="shared" si="48"/>
        <v>846.611071428571</v>
      </c>
      <c r="AD74" s="76">
        <f t="shared" si="45"/>
        <v>9813.08726190476</v>
      </c>
      <c r="AE74" s="76">
        <f t="shared" si="47"/>
        <v>1739.88273809524</v>
      </c>
    </row>
    <row r="75" customFormat="1" spans="1:31">
      <c r="A75" s="18"/>
      <c r="B75" s="19"/>
      <c r="C75" s="20">
        <v>240729000016</v>
      </c>
      <c r="D75" s="21">
        <v>45512</v>
      </c>
      <c r="E75" s="21" t="s">
        <v>37</v>
      </c>
      <c r="F75" s="19" t="s">
        <v>38</v>
      </c>
      <c r="G75" s="19" t="s">
        <v>118</v>
      </c>
      <c r="H75" s="19">
        <v>2</v>
      </c>
      <c r="I75" s="51">
        <v>137.5</v>
      </c>
      <c r="J75" s="52"/>
      <c r="K75" s="45"/>
      <c r="L75" s="19"/>
      <c r="M75" s="45"/>
      <c r="N75" s="48"/>
      <c r="O75" s="49">
        <f t="shared" ref="O75:O84" si="53">SUM(I75)</f>
        <v>137.5</v>
      </c>
      <c r="P75" s="53"/>
      <c r="Q75" s="53"/>
      <c r="R75" s="76">
        <f t="shared" si="50"/>
        <v>95.7859154929577</v>
      </c>
      <c r="S75" s="76"/>
      <c r="T75" s="77">
        <f t="shared" si="51"/>
        <v>0.174379610999329</v>
      </c>
      <c r="U75" s="76"/>
      <c r="V75" s="76"/>
      <c r="W75" s="78">
        <f t="shared" si="46"/>
        <v>95.9602951039571</v>
      </c>
      <c r="X75" s="79">
        <f t="shared" si="52"/>
        <v>1.33416498993964</v>
      </c>
      <c r="Y75" s="79"/>
      <c r="Z75" s="79"/>
      <c r="AA75" s="79">
        <f t="shared" si="49"/>
        <v>1.33416498993964</v>
      </c>
      <c r="AB75" s="90">
        <v>7.15</v>
      </c>
      <c r="AC75" s="76">
        <f t="shared" si="48"/>
        <v>9.53927967806841</v>
      </c>
      <c r="AD75" s="76">
        <f t="shared" si="45"/>
        <v>105.499574782025</v>
      </c>
      <c r="AE75" s="76">
        <f t="shared" si="47"/>
        <v>32.0004252179745</v>
      </c>
    </row>
    <row r="76" customFormat="1" spans="1:31">
      <c r="A76" s="18"/>
      <c r="B76" s="19"/>
      <c r="C76" s="20">
        <v>240729000024</v>
      </c>
      <c r="D76" s="21">
        <v>45512</v>
      </c>
      <c r="E76" s="21" t="s">
        <v>41</v>
      </c>
      <c r="F76" s="19" t="s">
        <v>42</v>
      </c>
      <c r="G76" s="19" t="s">
        <v>81</v>
      </c>
      <c r="H76" s="19">
        <v>7.5</v>
      </c>
      <c r="I76" s="43"/>
      <c r="J76" s="44">
        <v>106337</v>
      </c>
      <c r="K76" s="45"/>
      <c r="L76" s="46">
        <f>SUM(J76/M76)</f>
        <v>1594.49692607587</v>
      </c>
      <c r="M76" s="47">
        <v>66.69</v>
      </c>
      <c r="N76" s="48">
        <v>7.15</v>
      </c>
      <c r="O76" s="49">
        <f>SUM(M76*N76)</f>
        <v>476.8335</v>
      </c>
      <c r="P76" s="53"/>
      <c r="Q76" s="53"/>
      <c r="R76" s="76">
        <f t="shared" si="50"/>
        <v>359.197183098592</v>
      </c>
      <c r="S76" s="76"/>
      <c r="T76" s="77">
        <f t="shared" si="51"/>
        <v>0.653923541247485</v>
      </c>
      <c r="U76" s="76"/>
      <c r="V76" s="76"/>
      <c r="W76" s="78">
        <f t="shared" si="46"/>
        <v>359.851106639839</v>
      </c>
      <c r="X76" s="79">
        <f t="shared" si="52"/>
        <v>5.00311871227364</v>
      </c>
      <c r="Y76" s="79"/>
      <c r="Z76" s="79"/>
      <c r="AA76" s="79">
        <f t="shared" si="49"/>
        <v>5.00311871227364</v>
      </c>
      <c r="AB76" s="90">
        <v>7.15</v>
      </c>
      <c r="AC76" s="76">
        <f t="shared" si="48"/>
        <v>35.7722987927565</v>
      </c>
      <c r="AD76" s="76">
        <f t="shared" si="45"/>
        <v>395.623405432596</v>
      </c>
      <c r="AE76" s="76">
        <f t="shared" si="47"/>
        <v>81.2100945674044</v>
      </c>
    </row>
    <row r="77" customFormat="1" spans="1:31">
      <c r="A77" s="18"/>
      <c r="B77" s="19"/>
      <c r="C77" s="20">
        <v>240729000033</v>
      </c>
      <c r="D77" s="21">
        <v>45512</v>
      </c>
      <c r="E77" s="21" t="s">
        <v>37</v>
      </c>
      <c r="F77" s="19" t="s">
        <v>38</v>
      </c>
      <c r="G77" s="19" t="s">
        <v>119</v>
      </c>
      <c r="H77" s="19">
        <v>4.5</v>
      </c>
      <c r="I77" s="51">
        <v>292.5</v>
      </c>
      <c r="J77" s="52"/>
      <c r="K77" s="45"/>
      <c r="L77" s="19"/>
      <c r="M77" s="45"/>
      <c r="N77" s="48"/>
      <c r="O77" s="49">
        <f t="shared" si="53"/>
        <v>292.5</v>
      </c>
      <c r="P77" s="53"/>
      <c r="Q77" s="53"/>
      <c r="R77" s="76">
        <f t="shared" si="50"/>
        <v>215.518309859155</v>
      </c>
      <c r="S77" s="76"/>
      <c r="T77" s="77">
        <f t="shared" si="51"/>
        <v>0.392354124748491</v>
      </c>
      <c r="U77" s="76"/>
      <c r="V77" s="76"/>
      <c r="W77" s="78">
        <f t="shared" si="46"/>
        <v>215.910663983903</v>
      </c>
      <c r="X77" s="79">
        <f t="shared" si="52"/>
        <v>3.00187122736418</v>
      </c>
      <c r="Y77" s="79"/>
      <c r="Z77" s="79"/>
      <c r="AA77" s="79">
        <f t="shared" si="49"/>
        <v>3.00187122736418</v>
      </c>
      <c r="AB77" s="90">
        <v>7.15</v>
      </c>
      <c r="AC77" s="76">
        <f t="shared" si="48"/>
        <v>21.4633792756539</v>
      </c>
      <c r="AD77" s="76">
        <f t="shared" si="45"/>
        <v>237.374043259557</v>
      </c>
      <c r="AE77" s="76">
        <f t="shared" si="47"/>
        <v>55.1259567404427</v>
      </c>
    </row>
    <row r="78" customFormat="1" spans="1:31">
      <c r="A78" s="18"/>
      <c r="B78" s="19"/>
      <c r="C78" s="20">
        <v>240729000044</v>
      </c>
      <c r="D78" s="21">
        <v>45512</v>
      </c>
      <c r="E78" s="21" t="s">
        <v>44</v>
      </c>
      <c r="F78" s="19" t="s">
        <v>45</v>
      </c>
      <c r="G78" s="19" t="s">
        <v>120</v>
      </c>
      <c r="H78" s="19">
        <v>2</v>
      </c>
      <c r="I78" s="51">
        <v>135</v>
      </c>
      <c r="J78" s="52"/>
      <c r="K78" s="45"/>
      <c r="L78" s="19"/>
      <c r="M78" s="45"/>
      <c r="N78" s="48"/>
      <c r="O78" s="49">
        <f t="shared" si="53"/>
        <v>135</v>
      </c>
      <c r="P78" s="53"/>
      <c r="Q78" s="53"/>
      <c r="R78" s="76">
        <f t="shared" si="50"/>
        <v>95.7859154929577</v>
      </c>
      <c r="S78" s="76"/>
      <c r="T78" s="77">
        <f t="shared" si="51"/>
        <v>0.174379610999329</v>
      </c>
      <c r="U78" s="76"/>
      <c r="V78" s="76"/>
      <c r="W78" s="78">
        <f t="shared" si="46"/>
        <v>95.9602951039571</v>
      </c>
      <c r="X78" s="79">
        <f t="shared" si="52"/>
        <v>1.33416498993964</v>
      </c>
      <c r="Y78" s="79"/>
      <c r="Z78" s="79"/>
      <c r="AA78" s="79">
        <f t="shared" si="49"/>
        <v>1.33416498993964</v>
      </c>
      <c r="AB78" s="90">
        <v>7.15</v>
      </c>
      <c r="AC78" s="76">
        <f t="shared" si="48"/>
        <v>9.53927967806841</v>
      </c>
      <c r="AD78" s="76">
        <f t="shared" si="45"/>
        <v>105.499574782025</v>
      </c>
      <c r="AE78" s="76">
        <f t="shared" si="47"/>
        <v>29.5004252179745</v>
      </c>
    </row>
    <row r="79" customFormat="1" spans="1:31">
      <c r="A79" s="18"/>
      <c r="B79" s="19"/>
      <c r="C79" s="20">
        <v>240729000049</v>
      </c>
      <c r="D79" s="21">
        <v>45512</v>
      </c>
      <c r="E79" s="21" t="s">
        <v>41</v>
      </c>
      <c r="F79" s="19" t="s">
        <v>121</v>
      </c>
      <c r="G79" s="19" t="s">
        <v>121</v>
      </c>
      <c r="H79" s="19">
        <v>0.55</v>
      </c>
      <c r="I79" s="51">
        <v>88.2</v>
      </c>
      <c r="J79" s="52"/>
      <c r="K79" s="45"/>
      <c r="L79" s="19"/>
      <c r="M79" s="45"/>
      <c r="N79" s="48"/>
      <c r="O79" s="49">
        <f t="shared" si="53"/>
        <v>88.2</v>
      </c>
      <c r="P79" s="53"/>
      <c r="Q79" s="53"/>
      <c r="R79" s="76">
        <f t="shared" si="50"/>
        <v>26.3411267605634</v>
      </c>
      <c r="S79" s="76"/>
      <c r="T79" s="77">
        <f t="shared" si="51"/>
        <v>0.0479543930248156</v>
      </c>
      <c r="U79" s="76"/>
      <c r="V79" s="76"/>
      <c r="W79" s="78">
        <f t="shared" si="46"/>
        <v>26.3890811535882</v>
      </c>
      <c r="X79" s="79">
        <f t="shared" si="52"/>
        <v>0.3668953722334</v>
      </c>
      <c r="Y79" s="79"/>
      <c r="Z79" s="79"/>
      <c r="AA79" s="79">
        <f t="shared" si="49"/>
        <v>0.3668953722334</v>
      </c>
      <c r="AB79" s="90">
        <v>7.15</v>
      </c>
      <c r="AC79" s="76">
        <f t="shared" si="48"/>
        <v>2.62330191146881</v>
      </c>
      <c r="AD79" s="76">
        <f t="shared" si="45"/>
        <v>29.012383065057</v>
      </c>
      <c r="AE79" s="76">
        <f t="shared" si="47"/>
        <v>59.187616934943</v>
      </c>
    </row>
    <row r="80" customFormat="1" spans="1:31">
      <c r="A80" s="18"/>
      <c r="B80" s="19"/>
      <c r="C80" s="20">
        <v>240730000006</v>
      </c>
      <c r="D80" s="21">
        <v>45512</v>
      </c>
      <c r="E80" s="21" t="s">
        <v>51</v>
      </c>
      <c r="F80" s="19" t="s">
        <v>52</v>
      </c>
      <c r="G80" s="19" t="s">
        <v>122</v>
      </c>
      <c r="H80" s="19">
        <v>14</v>
      </c>
      <c r="I80" s="51">
        <v>884.4</v>
      </c>
      <c r="J80" s="52"/>
      <c r="K80" s="45"/>
      <c r="L80" s="19"/>
      <c r="M80" s="45"/>
      <c r="N80" s="48"/>
      <c r="O80" s="49">
        <f t="shared" si="53"/>
        <v>884.4</v>
      </c>
      <c r="P80" s="53"/>
      <c r="Q80" s="53"/>
      <c r="R80" s="76">
        <f t="shared" si="50"/>
        <v>670.501408450704</v>
      </c>
      <c r="S80" s="76"/>
      <c r="T80" s="77">
        <f t="shared" si="51"/>
        <v>1.22065727699531</v>
      </c>
      <c r="U80" s="76"/>
      <c r="V80" s="76"/>
      <c r="W80" s="78">
        <f t="shared" si="46"/>
        <v>671.722065727699</v>
      </c>
      <c r="X80" s="79">
        <f t="shared" si="52"/>
        <v>9.33915492957746</v>
      </c>
      <c r="Y80" s="79"/>
      <c r="Z80" s="79"/>
      <c r="AA80" s="79">
        <f t="shared" si="49"/>
        <v>9.33915492957746</v>
      </c>
      <c r="AB80" s="90">
        <v>7.15</v>
      </c>
      <c r="AC80" s="76">
        <f t="shared" si="48"/>
        <v>66.7749577464789</v>
      </c>
      <c r="AD80" s="76">
        <f t="shared" si="45"/>
        <v>738.497023474178</v>
      </c>
      <c r="AE80" s="76">
        <f t="shared" si="47"/>
        <v>145.902976525822</v>
      </c>
    </row>
    <row r="81" customFormat="1" spans="1:31">
      <c r="A81" s="18"/>
      <c r="B81" s="19"/>
      <c r="C81" s="20">
        <v>240730000011</v>
      </c>
      <c r="D81" s="21">
        <v>45512</v>
      </c>
      <c r="E81" s="21" t="s">
        <v>41</v>
      </c>
      <c r="F81" s="19" t="s">
        <v>42</v>
      </c>
      <c r="G81" s="19" t="s">
        <v>43</v>
      </c>
      <c r="H81" s="19">
        <v>0.6</v>
      </c>
      <c r="I81" s="51">
        <v>69</v>
      </c>
      <c r="J81" s="52"/>
      <c r="K81" s="45"/>
      <c r="L81" s="19"/>
      <c r="M81" s="45"/>
      <c r="N81" s="48"/>
      <c r="O81" s="49">
        <f t="shared" si="53"/>
        <v>69</v>
      </c>
      <c r="P81" s="53"/>
      <c r="Q81" s="53"/>
      <c r="R81" s="76">
        <f t="shared" si="50"/>
        <v>28.7357746478873</v>
      </c>
      <c r="S81" s="76"/>
      <c r="T81" s="77">
        <f t="shared" si="51"/>
        <v>0.0523138832997988</v>
      </c>
      <c r="U81" s="76"/>
      <c r="V81" s="76"/>
      <c r="W81" s="78">
        <f t="shared" si="46"/>
        <v>28.7880885311871</v>
      </c>
      <c r="X81" s="79">
        <f t="shared" si="52"/>
        <v>0.400249496981891</v>
      </c>
      <c r="Y81" s="79"/>
      <c r="Z81" s="79"/>
      <c r="AA81" s="79">
        <f t="shared" si="49"/>
        <v>0.400249496981891</v>
      </c>
      <c r="AB81" s="90">
        <v>7.15</v>
      </c>
      <c r="AC81" s="76">
        <f t="shared" si="48"/>
        <v>2.86178390342052</v>
      </c>
      <c r="AD81" s="76">
        <f t="shared" si="45"/>
        <v>31.6498724346076</v>
      </c>
      <c r="AE81" s="76">
        <f t="shared" si="47"/>
        <v>37.3501275653924</v>
      </c>
    </row>
    <row r="82" customFormat="1" spans="1:31">
      <c r="A82" s="18"/>
      <c r="B82" s="19"/>
      <c r="C82" s="20">
        <v>240730000012</v>
      </c>
      <c r="D82" s="21">
        <v>45512</v>
      </c>
      <c r="E82" s="21" t="s">
        <v>41</v>
      </c>
      <c r="F82" s="19" t="s">
        <v>42</v>
      </c>
      <c r="G82" s="19" t="s">
        <v>123</v>
      </c>
      <c r="H82" s="19">
        <v>50</v>
      </c>
      <c r="I82" s="51">
        <v>3033.8</v>
      </c>
      <c r="J82" s="52"/>
      <c r="K82" s="45"/>
      <c r="L82" s="19"/>
      <c r="M82" s="45"/>
      <c r="N82" s="48"/>
      <c r="O82" s="49">
        <f t="shared" si="53"/>
        <v>3033.8</v>
      </c>
      <c r="P82" s="53"/>
      <c r="Q82" s="53"/>
      <c r="R82" s="76">
        <f t="shared" si="50"/>
        <v>2394.64788732394</v>
      </c>
      <c r="S82" s="76"/>
      <c r="T82" s="77">
        <f t="shared" si="51"/>
        <v>4.35949027498323</v>
      </c>
      <c r="U82" s="76"/>
      <c r="V82" s="76"/>
      <c r="W82" s="78">
        <f t="shared" si="46"/>
        <v>2399.00737759893</v>
      </c>
      <c r="X82" s="79">
        <f t="shared" si="52"/>
        <v>33.3541247484909</v>
      </c>
      <c r="Y82" s="79"/>
      <c r="Z82" s="79"/>
      <c r="AA82" s="79">
        <f t="shared" si="49"/>
        <v>33.3541247484909</v>
      </c>
      <c r="AB82" s="90">
        <v>7.15</v>
      </c>
      <c r="AC82" s="76">
        <f t="shared" si="48"/>
        <v>238.48199195171</v>
      </c>
      <c r="AD82" s="76">
        <f t="shared" si="45"/>
        <v>2637.48936955064</v>
      </c>
      <c r="AE82" s="76">
        <f t="shared" si="47"/>
        <v>396.310630449363</v>
      </c>
    </row>
    <row r="83" customFormat="1" spans="1:31">
      <c r="A83" s="18"/>
      <c r="B83" s="19"/>
      <c r="C83" s="20">
        <v>240730000014</v>
      </c>
      <c r="D83" s="21">
        <v>45512</v>
      </c>
      <c r="E83" s="21" t="s">
        <v>41</v>
      </c>
      <c r="F83" s="19" t="s">
        <v>42</v>
      </c>
      <c r="G83" s="19" t="s">
        <v>124</v>
      </c>
      <c r="H83" s="19">
        <v>7</v>
      </c>
      <c r="I83" s="51">
        <v>550.5</v>
      </c>
      <c r="J83" s="52"/>
      <c r="K83" s="45"/>
      <c r="L83" s="19"/>
      <c r="M83" s="45"/>
      <c r="N83" s="48"/>
      <c r="O83" s="49">
        <f t="shared" si="53"/>
        <v>550.5</v>
      </c>
      <c r="P83" s="53"/>
      <c r="Q83" s="53"/>
      <c r="R83" s="76">
        <f t="shared" si="50"/>
        <v>335.250704225352</v>
      </c>
      <c r="S83" s="76"/>
      <c r="T83" s="77">
        <f t="shared" si="51"/>
        <v>0.610328638497653</v>
      </c>
      <c r="U83" s="76"/>
      <c r="V83" s="76"/>
      <c r="W83" s="78">
        <f t="shared" si="46"/>
        <v>335.86103286385</v>
      </c>
      <c r="X83" s="79">
        <f t="shared" si="52"/>
        <v>4.66957746478873</v>
      </c>
      <c r="Y83" s="79">
        <v>14.46</v>
      </c>
      <c r="Z83" s="79"/>
      <c r="AA83" s="79">
        <f t="shared" si="49"/>
        <v>19.1295774647887</v>
      </c>
      <c r="AB83" s="90">
        <v>7.15</v>
      </c>
      <c r="AC83" s="76">
        <f t="shared" si="48"/>
        <v>136.776478873239</v>
      </c>
      <c r="AD83" s="76">
        <f t="shared" si="45"/>
        <v>472.637511737089</v>
      </c>
      <c r="AE83" s="76">
        <f t="shared" si="47"/>
        <v>77.8624882629108</v>
      </c>
    </row>
    <row r="84" customFormat="1" spans="1:31">
      <c r="A84" s="18"/>
      <c r="B84" s="19"/>
      <c r="C84" s="20">
        <v>240730000021</v>
      </c>
      <c r="D84" s="21">
        <v>45512</v>
      </c>
      <c r="E84" s="21" t="s">
        <v>41</v>
      </c>
      <c r="F84" s="19" t="s">
        <v>125</v>
      </c>
      <c r="G84" s="19" t="s">
        <v>126</v>
      </c>
      <c r="H84" s="19">
        <v>10.5</v>
      </c>
      <c r="I84" s="51">
        <v>934.5</v>
      </c>
      <c r="J84" s="52"/>
      <c r="K84" s="45"/>
      <c r="L84" s="19"/>
      <c r="M84" s="45"/>
      <c r="N84" s="48"/>
      <c r="O84" s="49">
        <f t="shared" si="53"/>
        <v>934.5</v>
      </c>
      <c r="P84" s="53"/>
      <c r="Q84" s="53"/>
      <c r="R84" s="76">
        <f t="shared" si="50"/>
        <v>502.876056338028</v>
      </c>
      <c r="S84" s="76"/>
      <c r="T84" s="77">
        <f t="shared" si="51"/>
        <v>0.915492957746479</v>
      </c>
      <c r="U84" s="76"/>
      <c r="V84" s="76"/>
      <c r="W84" s="78">
        <f t="shared" si="46"/>
        <v>503.791549295775</v>
      </c>
      <c r="X84" s="79">
        <f t="shared" si="52"/>
        <v>7.0043661971831</v>
      </c>
      <c r="Y84" s="79"/>
      <c r="Z84" s="79"/>
      <c r="AA84" s="79">
        <f t="shared" si="49"/>
        <v>7.0043661971831</v>
      </c>
      <c r="AB84" s="90">
        <v>7.15</v>
      </c>
      <c r="AC84" s="76">
        <f t="shared" si="48"/>
        <v>50.0812183098592</v>
      </c>
      <c r="AD84" s="76">
        <f t="shared" si="45"/>
        <v>553.872767605634</v>
      </c>
      <c r="AE84" s="76">
        <f t="shared" si="47"/>
        <v>380.627232394366</v>
      </c>
    </row>
    <row r="85" customFormat="1" spans="1:31">
      <c r="A85" s="18"/>
      <c r="B85" s="19"/>
      <c r="C85" s="20">
        <v>240730000037</v>
      </c>
      <c r="D85" s="21">
        <v>45512</v>
      </c>
      <c r="E85" s="21" t="s">
        <v>127</v>
      </c>
      <c r="F85" s="19" t="s">
        <v>128</v>
      </c>
      <c r="G85" s="19" t="s">
        <v>129</v>
      </c>
      <c r="H85" s="19">
        <v>97</v>
      </c>
      <c r="I85" s="49"/>
      <c r="J85" s="44">
        <v>1159496</v>
      </c>
      <c r="K85" s="45"/>
      <c r="L85" s="46">
        <f>SUM(J85/M85)</f>
        <v>1623.71647535547</v>
      </c>
      <c r="M85" s="47">
        <v>714.10004</v>
      </c>
      <c r="N85" s="48">
        <v>7.15</v>
      </c>
      <c r="O85" s="49">
        <f>SUM(M85*N85)</f>
        <v>5105.815286</v>
      </c>
      <c r="P85" s="53"/>
      <c r="Q85" s="53"/>
      <c r="R85" s="76">
        <f t="shared" si="50"/>
        <v>4645.61690140845</v>
      </c>
      <c r="S85" s="76"/>
      <c r="T85" s="77">
        <f t="shared" si="51"/>
        <v>8.45741113346747</v>
      </c>
      <c r="U85" s="76">
        <v>40</v>
      </c>
      <c r="V85" s="76"/>
      <c r="W85" s="78">
        <f t="shared" si="46"/>
        <v>4694.07431254192</v>
      </c>
      <c r="X85" s="79">
        <f t="shared" si="52"/>
        <v>64.7070020120724</v>
      </c>
      <c r="Y85" s="79"/>
      <c r="Z85" s="79"/>
      <c r="AA85" s="79">
        <f t="shared" si="49"/>
        <v>64.7070020120724</v>
      </c>
      <c r="AB85" s="90">
        <v>7.15</v>
      </c>
      <c r="AC85" s="76">
        <f t="shared" si="48"/>
        <v>462.655064386318</v>
      </c>
      <c r="AD85" s="76">
        <f t="shared" si="45"/>
        <v>5156.72937692824</v>
      </c>
      <c r="AE85" s="76">
        <f t="shared" si="47"/>
        <v>-50.9140909282369</v>
      </c>
    </row>
    <row r="86" customFormat="1" spans="1:31">
      <c r="A86" s="18"/>
      <c r="B86" s="19"/>
      <c r="C86" s="20">
        <v>240730000044</v>
      </c>
      <c r="D86" s="21">
        <v>45512</v>
      </c>
      <c r="E86" s="21" t="s">
        <v>41</v>
      </c>
      <c r="F86" s="19" t="s">
        <v>42</v>
      </c>
      <c r="G86" s="19" t="s">
        <v>130</v>
      </c>
      <c r="H86" s="19">
        <v>0.45</v>
      </c>
      <c r="I86" s="51">
        <v>88.2</v>
      </c>
      <c r="J86" s="52"/>
      <c r="K86" s="45"/>
      <c r="L86" s="19"/>
      <c r="M86" s="45"/>
      <c r="N86" s="48"/>
      <c r="O86" s="49">
        <f t="shared" ref="O86:O91" si="54">SUM(I86)</f>
        <v>88.2</v>
      </c>
      <c r="P86" s="53"/>
      <c r="Q86" s="53"/>
      <c r="R86" s="76">
        <f t="shared" si="50"/>
        <v>21.5518309859155</v>
      </c>
      <c r="S86" s="76"/>
      <c r="T86" s="77">
        <f t="shared" si="51"/>
        <v>0.0392354124748491</v>
      </c>
      <c r="U86" s="76"/>
      <c r="V86" s="76"/>
      <c r="W86" s="78">
        <f t="shared" si="46"/>
        <v>21.5910663983903</v>
      </c>
      <c r="X86" s="79">
        <f t="shared" si="52"/>
        <v>0.300187122736419</v>
      </c>
      <c r="Y86" s="79"/>
      <c r="Z86" s="79"/>
      <c r="AA86" s="79">
        <f t="shared" si="49"/>
        <v>0.300187122736419</v>
      </c>
      <c r="AB86" s="90">
        <v>7.15</v>
      </c>
      <c r="AC86" s="76">
        <f t="shared" si="48"/>
        <v>2.14633792756539</v>
      </c>
      <c r="AD86" s="76">
        <f t="shared" si="45"/>
        <v>23.7374043259557</v>
      </c>
      <c r="AE86" s="76">
        <f t="shared" si="47"/>
        <v>64.4625956740443</v>
      </c>
    </row>
    <row r="87" customFormat="1" spans="1:31">
      <c r="A87" s="18"/>
      <c r="B87" s="19"/>
      <c r="C87" s="20">
        <v>240730000045</v>
      </c>
      <c r="D87" s="21">
        <v>45512</v>
      </c>
      <c r="E87" s="21" t="s">
        <v>37</v>
      </c>
      <c r="F87" s="19" t="s">
        <v>38</v>
      </c>
      <c r="G87" s="19" t="s">
        <v>87</v>
      </c>
      <c r="H87" s="19">
        <v>0.72</v>
      </c>
      <c r="I87" s="51">
        <v>80</v>
      </c>
      <c r="J87" s="52"/>
      <c r="K87" s="45"/>
      <c r="L87" s="19"/>
      <c r="M87" s="45"/>
      <c r="N87" s="48"/>
      <c r="O87" s="49">
        <f t="shared" si="54"/>
        <v>80</v>
      </c>
      <c r="P87" s="53"/>
      <c r="Q87" s="53"/>
      <c r="R87" s="76">
        <f t="shared" si="50"/>
        <v>34.4829295774648</v>
      </c>
      <c r="S87" s="76"/>
      <c r="T87" s="77">
        <f t="shared" si="51"/>
        <v>0.0627766599597585</v>
      </c>
      <c r="U87" s="76"/>
      <c r="V87" s="76"/>
      <c r="W87" s="78">
        <f t="shared" si="46"/>
        <v>34.5457062374245</v>
      </c>
      <c r="X87" s="79">
        <f t="shared" si="52"/>
        <v>0.48029939637827</v>
      </c>
      <c r="Y87" s="79"/>
      <c r="Z87" s="79"/>
      <c r="AA87" s="79">
        <f t="shared" si="49"/>
        <v>0.48029939637827</v>
      </c>
      <c r="AB87" s="90">
        <v>7.15</v>
      </c>
      <c r="AC87" s="76">
        <f t="shared" si="48"/>
        <v>3.43414068410463</v>
      </c>
      <c r="AD87" s="76">
        <f t="shared" si="45"/>
        <v>37.9798469215292</v>
      </c>
      <c r="AE87" s="76">
        <f t="shared" si="47"/>
        <v>42.0201530784708</v>
      </c>
    </row>
    <row r="88" customFormat="1" spans="1:31">
      <c r="A88" s="18"/>
      <c r="B88" s="19"/>
      <c r="C88" s="20">
        <v>240730000046</v>
      </c>
      <c r="D88" s="21">
        <v>45512</v>
      </c>
      <c r="E88" s="21" t="s">
        <v>37</v>
      </c>
      <c r="F88" s="19" t="s">
        <v>38</v>
      </c>
      <c r="G88" s="19" t="s">
        <v>75</v>
      </c>
      <c r="H88" s="19">
        <v>0.97</v>
      </c>
      <c r="I88" s="51">
        <v>60</v>
      </c>
      <c r="J88" s="52"/>
      <c r="K88" s="45"/>
      <c r="L88" s="19"/>
      <c r="M88" s="45"/>
      <c r="N88" s="48"/>
      <c r="O88" s="49">
        <f t="shared" si="54"/>
        <v>60</v>
      </c>
      <c r="P88" s="53"/>
      <c r="Q88" s="53"/>
      <c r="R88" s="76">
        <f t="shared" si="50"/>
        <v>46.4561690140845</v>
      </c>
      <c r="S88" s="76"/>
      <c r="T88" s="77">
        <f t="shared" si="51"/>
        <v>0.0845741113346747</v>
      </c>
      <c r="U88" s="76"/>
      <c r="V88" s="76"/>
      <c r="W88" s="78">
        <f t="shared" si="46"/>
        <v>46.5407431254192</v>
      </c>
      <c r="X88" s="79">
        <f t="shared" si="52"/>
        <v>0.647070020120724</v>
      </c>
      <c r="Y88" s="79"/>
      <c r="Z88" s="79"/>
      <c r="AA88" s="79">
        <f t="shared" si="49"/>
        <v>0.647070020120724</v>
      </c>
      <c r="AB88" s="90">
        <v>7.15</v>
      </c>
      <c r="AC88" s="76">
        <f t="shared" si="48"/>
        <v>4.62655064386318</v>
      </c>
      <c r="AD88" s="76">
        <f t="shared" si="45"/>
        <v>51.1672937692824</v>
      </c>
      <c r="AE88" s="76">
        <f t="shared" si="47"/>
        <v>8.83270623071765</v>
      </c>
    </row>
    <row r="89" customFormat="1" spans="1:31">
      <c r="A89" s="18"/>
      <c r="B89" s="19"/>
      <c r="C89" s="20">
        <v>240730000047</v>
      </c>
      <c r="D89" s="21">
        <v>45512</v>
      </c>
      <c r="E89" s="21" t="s">
        <v>37</v>
      </c>
      <c r="F89" s="19" t="s">
        <v>38</v>
      </c>
      <c r="G89" s="19" t="s">
        <v>131</v>
      </c>
      <c r="H89" s="19">
        <v>3</v>
      </c>
      <c r="I89" s="51">
        <v>201.3</v>
      </c>
      <c r="J89" s="52"/>
      <c r="K89" s="45"/>
      <c r="L89" s="19"/>
      <c r="M89" s="45"/>
      <c r="N89" s="48"/>
      <c r="O89" s="49">
        <f t="shared" si="54"/>
        <v>201.3</v>
      </c>
      <c r="P89" s="53"/>
      <c r="Q89" s="53"/>
      <c r="R89" s="76">
        <f t="shared" si="50"/>
        <v>143.678873239437</v>
      </c>
      <c r="S89" s="76"/>
      <c r="T89" s="77">
        <f t="shared" si="51"/>
        <v>0.261569416498994</v>
      </c>
      <c r="U89" s="76"/>
      <c r="V89" s="76"/>
      <c r="W89" s="78">
        <f t="shared" si="46"/>
        <v>143.940442655936</v>
      </c>
      <c r="X89" s="79">
        <f t="shared" si="52"/>
        <v>2.00124748490946</v>
      </c>
      <c r="Y89" s="79"/>
      <c r="Z89" s="79"/>
      <c r="AA89" s="79">
        <f t="shared" si="49"/>
        <v>2.00124748490946</v>
      </c>
      <c r="AB89" s="90">
        <v>7.15</v>
      </c>
      <c r="AC89" s="76">
        <f t="shared" si="48"/>
        <v>14.3089195171026</v>
      </c>
      <c r="AD89" s="76">
        <f t="shared" si="45"/>
        <v>158.249362173038</v>
      </c>
      <c r="AE89" s="76">
        <f t="shared" si="47"/>
        <v>43.0506378269618</v>
      </c>
    </row>
    <row r="90" customFormat="1" spans="1:31">
      <c r="A90" s="18"/>
      <c r="B90" s="19"/>
      <c r="C90" s="20">
        <v>240730000049</v>
      </c>
      <c r="D90" s="21">
        <v>45512</v>
      </c>
      <c r="E90" s="21" t="s">
        <v>51</v>
      </c>
      <c r="F90" s="19" t="s">
        <v>52</v>
      </c>
      <c r="G90" s="19" t="s">
        <v>132</v>
      </c>
      <c r="H90" s="19">
        <v>0.88</v>
      </c>
      <c r="I90" s="51">
        <v>96</v>
      </c>
      <c r="J90" s="52"/>
      <c r="K90" s="45"/>
      <c r="L90" s="19"/>
      <c r="M90" s="45"/>
      <c r="N90" s="48"/>
      <c r="O90" s="49">
        <f t="shared" si="54"/>
        <v>96</v>
      </c>
      <c r="P90" s="53"/>
      <c r="Q90" s="53"/>
      <c r="R90" s="76">
        <f t="shared" si="50"/>
        <v>42.1458028169014</v>
      </c>
      <c r="S90" s="76"/>
      <c r="T90" s="77">
        <f t="shared" si="51"/>
        <v>0.0767270288397049</v>
      </c>
      <c r="U90" s="76"/>
      <c r="V90" s="76"/>
      <c r="W90" s="78">
        <f t="shared" si="46"/>
        <v>42.2225298457411</v>
      </c>
      <c r="X90" s="79">
        <f t="shared" si="52"/>
        <v>0.587032595573441</v>
      </c>
      <c r="Y90" s="79"/>
      <c r="Z90" s="79"/>
      <c r="AA90" s="79">
        <f t="shared" si="49"/>
        <v>0.587032595573441</v>
      </c>
      <c r="AB90" s="90">
        <v>7.15</v>
      </c>
      <c r="AC90" s="76">
        <f t="shared" si="48"/>
        <v>4.1972830583501</v>
      </c>
      <c r="AD90" s="76">
        <f t="shared" si="45"/>
        <v>46.4198129040912</v>
      </c>
      <c r="AE90" s="76">
        <f t="shared" si="47"/>
        <v>49.5801870959088</v>
      </c>
    </row>
    <row r="91" customFormat="1" spans="1:31">
      <c r="A91" s="18"/>
      <c r="B91" s="19"/>
      <c r="C91" s="20">
        <v>240731000004</v>
      </c>
      <c r="D91" s="21">
        <v>45512</v>
      </c>
      <c r="E91" s="21" t="s">
        <v>51</v>
      </c>
      <c r="F91" s="19" t="s">
        <v>52</v>
      </c>
      <c r="G91" s="19" t="s">
        <v>133</v>
      </c>
      <c r="H91" s="19">
        <v>3.5</v>
      </c>
      <c r="I91" s="51">
        <v>360.25</v>
      </c>
      <c r="J91" s="52"/>
      <c r="K91" s="45"/>
      <c r="L91" s="19"/>
      <c r="M91" s="45"/>
      <c r="N91" s="48"/>
      <c r="O91" s="49">
        <f t="shared" si="54"/>
        <v>360.25</v>
      </c>
      <c r="P91" s="53"/>
      <c r="Q91" s="53"/>
      <c r="R91" s="76">
        <f t="shared" si="50"/>
        <v>167.625352112676</v>
      </c>
      <c r="S91" s="76"/>
      <c r="T91" s="77">
        <f t="shared" si="51"/>
        <v>0.305164319248826</v>
      </c>
      <c r="U91" s="76"/>
      <c r="V91" s="76"/>
      <c r="W91" s="78">
        <f t="shared" si="46"/>
        <v>167.930516431925</v>
      </c>
      <c r="X91" s="79">
        <f t="shared" si="52"/>
        <v>2.33478873239437</v>
      </c>
      <c r="Y91" s="79"/>
      <c r="Z91" s="79"/>
      <c r="AA91" s="79">
        <f t="shared" si="49"/>
        <v>2.33478873239437</v>
      </c>
      <c r="AB91" s="90">
        <v>7.15</v>
      </c>
      <c r="AC91" s="76">
        <f t="shared" si="48"/>
        <v>16.6937394366197</v>
      </c>
      <c r="AD91" s="76">
        <f t="shared" si="45"/>
        <v>184.624255868545</v>
      </c>
      <c r="AE91" s="76">
        <f t="shared" si="47"/>
        <v>175.625744131455</v>
      </c>
    </row>
    <row r="92" customFormat="1" spans="1:31">
      <c r="A92" s="18"/>
      <c r="B92" s="19"/>
      <c r="C92" s="20">
        <v>240731000009</v>
      </c>
      <c r="D92" s="21">
        <v>45512</v>
      </c>
      <c r="E92" s="21" t="s">
        <v>37</v>
      </c>
      <c r="F92" s="19" t="s">
        <v>38</v>
      </c>
      <c r="G92" s="19" t="s">
        <v>134</v>
      </c>
      <c r="H92" s="19">
        <v>2.5</v>
      </c>
      <c r="I92" s="43"/>
      <c r="J92" s="44">
        <v>40840</v>
      </c>
      <c r="K92" s="45"/>
      <c r="L92" s="46">
        <f>SUM(J92/M92)</f>
        <v>1580.49535603715</v>
      </c>
      <c r="M92" s="47">
        <v>25.84</v>
      </c>
      <c r="N92" s="48">
        <v>7.15</v>
      </c>
      <c r="O92" s="49">
        <f>SUM(M92*N92)</f>
        <v>184.756</v>
      </c>
      <c r="P92" s="53"/>
      <c r="Q92" s="53"/>
      <c r="R92" s="76">
        <f t="shared" si="50"/>
        <v>119.732394366197</v>
      </c>
      <c r="S92" s="76"/>
      <c r="T92" s="77">
        <f t="shared" si="51"/>
        <v>0.217974513749162</v>
      </c>
      <c r="U92" s="76"/>
      <c r="V92" s="76"/>
      <c r="W92" s="78">
        <f t="shared" si="46"/>
        <v>119.950368879946</v>
      </c>
      <c r="X92" s="79">
        <f t="shared" si="52"/>
        <v>1.66770623742455</v>
      </c>
      <c r="Y92" s="79"/>
      <c r="Z92" s="79"/>
      <c r="AA92" s="79">
        <f t="shared" si="49"/>
        <v>1.66770623742455</v>
      </c>
      <c r="AB92" s="90">
        <v>7.15</v>
      </c>
      <c r="AC92" s="76">
        <f t="shared" si="48"/>
        <v>11.9240995975855</v>
      </c>
      <c r="AD92" s="76">
        <f t="shared" si="45"/>
        <v>131.874468477532</v>
      </c>
      <c r="AE92" s="76">
        <f t="shared" si="47"/>
        <v>52.8815315224682</v>
      </c>
    </row>
    <row r="93" customFormat="1" spans="1:31">
      <c r="A93" s="18"/>
      <c r="B93" s="19"/>
      <c r="C93" s="20">
        <v>240731000011</v>
      </c>
      <c r="D93" s="21">
        <v>45512</v>
      </c>
      <c r="E93" s="21" t="s">
        <v>37</v>
      </c>
      <c r="F93" s="19" t="s">
        <v>38</v>
      </c>
      <c r="G93" s="19" t="s">
        <v>135</v>
      </c>
      <c r="H93" s="19">
        <v>12</v>
      </c>
      <c r="I93" s="51">
        <v>782</v>
      </c>
      <c r="J93" s="52"/>
      <c r="K93" s="45"/>
      <c r="L93" s="19"/>
      <c r="M93" s="45"/>
      <c r="N93" s="48"/>
      <c r="O93" s="49">
        <f t="shared" ref="O93:O97" si="55">SUM(I93)</f>
        <v>782</v>
      </c>
      <c r="P93" s="53"/>
      <c r="Q93" s="53"/>
      <c r="R93" s="76">
        <f t="shared" si="50"/>
        <v>574.715492957746</v>
      </c>
      <c r="S93" s="76"/>
      <c r="T93" s="77">
        <f t="shared" si="51"/>
        <v>1.04627766599598</v>
      </c>
      <c r="U93" s="76"/>
      <c r="V93" s="76"/>
      <c r="W93" s="78">
        <f t="shared" si="46"/>
        <v>575.761770623742</v>
      </c>
      <c r="X93" s="79">
        <f t="shared" si="52"/>
        <v>8.00498993963783</v>
      </c>
      <c r="Y93" s="79"/>
      <c r="Z93" s="79"/>
      <c r="AA93" s="79">
        <f t="shared" si="49"/>
        <v>8.00498993963783</v>
      </c>
      <c r="AB93" s="90">
        <v>7.15</v>
      </c>
      <c r="AC93" s="76">
        <f t="shared" si="48"/>
        <v>57.2356780684105</v>
      </c>
      <c r="AD93" s="76">
        <f t="shared" si="45"/>
        <v>632.997448692153</v>
      </c>
      <c r="AE93" s="76">
        <f t="shared" si="47"/>
        <v>149.002551307847</v>
      </c>
    </row>
    <row r="94" customFormat="1" spans="1:31">
      <c r="A94" s="18"/>
      <c r="B94" s="19"/>
      <c r="C94" s="20">
        <v>240731000013</v>
      </c>
      <c r="D94" s="21">
        <v>45512</v>
      </c>
      <c r="E94" s="21" t="s">
        <v>41</v>
      </c>
      <c r="F94" s="19" t="s">
        <v>42</v>
      </c>
      <c r="G94" s="19" t="s">
        <v>136</v>
      </c>
      <c r="H94" s="19">
        <v>9</v>
      </c>
      <c r="I94" s="51">
        <v>570.9</v>
      </c>
      <c r="J94" s="52"/>
      <c r="K94" s="45"/>
      <c r="L94" s="19"/>
      <c r="M94" s="45"/>
      <c r="N94" s="48"/>
      <c r="O94" s="49">
        <f t="shared" si="55"/>
        <v>570.9</v>
      </c>
      <c r="P94" s="53"/>
      <c r="Q94" s="53"/>
      <c r="R94" s="76">
        <f t="shared" si="50"/>
        <v>431.03661971831</v>
      </c>
      <c r="S94" s="76"/>
      <c r="T94" s="77">
        <f t="shared" si="51"/>
        <v>0.784708249496982</v>
      </c>
      <c r="U94" s="76"/>
      <c r="V94" s="76"/>
      <c r="W94" s="78">
        <f t="shared" si="46"/>
        <v>431.821327967807</v>
      </c>
      <c r="X94" s="79">
        <f t="shared" si="52"/>
        <v>6.00374245472837</v>
      </c>
      <c r="Y94" s="79"/>
      <c r="Z94" s="79"/>
      <c r="AA94" s="79">
        <f t="shared" si="49"/>
        <v>6.00374245472837</v>
      </c>
      <c r="AB94" s="90">
        <v>7.15</v>
      </c>
      <c r="AC94" s="76">
        <f t="shared" si="48"/>
        <v>42.9267585513078</v>
      </c>
      <c r="AD94" s="76">
        <f t="shared" si="45"/>
        <v>474.748086519115</v>
      </c>
      <c r="AE94" s="76">
        <f t="shared" si="47"/>
        <v>96.1519134808853</v>
      </c>
    </row>
    <row r="95" customFormat="1" spans="1:31">
      <c r="A95" s="18"/>
      <c r="B95" s="19"/>
      <c r="C95" s="20">
        <v>240731000016</v>
      </c>
      <c r="D95" s="21">
        <v>45512</v>
      </c>
      <c r="E95" s="21" t="s">
        <v>82</v>
      </c>
      <c r="F95" s="19" t="s">
        <v>83</v>
      </c>
      <c r="G95" s="19" t="s">
        <v>137</v>
      </c>
      <c r="H95" s="19">
        <v>4</v>
      </c>
      <c r="I95" s="51">
        <v>299.3</v>
      </c>
      <c r="J95" s="52"/>
      <c r="K95" s="45"/>
      <c r="L95" s="19"/>
      <c r="M95" s="45"/>
      <c r="N95" s="48"/>
      <c r="O95" s="49">
        <f t="shared" si="55"/>
        <v>299.3</v>
      </c>
      <c r="P95" s="53"/>
      <c r="Q95" s="53"/>
      <c r="R95" s="76">
        <f t="shared" si="50"/>
        <v>191.571830985915</v>
      </c>
      <c r="S95" s="76"/>
      <c r="T95" s="77">
        <f t="shared" si="51"/>
        <v>0.348759221998659</v>
      </c>
      <c r="U95" s="76"/>
      <c r="V95" s="76"/>
      <c r="W95" s="78">
        <f t="shared" si="46"/>
        <v>191.920590207914</v>
      </c>
      <c r="X95" s="79">
        <f t="shared" si="52"/>
        <v>2.66832997987928</v>
      </c>
      <c r="Y95" s="79">
        <v>4.4</v>
      </c>
      <c r="Z95" s="79"/>
      <c r="AA95" s="79">
        <f t="shared" si="49"/>
        <v>7.06832997987928</v>
      </c>
      <c r="AB95" s="90">
        <v>7.15</v>
      </c>
      <c r="AC95" s="76">
        <f t="shared" si="48"/>
        <v>50.5385593561368</v>
      </c>
      <c r="AD95" s="76">
        <f t="shared" si="45"/>
        <v>242.459149564051</v>
      </c>
      <c r="AE95" s="76">
        <f t="shared" si="47"/>
        <v>56.8408504359491</v>
      </c>
    </row>
    <row r="96" customFormat="1" spans="1:31">
      <c r="A96" s="18"/>
      <c r="B96" s="19"/>
      <c r="C96" s="20">
        <v>240731000017</v>
      </c>
      <c r="D96" s="21">
        <v>45512</v>
      </c>
      <c r="E96" s="21" t="s">
        <v>57</v>
      </c>
      <c r="F96" s="19" t="s">
        <v>57</v>
      </c>
      <c r="G96" s="19" t="s">
        <v>138</v>
      </c>
      <c r="H96" s="19">
        <v>19.5</v>
      </c>
      <c r="I96" s="51">
        <v>1269.25</v>
      </c>
      <c r="J96" s="52"/>
      <c r="K96" s="45"/>
      <c r="L96" s="19"/>
      <c r="M96" s="45"/>
      <c r="N96" s="48"/>
      <c r="O96" s="49">
        <f t="shared" si="55"/>
        <v>1269.25</v>
      </c>
      <c r="P96" s="53"/>
      <c r="Q96" s="53"/>
      <c r="R96" s="76">
        <f t="shared" si="50"/>
        <v>933.912676056338</v>
      </c>
      <c r="S96" s="76"/>
      <c r="T96" s="77">
        <f t="shared" si="51"/>
        <v>1.70020120724346</v>
      </c>
      <c r="U96" s="76">
        <v>40</v>
      </c>
      <c r="V96" s="76"/>
      <c r="W96" s="78">
        <f t="shared" si="46"/>
        <v>975.612877263581</v>
      </c>
      <c r="X96" s="79">
        <f t="shared" si="52"/>
        <v>13.0081086519115</v>
      </c>
      <c r="Y96" s="79"/>
      <c r="Z96" s="79"/>
      <c r="AA96" s="79">
        <f t="shared" si="49"/>
        <v>13.0081086519115</v>
      </c>
      <c r="AB96" s="90">
        <v>7.15</v>
      </c>
      <c r="AC96" s="76">
        <f t="shared" si="48"/>
        <v>93.007976861167</v>
      </c>
      <c r="AD96" s="76">
        <f t="shared" si="45"/>
        <v>1068.62085412475</v>
      </c>
      <c r="AE96" s="76">
        <f t="shared" si="47"/>
        <v>200.629145875251</v>
      </c>
    </row>
    <row r="97" customFormat="1" spans="1:31">
      <c r="A97" s="18"/>
      <c r="B97" s="19"/>
      <c r="C97" s="22">
        <v>240731000020</v>
      </c>
      <c r="D97" s="23">
        <v>45512</v>
      </c>
      <c r="E97" s="21" t="s">
        <v>82</v>
      </c>
      <c r="F97" s="24" t="s">
        <v>83</v>
      </c>
      <c r="G97" s="24" t="s">
        <v>94</v>
      </c>
      <c r="H97" s="24">
        <v>67</v>
      </c>
      <c r="I97" s="56">
        <v>2399</v>
      </c>
      <c r="J97" s="52"/>
      <c r="K97" s="45"/>
      <c r="L97" s="19"/>
      <c r="M97" s="45"/>
      <c r="N97" s="48"/>
      <c r="O97" s="49">
        <f t="shared" si="55"/>
        <v>2399</v>
      </c>
      <c r="P97" s="53"/>
      <c r="Q97" s="53"/>
      <c r="R97" s="76">
        <f t="shared" si="50"/>
        <v>3208.82816901408</v>
      </c>
      <c r="S97" s="76"/>
      <c r="T97" s="77">
        <f t="shared" si="51"/>
        <v>5.84171696847753</v>
      </c>
      <c r="U97" s="76">
        <v>140</v>
      </c>
      <c r="V97" s="76"/>
      <c r="W97" s="78">
        <f t="shared" si="46"/>
        <v>3354.66988598256</v>
      </c>
      <c r="X97" s="79">
        <f t="shared" si="52"/>
        <v>44.6945271629779</v>
      </c>
      <c r="Y97" s="79"/>
      <c r="Z97" s="79"/>
      <c r="AA97" s="79">
        <f t="shared" si="49"/>
        <v>44.6945271629779</v>
      </c>
      <c r="AB97" s="90">
        <v>7.15</v>
      </c>
      <c r="AC97" s="76">
        <f t="shared" si="48"/>
        <v>319.565869215292</v>
      </c>
      <c r="AD97" s="76">
        <f t="shared" si="45"/>
        <v>3674.23575519785</v>
      </c>
      <c r="AE97" s="76">
        <f t="shared" si="47"/>
        <v>-1275.23575519785</v>
      </c>
    </row>
    <row r="98" customFormat="1" spans="1:31">
      <c r="A98" s="18"/>
      <c r="B98" s="19"/>
      <c r="C98" s="20">
        <v>240731000027</v>
      </c>
      <c r="D98" s="21">
        <v>45512</v>
      </c>
      <c r="E98" s="21" t="s">
        <v>44</v>
      </c>
      <c r="F98" s="19" t="s">
        <v>45</v>
      </c>
      <c r="G98" s="19" t="s">
        <v>139</v>
      </c>
      <c r="H98" s="19">
        <v>6</v>
      </c>
      <c r="I98" s="49"/>
      <c r="J98" s="44">
        <v>93081.6</v>
      </c>
      <c r="K98" s="45"/>
      <c r="L98" s="46">
        <f>SUM(J98/M98)</f>
        <v>1616</v>
      </c>
      <c r="M98" s="47">
        <v>57.6</v>
      </c>
      <c r="N98" s="48">
        <v>7.15</v>
      </c>
      <c r="O98" s="49">
        <f>SUM(M98*N98)</f>
        <v>411.84</v>
      </c>
      <c r="P98" s="53"/>
      <c r="Q98" s="53"/>
      <c r="R98" s="76">
        <f t="shared" si="50"/>
        <v>287.357746478873</v>
      </c>
      <c r="S98" s="76"/>
      <c r="T98" s="77">
        <f t="shared" si="51"/>
        <v>0.523138832997988</v>
      </c>
      <c r="U98" s="76"/>
      <c r="V98" s="76"/>
      <c r="W98" s="78">
        <f t="shared" si="46"/>
        <v>287.880885311871</v>
      </c>
      <c r="X98" s="79">
        <f t="shared" si="52"/>
        <v>4.00249496981891</v>
      </c>
      <c r="Y98" s="79"/>
      <c r="Z98" s="79"/>
      <c r="AA98" s="79">
        <f t="shared" si="49"/>
        <v>4.00249496981891</v>
      </c>
      <c r="AB98" s="90">
        <v>7.15</v>
      </c>
      <c r="AC98" s="76">
        <f t="shared" si="48"/>
        <v>28.6178390342052</v>
      </c>
      <c r="AD98" s="76">
        <f t="shared" si="45"/>
        <v>316.498724346076</v>
      </c>
      <c r="AE98" s="76">
        <f t="shared" si="47"/>
        <v>95.3412756539236</v>
      </c>
    </row>
    <row r="99" customFormat="1" spans="1:31">
      <c r="A99" s="18"/>
      <c r="B99" s="19"/>
      <c r="C99" s="20">
        <v>240731000030</v>
      </c>
      <c r="D99" s="21">
        <v>45512</v>
      </c>
      <c r="E99" s="21" t="s">
        <v>41</v>
      </c>
      <c r="F99" s="19" t="s">
        <v>42</v>
      </c>
      <c r="G99" s="19" t="s">
        <v>140</v>
      </c>
      <c r="H99" s="19">
        <v>20</v>
      </c>
      <c r="I99" s="51">
        <v>1121.6</v>
      </c>
      <c r="J99" s="52"/>
      <c r="K99" s="45"/>
      <c r="L99" s="19"/>
      <c r="M99" s="45"/>
      <c r="N99" s="48"/>
      <c r="O99" s="49">
        <f t="shared" ref="O99:O102" si="56">SUM(I99)</f>
        <v>1121.6</v>
      </c>
      <c r="P99" s="53"/>
      <c r="Q99" s="53"/>
      <c r="R99" s="76">
        <f t="shared" si="50"/>
        <v>957.859154929577</v>
      </c>
      <c r="S99" s="76"/>
      <c r="T99" s="77">
        <f t="shared" si="51"/>
        <v>1.74379610999329</v>
      </c>
      <c r="U99" s="76"/>
      <c r="V99" s="76"/>
      <c r="W99" s="78">
        <f t="shared" si="46"/>
        <v>959.602951039571</v>
      </c>
      <c r="X99" s="79">
        <f t="shared" si="52"/>
        <v>13.3416498993964</v>
      </c>
      <c r="Y99" s="79"/>
      <c r="Z99" s="79"/>
      <c r="AA99" s="79">
        <f t="shared" si="49"/>
        <v>13.3416498993964</v>
      </c>
      <c r="AB99" s="90">
        <v>7.15</v>
      </c>
      <c r="AC99" s="76">
        <f t="shared" si="48"/>
        <v>95.3927967806841</v>
      </c>
      <c r="AD99" s="76">
        <f t="shared" si="45"/>
        <v>1054.99574782025</v>
      </c>
      <c r="AE99" s="76">
        <f t="shared" si="47"/>
        <v>66.6042521797451</v>
      </c>
    </row>
    <row r="100" customFormat="1" spans="1:31">
      <c r="A100" s="18"/>
      <c r="B100" s="19"/>
      <c r="C100" s="20">
        <v>240731000034</v>
      </c>
      <c r="D100" s="21">
        <v>45512</v>
      </c>
      <c r="E100" s="21" t="s">
        <v>44</v>
      </c>
      <c r="F100" s="19" t="s">
        <v>45</v>
      </c>
      <c r="G100" s="19" t="s">
        <v>120</v>
      </c>
      <c r="H100" s="19">
        <v>2</v>
      </c>
      <c r="I100" s="51">
        <v>135</v>
      </c>
      <c r="J100" s="52"/>
      <c r="K100" s="45"/>
      <c r="L100" s="19"/>
      <c r="M100" s="45"/>
      <c r="N100" s="48"/>
      <c r="O100" s="49">
        <f t="shared" si="56"/>
        <v>135</v>
      </c>
      <c r="P100" s="53"/>
      <c r="Q100" s="53"/>
      <c r="R100" s="76">
        <f t="shared" si="50"/>
        <v>95.7859154929577</v>
      </c>
      <c r="S100" s="76"/>
      <c r="T100" s="77">
        <f t="shared" si="51"/>
        <v>0.174379610999329</v>
      </c>
      <c r="U100" s="76"/>
      <c r="V100" s="76"/>
      <c r="W100" s="78">
        <f t="shared" si="46"/>
        <v>95.9602951039571</v>
      </c>
      <c r="X100" s="79">
        <f t="shared" si="52"/>
        <v>1.33416498993964</v>
      </c>
      <c r="Y100" s="79"/>
      <c r="Z100" s="79"/>
      <c r="AA100" s="79">
        <f t="shared" si="49"/>
        <v>1.33416498993964</v>
      </c>
      <c r="AB100" s="90">
        <v>7.15</v>
      </c>
      <c r="AC100" s="76">
        <f t="shared" si="48"/>
        <v>9.53927967806841</v>
      </c>
      <c r="AD100" s="76">
        <f t="shared" si="45"/>
        <v>105.499574782025</v>
      </c>
      <c r="AE100" s="76">
        <f t="shared" si="47"/>
        <v>29.5004252179745</v>
      </c>
    </row>
    <row r="101" customFormat="1" spans="1:31">
      <c r="A101" s="18"/>
      <c r="B101" s="19"/>
      <c r="C101" s="20">
        <v>240801000005</v>
      </c>
      <c r="D101" s="21">
        <v>45512</v>
      </c>
      <c r="E101" s="21" t="s">
        <v>57</v>
      </c>
      <c r="F101" s="19" t="s">
        <v>57</v>
      </c>
      <c r="G101" s="19" t="s">
        <v>141</v>
      </c>
      <c r="H101" s="19">
        <v>10</v>
      </c>
      <c r="I101" s="51">
        <v>633</v>
      </c>
      <c r="J101" s="52"/>
      <c r="K101" s="45"/>
      <c r="L101" s="19"/>
      <c r="M101" s="45"/>
      <c r="N101" s="48"/>
      <c r="O101" s="49">
        <f t="shared" si="56"/>
        <v>633</v>
      </c>
      <c r="P101" s="53"/>
      <c r="Q101" s="53"/>
      <c r="R101" s="76">
        <f t="shared" si="50"/>
        <v>478.929577464789</v>
      </c>
      <c r="S101" s="76"/>
      <c r="T101" s="77">
        <f t="shared" si="51"/>
        <v>0.871898054996647</v>
      </c>
      <c r="U101" s="76"/>
      <c r="V101" s="76"/>
      <c r="W101" s="78">
        <f t="shared" si="46"/>
        <v>479.801475519785</v>
      </c>
      <c r="X101" s="79">
        <f t="shared" si="52"/>
        <v>6.67082494969819</v>
      </c>
      <c r="Y101" s="79"/>
      <c r="Z101" s="79"/>
      <c r="AA101" s="79">
        <f t="shared" si="49"/>
        <v>6.67082494969819</v>
      </c>
      <c r="AB101" s="90">
        <v>7.15</v>
      </c>
      <c r="AC101" s="76">
        <f t="shared" si="48"/>
        <v>47.696398390342</v>
      </c>
      <c r="AD101" s="76">
        <f t="shared" si="45"/>
        <v>527.497873910127</v>
      </c>
      <c r="AE101" s="76">
        <f t="shared" si="47"/>
        <v>105.502126089873</v>
      </c>
    </row>
    <row r="102" customFormat="1" spans="1:31">
      <c r="A102" s="18"/>
      <c r="B102" s="19"/>
      <c r="C102" s="20">
        <v>240801000013</v>
      </c>
      <c r="D102" s="21">
        <v>45512</v>
      </c>
      <c r="E102" s="21" t="s">
        <v>41</v>
      </c>
      <c r="F102" s="19" t="s">
        <v>42</v>
      </c>
      <c r="G102" s="19" t="s">
        <v>142</v>
      </c>
      <c r="H102" s="19">
        <v>5.5</v>
      </c>
      <c r="I102" s="51">
        <v>396</v>
      </c>
      <c r="J102" s="52"/>
      <c r="K102" s="45"/>
      <c r="L102" s="19"/>
      <c r="M102" s="45"/>
      <c r="N102" s="48"/>
      <c r="O102" s="49">
        <f t="shared" si="56"/>
        <v>396</v>
      </c>
      <c r="P102" s="53"/>
      <c r="Q102" s="53"/>
      <c r="R102" s="76">
        <f t="shared" si="50"/>
        <v>263.411267605634</v>
      </c>
      <c r="S102" s="76"/>
      <c r="T102" s="77">
        <f t="shared" si="51"/>
        <v>0.479543930248156</v>
      </c>
      <c r="U102" s="76">
        <v>30</v>
      </c>
      <c r="V102" s="76"/>
      <c r="W102" s="78">
        <f t="shared" si="46"/>
        <v>293.890811535882</v>
      </c>
      <c r="X102" s="79">
        <f t="shared" si="52"/>
        <v>3.668953722334</v>
      </c>
      <c r="Y102" s="79"/>
      <c r="Z102" s="79"/>
      <c r="AA102" s="79">
        <f t="shared" si="49"/>
        <v>3.668953722334</v>
      </c>
      <c r="AB102" s="90">
        <v>7.15</v>
      </c>
      <c r="AC102" s="76">
        <f t="shared" si="48"/>
        <v>26.2330191146881</v>
      </c>
      <c r="AD102" s="76">
        <f t="shared" ref="AD102:AD122" si="57">SUM(W102+AC102)</f>
        <v>320.12383065057</v>
      </c>
      <c r="AE102" s="76">
        <f t="shared" si="47"/>
        <v>75.8761693494299</v>
      </c>
    </row>
    <row r="103" customFormat="1" spans="1:31">
      <c r="A103" s="18"/>
      <c r="B103" s="19"/>
      <c r="C103" s="20">
        <v>240801000014</v>
      </c>
      <c r="D103" s="21">
        <v>45512</v>
      </c>
      <c r="E103" s="21" t="s">
        <v>41</v>
      </c>
      <c r="F103" s="19" t="s">
        <v>42</v>
      </c>
      <c r="G103" s="19" t="s">
        <v>143</v>
      </c>
      <c r="H103" s="19">
        <v>16</v>
      </c>
      <c r="I103" s="43"/>
      <c r="J103" s="44">
        <v>246504</v>
      </c>
      <c r="K103" s="45"/>
      <c r="L103" s="46">
        <f>SUM(J103/M103)</f>
        <v>1580.15384615385</v>
      </c>
      <c r="M103" s="47">
        <v>156</v>
      </c>
      <c r="N103" s="48">
        <v>7.15</v>
      </c>
      <c r="O103" s="49">
        <f>SUM(M103*N103)</f>
        <v>1115.4</v>
      </c>
      <c r="P103" s="53"/>
      <c r="Q103" s="53"/>
      <c r="R103" s="76">
        <f t="shared" si="50"/>
        <v>766.287323943662</v>
      </c>
      <c r="S103" s="76"/>
      <c r="T103" s="77">
        <f t="shared" si="51"/>
        <v>1.39503688799463</v>
      </c>
      <c r="U103" s="76"/>
      <c r="V103" s="76"/>
      <c r="W103" s="78">
        <f t="shared" ref="W103:W122" si="58">SUM(R103:V103)</f>
        <v>767.682360831657</v>
      </c>
      <c r="X103" s="79">
        <f t="shared" si="52"/>
        <v>10.6733199195171</v>
      </c>
      <c r="Y103" s="79"/>
      <c r="Z103" s="79"/>
      <c r="AA103" s="79">
        <f t="shared" si="49"/>
        <v>10.6733199195171</v>
      </c>
      <c r="AB103" s="90">
        <v>7.15</v>
      </c>
      <c r="AC103" s="76">
        <f t="shared" si="48"/>
        <v>76.3142374245473</v>
      </c>
      <c r="AD103" s="76">
        <f t="shared" si="57"/>
        <v>843.996598256204</v>
      </c>
      <c r="AE103" s="76">
        <f t="shared" ref="AE103:AE122" si="59">SUM(O103-AD103)</f>
        <v>271.403401743796</v>
      </c>
    </row>
    <row r="104" customFormat="1" spans="1:31">
      <c r="A104" s="18"/>
      <c r="B104" s="19"/>
      <c r="C104" s="20">
        <v>240801000017</v>
      </c>
      <c r="D104" s="21">
        <v>45512</v>
      </c>
      <c r="E104" s="21" t="s">
        <v>51</v>
      </c>
      <c r="F104" s="19" t="s">
        <v>52</v>
      </c>
      <c r="G104" s="19" t="s">
        <v>144</v>
      </c>
      <c r="H104" s="19">
        <v>15</v>
      </c>
      <c r="I104" s="51">
        <v>1046</v>
      </c>
      <c r="J104" s="52"/>
      <c r="K104" s="45"/>
      <c r="L104" s="19"/>
      <c r="M104" s="45"/>
      <c r="N104" s="48"/>
      <c r="O104" s="49">
        <f t="shared" ref="O104:O108" si="60">SUM(I104)</f>
        <v>1046</v>
      </c>
      <c r="P104" s="53"/>
      <c r="Q104" s="53"/>
      <c r="R104" s="76">
        <f t="shared" si="50"/>
        <v>718.394366197183</v>
      </c>
      <c r="S104" s="76"/>
      <c r="T104" s="77">
        <f t="shared" si="51"/>
        <v>1.30784708249497</v>
      </c>
      <c r="U104" s="76"/>
      <c r="V104" s="76"/>
      <c r="W104" s="78">
        <f t="shared" si="58"/>
        <v>719.702213279678</v>
      </c>
      <c r="X104" s="79">
        <f t="shared" si="52"/>
        <v>10.0062374245473</v>
      </c>
      <c r="Y104" s="79"/>
      <c r="Z104" s="79"/>
      <c r="AA104" s="79">
        <f t="shared" si="49"/>
        <v>10.0062374245473</v>
      </c>
      <c r="AB104" s="90">
        <v>7.15</v>
      </c>
      <c r="AC104" s="76">
        <f t="shared" ref="AC104:AC122" si="61">SUM(AA104*AB104)</f>
        <v>71.5445975855131</v>
      </c>
      <c r="AD104" s="76">
        <f t="shared" si="57"/>
        <v>791.246810865191</v>
      </c>
      <c r="AE104" s="76">
        <f t="shared" si="59"/>
        <v>254.753189134809</v>
      </c>
    </row>
    <row r="105" customFormat="1" spans="1:31">
      <c r="A105" s="18"/>
      <c r="B105" s="19"/>
      <c r="C105" s="20">
        <v>240801000018</v>
      </c>
      <c r="D105" s="21">
        <v>45512</v>
      </c>
      <c r="E105" s="21" t="s">
        <v>51</v>
      </c>
      <c r="F105" s="19" t="s">
        <v>52</v>
      </c>
      <c r="G105" s="19" t="s">
        <v>144</v>
      </c>
      <c r="H105" s="19">
        <v>6</v>
      </c>
      <c r="I105" s="51">
        <v>422</v>
      </c>
      <c r="J105" s="52"/>
      <c r="K105" s="45"/>
      <c r="L105" s="19"/>
      <c r="M105" s="45"/>
      <c r="N105" s="48"/>
      <c r="O105" s="49">
        <f t="shared" si="60"/>
        <v>422</v>
      </c>
      <c r="P105" s="53"/>
      <c r="Q105" s="53"/>
      <c r="R105" s="76">
        <f t="shared" si="50"/>
        <v>287.357746478873</v>
      </c>
      <c r="S105" s="76"/>
      <c r="T105" s="77">
        <f t="shared" si="51"/>
        <v>0.523138832997988</v>
      </c>
      <c r="U105" s="76"/>
      <c r="V105" s="76"/>
      <c r="W105" s="78">
        <f t="shared" si="58"/>
        <v>287.880885311871</v>
      </c>
      <c r="X105" s="79">
        <f t="shared" si="52"/>
        <v>4.00249496981891</v>
      </c>
      <c r="Y105" s="79"/>
      <c r="Z105" s="79"/>
      <c r="AA105" s="79">
        <f t="shared" ref="AA105:AA122" si="62">SUM(X105:Z105)</f>
        <v>4.00249496981891</v>
      </c>
      <c r="AB105" s="90">
        <v>7.15</v>
      </c>
      <c r="AC105" s="76">
        <f t="shared" si="61"/>
        <v>28.6178390342052</v>
      </c>
      <c r="AD105" s="76">
        <f t="shared" si="57"/>
        <v>316.498724346076</v>
      </c>
      <c r="AE105" s="76">
        <f t="shared" si="59"/>
        <v>105.501275653924</v>
      </c>
    </row>
    <row r="106" customFormat="1" spans="1:31">
      <c r="A106" s="18"/>
      <c r="B106" s="19"/>
      <c r="C106" s="20">
        <v>240801000019</v>
      </c>
      <c r="D106" s="21">
        <v>45512</v>
      </c>
      <c r="E106" s="21" t="s">
        <v>57</v>
      </c>
      <c r="F106" s="19" t="s">
        <v>57</v>
      </c>
      <c r="G106" s="19" t="s">
        <v>69</v>
      </c>
      <c r="H106" s="19">
        <v>23.5</v>
      </c>
      <c r="I106" s="43">
        <v>2138.5</v>
      </c>
      <c r="J106" s="52"/>
      <c r="K106" s="45"/>
      <c r="L106" s="19"/>
      <c r="M106" s="45"/>
      <c r="N106" s="48"/>
      <c r="O106" s="49">
        <f t="shared" si="60"/>
        <v>2138.5</v>
      </c>
      <c r="P106" s="53"/>
      <c r="Q106" s="53"/>
      <c r="R106" s="76">
        <f t="shared" ref="R106:R122" si="63">SUM(71408.4/1491)*H106</f>
        <v>1125.48450704225</v>
      </c>
      <c r="S106" s="76"/>
      <c r="T106" s="77">
        <f t="shared" ref="T106:T122" si="64">SUM(130/1491)*H106</f>
        <v>2.04896042924212</v>
      </c>
      <c r="U106" s="76"/>
      <c r="V106" s="77">
        <v>109</v>
      </c>
      <c r="W106" s="78">
        <f t="shared" si="58"/>
        <v>1236.5334674715</v>
      </c>
      <c r="X106" s="79">
        <f t="shared" ref="X106:X122" si="65">SUM(994.62/1491)*H106</f>
        <v>15.6764386317907</v>
      </c>
      <c r="Y106" s="79"/>
      <c r="Z106" s="79"/>
      <c r="AA106" s="79">
        <f t="shared" si="62"/>
        <v>15.6764386317907</v>
      </c>
      <c r="AB106" s="90">
        <v>7.15</v>
      </c>
      <c r="AC106" s="76">
        <f t="shared" si="61"/>
        <v>112.086536217304</v>
      </c>
      <c r="AD106" s="76">
        <f t="shared" si="57"/>
        <v>1348.6200036888</v>
      </c>
      <c r="AE106" s="76">
        <f t="shared" si="59"/>
        <v>789.879996311201</v>
      </c>
    </row>
    <row r="107" customFormat="1" spans="1:31">
      <c r="A107" s="18"/>
      <c r="B107" s="19"/>
      <c r="C107" s="20">
        <v>240802000004</v>
      </c>
      <c r="D107" s="21">
        <v>45512</v>
      </c>
      <c r="E107" s="21" t="s">
        <v>37</v>
      </c>
      <c r="F107" s="19" t="s">
        <v>38</v>
      </c>
      <c r="G107" s="19" t="s">
        <v>118</v>
      </c>
      <c r="H107" s="19">
        <v>12</v>
      </c>
      <c r="I107" s="51">
        <v>696</v>
      </c>
      <c r="J107" s="52"/>
      <c r="K107" s="45"/>
      <c r="L107" s="19"/>
      <c r="M107" s="45"/>
      <c r="N107" s="48"/>
      <c r="O107" s="49">
        <f t="shared" si="60"/>
        <v>696</v>
      </c>
      <c r="P107" s="53"/>
      <c r="Q107" s="53"/>
      <c r="R107" s="76">
        <f t="shared" si="63"/>
        <v>574.715492957746</v>
      </c>
      <c r="S107" s="76"/>
      <c r="T107" s="77">
        <f t="shared" si="64"/>
        <v>1.04627766599598</v>
      </c>
      <c r="U107" s="76"/>
      <c r="V107" s="76"/>
      <c r="W107" s="78">
        <f t="shared" si="58"/>
        <v>575.761770623742</v>
      </c>
      <c r="X107" s="79">
        <f t="shared" si="65"/>
        <v>8.00498993963783</v>
      </c>
      <c r="Y107" s="79"/>
      <c r="Z107" s="79"/>
      <c r="AA107" s="79">
        <f t="shared" si="62"/>
        <v>8.00498993963783</v>
      </c>
      <c r="AB107" s="90">
        <v>7.15</v>
      </c>
      <c r="AC107" s="76">
        <f t="shared" si="61"/>
        <v>57.2356780684105</v>
      </c>
      <c r="AD107" s="76">
        <f t="shared" si="57"/>
        <v>632.997448692153</v>
      </c>
      <c r="AE107" s="76">
        <f t="shared" si="59"/>
        <v>63.0025513078472</v>
      </c>
    </row>
    <row r="108" customFormat="1" spans="1:31">
      <c r="A108" s="18"/>
      <c r="B108" s="19"/>
      <c r="C108" s="20">
        <v>240802000005</v>
      </c>
      <c r="D108" s="21">
        <v>45512</v>
      </c>
      <c r="E108" s="21" t="s">
        <v>37</v>
      </c>
      <c r="F108" s="19" t="s">
        <v>38</v>
      </c>
      <c r="G108" s="19" t="s">
        <v>145</v>
      </c>
      <c r="H108" s="19">
        <v>4</v>
      </c>
      <c r="I108" s="51">
        <v>320</v>
      </c>
      <c r="J108" s="52"/>
      <c r="K108" s="45"/>
      <c r="L108" s="19"/>
      <c r="M108" s="45"/>
      <c r="N108" s="48"/>
      <c r="O108" s="49">
        <f t="shared" si="60"/>
        <v>320</v>
      </c>
      <c r="P108" s="53"/>
      <c r="Q108" s="53"/>
      <c r="R108" s="76">
        <f t="shared" si="63"/>
        <v>191.571830985915</v>
      </c>
      <c r="S108" s="76"/>
      <c r="T108" s="77">
        <f t="shared" si="64"/>
        <v>0.348759221998659</v>
      </c>
      <c r="U108" s="76"/>
      <c r="V108" s="76"/>
      <c r="W108" s="78">
        <f t="shared" si="58"/>
        <v>191.920590207914</v>
      </c>
      <c r="X108" s="79">
        <f t="shared" si="65"/>
        <v>2.66832997987928</v>
      </c>
      <c r="Y108" s="79"/>
      <c r="Z108" s="79"/>
      <c r="AA108" s="79">
        <f t="shared" si="62"/>
        <v>2.66832997987928</v>
      </c>
      <c r="AB108" s="90">
        <v>7.15</v>
      </c>
      <c r="AC108" s="76">
        <f t="shared" si="61"/>
        <v>19.0785593561368</v>
      </c>
      <c r="AD108" s="76">
        <f t="shared" si="57"/>
        <v>210.999149564051</v>
      </c>
      <c r="AE108" s="76">
        <f t="shared" si="59"/>
        <v>109.000850435949</v>
      </c>
    </row>
    <row r="109" customFormat="1" spans="1:31">
      <c r="A109" s="18"/>
      <c r="B109" s="19"/>
      <c r="C109" s="20">
        <v>240802000010</v>
      </c>
      <c r="D109" s="21">
        <v>45512</v>
      </c>
      <c r="E109" s="21" t="s">
        <v>37</v>
      </c>
      <c r="F109" s="19" t="s">
        <v>38</v>
      </c>
      <c r="G109" s="19" t="s">
        <v>146</v>
      </c>
      <c r="H109" s="19">
        <v>32</v>
      </c>
      <c r="I109" s="43"/>
      <c r="J109" s="44">
        <v>413888</v>
      </c>
      <c r="K109" s="45"/>
      <c r="L109" s="46">
        <f>SUM(J109/M109)</f>
        <v>1594.45257724016</v>
      </c>
      <c r="M109" s="47">
        <v>259.58</v>
      </c>
      <c r="N109" s="48">
        <v>7.15</v>
      </c>
      <c r="O109" s="49">
        <f>SUM(M109*N109)</f>
        <v>1855.997</v>
      </c>
      <c r="P109" s="53"/>
      <c r="Q109" s="53"/>
      <c r="R109" s="76">
        <f t="shared" si="63"/>
        <v>1532.57464788732</v>
      </c>
      <c r="S109" s="76"/>
      <c r="T109" s="77">
        <f t="shared" si="64"/>
        <v>2.79007377598927</v>
      </c>
      <c r="U109" s="76"/>
      <c r="V109" s="76"/>
      <c r="W109" s="78">
        <f t="shared" si="58"/>
        <v>1535.36472166331</v>
      </c>
      <c r="X109" s="79">
        <f t="shared" si="65"/>
        <v>21.3466398390342</v>
      </c>
      <c r="Y109" s="79"/>
      <c r="Z109" s="79"/>
      <c r="AA109" s="79">
        <f t="shared" si="62"/>
        <v>21.3466398390342</v>
      </c>
      <c r="AB109" s="90">
        <v>7.15</v>
      </c>
      <c r="AC109" s="76">
        <f t="shared" si="61"/>
        <v>152.628474849095</v>
      </c>
      <c r="AD109" s="76">
        <f t="shared" si="57"/>
        <v>1687.99319651241</v>
      </c>
      <c r="AE109" s="76">
        <f t="shared" si="59"/>
        <v>168.003803487592</v>
      </c>
    </row>
    <row r="110" customFormat="1" spans="1:31">
      <c r="A110" s="18"/>
      <c r="B110" s="19"/>
      <c r="C110" s="20">
        <v>240802000012</v>
      </c>
      <c r="D110" s="21">
        <v>45512</v>
      </c>
      <c r="E110" s="21" t="s">
        <v>37</v>
      </c>
      <c r="F110" s="19" t="s">
        <v>38</v>
      </c>
      <c r="G110" s="19" t="s">
        <v>147</v>
      </c>
      <c r="H110" s="19">
        <v>4</v>
      </c>
      <c r="I110" s="51">
        <v>245</v>
      </c>
      <c r="J110" s="52"/>
      <c r="K110" s="45"/>
      <c r="L110" s="19"/>
      <c r="M110" s="45"/>
      <c r="N110" s="48"/>
      <c r="O110" s="49">
        <f t="shared" ref="O110:O115" si="66">SUM(I110)</f>
        <v>245</v>
      </c>
      <c r="P110" s="53"/>
      <c r="Q110" s="53"/>
      <c r="R110" s="76">
        <f t="shared" si="63"/>
        <v>191.571830985915</v>
      </c>
      <c r="S110" s="76"/>
      <c r="T110" s="77">
        <f t="shared" si="64"/>
        <v>0.348759221998659</v>
      </c>
      <c r="U110" s="76"/>
      <c r="V110" s="76"/>
      <c r="W110" s="78">
        <f t="shared" si="58"/>
        <v>191.920590207914</v>
      </c>
      <c r="X110" s="79">
        <f t="shared" si="65"/>
        <v>2.66832997987928</v>
      </c>
      <c r="Y110" s="79"/>
      <c r="Z110" s="79"/>
      <c r="AA110" s="79">
        <f t="shared" si="62"/>
        <v>2.66832997987928</v>
      </c>
      <c r="AB110" s="90">
        <v>7.15</v>
      </c>
      <c r="AC110" s="76">
        <f t="shared" si="61"/>
        <v>19.0785593561368</v>
      </c>
      <c r="AD110" s="76">
        <f t="shared" si="57"/>
        <v>210.999149564051</v>
      </c>
      <c r="AE110" s="76">
        <f t="shared" si="59"/>
        <v>34.000850435949</v>
      </c>
    </row>
    <row r="111" customFormat="1" spans="1:31">
      <c r="A111" s="18"/>
      <c r="B111" s="19"/>
      <c r="C111" s="20">
        <v>240802000017</v>
      </c>
      <c r="D111" s="21">
        <v>45512</v>
      </c>
      <c r="E111" s="21" t="s">
        <v>41</v>
      </c>
      <c r="F111" s="19" t="s">
        <v>42</v>
      </c>
      <c r="G111" s="19" t="s">
        <v>148</v>
      </c>
      <c r="H111" s="19">
        <v>52.5</v>
      </c>
      <c r="I111" s="43"/>
      <c r="J111" s="44">
        <v>730325</v>
      </c>
      <c r="K111" s="45"/>
      <c r="L111" s="46">
        <f>SUM(J111/M111)</f>
        <v>1594.4568159986</v>
      </c>
      <c r="M111" s="47">
        <v>458.04</v>
      </c>
      <c r="N111" s="48">
        <v>7.15</v>
      </c>
      <c r="O111" s="49">
        <f>SUM(M111*N111)</f>
        <v>3274.986</v>
      </c>
      <c r="P111" s="53"/>
      <c r="Q111" s="53"/>
      <c r="R111" s="76">
        <f t="shared" si="63"/>
        <v>2514.38028169014</v>
      </c>
      <c r="S111" s="76"/>
      <c r="T111" s="77">
        <f t="shared" si="64"/>
        <v>4.57746478873239</v>
      </c>
      <c r="U111" s="76">
        <f>SUM(40+50)</f>
        <v>90</v>
      </c>
      <c r="V111" s="76"/>
      <c r="W111" s="78">
        <f t="shared" si="58"/>
        <v>2608.95774647887</v>
      </c>
      <c r="X111" s="79">
        <f t="shared" si="65"/>
        <v>35.0218309859155</v>
      </c>
      <c r="Y111" s="79"/>
      <c r="Z111" s="79"/>
      <c r="AA111" s="79">
        <f t="shared" si="62"/>
        <v>35.0218309859155</v>
      </c>
      <c r="AB111" s="90">
        <v>7.15</v>
      </c>
      <c r="AC111" s="76">
        <f t="shared" si="61"/>
        <v>250.406091549296</v>
      </c>
      <c r="AD111" s="76">
        <f t="shared" si="57"/>
        <v>2859.36383802817</v>
      </c>
      <c r="AE111" s="76">
        <f t="shared" si="59"/>
        <v>415.622161971831</v>
      </c>
    </row>
    <row r="112" customFormat="1" spans="1:31">
      <c r="A112" s="18"/>
      <c r="B112" s="19"/>
      <c r="C112" s="20">
        <v>240802000020</v>
      </c>
      <c r="D112" s="21">
        <v>45512</v>
      </c>
      <c r="E112" s="21" t="s">
        <v>41</v>
      </c>
      <c r="F112" s="19" t="s">
        <v>42</v>
      </c>
      <c r="G112" s="19" t="s">
        <v>149</v>
      </c>
      <c r="H112" s="19">
        <v>3</v>
      </c>
      <c r="I112" s="51">
        <v>202</v>
      </c>
      <c r="J112" s="52"/>
      <c r="K112" s="45"/>
      <c r="L112" s="19"/>
      <c r="M112" s="45"/>
      <c r="N112" s="48"/>
      <c r="O112" s="49">
        <f t="shared" si="66"/>
        <v>202</v>
      </c>
      <c r="P112" s="53"/>
      <c r="Q112" s="53"/>
      <c r="R112" s="76">
        <f t="shared" si="63"/>
        <v>143.678873239437</v>
      </c>
      <c r="S112" s="76"/>
      <c r="T112" s="77">
        <f t="shared" si="64"/>
        <v>0.261569416498994</v>
      </c>
      <c r="U112" s="76"/>
      <c r="V112" s="76"/>
      <c r="W112" s="78">
        <f t="shared" si="58"/>
        <v>143.940442655936</v>
      </c>
      <c r="X112" s="79">
        <f t="shared" si="65"/>
        <v>2.00124748490946</v>
      </c>
      <c r="Y112" s="79"/>
      <c r="Z112" s="79"/>
      <c r="AA112" s="79">
        <f t="shared" si="62"/>
        <v>2.00124748490946</v>
      </c>
      <c r="AB112" s="90">
        <v>7.15</v>
      </c>
      <c r="AC112" s="76">
        <f t="shared" si="61"/>
        <v>14.3089195171026</v>
      </c>
      <c r="AD112" s="76">
        <f t="shared" si="57"/>
        <v>158.249362173038</v>
      </c>
      <c r="AE112" s="76">
        <f t="shared" si="59"/>
        <v>43.7506378269618</v>
      </c>
    </row>
    <row r="113" customFormat="1" spans="1:31">
      <c r="A113" s="18"/>
      <c r="B113" s="19"/>
      <c r="C113" s="20">
        <v>240802000021</v>
      </c>
      <c r="D113" s="21">
        <v>45512</v>
      </c>
      <c r="E113" s="21" t="s">
        <v>57</v>
      </c>
      <c r="F113" s="19" t="s">
        <v>57</v>
      </c>
      <c r="G113" s="19" t="s">
        <v>150</v>
      </c>
      <c r="H113" s="19">
        <v>83.5</v>
      </c>
      <c r="I113" s="51">
        <v>5127</v>
      </c>
      <c r="J113" s="52"/>
      <c r="K113" s="45"/>
      <c r="L113" s="19"/>
      <c r="M113" s="45"/>
      <c r="N113" s="48"/>
      <c r="O113" s="49">
        <f t="shared" si="66"/>
        <v>5127</v>
      </c>
      <c r="P113" s="53"/>
      <c r="Q113" s="53"/>
      <c r="R113" s="76">
        <f t="shared" si="63"/>
        <v>3999.06197183099</v>
      </c>
      <c r="S113" s="76"/>
      <c r="T113" s="77">
        <f t="shared" si="64"/>
        <v>7.280348759222</v>
      </c>
      <c r="U113" s="76"/>
      <c r="V113" s="76"/>
      <c r="W113" s="78">
        <f t="shared" si="58"/>
        <v>4006.34232059021</v>
      </c>
      <c r="X113" s="79">
        <f t="shared" si="65"/>
        <v>55.7013883299799</v>
      </c>
      <c r="Y113" s="79">
        <v>5.23</v>
      </c>
      <c r="Z113" s="79"/>
      <c r="AA113" s="79">
        <f t="shared" si="62"/>
        <v>60.9313883299799</v>
      </c>
      <c r="AB113" s="90">
        <v>7.15</v>
      </c>
      <c r="AC113" s="76">
        <f t="shared" si="61"/>
        <v>435.659426559356</v>
      </c>
      <c r="AD113" s="76">
        <f t="shared" si="57"/>
        <v>4442.00174714956</v>
      </c>
      <c r="AE113" s="76">
        <f t="shared" si="59"/>
        <v>684.998252850436</v>
      </c>
    </row>
    <row r="114" customFormat="1" spans="1:31">
      <c r="A114" s="18"/>
      <c r="B114" s="19"/>
      <c r="C114" s="20">
        <v>240802000028</v>
      </c>
      <c r="D114" s="21">
        <v>45512</v>
      </c>
      <c r="E114" s="21" t="s">
        <v>82</v>
      </c>
      <c r="F114" s="19" t="s">
        <v>83</v>
      </c>
      <c r="G114" s="19" t="s">
        <v>151</v>
      </c>
      <c r="H114" s="19">
        <v>4.5</v>
      </c>
      <c r="I114" s="51">
        <v>338.3</v>
      </c>
      <c r="J114" s="52"/>
      <c r="K114" s="45"/>
      <c r="L114" s="19"/>
      <c r="M114" s="45"/>
      <c r="N114" s="48"/>
      <c r="O114" s="49">
        <f t="shared" si="66"/>
        <v>338.3</v>
      </c>
      <c r="P114" s="53"/>
      <c r="Q114" s="53"/>
      <c r="R114" s="76">
        <f t="shared" si="63"/>
        <v>215.518309859155</v>
      </c>
      <c r="S114" s="76"/>
      <c r="T114" s="77">
        <f t="shared" si="64"/>
        <v>0.392354124748491</v>
      </c>
      <c r="U114" s="76"/>
      <c r="V114" s="76"/>
      <c r="W114" s="78">
        <f t="shared" si="58"/>
        <v>215.910663983903</v>
      </c>
      <c r="X114" s="79">
        <f t="shared" si="65"/>
        <v>3.00187122736418</v>
      </c>
      <c r="Y114" s="79"/>
      <c r="Z114" s="79"/>
      <c r="AA114" s="79">
        <f t="shared" si="62"/>
        <v>3.00187122736418</v>
      </c>
      <c r="AB114" s="90">
        <v>7.15</v>
      </c>
      <c r="AC114" s="76">
        <f t="shared" si="61"/>
        <v>21.4633792756539</v>
      </c>
      <c r="AD114" s="76">
        <f t="shared" si="57"/>
        <v>237.374043259557</v>
      </c>
      <c r="AE114" s="76">
        <f t="shared" si="59"/>
        <v>100.925956740443</v>
      </c>
    </row>
    <row r="115" customFormat="1" spans="1:31">
      <c r="A115" s="18"/>
      <c r="B115" s="19"/>
      <c r="C115" s="20">
        <v>240802000033</v>
      </c>
      <c r="D115" s="21">
        <v>45512</v>
      </c>
      <c r="E115" s="21" t="s">
        <v>37</v>
      </c>
      <c r="F115" s="19" t="s">
        <v>38</v>
      </c>
      <c r="G115" s="19" t="s">
        <v>75</v>
      </c>
      <c r="H115" s="19">
        <v>2</v>
      </c>
      <c r="I115" s="51">
        <v>120</v>
      </c>
      <c r="J115" s="52"/>
      <c r="K115" s="45"/>
      <c r="L115" s="19"/>
      <c r="M115" s="45"/>
      <c r="N115" s="48"/>
      <c r="O115" s="49">
        <f t="shared" si="66"/>
        <v>120</v>
      </c>
      <c r="P115" s="53"/>
      <c r="Q115" s="53"/>
      <c r="R115" s="76">
        <f t="shared" si="63"/>
        <v>95.7859154929577</v>
      </c>
      <c r="S115" s="76"/>
      <c r="T115" s="77">
        <f t="shared" si="64"/>
        <v>0.174379610999329</v>
      </c>
      <c r="U115" s="76"/>
      <c r="V115" s="76"/>
      <c r="W115" s="78">
        <f t="shared" si="58"/>
        <v>95.9602951039571</v>
      </c>
      <c r="X115" s="79">
        <f t="shared" si="65"/>
        <v>1.33416498993964</v>
      </c>
      <c r="Y115" s="79"/>
      <c r="Z115" s="79"/>
      <c r="AA115" s="79">
        <f t="shared" si="62"/>
        <v>1.33416498993964</v>
      </c>
      <c r="AB115" s="90">
        <v>7.15</v>
      </c>
      <c r="AC115" s="76">
        <f t="shared" si="61"/>
        <v>9.53927967806841</v>
      </c>
      <c r="AD115" s="76">
        <f t="shared" si="57"/>
        <v>105.499574782025</v>
      </c>
      <c r="AE115" s="76">
        <f t="shared" si="59"/>
        <v>14.5004252179745</v>
      </c>
    </row>
    <row r="116" customFormat="1" spans="1:31">
      <c r="A116" s="18"/>
      <c r="B116" s="19"/>
      <c r="C116" s="20">
        <v>240802000035</v>
      </c>
      <c r="D116" s="21">
        <v>45512</v>
      </c>
      <c r="E116" s="21" t="s">
        <v>44</v>
      </c>
      <c r="F116" s="19" t="s">
        <v>45</v>
      </c>
      <c r="G116" s="19" t="s">
        <v>152</v>
      </c>
      <c r="H116" s="19">
        <v>6</v>
      </c>
      <c r="I116" s="49"/>
      <c r="J116" s="44">
        <v>94977.2</v>
      </c>
      <c r="K116" s="45"/>
      <c r="L116" s="46">
        <f t="shared" ref="L116:L120" si="67">SUM(J116/M116)</f>
        <v>1787.63797031647</v>
      </c>
      <c r="M116" s="47">
        <v>53.129997</v>
      </c>
      <c r="N116" s="48">
        <v>7.15</v>
      </c>
      <c r="O116" s="49">
        <f t="shared" ref="O116:O120" si="68">SUM(M116*N116)</f>
        <v>379.87947855</v>
      </c>
      <c r="P116" s="53"/>
      <c r="Q116" s="53"/>
      <c r="R116" s="76">
        <f t="shared" si="63"/>
        <v>287.357746478873</v>
      </c>
      <c r="S116" s="76"/>
      <c r="T116" s="77">
        <f t="shared" si="64"/>
        <v>0.523138832997988</v>
      </c>
      <c r="U116" s="76"/>
      <c r="V116" s="76"/>
      <c r="W116" s="78">
        <f t="shared" si="58"/>
        <v>287.880885311871</v>
      </c>
      <c r="X116" s="79">
        <f t="shared" si="65"/>
        <v>4.00249496981891</v>
      </c>
      <c r="Y116" s="79"/>
      <c r="Z116" s="79"/>
      <c r="AA116" s="79">
        <f t="shared" si="62"/>
        <v>4.00249496981891</v>
      </c>
      <c r="AB116" s="90">
        <v>7.15</v>
      </c>
      <c r="AC116" s="76">
        <f t="shared" si="61"/>
        <v>28.6178390342052</v>
      </c>
      <c r="AD116" s="76">
        <f t="shared" si="57"/>
        <v>316.498724346076</v>
      </c>
      <c r="AE116" s="76">
        <f t="shared" si="59"/>
        <v>63.3807542039236</v>
      </c>
    </row>
    <row r="117" customFormat="1" spans="1:31">
      <c r="A117" s="18"/>
      <c r="B117" s="19"/>
      <c r="C117" s="20">
        <v>240803000004</v>
      </c>
      <c r="D117" s="21">
        <v>45512</v>
      </c>
      <c r="E117" s="21" t="s">
        <v>82</v>
      </c>
      <c r="F117" s="19" t="s">
        <v>83</v>
      </c>
      <c r="G117" s="19" t="s">
        <v>153</v>
      </c>
      <c r="H117" s="19">
        <v>1.5</v>
      </c>
      <c r="I117" s="51">
        <v>130</v>
      </c>
      <c r="J117" s="52"/>
      <c r="K117" s="45"/>
      <c r="L117" s="19"/>
      <c r="M117" s="45"/>
      <c r="N117" s="48"/>
      <c r="O117" s="49">
        <f t="shared" ref="O117:O127" si="69">SUM(I117)</f>
        <v>130</v>
      </c>
      <c r="P117" s="53"/>
      <c r="Q117" s="53"/>
      <c r="R117" s="76">
        <f t="shared" si="63"/>
        <v>71.8394366197183</v>
      </c>
      <c r="S117" s="76"/>
      <c r="T117" s="77">
        <f t="shared" si="64"/>
        <v>0.130784708249497</v>
      </c>
      <c r="U117" s="76"/>
      <c r="V117" s="76"/>
      <c r="W117" s="78">
        <f t="shared" si="58"/>
        <v>71.9702213279678</v>
      </c>
      <c r="X117" s="79">
        <f t="shared" si="65"/>
        <v>1.00062374245473</v>
      </c>
      <c r="Y117" s="79"/>
      <c r="Z117" s="79"/>
      <c r="AA117" s="79">
        <f t="shared" si="62"/>
        <v>1.00062374245473</v>
      </c>
      <c r="AB117" s="90">
        <v>7.15</v>
      </c>
      <c r="AC117" s="76">
        <f t="shared" si="61"/>
        <v>7.15445975855131</v>
      </c>
      <c r="AD117" s="76">
        <f t="shared" si="57"/>
        <v>79.1246810865191</v>
      </c>
      <c r="AE117" s="76">
        <f t="shared" si="59"/>
        <v>50.8753189134809</v>
      </c>
    </row>
    <row r="118" customFormat="1" spans="1:31">
      <c r="A118" s="18"/>
      <c r="B118" s="19"/>
      <c r="C118" s="20">
        <v>240803000006</v>
      </c>
      <c r="D118" s="21">
        <v>45512</v>
      </c>
      <c r="E118" s="21" t="s">
        <v>57</v>
      </c>
      <c r="F118" s="19" t="s">
        <v>57</v>
      </c>
      <c r="G118" s="19" t="s">
        <v>154</v>
      </c>
      <c r="H118" s="19">
        <v>7</v>
      </c>
      <c r="I118" s="51">
        <v>475.5</v>
      </c>
      <c r="J118" s="52"/>
      <c r="K118" s="45"/>
      <c r="L118" s="19"/>
      <c r="M118" s="45"/>
      <c r="N118" s="48"/>
      <c r="O118" s="49">
        <f t="shared" si="69"/>
        <v>475.5</v>
      </c>
      <c r="P118" s="53"/>
      <c r="Q118" s="53"/>
      <c r="R118" s="76">
        <f t="shared" si="63"/>
        <v>335.250704225352</v>
      </c>
      <c r="S118" s="76"/>
      <c r="T118" s="77">
        <f t="shared" si="64"/>
        <v>0.610328638497653</v>
      </c>
      <c r="U118" s="76">
        <v>30</v>
      </c>
      <c r="V118" s="76"/>
      <c r="W118" s="78">
        <f t="shared" si="58"/>
        <v>365.86103286385</v>
      </c>
      <c r="X118" s="79">
        <f t="shared" si="65"/>
        <v>4.66957746478873</v>
      </c>
      <c r="Y118" s="79"/>
      <c r="Z118" s="79"/>
      <c r="AA118" s="79">
        <f t="shared" si="62"/>
        <v>4.66957746478873</v>
      </c>
      <c r="AB118" s="90">
        <v>7.15</v>
      </c>
      <c r="AC118" s="76">
        <f t="shared" si="61"/>
        <v>33.3874788732394</v>
      </c>
      <c r="AD118" s="76">
        <f t="shared" si="57"/>
        <v>399.248511737089</v>
      </c>
      <c r="AE118" s="76">
        <f t="shared" si="59"/>
        <v>76.2514882629108</v>
      </c>
    </row>
    <row r="119" customFormat="1" spans="1:31">
      <c r="A119" s="18"/>
      <c r="B119" s="19"/>
      <c r="C119" s="20">
        <v>240803000012</v>
      </c>
      <c r="D119" s="21">
        <v>45512</v>
      </c>
      <c r="E119" s="21" t="s">
        <v>44</v>
      </c>
      <c r="F119" s="19" t="s">
        <v>45</v>
      </c>
      <c r="G119" s="19" t="s">
        <v>63</v>
      </c>
      <c r="H119" s="19">
        <v>14.5</v>
      </c>
      <c r="I119" s="49"/>
      <c r="J119" s="44">
        <v>238198</v>
      </c>
      <c r="K119" s="45"/>
      <c r="L119" s="46">
        <f t="shared" si="67"/>
        <v>1875.57480314961</v>
      </c>
      <c r="M119" s="47">
        <v>127</v>
      </c>
      <c r="N119" s="48">
        <v>7.15</v>
      </c>
      <c r="O119" s="49">
        <f t="shared" si="68"/>
        <v>908.05</v>
      </c>
      <c r="P119" s="53"/>
      <c r="Q119" s="53"/>
      <c r="R119" s="76">
        <f t="shared" si="63"/>
        <v>694.447887323944</v>
      </c>
      <c r="S119" s="76"/>
      <c r="T119" s="77">
        <f t="shared" si="64"/>
        <v>1.26425217974514</v>
      </c>
      <c r="U119" s="76"/>
      <c r="V119" s="76"/>
      <c r="W119" s="78">
        <f t="shared" si="58"/>
        <v>695.712139503689</v>
      </c>
      <c r="X119" s="79">
        <f t="shared" si="65"/>
        <v>9.67269617706237</v>
      </c>
      <c r="Y119" s="79">
        <v>19</v>
      </c>
      <c r="Z119" s="79"/>
      <c r="AA119" s="79">
        <f t="shared" si="62"/>
        <v>28.6726961770624</v>
      </c>
      <c r="AB119" s="90">
        <v>7.15</v>
      </c>
      <c r="AC119" s="76">
        <f t="shared" si="61"/>
        <v>205.009777665996</v>
      </c>
      <c r="AD119" s="76">
        <f t="shared" si="57"/>
        <v>900.721917169685</v>
      </c>
      <c r="AE119" s="76">
        <f t="shared" si="59"/>
        <v>7.32808283031534</v>
      </c>
    </row>
    <row r="120" customFormat="1" spans="1:31">
      <c r="A120" s="18"/>
      <c r="B120" s="19"/>
      <c r="C120" s="20">
        <v>240803000013</v>
      </c>
      <c r="D120" s="21">
        <v>45512</v>
      </c>
      <c r="E120" s="21" t="s">
        <v>44</v>
      </c>
      <c r="F120" s="19" t="s">
        <v>45</v>
      </c>
      <c r="G120" s="19" t="s">
        <v>46</v>
      </c>
      <c r="H120" s="19">
        <v>2</v>
      </c>
      <c r="I120" s="43"/>
      <c r="J120" s="44">
        <v>30105</v>
      </c>
      <c r="K120" s="45"/>
      <c r="L120" s="46">
        <f t="shared" si="67"/>
        <v>1591.1733615222</v>
      </c>
      <c r="M120" s="47">
        <v>18.92</v>
      </c>
      <c r="N120" s="48">
        <v>7.15</v>
      </c>
      <c r="O120" s="49">
        <f t="shared" si="68"/>
        <v>135.278</v>
      </c>
      <c r="P120" s="53"/>
      <c r="Q120" s="53"/>
      <c r="R120" s="76">
        <f t="shared" si="63"/>
        <v>95.7859154929577</v>
      </c>
      <c r="S120" s="76"/>
      <c r="T120" s="77">
        <f t="shared" si="64"/>
        <v>0.174379610999329</v>
      </c>
      <c r="U120" s="76"/>
      <c r="V120" s="76"/>
      <c r="W120" s="78">
        <f t="shared" si="58"/>
        <v>95.9602951039571</v>
      </c>
      <c r="X120" s="79">
        <f t="shared" si="65"/>
        <v>1.33416498993964</v>
      </c>
      <c r="Y120" s="79"/>
      <c r="Z120" s="79"/>
      <c r="AA120" s="79">
        <f t="shared" si="62"/>
        <v>1.33416498993964</v>
      </c>
      <c r="AB120" s="90">
        <v>7.15</v>
      </c>
      <c r="AC120" s="76">
        <f t="shared" si="61"/>
        <v>9.53927967806841</v>
      </c>
      <c r="AD120" s="76">
        <f t="shared" si="57"/>
        <v>105.499574782025</v>
      </c>
      <c r="AE120" s="76">
        <f t="shared" ref="AE120:AE130" si="70">SUM(O120-AD120)</f>
        <v>29.7784252179745</v>
      </c>
    </row>
    <row r="121" customFormat="1" spans="1:31">
      <c r="A121" s="18"/>
      <c r="B121" s="19"/>
      <c r="C121" s="20">
        <v>240804000003</v>
      </c>
      <c r="D121" s="21">
        <v>45512</v>
      </c>
      <c r="E121" s="21" t="s">
        <v>82</v>
      </c>
      <c r="F121" s="19" t="s">
        <v>83</v>
      </c>
      <c r="G121" s="19" t="s">
        <v>94</v>
      </c>
      <c r="H121" s="19">
        <v>108</v>
      </c>
      <c r="I121" s="51">
        <v>7359</v>
      </c>
      <c r="J121" s="52"/>
      <c r="K121" s="45"/>
      <c r="L121" s="19"/>
      <c r="M121" s="45"/>
      <c r="N121" s="48"/>
      <c r="O121" s="49">
        <f t="shared" si="69"/>
        <v>7359</v>
      </c>
      <c r="P121" s="53"/>
      <c r="Q121" s="53"/>
      <c r="R121" s="76">
        <f t="shared" si="63"/>
        <v>5172.43943661972</v>
      </c>
      <c r="S121" s="76"/>
      <c r="T121" s="77">
        <f t="shared" si="64"/>
        <v>9.41649899396378</v>
      </c>
      <c r="U121" s="76"/>
      <c r="V121" s="76"/>
      <c r="W121" s="78">
        <f t="shared" ref="W121:W130" si="71">SUM(R121:V121)</f>
        <v>5181.85593561368</v>
      </c>
      <c r="X121" s="79">
        <f t="shared" si="65"/>
        <v>72.0449094567404</v>
      </c>
      <c r="Y121" s="79">
        <v>22.03</v>
      </c>
      <c r="Z121" s="79"/>
      <c r="AA121" s="79">
        <f t="shared" si="62"/>
        <v>94.0749094567404</v>
      </c>
      <c r="AB121" s="90">
        <v>7.15</v>
      </c>
      <c r="AC121" s="76">
        <f t="shared" ref="AC121:AC130" si="72">SUM(AA121*AB121)</f>
        <v>672.635602615694</v>
      </c>
      <c r="AD121" s="76">
        <f t="shared" si="57"/>
        <v>5854.49153822938</v>
      </c>
      <c r="AE121" s="76">
        <f t="shared" si="70"/>
        <v>1504.50846177062</v>
      </c>
    </row>
    <row r="122" customFormat="1" spans="1:31">
      <c r="A122" s="18"/>
      <c r="B122" s="19"/>
      <c r="C122" s="20">
        <v>240806000023</v>
      </c>
      <c r="D122" s="21">
        <v>45512</v>
      </c>
      <c r="E122" s="21" t="s">
        <v>57</v>
      </c>
      <c r="F122" s="19" t="s">
        <v>57</v>
      </c>
      <c r="G122" s="19" t="s">
        <v>155</v>
      </c>
      <c r="H122" s="19">
        <v>622.5</v>
      </c>
      <c r="I122" s="51">
        <v>32370</v>
      </c>
      <c r="J122" s="52"/>
      <c r="K122" s="45"/>
      <c r="L122" s="19"/>
      <c r="M122" s="45"/>
      <c r="N122" s="48"/>
      <c r="O122" s="49">
        <f t="shared" si="69"/>
        <v>32370</v>
      </c>
      <c r="P122" s="54"/>
      <c r="Q122" s="54"/>
      <c r="R122" s="76">
        <f t="shared" si="63"/>
        <v>29813.3661971831</v>
      </c>
      <c r="S122" s="76"/>
      <c r="T122" s="77">
        <f t="shared" si="64"/>
        <v>54.2756539235412</v>
      </c>
      <c r="U122" s="76"/>
      <c r="V122" s="76"/>
      <c r="W122" s="78">
        <f t="shared" si="71"/>
        <v>29867.6418511066</v>
      </c>
      <c r="X122" s="79">
        <f t="shared" si="65"/>
        <v>415.258853118712</v>
      </c>
      <c r="Y122" s="79"/>
      <c r="Z122" s="79"/>
      <c r="AA122" s="79">
        <f t="shared" ref="AA122:AA130" si="73">SUM(X122:Z122)</f>
        <v>415.258853118712</v>
      </c>
      <c r="AB122" s="90">
        <v>7.15</v>
      </c>
      <c r="AC122" s="76">
        <f t="shared" si="72"/>
        <v>2969.10079979879</v>
      </c>
      <c r="AD122" s="76">
        <f t="shared" ref="AD122:AD130" si="74">SUM(W122+AC122)</f>
        <v>32836.7426509054</v>
      </c>
      <c r="AE122" s="76">
        <f t="shared" si="70"/>
        <v>-466.742650905428</v>
      </c>
    </row>
    <row r="123" customFormat="1" spans="1:31">
      <c r="A123" s="18" t="s">
        <v>156</v>
      </c>
      <c r="B123" s="19" t="s">
        <v>157</v>
      </c>
      <c r="C123" s="20">
        <v>240805000001</v>
      </c>
      <c r="D123" s="21">
        <v>45513</v>
      </c>
      <c r="E123" s="21" t="s">
        <v>44</v>
      </c>
      <c r="F123" s="19" t="s">
        <v>45</v>
      </c>
      <c r="G123" s="19" t="s">
        <v>158</v>
      </c>
      <c r="H123" s="19">
        <v>4.5</v>
      </c>
      <c r="I123" s="51">
        <v>540</v>
      </c>
      <c r="J123" s="52"/>
      <c r="K123" s="45"/>
      <c r="L123" s="19"/>
      <c r="M123" s="45"/>
      <c r="N123" s="48"/>
      <c r="O123" s="49">
        <f t="shared" si="69"/>
        <v>540</v>
      </c>
      <c r="P123" s="50">
        <f>SUM(O123:O130)</f>
        <v>4076.419</v>
      </c>
      <c r="Q123" s="50" t="s">
        <v>80</v>
      </c>
      <c r="R123" s="76">
        <f>SUM(2400/32)*H123</f>
        <v>337.5</v>
      </c>
      <c r="S123" s="76"/>
      <c r="T123" s="77">
        <f>SUM(54.99/32)*H123</f>
        <v>7.73296875</v>
      </c>
      <c r="U123" s="76"/>
      <c r="V123" s="76"/>
      <c r="W123" s="78">
        <f t="shared" si="71"/>
        <v>345.23296875</v>
      </c>
      <c r="X123" s="79">
        <f>SUM(48.94/32)*H123</f>
        <v>6.8821875</v>
      </c>
      <c r="Y123" s="79"/>
      <c r="Z123" s="79"/>
      <c r="AA123" s="79">
        <f t="shared" si="73"/>
        <v>6.8821875</v>
      </c>
      <c r="AB123" s="90">
        <v>7.15</v>
      </c>
      <c r="AC123" s="76">
        <f t="shared" si="72"/>
        <v>49.207640625</v>
      </c>
      <c r="AD123" s="76">
        <f t="shared" si="74"/>
        <v>394.440609375</v>
      </c>
      <c r="AE123" s="76">
        <f t="shared" si="70"/>
        <v>145.559390625</v>
      </c>
    </row>
    <row r="124" customFormat="1" spans="1:31">
      <c r="A124" s="18"/>
      <c r="B124" s="19"/>
      <c r="C124" s="20">
        <v>240805000018</v>
      </c>
      <c r="D124" s="21">
        <v>45513</v>
      </c>
      <c r="E124" s="21" t="s">
        <v>37</v>
      </c>
      <c r="F124" s="19" t="s">
        <v>38</v>
      </c>
      <c r="G124" s="19" t="s">
        <v>159</v>
      </c>
      <c r="H124" s="19">
        <v>0.5</v>
      </c>
      <c r="I124" s="51">
        <v>115</v>
      </c>
      <c r="J124" s="52"/>
      <c r="K124" s="45"/>
      <c r="L124" s="19"/>
      <c r="M124" s="45"/>
      <c r="N124" s="48"/>
      <c r="O124" s="49">
        <f t="shared" si="69"/>
        <v>115</v>
      </c>
      <c r="P124" s="53"/>
      <c r="Q124" s="53"/>
      <c r="R124" s="76">
        <f t="shared" ref="R124:R130" si="75">SUM(2400/32)*H124</f>
        <v>37.5</v>
      </c>
      <c r="S124" s="76"/>
      <c r="T124" s="77">
        <f t="shared" ref="T124:T130" si="76">SUM(54.99/32)*H124</f>
        <v>0.85921875</v>
      </c>
      <c r="U124" s="76"/>
      <c r="V124" s="76"/>
      <c r="W124" s="78">
        <f t="shared" si="71"/>
        <v>38.35921875</v>
      </c>
      <c r="X124" s="79">
        <f t="shared" ref="X124:X130" si="77">SUM(48.94/32)*H124</f>
        <v>0.7646875</v>
      </c>
      <c r="Y124" s="79"/>
      <c r="Z124" s="79"/>
      <c r="AA124" s="79">
        <f t="shared" si="73"/>
        <v>0.7646875</v>
      </c>
      <c r="AB124" s="90">
        <v>7.15</v>
      </c>
      <c r="AC124" s="76">
        <f t="shared" si="72"/>
        <v>5.467515625</v>
      </c>
      <c r="AD124" s="76">
        <f t="shared" si="74"/>
        <v>43.826734375</v>
      </c>
      <c r="AE124" s="76">
        <f t="shared" si="70"/>
        <v>71.173265625</v>
      </c>
    </row>
    <row r="125" customFormat="1" spans="1:31">
      <c r="A125" s="18"/>
      <c r="B125" s="19"/>
      <c r="C125" s="20">
        <v>240805000021</v>
      </c>
      <c r="D125" s="21">
        <v>45513</v>
      </c>
      <c r="E125" s="21" t="s">
        <v>51</v>
      </c>
      <c r="F125" s="19" t="s">
        <v>52</v>
      </c>
      <c r="G125" s="19" t="s">
        <v>133</v>
      </c>
      <c r="H125" s="19">
        <v>3</v>
      </c>
      <c r="I125" s="51">
        <v>540</v>
      </c>
      <c r="J125" s="52"/>
      <c r="K125" s="45"/>
      <c r="L125" s="19"/>
      <c r="M125" s="45"/>
      <c r="N125" s="48"/>
      <c r="O125" s="49">
        <f t="shared" si="69"/>
        <v>540</v>
      </c>
      <c r="P125" s="53"/>
      <c r="Q125" s="53"/>
      <c r="R125" s="76">
        <f t="shared" si="75"/>
        <v>225</v>
      </c>
      <c r="S125" s="76"/>
      <c r="T125" s="77">
        <f t="shared" si="76"/>
        <v>5.1553125</v>
      </c>
      <c r="U125" s="76"/>
      <c r="V125" s="76"/>
      <c r="W125" s="78">
        <f t="shared" si="71"/>
        <v>230.1553125</v>
      </c>
      <c r="X125" s="79">
        <f t="shared" si="77"/>
        <v>4.588125</v>
      </c>
      <c r="Y125" s="79"/>
      <c r="Z125" s="79"/>
      <c r="AA125" s="79">
        <f t="shared" si="73"/>
        <v>4.588125</v>
      </c>
      <c r="AB125" s="90">
        <v>7.15</v>
      </c>
      <c r="AC125" s="76">
        <f t="shared" si="72"/>
        <v>32.80509375</v>
      </c>
      <c r="AD125" s="76">
        <f t="shared" si="74"/>
        <v>262.96040625</v>
      </c>
      <c r="AE125" s="76">
        <f t="shared" si="70"/>
        <v>277.03959375</v>
      </c>
    </row>
    <row r="126" customFormat="1" spans="1:31">
      <c r="A126" s="18"/>
      <c r="B126" s="19"/>
      <c r="C126" s="20">
        <v>240806000020</v>
      </c>
      <c r="D126" s="21">
        <v>45513</v>
      </c>
      <c r="E126" s="21" t="s">
        <v>37</v>
      </c>
      <c r="F126" s="19" t="s">
        <v>38</v>
      </c>
      <c r="G126" s="19" t="s">
        <v>160</v>
      </c>
      <c r="H126" s="19">
        <v>13</v>
      </c>
      <c r="I126" s="51">
        <v>1560</v>
      </c>
      <c r="J126" s="52"/>
      <c r="K126" s="45"/>
      <c r="L126" s="19"/>
      <c r="M126" s="45"/>
      <c r="N126" s="48"/>
      <c r="O126" s="49">
        <f t="shared" si="69"/>
        <v>1560</v>
      </c>
      <c r="P126" s="53"/>
      <c r="Q126" s="53"/>
      <c r="R126" s="76">
        <f t="shared" si="75"/>
        <v>975</v>
      </c>
      <c r="S126" s="76"/>
      <c r="T126" s="77">
        <f t="shared" si="76"/>
        <v>22.3396875</v>
      </c>
      <c r="U126" s="76"/>
      <c r="V126" s="76"/>
      <c r="W126" s="78">
        <f t="shared" si="71"/>
        <v>997.3396875</v>
      </c>
      <c r="X126" s="79">
        <f t="shared" si="77"/>
        <v>19.881875</v>
      </c>
      <c r="Y126" s="79"/>
      <c r="Z126" s="79"/>
      <c r="AA126" s="79">
        <f t="shared" si="73"/>
        <v>19.881875</v>
      </c>
      <c r="AB126" s="90">
        <v>7.15</v>
      </c>
      <c r="AC126" s="76">
        <f t="shared" si="72"/>
        <v>142.15540625</v>
      </c>
      <c r="AD126" s="76">
        <f t="shared" si="74"/>
        <v>1139.49509375</v>
      </c>
      <c r="AE126" s="76">
        <f t="shared" si="70"/>
        <v>420.50490625</v>
      </c>
    </row>
    <row r="127" customFormat="1" spans="1:31">
      <c r="A127" s="18"/>
      <c r="B127" s="19"/>
      <c r="C127" s="20">
        <v>240807000036</v>
      </c>
      <c r="D127" s="21">
        <v>45513</v>
      </c>
      <c r="E127" s="21" t="s">
        <v>51</v>
      </c>
      <c r="F127" s="19" t="s">
        <v>52</v>
      </c>
      <c r="G127" s="19" t="s">
        <v>161</v>
      </c>
      <c r="H127" s="19">
        <v>4.5</v>
      </c>
      <c r="I127" s="51">
        <v>517.5</v>
      </c>
      <c r="J127" s="52"/>
      <c r="K127" s="45"/>
      <c r="L127" s="19"/>
      <c r="M127" s="45"/>
      <c r="N127" s="48"/>
      <c r="O127" s="49">
        <f t="shared" si="69"/>
        <v>517.5</v>
      </c>
      <c r="P127" s="53"/>
      <c r="Q127" s="53"/>
      <c r="R127" s="76">
        <f t="shared" si="75"/>
        <v>337.5</v>
      </c>
      <c r="S127" s="76"/>
      <c r="T127" s="77">
        <f t="shared" si="76"/>
        <v>7.73296875</v>
      </c>
      <c r="U127" s="76"/>
      <c r="V127" s="76"/>
      <c r="W127" s="78">
        <f t="shared" si="71"/>
        <v>345.23296875</v>
      </c>
      <c r="X127" s="79">
        <f t="shared" si="77"/>
        <v>6.8821875</v>
      </c>
      <c r="Y127" s="79"/>
      <c r="Z127" s="79"/>
      <c r="AA127" s="79">
        <f t="shared" si="73"/>
        <v>6.8821875</v>
      </c>
      <c r="AB127" s="90">
        <v>7.15</v>
      </c>
      <c r="AC127" s="76">
        <f t="shared" si="72"/>
        <v>49.207640625</v>
      </c>
      <c r="AD127" s="76">
        <f t="shared" si="74"/>
        <v>394.440609375</v>
      </c>
      <c r="AE127" s="76">
        <f t="shared" si="70"/>
        <v>123.059390625</v>
      </c>
    </row>
    <row r="128" customFormat="1" spans="1:31">
      <c r="A128" s="18"/>
      <c r="B128" s="19"/>
      <c r="C128" s="20">
        <v>240807000040</v>
      </c>
      <c r="D128" s="21">
        <v>45513</v>
      </c>
      <c r="E128" s="21" t="s">
        <v>41</v>
      </c>
      <c r="F128" s="19" t="s">
        <v>107</v>
      </c>
      <c r="G128" s="19" t="s">
        <v>108</v>
      </c>
      <c r="H128" s="19">
        <v>4.5</v>
      </c>
      <c r="I128" s="49"/>
      <c r="J128" s="44">
        <v>116735</v>
      </c>
      <c r="K128" s="45"/>
      <c r="L128" s="46">
        <f t="shared" ref="L128:L133" si="78">SUM(J128/M128)</f>
        <v>1624.02615470228</v>
      </c>
      <c r="M128" s="47">
        <v>71.88</v>
      </c>
      <c r="N128" s="48">
        <v>7.15</v>
      </c>
      <c r="O128" s="49">
        <f t="shared" ref="O128:O133" si="79">SUM(M128*N128)</f>
        <v>513.942</v>
      </c>
      <c r="P128" s="53"/>
      <c r="Q128" s="53"/>
      <c r="R128" s="76">
        <f t="shared" si="75"/>
        <v>337.5</v>
      </c>
      <c r="S128" s="76"/>
      <c r="T128" s="77">
        <f t="shared" si="76"/>
        <v>7.73296875</v>
      </c>
      <c r="U128" s="76"/>
      <c r="V128" s="76"/>
      <c r="W128" s="78">
        <f t="shared" si="71"/>
        <v>345.23296875</v>
      </c>
      <c r="X128" s="79">
        <f t="shared" si="77"/>
        <v>6.8821875</v>
      </c>
      <c r="Y128" s="79"/>
      <c r="Z128" s="79"/>
      <c r="AA128" s="79">
        <f t="shared" si="73"/>
        <v>6.8821875</v>
      </c>
      <c r="AB128" s="90">
        <v>7.15</v>
      </c>
      <c r="AC128" s="76">
        <f t="shared" si="72"/>
        <v>49.207640625</v>
      </c>
      <c r="AD128" s="76">
        <f t="shared" si="74"/>
        <v>394.440609375</v>
      </c>
      <c r="AE128" s="76">
        <f t="shared" si="70"/>
        <v>119.501390625</v>
      </c>
    </row>
    <row r="129" customFormat="1" spans="1:31">
      <c r="A129" s="18"/>
      <c r="B129" s="19"/>
      <c r="C129" s="20">
        <v>240808000001</v>
      </c>
      <c r="D129" s="21">
        <v>45513</v>
      </c>
      <c r="E129" s="21" t="s">
        <v>44</v>
      </c>
      <c r="F129" s="19" t="s">
        <v>45</v>
      </c>
      <c r="G129" s="19" t="s">
        <v>162</v>
      </c>
      <c r="H129" s="19">
        <v>0.94</v>
      </c>
      <c r="I129" s="43"/>
      <c r="J129" s="44">
        <v>26520</v>
      </c>
      <c r="K129" s="45"/>
      <c r="L129" s="46">
        <f t="shared" si="78"/>
        <v>1580.45292014303</v>
      </c>
      <c r="M129" s="47">
        <v>16.78</v>
      </c>
      <c r="N129" s="48">
        <v>7.15</v>
      </c>
      <c r="O129" s="49">
        <f t="shared" si="79"/>
        <v>119.977</v>
      </c>
      <c r="P129" s="53"/>
      <c r="Q129" s="53"/>
      <c r="R129" s="76">
        <f t="shared" si="75"/>
        <v>70.5</v>
      </c>
      <c r="S129" s="76"/>
      <c r="T129" s="77">
        <f t="shared" si="76"/>
        <v>1.61533125</v>
      </c>
      <c r="U129" s="76"/>
      <c r="V129" s="76"/>
      <c r="W129" s="78">
        <f t="shared" si="71"/>
        <v>72.11533125</v>
      </c>
      <c r="X129" s="79">
        <f t="shared" si="77"/>
        <v>1.4376125</v>
      </c>
      <c r="Y129" s="79"/>
      <c r="Z129" s="79"/>
      <c r="AA129" s="79">
        <f t="shared" si="73"/>
        <v>1.4376125</v>
      </c>
      <c r="AB129" s="90">
        <v>7.15</v>
      </c>
      <c r="AC129" s="76">
        <f t="shared" si="72"/>
        <v>10.278929375</v>
      </c>
      <c r="AD129" s="76">
        <f t="shared" si="74"/>
        <v>82.394260625</v>
      </c>
      <c r="AE129" s="76">
        <f t="shared" si="70"/>
        <v>37.582739375</v>
      </c>
    </row>
    <row r="130" customFormat="1" spans="1:31">
      <c r="A130" s="18"/>
      <c r="B130" s="19"/>
      <c r="C130" s="20">
        <v>240808000006</v>
      </c>
      <c r="D130" s="21">
        <v>45513</v>
      </c>
      <c r="E130" s="21" t="s">
        <v>37</v>
      </c>
      <c r="F130" s="19" t="s">
        <v>38</v>
      </c>
      <c r="G130" s="19" t="s">
        <v>87</v>
      </c>
      <c r="H130" s="19">
        <v>0.52</v>
      </c>
      <c r="I130" s="51">
        <v>170</v>
      </c>
      <c r="J130" s="52"/>
      <c r="K130" s="45"/>
      <c r="L130" s="19"/>
      <c r="M130" s="45"/>
      <c r="N130" s="48"/>
      <c r="O130" s="49">
        <f t="shared" ref="O130:O132" si="80">SUM(I130)</f>
        <v>170</v>
      </c>
      <c r="P130" s="54"/>
      <c r="Q130" s="54"/>
      <c r="R130" s="76">
        <f t="shared" si="75"/>
        <v>39</v>
      </c>
      <c r="S130" s="76"/>
      <c r="T130" s="77">
        <f t="shared" si="76"/>
        <v>0.8935875</v>
      </c>
      <c r="U130" s="76"/>
      <c r="V130" s="76"/>
      <c r="W130" s="78">
        <f t="shared" ref="W130:W157" si="81">SUM(R130:V130)</f>
        <v>39.8935875</v>
      </c>
      <c r="X130" s="79">
        <f t="shared" si="77"/>
        <v>0.795275</v>
      </c>
      <c r="Y130" s="79"/>
      <c r="Z130" s="79"/>
      <c r="AA130" s="79">
        <f t="shared" ref="AA130:AA157" si="82">SUM(X130:Z130)</f>
        <v>0.795275</v>
      </c>
      <c r="AB130" s="90">
        <v>7.15</v>
      </c>
      <c r="AC130" s="76">
        <f t="shared" ref="AC130:AC154" si="83">SUM(AA130*AB130)</f>
        <v>5.68621625</v>
      </c>
      <c r="AD130" s="76">
        <f t="shared" ref="AD130:AD154" si="84">SUM(W130+AC130)</f>
        <v>45.57980375</v>
      </c>
      <c r="AE130" s="76">
        <f t="shared" ref="AE130:AE154" si="85">SUM(O130-AD130)</f>
        <v>124.42019625</v>
      </c>
    </row>
    <row r="131" customFormat="1" spans="1:31">
      <c r="A131" s="18" t="s">
        <v>163</v>
      </c>
      <c r="B131" s="19" t="s">
        <v>164</v>
      </c>
      <c r="C131" s="20">
        <v>240731000022</v>
      </c>
      <c r="D131" s="21">
        <v>45514</v>
      </c>
      <c r="E131" s="21" t="s">
        <v>57</v>
      </c>
      <c r="F131" s="19" t="s">
        <v>57</v>
      </c>
      <c r="G131" s="19" t="s">
        <v>165</v>
      </c>
      <c r="H131" s="19">
        <v>156.5</v>
      </c>
      <c r="I131" s="51">
        <v>9500.5</v>
      </c>
      <c r="J131" s="52"/>
      <c r="K131" s="45"/>
      <c r="L131" s="19"/>
      <c r="M131" s="45"/>
      <c r="N131" s="48"/>
      <c r="O131" s="49">
        <f t="shared" si="80"/>
        <v>9500.5</v>
      </c>
      <c r="P131" s="50">
        <f>SUM(O131:O154)</f>
        <v>97274.6725</v>
      </c>
      <c r="Q131" s="50" t="s">
        <v>40</v>
      </c>
      <c r="R131" s="76">
        <f>SUM(69082/1686)*H131</f>
        <v>6412.41577698695</v>
      </c>
      <c r="S131" s="76"/>
      <c r="T131" s="77">
        <f>SUM(181.05/1686)*H131</f>
        <v>16.8056494661922</v>
      </c>
      <c r="U131" s="76"/>
      <c r="V131" s="76"/>
      <c r="W131" s="78">
        <f t="shared" si="81"/>
        <v>6429.22142645314</v>
      </c>
      <c r="X131" s="79">
        <f>SUM(1019.54/1686)*H131</f>
        <v>94.6370166073547</v>
      </c>
      <c r="Y131" s="79"/>
      <c r="Z131" s="79"/>
      <c r="AA131" s="79">
        <f t="shared" si="82"/>
        <v>94.6370166073547</v>
      </c>
      <c r="AB131" s="90">
        <v>7.15</v>
      </c>
      <c r="AC131" s="76">
        <f t="shared" si="83"/>
        <v>676.654668742586</v>
      </c>
      <c r="AD131" s="76">
        <f t="shared" si="84"/>
        <v>7105.87609519573</v>
      </c>
      <c r="AE131" s="76">
        <f t="shared" si="85"/>
        <v>2394.62390480427</v>
      </c>
    </row>
    <row r="132" customFormat="1" spans="1:31">
      <c r="A132" s="18"/>
      <c r="B132" s="19"/>
      <c r="C132" s="20">
        <v>240801000006</v>
      </c>
      <c r="D132" s="21">
        <v>45514</v>
      </c>
      <c r="E132" s="21" t="s">
        <v>41</v>
      </c>
      <c r="F132" s="19" t="s">
        <v>42</v>
      </c>
      <c r="G132" s="19" t="s">
        <v>166</v>
      </c>
      <c r="H132" s="19">
        <v>41</v>
      </c>
      <c r="I132" s="51">
        <v>2835.5</v>
      </c>
      <c r="J132" s="52"/>
      <c r="K132" s="45"/>
      <c r="L132" s="19"/>
      <c r="M132" s="45"/>
      <c r="N132" s="48"/>
      <c r="O132" s="49">
        <f t="shared" si="80"/>
        <v>2835.5</v>
      </c>
      <c r="P132" s="53"/>
      <c r="Q132" s="53"/>
      <c r="R132" s="76">
        <f t="shared" ref="R132:R154" si="86">SUM(69082/1686)*H132</f>
        <v>1679.9300118624</v>
      </c>
      <c r="S132" s="76"/>
      <c r="T132" s="77">
        <f t="shared" ref="T132:T154" si="87">SUM(181.05/1686)*H132</f>
        <v>4.40275800711744</v>
      </c>
      <c r="U132" s="76"/>
      <c r="V132" s="76"/>
      <c r="W132" s="78">
        <f t="shared" si="81"/>
        <v>1684.33276986951</v>
      </c>
      <c r="X132" s="79">
        <f t="shared" ref="X132:X154" si="88">SUM(1019.54/1686)*H132</f>
        <v>24.793084223013</v>
      </c>
      <c r="Y132" s="79"/>
      <c r="Z132" s="79"/>
      <c r="AA132" s="79">
        <f t="shared" si="82"/>
        <v>24.793084223013</v>
      </c>
      <c r="AB132" s="90">
        <v>7.15</v>
      </c>
      <c r="AC132" s="76">
        <f t="shared" si="83"/>
        <v>177.270552194543</v>
      </c>
      <c r="AD132" s="76">
        <f t="shared" si="84"/>
        <v>1861.60332206406</v>
      </c>
      <c r="AE132" s="76">
        <f t="shared" si="85"/>
        <v>973.896677935943</v>
      </c>
    </row>
    <row r="133" customFormat="1" spans="1:31">
      <c r="A133" s="18"/>
      <c r="B133" s="19"/>
      <c r="C133" s="20">
        <v>240802000001</v>
      </c>
      <c r="D133" s="21">
        <v>45514</v>
      </c>
      <c r="E133" s="21" t="s">
        <v>44</v>
      </c>
      <c r="F133" s="19" t="s">
        <v>45</v>
      </c>
      <c r="G133" s="19" t="s">
        <v>46</v>
      </c>
      <c r="H133" s="19">
        <v>0.6</v>
      </c>
      <c r="I133" s="43"/>
      <c r="J133" s="44">
        <v>14049</v>
      </c>
      <c r="K133" s="45"/>
      <c r="L133" s="46">
        <f t="shared" si="78"/>
        <v>1594.66515323496</v>
      </c>
      <c r="M133" s="47">
        <v>8.81</v>
      </c>
      <c r="N133" s="48">
        <v>7.15</v>
      </c>
      <c r="O133" s="49">
        <f t="shared" si="79"/>
        <v>62.9915</v>
      </c>
      <c r="P133" s="53"/>
      <c r="Q133" s="53"/>
      <c r="R133" s="76">
        <f t="shared" si="86"/>
        <v>24.5843416370107</v>
      </c>
      <c r="S133" s="76"/>
      <c r="T133" s="77">
        <f t="shared" si="87"/>
        <v>0.0644306049822064</v>
      </c>
      <c r="U133" s="76"/>
      <c r="V133" s="76"/>
      <c r="W133" s="78">
        <f t="shared" si="81"/>
        <v>24.6487722419929</v>
      </c>
      <c r="X133" s="79">
        <f t="shared" si="88"/>
        <v>0.362825622775801</v>
      </c>
      <c r="Y133" s="79"/>
      <c r="Z133" s="79"/>
      <c r="AA133" s="79">
        <f t="shared" si="82"/>
        <v>0.362825622775801</v>
      </c>
      <c r="AB133" s="90">
        <v>7.15</v>
      </c>
      <c r="AC133" s="76">
        <f t="shared" si="83"/>
        <v>2.59420320284697</v>
      </c>
      <c r="AD133" s="76">
        <f t="shared" si="84"/>
        <v>27.2429754448399</v>
      </c>
      <c r="AE133" s="76">
        <f t="shared" si="85"/>
        <v>35.7485245551602</v>
      </c>
    </row>
    <row r="134" customFormat="1" spans="1:31">
      <c r="A134" s="18"/>
      <c r="B134" s="19"/>
      <c r="C134" s="20">
        <v>240802000006</v>
      </c>
      <c r="D134" s="21">
        <v>45514</v>
      </c>
      <c r="E134" s="21" t="s">
        <v>51</v>
      </c>
      <c r="F134" s="19" t="s">
        <v>52</v>
      </c>
      <c r="G134" s="19" t="s">
        <v>122</v>
      </c>
      <c r="H134" s="19">
        <v>10.5</v>
      </c>
      <c r="I134" s="51">
        <v>604.5</v>
      </c>
      <c r="J134" s="52"/>
      <c r="K134" s="45"/>
      <c r="L134" s="19"/>
      <c r="M134" s="45"/>
      <c r="N134" s="48"/>
      <c r="O134" s="49">
        <f t="shared" ref="O134:O138" si="89">SUM(I134)</f>
        <v>604.5</v>
      </c>
      <c r="P134" s="53"/>
      <c r="Q134" s="53"/>
      <c r="R134" s="76">
        <f t="shared" si="86"/>
        <v>430.225978647687</v>
      </c>
      <c r="S134" s="76"/>
      <c r="T134" s="77">
        <f t="shared" si="87"/>
        <v>1.12753558718861</v>
      </c>
      <c r="U134" s="76"/>
      <c r="V134" s="76"/>
      <c r="W134" s="78">
        <f t="shared" si="81"/>
        <v>431.353514234875</v>
      </c>
      <c r="X134" s="79">
        <f t="shared" si="88"/>
        <v>6.34944839857651</v>
      </c>
      <c r="Y134" s="79"/>
      <c r="Z134" s="79"/>
      <c r="AA134" s="79">
        <f t="shared" si="82"/>
        <v>6.34944839857651</v>
      </c>
      <c r="AB134" s="90">
        <v>7.15</v>
      </c>
      <c r="AC134" s="76">
        <f t="shared" si="83"/>
        <v>45.3985560498221</v>
      </c>
      <c r="AD134" s="76">
        <f t="shared" si="84"/>
        <v>476.752070284697</v>
      </c>
      <c r="AE134" s="76">
        <f t="shared" si="85"/>
        <v>127.747929715303</v>
      </c>
    </row>
    <row r="135" customFormat="1" spans="1:31">
      <c r="A135" s="18"/>
      <c r="B135" s="19"/>
      <c r="C135" s="20">
        <v>240802000013</v>
      </c>
      <c r="D135" s="21">
        <v>45514</v>
      </c>
      <c r="E135" s="21" t="s">
        <v>37</v>
      </c>
      <c r="F135" s="19" t="s">
        <v>38</v>
      </c>
      <c r="G135" s="19" t="s">
        <v>167</v>
      </c>
      <c r="H135" s="19">
        <v>10</v>
      </c>
      <c r="I135" s="57">
        <v>630</v>
      </c>
      <c r="J135" s="52"/>
      <c r="K135" s="45"/>
      <c r="L135" s="19"/>
      <c r="M135" s="45"/>
      <c r="N135" s="48"/>
      <c r="O135" s="49">
        <f>SUBTOTAL(9,I135)</f>
        <v>630</v>
      </c>
      <c r="P135" s="53"/>
      <c r="Q135" s="53"/>
      <c r="R135" s="76">
        <f t="shared" si="86"/>
        <v>409.739027283511</v>
      </c>
      <c r="S135" s="76"/>
      <c r="T135" s="77">
        <f t="shared" si="87"/>
        <v>1.07384341637011</v>
      </c>
      <c r="U135" s="76"/>
      <c r="V135" s="76"/>
      <c r="W135" s="78">
        <f t="shared" si="81"/>
        <v>410.812870699881</v>
      </c>
      <c r="X135" s="79">
        <f t="shared" si="88"/>
        <v>6.04709371293001</v>
      </c>
      <c r="Y135" s="79"/>
      <c r="Z135" s="79"/>
      <c r="AA135" s="79">
        <f t="shared" si="82"/>
        <v>6.04709371293001</v>
      </c>
      <c r="AB135" s="90">
        <v>7.15</v>
      </c>
      <c r="AC135" s="76">
        <f t="shared" si="83"/>
        <v>43.2367200474496</v>
      </c>
      <c r="AD135" s="76">
        <f t="shared" si="84"/>
        <v>454.049590747331</v>
      </c>
      <c r="AE135" s="76">
        <f t="shared" si="85"/>
        <v>175.950409252669</v>
      </c>
    </row>
    <row r="136" customFormat="1" spans="1:31">
      <c r="A136" s="18"/>
      <c r="B136" s="19"/>
      <c r="C136" s="20">
        <v>240802000015</v>
      </c>
      <c r="D136" s="21">
        <v>45514</v>
      </c>
      <c r="E136" s="21" t="s">
        <v>41</v>
      </c>
      <c r="F136" s="19" t="s">
        <v>42</v>
      </c>
      <c r="G136" s="19" t="s">
        <v>168</v>
      </c>
      <c r="H136" s="19">
        <v>35.5</v>
      </c>
      <c r="I136" s="43"/>
      <c r="J136" s="44">
        <v>476997</v>
      </c>
      <c r="K136" s="45"/>
      <c r="L136" s="46">
        <f t="shared" ref="L136:L140" si="90">SUM(J136/M136)</f>
        <v>1594.45447252306</v>
      </c>
      <c r="M136" s="47">
        <v>299.16</v>
      </c>
      <c r="N136" s="48">
        <v>7.15</v>
      </c>
      <c r="O136" s="49">
        <f t="shared" ref="O136:O140" si="91">SUM(M136*N136)</f>
        <v>2138.994</v>
      </c>
      <c r="P136" s="53"/>
      <c r="Q136" s="53"/>
      <c r="R136" s="76">
        <f t="shared" si="86"/>
        <v>1454.57354685647</v>
      </c>
      <c r="S136" s="76"/>
      <c r="T136" s="77">
        <f t="shared" si="87"/>
        <v>3.81214412811388</v>
      </c>
      <c r="U136" s="76"/>
      <c r="V136" s="76"/>
      <c r="W136" s="78">
        <f t="shared" si="81"/>
        <v>1458.38569098458</v>
      </c>
      <c r="X136" s="79">
        <f t="shared" si="88"/>
        <v>21.4671826809015</v>
      </c>
      <c r="Y136" s="79"/>
      <c r="Z136" s="79"/>
      <c r="AA136" s="79">
        <f t="shared" si="82"/>
        <v>21.4671826809015</v>
      </c>
      <c r="AB136" s="90">
        <v>7.15</v>
      </c>
      <c r="AC136" s="76">
        <f t="shared" si="83"/>
        <v>153.490356168446</v>
      </c>
      <c r="AD136" s="76">
        <f t="shared" si="84"/>
        <v>1611.87604715302</v>
      </c>
      <c r="AE136" s="76">
        <f t="shared" si="85"/>
        <v>527.117952846975</v>
      </c>
    </row>
    <row r="137" customFormat="1" spans="1:31">
      <c r="A137" s="18"/>
      <c r="B137" s="19"/>
      <c r="C137" s="20">
        <v>240802000018</v>
      </c>
      <c r="D137" s="21">
        <v>45514</v>
      </c>
      <c r="E137" s="21" t="s">
        <v>41</v>
      </c>
      <c r="F137" s="19" t="s">
        <v>42</v>
      </c>
      <c r="G137" s="19" t="s">
        <v>116</v>
      </c>
      <c r="H137" s="19">
        <v>4.5</v>
      </c>
      <c r="I137" s="51">
        <v>273</v>
      </c>
      <c r="J137" s="52"/>
      <c r="K137" s="45"/>
      <c r="L137" s="19"/>
      <c r="M137" s="45"/>
      <c r="N137" s="48"/>
      <c r="O137" s="49">
        <f t="shared" si="89"/>
        <v>273</v>
      </c>
      <c r="P137" s="53"/>
      <c r="Q137" s="53"/>
      <c r="R137" s="76">
        <f t="shared" si="86"/>
        <v>184.38256227758</v>
      </c>
      <c r="S137" s="76"/>
      <c r="T137" s="77">
        <f t="shared" si="87"/>
        <v>0.483229537366548</v>
      </c>
      <c r="U137" s="76"/>
      <c r="V137" s="76"/>
      <c r="W137" s="78">
        <f t="shared" si="81"/>
        <v>184.865791814947</v>
      </c>
      <c r="X137" s="79">
        <f t="shared" si="88"/>
        <v>2.72119217081851</v>
      </c>
      <c r="Y137" s="79"/>
      <c r="Z137" s="79"/>
      <c r="AA137" s="79">
        <f t="shared" si="82"/>
        <v>2.72119217081851</v>
      </c>
      <c r="AB137" s="90">
        <v>7.15</v>
      </c>
      <c r="AC137" s="76">
        <f t="shared" si="83"/>
        <v>19.4565240213523</v>
      </c>
      <c r="AD137" s="76">
        <f t="shared" si="84"/>
        <v>204.322315836299</v>
      </c>
      <c r="AE137" s="76">
        <f t="shared" si="85"/>
        <v>68.6776841637011</v>
      </c>
    </row>
    <row r="138" customFormat="1" spans="1:31">
      <c r="A138" s="18"/>
      <c r="B138" s="19"/>
      <c r="C138" s="20">
        <v>240802000019</v>
      </c>
      <c r="D138" s="21">
        <v>45514</v>
      </c>
      <c r="E138" s="21" t="s">
        <v>41</v>
      </c>
      <c r="F138" s="19" t="s">
        <v>42</v>
      </c>
      <c r="G138" s="19" t="s">
        <v>169</v>
      </c>
      <c r="H138" s="19">
        <v>3</v>
      </c>
      <c r="I138" s="51">
        <v>201</v>
      </c>
      <c r="J138" s="52"/>
      <c r="K138" s="45"/>
      <c r="L138" s="19"/>
      <c r="M138" s="45"/>
      <c r="N138" s="48"/>
      <c r="O138" s="49">
        <f t="shared" si="89"/>
        <v>201</v>
      </c>
      <c r="P138" s="53"/>
      <c r="Q138" s="53"/>
      <c r="R138" s="76">
        <f t="shared" si="86"/>
        <v>122.921708185053</v>
      </c>
      <c r="S138" s="76"/>
      <c r="T138" s="77">
        <f t="shared" si="87"/>
        <v>0.322153024911032</v>
      </c>
      <c r="U138" s="76"/>
      <c r="V138" s="76"/>
      <c r="W138" s="78">
        <f t="shared" si="81"/>
        <v>123.243861209964</v>
      </c>
      <c r="X138" s="79">
        <f t="shared" si="88"/>
        <v>1.814128113879</v>
      </c>
      <c r="Y138" s="79"/>
      <c r="Z138" s="79"/>
      <c r="AA138" s="79">
        <f t="shared" si="82"/>
        <v>1.814128113879</v>
      </c>
      <c r="AB138" s="90">
        <v>7.15</v>
      </c>
      <c r="AC138" s="76">
        <f t="shared" si="83"/>
        <v>12.9710160142349</v>
      </c>
      <c r="AD138" s="76">
        <f t="shared" si="84"/>
        <v>136.214877224199</v>
      </c>
      <c r="AE138" s="76">
        <f t="shared" si="85"/>
        <v>64.7851227758007</v>
      </c>
    </row>
    <row r="139" customFormat="1" spans="1:31">
      <c r="A139" s="18"/>
      <c r="B139" s="19"/>
      <c r="C139" s="20">
        <v>240802000024</v>
      </c>
      <c r="D139" s="21">
        <v>45514</v>
      </c>
      <c r="E139" s="21" t="s">
        <v>41</v>
      </c>
      <c r="F139" s="19" t="s">
        <v>42</v>
      </c>
      <c r="G139" s="19" t="s">
        <v>170</v>
      </c>
      <c r="H139" s="19">
        <v>196.5</v>
      </c>
      <c r="I139" s="43"/>
      <c r="J139" s="44">
        <v>2366744.25</v>
      </c>
      <c r="K139" s="45"/>
      <c r="L139" s="46">
        <f t="shared" si="90"/>
        <v>1580.15759886232</v>
      </c>
      <c r="M139" s="47">
        <v>1497.79</v>
      </c>
      <c r="N139" s="48">
        <v>7.15</v>
      </c>
      <c r="O139" s="49">
        <f t="shared" si="91"/>
        <v>10709.1985</v>
      </c>
      <c r="P139" s="53"/>
      <c r="Q139" s="53"/>
      <c r="R139" s="76">
        <f t="shared" si="86"/>
        <v>8051.371886121</v>
      </c>
      <c r="S139" s="76"/>
      <c r="T139" s="77">
        <f t="shared" si="87"/>
        <v>21.1010231316726</v>
      </c>
      <c r="U139" s="76"/>
      <c r="V139" s="76"/>
      <c r="W139" s="78">
        <f t="shared" si="81"/>
        <v>8072.47290925267</v>
      </c>
      <c r="X139" s="79">
        <f t="shared" si="88"/>
        <v>118.825391459075</v>
      </c>
      <c r="Y139" s="79"/>
      <c r="Z139" s="79"/>
      <c r="AA139" s="79">
        <f t="shared" si="82"/>
        <v>118.825391459075</v>
      </c>
      <c r="AB139" s="90">
        <v>7.15</v>
      </c>
      <c r="AC139" s="76">
        <f t="shared" si="83"/>
        <v>849.601548932384</v>
      </c>
      <c r="AD139" s="76">
        <f t="shared" si="84"/>
        <v>8922.07445818505</v>
      </c>
      <c r="AE139" s="76">
        <f t="shared" si="85"/>
        <v>1787.12404181495</v>
      </c>
    </row>
    <row r="140" customFormat="1" spans="1:31">
      <c r="A140" s="18"/>
      <c r="B140" s="19"/>
      <c r="C140" s="20">
        <v>240802000038</v>
      </c>
      <c r="D140" s="21">
        <v>45514</v>
      </c>
      <c r="E140" s="21" t="s">
        <v>51</v>
      </c>
      <c r="F140" s="19" t="s">
        <v>52</v>
      </c>
      <c r="G140" s="19" t="s">
        <v>171</v>
      </c>
      <c r="H140" s="19">
        <v>296.5</v>
      </c>
      <c r="I140" s="49"/>
      <c r="J140" s="44">
        <v>3760192</v>
      </c>
      <c r="K140" s="45"/>
      <c r="L140" s="46">
        <f t="shared" si="90"/>
        <v>1640</v>
      </c>
      <c r="M140" s="47">
        <v>2292.8</v>
      </c>
      <c r="N140" s="48">
        <v>7.15</v>
      </c>
      <c r="O140" s="49">
        <f t="shared" si="91"/>
        <v>16393.52</v>
      </c>
      <c r="P140" s="53"/>
      <c r="Q140" s="53"/>
      <c r="R140" s="76">
        <f t="shared" si="86"/>
        <v>12148.7621589561</v>
      </c>
      <c r="S140" s="76"/>
      <c r="T140" s="77">
        <f t="shared" si="87"/>
        <v>31.8394572953737</v>
      </c>
      <c r="U140" s="76"/>
      <c r="V140" s="76"/>
      <c r="W140" s="78">
        <f t="shared" si="81"/>
        <v>12180.6016162515</v>
      </c>
      <c r="X140" s="79">
        <f t="shared" si="88"/>
        <v>179.296328588375</v>
      </c>
      <c r="Y140" s="79"/>
      <c r="Z140" s="79"/>
      <c r="AA140" s="79">
        <f t="shared" si="82"/>
        <v>179.296328588375</v>
      </c>
      <c r="AB140" s="90">
        <v>7.15</v>
      </c>
      <c r="AC140" s="76">
        <f t="shared" si="83"/>
        <v>1281.96874940688</v>
      </c>
      <c r="AD140" s="76">
        <f t="shared" si="84"/>
        <v>13462.5703656584</v>
      </c>
      <c r="AE140" s="76">
        <f t="shared" si="85"/>
        <v>2930.94963434164</v>
      </c>
    </row>
    <row r="141" customFormat="1" spans="1:31">
      <c r="A141" s="18"/>
      <c r="B141" s="19"/>
      <c r="C141" s="20">
        <v>240802000044</v>
      </c>
      <c r="D141" s="21">
        <v>45514</v>
      </c>
      <c r="E141" s="21" t="s">
        <v>44</v>
      </c>
      <c r="F141" s="19" t="s">
        <v>45</v>
      </c>
      <c r="G141" s="19" t="s">
        <v>172</v>
      </c>
      <c r="H141" s="19">
        <v>5</v>
      </c>
      <c r="I141" s="51">
        <v>333</v>
      </c>
      <c r="J141" s="52"/>
      <c r="K141" s="45"/>
      <c r="L141" s="19"/>
      <c r="M141" s="45"/>
      <c r="N141" s="48"/>
      <c r="O141" s="49">
        <f t="shared" ref="O141:O150" si="92">SUM(I141)</f>
        <v>333</v>
      </c>
      <c r="P141" s="53"/>
      <c r="Q141" s="53"/>
      <c r="R141" s="76">
        <f t="shared" si="86"/>
        <v>204.869513641756</v>
      </c>
      <c r="S141" s="76"/>
      <c r="T141" s="77">
        <f t="shared" si="87"/>
        <v>0.536921708185053</v>
      </c>
      <c r="U141" s="76"/>
      <c r="V141" s="76"/>
      <c r="W141" s="78">
        <f t="shared" si="81"/>
        <v>205.406435349941</v>
      </c>
      <c r="X141" s="79">
        <f t="shared" si="88"/>
        <v>3.02354685646501</v>
      </c>
      <c r="Y141" s="79"/>
      <c r="Z141" s="79"/>
      <c r="AA141" s="79">
        <f t="shared" si="82"/>
        <v>3.02354685646501</v>
      </c>
      <c r="AB141" s="90">
        <v>7.15</v>
      </c>
      <c r="AC141" s="76">
        <f t="shared" si="83"/>
        <v>21.6183600237248</v>
      </c>
      <c r="AD141" s="76">
        <f t="shared" si="84"/>
        <v>227.024795373665</v>
      </c>
      <c r="AE141" s="76">
        <f t="shared" si="85"/>
        <v>105.975204626335</v>
      </c>
    </row>
    <row r="142" customFormat="1" spans="1:31">
      <c r="A142" s="18"/>
      <c r="B142" s="19"/>
      <c r="C142" s="20">
        <v>240803000007</v>
      </c>
      <c r="D142" s="21">
        <v>45514</v>
      </c>
      <c r="E142" s="21" t="s">
        <v>173</v>
      </c>
      <c r="F142" s="19" t="s">
        <v>57</v>
      </c>
      <c r="G142" s="19" t="s">
        <v>174</v>
      </c>
      <c r="H142" s="19">
        <v>0.44</v>
      </c>
      <c r="I142" s="51">
        <v>82</v>
      </c>
      <c r="J142" s="52"/>
      <c r="K142" s="45"/>
      <c r="L142" s="19"/>
      <c r="M142" s="45"/>
      <c r="N142" s="48"/>
      <c r="O142" s="49">
        <f t="shared" si="92"/>
        <v>82</v>
      </c>
      <c r="P142" s="53"/>
      <c r="Q142" s="53"/>
      <c r="R142" s="76">
        <f t="shared" si="86"/>
        <v>18.0285172004745</v>
      </c>
      <c r="S142" s="76"/>
      <c r="T142" s="77">
        <f t="shared" si="87"/>
        <v>0.0472491103202847</v>
      </c>
      <c r="U142" s="76"/>
      <c r="V142" s="77">
        <v>19</v>
      </c>
      <c r="W142" s="78">
        <f t="shared" si="81"/>
        <v>37.0757663107948</v>
      </c>
      <c r="X142" s="79">
        <f t="shared" si="88"/>
        <v>0.26607212336892</v>
      </c>
      <c r="Y142" s="79"/>
      <c r="Z142" s="79"/>
      <c r="AA142" s="79">
        <f t="shared" si="82"/>
        <v>0.26607212336892</v>
      </c>
      <c r="AB142" s="90">
        <v>7.15</v>
      </c>
      <c r="AC142" s="76">
        <f t="shared" si="83"/>
        <v>1.90241568208778</v>
      </c>
      <c r="AD142" s="76">
        <f t="shared" si="84"/>
        <v>38.9781819928826</v>
      </c>
      <c r="AE142" s="76">
        <f t="shared" si="85"/>
        <v>43.0218180071174</v>
      </c>
    </row>
    <row r="143" customFormat="1" spans="1:31">
      <c r="A143" s="18"/>
      <c r="B143" s="19"/>
      <c r="C143" s="20">
        <v>240803000009</v>
      </c>
      <c r="D143" s="21">
        <v>45514</v>
      </c>
      <c r="E143" s="21" t="s">
        <v>57</v>
      </c>
      <c r="F143" s="19" t="s">
        <v>57</v>
      </c>
      <c r="G143" s="19" t="s">
        <v>175</v>
      </c>
      <c r="H143" s="19">
        <v>3</v>
      </c>
      <c r="I143" s="43"/>
      <c r="J143" s="44">
        <v>40809</v>
      </c>
      <c r="K143" s="45"/>
      <c r="L143" s="46">
        <f>SUM(J143/M143)</f>
        <v>1594.7245017585</v>
      </c>
      <c r="M143" s="47">
        <v>25.59</v>
      </c>
      <c r="N143" s="48">
        <v>7.15</v>
      </c>
      <c r="O143" s="49">
        <f>SUM(M143*N143)</f>
        <v>182.9685</v>
      </c>
      <c r="P143" s="53"/>
      <c r="Q143" s="53"/>
      <c r="R143" s="76">
        <f t="shared" si="86"/>
        <v>122.921708185053</v>
      </c>
      <c r="S143" s="76"/>
      <c r="T143" s="77">
        <f t="shared" si="87"/>
        <v>0.322153024911032</v>
      </c>
      <c r="U143" s="76"/>
      <c r="V143" s="76"/>
      <c r="W143" s="78">
        <f t="shared" si="81"/>
        <v>123.243861209964</v>
      </c>
      <c r="X143" s="79">
        <f t="shared" si="88"/>
        <v>1.814128113879</v>
      </c>
      <c r="Y143" s="79"/>
      <c r="Z143" s="79"/>
      <c r="AA143" s="79">
        <f t="shared" si="82"/>
        <v>1.814128113879</v>
      </c>
      <c r="AB143" s="90">
        <v>7.15</v>
      </c>
      <c r="AC143" s="76">
        <f t="shared" si="83"/>
        <v>12.9710160142349</v>
      </c>
      <c r="AD143" s="76">
        <f t="shared" si="84"/>
        <v>136.214877224199</v>
      </c>
      <c r="AE143" s="76">
        <f t="shared" si="85"/>
        <v>46.7536227758007</v>
      </c>
    </row>
    <row r="144" customFormat="1" spans="1:31">
      <c r="A144" s="18"/>
      <c r="B144" s="19"/>
      <c r="C144" s="20">
        <v>240803000010</v>
      </c>
      <c r="D144" s="21">
        <v>45514</v>
      </c>
      <c r="E144" s="21" t="s">
        <v>51</v>
      </c>
      <c r="F144" s="19" t="s">
        <v>52</v>
      </c>
      <c r="G144" s="19" t="s">
        <v>53</v>
      </c>
      <c r="H144" s="19">
        <v>12.5</v>
      </c>
      <c r="I144" s="51">
        <v>718.5</v>
      </c>
      <c r="J144" s="52"/>
      <c r="K144" s="45"/>
      <c r="L144" s="19"/>
      <c r="M144" s="45"/>
      <c r="N144" s="48"/>
      <c r="O144" s="49">
        <f t="shared" si="92"/>
        <v>718.5</v>
      </c>
      <c r="P144" s="53"/>
      <c r="Q144" s="53"/>
      <c r="R144" s="76">
        <f t="shared" si="86"/>
        <v>512.173784104389</v>
      </c>
      <c r="S144" s="76"/>
      <c r="T144" s="77">
        <f t="shared" si="87"/>
        <v>1.34230427046263</v>
      </c>
      <c r="U144" s="76"/>
      <c r="V144" s="76"/>
      <c r="W144" s="78">
        <f t="shared" si="81"/>
        <v>513.516088374852</v>
      </c>
      <c r="X144" s="79">
        <f t="shared" si="88"/>
        <v>7.55886714116251</v>
      </c>
      <c r="Y144" s="79"/>
      <c r="Z144" s="79"/>
      <c r="AA144" s="79">
        <f t="shared" si="82"/>
        <v>7.55886714116251</v>
      </c>
      <c r="AB144" s="90">
        <v>7.15</v>
      </c>
      <c r="AC144" s="76">
        <f t="shared" si="83"/>
        <v>54.045900059312</v>
      </c>
      <c r="AD144" s="76">
        <f t="shared" si="84"/>
        <v>567.561988434164</v>
      </c>
      <c r="AE144" s="76">
        <f t="shared" si="85"/>
        <v>150.938011565836</v>
      </c>
    </row>
    <row r="145" customFormat="1" spans="1:31">
      <c r="A145" s="18"/>
      <c r="B145" s="19"/>
      <c r="C145" s="20">
        <v>240803000014</v>
      </c>
      <c r="D145" s="21">
        <v>45514</v>
      </c>
      <c r="E145" s="21" t="s">
        <v>44</v>
      </c>
      <c r="F145" s="19" t="s">
        <v>45</v>
      </c>
      <c r="G145" s="19" t="s">
        <v>176</v>
      </c>
      <c r="H145" s="19">
        <v>13</v>
      </c>
      <c r="I145" s="51">
        <v>821</v>
      </c>
      <c r="J145" s="52"/>
      <c r="K145" s="45"/>
      <c r="L145" s="19"/>
      <c r="M145" s="45"/>
      <c r="N145" s="48"/>
      <c r="O145" s="49">
        <f t="shared" si="92"/>
        <v>821</v>
      </c>
      <c r="P145" s="53"/>
      <c r="Q145" s="53"/>
      <c r="R145" s="76">
        <f t="shared" si="86"/>
        <v>532.660735468565</v>
      </c>
      <c r="S145" s="76"/>
      <c r="T145" s="77">
        <f t="shared" si="87"/>
        <v>1.39599644128114</v>
      </c>
      <c r="U145" s="76">
        <v>80</v>
      </c>
      <c r="V145" s="76"/>
      <c r="W145" s="78">
        <f t="shared" si="81"/>
        <v>614.056731909846</v>
      </c>
      <c r="X145" s="79">
        <f t="shared" si="88"/>
        <v>7.86122182680902</v>
      </c>
      <c r="Y145" s="79"/>
      <c r="Z145" s="79"/>
      <c r="AA145" s="79">
        <f t="shared" si="82"/>
        <v>7.86122182680902</v>
      </c>
      <c r="AB145" s="90">
        <v>7.15</v>
      </c>
      <c r="AC145" s="76">
        <f t="shared" si="83"/>
        <v>56.2077360616845</v>
      </c>
      <c r="AD145" s="76">
        <f t="shared" si="84"/>
        <v>670.26446797153</v>
      </c>
      <c r="AE145" s="76">
        <f t="shared" si="85"/>
        <v>150.73553202847</v>
      </c>
    </row>
    <row r="146" customFormat="1" spans="1:31">
      <c r="A146" s="18"/>
      <c r="B146" s="19"/>
      <c r="C146" s="20">
        <v>240803000015</v>
      </c>
      <c r="D146" s="21">
        <v>45514</v>
      </c>
      <c r="E146" s="21" t="s">
        <v>44</v>
      </c>
      <c r="F146" s="19" t="s">
        <v>45</v>
      </c>
      <c r="G146" s="19" t="s">
        <v>177</v>
      </c>
      <c r="H146" s="19">
        <v>14</v>
      </c>
      <c r="I146" s="51">
        <v>742</v>
      </c>
      <c r="J146" s="52"/>
      <c r="K146" s="45"/>
      <c r="L146" s="19"/>
      <c r="M146" s="45"/>
      <c r="N146" s="48"/>
      <c r="O146" s="49">
        <f t="shared" si="92"/>
        <v>742</v>
      </c>
      <c r="P146" s="53"/>
      <c r="Q146" s="53"/>
      <c r="R146" s="76">
        <f t="shared" si="86"/>
        <v>573.634638196916</v>
      </c>
      <c r="S146" s="76"/>
      <c r="T146" s="77">
        <f t="shared" si="87"/>
        <v>1.50338078291815</v>
      </c>
      <c r="U146" s="76"/>
      <c r="V146" s="76"/>
      <c r="W146" s="78">
        <f t="shared" si="81"/>
        <v>575.138018979834</v>
      </c>
      <c r="X146" s="79">
        <f t="shared" si="88"/>
        <v>8.46593119810202</v>
      </c>
      <c r="Y146" s="79"/>
      <c r="Z146" s="79"/>
      <c r="AA146" s="79">
        <f t="shared" si="82"/>
        <v>8.46593119810202</v>
      </c>
      <c r="AB146" s="90">
        <v>7.15</v>
      </c>
      <c r="AC146" s="76">
        <f t="shared" si="83"/>
        <v>60.5314080664294</v>
      </c>
      <c r="AD146" s="76">
        <f t="shared" si="84"/>
        <v>635.669427046263</v>
      </c>
      <c r="AE146" s="76">
        <f t="shared" si="85"/>
        <v>106.330572953737</v>
      </c>
    </row>
    <row r="147" customFormat="1" spans="1:31">
      <c r="A147" s="18"/>
      <c r="B147" s="19"/>
      <c r="C147" s="20">
        <v>240803000016</v>
      </c>
      <c r="D147" s="21">
        <v>45514</v>
      </c>
      <c r="E147" s="21" t="s">
        <v>44</v>
      </c>
      <c r="F147" s="19" t="s">
        <v>45</v>
      </c>
      <c r="G147" s="19" t="s">
        <v>177</v>
      </c>
      <c r="H147" s="19">
        <v>293.5</v>
      </c>
      <c r="I147" s="51">
        <v>16055.5</v>
      </c>
      <c r="J147" s="52"/>
      <c r="K147" s="45"/>
      <c r="L147" s="19"/>
      <c r="M147" s="45"/>
      <c r="N147" s="48"/>
      <c r="O147" s="49">
        <f t="shared" si="92"/>
        <v>16055.5</v>
      </c>
      <c r="P147" s="53"/>
      <c r="Q147" s="53"/>
      <c r="R147" s="76">
        <f t="shared" si="86"/>
        <v>12025.8404507711</v>
      </c>
      <c r="S147" s="76"/>
      <c r="T147" s="77">
        <f t="shared" si="87"/>
        <v>31.5173042704626</v>
      </c>
      <c r="U147" s="76"/>
      <c r="V147" s="76"/>
      <c r="W147" s="78">
        <f t="shared" si="81"/>
        <v>12057.3577550415</v>
      </c>
      <c r="X147" s="79">
        <f t="shared" si="88"/>
        <v>177.482200474496</v>
      </c>
      <c r="Y147" s="79"/>
      <c r="Z147" s="79"/>
      <c r="AA147" s="79">
        <f t="shared" si="82"/>
        <v>177.482200474496</v>
      </c>
      <c r="AB147" s="90">
        <v>7.15</v>
      </c>
      <c r="AC147" s="76">
        <f t="shared" si="83"/>
        <v>1268.99773339265</v>
      </c>
      <c r="AD147" s="76">
        <f t="shared" si="84"/>
        <v>13326.3554884342</v>
      </c>
      <c r="AE147" s="76">
        <f t="shared" si="85"/>
        <v>2729.14451156584</v>
      </c>
    </row>
    <row r="148" customFormat="1" spans="1:31">
      <c r="A148" s="18"/>
      <c r="B148" s="19"/>
      <c r="C148" s="20">
        <v>240803000018</v>
      </c>
      <c r="D148" s="21">
        <v>45514</v>
      </c>
      <c r="E148" s="21" t="s">
        <v>41</v>
      </c>
      <c r="F148" s="19" t="s">
        <v>42</v>
      </c>
      <c r="G148" s="19" t="s">
        <v>178</v>
      </c>
      <c r="H148" s="19">
        <v>7.5</v>
      </c>
      <c r="I148" s="51">
        <v>348</v>
      </c>
      <c r="J148" s="52"/>
      <c r="K148" s="45"/>
      <c r="L148" s="19"/>
      <c r="M148" s="45"/>
      <c r="N148" s="48"/>
      <c r="O148" s="49">
        <f t="shared" si="92"/>
        <v>348</v>
      </c>
      <c r="P148" s="53"/>
      <c r="Q148" s="53"/>
      <c r="R148" s="76">
        <f t="shared" si="86"/>
        <v>307.304270462633</v>
      </c>
      <c r="S148" s="76"/>
      <c r="T148" s="77">
        <f t="shared" si="87"/>
        <v>0.80538256227758</v>
      </c>
      <c r="U148" s="76"/>
      <c r="V148" s="76"/>
      <c r="W148" s="78">
        <f t="shared" si="81"/>
        <v>308.109653024911</v>
      </c>
      <c r="X148" s="79">
        <f t="shared" si="88"/>
        <v>4.53532028469751</v>
      </c>
      <c r="Y148" s="79"/>
      <c r="Z148" s="79"/>
      <c r="AA148" s="79">
        <f t="shared" si="82"/>
        <v>4.53532028469751</v>
      </c>
      <c r="AB148" s="90">
        <v>7.15</v>
      </c>
      <c r="AC148" s="76">
        <f t="shared" si="83"/>
        <v>32.4275400355872</v>
      </c>
      <c r="AD148" s="76">
        <f t="shared" si="84"/>
        <v>340.537193060498</v>
      </c>
      <c r="AE148" s="76">
        <f t="shared" si="85"/>
        <v>7.46280693950177</v>
      </c>
    </row>
    <row r="149" customFormat="1" spans="1:31">
      <c r="A149" s="18"/>
      <c r="B149" s="19"/>
      <c r="C149" s="20">
        <v>240804000009</v>
      </c>
      <c r="D149" s="21">
        <v>45514</v>
      </c>
      <c r="E149" s="21" t="s">
        <v>41</v>
      </c>
      <c r="F149" s="19" t="s">
        <v>42</v>
      </c>
      <c r="G149" s="19" t="s">
        <v>43</v>
      </c>
      <c r="H149" s="19">
        <v>0.48</v>
      </c>
      <c r="I149" s="51">
        <v>53</v>
      </c>
      <c r="J149" s="52"/>
      <c r="K149" s="45"/>
      <c r="L149" s="19"/>
      <c r="M149" s="45"/>
      <c r="N149" s="48"/>
      <c r="O149" s="49">
        <f t="shared" si="92"/>
        <v>53</v>
      </c>
      <c r="P149" s="53"/>
      <c r="Q149" s="53"/>
      <c r="R149" s="76">
        <f t="shared" si="86"/>
        <v>19.6674733096085</v>
      </c>
      <c r="S149" s="76"/>
      <c r="T149" s="77">
        <f t="shared" si="87"/>
        <v>0.0515444839857651</v>
      </c>
      <c r="U149" s="76"/>
      <c r="V149" s="76"/>
      <c r="W149" s="78">
        <f t="shared" si="81"/>
        <v>19.7190177935943</v>
      </c>
      <c r="X149" s="79">
        <f t="shared" si="88"/>
        <v>0.290260498220641</v>
      </c>
      <c r="Y149" s="79"/>
      <c r="Z149" s="79"/>
      <c r="AA149" s="79">
        <f t="shared" si="82"/>
        <v>0.290260498220641</v>
      </c>
      <c r="AB149" s="90">
        <v>7.15</v>
      </c>
      <c r="AC149" s="76">
        <f t="shared" si="83"/>
        <v>2.07536256227758</v>
      </c>
      <c r="AD149" s="76">
        <f t="shared" si="84"/>
        <v>21.7943803558719</v>
      </c>
      <c r="AE149" s="76">
        <f t="shared" si="85"/>
        <v>31.2056196441281</v>
      </c>
    </row>
    <row r="150" customFormat="1" spans="1:31">
      <c r="A150" s="18"/>
      <c r="B150" s="19"/>
      <c r="C150" s="20">
        <v>240804000010</v>
      </c>
      <c r="D150" s="21">
        <v>45514</v>
      </c>
      <c r="E150" s="21" t="s">
        <v>41</v>
      </c>
      <c r="F150" s="19" t="s">
        <v>42</v>
      </c>
      <c r="G150" s="19" t="s">
        <v>179</v>
      </c>
      <c r="H150" s="19">
        <v>2.5</v>
      </c>
      <c r="I150" s="51">
        <v>220</v>
      </c>
      <c r="J150" s="52"/>
      <c r="K150" s="45"/>
      <c r="L150" s="19"/>
      <c r="M150" s="45"/>
      <c r="N150" s="48"/>
      <c r="O150" s="49">
        <f t="shared" si="92"/>
        <v>220</v>
      </c>
      <c r="P150" s="53"/>
      <c r="Q150" s="53"/>
      <c r="R150" s="76">
        <f t="shared" si="86"/>
        <v>102.434756820878</v>
      </c>
      <c r="S150" s="76"/>
      <c r="T150" s="77">
        <f t="shared" si="87"/>
        <v>0.268460854092527</v>
      </c>
      <c r="U150" s="76"/>
      <c r="V150" s="76"/>
      <c r="W150" s="78">
        <f t="shared" si="81"/>
        <v>102.70321767497</v>
      </c>
      <c r="X150" s="79">
        <f t="shared" si="88"/>
        <v>1.5117734282325</v>
      </c>
      <c r="Y150" s="79"/>
      <c r="Z150" s="79"/>
      <c r="AA150" s="79">
        <f t="shared" si="82"/>
        <v>1.5117734282325</v>
      </c>
      <c r="AB150" s="90">
        <v>7.15</v>
      </c>
      <c r="AC150" s="76">
        <f t="shared" si="83"/>
        <v>10.8091800118624</v>
      </c>
      <c r="AD150" s="76">
        <f t="shared" si="84"/>
        <v>113.512397686833</v>
      </c>
      <c r="AE150" s="76">
        <f t="shared" si="85"/>
        <v>106.487602313167</v>
      </c>
    </row>
    <row r="151" customFormat="1" spans="1:31">
      <c r="A151" s="18"/>
      <c r="B151" s="19"/>
      <c r="C151" s="20">
        <v>240805000007</v>
      </c>
      <c r="D151" s="21">
        <v>45514</v>
      </c>
      <c r="E151" s="21" t="s">
        <v>44</v>
      </c>
      <c r="F151" s="19" t="s">
        <v>45</v>
      </c>
      <c r="G151" s="19" t="s">
        <v>180</v>
      </c>
      <c r="H151" s="19">
        <v>50</v>
      </c>
      <c r="I151" s="49"/>
      <c r="J151" s="44">
        <v>808000</v>
      </c>
      <c r="K151" s="45"/>
      <c r="L151" s="46">
        <f>SUM(J151/M151)</f>
        <v>1616</v>
      </c>
      <c r="M151" s="47">
        <v>500</v>
      </c>
      <c r="N151" s="48">
        <v>7.15</v>
      </c>
      <c r="O151" s="49">
        <f>SUM(M151*N151)</f>
        <v>3575</v>
      </c>
      <c r="P151" s="53"/>
      <c r="Q151" s="53"/>
      <c r="R151" s="76">
        <f t="shared" si="86"/>
        <v>2048.69513641756</v>
      </c>
      <c r="S151" s="76"/>
      <c r="T151" s="77">
        <f t="shared" si="87"/>
        <v>5.36921708185053</v>
      </c>
      <c r="U151" s="76"/>
      <c r="V151" s="76"/>
      <c r="W151" s="78">
        <f t="shared" si="81"/>
        <v>2054.06435349941</v>
      </c>
      <c r="X151" s="79">
        <f t="shared" si="88"/>
        <v>30.2354685646501</v>
      </c>
      <c r="Y151" s="79"/>
      <c r="Z151" s="79"/>
      <c r="AA151" s="79">
        <f t="shared" si="82"/>
        <v>30.2354685646501</v>
      </c>
      <c r="AB151" s="90">
        <v>7.15</v>
      </c>
      <c r="AC151" s="76">
        <f t="shared" si="83"/>
        <v>216.183600237248</v>
      </c>
      <c r="AD151" s="76">
        <f t="shared" si="84"/>
        <v>2270.24795373665</v>
      </c>
      <c r="AE151" s="76">
        <f t="shared" si="85"/>
        <v>1304.75204626335</v>
      </c>
    </row>
    <row r="152" customFormat="1" spans="1:31">
      <c r="A152" s="18"/>
      <c r="B152" s="19"/>
      <c r="C152" s="20">
        <v>240805000008</v>
      </c>
      <c r="D152" s="21">
        <v>45514</v>
      </c>
      <c r="E152" s="21" t="s">
        <v>44</v>
      </c>
      <c r="F152" s="19" t="s">
        <v>45</v>
      </c>
      <c r="G152" s="19" t="s">
        <v>180</v>
      </c>
      <c r="H152" s="19">
        <v>45</v>
      </c>
      <c r="I152" s="49"/>
      <c r="J152" s="44">
        <v>727200</v>
      </c>
      <c r="K152" s="45"/>
      <c r="L152" s="46">
        <f>SUM(J152/M152)</f>
        <v>1616</v>
      </c>
      <c r="M152" s="47">
        <v>450</v>
      </c>
      <c r="N152" s="48">
        <v>7.15</v>
      </c>
      <c r="O152" s="49">
        <f>SUM(M152*N152)</f>
        <v>3217.5</v>
      </c>
      <c r="P152" s="53"/>
      <c r="Q152" s="53"/>
      <c r="R152" s="76">
        <f t="shared" si="86"/>
        <v>1843.8256227758</v>
      </c>
      <c r="S152" s="76"/>
      <c r="T152" s="77">
        <f t="shared" si="87"/>
        <v>4.83229537366548</v>
      </c>
      <c r="U152" s="76"/>
      <c r="V152" s="76"/>
      <c r="W152" s="78">
        <f t="shared" si="81"/>
        <v>1848.65791814947</v>
      </c>
      <c r="X152" s="79">
        <f t="shared" si="88"/>
        <v>27.2119217081851</v>
      </c>
      <c r="Y152" s="79"/>
      <c r="Z152" s="79"/>
      <c r="AA152" s="79">
        <f t="shared" si="82"/>
        <v>27.2119217081851</v>
      </c>
      <c r="AB152" s="90">
        <v>7.15</v>
      </c>
      <c r="AC152" s="76">
        <f t="shared" si="83"/>
        <v>194.565240213523</v>
      </c>
      <c r="AD152" s="76">
        <f t="shared" si="84"/>
        <v>2043.22315836299</v>
      </c>
      <c r="AE152" s="76">
        <f t="shared" ref="AE152:AE199" si="93">SUM(O152-AD152)</f>
        <v>1174.27684163701</v>
      </c>
    </row>
    <row r="153" customFormat="1" spans="1:31">
      <c r="A153" s="18"/>
      <c r="B153" s="19"/>
      <c r="C153" s="20">
        <v>240805000034</v>
      </c>
      <c r="D153" s="21">
        <v>45514</v>
      </c>
      <c r="E153" s="21" t="s">
        <v>57</v>
      </c>
      <c r="F153" s="19" t="s">
        <v>57</v>
      </c>
      <c r="G153" s="19" t="s">
        <v>181</v>
      </c>
      <c r="H153" s="19">
        <v>243</v>
      </c>
      <c r="I153" s="43">
        <v>13373</v>
      </c>
      <c r="J153" s="52"/>
      <c r="K153" s="45"/>
      <c r="L153" s="19"/>
      <c r="M153" s="45"/>
      <c r="N153" s="48"/>
      <c r="O153" s="49">
        <f t="shared" ref="O153:O158" si="94">SUM(I153)</f>
        <v>13373</v>
      </c>
      <c r="P153" s="53"/>
      <c r="Q153" s="53"/>
      <c r="R153" s="76">
        <f t="shared" si="86"/>
        <v>9956.65836298932</v>
      </c>
      <c r="S153" s="76"/>
      <c r="T153" s="77">
        <f t="shared" si="87"/>
        <v>26.0943950177936</v>
      </c>
      <c r="U153" s="76"/>
      <c r="V153" s="76"/>
      <c r="W153" s="78">
        <f t="shared" si="81"/>
        <v>9982.75275800712</v>
      </c>
      <c r="X153" s="79">
        <f t="shared" si="88"/>
        <v>146.944377224199</v>
      </c>
      <c r="Y153" s="79"/>
      <c r="Z153" s="79"/>
      <c r="AA153" s="79">
        <f t="shared" si="82"/>
        <v>146.944377224199</v>
      </c>
      <c r="AB153" s="90">
        <v>7.15</v>
      </c>
      <c r="AC153" s="76">
        <f t="shared" ref="AC153:AC158" si="95">SUM(AA153*AB153)</f>
        <v>1050.65229715302</v>
      </c>
      <c r="AD153" s="76">
        <f t="shared" si="84"/>
        <v>11033.4050551601</v>
      </c>
      <c r="AE153" s="76">
        <f t="shared" si="93"/>
        <v>2339.5949448399</v>
      </c>
    </row>
    <row r="154" customFormat="1" spans="1:31">
      <c r="A154" s="18"/>
      <c r="B154" s="19"/>
      <c r="C154" s="20">
        <v>240805000047</v>
      </c>
      <c r="D154" s="21">
        <v>45514</v>
      </c>
      <c r="E154" s="21" t="s">
        <v>57</v>
      </c>
      <c r="F154" s="19" t="s">
        <v>57</v>
      </c>
      <c r="G154" s="19" t="s">
        <v>182</v>
      </c>
      <c r="H154" s="19">
        <v>271.5</v>
      </c>
      <c r="I154" s="51">
        <v>14204</v>
      </c>
      <c r="J154" s="52"/>
      <c r="K154" s="45"/>
      <c r="L154" s="19"/>
      <c r="M154" s="45"/>
      <c r="N154" s="48"/>
      <c r="O154" s="49">
        <f t="shared" si="94"/>
        <v>14204</v>
      </c>
      <c r="P154" s="54"/>
      <c r="Q154" s="54"/>
      <c r="R154" s="76">
        <f t="shared" si="86"/>
        <v>11124.4145907473</v>
      </c>
      <c r="S154" s="76"/>
      <c r="T154" s="77">
        <f t="shared" si="87"/>
        <v>29.1548487544484</v>
      </c>
      <c r="U154" s="76"/>
      <c r="V154" s="76"/>
      <c r="W154" s="78">
        <f t="shared" si="81"/>
        <v>11153.5694395018</v>
      </c>
      <c r="X154" s="79">
        <f t="shared" si="88"/>
        <v>164.17859430605</v>
      </c>
      <c r="Y154" s="79"/>
      <c r="Z154" s="79"/>
      <c r="AA154" s="79">
        <f t="shared" si="82"/>
        <v>164.17859430605</v>
      </c>
      <c r="AB154" s="90">
        <v>7.15</v>
      </c>
      <c r="AC154" s="76">
        <f t="shared" si="95"/>
        <v>1173.87694928826</v>
      </c>
      <c r="AD154" s="76">
        <f t="shared" ref="AD154:AD199" si="96">SUM(W154+AC154)</f>
        <v>12327.44638879</v>
      </c>
      <c r="AE154" s="76">
        <f t="shared" si="93"/>
        <v>1876.55361121</v>
      </c>
    </row>
    <row r="155" customFormat="1" spans="1:31">
      <c r="A155" s="18" t="s">
        <v>183</v>
      </c>
      <c r="B155" s="19" t="s">
        <v>184</v>
      </c>
      <c r="C155" s="20">
        <v>240807000037</v>
      </c>
      <c r="D155" s="21">
        <v>45514</v>
      </c>
      <c r="E155" s="21" t="s">
        <v>51</v>
      </c>
      <c r="F155" s="19" t="s">
        <v>52</v>
      </c>
      <c r="G155" s="19" t="s">
        <v>185</v>
      </c>
      <c r="H155" s="19">
        <v>18</v>
      </c>
      <c r="I155" s="51">
        <v>2160</v>
      </c>
      <c r="J155" s="52"/>
      <c r="K155" s="45"/>
      <c r="L155" s="19"/>
      <c r="M155" s="45"/>
      <c r="N155" s="48"/>
      <c r="O155" s="49">
        <f t="shared" si="94"/>
        <v>2160</v>
      </c>
      <c r="P155" s="50">
        <f>SUM(O155:O158)</f>
        <v>4450</v>
      </c>
      <c r="Q155" s="50" t="s">
        <v>80</v>
      </c>
      <c r="R155" s="76">
        <f>SUM(2400/32)*H155</f>
        <v>1350</v>
      </c>
      <c r="S155" s="76"/>
      <c r="T155" s="77">
        <f>SUM(54.99/32)*H155</f>
        <v>30.931875</v>
      </c>
      <c r="U155" s="76"/>
      <c r="V155" s="76"/>
      <c r="W155" s="78">
        <f t="shared" si="81"/>
        <v>1380.931875</v>
      </c>
      <c r="X155" s="79">
        <f>SUM(46.41/32)*H155</f>
        <v>26.105625</v>
      </c>
      <c r="Y155" s="79"/>
      <c r="Z155" s="79"/>
      <c r="AA155" s="79">
        <f t="shared" si="82"/>
        <v>26.105625</v>
      </c>
      <c r="AB155" s="90">
        <v>7.15</v>
      </c>
      <c r="AC155" s="76">
        <f t="shared" si="95"/>
        <v>186.65521875</v>
      </c>
      <c r="AD155" s="76">
        <f t="shared" si="96"/>
        <v>1567.58709375</v>
      </c>
      <c r="AE155" s="76">
        <f t="shared" si="93"/>
        <v>592.41290625</v>
      </c>
    </row>
    <row r="156" customFormat="1" spans="1:31">
      <c r="A156" s="18"/>
      <c r="B156" s="19"/>
      <c r="C156" s="20">
        <v>240808000004</v>
      </c>
      <c r="D156" s="21">
        <v>45514</v>
      </c>
      <c r="E156" s="21" t="s">
        <v>51</v>
      </c>
      <c r="F156" s="19" t="s">
        <v>52</v>
      </c>
      <c r="G156" s="19" t="s">
        <v>186</v>
      </c>
      <c r="H156" s="19">
        <v>14</v>
      </c>
      <c r="I156" s="51">
        <v>1610</v>
      </c>
      <c r="J156" s="52"/>
      <c r="K156" s="45"/>
      <c r="L156" s="19"/>
      <c r="M156" s="45"/>
      <c r="N156" s="48"/>
      <c r="O156" s="49">
        <f t="shared" si="94"/>
        <v>1610</v>
      </c>
      <c r="P156" s="53"/>
      <c r="Q156" s="53"/>
      <c r="R156" s="76">
        <f>SUM(2400/32)*H156</f>
        <v>1050</v>
      </c>
      <c r="S156" s="76"/>
      <c r="T156" s="77">
        <f>SUM(54.99/32)*H156</f>
        <v>24.058125</v>
      </c>
      <c r="U156" s="76"/>
      <c r="V156" s="76"/>
      <c r="W156" s="78">
        <f t="shared" si="81"/>
        <v>1074.058125</v>
      </c>
      <c r="X156" s="79">
        <f>SUM(46.41/32)*H156</f>
        <v>20.304375</v>
      </c>
      <c r="Y156" s="79"/>
      <c r="Z156" s="79"/>
      <c r="AA156" s="79">
        <f t="shared" si="82"/>
        <v>20.304375</v>
      </c>
      <c r="AB156" s="90">
        <v>7.15</v>
      </c>
      <c r="AC156" s="76">
        <f t="shared" ref="AC156:AC199" si="97">SUM(AA156*AB156)</f>
        <v>145.17628125</v>
      </c>
      <c r="AD156" s="76">
        <f t="shared" si="96"/>
        <v>1219.23440625</v>
      </c>
      <c r="AE156" s="76">
        <f t="shared" si="93"/>
        <v>390.76559375</v>
      </c>
    </row>
    <row r="157" customFormat="1" spans="1:31">
      <c r="A157" s="18"/>
      <c r="B157" s="19"/>
      <c r="C157" s="20">
        <v>240808000049</v>
      </c>
      <c r="D157" s="21">
        <v>45514</v>
      </c>
      <c r="E157" s="21" t="s">
        <v>44</v>
      </c>
      <c r="F157" s="19" t="s">
        <v>45</v>
      </c>
      <c r="G157" s="19" t="s">
        <v>187</v>
      </c>
      <c r="H157" s="19">
        <v>0.7</v>
      </c>
      <c r="I157" s="51">
        <v>180</v>
      </c>
      <c r="J157" s="52"/>
      <c r="K157" s="45"/>
      <c r="L157" s="19"/>
      <c r="M157" s="45"/>
      <c r="N157" s="48"/>
      <c r="O157" s="49">
        <f t="shared" si="94"/>
        <v>180</v>
      </c>
      <c r="P157" s="53"/>
      <c r="Q157" s="53"/>
      <c r="R157" s="76">
        <f>SUM(2400/32)*H157</f>
        <v>52.5</v>
      </c>
      <c r="S157" s="76"/>
      <c r="T157" s="77">
        <f>SUM(54.99/32)*H157</f>
        <v>1.20290625</v>
      </c>
      <c r="U157" s="76"/>
      <c r="V157" s="76"/>
      <c r="W157" s="78">
        <f t="shared" si="81"/>
        <v>53.70290625</v>
      </c>
      <c r="X157" s="79">
        <f>SUM(46.41/32)*H157</f>
        <v>1.01521875</v>
      </c>
      <c r="Y157" s="79"/>
      <c r="Z157" s="79"/>
      <c r="AA157" s="79">
        <f t="shared" si="82"/>
        <v>1.01521875</v>
      </c>
      <c r="AB157" s="90">
        <v>7.15</v>
      </c>
      <c r="AC157" s="76">
        <f t="shared" si="97"/>
        <v>7.2588140625</v>
      </c>
      <c r="AD157" s="76">
        <f t="shared" si="96"/>
        <v>60.9617203125</v>
      </c>
      <c r="AE157" s="76">
        <f t="shared" si="93"/>
        <v>119.0382796875</v>
      </c>
    </row>
    <row r="158" customFormat="1" spans="1:31">
      <c r="A158" s="18"/>
      <c r="B158" s="19"/>
      <c r="C158" s="20">
        <v>240809000012</v>
      </c>
      <c r="D158" s="21">
        <v>45514</v>
      </c>
      <c r="E158" s="21" t="s">
        <v>37</v>
      </c>
      <c r="F158" s="19" t="s">
        <v>38</v>
      </c>
      <c r="G158" s="19" t="s">
        <v>75</v>
      </c>
      <c r="H158" s="19">
        <v>4</v>
      </c>
      <c r="I158" s="51">
        <v>500</v>
      </c>
      <c r="J158" s="52"/>
      <c r="K158" s="45"/>
      <c r="L158" s="19"/>
      <c r="M158" s="45"/>
      <c r="N158" s="48"/>
      <c r="O158" s="49">
        <f t="shared" si="94"/>
        <v>500</v>
      </c>
      <c r="P158" s="54"/>
      <c r="Q158" s="54"/>
      <c r="R158" s="76">
        <f>SUM(2400/32)*H158</f>
        <v>300</v>
      </c>
      <c r="S158" s="76"/>
      <c r="T158" s="77">
        <f>SUM(54.99/32)*H158</f>
        <v>6.87375</v>
      </c>
      <c r="U158" s="76"/>
      <c r="V158" s="76"/>
      <c r="W158" s="78">
        <f t="shared" ref="W158:W199" si="98">SUM(R158:V158)</f>
        <v>306.87375</v>
      </c>
      <c r="X158" s="79">
        <f>SUM(46.41/32)*H158</f>
        <v>5.80125</v>
      </c>
      <c r="Y158" s="79"/>
      <c r="Z158" s="79"/>
      <c r="AA158" s="79">
        <f t="shared" ref="AA158:AA199" si="99">SUM(X158:Z158)</f>
        <v>5.80125</v>
      </c>
      <c r="AB158" s="90">
        <v>7.15</v>
      </c>
      <c r="AC158" s="76">
        <f t="shared" si="97"/>
        <v>41.4789375</v>
      </c>
      <c r="AD158" s="76">
        <f t="shared" si="96"/>
        <v>348.3526875</v>
      </c>
      <c r="AE158" s="76">
        <f t="shared" si="93"/>
        <v>151.6473125</v>
      </c>
    </row>
    <row r="159" customFormat="1" spans="1:31">
      <c r="A159" s="18" t="s">
        <v>188</v>
      </c>
      <c r="B159" s="19" t="s">
        <v>189</v>
      </c>
      <c r="C159" s="20">
        <v>240724000036</v>
      </c>
      <c r="D159" s="21">
        <v>45514</v>
      </c>
      <c r="E159" s="21" t="s">
        <v>57</v>
      </c>
      <c r="F159" s="19" t="s">
        <v>57</v>
      </c>
      <c r="G159" s="19" t="s">
        <v>190</v>
      </c>
      <c r="H159" s="19">
        <v>57.5</v>
      </c>
      <c r="I159" s="49"/>
      <c r="J159" s="52"/>
      <c r="K159" s="45"/>
      <c r="L159" s="19"/>
      <c r="M159" s="45">
        <v>531.97</v>
      </c>
      <c r="N159" s="48">
        <v>7.15</v>
      </c>
      <c r="O159" s="49">
        <f>SUM(M159*N159)</f>
        <v>3803.5855</v>
      </c>
      <c r="P159" s="50">
        <f>SUM(O159:O199)</f>
        <v>91602.69097855</v>
      </c>
      <c r="Q159" s="50" t="s">
        <v>40</v>
      </c>
      <c r="R159" s="76">
        <f>SUM(69052.8/1422)*H159</f>
        <v>2792.2194092827</v>
      </c>
      <c r="S159" s="76"/>
      <c r="T159" s="77">
        <f>SUM(130/1422)*H159</f>
        <v>5.25668073136428</v>
      </c>
      <c r="U159" s="76">
        <v>40</v>
      </c>
      <c r="V159" s="76"/>
      <c r="W159" s="78">
        <f t="shared" si="98"/>
        <v>2837.47609001406</v>
      </c>
      <c r="X159" s="79">
        <f>SUM(1294.95/1422)*H159</f>
        <v>52.3626054852321</v>
      </c>
      <c r="Y159" s="79"/>
      <c r="Z159" s="79"/>
      <c r="AA159" s="79">
        <f t="shared" si="99"/>
        <v>52.3626054852321</v>
      </c>
      <c r="AB159" s="90">
        <v>7.15</v>
      </c>
      <c r="AC159" s="76">
        <f t="shared" si="97"/>
        <v>374.392629219409</v>
      </c>
      <c r="AD159" s="76">
        <f t="shared" si="96"/>
        <v>3211.86871923347</v>
      </c>
      <c r="AE159" s="76">
        <f t="shared" si="93"/>
        <v>591.71678076653</v>
      </c>
    </row>
    <row r="160" customFormat="1" spans="1:31">
      <c r="A160" s="18"/>
      <c r="B160" s="19"/>
      <c r="C160" s="20">
        <v>240801000015</v>
      </c>
      <c r="D160" s="21">
        <v>45514</v>
      </c>
      <c r="E160" s="21" t="s">
        <v>41</v>
      </c>
      <c r="F160" s="19" t="s">
        <v>60</v>
      </c>
      <c r="G160" s="19" t="s">
        <v>61</v>
      </c>
      <c r="H160" s="19">
        <v>20.5</v>
      </c>
      <c r="I160" s="51">
        <v>1846.5</v>
      </c>
      <c r="J160" s="52"/>
      <c r="K160" s="45"/>
      <c r="L160" s="19"/>
      <c r="M160" s="45"/>
      <c r="N160" s="48"/>
      <c r="O160" s="49">
        <f t="shared" ref="O160:O165" si="100">SUM(I160)</f>
        <v>1846.5</v>
      </c>
      <c r="P160" s="53"/>
      <c r="Q160" s="53"/>
      <c r="R160" s="76">
        <f t="shared" ref="R160:R199" si="101">SUM(69052.8/1422)*H160</f>
        <v>995.486919831224</v>
      </c>
      <c r="S160" s="76"/>
      <c r="T160" s="77">
        <f t="shared" ref="T160:T199" si="102">SUM(130/1422)*H160</f>
        <v>1.87412095639944</v>
      </c>
      <c r="U160" s="76"/>
      <c r="V160" s="77">
        <v>30</v>
      </c>
      <c r="W160" s="78">
        <f t="shared" si="98"/>
        <v>1027.36104078762</v>
      </c>
      <c r="X160" s="79">
        <f t="shared" ref="X160:X199" si="103">SUM(1294.95/1422)*H160</f>
        <v>18.6684071729958</v>
      </c>
      <c r="Y160" s="79"/>
      <c r="Z160" s="79"/>
      <c r="AA160" s="79">
        <f t="shared" si="99"/>
        <v>18.6684071729958</v>
      </c>
      <c r="AB160" s="90">
        <v>7.15</v>
      </c>
      <c r="AC160" s="76">
        <f t="shared" si="97"/>
        <v>133.47911128692</v>
      </c>
      <c r="AD160" s="76">
        <f t="shared" si="96"/>
        <v>1160.84015207454</v>
      </c>
      <c r="AE160" s="76">
        <f t="shared" si="93"/>
        <v>685.65984792546</v>
      </c>
    </row>
    <row r="161" customFormat="1" spans="1:31">
      <c r="A161" s="18"/>
      <c r="B161" s="19"/>
      <c r="C161" s="20">
        <v>240802000016</v>
      </c>
      <c r="D161" s="21">
        <v>45514</v>
      </c>
      <c r="E161" s="21" t="s">
        <v>41</v>
      </c>
      <c r="F161" s="19" t="s">
        <v>42</v>
      </c>
      <c r="G161" s="19" t="s">
        <v>191</v>
      </c>
      <c r="H161" s="19">
        <v>55</v>
      </c>
      <c r="I161" s="43"/>
      <c r="J161" s="44">
        <v>846000</v>
      </c>
      <c r="K161" s="45"/>
      <c r="L161" s="46">
        <f>SUM(J161/M161)</f>
        <v>1608.76262194078</v>
      </c>
      <c r="M161" s="47">
        <v>525.87</v>
      </c>
      <c r="N161" s="48">
        <v>7.15</v>
      </c>
      <c r="O161" s="49">
        <f>SUM(M161*N161)</f>
        <v>3759.9705</v>
      </c>
      <c r="P161" s="53"/>
      <c r="Q161" s="53"/>
      <c r="R161" s="76">
        <f t="shared" si="101"/>
        <v>2670.81856540084</v>
      </c>
      <c r="S161" s="76"/>
      <c r="T161" s="77">
        <f t="shared" si="102"/>
        <v>5.028129395218</v>
      </c>
      <c r="U161" s="76">
        <v>120</v>
      </c>
      <c r="V161" s="76"/>
      <c r="W161" s="78">
        <f t="shared" si="98"/>
        <v>2795.84669479606</v>
      </c>
      <c r="X161" s="79">
        <f t="shared" si="103"/>
        <v>50.085970464135</v>
      </c>
      <c r="Y161" s="79"/>
      <c r="Z161" s="79"/>
      <c r="AA161" s="79">
        <f t="shared" si="99"/>
        <v>50.085970464135</v>
      </c>
      <c r="AB161" s="90">
        <v>7.15</v>
      </c>
      <c r="AC161" s="76">
        <f t="shared" si="97"/>
        <v>358.114688818565</v>
      </c>
      <c r="AD161" s="76">
        <f t="shared" si="96"/>
        <v>3153.96138361463</v>
      </c>
      <c r="AE161" s="76">
        <f t="shared" si="93"/>
        <v>606.00911638537</v>
      </c>
    </row>
    <row r="162" customFormat="1" spans="1:31">
      <c r="A162" s="18"/>
      <c r="B162" s="19"/>
      <c r="C162" s="20">
        <v>240802000032</v>
      </c>
      <c r="D162" s="21">
        <v>45514</v>
      </c>
      <c r="E162" s="21" t="s">
        <v>37</v>
      </c>
      <c r="F162" s="19" t="s">
        <v>38</v>
      </c>
      <c r="G162" s="19" t="s">
        <v>75</v>
      </c>
      <c r="H162" s="19">
        <v>1.5</v>
      </c>
      <c r="I162" s="51">
        <v>120</v>
      </c>
      <c r="J162" s="52"/>
      <c r="K162" s="45"/>
      <c r="L162" s="19"/>
      <c r="M162" s="45"/>
      <c r="N162" s="48"/>
      <c r="O162" s="49">
        <f t="shared" si="100"/>
        <v>120</v>
      </c>
      <c r="P162" s="53"/>
      <c r="Q162" s="53"/>
      <c r="R162" s="76">
        <f t="shared" si="101"/>
        <v>72.8405063291139</v>
      </c>
      <c r="S162" s="76"/>
      <c r="T162" s="77">
        <f t="shared" si="102"/>
        <v>0.137130801687764</v>
      </c>
      <c r="U162" s="76"/>
      <c r="V162" s="76"/>
      <c r="W162" s="78">
        <f t="shared" si="98"/>
        <v>72.9776371308017</v>
      </c>
      <c r="X162" s="79">
        <f t="shared" si="103"/>
        <v>1.36598101265823</v>
      </c>
      <c r="Y162" s="79"/>
      <c r="Z162" s="79"/>
      <c r="AA162" s="79">
        <f t="shared" si="99"/>
        <v>1.36598101265823</v>
      </c>
      <c r="AB162" s="90">
        <v>7.15</v>
      </c>
      <c r="AC162" s="76">
        <f t="shared" si="97"/>
        <v>9.76676424050633</v>
      </c>
      <c r="AD162" s="76">
        <f t="shared" si="96"/>
        <v>82.744401371308</v>
      </c>
      <c r="AE162" s="76">
        <f t="shared" si="93"/>
        <v>37.255598628692</v>
      </c>
    </row>
    <row r="163" customFormat="1" spans="1:31">
      <c r="A163" s="18"/>
      <c r="B163" s="19"/>
      <c r="C163" s="20">
        <v>240803000008</v>
      </c>
      <c r="D163" s="21">
        <v>45514</v>
      </c>
      <c r="E163" s="21" t="s">
        <v>57</v>
      </c>
      <c r="F163" s="19" t="s">
        <v>57</v>
      </c>
      <c r="G163" s="19" t="s">
        <v>192</v>
      </c>
      <c r="H163" s="19">
        <v>9.5</v>
      </c>
      <c r="I163" s="51">
        <v>630.3</v>
      </c>
      <c r="J163" s="52"/>
      <c r="K163" s="45"/>
      <c r="L163" s="19"/>
      <c r="M163" s="45"/>
      <c r="N163" s="48"/>
      <c r="O163" s="49">
        <f t="shared" si="100"/>
        <v>630.3</v>
      </c>
      <c r="P163" s="53"/>
      <c r="Q163" s="53"/>
      <c r="R163" s="76">
        <f t="shared" si="101"/>
        <v>461.323206751055</v>
      </c>
      <c r="S163" s="76"/>
      <c r="T163" s="77">
        <f t="shared" si="102"/>
        <v>0.868495077355837</v>
      </c>
      <c r="U163" s="76"/>
      <c r="V163" s="76"/>
      <c r="W163" s="78">
        <f t="shared" si="98"/>
        <v>462.191701828411</v>
      </c>
      <c r="X163" s="79">
        <f t="shared" si="103"/>
        <v>8.65121308016878</v>
      </c>
      <c r="Y163" s="79"/>
      <c r="Z163" s="79"/>
      <c r="AA163" s="79">
        <f t="shared" si="99"/>
        <v>8.65121308016878</v>
      </c>
      <c r="AB163" s="90">
        <v>7.15</v>
      </c>
      <c r="AC163" s="76">
        <f t="shared" si="97"/>
        <v>61.8561735232068</v>
      </c>
      <c r="AD163" s="76">
        <f t="shared" si="96"/>
        <v>524.047875351617</v>
      </c>
      <c r="AE163" s="76">
        <f t="shared" si="93"/>
        <v>106.252124648383</v>
      </c>
    </row>
    <row r="164" customFormat="1" spans="1:31">
      <c r="A164" s="18"/>
      <c r="B164" s="19"/>
      <c r="C164" s="20">
        <v>240804000006</v>
      </c>
      <c r="D164" s="21">
        <v>45514</v>
      </c>
      <c r="E164" s="21" t="s">
        <v>41</v>
      </c>
      <c r="F164" s="19" t="s">
        <v>42</v>
      </c>
      <c r="G164" s="19" t="s">
        <v>193</v>
      </c>
      <c r="H164" s="19">
        <v>3.5</v>
      </c>
      <c r="I164" s="51">
        <v>298.2</v>
      </c>
      <c r="J164" s="52"/>
      <c r="K164" s="45"/>
      <c r="L164" s="19"/>
      <c r="M164" s="45"/>
      <c r="N164" s="48"/>
      <c r="O164" s="49">
        <f t="shared" si="100"/>
        <v>298.2</v>
      </c>
      <c r="P164" s="53"/>
      <c r="Q164" s="53"/>
      <c r="R164" s="76">
        <f t="shared" si="101"/>
        <v>169.961181434599</v>
      </c>
      <c r="S164" s="76"/>
      <c r="T164" s="77">
        <f t="shared" si="102"/>
        <v>0.319971870604782</v>
      </c>
      <c r="U164" s="76"/>
      <c r="V164" s="76"/>
      <c r="W164" s="78">
        <f t="shared" si="98"/>
        <v>170.281153305204</v>
      </c>
      <c r="X164" s="79">
        <f t="shared" si="103"/>
        <v>3.18728902953586</v>
      </c>
      <c r="Y164" s="79"/>
      <c r="Z164" s="79"/>
      <c r="AA164" s="79">
        <f t="shared" si="99"/>
        <v>3.18728902953586</v>
      </c>
      <c r="AB164" s="90">
        <v>7.15</v>
      </c>
      <c r="AC164" s="76">
        <f t="shared" si="97"/>
        <v>22.7891165611814</v>
      </c>
      <c r="AD164" s="76">
        <f t="shared" si="96"/>
        <v>193.070269866385</v>
      </c>
      <c r="AE164" s="76">
        <f t="shared" si="93"/>
        <v>105.129730133615</v>
      </c>
    </row>
    <row r="165" customFormat="1" spans="1:31">
      <c r="A165" s="18"/>
      <c r="B165" s="19"/>
      <c r="C165" s="20">
        <v>240804000007</v>
      </c>
      <c r="D165" s="21">
        <v>45514</v>
      </c>
      <c r="E165" s="21" t="s">
        <v>41</v>
      </c>
      <c r="F165" s="19" t="s">
        <v>42</v>
      </c>
      <c r="G165" s="19" t="s">
        <v>193</v>
      </c>
      <c r="H165" s="19">
        <v>19.5</v>
      </c>
      <c r="I165" s="51">
        <v>1235</v>
      </c>
      <c r="J165" s="52"/>
      <c r="K165" s="45"/>
      <c r="L165" s="19"/>
      <c r="M165" s="45"/>
      <c r="N165" s="48"/>
      <c r="O165" s="49">
        <f t="shared" si="100"/>
        <v>1235</v>
      </c>
      <c r="P165" s="53"/>
      <c r="Q165" s="53"/>
      <c r="R165" s="76">
        <f t="shared" si="101"/>
        <v>946.926582278481</v>
      </c>
      <c r="S165" s="76"/>
      <c r="T165" s="77">
        <f t="shared" si="102"/>
        <v>1.78270042194093</v>
      </c>
      <c r="U165" s="76"/>
      <c r="V165" s="76"/>
      <c r="W165" s="78">
        <f t="shared" si="98"/>
        <v>948.709282700422</v>
      </c>
      <c r="X165" s="79">
        <f t="shared" si="103"/>
        <v>17.757753164557</v>
      </c>
      <c r="Y165" s="79"/>
      <c r="Z165" s="79"/>
      <c r="AA165" s="79">
        <f t="shared" si="99"/>
        <v>17.757753164557</v>
      </c>
      <c r="AB165" s="90">
        <v>7.15</v>
      </c>
      <c r="AC165" s="76">
        <f t="shared" si="97"/>
        <v>126.967935126582</v>
      </c>
      <c r="AD165" s="76">
        <f t="shared" si="96"/>
        <v>1075.677217827</v>
      </c>
      <c r="AE165" s="76">
        <f t="shared" si="93"/>
        <v>159.322782173</v>
      </c>
    </row>
    <row r="166" customFormat="1" spans="1:31">
      <c r="A166" s="18"/>
      <c r="B166" s="19"/>
      <c r="C166" s="20">
        <v>240804000008</v>
      </c>
      <c r="D166" s="21">
        <v>45514</v>
      </c>
      <c r="E166" s="21" t="s">
        <v>127</v>
      </c>
      <c r="F166" s="19" t="s">
        <v>194</v>
      </c>
      <c r="G166" s="19" t="s">
        <v>195</v>
      </c>
      <c r="H166" s="19">
        <v>13.5</v>
      </c>
      <c r="I166" s="49"/>
      <c r="J166" s="44">
        <v>191172.8</v>
      </c>
      <c r="K166" s="45"/>
      <c r="L166" s="46">
        <f>SUM(J166/M166)</f>
        <v>1616</v>
      </c>
      <c r="M166" s="47">
        <v>118.3</v>
      </c>
      <c r="N166" s="48">
        <v>7.15</v>
      </c>
      <c r="O166" s="49">
        <f>SUM(M166*N166)</f>
        <v>845.845</v>
      </c>
      <c r="P166" s="53"/>
      <c r="Q166" s="53"/>
      <c r="R166" s="76">
        <f t="shared" si="101"/>
        <v>655.564556962025</v>
      </c>
      <c r="S166" s="76"/>
      <c r="T166" s="77">
        <f t="shared" si="102"/>
        <v>1.23417721518987</v>
      </c>
      <c r="U166" s="76"/>
      <c r="V166" s="76"/>
      <c r="W166" s="78">
        <f t="shared" si="98"/>
        <v>656.798734177215</v>
      </c>
      <c r="X166" s="79">
        <f t="shared" si="103"/>
        <v>12.2938291139241</v>
      </c>
      <c r="Y166" s="79"/>
      <c r="Z166" s="79"/>
      <c r="AA166" s="79">
        <f t="shared" si="99"/>
        <v>12.2938291139241</v>
      </c>
      <c r="AB166" s="90">
        <v>7.15</v>
      </c>
      <c r="AC166" s="76">
        <f t="shared" si="97"/>
        <v>87.900878164557</v>
      </c>
      <c r="AD166" s="76">
        <f t="shared" si="96"/>
        <v>744.699612341772</v>
      </c>
      <c r="AE166" s="76">
        <f t="shared" si="93"/>
        <v>101.145387658228</v>
      </c>
    </row>
    <row r="167" customFormat="1" spans="1:31">
      <c r="A167" s="18"/>
      <c r="B167" s="19"/>
      <c r="C167" s="20">
        <v>240805000002</v>
      </c>
      <c r="D167" s="21">
        <v>45514</v>
      </c>
      <c r="E167" s="21" t="s">
        <v>37</v>
      </c>
      <c r="F167" s="19" t="s">
        <v>38</v>
      </c>
      <c r="G167" s="19" t="s">
        <v>196</v>
      </c>
      <c r="H167" s="19">
        <v>8.5</v>
      </c>
      <c r="I167" s="51">
        <v>595.65</v>
      </c>
      <c r="J167" s="52"/>
      <c r="K167" s="45"/>
      <c r="L167" s="19"/>
      <c r="M167" s="45"/>
      <c r="N167" s="48"/>
      <c r="O167" s="49">
        <f t="shared" ref="O167:O176" si="104">SUM(I167)</f>
        <v>595.65</v>
      </c>
      <c r="P167" s="53"/>
      <c r="Q167" s="53"/>
      <c r="R167" s="76">
        <f t="shared" si="101"/>
        <v>412.762869198312</v>
      </c>
      <c r="S167" s="76"/>
      <c r="T167" s="77">
        <f t="shared" si="102"/>
        <v>0.777074542897328</v>
      </c>
      <c r="U167" s="76"/>
      <c r="V167" s="76"/>
      <c r="W167" s="78">
        <f t="shared" si="98"/>
        <v>413.53994374121</v>
      </c>
      <c r="X167" s="79">
        <f t="shared" si="103"/>
        <v>7.74055907172996</v>
      </c>
      <c r="Y167" s="79"/>
      <c r="Z167" s="79"/>
      <c r="AA167" s="79">
        <f t="shared" si="99"/>
        <v>7.74055907172996</v>
      </c>
      <c r="AB167" s="90">
        <v>7.15</v>
      </c>
      <c r="AC167" s="76">
        <f t="shared" si="97"/>
        <v>55.3449973628692</v>
      </c>
      <c r="AD167" s="76">
        <f t="shared" si="96"/>
        <v>468.884941104079</v>
      </c>
      <c r="AE167" s="76">
        <f t="shared" si="93"/>
        <v>126.765058895921</v>
      </c>
    </row>
    <row r="168" customFormat="1" spans="1:31">
      <c r="A168" s="18"/>
      <c r="B168" s="19"/>
      <c r="C168" s="20">
        <v>240805000009</v>
      </c>
      <c r="D168" s="21">
        <v>45514</v>
      </c>
      <c r="E168" s="21" t="s">
        <v>37</v>
      </c>
      <c r="F168" s="19" t="s">
        <v>38</v>
      </c>
      <c r="G168" s="19" t="s">
        <v>197</v>
      </c>
      <c r="H168" s="19">
        <v>10.5</v>
      </c>
      <c r="I168" s="51">
        <v>682.5</v>
      </c>
      <c r="J168" s="52"/>
      <c r="K168" s="45"/>
      <c r="L168" s="19"/>
      <c r="M168" s="45"/>
      <c r="N168" s="48"/>
      <c r="O168" s="49">
        <f t="shared" si="104"/>
        <v>682.5</v>
      </c>
      <c r="P168" s="53"/>
      <c r="Q168" s="53"/>
      <c r="R168" s="76">
        <f t="shared" si="101"/>
        <v>509.883544303797</v>
      </c>
      <c r="S168" s="76"/>
      <c r="T168" s="77">
        <f t="shared" si="102"/>
        <v>0.959915611814346</v>
      </c>
      <c r="U168" s="76"/>
      <c r="V168" s="76"/>
      <c r="W168" s="78">
        <f t="shared" si="98"/>
        <v>510.843459915612</v>
      </c>
      <c r="X168" s="79">
        <f t="shared" si="103"/>
        <v>9.5618670886076</v>
      </c>
      <c r="Y168" s="79"/>
      <c r="Z168" s="79"/>
      <c r="AA168" s="79">
        <f t="shared" si="99"/>
        <v>9.5618670886076</v>
      </c>
      <c r="AB168" s="90">
        <v>7.15</v>
      </c>
      <c r="AC168" s="76">
        <f t="shared" si="97"/>
        <v>68.3673496835443</v>
      </c>
      <c r="AD168" s="76">
        <f t="shared" si="96"/>
        <v>579.210809599156</v>
      </c>
      <c r="AE168" s="76">
        <f t="shared" si="93"/>
        <v>103.289190400844</v>
      </c>
    </row>
    <row r="169" customFormat="1" spans="1:31">
      <c r="A169" s="18"/>
      <c r="B169" s="19"/>
      <c r="C169" s="20">
        <v>240805000011</v>
      </c>
      <c r="D169" s="21">
        <v>45514</v>
      </c>
      <c r="E169" s="21" t="s">
        <v>44</v>
      </c>
      <c r="F169" s="19" t="s">
        <v>45</v>
      </c>
      <c r="G169" s="19" t="s">
        <v>92</v>
      </c>
      <c r="H169" s="19">
        <v>0.44</v>
      </c>
      <c r="I169" s="51">
        <v>78.1</v>
      </c>
      <c r="J169" s="52"/>
      <c r="K169" s="45"/>
      <c r="L169" s="19"/>
      <c r="M169" s="45"/>
      <c r="N169" s="48"/>
      <c r="O169" s="49">
        <f t="shared" si="104"/>
        <v>78.1</v>
      </c>
      <c r="P169" s="53"/>
      <c r="Q169" s="53"/>
      <c r="R169" s="76">
        <f t="shared" si="101"/>
        <v>21.3665485232068</v>
      </c>
      <c r="S169" s="76"/>
      <c r="T169" s="77">
        <f t="shared" si="102"/>
        <v>0.040225035161744</v>
      </c>
      <c r="U169" s="76"/>
      <c r="V169" s="76"/>
      <c r="W169" s="78">
        <f t="shared" si="98"/>
        <v>21.4067735583685</v>
      </c>
      <c r="X169" s="79">
        <f t="shared" si="103"/>
        <v>0.40068776371308</v>
      </c>
      <c r="Y169" s="79"/>
      <c r="Z169" s="79"/>
      <c r="AA169" s="79">
        <f t="shared" si="99"/>
        <v>0.40068776371308</v>
      </c>
      <c r="AB169" s="90">
        <v>7.15</v>
      </c>
      <c r="AC169" s="76">
        <f t="shared" si="97"/>
        <v>2.86491751054852</v>
      </c>
      <c r="AD169" s="76">
        <f t="shared" si="96"/>
        <v>24.271691068917</v>
      </c>
      <c r="AE169" s="76">
        <f t="shared" si="93"/>
        <v>53.828308931083</v>
      </c>
    </row>
    <row r="170" customFormat="1" spans="1:31">
      <c r="A170" s="18"/>
      <c r="B170" s="19"/>
      <c r="C170" s="20">
        <v>240805000014</v>
      </c>
      <c r="D170" s="21">
        <v>45514</v>
      </c>
      <c r="E170" s="21" t="s">
        <v>37</v>
      </c>
      <c r="F170" s="19" t="s">
        <v>38</v>
      </c>
      <c r="G170" s="19" t="s">
        <v>198</v>
      </c>
      <c r="H170" s="19">
        <v>20</v>
      </c>
      <c r="I170" s="51">
        <v>1505</v>
      </c>
      <c r="J170" s="52"/>
      <c r="K170" s="45"/>
      <c r="L170" s="19"/>
      <c r="M170" s="45"/>
      <c r="N170" s="48"/>
      <c r="O170" s="49">
        <f t="shared" si="104"/>
        <v>1505</v>
      </c>
      <c r="P170" s="53"/>
      <c r="Q170" s="53"/>
      <c r="R170" s="76">
        <f t="shared" si="101"/>
        <v>971.206751054852</v>
      </c>
      <c r="S170" s="76"/>
      <c r="T170" s="77">
        <f t="shared" si="102"/>
        <v>1.82841068917018</v>
      </c>
      <c r="U170" s="76"/>
      <c r="V170" s="76"/>
      <c r="W170" s="78">
        <f t="shared" si="98"/>
        <v>973.035161744023</v>
      </c>
      <c r="X170" s="79">
        <f t="shared" si="103"/>
        <v>18.2130801687764</v>
      </c>
      <c r="Y170" s="79"/>
      <c r="Z170" s="79"/>
      <c r="AA170" s="79">
        <f t="shared" si="99"/>
        <v>18.2130801687764</v>
      </c>
      <c r="AB170" s="90">
        <v>7.15</v>
      </c>
      <c r="AC170" s="76">
        <f t="shared" si="97"/>
        <v>130.223523206751</v>
      </c>
      <c r="AD170" s="76">
        <f t="shared" si="96"/>
        <v>1103.25868495077</v>
      </c>
      <c r="AE170" s="76">
        <f t="shared" si="93"/>
        <v>401.74131504923</v>
      </c>
    </row>
    <row r="171" customFormat="1" spans="1:31">
      <c r="A171" s="18"/>
      <c r="B171" s="19"/>
      <c r="C171" s="20">
        <v>240805000016</v>
      </c>
      <c r="D171" s="21">
        <v>45514</v>
      </c>
      <c r="E171" s="21" t="s">
        <v>37</v>
      </c>
      <c r="F171" s="19" t="s">
        <v>38</v>
      </c>
      <c r="G171" s="19" t="s">
        <v>198</v>
      </c>
      <c r="H171" s="19">
        <v>2.5</v>
      </c>
      <c r="I171" s="51">
        <v>168</v>
      </c>
      <c r="J171" s="52"/>
      <c r="K171" s="45"/>
      <c r="L171" s="19"/>
      <c r="M171" s="45"/>
      <c r="N171" s="48"/>
      <c r="O171" s="49">
        <f t="shared" si="104"/>
        <v>168</v>
      </c>
      <c r="P171" s="53"/>
      <c r="Q171" s="53"/>
      <c r="R171" s="76">
        <f t="shared" si="101"/>
        <v>121.400843881857</v>
      </c>
      <c r="S171" s="76"/>
      <c r="T171" s="77">
        <f t="shared" si="102"/>
        <v>0.228551336146273</v>
      </c>
      <c r="U171" s="76"/>
      <c r="V171" s="76"/>
      <c r="W171" s="78">
        <f t="shared" si="98"/>
        <v>121.629395218003</v>
      </c>
      <c r="X171" s="79">
        <f t="shared" si="103"/>
        <v>2.27663502109705</v>
      </c>
      <c r="Y171" s="79"/>
      <c r="Z171" s="79"/>
      <c r="AA171" s="79">
        <f t="shared" si="99"/>
        <v>2.27663502109705</v>
      </c>
      <c r="AB171" s="90">
        <v>7.15</v>
      </c>
      <c r="AC171" s="76">
        <f t="shared" si="97"/>
        <v>16.2779404008439</v>
      </c>
      <c r="AD171" s="76">
        <f t="shared" si="96"/>
        <v>137.907335618847</v>
      </c>
      <c r="AE171" s="76">
        <f t="shared" si="93"/>
        <v>30.092664381153</v>
      </c>
    </row>
    <row r="172" customFormat="1" spans="1:31">
      <c r="A172" s="18"/>
      <c r="B172" s="19"/>
      <c r="C172" s="20">
        <v>240805000017</v>
      </c>
      <c r="D172" s="21">
        <v>45514</v>
      </c>
      <c r="E172" s="21" t="s">
        <v>41</v>
      </c>
      <c r="F172" s="19" t="s">
        <v>42</v>
      </c>
      <c r="G172" s="19" t="s">
        <v>199</v>
      </c>
      <c r="H172" s="19">
        <v>11.5</v>
      </c>
      <c r="I172" s="51">
        <v>1047.7</v>
      </c>
      <c r="J172" s="52"/>
      <c r="K172" s="45"/>
      <c r="L172" s="19"/>
      <c r="M172" s="45"/>
      <c r="N172" s="48"/>
      <c r="O172" s="49">
        <f t="shared" si="104"/>
        <v>1047.7</v>
      </c>
      <c r="P172" s="53"/>
      <c r="Q172" s="53"/>
      <c r="R172" s="76">
        <f t="shared" si="101"/>
        <v>558.44388185654</v>
      </c>
      <c r="S172" s="76"/>
      <c r="T172" s="77">
        <f t="shared" si="102"/>
        <v>1.05133614627286</v>
      </c>
      <c r="U172" s="76"/>
      <c r="V172" s="76"/>
      <c r="W172" s="78">
        <f t="shared" si="98"/>
        <v>559.495218002813</v>
      </c>
      <c r="X172" s="79">
        <f t="shared" si="103"/>
        <v>10.4725210970464</v>
      </c>
      <c r="Y172" s="79">
        <v>13.5</v>
      </c>
      <c r="Z172" s="79"/>
      <c r="AA172" s="79">
        <f t="shared" si="99"/>
        <v>23.9725210970464</v>
      </c>
      <c r="AB172" s="90">
        <v>7.15</v>
      </c>
      <c r="AC172" s="76">
        <f t="shared" si="97"/>
        <v>171.403525843882</v>
      </c>
      <c r="AD172" s="76">
        <f t="shared" si="96"/>
        <v>730.898743846695</v>
      </c>
      <c r="AE172" s="76">
        <f t="shared" si="93"/>
        <v>316.801256153305</v>
      </c>
    </row>
    <row r="173" customFormat="1" spans="1:31">
      <c r="A173" s="18"/>
      <c r="B173" s="19"/>
      <c r="C173" s="20">
        <v>240805000020</v>
      </c>
      <c r="D173" s="21">
        <v>45514</v>
      </c>
      <c r="E173" s="21" t="s">
        <v>37</v>
      </c>
      <c r="F173" s="19" t="s">
        <v>38</v>
      </c>
      <c r="G173" s="19" t="s">
        <v>75</v>
      </c>
      <c r="H173" s="19">
        <v>1</v>
      </c>
      <c r="I173" s="51">
        <v>60</v>
      </c>
      <c r="J173" s="52"/>
      <c r="K173" s="45"/>
      <c r="L173" s="19"/>
      <c r="M173" s="45"/>
      <c r="N173" s="48"/>
      <c r="O173" s="49">
        <f t="shared" si="104"/>
        <v>60</v>
      </c>
      <c r="P173" s="53"/>
      <c r="Q173" s="53"/>
      <c r="R173" s="76">
        <f t="shared" si="101"/>
        <v>48.5603375527426</v>
      </c>
      <c r="S173" s="76"/>
      <c r="T173" s="77">
        <f t="shared" si="102"/>
        <v>0.0914205344585091</v>
      </c>
      <c r="U173" s="76"/>
      <c r="V173" s="76"/>
      <c r="W173" s="78">
        <f t="shared" si="98"/>
        <v>48.6517580872011</v>
      </c>
      <c r="X173" s="79">
        <f t="shared" si="103"/>
        <v>0.910654008438819</v>
      </c>
      <c r="Y173" s="79"/>
      <c r="Z173" s="79"/>
      <c r="AA173" s="79">
        <f t="shared" si="99"/>
        <v>0.910654008438819</v>
      </c>
      <c r="AB173" s="90">
        <v>7.15</v>
      </c>
      <c r="AC173" s="76">
        <f t="shared" si="97"/>
        <v>6.51117616033755</v>
      </c>
      <c r="AD173" s="76">
        <f t="shared" si="96"/>
        <v>55.1629342475387</v>
      </c>
      <c r="AE173" s="76">
        <f t="shared" si="93"/>
        <v>4.8370657524613</v>
      </c>
    </row>
    <row r="174" customFormat="1" spans="1:31">
      <c r="A174" s="18"/>
      <c r="B174" s="19"/>
      <c r="C174" s="20">
        <v>240805000023</v>
      </c>
      <c r="D174" s="21">
        <v>45514</v>
      </c>
      <c r="E174" s="21" t="s">
        <v>37</v>
      </c>
      <c r="F174" s="19" t="s">
        <v>38</v>
      </c>
      <c r="G174" s="19" t="s">
        <v>200</v>
      </c>
      <c r="H174" s="19">
        <v>15</v>
      </c>
      <c r="I174" s="51">
        <v>1046.1</v>
      </c>
      <c r="J174" s="52"/>
      <c r="K174" s="45"/>
      <c r="L174" s="19"/>
      <c r="M174" s="45"/>
      <c r="N174" s="48"/>
      <c r="O174" s="49">
        <f t="shared" si="104"/>
        <v>1046.1</v>
      </c>
      <c r="P174" s="53"/>
      <c r="Q174" s="53"/>
      <c r="R174" s="76">
        <f t="shared" si="101"/>
        <v>728.405063291139</v>
      </c>
      <c r="S174" s="76"/>
      <c r="T174" s="77">
        <f t="shared" si="102"/>
        <v>1.37130801687764</v>
      </c>
      <c r="U174" s="76"/>
      <c r="V174" s="76"/>
      <c r="W174" s="78">
        <f t="shared" si="98"/>
        <v>729.776371308017</v>
      </c>
      <c r="X174" s="79">
        <f t="shared" si="103"/>
        <v>13.6598101265823</v>
      </c>
      <c r="Y174" s="79"/>
      <c r="Z174" s="79"/>
      <c r="AA174" s="79">
        <f t="shared" si="99"/>
        <v>13.6598101265823</v>
      </c>
      <c r="AB174" s="90">
        <v>7.15</v>
      </c>
      <c r="AC174" s="76">
        <f t="shared" si="97"/>
        <v>97.6676424050633</v>
      </c>
      <c r="AD174" s="76">
        <f t="shared" si="96"/>
        <v>827.44401371308</v>
      </c>
      <c r="AE174" s="76">
        <f t="shared" si="93"/>
        <v>218.65598628692</v>
      </c>
    </row>
    <row r="175" customFormat="1" spans="1:31">
      <c r="A175" s="18"/>
      <c r="B175" s="19"/>
      <c r="C175" s="20">
        <v>240805000024</v>
      </c>
      <c r="D175" s="21">
        <v>45514</v>
      </c>
      <c r="E175" s="21" t="s">
        <v>51</v>
      </c>
      <c r="F175" s="19" t="s">
        <v>52</v>
      </c>
      <c r="G175" s="19" t="s">
        <v>201</v>
      </c>
      <c r="H175" s="19">
        <v>0.24</v>
      </c>
      <c r="I175" s="51">
        <v>69</v>
      </c>
      <c r="J175" s="52"/>
      <c r="K175" s="45"/>
      <c r="L175" s="19"/>
      <c r="M175" s="45"/>
      <c r="N175" s="48"/>
      <c r="O175" s="49">
        <f t="shared" si="104"/>
        <v>69</v>
      </c>
      <c r="P175" s="53"/>
      <c r="Q175" s="53"/>
      <c r="R175" s="76">
        <f t="shared" si="101"/>
        <v>11.6544810126582</v>
      </c>
      <c r="S175" s="76"/>
      <c r="T175" s="77">
        <f t="shared" si="102"/>
        <v>0.0219409282700422</v>
      </c>
      <c r="U175" s="76"/>
      <c r="V175" s="76"/>
      <c r="W175" s="78">
        <f t="shared" si="98"/>
        <v>11.6764219409283</v>
      </c>
      <c r="X175" s="79">
        <f t="shared" si="103"/>
        <v>0.218556962025316</v>
      </c>
      <c r="Y175" s="79"/>
      <c r="Z175" s="79"/>
      <c r="AA175" s="79">
        <f t="shared" si="99"/>
        <v>0.218556962025316</v>
      </c>
      <c r="AB175" s="90">
        <v>7.15</v>
      </c>
      <c r="AC175" s="76">
        <f t="shared" si="97"/>
        <v>1.56268227848101</v>
      </c>
      <c r="AD175" s="76">
        <f t="shared" si="96"/>
        <v>13.2391042194093</v>
      </c>
      <c r="AE175" s="76">
        <f t="shared" si="93"/>
        <v>55.7608957805907</v>
      </c>
    </row>
    <row r="176" customFormat="1" spans="1:31">
      <c r="A176" s="18"/>
      <c r="B176" s="19"/>
      <c r="C176" s="20">
        <v>240805000033</v>
      </c>
      <c r="D176" s="21">
        <v>45514</v>
      </c>
      <c r="E176" s="21" t="s">
        <v>37</v>
      </c>
      <c r="F176" s="19" t="s">
        <v>38</v>
      </c>
      <c r="G176" s="19" t="s">
        <v>202</v>
      </c>
      <c r="H176" s="19">
        <v>10</v>
      </c>
      <c r="I176" s="51">
        <v>975</v>
      </c>
      <c r="J176" s="52"/>
      <c r="K176" s="45"/>
      <c r="L176" s="19"/>
      <c r="M176" s="45"/>
      <c r="N176" s="48"/>
      <c r="O176" s="49">
        <f t="shared" si="104"/>
        <v>975</v>
      </c>
      <c r="P176" s="53"/>
      <c r="Q176" s="53"/>
      <c r="R176" s="76">
        <f t="shared" si="101"/>
        <v>485.603375527426</v>
      </c>
      <c r="S176" s="76"/>
      <c r="T176" s="77">
        <f t="shared" si="102"/>
        <v>0.914205344585092</v>
      </c>
      <c r="U176" s="76"/>
      <c r="V176" s="76"/>
      <c r="W176" s="78">
        <f t="shared" si="98"/>
        <v>486.517580872011</v>
      </c>
      <c r="X176" s="79">
        <f t="shared" si="103"/>
        <v>9.10654008438819</v>
      </c>
      <c r="Y176" s="79"/>
      <c r="Z176" s="79"/>
      <c r="AA176" s="79">
        <f t="shared" si="99"/>
        <v>9.10654008438819</v>
      </c>
      <c r="AB176" s="90">
        <v>7.15</v>
      </c>
      <c r="AC176" s="76">
        <f t="shared" si="97"/>
        <v>65.1117616033755</v>
      </c>
      <c r="AD176" s="76">
        <f t="shared" si="96"/>
        <v>551.629342475387</v>
      </c>
      <c r="AE176" s="76">
        <f t="shared" si="93"/>
        <v>423.370657524613</v>
      </c>
    </row>
    <row r="177" customFormat="1" spans="1:31">
      <c r="A177" s="18"/>
      <c r="B177" s="19"/>
      <c r="C177" s="20">
        <v>240805000041</v>
      </c>
      <c r="D177" s="21">
        <v>45514</v>
      </c>
      <c r="E177" s="21" t="s">
        <v>41</v>
      </c>
      <c r="F177" s="19" t="s">
        <v>42</v>
      </c>
      <c r="G177" s="19" t="s">
        <v>203</v>
      </c>
      <c r="H177" s="19">
        <v>9</v>
      </c>
      <c r="I177" s="43"/>
      <c r="J177" s="44">
        <v>127310.7</v>
      </c>
      <c r="K177" s="45"/>
      <c r="L177" s="46">
        <f>SUM(J177/M177)</f>
        <v>1594.57289579158</v>
      </c>
      <c r="M177" s="47">
        <v>79.84</v>
      </c>
      <c r="N177" s="48">
        <v>7.15</v>
      </c>
      <c r="O177" s="49">
        <f t="shared" ref="O177:O180" si="105">SUM(M177*N177)</f>
        <v>570.856</v>
      </c>
      <c r="P177" s="53"/>
      <c r="Q177" s="53"/>
      <c r="R177" s="76">
        <f t="shared" si="101"/>
        <v>437.043037974684</v>
      </c>
      <c r="S177" s="76"/>
      <c r="T177" s="77">
        <f t="shared" si="102"/>
        <v>0.822784810126582</v>
      </c>
      <c r="U177" s="76"/>
      <c r="V177" s="76"/>
      <c r="W177" s="78">
        <f t="shared" si="98"/>
        <v>437.86582278481</v>
      </c>
      <c r="X177" s="79">
        <f t="shared" si="103"/>
        <v>8.19588607594937</v>
      </c>
      <c r="Y177" s="79"/>
      <c r="Z177" s="79"/>
      <c r="AA177" s="79">
        <f t="shared" si="99"/>
        <v>8.19588607594937</v>
      </c>
      <c r="AB177" s="90">
        <v>7.15</v>
      </c>
      <c r="AC177" s="76">
        <f t="shared" si="97"/>
        <v>58.600585443038</v>
      </c>
      <c r="AD177" s="76">
        <f t="shared" si="96"/>
        <v>496.466408227848</v>
      </c>
      <c r="AE177" s="76">
        <f t="shared" si="93"/>
        <v>74.389591772152</v>
      </c>
    </row>
    <row r="178" customFormat="1" spans="1:31">
      <c r="A178" s="18"/>
      <c r="B178" s="19"/>
      <c r="C178" s="20">
        <v>240805000048</v>
      </c>
      <c r="D178" s="21">
        <v>45514</v>
      </c>
      <c r="E178" s="21" t="s">
        <v>37</v>
      </c>
      <c r="F178" s="19" t="s">
        <v>204</v>
      </c>
      <c r="G178" s="19" t="s">
        <v>205</v>
      </c>
      <c r="H178" s="19">
        <v>8.5</v>
      </c>
      <c r="I178" s="57">
        <v>493</v>
      </c>
      <c r="J178" s="52"/>
      <c r="K178" s="45"/>
      <c r="L178" s="19"/>
      <c r="M178" s="45"/>
      <c r="N178" s="48"/>
      <c r="O178" s="49">
        <f>SUBTOTAL(9,I178)</f>
        <v>493</v>
      </c>
      <c r="P178" s="53"/>
      <c r="Q178" s="53"/>
      <c r="R178" s="76">
        <f t="shared" si="101"/>
        <v>412.762869198312</v>
      </c>
      <c r="S178" s="76"/>
      <c r="T178" s="77">
        <f t="shared" si="102"/>
        <v>0.777074542897328</v>
      </c>
      <c r="U178" s="76"/>
      <c r="V178" s="76"/>
      <c r="W178" s="78">
        <f t="shared" si="98"/>
        <v>413.53994374121</v>
      </c>
      <c r="X178" s="79">
        <f t="shared" si="103"/>
        <v>7.74055907172996</v>
      </c>
      <c r="Y178" s="79"/>
      <c r="Z178" s="79"/>
      <c r="AA178" s="79">
        <f t="shared" si="99"/>
        <v>7.74055907172996</v>
      </c>
      <c r="AB178" s="90">
        <v>7.15</v>
      </c>
      <c r="AC178" s="76">
        <f t="shared" si="97"/>
        <v>55.3449973628692</v>
      </c>
      <c r="AD178" s="76">
        <f t="shared" si="96"/>
        <v>468.884941104079</v>
      </c>
      <c r="AE178" s="76">
        <f t="shared" si="93"/>
        <v>24.115058895921</v>
      </c>
    </row>
    <row r="179" customFormat="1" spans="1:31">
      <c r="A179" s="18"/>
      <c r="B179" s="19"/>
      <c r="C179" s="20">
        <v>240805000049</v>
      </c>
      <c r="D179" s="21">
        <v>45514</v>
      </c>
      <c r="E179" s="21" t="s">
        <v>41</v>
      </c>
      <c r="F179" s="19" t="s">
        <v>42</v>
      </c>
      <c r="G179" s="19" t="s">
        <v>206</v>
      </c>
      <c r="H179" s="19">
        <v>7.5</v>
      </c>
      <c r="I179" s="51">
        <v>476.85</v>
      </c>
      <c r="J179" s="52"/>
      <c r="K179" s="45"/>
      <c r="L179" s="19"/>
      <c r="M179" s="45"/>
      <c r="N179" s="48"/>
      <c r="O179" s="49">
        <f t="shared" ref="O179:O183" si="106">SUM(I179)</f>
        <v>476.85</v>
      </c>
      <c r="P179" s="53"/>
      <c r="Q179" s="53"/>
      <c r="R179" s="76">
        <f t="shared" si="101"/>
        <v>364.20253164557</v>
      </c>
      <c r="S179" s="76"/>
      <c r="T179" s="77">
        <f t="shared" si="102"/>
        <v>0.685654008438819</v>
      </c>
      <c r="U179" s="76"/>
      <c r="V179" s="76"/>
      <c r="W179" s="78">
        <f t="shared" si="98"/>
        <v>364.888185654008</v>
      </c>
      <c r="X179" s="79">
        <f t="shared" si="103"/>
        <v>6.82990506329114</v>
      </c>
      <c r="Y179" s="79"/>
      <c r="Z179" s="79"/>
      <c r="AA179" s="79">
        <f t="shared" si="99"/>
        <v>6.82990506329114</v>
      </c>
      <c r="AB179" s="90">
        <v>7.15</v>
      </c>
      <c r="AC179" s="76">
        <f t="shared" si="97"/>
        <v>48.8338212025317</v>
      </c>
      <c r="AD179" s="76">
        <f t="shared" si="96"/>
        <v>413.72200685654</v>
      </c>
      <c r="AE179" s="76">
        <f t="shared" si="93"/>
        <v>63.12799314346</v>
      </c>
    </row>
    <row r="180" customFormat="1" spans="1:31">
      <c r="A180" s="18"/>
      <c r="B180" s="19"/>
      <c r="C180" s="22">
        <v>240805000050</v>
      </c>
      <c r="D180" s="23">
        <v>45514</v>
      </c>
      <c r="E180" s="21" t="s">
        <v>51</v>
      </c>
      <c r="F180" s="24" t="s">
        <v>52</v>
      </c>
      <c r="G180" s="24" t="s">
        <v>207</v>
      </c>
      <c r="H180" s="24">
        <v>0.22</v>
      </c>
      <c r="I180" s="43"/>
      <c r="J180" s="46">
        <v>15642.88</v>
      </c>
      <c r="K180" s="98"/>
      <c r="L180" s="46">
        <f>SUM(J180/M180)</f>
        <v>1616</v>
      </c>
      <c r="M180" s="99">
        <v>9.68</v>
      </c>
      <c r="N180" s="48">
        <v>7.15</v>
      </c>
      <c r="O180" s="49">
        <f t="shared" si="105"/>
        <v>69.212</v>
      </c>
      <c r="P180" s="53"/>
      <c r="Q180" s="53"/>
      <c r="R180" s="76">
        <f t="shared" si="101"/>
        <v>10.6832742616034</v>
      </c>
      <c r="S180" s="76"/>
      <c r="T180" s="77">
        <f t="shared" si="102"/>
        <v>0.020112517580872</v>
      </c>
      <c r="U180" s="76"/>
      <c r="V180" s="76"/>
      <c r="W180" s="78">
        <f t="shared" si="98"/>
        <v>10.7033867791842</v>
      </c>
      <c r="X180" s="79">
        <f t="shared" si="103"/>
        <v>0.20034388185654</v>
      </c>
      <c r="Y180" s="79"/>
      <c r="Z180" s="79"/>
      <c r="AA180" s="79">
        <f t="shared" si="99"/>
        <v>0.20034388185654</v>
      </c>
      <c r="AB180" s="90">
        <v>7.15</v>
      </c>
      <c r="AC180" s="76">
        <f t="shared" si="97"/>
        <v>1.43245875527426</v>
      </c>
      <c r="AD180" s="76">
        <f t="shared" si="96"/>
        <v>12.1358455344585</v>
      </c>
      <c r="AE180" s="76">
        <f t="shared" si="93"/>
        <v>57.0761544655415</v>
      </c>
    </row>
    <row r="181" customFormat="1" spans="1:31">
      <c r="A181" s="18"/>
      <c r="B181" s="19"/>
      <c r="C181" s="20">
        <v>240805000051</v>
      </c>
      <c r="D181" s="21">
        <v>45514</v>
      </c>
      <c r="E181" s="21" t="s">
        <v>41</v>
      </c>
      <c r="F181" s="19" t="s">
        <v>42</v>
      </c>
      <c r="G181" s="19" t="s">
        <v>166</v>
      </c>
      <c r="H181" s="19">
        <v>106</v>
      </c>
      <c r="I181" s="51">
        <v>7950</v>
      </c>
      <c r="J181" s="52"/>
      <c r="K181" s="45"/>
      <c r="L181" s="19"/>
      <c r="M181" s="45"/>
      <c r="N181" s="48"/>
      <c r="O181" s="49">
        <f t="shared" si="106"/>
        <v>7950</v>
      </c>
      <c r="P181" s="53"/>
      <c r="Q181" s="53"/>
      <c r="R181" s="76">
        <f t="shared" si="101"/>
        <v>5147.39578059072</v>
      </c>
      <c r="S181" s="76"/>
      <c r="T181" s="77">
        <f t="shared" si="102"/>
        <v>9.69057665260197</v>
      </c>
      <c r="U181" s="76"/>
      <c r="V181" s="76"/>
      <c r="W181" s="78">
        <f t="shared" si="98"/>
        <v>5157.08635724332</v>
      </c>
      <c r="X181" s="79">
        <f t="shared" si="103"/>
        <v>96.5293248945148</v>
      </c>
      <c r="Y181" s="79"/>
      <c r="Z181" s="79"/>
      <c r="AA181" s="79">
        <f t="shared" si="99"/>
        <v>96.5293248945148</v>
      </c>
      <c r="AB181" s="90">
        <v>7.15</v>
      </c>
      <c r="AC181" s="76">
        <f t="shared" si="97"/>
        <v>690.184672995781</v>
      </c>
      <c r="AD181" s="76">
        <f t="shared" si="96"/>
        <v>5847.2710302391</v>
      </c>
      <c r="AE181" s="76">
        <f t="shared" si="93"/>
        <v>2102.7289697609</v>
      </c>
    </row>
    <row r="182" customFormat="1" spans="1:31">
      <c r="A182" s="18"/>
      <c r="B182" s="19"/>
      <c r="C182" s="20">
        <v>240805000054</v>
      </c>
      <c r="D182" s="21">
        <v>45514</v>
      </c>
      <c r="E182" s="21" t="s">
        <v>51</v>
      </c>
      <c r="F182" s="19" t="s">
        <v>52</v>
      </c>
      <c r="G182" s="19" t="s">
        <v>208</v>
      </c>
      <c r="H182" s="19">
        <v>12</v>
      </c>
      <c r="I182" s="51">
        <v>777</v>
      </c>
      <c r="J182" s="52"/>
      <c r="K182" s="45"/>
      <c r="L182" s="19"/>
      <c r="M182" s="45"/>
      <c r="N182" s="48"/>
      <c r="O182" s="49">
        <f t="shared" si="106"/>
        <v>777</v>
      </c>
      <c r="P182" s="53"/>
      <c r="Q182" s="53"/>
      <c r="R182" s="76">
        <f t="shared" si="101"/>
        <v>582.724050632911</v>
      </c>
      <c r="S182" s="76"/>
      <c r="T182" s="77">
        <f t="shared" si="102"/>
        <v>1.09704641350211</v>
      </c>
      <c r="U182" s="76"/>
      <c r="V182" s="76"/>
      <c r="W182" s="78">
        <f t="shared" si="98"/>
        <v>583.821097046413</v>
      </c>
      <c r="X182" s="79">
        <f t="shared" si="103"/>
        <v>10.9278481012658</v>
      </c>
      <c r="Y182" s="79"/>
      <c r="Z182" s="79"/>
      <c r="AA182" s="79">
        <f t="shared" si="99"/>
        <v>10.9278481012658</v>
      </c>
      <c r="AB182" s="90">
        <v>7.15</v>
      </c>
      <c r="AC182" s="76">
        <f t="shared" si="97"/>
        <v>78.1341139240506</v>
      </c>
      <c r="AD182" s="76">
        <f t="shared" si="96"/>
        <v>661.955210970464</v>
      </c>
      <c r="AE182" s="76">
        <f t="shared" si="93"/>
        <v>115.044789029536</v>
      </c>
    </row>
    <row r="183" customFormat="1" spans="1:31">
      <c r="A183" s="18"/>
      <c r="B183" s="19"/>
      <c r="C183" s="20">
        <v>240806000002</v>
      </c>
      <c r="D183" s="21">
        <v>45514</v>
      </c>
      <c r="E183" s="21" t="s">
        <v>44</v>
      </c>
      <c r="F183" s="19" t="s">
        <v>45</v>
      </c>
      <c r="G183" s="19" t="s">
        <v>209</v>
      </c>
      <c r="H183" s="19">
        <v>2</v>
      </c>
      <c r="I183" s="51">
        <v>148</v>
      </c>
      <c r="J183" s="52"/>
      <c r="K183" s="45"/>
      <c r="L183" s="19"/>
      <c r="M183" s="45"/>
      <c r="N183" s="48"/>
      <c r="O183" s="49">
        <f t="shared" si="106"/>
        <v>148</v>
      </c>
      <c r="P183" s="53"/>
      <c r="Q183" s="53"/>
      <c r="R183" s="76">
        <f t="shared" si="101"/>
        <v>97.1206751054852</v>
      </c>
      <c r="S183" s="76"/>
      <c r="T183" s="77">
        <f t="shared" si="102"/>
        <v>0.182841068917018</v>
      </c>
      <c r="U183" s="76"/>
      <c r="V183" s="76"/>
      <c r="W183" s="78">
        <f t="shared" si="98"/>
        <v>97.3035161744022</v>
      </c>
      <c r="X183" s="79">
        <f t="shared" si="103"/>
        <v>1.82130801687764</v>
      </c>
      <c r="Y183" s="79"/>
      <c r="Z183" s="79"/>
      <c r="AA183" s="79">
        <f t="shared" si="99"/>
        <v>1.82130801687764</v>
      </c>
      <c r="AB183" s="90">
        <v>7.15</v>
      </c>
      <c r="AC183" s="76">
        <f t="shared" si="97"/>
        <v>13.0223523206751</v>
      </c>
      <c r="AD183" s="76">
        <f t="shared" si="96"/>
        <v>110.325868495077</v>
      </c>
      <c r="AE183" s="76">
        <f t="shared" si="93"/>
        <v>37.674131504923</v>
      </c>
    </row>
    <row r="184" customFormat="1" spans="1:31">
      <c r="A184" s="18"/>
      <c r="B184" s="19"/>
      <c r="C184" s="20">
        <v>240806000003</v>
      </c>
      <c r="D184" s="21">
        <v>45514</v>
      </c>
      <c r="E184" s="21" t="s">
        <v>44</v>
      </c>
      <c r="F184" s="19" t="s">
        <v>45</v>
      </c>
      <c r="G184" s="19" t="s">
        <v>46</v>
      </c>
      <c r="H184" s="19">
        <v>1.5</v>
      </c>
      <c r="I184" s="43"/>
      <c r="J184" s="44">
        <v>22746</v>
      </c>
      <c r="K184" s="45"/>
      <c r="L184" s="46">
        <f>SUM(J184/M184)</f>
        <v>1590.62937062937</v>
      </c>
      <c r="M184" s="47">
        <v>14.3</v>
      </c>
      <c r="N184" s="48">
        <v>7.15</v>
      </c>
      <c r="O184" s="49">
        <f>SUM(M184*N184)</f>
        <v>102.245</v>
      </c>
      <c r="P184" s="53"/>
      <c r="Q184" s="53"/>
      <c r="R184" s="76">
        <f t="shared" si="101"/>
        <v>72.8405063291139</v>
      </c>
      <c r="S184" s="76"/>
      <c r="T184" s="77">
        <f t="shared" si="102"/>
        <v>0.137130801687764</v>
      </c>
      <c r="U184" s="76"/>
      <c r="V184" s="76"/>
      <c r="W184" s="78">
        <f t="shared" si="98"/>
        <v>72.9776371308017</v>
      </c>
      <c r="X184" s="79">
        <f t="shared" si="103"/>
        <v>1.36598101265823</v>
      </c>
      <c r="Y184" s="79"/>
      <c r="Z184" s="79"/>
      <c r="AA184" s="79">
        <f t="shared" si="99"/>
        <v>1.36598101265823</v>
      </c>
      <c r="AB184" s="90">
        <v>7.15</v>
      </c>
      <c r="AC184" s="76">
        <f t="shared" si="97"/>
        <v>9.76676424050633</v>
      </c>
      <c r="AD184" s="76">
        <f t="shared" si="96"/>
        <v>82.744401371308</v>
      </c>
      <c r="AE184" s="76">
        <f t="shared" si="93"/>
        <v>19.500598628692</v>
      </c>
    </row>
    <row r="185" customFormat="1" spans="1:31">
      <c r="A185" s="18"/>
      <c r="B185" s="19"/>
      <c r="C185" s="20">
        <v>240806000011</v>
      </c>
      <c r="D185" s="21">
        <v>45514</v>
      </c>
      <c r="E185" s="21" t="s">
        <v>41</v>
      </c>
      <c r="F185" s="19" t="s">
        <v>42</v>
      </c>
      <c r="G185" s="19" t="s">
        <v>210</v>
      </c>
      <c r="H185" s="19">
        <v>13</v>
      </c>
      <c r="I185" s="43"/>
      <c r="J185" s="44">
        <v>196355</v>
      </c>
      <c r="K185" s="45"/>
      <c r="L185" s="46">
        <f>SUM(J185/M185)</f>
        <v>1623.1710341407</v>
      </c>
      <c r="M185" s="47">
        <v>120.97</v>
      </c>
      <c r="N185" s="48">
        <v>7.15</v>
      </c>
      <c r="O185" s="49">
        <f>SUM(M185*N185)</f>
        <v>864.9355</v>
      </c>
      <c r="P185" s="53"/>
      <c r="Q185" s="53"/>
      <c r="R185" s="76">
        <f t="shared" si="101"/>
        <v>631.284388185654</v>
      </c>
      <c r="S185" s="76"/>
      <c r="T185" s="77">
        <f t="shared" si="102"/>
        <v>1.18846694796062</v>
      </c>
      <c r="U185" s="76">
        <v>40</v>
      </c>
      <c r="V185" s="76"/>
      <c r="W185" s="78">
        <f t="shared" si="98"/>
        <v>672.472855133615</v>
      </c>
      <c r="X185" s="79">
        <f t="shared" si="103"/>
        <v>11.8385021097046</v>
      </c>
      <c r="Y185" s="79"/>
      <c r="Z185" s="79"/>
      <c r="AA185" s="79">
        <f t="shared" si="99"/>
        <v>11.8385021097046</v>
      </c>
      <c r="AB185" s="90">
        <v>7.15</v>
      </c>
      <c r="AC185" s="76">
        <f t="shared" si="97"/>
        <v>84.6452900843882</v>
      </c>
      <c r="AD185" s="76">
        <f t="shared" si="96"/>
        <v>757.118145218003</v>
      </c>
      <c r="AE185" s="76">
        <f t="shared" si="93"/>
        <v>107.817354781997</v>
      </c>
    </row>
    <row r="186" customFormat="1" spans="1:31">
      <c r="A186" s="18"/>
      <c r="B186" s="19"/>
      <c r="C186" s="20">
        <v>240806000013</v>
      </c>
      <c r="D186" s="21">
        <v>45514</v>
      </c>
      <c r="E186" s="21" t="s">
        <v>41</v>
      </c>
      <c r="F186" s="19" t="s">
        <v>42</v>
      </c>
      <c r="G186" s="19" t="s">
        <v>211</v>
      </c>
      <c r="H186" s="19">
        <v>3</v>
      </c>
      <c r="I186" s="51">
        <v>201.3</v>
      </c>
      <c r="J186" s="52"/>
      <c r="K186" s="45"/>
      <c r="L186" s="19"/>
      <c r="M186" s="45"/>
      <c r="N186" s="48"/>
      <c r="O186" s="49">
        <f t="shared" ref="O186:O190" si="107">SUM(I186)</f>
        <v>201.3</v>
      </c>
      <c r="P186" s="53"/>
      <c r="Q186" s="53"/>
      <c r="R186" s="76">
        <f t="shared" si="101"/>
        <v>145.681012658228</v>
      </c>
      <c r="S186" s="76"/>
      <c r="T186" s="77">
        <f t="shared" si="102"/>
        <v>0.274261603375527</v>
      </c>
      <c r="U186" s="76"/>
      <c r="V186" s="76"/>
      <c r="W186" s="78">
        <f t="shared" si="98"/>
        <v>145.955274261603</v>
      </c>
      <c r="X186" s="79">
        <f t="shared" si="103"/>
        <v>2.73196202531646</v>
      </c>
      <c r="Y186" s="79"/>
      <c r="Z186" s="79"/>
      <c r="AA186" s="79">
        <f t="shared" si="99"/>
        <v>2.73196202531646</v>
      </c>
      <c r="AB186" s="90">
        <v>7.15</v>
      </c>
      <c r="AC186" s="76">
        <f t="shared" si="97"/>
        <v>19.5335284810127</v>
      </c>
      <c r="AD186" s="76">
        <f t="shared" si="96"/>
        <v>165.488802742616</v>
      </c>
      <c r="AE186" s="76">
        <f t="shared" si="93"/>
        <v>35.811197257384</v>
      </c>
    </row>
    <row r="187" customFormat="1" spans="1:31">
      <c r="A187" s="18"/>
      <c r="B187" s="19"/>
      <c r="C187" s="20">
        <v>240806000015</v>
      </c>
      <c r="D187" s="21">
        <v>45514</v>
      </c>
      <c r="E187" s="21" t="s">
        <v>37</v>
      </c>
      <c r="F187" s="19" t="s">
        <v>38</v>
      </c>
      <c r="G187" s="19" t="s">
        <v>212</v>
      </c>
      <c r="H187" s="19">
        <v>0.5</v>
      </c>
      <c r="I187" s="43">
        <v>69.3</v>
      </c>
      <c r="J187" s="52"/>
      <c r="K187" s="45"/>
      <c r="L187" s="19"/>
      <c r="M187" s="45"/>
      <c r="N187" s="48"/>
      <c r="O187" s="49">
        <f t="shared" si="107"/>
        <v>69.3</v>
      </c>
      <c r="P187" s="53"/>
      <c r="Q187" s="53"/>
      <c r="R187" s="76">
        <f t="shared" si="101"/>
        <v>24.2801687763713</v>
      </c>
      <c r="S187" s="76"/>
      <c r="T187" s="77">
        <f t="shared" si="102"/>
        <v>0.0457102672292546</v>
      </c>
      <c r="U187" s="76"/>
      <c r="V187" s="76"/>
      <c r="W187" s="78">
        <f t="shared" si="98"/>
        <v>24.3258790436006</v>
      </c>
      <c r="X187" s="79">
        <f t="shared" si="103"/>
        <v>0.455327004219409</v>
      </c>
      <c r="Y187" s="79"/>
      <c r="Z187" s="79"/>
      <c r="AA187" s="79">
        <f t="shared" si="99"/>
        <v>0.455327004219409</v>
      </c>
      <c r="AB187" s="90">
        <v>7.15</v>
      </c>
      <c r="AC187" s="76">
        <f t="shared" si="97"/>
        <v>3.25558808016878</v>
      </c>
      <c r="AD187" s="76">
        <f t="shared" si="96"/>
        <v>27.5814671237693</v>
      </c>
      <c r="AE187" s="76">
        <f t="shared" si="93"/>
        <v>41.7185328762307</v>
      </c>
    </row>
    <row r="188" customFormat="1" spans="1:31">
      <c r="A188" s="18"/>
      <c r="B188" s="19"/>
      <c r="C188" s="20">
        <v>240806000016</v>
      </c>
      <c r="D188" s="21">
        <v>45514</v>
      </c>
      <c r="E188" s="21" t="s">
        <v>41</v>
      </c>
      <c r="F188" s="19" t="s">
        <v>42</v>
      </c>
      <c r="G188" s="19" t="s">
        <v>56</v>
      </c>
      <c r="H188" s="19">
        <v>2.5</v>
      </c>
      <c r="I188" s="51">
        <v>168.3</v>
      </c>
      <c r="J188" s="52"/>
      <c r="K188" s="45"/>
      <c r="L188" s="19"/>
      <c r="M188" s="45"/>
      <c r="N188" s="48"/>
      <c r="O188" s="49">
        <f t="shared" si="107"/>
        <v>168.3</v>
      </c>
      <c r="P188" s="53"/>
      <c r="Q188" s="53"/>
      <c r="R188" s="76">
        <f t="shared" si="101"/>
        <v>121.400843881857</v>
      </c>
      <c r="S188" s="76"/>
      <c r="T188" s="77">
        <f t="shared" si="102"/>
        <v>0.228551336146273</v>
      </c>
      <c r="U188" s="76"/>
      <c r="V188" s="76"/>
      <c r="W188" s="78">
        <f t="shared" si="98"/>
        <v>121.629395218003</v>
      </c>
      <c r="X188" s="79">
        <f t="shared" si="103"/>
        <v>2.27663502109705</v>
      </c>
      <c r="Y188" s="79"/>
      <c r="Z188" s="79"/>
      <c r="AA188" s="79">
        <f t="shared" si="99"/>
        <v>2.27663502109705</v>
      </c>
      <c r="AB188" s="90">
        <v>7.15</v>
      </c>
      <c r="AC188" s="76">
        <f t="shared" si="97"/>
        <v>16.2779404008439</v>
      </c>
      <c r="AD188" s="76">
        <f t="shared" si="96"/>
        <v>137.907335618847</v>
      </c>
      <c r="AE188" s="76">
        <f t="shared" si="93"/>
        <v>30.392664381153</v>
      </c>
    </row>
    <row r="189" customFormat="1" spans="1:31">
      <c r="A189" s="18"/>
      <c r="B189" s="19"/>
      <c r="C189" s="20">
        <v>240806000019</v>
      </c>
      <c r="D189" s="21">
        <v>45514</v>
      </c>
      <c r="E189" s="21" t="s">
        <v>37</v>
      </c>
      <c r="F189" s="19" t="s">
        <v>38</v>
      </c>
      <c r="G189" s="19" t="s">
        <v>213</v>
      </c>
      <c r="H189" s="19">
        <v>0.49</v>
      </c>
      <c r="I189" s="51">
        <v>75</v>
      </c>
      <c r="J189" s="52"/>
      <c r="K189" s="45"/>
      <c r="L189" s="19"/>
      <c r="M189" s="45"/>
      <c r="N189" s="48"/>
      <c r="O189" s="49">
        <f t="shared" si="107"/>
        <v>75</v>
      </c>
      <c r="P189" s="53"/>
      <c r="Q189" s="53"/>
      <c r="R189" s="76">
        <f t="shared" si="101"/>
        <v>23.7945654008439</v>
      </c>
      <c r="S189" s="76"/>
      <c r="T189" s="77">
        <f t="shared" si="102"/>
        <v>0.0447960618846695</v>
      </c>
      <c r="U189" s="76"/>
      <c r="V189" s="76"/>
      <c r="W189" s="78">
        <f t="shared" si="98"/>
        <v>23.8393614627286</v>
      </c>
      <c r="X189" s="79">
        <f t="shared" si="103"/>
        <v>0.446220464135021</v>
      </c>
      <c r="Y189" s="79"/>
      <c r="Z189" s="79"/>
      <c r="AA189" s="79">
        <f t="shared" si="99"/>
        <v>0.446220464135021</v>
      </c>
      <c r="AB189" s="90">
        <v>7.15</v>
      </c>
      <c r="AC189" s="76">
        <f t="shared" si="97"/>
        <v>3.1904763185654</v>
      </c>
      <c r="AD189" s="76">
        <f t="shared" si="96"/>
        <v>27.029837781294</v>
      </c>
      <c r="AE189" s="76">
        <f t="shared" si="93"/>
        <v>47.970162218706</v>
      </c>
    </row>
    <row r="190" customFormat="1" spans="1:31">
      <c r="A190" s="18"/>
      <c r="B190" s="19"/>
      <c r="C190" s="20">
        <v>240806000022</v>
      </c>
      <c r="D190" s="21">
        <v>45514</v>
      </c>
      <c r="E190" s="21" t="s">
        <v>57</v>
      </c>
      <c r="F190" s="19" t="s">
        <v>57</v>
      </c>
      <c r="G190" s="19" t="s">
        <v>150</v>
      </c>
      <c r="H190" s="19">
        <v>324.5</v>
      </c>
      <c r="I190" s="51">
        <v>18372.5</v>
      </c>
      <c r="J190" s="52"/>
      <c r="K190" s="45"/>
      <c r="L190" s="19"/>
      <c r="M190" s="45"/>
      <c r="N190" s="48"/>
      <c r="O190" s="49">
        <f t="shared" si="107"/>
        <v>18372.5</v>
      </c>
      <c r="P190" s="53"/>
      <c r="Q190" s="53"/>
      <c r="R190" s="76">
        <f t="shared" si="101"/>
        <v>15757.829535865</v>
      </c>
      <c r="S190" s="76"/>
      <c r="T190" s="77">
        <f t="shared" si="102"/>
        <v>29.6659634317862</v>
      </c>
      <c r="U190" s="76"/>
      <c r="V190" s="76"/>
      <c r="W190" s="78">
        <f t="shared" si="98"/>
        <v>15787.4954992968</v>
      </c>
      <c r="X190" s="79">
        <f t="shared" si="103"/>
        <v>295.507225738397</v>
      </c>
      <c r="Y190" s="79"/>
      <c r="Z190" s="79"/>
      <c r="AA190" s="79">
        <f t="shared" si="99"/>
        <v>295.507225738397</v>
      </c>
      <c r="AB190" s="90">
        <v>7.15</v>
      </c>
      <c r="AC190" s="76">
        <f t="shared" si="97"/>
        <v>2112.87666402954</v>
      </c>
      <c r="AD190" s="76">
        <f t="shared" si="96"/>
        <v>17900.3721633263</v>
      </c>
      <c r="AE190" s="76">
        <f t="shared" si="93"/>
        <v>472.127836673699</v>
      </c>
    </row>
    <row r="191" customFormat="1" spans="1:31">
      <c r="A191" s="18"/>
      <c r="B191" s="19"/>
      <c r="C191" s="20">
        <v>240806000028</v>
      </c>
      <c r="D191" s="21">
        <v>45514</v>
      </c>
      <c r="E191" s="21" t="s">
        <v>37</v>
      </c>
      <c r="F191" s="19" t="s">
        <v>214</v>
      </c>
      <c r="G191" s="19" t="s">
        <v>214</v>
      </c>
      <c r="H191" s="19">
        <v>10</v>
      </c>
      <c r="I191" s="49"/>
      <c r="J191" s="44">
        <v>159218</v>
      </c>
      <c r="K191" s="45"/>
      <c r="L191" s="46">
        <f>SUM(J191/M191)</f>
        <v>1629.9959049959</v>
      </c>
      <c r="M191" s="47">
        <v>97.68</v>
      </c>
      <c r="N191" s="48">
        <v>7.15</v>
      </c>
      <c r="O191" s="49">
        <f>SUM(M191*N191)</f>
        <v>698.412</v>
      </c>
      <c r="P191" s="53"/>
      <c r="Q191" s="53"/>
      <c r="R191" s="76">
        <f t="shared" si="101"/>
        <v>485.603375527426</v>
      </c>
      <c r="S191" s="76"/>
      <c r="T191" s="77">
        <f t="shared" si="102"/>
        <v>0.914205344585092</v>
      </c>
      <c r="U191" s="76"/>
      <c r="V191" s="76"/>
      <c r="W191" s="78">
        <f t="shared" si="98"/>
        <v>486.517580872011</v>
      </c>
      <c r="X191" s="79">
        <f t="shared" si="103"/>
        <v>9.10654008438819</v>
      </c>
      <c r="Y191" s="79"/>
      <c r="Z191" s="79"/>
      <c r="AA191" s="79">
        <f t="shared" si="99"/>
        <v>9.10654008438819</v>
      </c>
      <c r="AB191" s="90">
        <v>7.15</v>
      </c>
      <c r="AC191" s="76">
        <f t="shared" si="97"/>
        <v>65.1117616033755</v>
      </c>
      <c r="AD191" s="76">
        <f t="shared" si="96"/>
        <v>551.629342475387</v>
      </c>
      <c r="AE191" s="76">
        <f t="shared" si="93"/>
        <v>146.782657524613</v>
      </c>
    </row>
    <row r="192" customFormat="1" spans="1:31">
      <c r="A192" s="18"/>
      <c r="B192" s="19"/>
      <c r="C192" s="20">
        <v>240806000030</v>
      </c>
      <c r="D192" s="21">
        <v>45514</v>
      </c>
      <c r="E192" s="21" t="s">
        <v>41</v>
      </c>
      <c r="F192" s="19" t="s">
        <v>42</v>
      </c>
      <c r="G192" s="19" t="s">
        <v>116</v>
      </c>
      <c r="H192" s="19">
        <v>1.5</v>
      </c>
      <c r="I192" s="51">
        <v>102.3</v>
      </c>
      <c r="J192" s="52"/>
      <c r="K192" s="45"/>
      <c r="L192" s="19"/>
      <c r="M192" s="45"/>
      <c r="N192" s="48"/>
      <c r="O192" s="49">
        <f t="shared" ref="O192:O195" si="108">SUM(I192)</f>
        <v>102.3</v>
      </c>
      <c r="P192" s="53"/>
      <c r="Q192" s="53"/>
      <c r="R192" s="76">
        <f t="shared" si="101"/>
        <v>72.8405063291139</v>
      </c>
      <c r="S192" s="76"/>
      <c r="T192" s="77">
        <f t="shared" si="102"/>
        <v>0.137130801687764</v>
      </c>
      <c r="U192" s="76"/>
      <c r="V192" s="76"/>
      <c r="W192" s="78">
        <f t="shared" si="98"/>
        <v>72.9776371308017</v>
      </c>
      <c r="X192" s="79">
        <f t="shared" si="103"/>
        <v>1.36598101265823</v>
      </c>
      <c r="Y192" s="79"/>
      <c r="Z192" s="79"/>
      <c r="AA192" s="79">
        <f t="shared" si="99"/>
        <v>1.36598101265823</v>
      </c>
      <c r="AB192" s="90">
        <v>7.15</v>
      </c>
      <c r="AC192" s="76">
        <f t="shared" si="97"/>
        <v>9.76676424050633</v>
      </c>
      <c r="AD192" s="76">
        <f t="shared" si="96"/>
        <v>82.744401371308</v>
      </c>
      <c r="AE192" s="76">
        <f t="shared" si="93"/>
        <v>19.555598628692</v>
      </c>
    </row>
    <row r="193" customFormat="1" spans="1:31">
      <c r="A193" s="18"/>
      <c r="B193" s="19"/>
      <c r="C193" s="20">
        <v>240806000031</v>
      </c>
      <c r="D193" s="21">
        <v>45514</v>
      </c>
      <c r="E193" s="21" t="s">
        <v>37</v>
      </c>
      <c r="F193" s="19" t="s">
        <v>38</v>
      </c>
      <c r="G193" s="19" t="s">
        <v>75</v>
      </c>
      <c r="H193" s="19">
        <v>18</v>
      </c>
      <c r="I193" s="51">
        <v>1044</v>
      </c>
      <c r="J193" s="52"/>
      <c r="K193" s="45"/>
      <c r="L193" s="19"/>
      <c r="M193" s="45"/>
      <c r="N193" s="48"/>
      <c r="O193" s="49">
        <f t="shared" si="108"/>
        <v>1044</v>
      </c>
      <c r="P193" s="53"/>
      <c r="Q193" s="53"/>
      <c r="R193" s="76">
        <f t="shared" si="101"/>
        <v>874.086075949367</v>
      </c>
      <c r="S193" s="76"/>
      <c r="T193" s="77">
        <f t="shared" si="102"/>
        <v>1.64556962025316</v>
      </c>
      <c r="U193" s="76"/>
      <c r="V193" s="76"/>
      <c r="W193" s="78">
        <f t="shared" si="98"/>
        <v>875.73164556962</v>
      </c>
      <c r="X193" s="79">
        <f t="shared" si="103"/>
        <v>16.3917721518987</v>
      </c>
      <c r="Y193" s="79"/>
      <c r="Z193" s="79"/>
      <c r="AA193" s="79">
        <f t="shared" si="99"/>
        <v>16.3917721518987</v>
      </c>
      <c r="AB193" s="90">
        <v>7.15</v>
      </c>
      <c r="AC193" s="76">
        <f t="shared" si="97"/>
        <v>117.201170886076</v>
      </c>
      <c r="AD193" s="76">
        <f t="shared" si="96"/>
        <v>992.932816455696</v>
      </c>
      <c r="AE193" s="76">
        <f t="shared" si="93"/>
        <v>51.067183544304</v>
      </c>
    </row>
    <row r="194" customFormat="1" spans="1:31">
      <c r="A194" s="18"/>
      <c r="B194" s="19"/>
      <c r="C194" s="20">
        <v>240806000036</v>
      </c>
      <c r="D194" s="21">
        <v>45514</v>
      </c>
      <c r="E194" s="21" t="s">
        <v>57</v>
      </c>
      <c r="F194" s="19" t="s">
        <v>57</v>
      </c>
      <c r="G194" s="19" t="s">
        <v>155</v>
      </c>
      <c r="H194" s="19">
        <v>477</v>
      </c>
      <c r="I194" s="51">
        <v>24804</v>
      </c>
      <c r="J194" s="52"/>
      <c r="K194" s="45"/>
      <c r="L194" s="19"/>
      <c r="M194" s="45"/>
      <c r="N194" s="48"/>
      <c r="O194" s="49">
        <f t="shared" si="108"/>
        <v>24804</v>
      </c>
      <c r="P194" s="53"/>
      <c r="Q194" s="53"/>
      <c r="R194" s="76">
        <f t="shared" si="101"/>
        <v>23163.2810126582</v>
      </c>
      <c r="S194" s="76"/>
      <c r="T194" s="77">
        <f t="shared" si="102"/>
        <v>43.6075949367089</v>
      </c>
      <c r="U194" s="76"/>
      <c r="V194" s="76"/>
      <c r="W194" s="78">
        <f t="shared" si="98"/>
        <v>23206.8886075949</v>
      </c>
      <c r="X194" s="79">
        <f t="shared" si="103"/>
        <v>434.381962025316</v>
      </c>
      <c r="Y194" s="79"/>
      <c r="Z194" s="79"/>
      <c r="AA194" s="79">
        <f t="shared" si="99"/>
        <v>434.381962025316</v>
      </c>
      <c r="AB194" s="90">
        <v>7.15</v>
      </c>
      <c r="AC194" s="76">
        <f t="shared" si="97"/>
        <v>3105.83102848101</v>
      </c>
      <c r="AD194" s="76">
        <f t="shared" si="96"/>
        <v>26312.719636076</v>
      </c>
      <c r="AE194" s="76">
        <f t="shared" si="93"/>
        <v>-1508.719636076</v>
      </c>
    </row>
    <row r="195" customFormat="1" spans="1:31">
      <c r="A195" s="18"/>
      <c r="B195" s="19"/>
      <c r="C195" s="20">
        <v>240807000005</v>
      </c>
      <c r="D195" s="21">
        <v>45514</v>
      </c>
      <c r="E195" s="21" t="s">
        <v>51</v>
      </c>
      <c r="F195" s="19" t="s">
        <v>52</v>
      </c>
      <c r="G195" s="19" t="s">
        <v>215</v>
      </c>
      <c r="H195" s="19">
        <v>11</v>
      </c>
      <c r="I195" s="51">
        <v>726</v>
      </c>
      <c r="J195" s="52"/>
      <c r="K195" s="45"/>
      <c r="L195" s="19"/>
      <c r="M195" s="45"/>
      <c r="N195" s="48"/>
      <c r="O195" s="49">
        <f t="shared" si="108"/>
        <v>726</v>
      </c>
      <c r="P195" s="53"/>
      <c r="Q195" s="53"/>
      <c r="R195" s="76">
        <f t="shared" si="101"/>
        <v>534.163713080169</v>
      </c>
      <c r="S195" s="76"/>
      <c r="T195" s="77">
        <f t="shared" si="102"/>
        <v>1.0056258790436</v>
      </c>
      <c r="U195" s="76"/>
      <c r="V195" s="76"/>
      <c r="W195" s="78">
        <f t="shared" si="98"/>
        <v>535.169338959212</v>
      </c>
      <c r="X195" s="79">
        <f t="shared" si="103"/>
        <v>10.017194092827</v>
      </c>
      <c r="Y195" s="79"/>
      <c r="Z195" s="79"/>
      <c r="AA195" s="79">
        <f t="shared" si="99"/>
        <v>10.017194092827</v>
      </c>
      <c r="AB195" s="90">
        <v>7.15</v>
      </c>
      <c r="AC195" s="76">
        <f t="shared" si="97"/>
        <v>71.6229377637131</v>
      </c>
      <c r="AD195" s="76">
        <f t="shared" si="96"/>
        <v>606.792276722925</v>
      </c>
      <c r="AE195" s="76">
        <f t="shared" si="93"/>
        <v>119.207723277075</v>
      </c>
    </row>
    <row r="196" customFormat="1" spans="1:31">
      <c r="A196" s="18"/>
      <c r="B196" s="19"/>
      <c r="C196" s="20">
        <v>240807000025</v>
      </c>
      <c r="D196" s="21">
        <v>45514</v>
      </c>
      <c r="E196" s="21" t="s">
        <v>41</v>
      </c>
      <c r="F196" s="19" t="s">
        <v>121</v>
      </c>
      <c r="G196" s="19" t="s">
        <v>121</v>
      </c>
      <c r="H196" s="19">
        <v>49</v>
      </c>
      <c r="I196" s="49"/>
      <c r="J196" s="44">
        <v>845216.48</v>
      </c>
      <c r="K196" s="45"/>
      <c r="L196" s="46">
        <f>SUM(J196/M196)</f>
        <v>1616</v>
      </c>
      <c r="M196" s="47">
        <v>523.03</v>
      </c>
      <c r="N196" s="48">
        <v>7.15</v>
      </c>
      <c r="O196" s="49">
        <f t="shared" ref="O196:O198" si="109">SUM(M196*N196)</f>
        <v>3739.6645</v>
      </c>
      <c r="P196" s="53"/>
      <c r="Q196" s="53"/>
      <c r="R196" s="76">
        <f t="shared" si="101"/>
        <v>2379.45654008439</v>
      </c>
      <c r="S196" s="76"/>
      <c r="T196" s="77">
        <f t="shared" si="102"/>
        <v>4.47960618846695</v>
      </c>
      <c r="U196" s="76"/>
      <c r="V196" s="76"/>
      <c r="W196" s="78">
        <f t="shared" si="98"/>
        <v>2383.93614627285</v>
      </c>
      <c r="X196" s="79">
        <f t="shared" si="103"/>
        <v>44.6220464135021</v>
      </c>
      <c r="Y196" s="79"/>
      <c r="Z196" s="79"/>
      <c r="AA196" s="79">
        <f t="shared" si="99"/>
        <v>44.6220464135021</v>
      </c>
      <c r="AB196" s="90">
        <v>7.15</v>
      </c>
      <c r="AC196" s="76">
        <f t="shared" si="97"/>
        <v>319.04763185654</v>
      </c>
      <c r="AD196" s="76">
        <f t="shared" si="96"/>
        <v>2702.98377812939</v>
      </c>
      <c r="AE196" s="76">
        <f t="shared" si="93"/>
        <v>1036.68072187061</v>
      </c>
    </row>
    <row r="197" customFormat="1" spans="1:31">
      <c r="A197" s="18"/>
      <c r="B197" s="19"/>
      <c r="C197" s="20">
        <v>240807000026</v>
      </c>
      <c r="D197" s="21">
        <v>45514</v>
      </c>
      <c r="E197" s="21" t="s">
        <v>37</v>
      </c>
      <c r="F197" s="19" t="s">
        <v>38</v>
      </c>
      <c r="G197" s="19" t="s">
        <v>216</v>
      </c>
      <c r="H197" s="19">
        <v>45</v>
      </c>
      <c r="I197" s="43"/>
      <c r="J197" s="44">
        <v>725220</v>
      </c>
      <c r="K197" s="45"/>
      <c r="L197" s="46">
        <f>SUM(J197/M197)</f>
        <v>1694.55802976844</v>
      </c>
      <c r="M197" s="47">
        <v>427.97</v>
      </c>
      <c r="N197" s="48">
        <v>7.15</v>
      </c>
      <c r="O197" s="49">
        <f t="shared" si="109"/>
        <v>3059.9855</v>
      </c>
      <c r="P197" s="53"/>
      <c r="Q197" s="53"/>
      <c r="R197" s="76">
        <f t="shared" si="101"/>
        <v>2185.21518987342</v>
      </c>
      <c r="S197" s="76"/>
      <c r="T197" s="77">
        <f t="shared" si="102"/>
        <v>4.11392405063291</v>
      </c>
      <c r="U197" s="76"/>
      <c r="V197" s="76"/>
      <c r="W197" s="78">
        <f t="shared" si="98"/>
        <v>2189.32911392405</v>
      </c>
      <c r="X197" s="79">
        <f t="shared" si="103"/>
        <v>40.9794303797468</v>
      </c>
      <c r="Y197" s="79"/>
      <c r="Z197" s="79"/>
      <c r="AA197" s="79">
        <f t="shared" si="99"/>
        <v>40.9794303797468</v>
      </c>
      <c r="AB197" s="90">
        <v>7.15</v>
      </c>
      <c r="AC197" s="76">
        <f t="shared" si="97"/>
        <v>293.00292721519</v>
      </c>
      <c r="AD197" s="76">
        <f t="shared" si="96"/>
        <v>2482.33204113924</v>
      </c>
      <c r="AE197" s="76">
        <f t="shared" si="93"/>
        <v>577.65345886076</v>
      </c>
    </row>
    <row r="198" customFormat="1" spans="1:31">
      <c r="A198" s="18"/>
      <c r="B198" s="19"/>
      <c r="C198" s="20">
        <v>240807000028</v>
      </c>
      <c r="D198" s="21">
        <v>45514</v>
      </c>
      <c r="E198" s="21" t="s">
        <v>51</v>
      </c>
      <c r="F198" s="19" t="s">
        <v>52</v>
      </c>
      <c r="G198" s="19" t="s">
        <v>207</v>
      </c>
      <c r="H198" s="19">
        <v>6</v>
      </c>
      <c r="I198" s="49"/>
      <c r="J198" s="44">
        <v>85858.08</v>
      </c>
      <c r="K198" s="45"/>
      <c r="L198" s="46">
        <f>SUM(J198/M198)</f>
        <v>1616.00009124789</v>
      </c>
      <c r="M198" s="47">
        <v>53.129997</v>
      </c>
      <c r="N198" s="48">
        <v>7.15</v>
      </c>
      <c r="O198" s="49">
        <f t="shared" si="109"/>
        <v>379.87947855</v>
      </c>
      <c r="P198" s="53"/>
      <c r="Q198" s="53"/>
      <c r="R198" s="76">
        <f t="shared" si="101"/>
        <v>291.362025316456</v>
      </c>
      <c r="S198" s="76"/>
      <c r="T198" s="77">
        <f t="shared" si="102"/>
        <v>0.548523206751055</v>
      </c>
      <c r="U198" s="76"/>
      <c r="V198" s="76"/>
      <c r="W198" s="78">
        <f t="shared" ref="W198:W209" si="110">SUM(R198:V198)</f>
        <v>291.910548523207</v>
      </c>
      <c r="X198" s="79">
        <f t="shared" si="103"/>
        <v>5.46392405063291</v>
      </c>
      <c r="Y198" s="79"/>
      <c r="Z198" s="79"/>
      <c r="AA198" s="79">
        <f t="shared" si="99"/>
        <v>5.46392405063291</v>
      </c>
      <c r="AB198" s="90">
        <v>7.15</v>
      </c>
      <c r="AC198" s="76">
        <f t="shared" si="97"/>
        <v>39.0670569620253</v>
      </c>
      <c r="AD198" s="76">
        <f t="shared" ref="AD198:AD209" si="111">SUM(W198+AC198)</f>
        <v>330.977605485232</v>
      </c>
      <c r="AE198" s="76">
        <f t="shared" ref="AE198:AE209" si="112">SUM(O198-AD198)</f>
        <v>48.901873064768</v>
      </c>
    </row>
    <row r="199" customFormat="1" spans="1:31">
      <c r="A199" s="18"/>
      <c r="B199" s="19"/>
      <c r="C199" s="20">
        <v>240807000039</v>
      </c>
      <c r="D199" s="21">
        <v>45514</v>
      </c>
      <c r="E199" s="21" t="s">
        <v>57</v>
      </c>
      <c r="F199" s="19" t="s">
        <v>57</v>
      </c>
      <c r="G199" s="19" t="s">
        <v>217</v>
      </c>
      <c r="H199" s="19">
        <v>92</v>
      </c>
      <c r="I199" s="51">
        <v>7943.5</v>
      </c>
      <c r="J199" s="52"/>
      <c r="K199" s="45"/>
      <c r="L199" s="19"/>
      <c r="M199" s="45"/>
      <c r="N199" s="48"/>
      <c r="O199" s="49">
        <f t="shared" ref="O199:O203" si="113">SUM(I199)</f>
        <v>7943.5</v>
      </c>
      <c r="P199" s="54"/>
      <c r="Q199" s="54"/>
      <c r="R199" s="76">
        <f t="shared" si="101"/>
        <v>4467.55105485232</v>
      </c>
      <c r="S199" s="76"/>
      <c r="T199" s="77">
        <f t="shared" si="102"/>
        <v>8.41068917018284</v>
      </c>
      <c r="U199" s="76"/>
      <c r="V199" s="76"/>
      <c r="W199" s="78">
        <f t="shared" si="110"/>
        <v>4475.9617440225</v>
      </c>
      <c r="X199" s="79">
        <f t="shared" si="103"/>
        <v>83.7801687763713</v>
      </c>
      <c r="Y199" s="79"/>
      <c r="Z199" s="79"/>
      <c r="AA199" s="79">
        <f t="shared" ref="AA199:AA209" si="114">SUM(X199:Z199)</f>
        <v>83.7801687763713</v>
      </c>
      <c r="AB199" s="90">
        <v>7.15</v>
      </c>
      <c r="AC199" s="76">
        <f t="shared" ref="AC199:AC209" si="115">SUM(AA199*AB199)</f>
        <v>599.028206751055</v>
      </c>
      <c r="AD199" s="76">
        <f t="shared" si="111"/>
        <v>5074.98995077356</v>
      </c>
      <c r="AE199" s="76">
        <f t="shared" si="112"/>
        <v>2868.51004922644</v>
      </c>
    </row>
    <row r="200" customFormat="1" spans="1:31">
      <c r="A200" s="18" t="s">
        <v>218</v>
      </c>
      <c r="B200" s="19" t="s">
        <v>219</v>
      </c>
      <c r="C200" s="20">
        <v>240808000036</v>
      </c>
      <c r="D200" s="21">
        <v>45515</v>
      </c>
      <c r="E200" s="21" t="s">
        <v>51</v>
      </c>
      <c r="F200" s="19" t="s">
        <v>52</v>
      </c>
      <c r="G200" s="19" t="s">
        <v>185</v>
      </c>
      <c r="H200" s="19">
        <v>2.5</v>
      </c>
      <c r="I200" s="51">
        <v>300</v>
      </c>
      <c r="J200" s="52"/>
      <c r="K200" s="45"/>
      <c r="L200" s="19"/>
      <c r="M200" s="45"/>
      <c r="N200" s="48"/>
      <c r="O200" s="49">
        <f t="shared" si="113"/>
        <v>300</v>
      </c>
      <c r="P200" s="50">
        <f>SUM(O200:O209)</f>
        <v>5404.808</v>
      </c>
      <c r="Q200" s="50" t="s">
        <v>80</v>
      </c>
      <c r="R200" s="76">
        <f>SUM(2500/32)*H200</f>
        <v>195.3125</v>
      </c>
      <c r="S200" s="76"/>
      <c r="T200" s="77">
        <f>SUM(53.99/32)*H200</f>
        <v>4.21796875</v>
      </c>
      <c r="U200" s="76"/>
      <c r="V200" s="76"/>
      <c r="W200" s="78">
        <f t="shared" si="110"/>
        <v>199.53046875</v>
      </c>
      <c r="X200" s="79">
        <f>SUM(49.69/32)*H200</f>
        <v>3.88203125</v>
      </c>
      <c r="Y200" s="79"/>
      <c r="Z200" s="79"/>
      <c r="AA200" s="79">
        <f t="shared" si="114"/>
        <v>3.88203125</v>
      </c>
      <c r="AB200" s="90">
        <v>7.15</v>
      </c>
      <c r="AC200" s="76">
        <f t="shared" si="115"/>
        <v>27.7565234375</v>
      </c>
      <c r="AD200" s="76">
        <f t="shared" si="111"/>
        <v>227.2869921875</v>
      </c>
      <c r="AE200" s="76">
        <f t="shared" si="112"/>
        <v>72.7130078125</v>
      </c>
    </row>
    <row r="201" customFormat="1" spans="1:31">
      <c r="A201" s="18"/>
      <c r="B201" s="19"/>
      <c r="C201" s="20">
        <v>240808000037</v>
      </c>
      <c r="D201" s="21">
        <v>45515</v>
      </c>
      <c r="E201" s="21" t="s">
        <v>51</v>
      </c>
      <c r="F201" s="19" t="s">
        <v>52</v>
      </c>
      <c r="G201" s="19" t="s">
        <v>185</v>
      </c>
      <c r="H201" s="19">
        <v>0.18</v>
      </c>
      <c r="I201" s="51">
        <v>120</v>
      </c>
      <c r="J201" s="52"/>
      <c r="K201" s="45"/>
      <c r="L201" s="19"/>
      <c r="M201" s="45"/>
      <c r="N201" s="48"/>
      <c r="O201" s="49">
        <f t="shared" si="113"/>
        <v>120</v>
      </c>
      <c r="P201" s="53"/>
      <c r="Q201" s="53"/>
      <c r="R201" s="76">
        <f t="shared" ref="R201:R209" si="116">SUM(2500/32)*H201</f>
        <v>14.0625</v>
      </c>
      <c r="S201" s="76"/>
      <c r="T201" s="77">
        <f t="shared" ref="T201:T209" si="117">SUM(53.99/32)*H201</f>
        <v>0.30369375</v>
      </c>
      <c r="U201" s="76"/>
      <c r="V201" s="76"/>
      <c r="W201" s="78">
        <f t="shared" si="110"/>
        <v>14.36619375</v>
      </c>
      <c r="X201" s="79">
        <f t="shared" ref="X201:X209" si="118">SUM(49.69/32)*H201</f>
        <v>0.27950625</v>
      </c>
      <c r="Y201" s="79"/>
      <c r="Z201" s="79"/>
      <c r="AA201" s="79">
        <f t="shared" si="114"/>
        <v>0.27950625</v>
      </c>
      <c r="AB201" s="90">
        <v>7.15</v>
      </c>
      <c r="AC201" s="76">
        <f t="shared" si="115"/>
        <v>1.9984696875</v>
      </c>
      <c r="AD201" s="76">
        <f t="shared" si="111"/>
        <v>16.3646634375</v>
      </c>
      <c r="AE201" s="76">
        <f t="shared" si="112"/>
        <v>103.6353365625</v>
      </c>
    </row>
    <row r="202" customFormat="1" spans="1:31">
      <c r="A202" s="18"/>
      <c r="B202" s="19"/>
      <c r="C202" s="20">
        <v>240808000039</v>
      </c>
      <c r="D202" s="21">
        <v>45515</v>
      </c>
      <c r="E202" s="21" t="s">
        <v>37</v>
      </c>
      <c r="F202" s="19" t="s">
        <v>38</v>
      </c>
      <c r="G202" s="19" t="s">
        <v>220</v>
      </c>
      <c r="H202" s="19">
        <v>0.52</v>
      </c>
      <c r="I202" s="51">
        <v>170</v>
      </c>
      <c r="J202" s="52"/>
      <c r="K202" s="45"/>
      <c r="L202" s="19"/>
      <c r="M202" s="45"/>
      <c r="N202" s="48"/>
      <c r="O202" s="49">
        <f t="shared" si="113"/>
        <v>170</v>
      </c>
      <c r="P202" s="53"/>
      <c r="Q202" s="53"/>
      <c r="R202" s="76">
        <f t="shared" si="116"/>
        <v>40.625</v>
      </c>
      <c r="S202" s="76"/>
      <c r="T202" s="77">
        <f t="shared" si="117"/>
        <v>0.8773375</v>
      </c>
      <c r="U202" s="76"/>
      <c r="V202" s="76"/>
      <c r="W202" s="78">
        <f t="shared" si="110"/>
        <v>41.5023375</v>
      </c>
      <c r="X202" s="79">
        <f t="shared" si="118"/>
        <v>0.8074625</v>
      </c>
      <c r="Y202" s="79"/>
      <c r="Z202" s="79"/>
      <c r="AA202" s="79">
        <f t="shared" si="114"/>
        <v>0.8074625</v>
      </c>
      <c r="AB202" s="90">
        <v>7.15</v>
      </c>
      <c r="AC202" s="76">
        <f t="shared" si="115"/>
        <v>5.773356875</v>
      </c>
      <c r="AD202" s="76">
        <f t="shared" si="111"/>
        <v>47.275694375</v>
      </c>
      <c r="AE202" s="76">
        <f t="shared" si="112"/>
        <v>122.724305625</v>
      </c>
    </row>
    <row r="203" customFormat="1" spans="1:31">
      <c r="A203" s="18"/>
      <c r="B203" s="19"/>
      <c r="C203" s="20">
        <v>240808000054</v>
      </c>
      <c r="D203" s="21">
        <v>45515</v>
      </c>
      <c r="E203" s="21" t="s">
        <v>44</v>
      </c>
      <c r="F203" s="19" t="s">
        <v>45</v>
      </c>
      <c r="G203" s="19" t="s">
        <v>221</v>
      </c>
      <c r="H203" s="19">
        <v>2</v>
      </c>
      <c r="I203" s="51">
        <v>230</v>
      </c>
      <c r="J203" s="52"/>
      <c r="K203" s="45"/>
      <c r="L203" s="19"/>
      <c r="M203" s="45"/>
      <c r="N203" s="48"/>
      <c r="O203" s="49">
        <f t="shared" si="113"/>
        <v>230</v>
      </c>
      <c r="P203" s="53"/>
      <c r="Q203" s="53"/>
      <c r="R203" s="76">
        <f t="shared" si="116"/>
        <v>156.25</v>
      </c>
      <c r="S203" s="76"/>
      <c r="T203" s="77">
        <f t="shared" si="117"/>
        <v>3.374375</v>
      </c>
      <c r="U203" s="76"/>
      <c r="V203" s="76"/>
      <c r="W203" s="78">
        <f t="shared" si="110"/>
        <v>159.624375</v>
      </c>
      <c r="X203" s="79">
        <f t="shared" si="118"/>
        <v>3.105625</v>
      </c>
      <c r="Y203" s="79"/>
      <c r="Z203" s="79"/>
      <c r="AA203" s="79">
        <f t="shared" si="114"/>
        <v>3.105625</v>
      </c>
      <c r="AB203" s="90">
        <v>7.15</v>
      </c>
      <c r="AC203" s="76">
        <f t="shared" si="115"/>
        <v>22.20521875</v>
      </c>
      <c r="AD203" s="76">
        <f t="shared" si="111"/>
        <v>181.82959375</v>
      </c>
      <c r="AE203" s="76">
        <f t="shared" si="112"/>
        <v>48.17040625</v>
      </c>
    </row>
    <row r="204" customFormat="1" spans="1:31">
      <c r="A204" s="18"/>
      <c r="B204" s="19"/>
      <c r="C204" s="20">
        <v>240809000001</v>
      </c>
      <c r="D204" s="21">
        <v>45515</v>
      </c>
      <c r="E204" s="21" t="s">
        <v>57</v>
      </c>
      <c r="F204" s="19" t="s">
        <v>222</v>
      </c>
      <c r="G204" s="19" t="s">
        <v>223</v>
      </c>
      <c r="H204" s="19">
        <v>12.5</v>
      </c>
      <c r="I204" s="49"/>
      <c r="J204" s="44">
        <v>322635</v>
      </c>
      <c r="K204" s="45"/>
      <c r="L204" s="46">
        <f>SUM(J204/M204)</f>
        <v>1616.0030052592</v>
      </c>
      <c r="M204" s="47">
        <v>199.65</v>
      </c>
      <c r="N204" s="48">
        <v>7.15</v>
      </c>
      <c r="O204" s="49">
        <f>SUM(M204*N204)</f>
        <v>1427.4975</v>
      </c>
      <c r="P204" s="53"/>
      <c r="Q204" s="53"/>
      <c r="R204" s="76">
        <f t="shared" si="116"/>
        <v>976.5625</v>
      </c>
      <c r="S204" s="76"/>
      <c r="T204" s="77">
        <f t="shared" si="117"/>
        <v>21.08984375</v>
      </c>
      <c r="U204" s="76"/>
      <c r="V204" s="76"/>
      <c r="W204" s="78">
        <f t="shared" si="110"/>
        <v>997.65234375</v>
      </c>
      <c r="X204" s="79">
        <f t="shared" si="118"/>
        <v>19.41015625</v>
      </c>
      <c r="Y204" s="79"/>
      <c r="Z204" s="79"/>
      <c r="AA204" s="79">
        <f t="shared" si="114"/>
        <v>19.41015625</v>
      </c>
      <c r="AB204" s="90">
        <v>7.15</v>
      </c>
      <c r="AC204" s="76">
        <f t="shared" si="115"/>
        <v>138.7826171875</v>
      </c>
      <c r="AD204" s="76">
        <f t="shared" si="111"/>
        <v>1136.4349609375</v>
      </c>
      <c r="AE204" s="76">
        <f t="shared" si="112"/>
        <v>291.0625390625</v>
      </c>
    </row>
    <row r="205" customFormat="1" spans="1:31">
      <c r="A205" s="18"/>
      <c r="B205" s="19"/>
      <c r="C205" s="20">
        <v>240809000004</v>
      </c>
      <c r="D205" s="21">
        <v>45515</v>
      </c>
      <c r="E205" s="21" t="s">
        <v>51</v>
      </c>
      <c r="F205" s="19" t="s">
        <v>52</v>
      </c>
      <c r="G205" s="19" t="s">
        <v>171</v>
      </c>
      <c r="H205" s="19">
        <v>19</v>
      </c>
      <c r="I205" s="49"/>
      <c r="J205" s="44">
        <v>497690.8</v>
      </c>
      <c r="K205" s="45"/>
      <c r="L205" s="46">
        <f>SUM(J205/M205)</f>
        <v>1640</v>
      </c>
      <c r="M205" s="47">
        <v>303.47</v>
      </c>
      <c r="N205" s="48">
        <v>7.15</v>
      </c>
      <c r="O205" s="49">
        <f>SUM(M205*N205)</f>
        <v>2169.8105</v>
      </c>
      <c r="P205" s="53"/>
      <c r="Q205" s="53"/>
      <c r="R205" s="76">
        <f t="shared" si="116"/>
        <v>1484.375</v>
      </c>
      <c r="S205" s="76"/>
      <c r="T205" s="77">
        <f t="shared" si="117"/>
        <v>32.0565625</v>
      </c>
      <c r="U205" s="76"/>
      <c r="V205" s="76"/>
      <c r="W205" s="78">
        <f t="shared" si="110"/>
        <v>1516.4315625</v>
      </c>
      <c r="X205" s="79">
        <f t="shared" si="118"/>
        <v>29.5034375</v>
      </c>
      <c r="Y205" s="79"/>
      <c r="Z205" s="79"/>
      <c r="AA205" s="79">
        <f t="shared" si="114"/>
        <v>29.5034375</v>
      </c>
      <c r="AB205" s="90">
        <v>7.15</v>
      </c>
      <c r="AC205" s="76">
        <f t="shared" si="115"/>
        <v>210.949578125</v>
      </c>
      <c r="AD205" s="76">
        <f t="shared" si="111"/>
        <v>1727.381140625</v>
      </c>
      <c r="AE205" s="76">
        <f t="shared" si="112"/>
        <v>442.429359375001</v>
      </c>
    </row>
    <row r="206" customFormat="1" spans="1:31">
      <c r="A206" s="18"/>
      <c r="B206" s="19"/>
      <c r="C206" s="20">
        <v>240809000030</v>
      </c>
      <c r="D206" s="21">
        <v>45515</v>
      </c>
      <c r="E206" s="21" t="s">
        <v>82</v>
      </c>
      <c r="F206" s="19" t="s">
        <v>83</v>
      </c>
      <c r="G206" s="19" t="s">
        <v>137</v>
      </c>
      <c r="H206" s="19">
        <v>2.5</v>
      </c>
      <c r="I206" s="51">
        <v>287.5</v>
      </c>
      <c r="J206" s="52"/>
      <c r="K206" s="45"/>
      <c r="L206" s="19"/>
      <c r="M206" s="45"/>
      <c r="N206" s="48"/>
      <c r="O206" s="49">
        <f t="shared" ref="O206:O209" si="119">SUM(I206)</f>
        <v>287.5</v>
      </c>
      <c r="P206" s="53"/>
      <c r="Q206" s="53"/>
      <c r="R206" s="76">
        <f t="shared" si="116"/>
        <v>195.3125</v>
      </c>
      <c r="S206" s="76"/>
      <c r="T206" s="77">
        <f t="shared" si="117"/>
        <v>4.21796875</v>
      </c>
      <c r="U206" s="76"/>
      <c r="V206" s="76"/>
      <c r="W206" s="78">
        <f t="shared" si="110"/>
        <v>199.53046875</v>
      </c>
      <c r="X206" s="79">
        <f t="shared" si="118"/>
        <v>3.88203125</v>
      </c>
      <c r="Y206" s="79"/>
      <c r="Z206" s="79"/>
      <c r="AA206" s="79">
        <f t="shared" si="114"/>
        <v>3.88203125</v>
      </c>
      <c r="AB206" s="90">
        <v>7.15</v>
      </c>
      <c r="AC206" s="76">
        <f t="shared" si="115"/>
        <v>27.7565234375</v>
      </c>
      <c r="AD206" s="76">
        <f t="shared" si="111"/>
        <v>227.2869921875</v>
      </c>
      <c r="AE206" s="76">
        <f t="shared" si="112"/>
        <v>60.2130078125</v>
      </c>
    </row>
    <row r="207" customFormat="1" spans="1:31">
      <c r="A207" s="18"/>
      <c r="B207" s="19"/>
      <c r="C207" s="20">
        <v>240809000045</v>
      </c>
      <c r="D207" s="21">
        <v>45515</v>
      </c>
      <c r="E207" s="21" t="s">
        <v>57</v>
      </c>
      <c r="F207" s="19" t="s">
        <v>57</v>
      </c>
      <c r="G207" s="19" t="s">
        <v>154</v>
      </c>
      <c r="H207" s="19">
        <v>0.67</v>
      </c>
      <c r="I207" s="51">
        <v>145</v>
      </c>
      <c r="J207" s="52"/>
      <c r="K207" s="45"/>
      <c r="L207" s="19"/>
      <c r="M207" s="45"/>
      <c r="N207" s="48"/>
      <c r="O207" s="49">
        <f t="shared" si="119"/>
        <v>145</v>
      </c>
      <c r="P207" s="53"/>
      <c r="Q207" s="53"/>
      <c r="R207" s="76">
        <f t="shared" si="116"/>
        <v>52.34375</v>
      </c>
      <c r="S207" s="76"/>
      <c r="T207" s="77">
        <f t="shared" si="117"/>
        <v>1.130415625</v>
      </c>
      <c r="U207" s="76"/>
      <c r="V207" s="76"/>
      <c r="W207" s="78">
        <f t="shared" si="110"/>
        <v>53.474165625</v>
      </c>
      <c r="X207" s="79">
        <f t="shared" si="118"/>
        <v>1.040384375</v>
      </c>
      <c r="Y207" s="79"/>
      <c r="Z207" s="79"/>
      <c r="AA207" s="79">
        <f t="shared" si="114"/>
        <v>1.040384375</v>
      </c>
      <c r="AB207" s="90">
        <v>7.15</v>
      </c>
      <c r="AC207" s="76">
        <f t="shared" si="115"/>
        <v>7.43874828125</v>
      </c>
      <c r="AD207" s="76">
        <f t="shared" si="111"/>
        <v>60.91291390625</v>
      </c>
      <c r="AE207" s="76">
        <f t="shared" si="112"/>
        <v>84.08708609375</v>
      </c>
    </row>
    <row r="208" customFormat="1" spans="1:31">
      <c r="A208" s="18"/>
      <c r="B208" s="19"/>
      <c r="C208" s="20">
        <v>240810000001</v>
      </c>
      <c r="D208" s="21">
        <v>45515</v>
      </c>
      <c r="E208" s="21" t="s">
        <v>57</v>
      </c>
      <c r="F208" s="19" t="s">
        <v>57</v>
      </c>
      <c r="G208" s="19" t="s">
        <v>224</v>
      </c>
      <c r="H208" s="19">
        <v>2</v>
      </c>
      <c r="I208" s="51">
        <v>435</v>
      </c>
      <c r="J208" s="52"/>
      <c r="K208" s="45"/>
      <c r="L208" s="19"/>
      <c r="M208" s="45"/>
      <c r="N208" s="48"/>
      <c r="O208" s="49">
        <f t="shared" si="119"/>
        <v>435</v>
      </c>
      <c r="P208" s="53"/>
      <c r="Q208" s="53"/>
      <c r="R208" s="76">
        <f t="shared" si="116"/>
        <v>156.25</v>
      </c>
      <c r="S208" s="76"/>
      <c r="T208" s="77">
        <f t="shared" si="117"/>
        <v>3.374375</v>
      </c>
      <c r="U208" s="76"/>
      <c r="V208" s="76"/>
      <c r="W208" s="78">
        <f t="shared" si="110"/>
        <v>159.624375</v>
      </c>
      <c r="X208" s="79">
        <f t="shared" si="118"/>
        <v>3.105625</v>
      </c>
      <c r="Y208" s="79"/>
      <c r="Z208" s="79"/>
      <c r="AA208" s="79">
        <f t="shared" si="114"/>
        <v>3.105625</v>
      </c>
      <c r="AB208" s="90">
        <v>7.15</v>
      </c>
      <c r="AC208" s="76">
        <f t="shared" si="115"/>
        <v>22.20521875</v>
      </c>
      <c r="AD208" s="76">
        <f t="shared" ref="AD208:AD245" si="120">SUM(W208+AC208)</f>
        <v>181.82959375</v>
      </c>
      <c r="AE208" s="76">
        <f t="shared" ref="AE208:AE245" si="121">SUM(O208-AD208)</f>
        <v>253.17040625</v>
      </c>
    </row>
    <row r="209" customFormat="1" spans="1:31">
      <c r="A209" s="18"/>
      <c r="B209" s="19"/>
      <c r="C209" s="20">
        <v>240810000004</v>
      </c>
      <c r="D209" s="21">
        <v>45515</v>
      </c>
      <c r="E209" s="21" t="s">
        <v>51</v>
      </c>
      <c r="F209" s="19" t="s">
        <v>52</v>
      </c>
      <c r="G209" s="19" t="s">
        <v>185</v>
      </c>
      <c r="H209" s="19">
        <v>0.62</v>
      </c>
      <c r="I209" s="51">
        <v>120</v>
      </c>
      <c r="J209" s="52"/>
      <c r="K209" s="45"/>
      <c r="L209" s="19"/>
      <c r="M209" s="45"/>
      <c r="N209" s="48"/>
      <c r="O209" s="49">
        <f t="shared" si="119"/>
        <v>120</v>
      </c>
      <c r="P209" s="54"/>
      <c r="Q209" s="54"/>
      <c r="R209" s="76">
        <f t="shared" si="116"/>
        <v>48.4375</v>
      </c>
      <c r="S209" s="76"/>
      <c r="T209" s="77">
        <f t="shared" si="117"/>
        <v>1.04605625</v>
      </c>
      <c r="U209" s="76"/>
      <c r="V209" s="76"/>
      <c r="W209" s="78">
        <f t="shared" ref="W209:W245" si="122">SUM(R209:V209)</f>
        <v>49.48355625</v>
      </c>
      <c r="X209" s="79">
        <f t="shared" si="118"/>
        <v>0.96274375</v>
      </c>
      <c r="Y209" s="79"/>
      <c r="Z209" s="79"/>
      <c r="AA209" s="79">
        <f t="shared" ref="AA209:AA245" si="123">SUM(X209:Z209)</f>
        <v>0.96274375</v>
      </c>
      <c r="AB209" s="90">
        <v>7.15</v>
      </c>
      <c r="AC209" s="76">
        <f t="shared" ref="AC209:AC245" si="124">SUM(AA209*AB209)</f>
        <v>6.8836178125</v>
      </c>
      <c r="AD209" s="76">
        <f t="shared" si="120"/>
        <v>56.3671740625</v>
      </c>
      <c r="AE209" s="76">
        <f t="shared" si="121"/>
        <v>63.6328259375</v>
      </c>
    </row>
    <row r="210" customFormat="1" spans="1:31">
      <c r="A210" s="18" t="s">
        <v>225</v>
      </c>
      <c r="B210" s="19" t="s">
        <v>226</v>
      </c>
      <c r="C210" s="20">
        <v>240802000023</v>
      </c>
      <c r="D210" s="21">
        <v>45516</v>
      </c>
      <c r="E210" s="21" t="s">
        <v>37</v>
      </c>
      <c r="F210" s="19" t="s">
        <v>38</v>
      </c>
      <c r="G210" s="19" t="s">
        <v>227</v>
      </c>
      <c r="H210" s="19">
        <v>2.5</v>
      </c>
      <c r="I210" s="43"/>
      <c r="J210" s="44">
        <v>34500</v>
      </c>
      <c r="K210" s="45"/>
      <c r="L210" s="46">
        <f>SUM(J210/M210)</f>
        <v>1645.20743919886</v>
      </c>
      <c r="M210" s="47">
        <v>20.97</v>
      </c>
      <c r="N210" s="48">
        <v>7.15</v>
      </c>
      <c r="O210" s="49">
        <f>SUM(M210*N210)</f>
        <v>149.9355</v>
      </c>
      <c r="P210" s="50">
        <f>SUM(O210:O245)</f>
        <v>105877.164</v>
      </c>
      <c r="Q210" s="50" t="s">
        <v>40</v>
      </c>
      <c r="R210" s="76">
        <f>SUM(67302/1632)*H210</f>
        <v>103.097426470588</v>
      </c>
      <c r="S210" s="77">
        <f>SUM(182.75/1632)*H210</f>
        <v>0.279947916666667</v>
      </c>
      <c r="T210" s="76"/>
      <c r="U210" s="76"/>
      <c r="V210" s="76"/>
      <c r="W210" s="78">
        <f t="shared" si="122"/>
        <v>103.377374387255</v>
      </c>
      <c r="X210" s="79">
        <f>SUM(1325.93/1632)*H210</f>
        <v>2.03114276960784</v>
      </c>
      <c r="Y210" s="79"/>
      <c r="Z210" s="79"/>
      <c r="AA210" s="79">
        <f t="shared" si="123"/>
        <v>2.03114276960784</v>
      </c>
      <c r="AB210" s="90">
        <v>7.15</v>
      </c>
      <c r="AC210" s="76">
        <f t="shared" si="124"/>
        <v>14.5226708026961</v>
      </c>
      <c r="AD210" s="76">
        <f t="shared" si="120"/>
        <v>117.900045189951</v>
      </c>
      <c r="AE210" s="76">
        <f t="shared" si="121"/>
        <v>32.035454810049</v>
      </c>
    </row>
    <row r="211" customFormat="1" spans="1:31">
      <c r="A211" s="18"/>
      <c r="B211" s="19"/>
      <c r="C211" s="20">
        <v>240802000025</v>
      </c>
      <c r="D211" s="21">
        <v>45516</v>
      </c>
      <c r="E211" s="21" t="s">
        <v>41</v>
      </c>
      <c r="F211" s="19" t="s">
        <v>42</v>
      </c>
      <c r="G211" s="19" t="s">
        <v>166</v>
      </c>
      <c r="H211" s="19">
        <v>523.5</v>
      </c>
      <c r="I211" s="51">
        <v>31410</v>
      </c>
      <c r="J211" s="52"/>
      <c r="K211" s="45"/>
      <c r="L211" s="19"/>
      <c r="M211" s="45"/>
      <c r="N211" s="48"/>
      <c r="O211" s="49">
        <f t="shared" ref="O211:O213" si="125">SUM(I211)</f>
        <v>31410</v>
      </c>
      <c r="P211" s="53"/>
      <c r="Q211" s="53"/>
      <c r="R211" s="76">
        <f t="shared" ref="R211:R245" si="126">SUM(67302/1632)*H211</f>
        <v>21588.6011029412</v>
      </c>
      <c r="S211" s="77">
        <f t="shared" ref="S211:S245" si="127">SUM(182.75/1632)*H211</f>
        <v>58.62109375</v>
      </c>
      <c r="T211" s="76"/>
      <c r="U211" s="76"/>
      <c r="V211" s="76"/>
      <c r="W211" s="78">
        <f t="shared" si="122"/>
        <v>21647.2221966912</v>
      </c>
      <c r="X211" s="79">
        <f t="shared" ref="X211:X245" si="128">SUM(1325.93/1632)*H211</f>
        <v>425.321295955882</v>
      </c>
      <c r="Y211" s="79"/>
      <c r="Z211" s="79"/>
      <c r="AA211" s="79">
        <f t="shared" si="123"/>
        <v>425.321295955882</v>
      </c>
      <c r="AB211" s="90">
        <v>7.15</v>
      </c>
      <c r="AC211" s="76">
        <f t="shared" si="124"/>
        <v>3041.04726608456</v>
      </c>
      <c r="AD211" s="76">
        <f t="shared" si="120"/>
        <v>24688.2694627757</v>
      </c>
      <c r="AE211" s="76">
        <f t="shared" si="121"/>
        <v>6721.7305372243</v>
      </c>
    </row>
    <row r="212" customFormat="1" spans="1:31">
      <c r="A212" s="18"/>
      <c r="B212" s="19"/>
      <c r="C212" s="20">
        <v>240802000043</v>
      </c>
      <c r="D212" s="21">
        <v>45516</v>
      </c>
      <c r="E212" s="21" t="s">
        <v>51</v>
      </c>
      <c r="F212" s="19" t="s">
        <v>52</v>
      </c>
      <c r="G212" s="19" t="s">
        <v>228</v>
      </c>
      <c r="H212" s="19">
        <v>31.5</v>
      </c>
      <c r="I212" s="51">
        <v>1732.5</v>
      </c>
      <c r="J212" s="52"/>
      <c r="K212" s="45"/>
      <c r="L212" s="19"/>
      <c r="M212" s="45"/>
      <c r="N212" s="48"/>
      <c r="O212" s="49">
        <f t="shared" si="125"/>
        <v>1732.5</v>
      </c>
      <c r="P212" s="53"/>
      <c r="Q212" s="53"/>
      <c r="R212" s="76">
        <f t="shared" si="126"/>
        <v>1299.02757352941</v>
      </c>
      <c r="S212" s="77">
        <f t="shared" si="127"/>
        <v>3.52734375</v>
      </c>
      <c r="T212" s="76"/>
      <c r="U212" s="76"/>
      <c r="V212" s="76"/>
      <c r="W212" s="78">
        <f t="shared" si="122"/>
        <v>1302.55491727941</v>
      </c>
      <c r="X212" s="79">
        <f t="shared" si="128"/>
        <v>25.5923988970588</v>
      </c>
      <c r="Y212" s="79"/>
      <c r="Z212" s="79"/>
      <c r="AA212" s="79">
        <f t="shared" si="123"/>
        <v>25.5923988970588</v>
      </c>
      <c r="AB212" s="90">
        <v>7.15</v>
      </c>
      <c r="AC212" s="76">
        <f t="shared" si="124"/>
        <v>182.985652113971</v>
      </c>
      <c r="AD212" s="76">
        <f t="shared" si="120"/>
        <v>1485.54056939338</v>
      </c>
      <c r="AE212" s="76">
        <f t="shared" si="121"/>
        <v>246.95943060662</v>
      </c>
    </row>
    <row r="213" customFormat="1" spans="1:31">
      <c r="A213" s="18"/>
      <c r="B213" s="19"/>
      <c r="C213" s="20">
        <v>240803000011</v>
      </c>
      <c r="D213" s="21">
        <v>45516</v>
      </c>
      <c r="E213" s="21" t="s">
        <v>51</v>
      </c>
      <c r="F213" s="19" t="s">
        <v>52</v>
      </c>
      <c r="G213" s="19" t="s">
        <v>122</v>
      </c>
      <c r="H213" s="19">
        <v>5.5</v>
      </c>
      <c r="I213" s="51">
        <v>333</v>
      </c>
      <c r="J213" s="52"/>
      <c r="K213" s="45"/>
      <c r="L213" s="19"/>
      <c r="M213" s="45"/>
      <c r="N213" s="48"/>
      <c r="O213" s="49">
        <f t="shared" si="125"/>
        <v>333</v>
      </c>
      <c r="P213" s="53"/>
      <c r="Q213" s="53"/>
      <c r="R213" s="76">
        <f t="shared" si="126"/>
        <v>226.814338235294</v>
      </c>
      <c r="S213" s="77">
        <f t="shared" si="127"/>
        <v>0.615885416666667</v>
      </c>
      <c r="T213" s="76"/>
      <c r="U213" s="76"/>
      <c r="V213" s="76"/>
      <c r="W213" s="78">
        <f t="shared" si="122"/>
        <v>227.430223651961</v>
      </c>
      <c r="X213" s="79">
        <f t="shared" si="128"/>
        <v>4.46851409313726</v>
      </c>
      <c r="Y213" s="79"/>
      <c r="Z213" s="79"/>
      <c r="AA213" s="79">
        <f t="shared" si="123"/>
        <v>4.46851409313726</v>
      </c>
      <c r="AB213" s="90">
        <v>7.15</v>
      </c>
      <c r="AC213" s="76">
        <f t="shared" si="124"/>
        <v>31.9498757659314</v>
      </c>
      <c r="AD213" s="76">
        <f t="shared" si="120"/>
        <v>259.380099417892</v>
      </c>
      <c r="AE213" s="76">
        <f t="shared" si="121"/>
        <v>73.619900582108</v>
      </c>
    </row>
    <row r="214" customFormat="1" spans="1:31">
      <c r="A214" s="18"/>
      <c r="B214" s="19"/>
      <c r="C214" s="20">
        <v>240804000011</v>
      </c>
      <c r="D214" s="21">
        <v>45516</v>
      </c>
      <c r="E214" s="21" t="s">
        <v>41</v>
      </c>
      <c r="F214" s="19" t="s">
        <v>42</v>
      </c>
      <c r="G214" s="19" t="s">
        <v>229</v>
      </c>
      <c r="H214" s="19">
        <v>20</v>
      </c>
      <c r="I214" s="49"/>
      <c r="J214" s="44">
        <v>256782</v>
      </c>
      <c r="K214" s="45"/>
      <c r="L214" s="46">
        <f>SUM(J214/M214)</f>
        <v>1615.99748269352</v>
      </c>
      <c r="M214" s="47">
        <v>158.9</v>
      </c>
      <c r="N214" s="48">
        <v>7.15</v>
      </c>
      <c r="O214" s="49">
        <f>SUM(M214*N214)</f>
        <v>1136.135</v>
      </c>
      <c r="P214" s="53"/>
      <c r="Q214" s="53"/>
      <c r="R214" s="76">
        <f t="shared" si="126"/>
        <v>824.779411764706</v>
      </c>
      <c r="S214" s="77">
        <f t="shared" si="127"/>
        <v>2.23958333333333</v>
      </c>
      <c r="T214" s="76"/>
      <c r="U214" s="76"/>
      <c r="V214" s="76"/>
      <c r="W214" s="78">
        <f t="shared" si="122"/>
        <v>827.018995098039</v>
      </c>
      <c r="X214" s="79">
        <f t="shared" si="128"/>
        <v>16.2491421568627</v>
      </c>
      <c r="Y214" s="79"/>
      <c r="Z214" s="79"/>
      <c r="AA214" s="79">
        <f t="shared" si="123"/>
        <v>16.2491421568627</v>
      </c>
      <c r="AB214" s="90">
        <v>7.15</v>
      </c>
      <c r="AC214" s="76">
        <f t="shared" si="124"/>
        <v>116.181366421569</v>
      </c>
      <c r="AD214" s="76">
        <f t="shared" si="120"/>
        <v>943.200361519608</v>
      </c>
      <c r="AE214" s="76">
        <f t="shared" si="121"/>
        <v>192.934638480392</v>
      </c>
    </row>
    <row r="215" customFormat="1" spans="1:31">
      <c r="A215" s="18"/>
      <c r="B215" s="19"/>
      <c r="C215" s="20">
        <v>240805000003</v>
      </c>
      <c r="D215" s="21">
        <v>45516</v>
      </c>
      <c r="E215" s="21" t="s">
        <v>37</v>
      </c>
      <c r="F215" s="19" t="s">
        <v>38</v>
      </c>
      <c r="G215" s="19" t="s">
        <v>213</v>
      </c>
      <c r="H215" s="19">
        <v>7</v>
      </c>
      <c r="I215" s="51">
        <v>472</v>
      </c>
      <c r="J215" s="52"/>
      <c r="K215" s="45"/>
      <c r="L215" s="19"/>
      <c r="M215" s="45"/>
      <c r="N215" s="48"/>
      <c r="O215" s="49">
        <f t="shared" ref="O215:O221" si="129">SUM(I215)</f>
        <v>472</v>
      </c>
      <c r="P215" s="53"/>
      <c r="Q215" s="53"/>
      <c r="R215" s="76">
        <f t="shared" si="126"/>
        <v>288.672794117647</v>
      </c>
      <c r="S215" s="77">
        <f t="shared" si="127"/>
        <v>0.783854166666667</v>
      </c>
      <c r="T215" s="76"/>
      <c r="U215" s="76"/>
      <c r="V215" s="76"/>
      <c r="W215" s="78">
        <f t="shared" si="122"/>
        <v>289.456648284314</v>
      </c>
      <c r="X215" s="79">
        <f t="shared" si="128"/>
        <v>5.68719975490196</v>
      </c>
      <c r="Y215" s="79">
        <v>3.4</v>
      </c>
      <c r="Z215" s="79"/>
      <c r="AA215" s="79">
        <f t="shared" si="123"/>
        <v>9.08719975490196</v>
      </c>
      <c r="AB215" s="90">
        <v>7.15</v>
      </c>
      <c r="AC215" s="76">
        <f t="shared" si="124"/>
        <v>64.973478247549</v>
      </c>
      <c r="AD215" s="76">
        <f t="shared" si="120"/>
        <v>354.430126531863</v>
      </c>
      <c r="AE215" s="76">
        <f t="shared" si="121"/>
        <v>117.569873468137</v>
      </c>
    </row>
    <row r="216" customFormat="1" spans="1:31">
      <c r="A216" s="18"/>
      <c r="B216" s="19"/>
      <c r="C216" s="20">
        <v>240805000006</v>
      </c>
      <c r="D216" s="21">
        <v>45516</v>
      </c>
      <c r="E216" s="21" t="s">
        <v>37</v>
      </c>
      <c r="F216" s="19" t="s">
        <v>38</v>
      </c>
      <c r="G216" s="19" t="s">
        <v>230</v>
      </c>
      <c r="H216" s="19">
        <v>0.1</v>
      </c>
      <c r="I216" s="51">
        <v>53</v>
      </c>
      <c r="J216" s="52"/>
      <c r="K216" s="45"/>
      <c r="L216" s="19"/>
      <c r="M216" s="45"/>
      <c r="N216" s="48"/>
      <c r="O216" s="49">
        <f t="shared" si="129"/>
        <v>53</v>
      </c>
      <c r="P216" s="53"/>
      <c r="Q216" s="53"/>
      <c r="R216" s="76">
        <f t="shared" si="126"/>
        <v>4.12389705882353</v>
      </c>
      <c r="S216" s="77">
        <f t="shared" si="127"/>
        <v>0.0111979166666667</v>
      </c>
      <c r="T216" s="76"/>
      <c r="U216" s="76"/>
      <c r="V216" s="76"/>
      <c r="W216" s="78">
        <f t="shared" si="122"/>
        <v>4.1350949754902</v>
      </c>
      <c r="X216" s="79">
        <f t="shared" si="128"/>
        <v>0.0812457107843137</v>
      </c>
      <c r="Y216" s="79"/>
      <c r="Z216" s="79"/>
      <c r="AA216" s="79">
        <f t="shared" si="123"/>
        <v>0.0812457107843137</v>
      </c>
      <c r="AB216" s="90">
        <v>7.15</v>
      </c>
      <c r="AC216" s="76">
        <f t="shared" si="124"/>
        <v>0.580906832107843</v>
      </c>
      <c r="AD216" s="76">
        <f t="shared" si="120"/>
        <v>4.71600180759804</v>
      </c>
      <c r="AE216" s="76">
        <f t="shared" si="121"/>
        <v>48.283998192402</v>
      </c>
    </row>
    <row r="217" customFormat="1" spans="1:31">
      <c r="A217" s="18"/>
      <c r="B217" s="19"/>
      <c r="C217" s="20">
        <v>240805000012</v>
      </c>
      <c r="D217" s="21">
        <v>45516</v>
      </c>
      <c r="E217" s="21" t="s">
        <v>37</v>
      </c>
      <c r="F217" s="19" t="s">
        <v>38</v>
      </c>
      <c r="G217" s="19" t="s">
        <v>198</v>
      </c>
      <c r="H217" s="19">
        <v>0.76</v>
      </c>
      <c r="I217" s="51">
        <v>69</v>
      </c>
      <c r="J217" s="52"/>
      <c r="K217" s="45"/>
      <c r="L217" s="19"/>
      <c r="M217" s="45"/>
      <c r="N217" s="48"/>
      <c r="O217" s="49">
        <f t="shared" si="129"/>
        <v>69</v>
      </c>
      <c r="P217" s="53"/>
      <c r="Q217" s="53"/>
      <c r="R217" s="76">
        <f t="shared" si="126"/>
        <v>31.3416176470588</v>
      </c>
      <c r="S217" s="77">
        <f t="shared" si="127"/>
        <v>0.0851041666666667</v>
      </c>
      <c r="T217" s="76"/>
      <c r="U217" s="76"/>
      <c r="V217" s="76"/>
      <c r="W217" s="78">
        <f t="shared" si="122"/>
        <v>31.4267218137255</v>
      </c>
      <c r="X217" s="79">
        <f t="shared" si="128"/>
        <v>0.617467401960784</v>
      </c>
      <c r="Y217" s="79"/>
      <c r="Z217" s="79"/>
      <c r="AA217" s="79">
        <f t="shared" si="123"/>
        <v>0.617467401960784</v>
      </c>
      <c r="AB217" s="90">
        <v>7.15</v>
      </c>
      <c r="AC217" s="76">
        <f t="shared" si="124"/>
        <v>4.41489192401961</v>
      </c>
      <c r="AD217" s="76">
        <f t="shared" si="120"/>
        <v>35.8416137377451</v>
      </c>
      <c r="AE217" s="76">
        <f t="shared" si="121"/>
        <v>33.1583862622549</v>
      </c>
    </row>
    <row r="218" customFormat="1" spans="1:31">
      <c r="A218" s="18"/>
      <c r="B218" s="19"/>
      <c r="C218" s="20">
        <v>240805000015</v>
      </c>
      <c r="D218" s="21">
        <v>45516</v>
      </c>
      <c r="E218" s="21" t="s">
        <v>51</v>
      </c>
      <c r="F218" s="19" t="s">
        <v>52</v>
      </c>
      <c r="G218" s="19" t="s">
        <v>122</v>
      </c>
      <c r="H218" s="19">
        <v>19.5</v>
      </c>
      <c r="I218" s="51">
        <v>1117.5</v>
      </c>
      <c r="J218" s="52"/>
      <c r="K218" s="45"/>
      <c r="L218" s="19"/>
      <c r="M218" s="45"/>
      <c r="N218" s="48"/>
      <c r="O218" s="49">
        <f t="shared" si="129"/>
        <v>1117.5</v>
      </c>
      <c r="P218" s="53"/>
      <c r="Q218" s="53"/>
      <c r="R218" s="76">
        <f t="shared" si="126"/>
        <v>804.159926470588</v>
      </c>
      <c r="S218" s="77">
        <f t="shared" si="127"/>
        <v>2.18359375</v>
      </c>
      <c r="T218" s="76"/>
      <c r="U218" s="76"/>
      <c r="V218" s="76"/>
      <c r="W218" s="78">
        <f t="shared" si="122"/>
        <v>806.343520220588</v>
      </c>
      <c r="X218" s="79">
        <f t="shared" si="128"/>
        <v>15.8429136029412</v>
      </c>
      <c r="Y218" s="79"/>
      <c r="Z218" s="79"/>
      <c r="AA218" s="79">
        <f t="shared" si="123"/>
        <v>15.8429136029412</v>
      </c>
      <c r="AB218" s="90">
        <v>7.15</v>
      </c>
      <c r="AC218" s="76">
        <f t="shared" si="124"/>
        <v>113.276832261029</v>
      </c>
      <c r="AD218" s="76">
        <f t="shared" si="120"/>
        <v>919.620352481618</v>
      </c>
      <c r="AE218" s="76">
        <f t="shared" si="121"/>
        <v>197.879647518382</v>
      </c>
    </row>
    <row r="219" customFormat="1" spans="1:31">
      <c r="A219" s="18"/>
      <c r="B219" s="19"/>
      <c r="C219" s="20">
        <v>240805000025</v>
      </c>
      <c r="D219" s="21">
        <v>45516</v>
      </c>
      <c r="E219" s="21" t="s">
        <v>37</v>
      </c>
      <c r="F219" s="19" t="s">
        <v>38</v>
      </c>
      <c r="G219" s="19" t="s">
        <v>231</v>
      </c>
      <c r="H219" s="19">
        <v>5</v>
      </c>
      <c r="I219" s="51">
        <v>333</v>
      </c>
      <c r="J219" s="52"/>
      <c r="K219" s="45"/>
      <c r="L219" s="19"/>
      <c r="M219" s="45"/>
      <c r="N219" s="48"/>
      <c r="O219" s="49">
        <f t="shared" si="129"/>
        <v>333</v>
      </c>
      <c r="P219" s="53"/>
      <c r="Q219" s="53"/>
      <c r="R219" s="76">
        <f t="shared" si="126"/>
        <v>206.194852941176</v>
      </c>
      <c r="S219" s="77">
        <f t="shared" si="127"/>
        <v>0.559895833333333</v>
      </c>
      <c r="T219" s="76"/>
      <c r="U219" s="76"/>
      <c r="V219" s="76"/>
      <c r="W219" s="78">
        <f t="shared" si="122"/>
        <v>206.75474877451</v>
      </c>
      <c r="X219" s="79">
        <f t="shared" si="128"/>
        <v>4.06228553921569</v>
      </c>
      <c r="Y219" s="79"/>
      <c r="Z219" s="79"/>
      <c r="AA219" s="79">
        <f t="shared" si="123"/>
        <v>4.06228553921569</v>
      </c>
      <c r="AB219" s="90">
        <v>7.15</v>
      </c>
      <c r="AC219" s="76">
        <f t="shared" si="124"/>
        <v>29.0453416053922</v>
      </c>
      <c r="AD219" s="76">
        <f t="shared" si="120"/>
        <v>235.800090379902</v>
      </c>
      <c r="AE219" s="76">
        <f t="shared" si="121"/>
        <v>97.199909620098</v>
      </c>
    </row>
    <row r="220" customFormat="1" spans="1:31">
      <c r="A220" s="18"/>
      <c r="B220" s="19"/>
      <c r="C220" s="20">
        <v>240805000027</v>
      </c>
      <c r="D220" s="21">
        <v>45516</v>
      </c>
      <c r="E220" s="21" t="s">
        <v>41</v>
      </c>
      <c r="F220" s="19" t="s">
        <v>42</v>
      </c>
      <c r="G220" s="19" t="s">
        <v>232</v>
      </c>
      <c r="H220" s="19">
        <v>15</v>
      </c>
      <c r="I220" s="51">
        <v>861</v>
      </c>
      <c r="J220" s="52"/>
      <c r="K220" s="45"/>
      <c r="L220" s="19"/>
      <c r="M220" s="45"/>
      <c r="N220" s="48"/>
      <c r="O220" s="49">
        <f t="shared" si="129"/>
        <v>861</v>
      </c>
      <c r="P220" s="53"/>
      <c r="Q220" s="53"/>
      <c r="R220" s="76">
        <f t="shared" si="126"/>
        <v>618.58455882353</v>
      </c>
      <c r="S220" s="77">
        <f t="shared" si="127"/>
        <v>1.6796875</v>
      </c>
      <c r="T220" s="76"/>
      <c r="U220" s="76"/>
      <c r="V220" s="76"/>
      <c r="W220" s="78">
        <f t="shared" si="122"/>
        <v>620.26424632353</v>
      </c>
      <c r="X220" s="79">
        <f t="shared" si="128"/>
        <v>12.1868566176471</v>
      </c>
      <c r="Y220" s="79"/>
      <c r="Z220" s="79"/>
      <c r="AA220" s="79">
        <f t="shared" si="123"/>
        <v>12.1868566176471</v>
      </c>
      <c r="AB220" s="90">
        <v>7.15</v>
      </c>
      <c r="AC220" s="76">
        <f t="shared" si="124"/>
        <v>87.1360248161765</v>
      </c>
      <c r="AD220" s="76">
        <f t="shared" si="120"/>
        <v>707.400271139706</v>
      </c>
      <c r="AE220" s="76">
        <f t="shared" si="121"/>
        <v>153.599728860294</v>
      </c>
    </row>
    <row r="221" customFormat="1" spans="1:31">
      <c r="A221" s="18"/>
      <c r="B221" s="19"/>
      <c r="C221" s="20">
        <v>240805000031</v>
      </c>
      <c r="D221" s="21">
        <v>45516</v>
      </c>
      <c r="E221" s="21" t="s">
        <v>37</v>
      </c>
      <c r="F221" s="19" t="s">
        <v>38</v>
      </c>
      <c r="G221" s="19" t="s">
        <v>233</v>
      </c>
      <c r="H221" s="19">
        <v>1.5</v>
      </c>
      <c r="I221" s="51">
        <v>93</v>
      </c>
      <c r="J221" s="52"/>
      <c r="K221" s="45"/>
      <c r="L221" s="19"/>
      <c r="M221" s="45"/>
      <c r="N221" s="48"/>
      <c r="O221" s="49">
        <f t="shared" si="129"/>
        <v>93</v>
      </c>
      <c r="P221" s="53"/>
      <c r="Q221" s="53"/>
      <c r="R221" s="76">
        <f t="shared" si="126"/>
        <v>61.8584558823529</v>
      </c>
      <c r="S221" s="77">
        <f t="shared" si="127"/>
        <v>0.16796875</v>
      </c>
      <c r="T221" s="76"/>
      <c r="U221" s="76"/>
      <c r="V221" s="76"/>
      <c r="W221" s="78">
        <f t="shared" si="122"/>
        <v>62.0264246323529</v>
      </c>
      <c r="X221" s="79">
        <f t="shared" si="128"/>
        <v>1.21868566176471</v>
      </c>
      <c r="Y221" s="79"/>
      <c r="Z221" s="79"/>
      <c r="AA221" s="79">
        <f t="shared" si="123"/>
        <v>1.21868566176471</v>
      </c>
      <c r="AB221" s="90">
        <v>7.15</v>
      </c>
      <c r="AC221" s="76">
        <f t="shared" si="124"/>
        <v>8.71360248161765</v>
      </c>
      <c r="AD221" s="76">
        <f t="shared" si="120"/>
        <v>70.7400271139706</v>
      </c>
      <c r="AE221" s="76">
        <f t="shared" si="121"/>
        <v>22.2599728860294</v>
      </c>
    </row>
    <row r="222" customFormat="1" spans="1:31">
      <c r="A222" s="18"/>
      <c r="B222" s="19"/>
      <c r="C222" s="20">
        <v>240805000032</v>
      </c>
      <c r="D222" s="21">
        <v>45516</v>
      </c>
      <c r="E222" s="21" t="s">
        <v>51</v>
      </c>
      <c r="F222" s="19" t="s">
        <v>52</v>
      </c>
      <c r="G222" s="19" t="s">
        <v>207</v>
      </c>
      <c r="H222" s="19">
        <v>68</v>
      </c>
      <c r="I222" s="49"/>
      <c r="J222" s="44">
        <v>869408</v>
      </c>
      <c r="K222" s="45"/>
      <c r="L222" s="46">
        <f t="shared" ref="L222:L224" si="130">SUM(J222/M222)</f>
        <v>1616</v>
      </c>
      <c r="M222" s="47">
        <v>538</v>
      </c>
      <c r="N222" s="48">
        <v>7.15</v>
      </c>
      <c r="O222" s="49">
        <f t="shared" ref="O222:O230" si="131">SUM(M222*N222)</f>
        <v>3846.7</v>
      </c>
      <c r="P222" s="53"/>
      <c r="Q222" s="53"/>
      <c r="R222" s="76">
        <f t="shared" si="126"/>
        <v>2804.25</v>
      </c>
      <c r="S222" s="77">
        <f t="shared" si="127"/>
        <v>7.61458333333333</v>
      </c>
      <c r="T222" s="76"/>
      <c r="U222" s="76">
        <v>144</v>
      </c>
      <c r="V222" s="76"/>
      <c r="W222" s="78">
        <f t="shared" si="122"/>
        <v>2955.86458333333</v>
      </c>
      <c r="X222" s="79">
        <f t="shared" si="128"/>
        <v>55.2470833333333</v>
      </c>
      <c r="Y222" s="79"/>
      <c r="Z222" s="79"/>
      <c r="AA222" s="79">
        <f t="shared" si="123"/>
        <v>55.2470833333333</v>
      </c>
      <c r="AB222" s="90">
        <v>7.15</v>
      </c>
      <c r="AC222" s="76">
        <f t="shared" si="124"/>
        <v>395.016645833333</v>
      </c>
      <c r="AD222" s="76">
        <f t="shared" si="120"/>
        <v>3350.88122916667</v>
      </c>
      <c r="AE222" s="76">
        <f t="shared" si="121"/>
        <v>495.81877083333</v>
      </c>
    </row>
    <row r="223" customFormat="1" spans="1:31">
      <c r="A223" s="18"/>
      <c r="B223" s="19"/>
      <c r="C223" s="20">
        <v>240805000035</v>
      </c>
      <c r="D223" s="21">
        <v>45516</v>
      </c>
      <c r="E223" s="21" t="s">
        <v>37</v>
      </c>
      <c r="F223" s="19" t="s">
        <v>38</v>
      </c>
      <c r="G223" s="19" t="s">
        <v>50</v>
      </c>
      <c r="H223" s="19">
        <v>0.18</v>
      </c>
      <c r="I223" s="43"/>
      <c r="J223" s="44">
        <v>12667</v>
      </c>
      <c r="K223" s="45"/>
      <c r="L223" s="46">
        <f t="shared" si="130"/>
        <v>1709.44669365722</v>
      </c>
      <c r="M223" s="47">
        <v>7.41</v>
      </c>
      <c r="N223" s="48">
        <v>7.15</v>
      </c>
      <c r="O223" s="49">
        <f t="shared" si="131"/>
        <v>52.9815</v>
      </c>
      <c r="P223" s="53"/>
      <c r="Q223" s="53"/>
      <c r="R223" s="76">
        <f t="shared" si="126"/>
        <v>7.42301470588235</v>
      </c>
      <c r="S223" s="77">
        <f t="shared" si="127"/>
        <v>0.02015625</v>
      </c>
      <c r="T223" s="76"/>
      <c r="U223" s="76"/>
      <c r="V223" s="76"/>
      <c r="W223" s="78">
        <f t="shared" si="122"/>
        <v>7.44317095588235</v>
      </c>
      <c r="X223" s="79">
        <f t="shared" si="128"/>
        <v>0.146242279411765</v>
      </c>
      <c r="Y223" s="79"/>
      <c r="Z223" s="79"/>
      <c r="AA223" s="79">
        <f t="shared" si="123"/>
        <v>0.146242279411765</v>
      </c>
      <c r="AB223" s="90">
        <v>7.15</v>
      </c>
      <c r="AC223" s="76">
        <f t="shared" si="124"/>
        <v>1.04563229779412</v>
      </c>
      <c r="AD223" s="76">
        <f t="shared" si="120"/>
        <v>8.48880325367647</v>
      </c>
      <c r="AE223" s="76">
        <f t="shared" si="121"/>
        <v>44.4926967463235</v>
      </c>
    </row>
    <row r="224" customFormat="1" spans="1:31">
      <c r="A224" s="18"/>
      <c r="B224" s="19"/>
      <c r="C224" s="20">
        <v>240805000036</v>
      </c>
      <c r="D224" s="21">
        <v>45516</v>
      </c>
      <c r="E224" s="21" t="s">
        <v>57</v>
      </c>
      <c r="F224" s="19" t="s">
        <v>57</v>
      </c>
      <c r="G224" s="19" t="s">
        <v>234</v>
      </c>
      <c r="H224" s="19">
        <v>3</v>
      </c>
      <c r="I224" s="43"/>
      <c r="J224" s="44">
        <v>40443</v>
      </c>
      <c r="K224" s="45"/>
      <c r="L224" s="46">
        <f t="shared" si="130"/>
        <v>1580.42203985932</v>
      </c>
      <c r="M224" s="47">
        <v>25.59</v>
      </c>
      <c r="N224" s="48">
        <v>7.15</v>
      </c>
      <c r="O224" s="49">
        <f t="shared" si="131"/>
        <v>182.9685</v>
      </c>
      <c r="P224" s="53"/>
      <c r="Q224" s="53"/>
      <c r="R224" s="76">
        <f t="shared" si="126"/>
        <v>123.716911764706</v>
      </c>
      <c r="S224" s="77">
        <f t="shared" si="127"/>
        <v>0.3359375</v>
      </c>
      <c r="T224" s="76"/>
      <c r="U224" s="76"/>
      <c r="V224" s="76"/>
      <c r="W224" s="78">
        <f t="shared" si="122"/>
        <v>124.052849264706</v>
      </c>
      <c r="X224" s="79">
        <f t="shared" si="128"/>
        <v>2.43737132352941</v>
      </c>
      <c r="Y224" s="79"/>
      <c r="Z224" s="79"/>
      <c r="AA224" s="79">
        <f t="shared" si="123"/>
        <v>2.43737132352941</v>
      </c>
      <c r="AB224" s="90">
        <v>7.15</v>
      </c>
      <c r="AC224" s="76">
        <f t="shared" si="124"/>
        <v>17.4272049632353</v>
      </c>
      <c r="AD224" s="76">
        <f t="shared" si="120"/>
        <v>141.480054227941</v>
      </c>
      <c r="AE224" s="76">
        <f t="shared" si="121"/>
        <v>41.488445772059</v>
      </c>
    </row>
    <row r="225" customFormat="1" spans="1:31">
      <c r="A225" s="18"/>
      <c r="B225" s="19"/>
      <c r="C225" s="20">
        <v>240805000037</v>
      </c>
      <c r="D225" s="21">
        <v>45516</v>
      </c>
      <c r="E225" s="21" t="s">
        <v>57</v>
      </c>
      <c r="F225" s="19" t="s">
        <v>57</v>
      </c>
      <c r="G225" s="19" t="s">
        <v>190</v>
      </c>
      <c r="H225" s="19">
        <v>8</v>
      </c>
      <c r="I225" s="49"/>
      <c r="J225" s="52"/>
      <c r="K225" s="45"/>
      <c r="L225" s="19"/>
      <c r="M225" s="45">
        <v>71.2</v>
      </c>
      <c r="N225" s="48">
        <v>7.15</v>
      </c>
      <c r="O225" s="49">
        <f t="shared" si="131"/>
        <v>509.08</v>
      </c>
      <c r="P225" s="53"/>
      <c r="Q225" s="53"/>
      <c r="R225" s="76">
        <f t="shared" si="126"/>
        <v>329.911764705882</v>
      </c>
      <c r="S225" s="77">
        <f t="shared" si="127"/>
        <v>0.895833333333333</v>
      </c>
      <c r="T225" s="76"/>
      <c r="U225" s="76"/>
      <c r="V225" s="76"/>
      <c r="W225" s="78">
        <f t="shared" si="122"/>
        <v>330.807598039216</v>
      </c>
      <c r="X225" s="79">
        <f t="shared" si="128"/>
        <v>6.4996568627451</v>
      </c>
      <c r="Y225" s="79"/>
      <c r="Z225" s="79"/>
      <c r="AA225" s="79">
        <f t="shared" si="123"/>
        <v>6.4996568627451</v>
      </c>
      <c r="AB225" s="90">
        <v>7.15</v>
      </c>
      <c r="AC225" s="76">
        <f t="shared" si="124"/>
        <v>46.4725465686275</v>
      </c>
      <c r="AD225" s="76">
        <f t="shared" si="120"/>
        <v>377.280144607843</v>
      </c>
      <c r="AE225" s="76">
        <f t="shared" si="121"/>
        <v>131.799855392157</v>
      </c>
    </row>
    <row r="226" customFormat="1" spans="1:31">
      <c r="A226" s="18"/>
      <c r="B226" s="19"/>
      <c r="C226" s="20">
        <v>240805000038</v>
      </c>
      <c r="D226" s="21">
        <v>45516</v>
      </c>
      <c r="E226" s="21" t="s">
        <v>41</v>
      </c>
      <c r="F226" s="19" t="s">
        <v>42</v>
      </c>
      <c r="G226" s="19" t="s">
        <v>235</v>
      </c>
      <c r="H226" s="19">
        <v>2</v>
      </c>
      <c r="I226" s="43"/>
      <c r="J226" s="44">
        <v>27183</v>
      </c>
      <c r="K226" s="45"/>
      <c r="L226" s="46">
        <f t="shared" ref="L226:L229" si="132">SUM(J226/M226)</f>
        <v>1408.44559585492</v>
      </c>
      <c r="M226" s="47">
        <v>19.3</v>
      </c>
      <c r="N226" s="48">
        <v>7.15</v>
      </c>
      <c r="O226" s="49">
        <f t="shared" si="131"/>
        <v>137.995</v>
      </c>
      <c r="P226" s="53"/>
      <c r="Q226" s="53"/>
      <c r="R226" s="76">
        <f t="shared" si="126"/>
        <v>82.4779411764706</v>
      </c>
      <c r="S226" s="77">
        <f t="shared" si="127"/>
        <v>0.223958333333333</v>
      </c>
      <c r="T226" s="76"/>
      <c r="U226" s="76"/>
      <c r="V226" s="76"/>
      <c r="W226" s="78">
        <f t="shared" si="122"/>
        <v>82.7018995098039</v>
      </c>
      <c r="X226" s="79">
        <f t="shared" si="128"/>
        <v>1.62491421568627</v>
      </c>
      <c r="Y226" s="79"/>
      <c r="Z226" s="79"/>
      <c r="AA226" s="79">
        <f t="shared" si="123"/>
        <v>1.62491421568627</v>
      </c>
      <c r="AB226" s="90">
        <v>7.15</v>
      </c>
      <c r="AC226" s="76">
        <f t="shared" si="124"/>
        <v>11.6181366421569</v>
      </c>
      <c r="AD226" s="76">
        <f t="shared" si="120"/>
        <v>94.3200361519608</v>
      </c>
      <c r="AE226" s="76">
        <f t="shared" si="121"/>
        <v>43.6749638480392</v>
      </c>
    </row>
    <row r="227" customFormat="1" spans="1:31">
      <c r="A227" s="18"/>
      <c r="B227" s="19"/>
      <c r="C227" s="20">
        <v>240805000039</v>
      </c>
      <c r="D227" s="21">
        <v>45516</v>
      </c>
      <c r="E227" s="21" t="s">
        <v>44</v>
      </c>
      <c r="F227" s="19" t="s">
        <v>45</v>
      </c>
      <c r="G227" s="19" t="s">
        <v>236</v>
      </c>
      <c r="H227" s="19">
        <v>0.84</v>
      </c>
      <c r="I227" s="49"/>
      <c r="J227" s="44">
        <v>14220.8</v>
      </c>
      <c r="K227" s="45"/>
      <c r="L227" s="46">
        <f t="shared" si="132"/>
        <v>1616</v>
      </c>
      <c r="M227" s="47">
        <v>8.8</v>
      </c>
      <c r="N227" s="48">
        <v>7.15</v>
      </c>
      <c r="O227" s="49">
        <f t="shared" si="131"/>
        <v>62.92</v>
      </c>
      <c r="P227" s="53"/>
      <c r="Q227" s="53"/>
      <c r="R227" s="76">
        <f t="shared" si="126"/>
        <v>34.6407352941176</v>
      </c>
      <c r="S227" s="77">
        <f t="shared" si="127"/>
        <v>0.0940625</v>
      </c>
      <c r="T227" s="76"/>
      <c r="U227" s="76"/>
      <c r="V227" s="76"/>
      <c r="W227" s="78">
        <f t="shared" si="122"/>
        <v>34.7347977941176</v>
      </c>
      <c r="X227" s="79">
        <f t="shared" si="128"/>
        <v>0.682463970588235</v>
      </c>
      <c r="Y227" s="79"/>
      <c r="Z227" s="79"/>
      <c r="AA227" s="79">
        <f t="shared" si="123"/>
        <v>0.682463970588235</v>
      </c>
      <c r="AB227" s="90">
        <v>7.15</v>
      </c>
      <c r="AC227" s="76">
        <f t="shared" si="124"/>
        <v>4.87961738970588</v>
      </c>
      <c r="AD227" s="76">
        <f t="shared" si="120"/>
        <v>39.6144151838235</v>
      </c>
      <c r="AE227" s="76">
        <f t="shared" si="121"/>
        <v>23.3055848161765</v>
      </c>
    </row>
    <row r="228" customFormat="1" spans="1:31">
      <c r="A228" s="18"/>
      <c r="B228" s="19"/>
      <c r="C228" s="20">
        <v>240805000043</v>
      </c>
      <c r="D228" s="21">
        <v>45516</v>
      </c>
      <c r="E228" s="21" t="s">
        <v>51</v>
      </c>
      <c r="F228" s="19" t="s">
        <v>52</v>
      </c>
      <c r="G228" s="19" t="s">
        <v>207</v>
      </c>
      <c r="H228" s="19">
        <v>10.5</v>
      </c>
      <c r="I228" s="49"/>
      <c r="J228" s="44">
        <v>135501.6</v>
      </c>
      <c r="K228" s="45"/>
      <c r="L228" s="46">
        <f t="shared" si="132"/>
        <v>1616</v>
      </c>
      <c r="M228" s="47">
        <v>83.85</v>
      </c>
      <c r="N228" s="48">
        <v>7.15</v>
      </c>
      <c r="O228" s="49">
        <f t="shared" si="131"/>
        <v>599.5275</v>
      </c>
      <c r="P228" s="53"/>
      <c r="Q228" s="53"/>
      <c r="R228" s="76">
        <f t="shared" si="126"/>
        <v>433.009191176471</v>
      </c>
      <c r="S228" s="77">
        <f t="shared" si="127"/>
        <v>1.17578125</v>
      </c>
      <c r="T228" s="76"/>
      <c r="U228" s="76"/>
      <c r="V228" s="76"/>
      <c r="W228" s="78">
        <f t="shared" si="122"/>
        <v>434.184972426471</v>
      </c>
      <c r="X228" s="79">
        <f t="shared" si="128"/>
        <v>8.53079963235294</v>
      </c>
      <c r="Y228" s="79"/>
      <c r="Z228" s="79"/>
      <c r="AA228" s="79">
        <f t="shared" si="123"/>
        <v>8.53079963235294</v>
      </c>
      <c r="AB228" s="90">
        <v>7.15</v>
      </c>
      <c r="AC228" s="76">
        <f t="shared" si="124"/>
        <v>60.9952173713235</v>
      </c>
      <c r="AD228" s="76">
        <f t="shared" si="120"/>
        <v>495.180189797794</v>
      </c>
      <c r="AE228" s="76">
        <f t="shared" si="121"/>
        <v>104.347310202206</v>
      </c>
    </row>
    <row r="229" customFormat="1" spans="1:31">
      <c r="A229" s="18"/>
      <c r="B229" s="19"/>
      <c r="C229" s="20">
        <v>240805000044</v>
      </c>
      <c r="D229" s="21">
        <v>45516</v>
      </c>
      <c r="E229" s="21" t="s">
        <v>51</v>
      </c>
      <c r="F229" s="19" t="s">
        <v>52</v>
      </c>
      <c r="G229" s="19" t="s">
        <v>237</v>
      </c>
      <c r="H229" s="19">
        <v>6</v>
      </c>
      <c r="I229" s="43"/>
      <c r="J229" s="44">
        <v>77605</v>
      </c>
      <c r="K229" s="45"/>
      <c r="L229" s="46">
        <f t="shared" si="132"/>
        <v>1594.51407437847</v>
      </c>
      <c r="M229" s="47">
        <v>48.67</v>
      </c>
      <c r="N229" s="48">
        <v>7.15</v>
      </c>
      <c r="O229" s="49">
        <f t="shared" si="131"/>
        <v>347.9905</v>
      </c>
      <c r="P229" s="53"/>
      <c r="Q229" s="53"/>
      <c r="R229" s="76">
        <f t="shared" si="126"/>
        <v>247.433823529412</v>
      </c>
      <c r="S229" s="77">
        <f t="shared" si="127"/>
        <v>0.671875</v>
      </c>
      <c r="T229" s="76"/>
      <c r="U229" s="76"/>
      <c r="V229" s="76"/>
      <c r="W229" s="78">
        <f t="shared" si="122"/>
        <v>248.105698529412</v>
      </c>
      <c r="X229" s="79">
        <f t="shared" si="128"/>
        <v>4.87474264705882</v>
      </c>
      <c r="Y229" s="79"/>
      <c r="Z229" s="79"/>
      <c r="AA229" s="79">
        <f t="shared" si="123"/>
        <v>4.87474264705882</v>
      </c>
      <c r="AB229" s="90">
        <v>7.15</v>
      </c>
      <c r="AC229" s="76">
        <f t="shared" si="124"/>
        <v>34.8544099264706</v>
      </c>
      <c r="AD229" s="76">
        <f t="shared" si="120"/>
        <v>282.960108455882</v>
      </c>
      <c r="AE229" s="76">
        <f t="shared" si="121"/>
        <v>65.0303915441181</v>
      </c>
    </row>
    <row r="230" customFormat="1" spans="1:31">
      <c r="A230" s="18"/>
      <c r="B230" s="19"/>
      <c r="C230" s="20">
        <v>240805000045</v>
      </c>
      <c r="D230" s="21">
        <v>45516</v>
      </c>
      <c r="E230" s="21" t="s">
        <v>37</v>
      </c>
      <c r="F230" s="19" t="s">
        <v>204</v>
      </c>
      <c r="G230" s="19" t="s">
        <v>205</v>
      </c>
      <c r="H230" s="19">
        <v>4</v>
      </c>
      <c r="I230" s="57">
        <v>204</v>
      </c>
      <c r="J230" s="52"/>
      <c r="K230" s="45"/>
      <c r="L230" s="19"/>
      <c r="M230" s="45"/>
      <c r="N230" s="48"/>
      <c r="O230" s="49">
        <f>SUBTOTAL(9,I230)</f>
        <v>204</v>
      </c>
      <c r="P230" s="53"/>
      <c r="Q230" s="53"/>
      <c r="R230" s="76">
        <f t="shared" si="126"/>
        <v>164.955882352941</v>
      </c>
      <c r="S230" s="77">
        <f t="shared" si="127"/>
        <v>0.447916666666667</v>
      </c>
      <c r="T230" s="76"/>
      <c r="U230" s="76"/>
      <c r="V230" s="76"/>
      <c r="W230" s="78">
        <f t="shared" si="122"/>
        <v>165.403799019608</v>
      </c>
      <c r="X230" s="79">
        <f t="shared" si="128"/>
        <v>3.24982843137255</v>
      </c>
      <c r="Y230" s="79"/>
      <c r="Z230" s="79"/>
      <c r="AA230" s="79">
        <f t="shared" si="123"/>
        <v>3.24982843137255</v>
      </c>
      <c r="AB230" s="90">
        <v>7.15</v>
      </c>
      <c r="AC230" s="76">
        <f t="shared" si="124"/>
        <v>23.2362732843137</v>
      </c>
      <c r="AD230" s="76">
        <f t="shared" si="120"/>
        <v>188.640072303922</v>
      </c>
      <c r="AE230" s="76">
        <f t="shared" si="121"/>
        <v>15.359927696078</v>
      </c>
    </row>
    <row r="231" customFormat="1" spans="1:31">
      <c r="A231" s="18"/>
      <c r="B231" s="19"/>
      <c r="C231" s="22">
        <v>240805000053</v>
      </c>
      <c r="D231" s="23">
        <v>45516</v>
      </c>
      <c r="E231" s="21" t="s">
        <v>41</v>
      </c>
      <c r="F231" s="24" t="s">
        <v>42</v>
      </c>
      <c r="G231" s="24" t="s">
        <v>166</v>
      </c>
      <c r="H231" s="24">
        <v>42</v>
      </c>
      <c r="I231" s="51">
        <v>2576</v>
      </c>
      <c r="J231" s="52"/>
      <c r="K231" s="45"/>
      <c r="L231" s="19"/>
      <c r="M231" s="45"/>
      <c r="N231" s="48"/>
      <c r="O231" s="49">
        <f t="shared" ref="O231:O235" si="133">SUM(I231)</f>
        <v>2576</v>
      </c>
      <c r="P231" s="53"/>
      <c r="Q231" s="53"/>
      <c r="R231" s="76">
        <f t="shared" si="126"/>
        <v>1732.03676470588</v>
      </c>
      <c r="S231" s="77">
        <f t="shared" si="127"/>
        <v>4.703125</v>
      </c>
      <c r="T231" s="76"/>
      <c r="U231" s="76"/>
      <c r="V231" s="76"/>
      <c r="W231" s="78">
        <f t="shared" si="122"/>
        <v>1736.73988970588</v>
      </c>
      <c r="X231" s="79">
        <f t="shared" si="128"/>
        <v>34.1231985294118</v>
      </c>
      <c r="Y231" s="79"/>
      <c r="Z231" s="79"/>
      <c r="AA231" s="79">
        <f t="shared" si="123"/>
        <v>34.1231985294118</v>
      </c>
      <c r="AB231" s="90">
        <v>7.15</v>
      </c>
      <c r="AC231" s="76">
        <f t="shared" si="124"/>
        <v>243.980869485294</v>
      </c>
      <c r="AD231" s="76">
        <f t="shared" si="120"/>
        <v>1980.72075919118</v>
      </c>
      <c r="AE231" s="76">
        <f t="shared" si="121"/>
        <v>595.27924080882</v>
      </c>
    </row>
    <row r="232" customFormat="1" spans="1:31">
      <c r="A232" s="18"/>
      <c r="B232" s="19"/>
      <c r="C232" s="20">
        <v>240806000006</v>
      </c>
      <c r="D232" s="21">
        <v>45516</v>
      </c>
      <c r="E232" s="21" t="s">
        <v>44</v>
      </c>
      <c r="F232" s="19" t="s">
        <v>45</v>
      </c>
      <c r="G232" s="19" t="s">
        <v>236</v>
      </c>
      <c r="H232" s="19">
        <v>0.22</v>
      </c>
      <c r="I232" s="49"/>
      <c r="J232" s="44">
        <v>14220.8</v>
      </c>
      <c r="K232" s="45"/>
      <c r="L232" s="46">
        <f>SUM(J232/M232)</f>
        <v>1616</v>
      </c>
      <c r="M232" s="47">
        <v>8.8</v>
      </c>
      <c r="N232" s="48">
        <v>7.15</v>
      </c>
      <c r="O232" s="49">
        <f>SUM(M232*N232)</f>
        <v>62.92</v>
      </c>
      <c r="P232" s="53"/>
      <c r="Q232" s="53"/>
      <c r="R232" s="76">
        <f t="shared" si="126"/>
        <v>9.07257352941177</v>
      </c>
      <c r="S232" s="77">
        <f t="shared" si="127"/>
        <v>0.0246354166666667</v>
      </c>
      <c r="T232" s="76"/>
      <c r="U232" s="76"/>
      <c r="V232" s="76"/>
      <c r="W232" s="78">
        <f t="shared" si="122"/>
        <v>9.09720894607843</v>
      </c>
      <c r="X232" s="79">
        <f t="shared" si="128"/>
        <v>0.17874056372549</v>
      </c>
      <c r="Y232" s="79"/>
      <c r="Z232" s="79"/>
      <c r="AA232" s="79">
        <f t="shared" si="123"/>
        <v>0.17874056372549</v>
      </c>
      <c r="AB232" s="90">
        <v>7.15</v>
      </c>
      <c r="AC232" s="76">
        <f t="shared" si="124"/>
        <v>1.27799503063726</v>
      </c>
      <c r="AD232" s="76">
        <f t="shared" si="120"/>
        <v>10.3752039767157</v>
      </c>
      <c r="AE232" s="76">
        <f t="shared" si="121"/>
        <v>52.5447960232843</v>
      </c>
    </row>
    <row r="233" customFormat="1" spans="1:31">
      <c r="A233" s="18"/>
      <c r="B233" s="19"/>
      <c r="C233" s="20">
        <v>240806000008</v>
      </c>
      <c r="D233" s="21">
        <v>45516</v>
      </c>
      <c r="E233" s="21" t="s">
        <v>41</v>
      </c>
      <c r="F233" s="19" t="s">
        <v>42</v>
      </c>
      <c r="G233" s="19" t="s">
        <v>43</v>
      </c>
      <c r="H233" s="19">
        <v>0.91</v>
      </c>
      <c r="I233" s="51">
        <v>53</v>
      </c>
      <c r="J233" s="52"/>
      <c r="K233" s="45"/>
      <c r="L233" s="19"/>
      <c r="M233" s="45"/>
      <c r="N233" s="48"/>
      <c r="O233" s="49">
        <f t="shared" si="133"/>
        <v>53</v>
      </c>
      <c r="P233" s="53"/>
      <c r="Q233" s="53"/>
      <c r="R233" s="76">
        <f t="shared" si="126"/>
        <v>37.5274632352941</v>
      </c>
      <c r="S233" s="77">
        <f t="shared" si="127"/>
        <v>0.101901041666667</v>
      </c>
      <c r="T233" s="76"/>
      <c r="U233" s="76"/>
      <c r="V233" s="76"/>
      <c r="W233" s="78">
        <f t="shared" si="122"/>
        <v>37.6293642769608</v>
      </c>
      <c r="X233" s="79">
        <f t="shared" si="128"/>
        <v>0.739335968137255</v>
      </c>
      <c r="Y233" s="79"/>
      <c r="Z233" s="79"/>
      <c r="AA233" s="79">
        <f t="shared" si="123"/>
        <v>0.739335968137255</v>
      </c>
      <c r="AB233" s="90">
        <v>7.15</v>
      </c>
      <c r="AC233" s="76">
        <f t="shared" si="124"/>
        <v>5.28625217218137</v>
      </c>
      <c r="AD233" s="76">
        <f t="shared" si="120"/>
        <v>42.9156164491422</v>
      </c>
      <c r="AE233" s="76">
        <f t="shared" si="121"/>
        <v>10.0843835508578</v>
      </c>
    </row>
    <row r="234" customFormat="1" spans="1:31">
      <c r="A234" s="18"/>
      <c r="B234" s="19"/>
      <c r="C234" s="20">
        <v>240806000009</v>
      </c>
      <c r="D234" s="21">
        <v>45516</v>
      </c>
      <c r="E234" s="21" t="s">
        <v>51</v>
      </c>
      <c r="F234" s="19" t="s">
        <v>52</v>
      </c>
      <c r="G234" s="19" t="s">
        <v>238</v>
      </c>
      <c r="H234" s="19">
        <v>0.38</v>
      </c>
      <c r="I234" s="51">
        <v>69</v>
      </c>
      <c r="J234" s="52"/>
      <c r="K234" s="45"/>
      <c r="L234" s="19"/>
      <c r="M234" s="45"/>
      <c r="N234" s="48"/>
      <c r="O234" s="49">
        <f t="shared" si="133"/>
        <v>69</v>
      </c>
      <c r="P234" s="53"/>
      <c r="Q234" s="53"/>
      <c r="R234" s="76">
        <f t="shared" si="126"/>
        <v>15.6708088235294</v>
      </c>
      <c r="S234" s="77">
        <f t="shared" si="127"/>
        <v>0.0425520833333333</v>
      </c>
      <c r="T234" s="76"/>
      <c r="U234" s="76"/>
      <c r="V234" s="76"/>
      <c r="W234" s="78">
        <f t="shared" si="122"/>
        <v>15.7133609068627</v>
      </c>
      <c r="X234" s="79">
        <f t="shared" si="128"/>
        <v>0.308733700980392</v>
      </c>
      <c r="Y234" s="79"/>
      <c r="Z234" s="79"/>
      <c r="AA234" s="79">
        <f t="shared" si="123"/>
        <v>0.308733700980392</v>
      </c>
      <c r="AB234" s="90">
        <v>7.15</v>
      </c>
      <c r="AC234" s="76">
        <f t="shared" si="124"/>
        <v>2.2074459620098</v>
      </c>
      <c r="AD234" s="76">
        <f t="shared" si="120"/>
        <v>17.9208068688725</v>
      </c>
      <c r="AE234" s="76">
        <f t="shared" si="121"/>
        <v>51.0791931311275</v>
      </c>
    </row>
    <row r="235" customFormat="1" spans="1:31">
      <c r="A235" s="18"/>
      <c r="B235" s="19"/>
      <c r="C235" s="20">
        <v>240806000012</v>
      </c>
      <c r="D235" s="21">
        <v>45516</v>
      </c>
      <c r="E235" s="21" t="s">
        <v>37</v>
      </c>
      <c r="F235" s="19" t="s">
        <v>38</v>
      </c>
      <c r="G235" s="19" t="s">
        <v>239</v>
      </c>
      <c r="H235" s="19">
        <v>0.32</v>
      </c>
      <c r="I235" s="51">
        <v>94</v>
      </c>
      <c r="J235" s="52"/>
      <c r="K235" s="45"/>
      <c r="L235" s="19"/>
      <c r="M235" s="45"/>
      <c r="N235" s="48"/>
      <c r="O235" s="49">
        <f t="shared" si="133"/>
        <v>94</v>
      </c>
      <c r="P235" s="53"/>
      <c r="Q235" s="53"/>
      <c r="R235" s="76">
        <f t="shared" si="126"/>
        <v>13.1964705882353</v>
      </c>
      <c r="S235" s="77">
        <f t="shared" si="127"/>
        <v>0.0358333333333333</v>
      </c>
      <c r="T235" s="76"/>
      <c r="U235" s="76"/>
      <c r="V235" s="76"/>
      <c r="W235" s="78">
        <f t="shared" si="122"/>
        <v>13.2323039215686</v>
      </c>
      <c r="X235" s="79">
        <f t="shared" si="128"/>
        <v>0.259986274509804</v>
      </c>
      <c r="Y235" s="79"/>
      <c r="Z235" s="79"/>
      <c r="AA235" s="79">
        <f t="shared" si="123"/>
        <v>0.259986274509804</v>
      </c>
      <c r="AB235" s="90">
        <v>7.15</v>
      </c>
      <c r="AC235" s="76">
        <f t="shared" si="124"/>
        <v>1.8589018627451</v>
      </c>
      <c r="AD235" s="76">
        <f t="shared" si="120"/>
        <v>15.0912057843137</v>
      </c>
      <c r="AE235" s="76">
        <f t="shared" si="121"/>
        <v>78.9087942156863</v>
      </c>
    </row>
    <row r="236" customFormat="1" spans="1:31">
      <c r="A236" s="18"/>
      <c r="B236" s="19"/>
      <c r="C236" s="20">
        <v>240806000014</v>
      </c>
      <c r="D236" s="21">
        <v>45516</v>
      </c>
      <c r="E236" s="21" t="s">
        <v>37</v>
      </c>
      <c r="F236" s="19" t="s">
        <v>38</v>
      </c>
      <c r="G236" s="19" t="s">
        <v>76</v>
      </c>
      <c r="H236" s="19">
        <v>19.5</v>
      </c>
      <c r="I236" s="43"/>
      <c r="J236" s="44">
        <v>253452.5</v>
      </c>
      <c r="K236" s="45"/>
      <c r="L236" s="46">
        <f>SUM(J236/M236)</f>
        <v>1751.81434890793</v>
      </c>
      <c r="M236" s="47">
        <v>144.68</v>
      </c>
      <c r="N236" s="48">
        <v>7.15</v>
      </c>
      <c r="O236" s="49">
        <f>SUM(M236*N236)</f>
        <v>1034.462</v>
      </c>
      <c r="P236" s="53"/>
      <c r="Q236" s="53"/>
      <c r="R236" s="76">
        <f t="shared" si="126"/>
        <v>804.159926470588</v>
      </c>
      <c r="S236" s="77">
        <f t="shared" si="127"/>
        <v>2.18359375</v>
      </c>
      <c r="T236" s="76"/>
      <c r="U236" s="76">
        <v>40</v>
      </c>
      <c r="V236" s="76"/>
      <c r="W236" s="78">
        <f t="shared" si="122"/>
        <v>846.343520220588</v>
      </c>
      <c r="X236" s="79">
        <f t="shared" si="128"/>
        <v>15.8429136029412</v>
      </c>
      <c r="Y236" s="79"/>
      <c r="Z236" s="79"/>
      <c r="AA236" s="79">
        <f t="shared" si="123"/>
        <v>15.8429136029412</v>
      </c>
      <c r="AB236" s="90">
        <v>7.15</v>
      </c>
      <c r="AC236" s="76">
        <f t="shared" si="124"/>
        <v>113.276832261029</v>
      </c>
      <c r="AD236" s="76">
        <f t="shared" si="120"/>
        <v>959.620352481618</v>
      </c>
      <c r="AE236" s="76">
        <f t="shared" si="121"/>
        <v>74.8416475183819</v>
      </c>
    </row>
    <row r="237" customFormat="1" spans="1:31">
      <c r="A237" s="18"/>
      <c r="B237" s="19"/>
      <c r="C237" s="20">
        <v>240806000021</v>
      </c>
      <c r="D237" s="21">
        <v>45516</v>
      </c>
      <c r="E237" s="21" t="s">
        <v>57</v>
      </c>
      <c r="F237" s="19" t="s">
        <v>57</v>
      </c>
      <c r="G237" s="19" t="s">
        <v>240</v>
      </c>
      <c r="H237" s="19">
        <v>44</v>
      </c>
      <c r="I237" s="51">
        <v>2332</v>
      </c>
      <c r="J237" s="52"/>
      <c r="K237" s="45"/>
      <c r="L237" s="19"/>
      <c r="M237" s="45"/>
      <c r="N237" s="48"/>
      <c r="O237" s="49">
        <f t="shared" ref="O237:O239" si="134">SUM(I237)</f>
        <v>2332</v>
      </c>
      <c r="P237" s="53"/>
      <c r="Q237" s="53"/>
      <c r="R237" s="76">
        <f t="shared" si="126"/>
        <v>1814.51470588235</v>
      </c>
      <c r="S237" s="77">
        <f t="shared" si="127"/>
        <v>4.92708333333333</v>
      </c>
      <c r="T237" s="76"/>
      <c r="U237" s="76"/>
      <c r="V237" s="76"/>
      <c r="W237" s="78">
        <f t="shared" si="122"/>
        <v>1819.44178921569</v>
      </c>
      <c r="X237" s="79">
        <f t="shared" si="128"/>
        <v>35.748112745098</v>
      </c>
      <c r="Y237" s="79"/>
      <c r="Z237" s="79"/>
      <c r="AA237" s="79">
        <f t="shared" si="123"/>
        <v>35.748112745098</v>
      </c>
      <c r="AB237" s="90">
        <v>7.15</v>
      </c>
      <c r="AC237" s="76">
        <f t="shared" si="124"/>
        <v>255.599006127451</v>
      </c>
      <c r="AD237" s="76">
        <f t="shared" si="120"/>
        <v>2075.04079534314</v>
      </c>
      <c r="AE237" s="76">
        <f t="shared" si="121"/>
        <v>256.95920465686</v>
      </c>
    </row>
    <row r="238" customFormat="1" spans="1:31">
      <c r="A238" s="18"/>
      <c r="B238" s="19"/>
      <c r="C238" s="20">
        <v>240806000026</v>
      </c>
      <c r="D238" s="21">
        <v>45516</v>
      </c>
      <c r="E238" s="21" t="s">
        <v>57</v>
      </c>
      <c r="F238" s="19" t="s">
        <v>241</v>
      </c>
      <c r="G238" s="19" t="s">
        <v>242</v>
      </c>
      <c r="H238" s="19">
        <v>55.5</v>
      </c>
      <c r="I238" s="51">
        <v>3539</v>
      </c>
      <c r="J238" s="52"/>
      <c r="K238" s="45"/>
      <c r="L238" s="19"/>
      <c r="M238" s="45"/>
      <c r="N238" s="48"/>
      <c r="O238" s="49">
        <f t="shared" si="134"/>
        <v>3539</v>
      </c>
      <c r="P238" s="53"/>
      <c r="Q238" s="53"/>
      <c r="R238" s="76">
        <f t="shared" si="126"/>
        <v>2288.76286764706</v>
      </c>
      <c r="S238" s="77">
        <f t="shared" si="127"/>
        <v>6.21484375</v>
      </c>
      <c r="T238" s="76"/>
      <c r="U238" s="77">
        <v>200</v>
      </c>
      <c r="V238" s="76"/>
      <c r="W238" s="78">
        <f t="shared" si="122"/>
        <v>2494.97771139706</v>
      </c>
      <c r="X238" s="79">
        <f t="shared" si="128"/>
        <v>45.0913694852941</v>
      </c>
      <c r="Y238" s="79"/>
      <c r="Z238" s="79"/>
      <c r="AA238" s="79">
        <f t="shared" si="123"/>
        <v>45.0913694852941</v>
      </c>
      <c r="AB238" s="90">
        <v>7.15</v>
      </c>
      <c r="AC238" s="76">
        <f t="shared" si="124"/>
        <v>322.403291819853</v>
      </c>
      <c r="AD238" s="76">
        <f t="shared" si="120"/>
        <v>2817.38100321691</v>
      </c>
      <c r="AE238" s="76">
        <f t="shared" si="121"/>
        <v>721.61899678309</v>
      </c>
    </row>
    <row r="239" customFormat="1" spans="1:31">
      <c r="A239" s="18"/>
      <c r="B239" s="19"/>
      <c r="C239" s="20">
        <v>240806000027</v>
      </c>
      <c r="D239" s="21">
        <v>45516</v>
      </c>
      <c r="E239" s="21" t="s">
        <v>41</v>
      </c>
      <c r="F239" s="19" t="s">
        <v>42</v>
      </c>
      <c r="G239" s="19" t="s">
        <v>166</v>
      </c>
      <c r="H239" s="19">
        <v>5.5</v>
      </c>
      <c r="I239" s="51">
        <v>291.5</v>
      </c>
      <c r="J239" s="52"/>
      <c r="K239" s="45"/>
      <c r="L239" s="19"/>
      <c r="M239" s="45"/>
      <c r="N239" s="48"/>
      <c r="O239" s="49">
        <f t="shared" si="134"/>
        <v>291.5</v>
      </c>
      <c r="P239" s="53"/>
      <c r="Q239" s="53"/>
      <c r="R239" s="76">
        <f t="shared" si="126"/>
        <v>226.814338235294</v>
      </c>
      <c r="S239" s="77">
        <f t="shared" si="127"/>
        <v>0.615885416666667</v>
      </c>
      <c r="T239" s="76"/>
      <c r="U239" s="76"/>
      <c r="V239" s="76"/>
      <c r="W239" s="78">
        <f t="shared" si="122"/>
        <v>227.430223651961</v>
      </c>
      <c r="X239" s="79">
        <f t="shared" si="128"/>
        <v>4.46851409313726</v>
      </c>
      <c r="Y239" s="79"/>
      <c r="Z239" s="79"/>
      <c r="AA239" s="79">
        <f t="shared" si="123"/>
        <v>4.46851409313726</v>
      </c>
      <c r="AB239" s="90">
        <v>7.15</v>
      </c>
      <c r="AC239" s="76">
        <f t="shared" si="124"/>
        <v>31.9498757659314</v>
      </c>
      <c r="AD239" s="76">
        <f t="shared" si="120"/>
        <v>259.380099417892</v>
      </c>
      <c r="AE239" s="76">
        <f t="shared" si="121"/>
        <v>32.119900582108</v>
      </c>
    </row>
    <row r="240" customFormat="1" spans="1:31">
      <c r="A240" s="18"/>
      <c r="B240" s="19"/>
      <c r="C240" s="20">
        <v>240806000034</v>
      </c>
      <c r="D240" s="21">
        <v>45516</v>
      </c>
      <c r="E240" s="21" t="s">
        <v>41</v>
      </c>
      <c r="F240" s="19" t="s">
        <v>42</v>
      </c>
      <c r="G240" s="19" t="s">
        <v>235</v>
      </c>
      <c r="H240" s="19">
        <v>4</v>
      </c>
      <c r="I240" s="43"/>
      <c r="J240" s="44">
        <v>53703</v>
      </c>
      <c r="K240" s="45"/>
      <c r="L240" s="46">
        <f>SUM(J240/M240)</f>
        <v>1580.42966450853</v>
      </c>
      <c r="M240" s="47">
        <v>33.98</v>
      </c>
      <c r="N240" s="48">
        <v>7.15</v>
      </c>
      <c r="O240" s="49">
        <f t="shared" ref="O240:O244" si="135">SUM(M240*N240)</f>
        <v>242.957</v>
      </c>
      <c r="P240" s="53"/>
      <c r="Q240" s="53"/>
      <c r="R240" s="76">
        <f t="shared" si="126"/>
        <v>164.955882352941</v>
      </c>
      <c r="S240" s="77">
        <f t="shared" si="127"/>
        <v>0.447916666666667</v>
      </c>
      <c r="T240" s="76"/>
      <c r="U240" s="76"/>
      <c r="V240" s="76"/>
      <c r="W240" s="78">
        <f t="shared" si="122"/>
        <v>165.403799019608</v>
      </c>
      <c r="X240" s="79">
        <f t="shared" si="128"/>
        <v>3.24982843137255</v>
      </c>
      <c r="Y240" s="79"/>
      <c r="Z240" s="79"/>
      <c r="AA240" s="79">
        <f t="shared" si="123"/>
        <v>3.24982843137255</v>
      </c>
      <c r="AB240" s="90">
        <v>7.15</v>
      </c>
      <c r="AC240" s="76">
        <f t="shared" si="124"/>
        <v>23.2362732843137</v>
      </c>
      <c r="AD240" s="76">
        <f t="shared" si="120"/>
        <v>188.640072303922</v>
      </c>
      <c r="AE240" s="76">
        <f t="shared" si="121"/>
        <v>54.316927696078</v>
      </c>
    </row>
    <row r="241" customFormat="1" spans="1:31">
      <c r="A241" s="18"/>
      <c r="B241" s="19"/>
      <c r="C241" s="20">
        <v>240807000006</v>
      </c>
      <c r="D241" s="21">
        <v>45516</v>
      </c>
      <c r="E241" s="21" t="s">
        <v>127</v>
      </c>
      <c r="F241" s="19" t="s">
        <v>243</v>
      </c>
      <c r="G241" s="19" t="s">
        <v>244</v>
      </c>
      <c r="H241" s="19">
        <v>16.5</v>
      </c>
      <c r="I241" s="51">
        <v>1459</v>
      </c>
      <c r="J241" s="52"/>
      <c r="K241" s="45"/>
      <c r="L241" s="19"/>
      <c r="M241" s="45"/>
      <c r="N241" s="48"/>
      <c r="O241" s="49">
        <f t="shared" ref="O241:O246" si="136">SUM(I241)</f>
        <v>1459</v>
      </c>
      <c r="P241" s="53"/>
      <c r="Q241" s="53"/>
      <c r="R241" s="76">
        <f t="shared" si="126"/>
        <v>680.443014705882</v>
      </c>
      <c r="S241" s="77">
        <f t="shared" si="127"/>
        <v>1.84765625</v>
      </c>
      <c r="T241" s="76"/>
      <c r="U241" s="76"/>
      <c r="V241" s="76"/>
      <c r="W241" s="78">
        <f t="shared" si="122"/>
        <v>682.290670955882</v>
      </c>
      <c r="X241" s="79">
        <f t="shared" si="128"/>
        <v>13.4055422794118</v>
      </c>
      <c r="Y241" s="79"/>
      <c r="Z241" s="79"/>
      <c r="AA241" s="79">
        <f t="shared" si="123"/>
        <v>13.4055422794118</v>
      </c>
      <c r="AB241" s="90">
        <v>7.15</v>
      </c>
      <c r="AC241" s="76">
        <f t="shared" si="124"/>
        <v>95.8496272977941</v>
      </c>
      <c r="AD241" s="76">
        <f t="shared" ref="AD241:AD286" si="137">SUM(W241+AC241)</f>
        <v>778.140298253677</v>
      </c>
      <c r="AE241" s="76">
        <f t="shared" si="121"/>
        <v>680.859701746323</v>
      </c>
    </row>
    <row r="242" customFormat="1" spans="1:31">
      <c r="A242" s="18"/>
      <c r="B242" s="19"/>
      <c r="C242" s="20">
        <v>240807000008</v>
      </c>
      <c r="D242" s="21">
        <v>45516</v>
      </c>
      <c r="E242" s="21" t="s">
        <v>37</v>
      </c>
      <c r="F242" s="19" t="s">
        <v>38</v>
      </c>
      <c r="G242" s="19" t="s">
        <v>54</v>
      </c>
      <c r="H242" s="19">
        <v>3</v>
      </c>
      <c r="I242" s="43"/>
      <c r="J242" s="44">
        <v>39498</v>
      </c>
      <c r="K242" s="45"/>
      <c r="L242" s="46">
        <f>SUM(J242/M242)</f>
        <v>1623.42786683107</v>
      </c>
      <c r="M242" s="47">
        <v>24.33</v>
      </c>
      <c r="N242" s="48">
        <v>7.15</v>
      </c>
      <c r="O242" s="49">
        <f t="shared" si="135"/>
        <v>173.9595</v>
      </c>
      <c r="P242" s="53"/>
      <c r="Q242" s="53"/>
      <c r="R242" s="76">
        <f t="shared" si="126"/>
        <v>123.716911764706</v>
      </c>
      <c r="S242" s="77">
        <f t="shared" si="127"/>
        <v>0.3359375</v>
      </c>
      <c r="T242" s="76"/>
      <c r="U242" s="76"/>
      <c r="V242" s="76"/>
      <c r="W242" s="78">
        <f t="shared" si="122"/>
        <v>124.052849264706</v>
      </c>
      <c r="X242" s="79">
        <f t="shared" si="128"/>
        <v>2.43737132352941</v>
      </c>
      <c r="Y242" s="79"/>
      <c r="Z242" s="79"/>
      <c r="AA242" s="79">
        <f t="shared" si="123"/>
        <v>2.43737132352941</v>
      </c>
      <c r="AB242" s="90">
        <v>7.15</v>
      </c>
      <c r="AC242" s="76">
        <f t="shared" ref="AC242:AC286" si="138">SUM(AA242*AB242)</f>
        <v>17.4272049632353</v>
      </c>
      <c r="AD242" s="76">
        <f t="shared" si="137"/>
        <v>141.480054227941</v>
      </c>
      <c r="AE242" s="76">
        <f t="shared" si="121"/>
        <v>32.479445772059</v>
      </c>
    </row>
    <row r="243" customFormat="1" spans="1:31">
      <c r="A243" s="18"/>
      <c r="B243" s="19"/>
      <c r="C243" s="20">
        <v>240807000020</v>
      </c>
      <c r="D243" s="21">
        <v>45516</v>
      </c>
      <c r="E243" s="21" t="s">
        <v>57</v>
      </c>
      <c r="F243" s="19" t="s">
        <v>57</v>
      </c>
      <c r="G243" s="19" t="s">
        <v>165</v>
      </c>
      <c r="H243" s="19">
        <v>667.5</v>
      </c>
      <c r="I243" s="51">
        <v>38512.5</v>
      </c>
      <c r="J243" s="52"/>
      <c r="K243" s="45"/>
      <c r="L243" s="19"/>
      <c r="M243" s="45"/>
      <c r="N243" s="48"/>
      <c r="O243" s="49">
        <f t="shared" si="136"/>
        <v>38512.5</v>
      </c>
      <c r="P243" s="53"/>
      <c r="Q243" s="53"/>
      <c r="R243" s="76">
        <f t="shared" si="126"/>
        <v>27527.0128676471</v>
      </c>
      <c r="S243" s="77">
        <f t="shared" si="127"/>
        <v>74.74609375</v>
      </c>
      <c r="T243" s="76"/>
      <c r="U243" s="76"/>
      <c r="V243" s="76"/>
      <c r="W243" s="78">
        <f t="shared" si="122"/>
        <v>27601.7589613971</v>
      </c>
      <c r="X243" s="79">
        <f t="shared" si="128"/>
        <v>542.315119485294</v>
      </c>
      <c r="Y243" s="79"/>
      <c r="Z243" s="79"/>
      <c r="AA243" s="79">
        <f t="shared" si="123"/>
        <v>542.315119485294</v>
      </c>
      <c r="AB243" s="90">
        <v>7.15</v>
      </c>
      <c r="AC243" s="76">
        <f t="shared" si="138"/>
        <v>3877.55310431985</v>
      </c>
      <c r="AD243" s="76">
        <f t="shared" si="137"/>
        <v>31479.3120657169</v>
      </c>
      <c r="AE243" s="76">
        <f t="shared" ref="AE243:AE286" si="139">SUM(O243-AD243)</f>
        <v>7033.1879342831</v>
      </c>
    </row>
    <row r="244" customFormat="1" spans="1:31">
      <c r="A244" s="18"/>
      <c r="B244" s="19"/>
      <c r="C244" s="20">
        <v>240807000024</v>
      </c>
      <c r="D244" s="21">
        <v>45516</v>
      </c>
      <c r="E244" s="21" t="s">
        <v>57</v>
      </c>
      <c r="F244" s="19" t="s">
        <v>57</v>
      </c>
      <c r="G244" s="19" t="s">
        <v>190</v>
      </c>
      <c r="H244" s="19">
        <v>59.5</v>
      </c>
      <c r="I244" s="49"/>
      <c r="J244" s="52"/>
      <c r="K244" s="45"/>
      <c r="L244" s="19"/>
      <c r="M244" s="45">
        <v>578.48</v>
      </c>
      <c r="N244" s="48">
        <v>7.15</v>
      </c>
      <c r="O244" s="49">
        <f t="shared" si="135"/>
        <v>4136.132</v>
      </c>
      <c r="P244" s="53"/>
      <c r="Q244" s="53"/>
      <c r="R244" s="76">
        <f t="shared" si="126"/>
        <v>2453.71875</v>
      </c>
      <c r="S244" s="77">
        <f t="shared" si="127"/>
        <v>6.66276041666667</v>
      </c>
      <c r="T244" s="76"/>
      <c r="U244" s="76"/>
      <c r="V244" s="76"/>
      <c r="W244" s="78">
        <f t="shared" ref="W244:W286" si="140">SUM(R244:V244)</f>
        <v>2460.38151041667</v>
      </c>
      <c r="X244" s="79">
        <f t="shared" si="128"/>
        <v>48.3411979166667</v>
      </c>
      <c r="Y244" s="79"/>
      <c r="Z244" s="79"/>
      <c r="AA244" s="79">
        <f t="shared" ref="AA244:AA286" si="141">SUM(X244:Z244)</f>
        <v>48.3411979166667</v>
      </c>
      <c r="AB244" s="90">
        <v>7.15</v>
      </c>
      <c r="AC244" s="76">
        <f t="shared" si="138"/>
        <v>345.639565104167</v>
      </c>
      <c r="AD244" s="76">
        <f t="shared" si="137"/>
        <v>2806.02107552083</v>
      </c>
      <c r="AE244" s="76">
        <f t="shared" si="139"/>
        <v>1330.11092447917</v>
      </c>
    </row>
    <row r="245" customFormat="1" spans="1:31">
      <c r="A245" s="18"/>
      <c r="B245" s="19"/>
      <c r="C245" s="20">
        <v>240812000041</v>
      </c>
      <c r="D245" s="21">
        <v>45516</v>
      </c>
      <c r="E245" s="21" t="s">
        <v>51</v>
      </c>
      <c r="F245" s="19" t="s">
        <v>245</v>
      </c>
      <c r="G245" s="19" t="s">
        <v>246</v>
      </c>
      <c r="H245" s="19">
        <v>75</v>
      </c>
      <c r="I245" s="51">
        <v>7596.5</v>
      </c>
      <c r="J245" s="52"/>
      <c r="K245" s="45"/>
      <c r="L245" s="19"/>
      <c r="M245" s="45"/>
      <c r="N245" s="48"/>
      <c r="O245" s="49">
        <f t="shared" si="136"/>
        <v>7596.5</v>
      </c>
      <c r="P245" s="54"/>
      <c r="Q245" s="54"/>
      <c r="R245" s="76">
        <f t="shared" si="126"/>
        <v>3092.92279411765</v>
      </c>
      <c r="S245" s="77">
        <f t="shared" si="127"/>
        <v>8.3984375</v>
      </c>
      <c r="T245" s="76"/>
      <c r="U245" s="76"/>
      <c r="V245" s="76"/>
      <c r="W245" s="78">
        <f t="shared" si="140"/>
        <v>3101.32123161765</v>
      </c>
      <c r="X245" s="79">
        <f t="shared" si="128"/>
        <v>60.9342830882353</v>
      </c>
      <c r="Y245" s="79"/>
      <c r="Z245" s="79"/>
      <c r="AA245" s="79">
        <f t="shared" si="141"/>
        <v>60.9342830882353</v>
      </c>
      <c r="AB245" s="90">
        <v>7.15</v>
      </c>
      <c r="AC245" s="76">
        <f t="shared" si="138"/>
        <v>435.680124080882</v>
      </c>
      <c r="AD245" s="76">
        <f t="shared" si="137"/>
        <v>3537.00135569853</v>
      </c>
      <c r="AE245" s="76">
        <f t="shared" si="139"/>
        <v>4059.49864430147</v>
      </c>
    </row>
    <row r="246" customFormat="1" spans="1:31">
      <c r="A246" s="18" t="s">
        <v>247</v>
      </c>
      <c r="B246" s="19" t="s">
        <v>248</v>
      </c>
      <c r="C246" s="20">
        <v>240715000010</v>
      </c>
      <c r="D246" s="21">
        <v>45517</v>
      </c>
      <c r="E246" s="21" t="s">
        <v>41</v>
      </c>
      <c r="F246" s="19" t="s">
        <v>42</v>
      </c>
      <c r="G246" s="19" t="s">
        <v>249</v>
      </c>
      <c r="H246" s="19">
        <v>9</v>
      </c>
      <c r="I246" s="51">
        <v>1040</v>
      </c>
      <c r="J246" s="52"/>
      <c r="K246" s="45"/>
      <c r="L246" s="19"/>
      <c r="M246" s="45"/>
      <c r="N246" s="48"/>
      <c r="O246" s="49">
        <f t="shared" si="136"/>
        <v>1040</v>
      </c>
      <c r="P246" s="50">
        <f>SUM(O246:O286)</f>
        <v>142323.3835</v>
      </c>
      <c r="Q246" s="50" t="s">
        <v>40</v>
      </c>
      <c r="R246" s="76">
        <f>SUM(102262/2508)*H246</f>
        <v>366.968899521531</v>
      </c>
      <c r="S246" s="76"/>
      <c r="T246" s="77">
        <f>SUM(181.75/2508)*H246</f>
        <v>0.652212918660287</v>
      </c>
      <c r="U246" s="76">
        <v>50</v>
      </c>
      <c r="V246" s="76"/>
      <c r="W246" s="78">
        <f t="shared" si="140"/>
        <v>417.621112440191</v>
      </c>
      <c r="X246" s="79">
        <f>SUM(1949.72/2508)*H246</f>
        <v>6.9966028708134</v>
      </c>
      <c r="Y246" s="79"/>
      <c r="Z246" s="79"/>
      <c r="AA246" s="79">
        <f t="shared" si="141"/>
        <v>6.9966028708134</v>
      </c>
      <c r="AB246" s="90">
        <v>7.15</v>
      </c>
      <c r="AC246" s="76">
        <f t="shared" si="138"/>
        <v>50.0257105263158</v>
      </c>
      <c r="AD246" s="76">
        <f t="shared" si="137"/>
        <v>467.646822966507</v>
      </c>
      <c r="AE246" s="76">
        <f t="shared" si="139"/>
        <v>572.353177033493</v>
      </c>
    </row>
    <row r="247" customFormat="1" spans="1:31">
      <c r="A247" s="18"/>
      <c r="B247" s="19"/>
      <c r="C247" s="20">
        <v>240806000001</v>
      </c>
      <c r="D247" s="21">
        <v>45517</v>
      </c>
      <c r="E247" s="21" t="s">
        <v>44</v>
      </c>
      <c r="F247" s="19" t="s">
        <v>45</v>
      </c>
      <c r="G247" s="19" t="s">
        <v>180</v>
      </c>
      <c r="H247" s="19">
        <v>44</v>
      </c>
      <c r="I247" s="49"/>
      <c r="J247" s="44">
        <v>721600</v>
      </c>
      <c r="K247" s="45"/>
      <c r="L247" s="46">
        <f t="shared" ref="L247:L253" si="142">SUM(J247/M247)</f>
        <v>1640</v>
      </c>
      <c r="M247" s="47">
        <v>440</v>
      </c>
      <c r="N247" s="48">
        <v>7.15</v>
      </c>
      <c r="O247" s="49">
        <f t="shared" ref="O247:O253" si="143">SUM(M247*N247)</f>
        <v>3146</v>
      </c>
      <c r="P247" s="53"/>
      <c r="Q247" s="53"/>
      <c r="R247" s="76">
        <f t="shared" ref="R247:R286" si="144">SUM(102262/2508)*H247</f>
        <v>1794.0701754386</v>
      </c>
      <c r="S247" s="76"/>
      <c r="T247" s="77">
        <f t="shared" ref="T247:T286" si="145">SUM(181.75/2508)*H247</f>
        <v>3.18859649122807</v>
      </c>
      <c r="U247" s="76"/>
      <c r="V247" s="76"/>
      <c r="W247" s="78">
        <f t="shared" si="140"/>
        <v>1797.25877192982</v>
      </c>
      <c r="X247" s="79">
        <f t="shared" ref="X247:X286" si="146">SUM(1949.72/2508)*H247</f>
        <v>34.2056140350877</v>
      </c>
      <c r="Y247" s="79"/>
      <c r="Z247" s="79"/>
      <c r="AA247" s="79">
        <f t="shared" si="141"/>
        <v>34.2056140350877</v>
      </c>
      <c r="AB247" s="90">
        <v>7.15</v>
      </c>
      <c r="AC247" s="76">
        <f t="shared" si="138"/>
        <v>244.570140350877</v>
      </c>
      <c r="AD247" s="76">
        <f t="shared" si="137"/>
        <v>2041.8289122807</v>
      </c>
      <c r="AE247" s="76">
        <f t="shared" si="139"/>
        <v>1104.1710877193</v>
      </c>
    </row>
    <row r="248" customFormat="1" spans="1:31">
      <c r="A248" s="18"/>
      <c r="B248" s="19"/>
      <c r="C248" s="20">
        <v>240806000004</v>
      </c>
      <c r="D248" s="21">
        <v>45517</v>
      </c>
      <c r="E248" s="21" t="s">
        <v>44</v>
      </c>
      <c r="F248" s="19" t="s">
        <v>45</v>
      </c>
      <c r="G248" s="19" t="s">
        <v>46</v>
      </c>
      <c r="H248" s="19">
        <v>1.5</v>
      </c>
      <c r="I248" s="43"/>
      <c r="J248" s="44">
        <v>20739</v>
      </c>
      <c r="K248" s="45"/>
      <c r="L248" s="46">
        <f t="shared" si="142"/>
        <v>1595.30769230769</v>
      </c>
      <c r="M248" s="47">
        <v>13</v>
      </c>
      <c r="N248" s="48">
        <v>7.15</v>
      </c>
      <c r="O248" s="49">
        <f t="shared" si="143"/>
        <v>92.95</v>
      </c>
      <c r="P248" s="53"/>
      <c r="Q248" s="53"/>
      <c r="R248" s="76">
        <f t="shared" si="144"/>
        <v>61.1614832535885</v>
      </c>
      <c r="S248" s="76"/>
      <c r="T248" s="77">
        <f t="shared" si="145"/>
        <v>0.108702153110048</v>
      </c>
      <c r="U248" s="76"/>
      <c r="V248" s="76"/>
      <c r="W248" s="78">
        <f t="shared" si="140"/>
        <v>61.2701854066986</v>
      </c>
      <c r="X248" s="79">
        <f t="shared" si="146"/>
        <v>1.1661004784689</v>
      </c>
      <c r="Y248" s="79"/>
      <c r="Z248" s="79"/>
      <c r="AA248" s="79">
        <f t="shared" si="141"/>
        <v>1.1661004784689</v>
      </c>
      <c r="AB248" s="90">
        <v>7.15</v>
      </c>
      <c r="AC248" s="76">
        <f t="shared" si="138"/>
        <v>8.33761842105263</v>
      </c>
      <c r="AD248" s="76">
        <f t="shared" si="137"/>
        <v>69.6078038277512</v>
      </c>
      <c r="AE248" s="76">
        <f t="shared" si="139"/>
        <v>23.3421961722488</v>
      </c>
    </row>
    <row r="249" customFormat="1" spans="1:31">
      <c r="A249" s="18"/>
      <c r="B249" s="19"/>
      <c r="C249" s="20">
        <v>240806000005</v>
      </c>
      <c r="D249" s="21">
        <v>45517</v>
      </c>
      <c r="E249" s="21" t="s">
        <v>44</v>
      </c>
      <c r="F249" s="19" t="s">
        <v>45</v>
      </c>
      <c r="G249" s="19" t="s">
        <v>110</v>
      </c>
      <c r="H249" s="19">
        <v>58</v>
      </c>
      <c r="I249" s="43"/>
      <c r="J249" s="44">
        <v>730626</v>
      </c>
      <c r="K249" s="45"/>
      <c r="L249" s="46">
        <f t="shared" si="142"/>
        <v>1580.17604948418</v>
      </c>
      <c r="M249" s="47">
        <v>462.37</v>
      </c>
      <c r="N249" s="48">
        <v>7.15</v>
      </c>
      <c r="O249" s="49">
        <f t="shared" si="143"/>
        <v>3305.9455</v>
      </c>
      <c r="P249" s="53"/>
      <c r="Q249" s="53"/>
      <c r="R249" s="76">
        <f t="shared" si="144"/>
        <v>2364.91068580542</v>
      </c>
      <c r="S249" s="76"/>
      <c r="T249" s="77">
        <f t="shared" si="145"/>
        <v>4.20314992025518</v>
      </c>
      <c r="U249" s="76"/>
      <c r="V249" s="76"/>
      <c r="W249" s="78">
        <f t="shared" si="140"/>
        <v>2369.11383572568</v>
      </c>
      <c r="X249" s="79">
        <f t="shared" si="146"/>
        <v>45.0892185007974</v>
      </c>
      <c r="Y249" s="79"/>
      <c r="Z249" s="79"/>
      <c r="AA249" s="79">
        <f t="shared" si="141"/>
        <v>45.0892185007974</v>
      </c>
      <c r="AB249" s="90">
        <v>7.15</v>
      </c>
      <c r="AC249" s="76">
        <f t="shared" si="138"/>
        <v>322.387912280702</v>
      </c>
      <c r="AD249" s="76">
        <f t="shared" si="137"/>
        <v>2691.50174800638</v>
      </c>
      <c r="AE249" s="76">
        <f t="shared" si="139"/>
        <v>614.44375199362</v>
      </c>
    </row>
    <row r="250" customFormat="1" spans="1:31">
      <c r="A250" s="18"/>
      <c r="B250" s="19"/>
      <c r="C250" s="20">
        <v>240806000024</v>
      </c>
      <c r="D250" s="21">
        <v>45517</v>
      </c>
      <c r="E250" s="21" t="s">
        <v>41</v>
      </c>
      <c r="F250" s="19" t="s">
        <v>42</v>
      </c>
      <c r="G250" s="19" t="s">
        <v>235</v>
      </c>
      <c r="H250" s="19">
        <v>8</v>
      </c>
      <c r="I250" s="43"/>
      <c r="J250" s="44">
        <v>106080</v>
      </c>
      <c r="K250" s="45"/>
      <c r="L250" s="46">
        <f t="shared" si="142"/>
        <v>1580.21748845524</v>
      </c>
      <c r="M250" s="47">
        <v>67.13</v>
      </c>
      <c r="N250" s="48">
        <v>7.15</v>
      </c>
      <c r="O250" s="49">
        <f t="shared" si="143"/>
        <v>479.9795</v>
      </c>
      <c r="P250" s="53"/>
      <c r="Q250" s="53"/>
      <c r="R250" s="76">
        <f t="shared" si="144"/>
        <v>326.194577352472</v>
      </c>
      <c r="S250" s="76"/>
      <c r="T250" s="77">
        <f t="shared" si="145"/>
        <v>0.579744816586922</v>
      </c>
      <c r="U250" s="76"/>
      <c r="V250" s="76"/>
      <c r="W250" s="78">
        <f t="shared" si="140"/>
        <v>326.774322169059</v>
      </c>
      <c r="X250" s="79">
        <f t="shared" si="146"/>
        <v>6.21920255183413</v>
      </c>
      <c r="Y250" s="79"/>
      <c r="Z250" s="79"/>
      <c r="AA250" s="79">
        <f t="shared" si="141"/>
        <v>6.21920255183413</v>
      </c>
      <c r="AB250" s="90">
        <v>7.15</v>
      </c>
      <c r="AC250" s="76">
        <f t="shared" si="138"/>
        <v>44.467298245614</v>
      </c>
      <c r="AD250" s="76">
        <f t="shared" si="137"/>
        <v>371.241620414673</v>
      </c>
      <c r="AE250" s="76">
        <f t="shared" si="139"/>
        <v>108.737879585327</v>
      </c>
    </row>
    <row r="251" customFormat="1" spans="1:31">
      <c r="A251" s="18"/>
      <c r="B251" s="19"/>
      <c r="C251" s="20">
        <v>240806000032</v>
      </c>
      <c r="D251" s="21">
        <v>45517</v>
      </c>
      <c r="E251" s="21" t="s">
        <v>37</v>
      </c>
      <c r="F251" s="19" t="s">
        <v>38</v>
      </c>
      <c r="G251" s="19" t="s">
        <v>54</v>
      </c>
      <c r="H251" s="19">
        <v>56.5</v>
      </c>
      <c r="I251" s="43"/>
      <c r="J251" s="44">
        <v>718228</v>
      </c>
      <c r="K251" s="45"/>
      <c r="L251" s="46">
        <f t="shared" si="142"/>
        <v>1623.07744457752</v>
      </c>
      <c r="M251" s="47">
        <v>442.51</v>
      </c>
      <c r="N251" s="48">
        <v>7.15</v>
      </c>
      <c r="O251" s="49">
        <f t="shared" si="143"/>
        <v>3163.9465</v>
      </c>
      <c r="P251" s="53"/>
      <c r="Q251" s="53"/>
      <c r="R251" s="76">
        <f t="shared" si="144"/>
        <v>2303.74920255183</v>
      </c>
      <c r="S251" s="76"/>
      <c r="T251" s="77">
        <f t="shared" si="145"/>
        <v>4.09444776714514</v>
      </c>
      <c r="U251" s="76"/>
      <c r="V251" s="76"/>
      <c r="W251" s="78">
        <f t="shared" si="140"/>
        <v>2307.84365031898</v>
      </c>
      <c r="X251" s="79">
        <f t="shared" si="146"/>
        <v>43.9231180223285</v>
      </c>
      <c r="Y251" s="79"/>
      <c r="Z251" s="79"/>
      <c r="AA251" s="79">
        <f t="shared" si="141"/>
        <v>43.9231180223285</v>
      </c>
      <c r="AB251" s="90">
        <v>7.15</v>
      </c>
      <c r="AC251" s="76">
        <f t="shared" si="138"/>
        <v>314.050293859649</v>
      </c>
      <c r="AD251" s="76">
        <f t="shared" si="137"/>
        <v>2621.89394417863</v>
      </c>
      <c r="AE251" s="76">
        <f t="shared" si="139"/>
        <v>542.05255582137</v>
      </c>
    </row>
    <row r="252" customFormat="1" spans="1:31">
      <c r="A252" s="18"/>
      <c r="B252" s="19"/>
      <c r="C252" s="20">
        <v>240806000033</v>
      </c>
      <c r="D252" s="21">
        <v>45517</v>
      </c>
      <c r="E252" s="21" t="s">
        <v>41</v>
      </c>
      <c r="F252" s="19" t="s">
        <v>42</v>
      </c>
      <c r="G252" s="19" t="s">
        <v>250</v>
      </c>
      <c r="H252" s="19">
        <v>95</v>
      </c>
      <c r="I252" s="43"/>
      <c r="J252" s="44">
        <v>1165175</v>
      </c>
      <c r="K252" s="45"/>
      <c r="L252" s="46">
        <f t="shared" si="142"/>
        <v>1594.47014067546</v>
      </c>
      <c r="M252" s="47">
        <v>730.76</v>
      </c>
      <c r="N252" s="48">
        <v>7.15</v>
      </c>
      <c r="O252" s="49">
        <f t="shared" si="143"/>
        <v>5224.934</v>
      </c>
      <c r="P252" s="53"/>
      <c r="Q252" s="53"/>
      <c r="R252" s="76">
        <f t="shared" si="144"/>
        <v>3873.56060606061</v>
      </c>
      <c r="S252" s="76"/>
      <c r="T252" s="77">
        <f t="shared" si="145"/>
        <v>6.8844696969697</v>
      </c>
      <c r="U252" s="76"/>
      <c r="V252" s="76"/>
      <c r="W252" s="78">
        <f t="shared" si="140"/>
        <v>3880.44507575758</v>
      </c>
      <c r="X252" s="79">
        <f t="shared" si="146"/>
        <v>73.8530303030303</v>
      </c>
      <c r="Y252" s="79"/>
      <c r="Z252" s="79"/>
      <c r="AA252" s="79">
        <f t="shared" si="141"/>
        <v>73.8530303030303</v>
      </c>
      <c r="AB252" s="90">
        <v>7.15</v>
      </c>
      <c r="AC252" s="76">
        <f t="shared" si="138"/>
        <v>528.049166666667</v>
      </c>
      <c r="AD252" s="76">
        <f t="shared" si="137"/>
        <v>4408.49424242424</v>
      </c>
      <c r="AE252" s="76">
        <f t="shared" si="139"/>
        <v>816.43975757576</v>
      </c>
    </row>
    <row r="253" customFormat="1" spans="1:31">
      <c r="A253" s="18"/>
      <c r="B253" s="19"/>
      <c r="C253" s="20">
        <v>240807000002</v>
      </c>
      <c r="D253" s="21">
        <v>45517</v>
      </c>
      <c r="E253" s="21" t="s">
        <v>51</v>
      </c>
      <c r="F253" s="19" t="s">
        <v>52</v>
      </c>
      <c r="G253" s="19" t="s">
        <v>171</v>
      </c>
      <c r="H253" s="19">
        <v>64.5</v>
      </c>
      <c r="I253" s="49"/>
      <c r="J253" s="44">
        <v>749266.8</v>
      </c>
      <c r="K253" s="45"/>
      <c r="L253" s="46">
        <f t="shared" si="142"/>
        <v>1640</v>
      </c>
      <c r="M253" s="47">
        <v>456.87</v>
      </c>
      <c r="N253" s="48">
        <v>7.15</v>
      </c>
      <c r="O253" s="49">
        <f t="shared" si="143"/>
        <v>3266.6205</v>
      </c>
      <c r="P253" s="53"/>
      <c r="Q253" s="53"/>
      <c r="R253" s="76">
        <f t="shared" si="144"/>
        <v>2629.94377990431</v>
      </c>
      <c r="S253" s="76"/>
      <c r="T253" s="77">
        <f t="shared" si="145"/>
        <v>4.67419258373206</v>
      </c>
      <c r="U253" s="76"/>
      <c r="V253" s="76"/>
      <c r="W253" s="78">
        <f t="shared" si="140"/>
        <v>2634.61797248804</v>
      </c>
      <c r="X253" s="79">
        <f t="shared" si="146"/>
        <v>50.1423205741627</v>
      </c>
      <c r="Y253" s="79"/>
      <c r="Z253" s="79"/>
      <c r="AA253" s="79">
        <f t="shared" si="141"/>
        <v>50.1423205741627</v>
      </c>
      <c r="AB253" s="90">
        <v>7.15</v>
      </c>
      <c r="AC253" s="76">
        <f t="shared" si="138"/>
        <v>358.517592105263</v>
      </c>
      <c r="AD253" s="76">
        <f t="shared" si="137"/>
        <v>2993.1355645933</v>
      </c>
      <c r="AE253" s="76">
        <f t="shared" si="139"/>
        <v>273.4849354067</v>
      </c>
    </row>
    <row r="254" customFormat="1" spans="1:31">
      <c r="A254" s="18"/>
      <c r="B254" s="19"/>
      <c r="C254" s="20">
        <v>240807000007</v>
      </c>
      <c r="D254" s="21">
        <v>45517</v>
      </c>
      <c r="E254" s="21" t="s">
        <v>51</v>
      </c>
      <c r="F254" s="19" t="s">
        <v>52</v>
      </c>
      <c r="G254" s="19" t="s">
        <v>122</v>
      </c>
      <c r="H254" s="19">
        <v>11.5</v>
      </c>
      <c r="I254" s="51">
        <v>661.5</v>
      </c>
      <c r="J254" s="52"/>
      <c r="K254" s="45"/>
      <c r="L254" s="19"/>
      <c r="M254" s="45"/>
      <c r="N254" s="48"/>
      <c r="O254" s="49">
        <f t="shared" ref="O254:O256" si="147">SUM(I254)</f>
        <v>661.5</v>
      </c>
      <c r="P254" s="53"/>
      <c r="Q254" s="53"/>
      <c r="R254" s="76">
        <f t="shared" si="144"/>
        <v>468.904704944179</v>
      </c>
      <c r="S254" s="76"/>
      <c r="T254" s="77">
        <f t="shared" si="145"/>
        <v>0.8333831738437</v>
      </c>
      <c r="U254" s="76"/>
      <c r="V254" s="76"/>
      <c r="W254" s="78">
        <f t="shared" si="140"/>
        <v>469.738088118022</v>
      </c>
      <c r="X254" s="79">
        <f t="shared" si="146"/>
        <v>8.94010366826156</v>
      </c>
      <c r="Y254" s="79"/>
      <c r="Z254" s="79"/>
      <c r="AA254" s="79">
        <f t="shared" si="141"/>
        <v>8.94010366826156</v>
      </c>
      <c r="AB254" s="90">
        <v>7.15</v>
      </c>
      <c r="AC254" s="76">
        <f t="shared" si="138"/>
        <v>63.9217412280702</v>
      </c>
      <c r="AD254" s="76">
        <f t="shared" si="137"/>
        <v>533.659829346092</v>
      </c>
      <c r="AE254" s="76">
        <f t="shared" si="139"/>
        <v>127.840170653908</v>
      </c>
    </row>
    <row r="255" customFormat="1" spans="1:31">
      <c r="A255" s="18"/>
      <c r="B255" s="19"/>
      <c r="C255" s="20">
        <v>240807000009</v>
      </c>
      <c r="D255" s="21">
        <v>45517</v>
      </c>
      <c r="E255" s="21" t="s">
        <v>41</v>
      </c>
      <c r="F255" s="19" t="s">
        <v>42</v>
      </c>
      <c r="G255" s="19" t="s">
        <v>43</v>
      </c>
      <c r="H255" s="19">
        <v>0.1</v>
      </c>
      <c r="I255" s="51">
        <v>53</v>
      </c>
      <c r="J255" s="52"/>
      <c r="K255" s="45"/>
      <c r="L255" s="19"/>
      <c r="M255" s="45"/>
      <c r="N255" s="48"/>
      <c r="O255" s="49">
        <f t="shared" si="147"/>
        <v>53</v>
      </c>
      <c r="P255" s="53"/>
      <c r="Q255" s="53"/>
      <c r="R255" s="76">
        <f t="shared" si="144"/>
        <v>4.0774322169059</v>
      </c>
      <c r="S255" s="76"/>
      <c r="T255" s="77">
        <f t="shared" si="145"/>
        <v>0.00724681020733652</v>
      </c>
      <c r="U255" s="76"/>
      <c r="V255" s="76"/>
      <c r="W255" s="78">
        <f t="shared" si="140"/>
        <v>4.08467902711324</v>
      </c>
      <c r="X255" s="79">
        <f t="shared" si="146"/>
        <v>0.0777400318979266</v>
      </c>
      <c r="Y255" s="79"/>
      <c r="Z255" s="79"/>
      <c r="AA255" s="79">
        <f t="shared" si="141"/>
        <v>0.0777400318979266</v>
      </c>
      <c r="AB255" s="90">
        <v>7.15</v>
      </c>
      <c r="AC255" s="76">
        <f t="shared" si="138"/>
        <v>0.555841228070175</v>
      </c>
      <c r="AD255" s="76">
        <f t="shared" si="137"/>
        <v>4.64052025518341</v>
      </c>
      <c r="AE255" s="76">
        <f t="shared" si="139"/>
        <v>48.3594797448166</v>
      </c>
    </row>
    <row r="256" customFormat="1" spans="1:31">
      <c r="A256" s="18"/>
      <c r="B256" s="19"/>
      <c r="C256" s="20">
        <v>240807000011</v>
      </c>
      <c r="D256" s="21">
        <v>45517</v>
      </c>
      <c r="E256" s="21" t="s">
        <v>37</v>
      </c>
      <c r="F256" s="19" t="s">
        <v>38</v>
      </c>
      <c r="G256" s="19" t="s">
        <v>48</v>
      </c>
      <c r="H256" s="19">
        <v>1</v>
      </c>
      <c r="I256" s="51">
        <v>69</v>
      </c>
      <c r="J256" s="52"/>
      <c r="K256" s="45"/>
      <c r="L256" s="19"/>
      <c r="M256" s="45"/>
      <c r="N256" s="48"/>
      <c r="O256" s="49">
        <f t="shared" si="147"/>
        <v>69</v>
      </c>
      <c r="P256" s="53"/>
      <c r="Q256" s="53"/>
      <c r="R256" s="76">
        <f t="shared" si="144"/>
        <v>40.774322169059</v>
      </c>
      <c r="S256" s="76"/>
      <c r="T256" s="77">
        <f t="shared" si="145"/>
        <v>0.0724681020733652</v>
      </c>
      <c r="U256" s="76"/>
      <c r="V256" s="76"/>
      <c r="W256" s="78">
        <f t="shared" si="140"/>
        <v>40.8467902711324</v>
      </c>
      <c r="X256" s="79">
        <f t="shared" si="146"/>
        <v>0.777400318979266</v>
      </c>
      <c r="Y256" s="79"/>
      <c r="Z256" s="79"/>
      <c r="AA256" s="79">
        <f t="shared" si="141"/>
        <v>0.777400318979266</v>
      </c>
      <c r="AB256" s="90">
        <v>7.15</v>
      </c>
      <c r="AC256" s="76">
        <f t="shared" si="138"/>
        <v>5.55841228070175</v>
      </c>
      <c r="AD256" s="76">
        <f t="shared" si="137"/>
        <v>46.4052025518341</v>
      </c>
      <c r="AE256" s="76">
        <f t="shared" si="139"/>
        <v>22.5947974481659</v>
      </c>
    </row>
    <row r="257" customFormat="1" spans="1:31">
      <c r="A257" s="18"/>
      <c r="B257" s="19"/>
      <c r="C257" s="20">
        <v>240807000014</v>
      </c>
      <c r="D257" s="21">
        <v>45517</v>
      </c>
      <c r="E257" s="21" t="s">
        <v>51</v>
      </c>
      <c r="F257" s="19" t="s">
        <v>52</v>
      </c>
      <c r="G257" s="19" t="s">
        <v>251</v>
      </c>
      <c r="H257" s="19">
        <v>0.79</v>
      </c>
      <c r="I257" s="49"/>
      <c r="J257" s="44">
        <v>14221</v>
      </c>
      <c r="K257" s="45"/>
      <c r="L257" s="46">
        <f t="shared" ref="L257:L262" si="148">SUM(J257/M257)</f>
        <v>1616.02272727273</v>
      </c>
      <c r="M257" s="47">
        <v>8.8</v>
      </c>
      <c r="N257" s="48">
        <v>7.15</v>
      </c>
      <c r="O257" s="49">
        <f t="shared" ref="O257:O262" si="149">SUM(M257*N257)</f>
        <v>62.92</v>
      </c>
      <c r="P257" s="53"/>
      <c r="Q257" s="53"/>
      <c r="R257" s="76">
        <f t="shared" si="144"/>
        <v>32.2117145135566</v>
      </c>
      <c r="S257" s="76"/>
      <c r="T257" s="77">
        <f t="shared" si="145"/>
        <v>0.0572498006379585</v>
      </c>
      <c r="U257" s="76"/>
      <c r="V257" s="76"/>
      <c r="W257" s="78">
        <f t="shared" si="140"/>
        <v>32.2689643141946</v>
      </c>
      <c r="X257" s="79">
        <f t="shared" si="146"/>
        <v>0.61414625199362</v>
      </c>
      <c r="Y257" s="79"/>
      <c r="Z257" s="79"/>
      <c r="AA257" s="79">
        <f t="shared" si="141"/>
        <v>0.61414625199362</v>
      </c>
      <c r="AB257" s="90">
        <v>7.15</v>
      </c>
      <c r="AC257" s="76">
        <f t="shared" si="138"/>
        <v>4.39114570175439</v>
      </c>
      <c r="AD257" s="76">
        <f t="shared" si="137"/>
        <v>36.660110015949</v>
      </c>
      <c r="AE257" s="76">
        <f t="shared" si="139"/>
        <v>26.259889984051</v>
      </c>
    </row>
    <row r="258" customFormat="1" spans="1:31">
      <c r="A258" s="18"/>
      <c r="B258" s="19"/>
      <c r="C258" s="20">
        <v>240807000015</v>
      </c>
      <c r="D258" s="21">
        <v>45517</v>
      </c>
      <c r="E258" s="21" t="s">
        <v>44</v>
      </c>
      <c r="F258" s="19" t="s">
        <v>45</v>
      </c>
      <c r="G258" s="19" t="s">
        <v>236</v>
      </c>
      <c r="H258" s="19">
        <v>3</v>
      </c>
      <c r="I258" s="49"/>
      <c r="J258" s="44">
        <v>41046.4</v>
      </c>
      <c r="K258" s="45"/>
      <c r="L258" s="46">
        <f t="shared" si="148"/>
        <v>1616</v>
      </c>
      <c r="M258" s="47">
        <v>25.4</v>
      </c>
      <c r="N258" s="48">
        <v>7.15</v>
      </c>
      <c r="O258" s="49">
        <f t="shared" si="149"/>
        <v>181.61</v>
      </c>
      <c r="P258" s="53"/>
      <c r="Q258" s="53"/>
      <c r="R258" s="76">
        <f t="shared" si="144"/>
        <v>122.322966507177</v>
      </c>
      <c r="S258" s="76"/>
      <c r="T258" s="77">
        <f t="shared" si="145"/>
        <v>0.217404306220096</v>
      </c>
      <c r="U258" s="76"/>
      <c r="V258" s="76"/>
      <c r="W258" s="78">
        <f t="shared" si="140"/>
        <v>122.540370813397</v>
      </c>
      <c r="X258" s="79">
        <f t="shared" si="146"/>
        <v>2.3322009569378</v>
      </c>
      <c r="Y258" s="79"/>
      <c r="Z258" s="79"/>
      <c r="AA258" s="79">
        <f t="shared" si="141"/>
        <v>2.3322009569378</v>
      </c>
      <c r="AB258" s="90">
        <v>7.15</v>
      </c>
      <c r="AC258" s="76">
        <f t="shared" si="138"/>
        <v>16.6752368421053</v>
      </c>
      <c r="AD258" s="76">
        <f t="shared" si="137"/>
        <v>139.215607655502</v>
      </c>
      <c r="AE258" s="76">
        <f t="shared" si="139"/>
        <v>42.394392344498</v>
      </c>
    </row>
    <row r="259" customFormat="1" spans="1:31">
      <c r="A259" s="18"/>
      <c r="B259" s="19"/>
      <c r="C259" s="20">
        <v>240807000018</v>
      </c>
      <c r="D259" s="21">
        <v>45517</v>
      </c>
      <c r="E259" s="21" t="s">
        <v>37</v>
      </c>
      <c r="F259" s="19" t="s">
        <v>38</v>
      </c>
      <c r="G259" s="19" t="s">
        <v>252</v>
      </c>
      <c r="H259" s="19">
        <v>256</v>
      </c>
      <c r="I259" s="51">
        <v>13312</v>
      </c>
      <c r="J259" s="52"/>
      <c r="K259" s="45"/>
      <c r="L259" s="19"/>
      <c r="M259" s="45"/>
      <c r="N259" s="48"/>
      <c r="O259" s="49">
        <f t="shared" ref="O259:O263" si="150">SUM(I259)</f>
        <v>13312</v>
      </c>
      <c r="P259" s="53"/>
      <c r="Q259" s="53"/>
      <c r="R259" s="76">
        <f t="shared" si="144"/>
        <v>10438.2264752791</v>
      </c>
      <c r="S259" s="76"/>
      <c r="T259" s="77">
        <f t="shared" si="145"/>
        <v>18.5518341307815</v>
      </c>
      <c r="U259" s="76"/>
      <c r="V259" s="76"/>
      <c r="W259" s="78">
        <f t="shared" si="140"/>
        <v>10456.7783094099</v>
      </c>
      <c r="X259" s="79">
        <f t="shared" si="146"/>
        <v>199.014481658692</v>
      </c>
      <c r="Y259" s="79"/>
      <c r="Z259" s="79"/>
      <c r="AA259" s="79">
        <f t="shared" si="141"/>
        <v>199.014481658692</v>
      </c>
      <c r="AB259" s="90">
        <v>7.15</v>
      </c>
      <c r="AC259" s="76">
        <f t="shared" si="138"/>
        <v>1422.95354385965</v>
      </c>
      <c r="AD259" s="76">
        <f t="shared" si="137"/>
        <v>11879.7318532695</v>
      </c>
      <c r="AE259" s="76">
        <f t="shared" si="139"/>
        <v>1432.2681467305</v>
      </c>
    </row>
    <row r="260" customFormat="1" spans="1:31">
      <c r="A260" s="18"/>
      <c r="B260" s="19"/>
      <c r="C260" s="20">
        <v>240807000021</v>
      </c>
      <c r="D260" s="21">
        <v>45517</v>
      </c>
      <c r="E260" s="21" t="s">
        <v>41</v>
      </c>
      <c r="F260" s="19" t="s">
        <v>42</v>
      </c>
      <c r="G260" s="19" t="s">
        <v>253</v>
      </c>
      <c r="H260" s="19">
        <v>9.5</v>
      </c>
      <c r="I260" s="51">
        <v>547.5</v>
      </c>
      <c r="J260" s="52"/>
      <c r="K260" s="45"/>
      <c r="L260" s="19"/>
      <c r="M260" s="45"/>
      <c r="N260" s="48"/>
      <c r="O260" s="49">
        <f t="shared" si="150"/>
        <v>547.5</v>
      </c>
      <c r="P260" s="53"/>
      <c r="Q260" s="53"/>
      <c r="R260" s="76">
        <f t="shared" si="144"/>
        <v>387.356060606061</v>
      </c>
      <c r="S260" s="76"/>
      <c r="T260" s="77">
        <f t="shared" si="145"/>
        <v>0.68844696969697</v>
      </c>
      <c r="U260" s="76"/>
      <c r="V260" s="76"/>
      <c r="W260" s="78">
        <f t="shared" si="140"/>
        <v>388.044507575758</v>
      </c>
      <c r="X260" s="79">
        <f t="shared" si="146"/>
        <v>7.38530303030303</v>
      </c>
      <c r="Y260" s="79"/>
      <c r="Z260" s="79"/>
      <c r="AA260" s="79">
        <f t="shared" si="141"/>
        <v>7.38530303030303</v>
      </c>
      <c r="AB260" s="90">
        <v>7.15</v>
      </c>
      <c r="AC260" s="76">
        <f t="shared" si="138"/>
        <v>52.8049166666667</v>
      </c>
      <c r="AD260" s="76">
        <f t="shared" si="137"/>
        <v>440.849424242424</v>
      </c>
      <c r="AE260" s="76">
        <f t="shared" si="139"/>
        <v>106.650575757576</v>
      </c>
    </row>
    <row r="261" customFormat="1" spans="1:31">
      <c r="A261" s="18"/>
      <c r="B261" s="19"/>
      <c r="C261" s="20">
        <v>240807000022</v>
      </c>
      <c r="D261" s="21">
        <v>45517</v>
      </c>
      <c r="E261" s="21" t="s">
        <v>37</v>
      </c>
      <c r="F261" s="19" t="s">
        <v>38</v>
      </c>
      <c r="G261" s="19" t="s">
        <v>50</v>
      </c>
      <c r="H261" s="19">
        <v>16.5</v>
      </c>
      <c r="I261" s="43"/>
      <c r="J261" s="44">
        <v>202672</v>
      </c>
      <c r="K261" s="45"/>
      <c r="L261" s="46">
        <f t="shared" si="148"/>
        <v>1708.87015177066</v>
      </c>
      <c r="M261" s="47">
        <v>118.6</v>
      </c>
      <c r="N261" s="48">
        <v>7.15</v>
      </c>
      <c r="O261" s="49">
        <f t="shared" si="149"/>
        <v>847.99</v>
      </c>
      <c r="P261" s="53"/>
      <c r="Q261" s="53"/>
      <c r="R261" s="76">
        <f t="shared" si="144"/>
        <v>672.776315789474</v>
      </c>
      <c r="S261" s="76"/>
      <c r="T261" s="77">
        <f t="shared" si="145"/>
        <v>1.19572368421053</v>
      </c>
      <c r="U261" s="76"/>
      <c r="V261" s="76"/>
      <c r="W261" s="78">
        <f t="shared" si="140"/>
        <v>673.972039473684</v>
      </c>
      <c r="X261" s="79">
        <f t="shared" si="146"/>
        <v>12.8271052631579</v>
      </c>
      <c r="Y261" s="79"/>
      <c r="Z261" s="79"/>
      <c r="AA261" s="79">
        <f t="shared" si="141"/>
        <v>12.8271052631579</v>
      </c>
      <c r="AB261" s="90">
        <v>7.15</v>
      </c>
      <c r="AC261" s="76">
        <f t="shared" si="138"/>
        <v>91.713802631579</v>
      </c>
      <c r="AD261" s="76">
        <f t="shared" si="137"/>
        <v>765.685842105263</v>
      </c>
      <c r="AE261" s="76">
        <f t="shared" si="139"/>
        <v>82.304157894737</v>
      </c>
    </row>
    <row r="262" customFormat="1" spans="1:31">
      <c r="A262" s="18"/>
      <c r="B262" s="19"/>
      <c r="C262" s="20">
        <v>240807000027</v>
      </c>
      <c r="D262" s="21">
        <v>45517</v>
      </c>
      <c r="E262" s="21" t="s">
        <v>41</v>
      </c>
      <c r="F262" s="19" t="s">
        <v>121</v>
      </c>
      <c r="G262" s="19" t="s">
        <v>121</v>
      </c>
      <c r="H262" s="19">
        <v>40.5</v>
      </c>
      <c r="I262" s="49"/>
      <c r="J262" s="44">
        <v>499327.84</v>
      </c>
      <c r="K262" s="45"/>
      <c r="L262" s="46">
        <f t="shared" si="148"/>
        <v>1616</v>
      </c>
      <c r="M262" s="47">
        <v>308.99</v>
      </c>
      <c r="N262" s="48">
        <v>7.15</v>
      </c>
      <c r="O262" s="49">
        <f t="shared" si="149"/>
        <v>2209.2785</v>
      </c>
      <c r="P262" s="53"/>
      <c r="Q262" s="53"/>
      <c r="R262" s="76">
        <f t="shared" si="144"/>
        <v>1651.36004784689</v>
      </c>
      <c r="S262" s="76"/>
      <c r="T262" s="77">
        <f t="shared" si="145"/>
        <v>2.93495813397129</v>
      </c>
      <c r="U262" s="76"/>
      <c r="V262" s="76"/>
      <c r="W262" s="78">
        <f t="shared" si="140"/>
        <v>1654.29500598086</v>
      </c>
      <c r="X262" s="79">
        <f t="shared" si="146"/>
        <v>31.4847129186603</v>
      </c>
      <c r="Y262" s="79"/>
      <c r="Z262" s="79"/>
      <c r="AA262" s="79">
        <f t="shared" si="141"/>
        <v>31.4847129186603</v>
      </c>
      <c r="AB262" s="90">
        <v>7.15</v>
      </c>
      <c r="AC262" s="76">
        <f t="shared" si="138"/>
        <v>225.115697368421</v>
      </c>
      <c r="AD262" s="76">
        <f t="shared" si="137"/>
        <v>1879.41070334928</v>
      </c>
      <c r="AE262" s="76">
        <f t="shared" si="139"/>
        <v>329.86779665072</v>
      </c>
    </row>
    <row r="263" customFormat="1" spans="1:31">
      <c r="A263" s="18"/>
      <c r="B263" s="19"/>
      <c r="C263" s="20">
        <v>240807000033</v>
      </c>
      <c r="D263" s="21">
        <v>45517</v>
      </c>
      <c r="E263" s="21" t="s">
        <v>37</v>
      </c>
      <c r="F263" s="19" t="s">
        <v>38</v>
      </c>
      <c r="G263" s="19" t="s">
        <v>254</v>
      </c>
      <c r="H263" s="19">
        <v>94</v>
      </c>
      <c r="I263" s="51">
        <v>5094</v>
      </c>
      <c r="J263" s="52"/>
      <c r="K263" s="45"/>
      <c r="L263" s="19"/>
      <c r="M263" s="45"/>
      <c r="N263" s="48"/>
      <c r="O263" s="49">
        <f t="shared" si="150"/>
        <v>5094</v>
      </c>
      <c r="P263" s="53"/>
      <c r="Q263" s="53"/>
      <c r="R263" s="76">
        <f t="shared" si="144"/>
        <v>3832.78628389155</v>
      </c>
      <c r="S263" s="76"/>
      <c r="T263" s="77">
        <f t="shared" si="145"/>
        <v>6.81200159489633</v>
      </c>
      <c r="U263" s="76"/>
      <c r="V263" s="76"/>
      <c r="W263" s="78">
        <f t="shared" si="140"/>
        <v>3839.59828548644</v>
      </c>
      <c r="X263" s="79">
        <f t="shared" si="146"/>
        <v>73.075629984051</v>
      </c>
      <c r="Y263" s="79"/>
      <c r="Z263" s="79"/>
      <c r="AA263" s="79">
        <f t="shared" si="141"/>
        <v>73.075629984051</v>
      </c>
      <c r="AB263" s="90">
        <v>7.15</v>
      </c>
      <c r="AC263" s="76">
        <f t="shared" si="138"/>
        <v>522.490754385965</v>
      </c>
      <c r="AD263" s="76">
        <f t="shared" si="137"/>
        <v>4362.08903987241</v>
      </c>
      <c r="AE263" s="76">
        <f t="shared" si="139"/>
        <v>731.91096012759</v>
      </c>
    </row>
    <row r="264" customFormat="1" spans="1:31">
      <c r="A264" s="18"/>
      <c r="B264" s="19"/>
      <c r="C264" s="20">
        <v>240807000034</v>
      </c>
      <c r="D264" s="21">
        <v>45517</v>
      </c>
      <c r="E264" s="21" t="s">
        <v>37</v>
      </c>
      <c r="F264" s="19" t="s">
        <v>38</v>
      </c>
      <c r="G264" s="19" t="s">
        <v>50</v>
      </c>
      <c r="H264" s="19">
        <v>1.5</v>
      </c>
      <c r="I264" s="43"/>
      <c r="J264" s="44">
        <v>19000.5</v>
      </c>
      <c r="K264" s="45"/>
      <c r="L264" s="46">
        <f t="shared" ref="L264:L269" si="151">SUM(J264/M264)</f>
        <v>1710.21602160216</v>
      </c>
      <c r="M264" s="47">
        <v>11.11</v>
      </c>
      <c r="N264" s="48">
        <v>7.15</v>
      </c>
      <c r="O264" s="49">
        <f t="shared" ref="O264:O269" si="152">SUM(M264*N264)</f>
        <v>79.4365</v>
      </c>
      <c r="P264" s="53"/>
      <c r="Q264" s="53"/>
      <c r="R264" s="76">
        <f t="shared" si="144"/>
        <v>61.1614832535885</v>
      </c>
      <c r="S264" s="76"/>
      <c r="T264" s="77">
        <f t="shared" si="145"/>
        <v>0.108702153110048</v>
      </c>
      <c r="U264" s="76"/>
      <c r="V264" s="76"/>
      <c r="W264" s="78">
        <f t="shared" si="140"/>
        <v>61.2701854066986</v>
      </c>
      <c r="X264" s="79">
        <f t="shared" si="146"/>
        <v>1.1661004784689</v>
      </c>
      <c r="Y264" s="79"/>
      <c r="Z264" s="79"/>
      <c r="AA264" s="79">
        <f t="shared" si="141"/>
        <v>1.1661004784689</v>
      </c>
      <c r="AB264" s="90">
        <v>7.15</v>
      </c>
      <c r="AC264" s="76">
        <f t="shared" si="138"/>
        <v>8.33761842105263</v>
      </c>
      <c r="AD264" s="76">
        <f t="shared" si="137"/>
        <v>69.6078038277512</v>
      </c>
      <c r="AE264" s="76">
        <f t="shared" si="139"/>
        <v>9.8286961722488</v>
      </c>
    </row>
    <row r="265" customFormat="1" spans="1:31">
      <c r="A265" s="18"/>
      <c r="B265" s="19"/>
      <c r="C265" s="20">
        <v>240807000038</v>
      </c>
      <c r="D265" s="21">
        <v>45517</v>
      </c>
      <c r="E265" s="21" t="s">
        <v>44</v>
      </c>
      <c r="F265" s="19" t="s">
        <v>45</v>
      </c>
      <c r="G265" s="19" t="s">
        <v>255</v>
      </c>
      <c r="H265" s="19">
        <v>6</v>
      </c>
      <c r="I265" s="51">
        <v>342</v>
      </c>
      <c r="J265" s="52"/>
      <c r="K265" s="45"/>
      <c r="L265" s="19"/>
      <c r="M265" s="45"/>
      <c r="N265" s="48"/>
      <c r="O265" s="49">
        <f t="shared" ref="O265:O271" si="153">SUM(I265)</f>
        <v>342</v>
      </c>
      <c r="P265" s="53"/>
      <c r="Q265" s="53"/>
      <c r="R265" s="76">
        <f t="shared" si="144"/>
        <v>244.645933014354</v>
      </c>
      <c r="S265" s="76"/>
      <c r="T265" s="77">
        <f t="shared" si="145"/>
        <v>0.434808612440191</v>
      </c>
      <c r="U265" s="76"/>
      <c r="V265" s="76"/>
      <c r="W265" s="78">
        <f t="shared" si="140"/>
        <v>245.080741626794</v>
      </c>
      <c r="X265" s="79">
        <f t="shared" si="146"/>
        <v>4.6644019138756</v>
      </c>
      <c r="Y265" s="79"/>
      <c r="Z265" s="79"/>
      <c r="AA265" s="79">
        <f t="shared" si="141"/>
        <v>4.6644019138756</v>
      </c>
      <c r="AB265" s="90">
        <v>7.15</v>
      </c>
      <c r="AC265" s="76">
        <f t="shared" si="138"/>
        <v>33.3504736842105</v>
      </c>
      <c r="AD265" s="76">
        <f t="shared" si="137"/>
        <v>278.431215311005</v>
      </c>
      <c r="AE265" s="76">
        <f t="shared" si="139"/>
        <v>63.568784688995</v>
      </c>
    </row>
    <row r="266" customFormat="1" spans="1:31">
      <c r="A266" s="18"/>
      <c r="B266" s="19"/>
      <c r="C266" s="20">
        <v>240808000008</v>
      </c>
      <c r="D266" s="21">
        <v>45517</v>
      </c>
      <c r="E266" s="21" t="s">
        <v>37</v>
      </c>
      <c r="F266" s="19" t="s">
        <v>38</v>
      </c>
      <c r="G266" s="19" t="s">
        <v>256</v>
      </c>
      <c r="H266" s="19">
        <v>3</v>
      </c>
      <c r="I266" s="51">
        <v>226</v>
      </c>
      <c r="J266" s="52"/>
      <c r="K266" s="45"/>
      <c r="L266" s="19"/>
      <c r="M266" s="45"/>
      <c r="N266" s="48"/>
      <c r="O266" s="49">
        <f t="shared" si="153"/>
        <v>226</v>
      </c>
      <c r="P266" s="53"/>
      <c r="Q266" s="53"/>
      <c r="R266" s="76">
        <f t="shared" si="144"/>
        <v>122.322966507177</v>
      </c>
      <c r="S266" s="76"/>
      <c r="T266" s="77">
        <f t="shared" si="145"/>
        <v>0.217404306220096</v>
      </c>
      <c r="U266" s="76"/>
      <c r="V266" s="76"/>
      <c r="W266" s="78">
        <f t="shared" si="140"/>
        <v>122.540370813397</v>
      </c>
      <c r="X266" s="79">
        <f t="shared" si="146"/>
        <v>2.3322009569378</v>
      </c>
      <c r="Y266" s="79">
        <v>3.49</v>
      </c>
      <c r="Z266" s="79"/>
      <c r="AA266" s="79">
        <f t="shared" si="141"/>
        <v>5.8222009569378</v>
      </c>
      <c r="AB266" s="90">
        <v>7.15</v>
      </c>
      <c r="AC266" s="76">
        <f t="shared" si="138"/>
        <v>41.6287368421053</v>
      </c>
      <c r="AD266" s="76">
        <f t="shared" si="137"/>
        <v>164.169107655502</v>
      </c>
      <c r="AE266" s="76">
        <f t="shared" si="139"/>
        <v>61.830892344498</v>
      </c>
    </row>
    <row r="267" customFormat="1" spans="1:31">
      <c r="A267" s="18"/>
      <c r="B267" s="19"/>
      <c r="C267" s="22">
        <v>240808000014</v>
      </c>
      <c r="D267" s="23">
        <v>45517</v>
      </c>
      <c r="E267" s="21" t="s">
        <v>44</v>
      </c>
      <c r="F267" s="24" t="s">
        <v>45</v>
      </c>
      <c r="G267" s="24" t="s">
        <v>236</v>
      </c>
      <c r="H267" s="24">
        <v>0.39</v>
      </c>
      <c r="I267" s="43"/>
      <c r="J267" s="46">
        <v>14220.8</v>
      </c>
      <c r="K267" s="98"/>
      <c r="L267" s="46">
        <f t="shared" si="151"/>
        <v>1616</v>
      </c>
      <c r="M267" s="99">
        <v>8.8</v>
      </c>
      <c r="N267" s="48">
        <v>7.15</v>
      </c>
      <c r="O267" s="49">
        <f t="shared" si="152"/>
        <v>62.92</v>
      </c>
      <c r="P267" s="53"/>
      <c r="Q267" s="53"/>
      <c r="R267" s="76">
        <f t="shared" si="144"/>
        <v>15.901985645933</v>
      </c>
      <c r="S267" s="76"/>
      <c r="T267" s="77">
        <f t="shared" si="145"/>
        <v>0.0282625598086124</v>
      </c>
      <c r="U267" s="76"/>
      <c r="V267" s="76"/>
      <c r="W267" s="78">
        <f t="shared" si="140"/>
        <v>15.9302482057416</v>
      </c>
      <c r="X267" s="79">
        <f t="shared" si="146"/>
        <v>0.303186124401914</v>
      </c>
      <c r="Y267" s="79"/>
      <c r="Z267" s="79"/>
      <c r="AA267" s="79">
        <f t="shared" si="141"/>
        <v>0.303186124401914</v>
      </c>
      <c r="AB267" s="90">
        <v>7.15</v>
      </c>
      <c r="AC267" s="76">
        <f t="shared" si="138"/>
        <v>2.16778078947368</v>
      </c>
      <c r="AD267" s="76">
        <f t="shared" si="137"/>
        <v>18.0980289952153</v>
      </c>
      <c r="AE267" s="76">
        <f t="shared" si="139"/>
        <v>44.8219710047847</v>
      </c>
    </row>
    <row r="268" customFormat="1" spans="1:31">
      <c r="A268" s="18"/>
      <c r="B268" s="19"/>
      <c r="C268" s="20">
        <v>240808000017</v>
      </c>
      <c r="D268" s="21">
        <v>45517</v>
      </c>
      <c r="E268" s="21" t="s">
        <v>41</v>
      </c>
      <c r="F268" s="19" t="s">
        <v>42</v>
      </c>
      <c r="G268" s="19" t="s">
        <v>235</v>
      </c>
      <c r="H268" s="19">
        <v>2</v>
      </c>
      <c r="I268" s="43"/>
      <c r="J268" s="44">
        <v>27183</v>
      </c>
      <c r="K268" s="45"/>
      <c r="L268" s="46">
        <f t="shared" si="151"/>
        <v>1580.40697674419</v>
      </c>
      <c r="M268" s="47">
        <v>17.2</v>
      </c>
      <c r="N268" s="48">
        <v>7.15</v>
      </c>
      <c r="O268" s="49">
        <f t="shared" si="152"/>
        <v>122.98</v>
      </c>
      <c r="P268" s="53"/>
      <c r="Q268" s="53"/>
      <c r="R268" s="76">
        <f t="shared" si="144"/>
        <v>81.548644338118</v>
      </c>
      <c r="S268" s="76"/>
      <c r="T268" s="77">
        <f t="shared" si="145"/>
        <v>0.14493620414673</v>
      </c>
      <c r="U268" s="76"/>
      <c r="V268" s="76"/>
      <c r="W268" s="78">
        <f t="shared" si="140"/>
        <v>81.6935805422648</v>
      </c>
      <c r="X268" s="79">
        <f t="shared" si="146"/>
        <v>1.55480063795853</v>
      </c>
      <c r="Y268" s="79"/>
      <c r="Z268" s="79"/>
      <c r="AA268" s="79">
        <f t="shared" si="141"/>
        <v>1.55480063795853</v>
      </c>
      <c r="AB268" s="90">
        <v>7.15</v>
      </c>
      <c r="AC268" s="76">
        <f t="shared" si="138"/>
        <v>11.1168245614035</v>
      </c>
      <c r="AD268" s="76">
        <f t="shared" si="137"/>
        <v>92.8104051036683</v>
      </c>
      <c r="AE268" s="76">
        <f t="shared" si="139"/>
        <v>30.1695948963317</v>
      </c>
    </row>
    <row r="269" customFormat="1" spans="1:31">
      <c r="A269" s="18"/>
      <c r="B269" s="19"/>
      <c r="C269" s="20">
        <v>240808000018</v>
      </c>
      <c r="D269" s="21">
        <v>45517</v>
      </c>
      <c r="E269" s="21" t="s">
        <v>41</v>
      </c>
      <c r="F269" s="19" t="s">
        <v>42</v>
      </c>
      <c r="G269" s="19" t="s">
        <v>203</v>
      </c>
      <c r="H269" s="19">
        <v>5</v>
      </c>
      <c r="I269" s="43"/>
      <c r="J269" s="44">
        <v>74259</v>
      </c>
      <c r="K269" s="45"/>
      <c r="L269" s="46">
        <f t="shared" si="151"/>
        <v>1594.56731801589</v>
      </c>
      <c r="M269" s="47">
        <v>46.57</v>
      </c>
      <c r="N269" s="48">
        <v>7.15</v>
      </c>
      <c r="O269" s="49">
        <f t="shared" si="152"/>
        <v>332.9755</v>
      </c>
      <c r="P269" s="53"/>
      <c r="Q269" s="53"/>
      <c r="R269" s="76">
        <f t="shared" si="144"/>
        <v>203.871610845295</v>
      </c>
      <c r="S269" s="76"/>
      <c r="T269" s="77">
        <f t="shared" si="145"/>
        <v>0.362340510366826</v>
      </c>
      <c r="U269" s="76">
        <v>30</v>
      </c>
      <c r="V269" s="76"/>
      <c r="W269" s="78">
        <f t="shared" si="140"/>
        <v>234.233951355662</v>
      </c>
      <c r="X269" s="79">
        <f t="shared" si="146"/>
        <v>3.88700159489633</v>
      </c>
      <c r="Y269" s="79"/>
      <c r="Z269" s="79"/>
      <c r="AA269" s="79">
        <f t="shared" si="141"/>
        <v>3.88700159489633</v>
      </c>
      <c r="AB269" s="90">
        <v>7.15</v>
      </c>
      <c r="AC269" s="76">
        <f t="shared" si="138"/>
        <v>27.7920614035088</v>
      </c>
      <c r="AD269" s="76">
        <f t="shared" si="137"/>
        <v>262.026012759171</v>
      </c>
      <c r="AE269" s="76">
        <f t="shared" si="139"/>
        <v>70.949487240829</v>
      </c>
    </row>
    <row r="270" customFormat="1" spans="1:31">
      <c r="A270" s="18"/>
      <c r="B270" s="19"/>
      <c r="C270" s="20">
        <v>240808000022</v>
      </c>
      <c r="D270" s="21">
        <v>45517</v>
      </c>
      <c r="E270" s="21" t="s">
        <v>37</v>
      </c>
      <c r="F270" s="19" t="s">
        <v>38</v>
      </c>
      <c r="G270" s="19" t="s">
        <v>257</v>
      </c>
      <c r="H270" s="19">
        <v>1</v>
      </c>
      <c r="I270" s="51">
        <v>120</v>
      </c>
      <c r="J270" s="52"/>
      <c r="K270" s="45"/>
      <c r="L270" s="19"/>
      <c r="M270" s="45"/>
      <c r="N270" s="48"/>
      <c r="O270" s="49">
        <f t="shared" si="153"/>
        <v>120</v>
      </c>
      <c r="P270" s="53"/>
      <c r="Q270" s="53"/>
      <c r="R270" s="76">
        <f t="shared" si="144"/>
        <v>40.774322169059</v>
      </c>
      <c r="S270" s="76"/>
      <c r="T270" s="77">
        <f t="shared" si="145"/>
        <v>0.0724681020733652</v>
      </c>
      <c r="U270" s="76"/>
      <c r="V270" s="76"/>
      <c r="W270" s="78">
        <f t="shared" si="140"/>
        <v>40.8467902711324</v>
      </c>
      <c r="X270" s="79">
        <f t="shared" si="146"/>
        <v>0.777400318979266</v>
      </c>
      <c r="Y270" s="79"/>
      <c r="Z270" s="79"/>
      <c r="AA270" s="79">
        <f t="shared" si="141"/>
        <v>0.777400318979266</v>
      </c>
      <c r="AB270" s="90">
        <v>7.15</v>
      </c>
      <c r="AC270" s="76">
        <f t="shared" si="138"/>
        <v>5.55841228070175</v>
      </c>
      <c r="AD270" s="76">
        <f t="shared" si="137"/>
        <v>46.4052025518341</v>
      </c>
      <c r="AE270" s="76">
        <f t="shared" si="139"/>
        <v>73.5947974481659</v>
      </c>
    </row>
    <row r="271" customFormat="1" spans="1:31">
      <c r="A271" s="18"/>
      <c r="B271" s="19"/>
      <c r="C271" s="20">
        <v>240808000023</v>
      </c>
      <c r="D271" s="21">
        <v>45517</v>
      </c>
      <c r="E271" s="21" t="s">
        <v>41</v>
      </c>
      <c r="F271" s="19" t="s">
        <v>42</v>
      </c>
      <c r="G271" s="19" t="s">
        <v>258</v>
      </c>
      <c r="H271" s="19">
        <v>14.5</v>
      </c>
      <c r="I271" s="51">
        <v>872.5</v>
      </c>
      <c r="J271" s="52"/>
      <c r="K271" s="45"/>
      <c r="L271" s="19"/>
      <c r="M271" s="45"/>
      <c r="N271" s="48"/>
      <c r="O271" s="49">
        <f t="shared" si="153"/>
        <v>872.5</v>
      </c>
      <c r="P271" s="53"/>
      <c r="Q271" s="53"/>
      <c r="R271" s="76">
        <f t="shared" si="144"/>
        <v>591.227671451356</v>
      </c>
      <c r="S271" s="76"/>
      <c r="T271" s="77">
        <f t="shared" si="145"/>
        <v>1.0507874800638</v>
      </c>
      <c r="U271" s="76"/>
      <c r="V271" s="76"/>
      <c r="W271" s="78">
        <f t="shared" si="140"/>
        <v>592.27845893142</v>
      </c>
      <c r="X271" s="79">
        <f t="shared" si="146"/>
        <v>11.2723046251994</v>
      </c>
      <c r="Y271" s="79"/>
      <c r="Z271" s="79"/>
      <c r="AA271" s="79">
        <f t="shared" si="141"/>
        <v>11.2723046251994</v>
      </c>
      <c r="AB271" s="90">
        <v>7.15</v>
      </c>
      <c r="AC271" s="76">
        <f t="shared" si="138"/>
        <v>80.5969780701754</v>
      </c>
      <c r="AD271" s="76">
        <f t="shared" si="137"/>
        <v>672.875437001595</v>
      </c>
      <c r="AE271" s="76">
        <f t="shared" si="139"/>
        <v>199.624562998405</v>
      </c>
    </row>
    <row r="272" customFormat="1" spans="1:31">
      <c r="A272" s="18"/>
      <c r="B272" s="19"/>
      <c r="C272" s="20">
        <v>240808000030</v>
      </c>
      <c r="D272" s="21">
        <v>45517</v>
      </c>
      <c r="E272" s="21" t="s">
        <v>57</v>
      </c>
      <c r="F272" s="19" t="s">
        <v>222</v>
      </c>
      <c r="G272" s="19" t="s">
        <v>259</v>
      </c>
      <c r="H272" s="19">
        <v>11.5</v>
      </c>
      <c r="I272" s="49"/>
      <c r="J272" s="44">
        <v>148268</v>
      </c>
      <c r="K272" s="45"/>
      <c r="L272" s="46">
        <f t="shared" ref="L272:L276" si="154">SUM(J272/M272)</f>
        <v>1616</v>
      </c>
      <c r="M272" s="47">
        <v>91.75</v>
      </c>
      <c r="N272" s="48">
        <v>7.15</v>
      </c>
      <c r="O272" s="49">
        <f t="shared" ref="O272:O276" si="155">SUM(M272*N272)</f>
        <v>656.0125</v>
      </c>
      <c r="P272" s="53"/>
      <c r="Q272" s="53"/>
      <c r="R272" s="76">
        <f t="shared" si="144"/>
        <v>468.904704944179</v>
      </c>
      <c r="S272" s="76"/>
      <c r="T272" s="77">
        <f t="shared" si="145"/>
        <v>0.8333831738437</v>
      </c>
      <c r="U272" s="76"/>
      <c r="V272" s="76"/>
      <c r="W272" s="78">
        <f t="shared" si="140"/>
        <v>469.738088118022</v>
      </c>
      <c r="X272" s="79">
        <f t="shared" si="146"/>
        <v>8.94010366826156</v>
      </c>
      <c r="Y272" s="79"/>
      <c r="Z272" s="79"/>
      <c r="AA272" s="79">
        <f t="shared" si="141"/>
        <v>8.94010366826156</v>
      </c>
      <c r="AB272" s="90">
        <v>7.15</v>
      </c>
      <c r="AC272" s="76">
        <f t="shared" si="138"/>
        <v>63.9217412280702</v>
      </c>
      <c r="AD272" s="76">
        <f t="shared" si="137"/>
        <v>533.659829346092</v>
      </c>
      <c r="AE272" s="76">
        <f t="shared" si="139"/>
        <v>122.352670653908</v>
      </c>
    </row>
    <row r="273" customFormat="1" spans="1:31">
      <c r="A273" s="18"/>
      <c r="B273" s="19"/>
      <c r="C273" s="20">
        <v>240808000032</v>
      </c>
      <c r="D273" s="21">
        <v>45517</v>
      </c>
      <c r="E273" s="21" t="s">
        <v>57</v>
      </c>
      <c r="F273" s="19" t="s">
        <v>57</v>
      </c>
      <c r="G273" s="19" t="s">
        <v>260</v>
      </c>
      <c r="H273" s="19">
        <v>29</v>
      </c>
      <c r="I273" s="43">
        <v>1603</v>
      </c>
      <c r="J273" s="52"/>
      <c r="K273" s="45"/>
      <c r="L273" s="19"/>
      <c r="M273" s="45"/>
      <c r="N273" s="48"/>
      <c r="O273" s="49">
        <f t="shared" ref="O273:O277" si="156">SUM(I273)</f>
        <v>1603</v>
      </c>
      <c r="P273" s="53"/>
      <c r="Q273" s="53"/>
      <c r="R273" s="76">
        <f t="shared" si="144"/>
        <v>1182.45534290271</v>
      </c>
      <c r="S273" s="76"/>
      <c r="T273" s="77">
        <f t="shared" si="145"/>
        <v>2.10157496012759</v>
      </c>
      <c r="U273" s="76"/>
      <c r="V273" s="76"/>
      <c r="W273" s="78">
        <f t="shared" si="140"/>
        <v>1184.55691786284</v>
      </c>
      <c r="X273" s="79">
        <f t="shared" si="146"/>
        <v>22.5446092503987</v>
      </c>
      <c r="Y273" s="79"/>
      <c r="Z273" s="79"/>
      <c r="AA273" s="79">
        <f t="shared" si="141"/>
        <v>22.5446092503987</v>
      </c>
      <c r="AB273" s="90">
        <v>7.15</v>
      </c>
      <c r="AC273" s="76">
        <f t="shared" si="138"/>
        <v>161.193956140351</v>
      </c>
      <c r="AD273" s="76">
        <f t="shared" si="137"/>
        <v>1345.75087400319</v>
      </c>
      <c r="AE273" s="76">
        <f t="shared" si="139"/>
        <v>257.24912599681</v>
      </c>
    </row>
    <row r="274" customFormat="1" spans="1:31">
      <c r="A274" s="18"/>
      <c r="B274" s="19"/>
      <c r="C274" s="20">
        <v>240808000040</v>
      </c>
      <c r="D274" s="21">
        <v>45517</v>
      </c>
      <c r="E274" s="21" t="s">
        <v>37</v>
      </c>
      <c r="F274" s="19" t="s">
        <v>38</v>
      </c>
      <c r="G274" s="19" t="s">
        <v>50</v>
      </c>
      <c r="H274" s="19">
        <v>177.5</v>
      </c>
      <c r="I274" s="43"/>
      <c r="J274" s="44">
        <v>2206929</v>
      </c>
      <c r="K274" s="45"/>
      <c r="L274" s="46">
        <f t="shared" si="154"/>
        <v>1708.86361172626</v>
      </c>
      <c r="M274" s="47">
        <v>1291.46</v>
      </c>
      <c r="N274" s="48">
        <v>7.15</v>
      </c>
      <c r="O274" s="49">
        <f t="shared" si="155"/>
        <v>9233.939</v>
      </c>
      <c r="P274" s="53"/>
      <c r="Q274" s="53"/>
      <c r="R274" s="76">
        <f t="shared" si="144"/>
        <v>7237.44218500797</v>
      </c>
      <c r="S274" s="76"/>
      <c r="T274" s="77">
        <f t="shared" si="145"/>
        <v>12.8630881180223</v>
      </c>
      <c r="U274" s="77">
        <v>120</v>
      </c>
      <c r="V274" s="76"/>
      <c r="W274" s="78">
        <f t="shared" si="140"/>
        <v>7370.305273126</v>
      </c>
      <c r="X274" s="79">
        <f t="shared" si="146"/>
        <v>137.98855661882</v>
      </c>
      <c r="Y274" s="79"/>
      <c r="Z274" s="79"/>
      <c r="AA274" s="79">
        <f t="shared" si="141"/>
        <v>137.98855661882</v>
      </c>
      <c r="AB274" s="90">
        <v>7.15</v>
      </c>
      <c r="AC274" s="76">
        <f t="shared" si="138"/>
        <v>986.618179824561</v>
      </c>
      <c r="AD274" s="76">
        <f t="shared" si="137"/>
        <v>8356.92345295056</v>
      </c>
      <c r="AE274" s="76">
        <f t="shared" si="139"/>
        <v>877.015547049441</v>
      </c>
    </row>
    <row r="275" customFormat="1" spans="1:31">
      <c r="A275" s="18"/>
      <c r="B275" s="19"/>
      <c r="C275" s="20">
        <v>240808000041</v>
      </c>
      <c r="D275" s="21">
        <v>45517</v>
      </c>
      <c r="E275" s="21" t="s">
        <v>41</v>
      </c>
      <c r="F275" s="19" t="s">
        <v>42</v>
      </c>
      <c r="G275" s="19" t="s">
        <v>261</v>
      </c>
      <c r="H275" s="19">
        <v>7</v>
      </c>
      <c r="I275" s="51">
        <v>405</v>
      </c>
      <c r="J275" s="52"/>
      <c r="K275" s="45"/>
      <c r="L275" s="19"/>
      <c r="M275" s="45"/>
      <c r="N275" s="48"/>
      <c r="O275" s="49">
        <f t="shared" si="156"/>
        <v>405</v>
      </c>
      <c r="P275" s="53"/>
      <c r="Q275" s="53"/>
      <c r="R275" s="76">
        <f t="shared" si="144"/>
        <v>285.420255183413</v>
      </c>
      <c r="S275" s="76"/>
      <c r="T275" s="77">
        <f t="shared" si="145"/>
        <v>0.507276714513557</v>
      </c>
      <c r="U275" s="76"/>
      <c r="V275" s="76"/>
      <c r="W275" s="78">
        <f t="shared" si="140"/>
        <v>285.927531897927</v>
      </c>
      <c r="X275" s="79">
        <f t="shared" si="146"/>
        <v>5.44180223285486</v>
      </c>
      <c r="Y275" s="79"/>
      <c r="Z275" s="79"/>
      <c r="AA275" s="79">
        <f t="shared" si="141"/>
        <v>5.44180223285486</v>
      </c>
      <c r="AB275" s="90">
        <v>7.15</v>
      </c>
      <c r="AC275" s="76">
        <f t="shared" si="138"/>
        <v>38.9088859649123</v>
      </c>
      <c r="AD275" s="76">
        <f t="shared" si="137"/>
        <v>324.836417862839</v>
      </c>
      <c r="AE275" s="76">
        <f t="shared" si="139"/>
        <v>80.163582137161</v>
      </c>
    </row>
    <row r="276" customFormat="1" spans="1:31">
      <c r="A276" s="18"/>
      <c r="B276" s="19"/>
      <c r="C276" s="20">
        <v>240808000044</v>
      </c>
      <c r="D276" s="21">
        <v>45517</v>
      </c>
      <c r="E276" s="21" t="s">
        <v>37</v>
      </c>
      <c r="F276" s="19" t="s">
        <v>38</v>
      </c>
      <c r="G276" s="19" t="s">
        <v>54</v>
      </c>
      <c r="H276" s="19">
        <v>18</v>
      </c>
      <c r="I276" s="43"/>
      <c r="J276" s="44">
        <v>228816</v>
      </c>
      <c r="K276" s="45"/>
      <c r="L276" s="46">
        <f t="shared" si="154"/>
        <v>1623.15386252394</v>
      </c>
      <c r="M276" s="47">
        <v>140.97</v>
      </c>
      <c r="N276" s="48">
        <v>7.15</v>
      </c>
      <c r="O276" s="49">
        <f t="shared" si="155"/>
        <v>1007.9355</v>
      </c>
      <c r="P276" s="53"/>
      <c r="Q276" s="53"/>
      <c r="R276" s="76">
        <f t="shared" si="144"/>
        <v>733.937799043062</v>
      </c>
      <c r="S276" s="76"/>
      <c r="T276" s="77">
        <f t="shared" si="145"/>
        <v>1.30442583732057</v>
      </c>
      <c r="U276" s="76"/>
      <c r="V276" s="76"/>
      <c r="W276" s="78">
        <f t="shared" si="140"/>
        <v>735.242224880383</v>
      </c>
      <c r="X276" s="79">
        <f t="shared" si="146"/>
        <v>13.9932057416268</v>
      </c>
      <c r="Y276" s="79"/>
      <c r="Z276" s="79"/>
      <c r="AA276" s="79">
        <f t="shared" si="141"/>
        <v>13.9932057416268</v>
      </c>
      <c r="AB276" s="90">
        <v>7.15</v>
      </c>
      <c r="AC276" s="76">
        <f t="shared" si="138"/>
        <v>100.051421052632</v>
      </c>
      <c r="AD276" s="76">
        <f t="shared" si="137"/>
        <v>835.293645933014</v>
      </c>
      <c r="AE276" s="76">
        <f t="shared" si="139"/>
        <v>172.641854066986</v>
      </c>
    </row>
    <row r="277" customFormat="1" spans="1:31">
      <c r="A277" s="18"/>
      <c r="B277" s="19"/>
      <c r="C277" s="20">
        <v>240808000057</v>
      </c>
      <c r="D277" s="21">
        <v>45517</v>
      </c>
      <c r="E277" s="21" t="s">
        <v>44</v>
      </c>
      <c r="F277" s="19" t="s">
        <v>45</v>
      </c>
      <c r="G277" s="19" t="s">
        <v>262</v>
      </c>
      <c r="H277" s="19">
        <v>117</v>
      </c>
      <c r="I277" s="51">
        <v>6097</v>
      </c>
      <c r="J277" s="52"/>
      <c r="K277" s="45"/>
      <c r="L277" s="19"/>
      <c r="M277" s="45"/>
      <c r="N277" s="48"/>
      <c r="O277" s="49">
        <f t="shared" si="156"/>
        <v>6097</v>
      </c>
      <c r="P277" s="53"/>
      <c r="Q277" s="53"/>
      <c r="R277" s="76">
        <f t="shared" si="144"/>
        <v>4770.5956937799</v>
      </c>
      <c r="S277" s="76"/>
      <c r="T277" s="77">
        <f t="shared" si="145"/>
        <v>8.47876794258373</v>
      </c>
      <c r="U277" s="76">
        <f>SUM(70+60)</f>
        <v>130</v>
      </c>
      <c r="V277" s="76"/>
      <c r="W277" s="78">
        <f t="shared" si="140"/>
        <v>4909.07446172249</v>
      </c>
      <c r="X277" s="79">
        <f t="shared" si="146"/>
        <v>90.9558373205742</v>
      </c>
      <c r="Y277" s="79"/>
      <c r="Z277" s="79"/>
      <c r="AA277" s="79">
        <f t="shared" si="141"/>
        <v>90.9558373205742</v>
      </c>
      <c r="AB277" s="90">
        <v>7.15</v>
      </c>
      <c r="AC277" s="76">
        <f t="shared" si="138"/>
        <v>650.334236842105</v>
      </c>
      <c r="AD277" s="76">
        <f t="shared" si="137"/>
        <v>5559.40869856459</v>
      </c>
      <c r="AE277" s="76">
        <f t="shared" si="139"/>
        <v>537.59130143541</v>
      </c>
    </row>
    <row r="278" customFormat="1" spans="1:31">
      <c r="A278" s="18"/>
      <c r="B278" s="19"/>
      <c r="C278" s="20">
        <v>240808000060</v>
      </c>
      <c r="D278" s="21">
        <v>45517</v>
      </c>
      <c r="E278" s="21" t="s">
        <v>57</v>
      </c>
      <c r="F278" s="19" t="s">
        <v>57</v>
      </c>
      <c r="G278" s="19" t="s">
        <v>190</v>
      </c>
      <c r="H278" s="19">
        <v>65.5</v>
      </c>
      <c r="I278" s="49"/>
      <c r="J278" s="52"/>
      <c r="K278" s="45"/>
      <c r="L278" s="19"/>
      <c r="M278" s="45">
        <v>556.05</v>
      </c>
      <c r="N278" s="48">
        <v>7.15</v>
      </c>
      <c r="O278" s="49">
        <f t="shared" ref="O278:O280" si="157">SUM(M278*N278)</f>
        <v>3975.7575</v>
      </c>
      <c r="P278" s="53"/>
      <c r="Q278" s="53"/>
      <c r="R278" s="76">
        <f t="shared" si="144"/>
        <v>2670.71810207337</v>
      </c>
      <c r="S278" s="76"/>
      <c r="T278" s="77">
        <f t="shared" si="145"/>
        <v>4.74666068580542</v>
      </c>
      <c r="U278" s="76">
        <v>80</v>
      </c>
      <c r="V278" s="76"/>
      <c r="W278" s="78">
        <f t="shared" si="140"/>
        <v>2755.46476275917</v>
      </c>
      <c r="X278" s="79">
        <f t="shared" si="146"/>
        <v>50.9197208931419</v>
      </c>
      <c r="Y278" s="79"/>
      <c r="Z278" s="79"/>
      <c r="AA278" s="79">
        <f t="shared" si="141"/>
        <v>50.9197208931419</v>
      </c>
      <c r="AB278" s="90">
        <v>7.15</v>
      </c>
      <c r="AC278" s="76">
        <f t="shared" si="138"/>
        <v>364.076004385965</v>
      </c>
      <c r="AD278" s="76">
        <f t="shared" si="137"/>
        <v>3119.54076714514</v>
      </c>
      <c r="AE278" s="76">
        <f t="shared" si="139"/>
        <v>856.21673285486</v>
      </c>
    </row>
    <row r="279" customFormat="1" spans="1:31">
      <c r="A279" s="18"/>
      <c r="B279" s="19"/>
      <c r="C279" s="20">
        <v>240809000002</v>
      </c>
      <c r="D279" s="21">
        <v>45517</v>
      </c>
      <c r="E279" s="21" t="s">
        <v>57</v>
      </c>
      <c r="F279" s="19" t="s">
        <v>222</v>
      </c>
      <c r="G279" s="19" t="s">
        <v>223</v>
      </c>
      <c r="H279" s="19">
        <v>801.5</v>
      </c>
      <c r="I279" s="49"/>
      <c r="J279" s="44">
        <v>10855625</v>
      </c>
      <c r="K279" s="45"/>
      <c r="L279" s="46">
        <f t="shared" ref="L279:L286" si="158">SUM(J279/M279)</f>
        <v>1615.99993450032</v>
      </c>
      <c r="M279" s="47">
        <v>6717.59</v>
      </c>
      <c r="N279" s="48">
        <v>7.15</v>
      </c>
      <c r="O279" s="49">
        <f t="shared" si="157"/>
        <v>48030.7685</v>
      </c>
      <c r="P279" s="53"/>
      <c r="Q279" s="53"/>
      <c r="R279" s="76">
        <f t="shared" si="144"/>
        <v>32680.6192185008</v>
      </c>
      <c r="S279" s="76"/>
      <c r="T279" s="77">
        <f t="shared" si="145"/>
        <v>58.0831838118022</v>
      </c>
      <c r="U279" s="77">
        <f>SUM(520+730)</f>
        <v>1250</v>
      </c>
      <c r="V279" s="77">
        <v>415</v>
      </c>
      <c r="W279" s="78">
        <f t="shared" si="140"/>
        <v>34403.7024023126</v>
      </c>
      <c r="X279" s="79">
        <f t="shared" si="146"/>
        <v>623.086355661882</v>
      </c>
      <c r="Y279" s="79"/>
      <c r="Z279" s="79"/>
      <c r="AA279" s="79">
        <f t="shared" si="141"/>
        <v>623.086355661882</v>
      </c>
      <c r="AB279" s="90">
        <v>7.15</v>
      </c>
      <c r="AC279" s="76">
        <f t="shared" si="138"/>
        <v>4455.06744298246</v>
      </c>
      <c r="AD279" s="76">
        <f t="shared" si="137"/>
        <v>38858.7698452951</v>
      </c>
      <c r="AE279" s="76">
        <f t="shared" si="139"/>
        <v>9171.9986547049</v>
      </c>
    </row>
    <row r="280" customFormat="1" spans="1:31">
      <c r="A280" s="18"/>
      <c r="B280" s="19"/>
      <c r="C280" s="20">
        <v>240809000003</v>
      </c>
      <c r="D280" s="21">
        <v>45517</v>
      </c>
      <c r="E280" s="21" t="s">
        <v>57</v>
      </c>
      <c r="F280" s="19" t="s">
        <v>222</v>
      </c>
      <c r="G280" s="19" t="s">
        <v>263</v>
      </c>
      <c r="H280" s="19">
        <v>224</v>
      </c>
      <c r="I280" s="49"/>
      <c r="J280" s="44">
        <v>2753017.6</v>
      </c>
      <c r="K280" s="45"/>
      <c r="L280" s="46">
        <f t="shared" si="158"/>
        <v>1616</v>
      </c>
      <c r="M280" s="47">
        <v>1703.6</v>
      </c>
      <c r="N280" s="48">
        <v>7.15</v>
      </c>
      <c r="O280" s="49">
        <f t="shared" si="157"/>
        <v>12180.74</v>
      </c>
      <c r="P280" s="53"/>
      <c r="Q280" s="53"/>
      <c r="R280" s="76">
        <f t="shared" si="144"/>
        <v>9133.44816586922</v>
      </c>
      <c r="S280" s="76"/>
      <c r="T280" s="77">
        <f t="shared" si="145"/>
        <v>16.2328548644338</v>
      </c>
      <c r="U280" s="76"/>
      <c r="V280" s="76"/>
      <c r="W280" s="78">
        <f t="shared" si="140"/>
        <v>9149.68102073365</v>
      </c>
      <c r="X280" s="79">
        <f t="shared" si="146"/>
        <v>174.137671451356</v>
      </c>
      <c r="Y280" s="79"/>
      <c r="Z280" s="79"/>
      <c r="AA280" s="79">
        <f t="shared" si="141"/>
        <v>174.137671451356</v>
      </c>
      <c r="AB280" s="90">
        <v>7.15</v>
      </c>
      <c r="AC280" s="76">
        <f t="shared" si="138"/>
        <v>1245.08435087719</v>
      </c>
      <c r="AD280" s="76">
        <f t="shared" si="137"/>
        <v>10394.7653716108</v>
      </c>
      <c r="AE280" s="76">
        <f t="shared" si="139"/>
        <v>1785.9746283892</v>
      </c>
    </row>
    <row r="281" customFormat="1" spans="1:31">
      <c r="A281" s="18"/>
      <c r="B281" s="19"/>
      <c r="C281" s="20">
        <v>240809000007</v>
      </c>
      <c r="D281" s="21">
        <v>45517</v>
      </c>
      <c r="E281" s="21" t="s">
        <v>44</v>
      </c>
      <c r="F281" s="19" t="s">
        <v>45</v>
      </c>
      <c r="G281" s="19" t="s">
        <v>262</v>
      </c>
      <c r="H281" s="19">
        <v>146.5</v>
      </c>
      <c r="I281" s="51">
        <v>7471.5</v>
      </c>
      <c r="J281" s="52"/>
      <c r="K281" s="45"/>
      <c r="L281" s="19"/>
      <c r="M281" s="45"/>
      <c r="N281" s="48"/>
      <c r="O281" s="49">
        <f>SUM(I281)</f>
        <v>7471.5</v>
      </c>
      <c r="P281" s="53"/>
      <c r="Q281" s="53"/>
      <c r="R281" s="76">
        <f t="shared" si="144"/>
        <v>5973.43819776715</v>
      </c>
      <c r="S281" s="76"/>
      <c r="T281" s="77">
        <f t="shared" si="145"/>
        <v>10.616576953748</v>
      </c>
      <c r="U281" s="76"/>
      <c r="V281" s="76"/>
      <c r="W281" s="78">
        <f t="shared" si="140"/>
        <v>5984.05477472089</v>
      </c>
      <c r="X281" s="79">
        <f t="shared" si="146"/>
        <v>113.889146730463</v>
      </c>
      <c r="Y281" s="79"/>
      <c r="Z281" s="79"/>
      <c r="AA281" s="79">
        <f t="shared" si="141"/>
        <v>113.889146730463</v>
      </c>
      <c r="AB281" s="90">
        <v>7.15</v>
      </c>
      <c r="AC281" s="76">
        <f t="shared" si="138"/>
        <v>814.307399122807</v>
      </c>
      <c r="AD281" s="76">
        <f t="shared" si="137"/>
        <v>6798.3621738437</v>
      </c>
      <c r="AE281" s="76">
        <f t="shared" si="139"/>
        <v>673.1378261563</v>
      </c>
    </row>
    <row r="282" customFormat="1" spans="1:31">
      <c r="A282" s="18"/>
      <c r="B282" s="19"/>
      <c r="C282" s="20">
        <v>240809000009</v>
      </c>
      <c r="D282" s="21">
        <v>45517</v>
      </c>
      <c r="E282" s="21" t="s">
        <v>44</v>
      </c>
      <c r="F282" s="19" t="s">
        <v>45</v>
      </c>
      <c r="G282" s="19" t="s">
        <v>92</v>
      </c>
      <c r="H282" s="19">
        <v>2.5</v>
      </c>
      <c r="I282" s="51">
        <v>171.75</v>
      </c>
      <c r="J282" s="52"/>
      <c r="K282" s="45"/>
      <c r="L282" s="19"/>
      <c r="M282" s="45"/>
      <c r="N282" s="48"/>
      <c r="O282" s="49">
        <f>SUM(I282)</f>
        <v>171.75</v>
      </c>
      <c r="P282" s="53"/>
      <c r="Q282" s="53"/>
      <c r="R282" s="76">
        <f t="shared" si="144"/>
        <v>101.935805422648</v>
      </c>
      <c r="S282" s="76"/>
      <c r="T282" s="77">
        <f t="shared" si="145"/>
        <v>0.181170255183413</v>
      </c>
      <c r="U282" s="76"/>
      <c r="V282" s="76"/>
      <c r="W282" s="78">
        <f t="shared" si="140"/>
        <v>102.116975677831</v>
      </c>
      <c r="X282" s="79">
        <f t="shared" si="146"/>
        <v>1.94350079744817</v>
      </c>
      <c r="Y282" s="79"/>
      <c r="Z282" s="79"/>
      <c r="AA282" s="79">
        <f t="shared" si="141"/>
        <v>1.94350079744817</v>
      </c>
      <c r="AB282" s="90">
        <v>7.15</v>
      </c>
      <c r="AC282" s="76">
        <f t="shared" si="138"/>
        <v>13.8960307017544</v>
      </c>
      <c r="AD282" s="76">
        <f t="shared" si="137"/>
        <v>116.013006379585</v>
      </c>
      <c r="AE282" s="76">
        <f t="shared" si="139"/>
        <v>55.736993620415</v>
      </c>
    </row>
    <row r="283" customFormat="1" spans="1:31">
      <c r="A283" s="18"/>
      <c r="B283" s="19"/>
      <c r="C283" s="20">
        <v>240809000014</v>
      </c>
      <c r="D283" s="21">
        <v>45517</v>
      </c>
      <c r="E283" s="21" t="s">
        <v>37</v>
      </c>
      <c r="F283" s="19" t="s">
        <v>38</v>
      </c>
      <c r="G283" s="19" t="s">
        <v>76</v>
      </c>
      <c r="H283" s="19">
        <v>13</v>
      </c>
      <c r="I283" s="43"/>
      <c r="J283" s="44">
        <v>162435</v>
      </c>
      <c r="K283" s="45"/>
      <c r="L283" s="46">
        <f t="shared" si="158"/>
        <v>1751.88740293356</v>
      </c>
      <c r="M283" s="47">
        <v>92.72</v>
      </c>
      <c r="N283" s="48">
        <v>7.15</v>
      </c>
      <c r="O283" s="49">
        <f t="shared" ref="O283:O286" si="159">SUM(M283*N283)</f>
        <v>662.948</v>
      </c>
      <c r="P283" s="53"/>
      <c r="Q283" s="53"/>
      <c r="R283" s="76">
        <f t="shared" si="144"/>
        <v>530.066188197767</v>
      </c>
      <c r="S283" s="76"/>
      <c r="T283" s="77">
        <f t="shared" si="145"/>
        <v>0.942085326953748</v>
      </c>
      <c r="U283" s="76"/>
      <c r="V283" s="76"/>
      <c r="W283" s="78">
        <f t="shared" si="140"/>
        <v>531.008273524721</v>
      </c>
      <c r="X283" s="79">
        <f t="shared" si="146"/>
        <v>10.1062041467305</v>
      </c>
      <c r="Y283" s="79"/>
      <c r="Z283" s="79"/>
      <c r="AA283" s="79">
        <f t="shared" si="141"/>
        <v>10.1062041467305</v>
      </c>
      <c r="AB283" s="90">
        <v>7.15</v>
      </c>
      <c r="AC283" s="76">
        <f t="shared" si="138"/>
        <v>72.2593596491228</v>
      </c>
      <c r="AD283" s="76">
        <f t="shared" si="137"/>
        <v>603.267633173844</v>
      </c>
      <c r="AE283" s="76">
        <f t="shared" si="139"/>
        <v>59.6803668261559</v>
      </c>
    </row>
    <row r="284" customFormat="1" spans="1:31">
      <c r="A284" s="18"/>
      <c r="B284" s="19"/>
      <c r="C284" s="20">
        <v>240809000029</v>
      </c>
      <c r="D284" s="21">
        <v>45517</v>
      </c>
      <c r="E284" s="21" t="s">
        <v>37</v>
      </c>
      <c r="F284" s="19" t="s">
        <v>38</v>
      </c>
      <c r="G284" s="19" t="s">
        <v>39</v>
      </c>
      <c r="H284" s="19">
        <v>106</v>
      </c>
      <c r="I284" s="43"/>
      <c r="J284" s="44">
        <v>1259504</v>
      </c>
      <c r="K284" s="45"/>
      <c r="L284" s="46">
        <f t="shared" si="158"/>
        <v>1594.45014115175</v>
      </c>
      <c r="M284" s="47">
        <v>789.93</v>
      </c>
      <c r="N284" s="48">
        <v>7.15</v>
      </c>
      <c r="O284" s="49">
        <f t="shared" si="159"/>
        <v>5647.9995</v>
      </c>
      <c r="P284" s="53"/>
      <c r="Q284" s="53"/>
      <c r="R284" s="76">
        <f t="shared" si="144"/>
        <v>4322.07814992025</v>
      </c>
      <c r="S284" s="76"/>
      <c r="T284" s="77">
        <f t="shared" si="145"/>
        <v>7.68161881977672</v>
      </c>
      <c r="U284" s="76">
        <v>30</v>
      </c>
      <c r="V284" s="76"/>
      <c r="W284" s="78">
        <f t="shared" si="140"/>
        <v>4359.75976874003</v>
      </c>
      <c r="X284" s="79">
        <f t="shared" si="146"/>
        <v>82.4044338118022</v>
      </c>
      <c r="Y284" s="79"/>
      <c r="Z284" s="79"/>
      <c r="AA284" s="79">
        <f t="shared" si="141"/>
        <v>82.4044338118022</v>
      </c>
      <c r="AB284" s="90">
        <v>7.15</v>
      </c>
      <c r="AC284" s="76">
        <f t="shared" ref="AC284:AC330" si="160">SUM(AA284*AB284)</f>
        <v>589.191701754386</v>
      </c>
      <c r="AD284" s="76">
        <f t="shared" si="137"/>
        <v>4948.95147049442</v>
      </c>
      <c r="AE284" s="76">
        <f t="shared" si="139"/>
        <v>699.04802950558</v>
      </c>
    </row>
    <row r="285" customFormat="1" spans="1:31">
      <c r="A285" s="18"/>
      <c r="B285" s="19"/>
      <c r="C285" s="20">
        <v>240809000040</v>
      </c>
      <c r="D285" s="21">
        <v>45517</v>
      </c>
      <c r="E285" s="21" t="s">
        <v>37</v>
      </c>
      <c r="F285" s="19" t="s">
        <v>38</v>
      </c>
      <c r="G285" s="19" t="s">
        <v>50</v>
      </c>
      <c r="H285" s="19">
        <v>1</v>
      </c>
      <c r="I285" s="43"/>
      <c r="J285" s="44">
        <v>18841.5</v>
      </c>
      <c r="K285" s="45"/>
      <c r="L285" s="46">
        <f t="shared" si="158"/>
        <v>1695.90459045905</v>
      </c>
      <c r="M285" s="47">
        <v>11.11</v>
      </c>
      <c r="N285" s="48">
        <v>7.15</v>
      </c>
      <c r="O285" s="49">
        <f t="shared" si="159"/>
        <v>79.4365</v>
      </c>
      <c r="P285" s="53"/>
      <c r="Q285" s="53"/>
      <c r="R285" s="76">
        <f t="shared" si="144"/>
        <v>40.774322169059</v>
      </c>
      <c r="S285" s="76"/>
      <c r="T285" s="77">
        <f t="shared" si="145"/>
        <v>0.0724681020733652</v>
      </c>
      <c r="U285" s="76"/>
      <c r="V285" s="76">
        <v>18</v>
      </c>
      <c r="W285" s="78">
        <f t="shared" ref="W285:W329" si="161">SUM(R285:V285)</f>
        <v>58.8467902711324</v>
      </c>
      <c r="X285" s="79">
        <f t="shared" si="146"/>
        <v>0.777400318979266</v>
      </c>
      <c r="Y285" s="79"/>
      <c r="Z285" s="79"/>
      <c r="AA285" s="79">
        <f t="shared" si="141"/>
        <v>0.777400318979266</v>
      </c>
      <c r="AB285" s="90">
        <v>7.15</v>
      </c>
      <c r="AC285" s="76">
        <f t="shared" si="160"/>
        <v>5.55841228070175</v>
      </c>
      <c r="AD285" s="76">
        <f t="shared" ref="AD285:AD330" si="162">SUM(W285+AC285)</f>
        <v>64.4052025518342</v>
      </c>
      <c r="AE285" s="76">
        <f t="shared" ref="AE285:AE329" si="163">SUM(O285-AD285)</f>
        <v>15.0312974481658</v>
      </c>
    </row>
    <row r="286" customFormat="1" spans="1:31">
      <c r="A286" s="18"/>
      <c r="B286" s="19"/>
      <c r="C286" s="20">
        <v>240809000043</v>
      </c>
      <c r="D286" s="21">
        <v>45517</v>
      </c>
      <c r="E286" s="21" t="s">
        <v>44</v>
      </c>
      <c r="F286" s="19" t="s">
        <v>45</v>
      </c>
      <c r="G286" s="19" t="s">
        <v>264</v>
      </c>
      <c r="H286" s="19">
        <v>2.5</v>
      </c>
      <c r="I286" s="49"/>
      <c r="J286" s="44">
        <v>41046</v>
      </c>
      <c r="K286" s="45"/>
      <c r="L286" s="46">
        <f t="shared" si="158"/>
        <v>1615.9842519685</v>
      </c>
      <c r="M286" s="47">
        <v>25.4</v>
      </c>
      <c r="N286" s="48">
        <v>7.15</v>
      </c>
      <c r="O286" s="49">
        <f t="shared" si="159"/>
        <v>181.61</v>
      </c>
      <c r="P286" s="54"/>
      <c r="Q286" s="54"/>
      <c r="R286" s="76">
        <f t="shared" si="144"/>
        <v>101.935805422648</v>
      </c>
      <c r="S286" s="76"/>
      <c r="T286" s="77">
        <f t="shared" si="145"/>
        <v>0.181170255183413</v>
      </c>
      <c r="U286" s="76"/>
      <c r="V286" s="76"/>
      <c r="W286" s="78">
        <f t="shared" si="161"/>
        <v>102.116975677831</v>
      </c>
      <c r="X286" s="79">
        <f t="shared" si="146"/>
        <v>1.94350079744817</v>
      </c>
      <c r="Y286" s="79"/>
      <c r="Z286" s="79"/>
      <c r="AA286" s="79">
        <f t="shared" ref="AA286:AA329" si="164">SUM(X286:Z286)</f>
        <v>1.94350079744817</v>
      </c>
      <c r="AB286" s="90">
        <v>7.15</v>
      </c>
      <c r="AC286" s="76">
        <f t="shared" si="160"/>
        <v>13.8960307017544</v>
      </c>
      <c r="AD286" s="76">
        <f t="shared" si="162"/>
        <v>116.013006379585</v>
      </c>
      <c r="AE286" s="76">
        <f t="shared" si="163"/>
        <v>65.596993620415</v>
      </c>
    </row>
    <row r="287" customFormat="1" spans="1:31">
      <c r="A287" s="18" t="s">
        <v>265</v>
      </c>
      <c r="B287" s="19" t="s">
        <v>266</v>
      </c>
      <c r="C287" s="20">
        <v>240805000026</v>
      </c>
      <c r="D287" s="21">
        <v>45518</v>
      </c>
      <c r="E287" s="21" t="s">
        <v>37</v>
      </c>
      <c r="F287" s="19" t="s">
        <v>38</v>
      </c>
      <c r="G287" s="19" t="s">
        <v>65</v>
      </c>
      <c r="H287" s="19">
        <v>15.5</v>
      </c>
      <c r="I287" s="51">
        <v>908</v>
      </c>
      <c r="J287" s="52"/>
      <c r="K287" s="45"/>
      <c r="L287" s="19"/>
      <c r="M287" s="45"/>
      <c r="N287" s="48"/>
      <c r="O287" s="100">
        <f t="shared" ref="O287:O291" si="165">SUM(I287)</f>
        <v>908</v>
      </c>
      <c r="P287" s="92">
        <f>SUM(O287:O328)</f>
        <v>61427.2565</v>
      </c>
      <c r="Q287" s="92" t="s">
        <v>40</v>
      </c>
      <c r="R287" s="93">
        <f>SUM(42762/1028)*H287</f>
        <v>644.757782101167</v>
      </c>
      <c r="S287" s="93"/>
      <c r="T287" s="94">
        <f>SUM(182.75/1028)*H287</f>
        <v>2.75547178988327</v>
      </c>
      <c r="U287" s="93">
        <v>40</v>
      </c>
      <c r="V287" s="93"/>
      <c r="W287" s="78">
        <f t="shared" si="161"/>
        <v>687.513253891051</v>
      </c>
      <c r="X287" s="95">
        <f>SUM(952.39/1028)*H287</f>
        <v>14.3599659533074</v>
      </c>
      <c r="Y287" s="95"/>
      <c r="Z287" s="95"/>
      <c r="AA287" s="79">
        <f t="shared" si="164"/>
        <v>14.3599659533074</v>
      </c>
      <c r="AB287" s="90">
        <v>7.15</v>
      </c>
      <c r="AC287" s="76">
        <f t="shared" si="160"/>
        <v>102.673756566148</v>
      </c>
      <c r="AD287" s="76">
        <f t="shared" si="162"/>
        <v>790.187010457199</v>
      </c>
      <c r="AE287" s="76">
        <f t="shared" si="163"/>
        <v>117.812989542801</v>
      </c>
    </row>
    <row r="288" customFormat="1" spans="1:31">
      <c r="A288" s="18"/>
      <c r="B288" s="19"/>
      <c r="C288" s="20">
        <v>240807000016</v>
      </c>
      <c r="D288" s="21">
        <v>45518</v>
      </c>
      <c r="E288" s="21" t="s">
        <v>44</v>
      </c>
      <c r="F288" s="19" t="s">
        <v>45</v>
      </c>
      <c r="G288" s="19" t="s">
        <v>110</v>
      </c>
      <c r="H288" s="19">
        <v>20.5</v>
      </c>
      <c r="I288" s="43"/>
      <c r="J288" s="44">
        <v>264262.5</v>
      </c>
      <c r="K288" s="45"/>
      <c r="L288" s="46">
        <f t="shared" ref="L288:L293" si="166">SUM(J288/M288)</f>
        <v>1608.80616096433</v>
      </c>
      <c r="M288" s="47">
        <v>164.26</v>
      </c>
      <c r="N288" s="48">
        <v>7.15</v>
      </c>
      <c r="O288" s="49">
        <f t="shared" ref="O288:O293" si="167">SUM(M288*N288)</f>
        <v>1174.459</v>
      </c>
      <c r="P288" s="96"/>
      <c r="Q288" s="96"/>
      <c r="R288" s="93">
        <f t="shared" ref="R288:R328" si="168">SUM(42762/1028)*H288</f>
        <v>852.744163424125</v>
      </c>
      <c r="S288" s="93"/>
      <c r="T288" s="94">
        <f t="shared" ref="T288:T328" si="169">SUM(182.75/1028)*H288</f>
        <v>3.64433365758755</v>
      </c>
      <c r="U288" s="93"/>
      <c r="V288" s="93"/>
      <c r="W288" s="78">
        <f t="shared" si="161"/>
        <v>856.388497081712</v>
      </c>
      <c r="X288" s="95">
        <f t="shared" ref="X288:X328" si="170">SUM(952.39/1028)*H288</f>
        <v>18.9922130350195</v>
      </c>
      <c r="Y288" s="95"/>
      <c r="Z288" s="95"/>
      <c r="AA288" s="79">
        <f t="shared" si="164"/>
        <v>18.9922130350195</v>
      </c>
      <c r="AB288" s="90">
        <v>7.15</v>
      </c>
      <c r="AC288" s="76">
        <f t="shared" si="160"/>
        <v>135.794323200389</v>
      </c>
      <c r="AD288" s="76">
        <f t="shared" si="162"/>
        <v>992.182820282101</v>
      </c>
      <c r="AE288" s="76">
        <f t="shared" si="163"/>
        <v>182.276179717899</v>
      </c>
    </row>
    <row r="289" customFormat="1" spans="1:31">
      <c r="A289" s="18"/>
      <c r="B289" s="19"/>
      <c r="C289" s="20">
        <v>240808000016</v>
      </c>
      <c r="D289" s="21">
        <v>45518</v>
      </c>
      <c r="E289" s="21" t="s">
        <v>37</v>
      </c>
      <c r="F289" s="19" t="s">
        <v>38</v>
      </c>
      <c r="G289" s="19" t="s">
        <v>267</v>
      </c>
      <c r="H289" s="19">
        <v>3</v>
      </c>
      <c r="I289" s="51">
        <v>218</v>
      </c>
      <c r="J289" s="52"/>
      <c r="K289" s="45"/>
      <c r="L289" s="19"/>
      <c r="M289" s="45"/>
      <c r="N289" s="48"/>
      <c r="O289" s="100">
        <f t="shared" si="165"/>
        <v>218</v>
      </c>
      <c r="P289" s="96"/>
      <c r="Q289" s="96"/>
      <c r="R289" s="93">
        <f t="shared" si="168"/>
        <v>124.791828793774</v>
      </c>
      <c r="S289" s="93"/>
      <c r="T289" s="94">
        <f t="shared" si="169"/>
        <v>0.533317120622568</v>
      </c>
      <c r="U289" s="93"/>
      <c r="V289" s="93"/>
      <c r="W289" s="78">
        <f t="shared" si="161"/>
        <v>125.325145914397</v>
      </c>
      <c r="X289" s="95">
        <f t="shared" si="170"/>
        <v>2.77934824902724</v>
      </c>
      <c r="Y289" s="95">
        <v>3.49</v>
      </c>
      <c r="Z289" s="95"/>
      <c r="AA289" s="79">
        <f t="shared" si="164"/>
        <v>6.26934824902724</v>
      </c>
      <c r="AB289" s="90">
        <v>7.15</v>
      </c>
      <c r="AC289" s="76">
        <f t="shared" si="160"/>
        <v>44.8258399805448</v>
      </c>
      <c r="AD289" s="76">
        <f t="shared" si="162"/>
        <v>170.150985894942</v>
      </c>
      <c r="AE289" s="76">
        <f t="shared" si="163"/>
        <v>47.849014105058</v>
      </c>
    </row>
    <row r="290" customFormat="1" spans="1:31">
      <c r="A290" s="18"/>
      <c r="B290" s="19"/>
      <c r="C290" s="20">
        <v>240808000026</v>
      </c>
      <c r="D290" s="21">
        <v>45518</v>
      </c>
      <c r="E290" s="21" t="s">
        <v>37</v>
      </c>
      <c r="F290" s="19" t="s">
        <v>38</v>
      </c>
      <c r="G290" s="19" t="s">
        <v>268</v>
      </c>
      <c r="H290" s="19">
        <v>15.5</v>
      </c>
      <c r="I290" s="51">
        <v>868</v>
      </c>
      <c r="J290" s="52"/>
      <c r="K290" s="45"/>
      <c r="L290" s="19"/>
      <c r="M290" s="45"/>
      <c r="N290" s="48"/>
      <c r="O290" s="100">
        <f t="shared" si="165"/>
        <v>868</v>
      </c>
      <c r="P290" s="96"/>
      <c r="Q290" s="96"/>
      <c r="R290" s="93">
        <f t="shared" si="168"/>
        <v>644.757782101167</v>
      </c>
      <c r="S290" s="93"/>
      <c r="T290" s="94">
        <f t="shared" si="169"/>
        <v>2.75547178988327</v>
      </c>
      <c r="U290" s="93"/>
      <c r="V290" s="93"/>
      <c r="W290" s="78">
        <f t="shared" si="161"/>
        <v>647.513253891051</v>
      </c>
      <c r="X290" s="95">
        <f t="shared" si="170"/>
        <v>14.3599659533074</v>
      </c>
      <c r="Y290" s="95"/>
      <c r="Z290" s="95"/>
      <c r="AA290" s="79">
        <f t="shared" si="164"/>
        <v>14.3599659533074</v>
      </c>
      <c r="AB290" s="90">
        <v>7.15</v>
      </c>
      <c r="AC290" s="76">
        <f t="shared" si="160"/>
        <v>102.673756566148</v>
      </c>
      <c r="AD290" s="76">
        <f t="shared" si="162"/>
        <v>750.187010457199</v>
      </c>
      <c r="AE290" s="76">
        <f t="shared" si="163"/>
        <v>117.812989542801</v>
      </c>
    </row>
    <row r="291" customFormat="1" spans="1:31">
      <c r="A291" s="18"/>
      <c r="B291" s="19"/>
      <c r="C291" s="20">
        <v>240808000031</v>
      </c>
      <c r="D291" s="21">
        <v>45518</v>
      </c>
      <c r="E291" s="21" t="s">
        <v>51</v>
      </c>
      <c r="F291" s="19" t="s">
        <v>52</v>
      </c>
      <c r="G291" s="19" t="s">
        <v>53</v>
      </c>
      <c r="H291" s="19">
        <v>21</v>
      </c>
      <c r="I291" s="51">
        <v>1163</v>
      </c>
      <c r="J291" s="52"/>
      <c r="K291" s="45"/>
      <c r="L291" s="19"/>
      <c r="M291" s="45"/>
      <c r="N291" s="48"/>
      <c r="O291" s="100">
        <f t="shared" si="165"/>
        <v>1163</v>
      </c>
      <c r="P291" s="96"/>
      <c r="Q291" s="96"/>
      <c r="R291" s="93">
        <f t="shared" si="168"/>
        <v>873.54280155642</v>
      </c>
      <c r="S291" s="93"/>
      <c r="T291" s="94">
        <f t="shared" si="169"/>
        <v>3.73321984435798</v>
      </c>
      <c r="U291" s="93"/>
      <c r="V291" s="93"/>
      <c r="W291" s="78">
        <f t="shared" si="161"/>
        <v>877.276021400778</v>
      </c>
      <c r="X291" s="95">
        <f t="shared" si="170"/>
        <v>19.4554377431907</v>
      </c>
      <c r="Y291" s="95"/>
      <c r="Z291" s="95"/>
      <c r="AA291" s="79">
        <f t="shared" si="164"/>
        <v>19.4554377431907</v>
      </c>
      <c r="AB291" s="90">
        <v>7.15</v>
      </c>
      <c r="AC291" s="76">
        <f t="shared" si="160"/>
        <v>139.106379863814</v>
      </c>
      <c r="AD291" s="76">
        <f t="shared" si="162"/>
        <v>1016.38240126459</v>
      </c>
      <c r="AE291" s="76">
        <f t="shared" si="163"/>
        <v>146.61759873541</v>
      </c>
    </row>
    <row r="292" customFormat="1" spans="1:31">
      <c r="A292" s="18"/>
      <c r="B292" s="19"/>
      <c r="C292" s="20">
        <v>240808000033</v>
      </c>
      <c r="D292" s="21">
        <v>45518</v>
      </c>
      <c r="E292" s="21" t="s">
        <v>51</v>
      </c>
      <c r="F292" s="19" t="s">
        <v>52</v>
      </c>
      <c r="G292" s="19" t="s">
        <v>269</v>
      </c>
      <c r="H292" s="19">
        <v>5.5</v>
      </c>
      <c r="I292" s="49"/>
      <c r="J292" s="44">
        <v>70823</v>
      </c>
      <c r="K292" s="45"/>
      <c r="L292" s="46">
        <f t="shared" si="166"/>
        <v>1534.62621885157</v>
      </c>
      <c r="M292" s="47">
        <v>46.15</v>
      </c>
      <c r="N292" s="48">
        <v>7.15</v>
      </c>
      <c r="O292" s="100">
        <f t="shared" si="167"/>
        <v>329.9725</v>
      </c>
      <c r="P292" s="96"/>
      <c r="Q292" s="96"/>
      <c r="R292" s="93">
        <f t="shared" si="168"/>
        <v>228.785019455253</v>
      </c>
      <c r="S292" s="93"/>
      <c r="T292" s="94">
        <f t="shared" si="169"/>
        <v>0.977748054474708</v>
      </c>
      <c r="U292" s="93"/>
      <c r="V292" s="93"/>
      <c r="W292" s="78">
        <f t="shared" si="161"/>
        <v>229.762767509728</v>
      </c>
      <c r="X292" s="95">
        <f t="shared" si="170"/>
        <v>5.09547178988327</v>
      </c>
      <c r="Y292" s="95"/>
      <c r="Z292" s="95"/>
      <c r="AA292" s="79">
        <f t="shared" si="164"/>
        <v>5.09547178988327</v>
      </c>
      <c r="AB292" s="90">
        <v>7.15</v>
      </c>
      <c r="AC292" s="76">
        <f t="shared" si="160"/>
        <v>36.4326232976654</v>
      </c>
      <c r="AD292" s="76">
        <f t="shared" si="162"/>
        <v>266.195390807393</v>
      </c>
      <c r="AE292" s="76">
        <f t="shared" si="163"/>
        <v>63.777109192607</v>
      </c>
    </row>
    <row r="293" customFormat="1" spans="1:31">
      <c r="A293" s="18"/>
      <c r="B293" s="19"/>
      <c r="C293" s="20">
        <v>240808000034</v>
      </c>
      <c r="D293" s="21">
        <v>45518</v>
      </c>
      <c r="E293" s="21" t="s">
        <v>51</v>
      </c>
      <c r="F293" s="19" t="s">
        <v>52</v>
      </c>
      <c r="G293" s="19" t="s">
        <v>270</v>
      </c>
      <c r="H293" s="19">
        <v>27</v>
      </c>
      <c r="I293" s="49"/>
      <c r="J293" s="44">
        <v>393482</v>
      </c>
      <c r="K293" s="45"/>
      <c r="L293" s="46">
        <f t="shared" si="166"/>
        <v>1630</v>
      </c>
      <c r="M293" s="47">
        <v>241.4</v>
      </c>
      <c r="N293" s="48">
        <v>7.15</v>
      </c>
      <c r="O293" s="100">
        <f t="shared" si="167"/>
        <v>1726.01</v>
      </c>
      <c r="P293" s="96"/>
      <c r="Q293" s="96"/>
      <c r="R293" s="93">
        <f t="shared" si="168"/>
        <v>1123.12645914397</v>
      </c>
      <c r="S293" s="93"/>
      <c r="T293" s="94">
        <f t="shared" si="169"/>
        <v>4.79985408560311</v>
      </c>
      <c r="U293" s="93"/>
      <c r="V293" s="94">
        <v>198</v>
      </c>
      <c r="W293" s="78">
        <f t="shared" si="161"/>
        <v>1325.92631322957</v>
      </c>
      <c r="X293" s="95">
        <f t="shared" si="170"/>
        <v>25.0141342412451</v>
      </c>
      <c r="Y293" s="95"/>
      <c r="Z293" s="95"/>
      <c r="AA293" s="79">
        <f t="shared" si="164"/>
        <v>25.0141342412451</v>
      </c>
      <c r="AB293" s="90">
        <v>7.15</v>
      </c>
      <c r="AC293" s="76">
        <f t="shared" si="160"/>
        <v>178.851059824902</v>
      </c>
      <c r="AD293" s="76">
        <f t="shared" si="162"/>
        <v>1504.77737305447</v>
      </c>
      <c r="AE293" s="76">
        <f t="shared" si="163"/>
        <v>221.23262694553</v>
      </c>
    </row>
    <row r="294" customFormat="1" spans="1:31">
      <c r="A294" s="18"/>
      <c r="B294" s="19"/>
      <c r="C294" s="20">
        <v>240808000051</v>
      </c>
      <c r="D294" s="21">
        <v>45518</v>
      </c>
      <c r="E294" s="21" t="s">
        <v>44</v>
      </c>
      <c r="F294" s="19" t="s">
        <v>45</v>
      </c>
      <c r="G294" s="19" t="s">
        <v>271</v>
      </c>
      <c r="H294" s="19">
        <v>72</v>
      </c>
      <c r="I294" s="51">
        <v>3816</v>
      </c>
      <c r="J294" s="52"/>
      <c r="K294" s="45"/>
      <c r="L294" s="19"/>
      <c r="M294" s="45"/>
      <c r="N294" s="48"/>
      <c r="O294" s="100">
        <f>SUM(I294)</f>
        <v>3816</v>
      </c>
      <c r="P294" s="96"/>
      <c r="Q294" s="96"/>
      <c r="R294" s="93">
        <f t="shared" si="168"/>
        <v>2995.00389105058</v>
      </c>
      <c r="S294" s="93"/>
      <c r="T294" s="94">
        <f t="shared" si="169"/>
        <v>12.7996108949416</v>
      </c>
      <c r="U294" s="93"/>
      <c r="V294" s="93"/>
      <c r="W294" s="78">
        <f t="shared" si="161"/>
        <v>3007.80350194553</v>
      </c>
      <c r="X294" s="95">
        <f t="shared" si="170"/>
        <v>66.7043579766537</v>
      </c>
      <c r="Y294" s="95"/>
      <c r="Z294" s="95"/>
      <c r="AA294" s="79">
        <f t="shared" si="164"/>
        <v>66.7043579766537</v>
      </c>
      <c r="AB294" s="90">
        <v>7.15</v>
      </c>
      <c r="AC294" s="76">
        <f t="shared" si="160"/>
        <v>476.936159533074</v>
      </c>
      <c r="AD294" s="76">
        <f t="shared" si="162"/>
        <v>3484.7396614786</v>
      </c>
      <c r="AE294" s="76">
        <f t="shared" si="163"/>
        <v>331.2603385214</v>
      </c>
    </row>
    <row r="295" customFormat="1" spans="1:31">
      <c r="A295" s="18"/>
      <c r="B295" s="19"/>
      <c r="C295" s="20">
        <v>240809000005</v>
      </c>
      <c r="D295" s="21">
        <v>45518</v>
      </c>
      <c r="E295" s="21" t="s">
        <v>51</v>
      </c>
      <c r="F295" s="19" t="s">
        <v>52</v>
      </c>
      <c r="G295" s="19" t="s">
        <v>171</v>
      </c>
      <c r="H295" s="19">
        <v>94.5</v>
      </c>
      <c r="I295" s="49"/>
      <c r="J295" s="44">
        <v>1140816.8</v>
      </c>
      <c r="K295" s="45"/>
      <c r="L295" s="46">
        <f t="shared" ref="L295:L299" si="171">SUM(J295/M295)</f>
        <v>1640</v>
      </c>
      <c r="M295" s="47">
        <v>695.62</v>
      </c>
      <c r="N295" s="48">
        <v>7.15</v>
      </c>
      <c r="O295" s="100">
        <f t="shared" ref="O295:O299" si="172">SUM(M295*N295)</f>
        <v>4973.683</v>
      </c>
      <c r="P295" s="96"/>
      <c r="Q295" s="96"/>
      <c r="R295" s="93">
        <f t="shared" si="168"/>
        <v>3930.94260700389</v>
      </c>
      <c r="S295" s="93"/>
      <c r="T295" s="94">
        <f t="shared" si="169"/>
        <v>16.7994892996109</v>
      </c>
      <c r="U295" s="93"/>
      <c r="V295" s="93"/>
      <c r="W295" s="78">
        <f t="shared" si="161"/>
        <v>3947.7420963035</v>
      </c>
      <c r="X295" s="95">
        <f t="shared" si="170"/>
        <v>87.549469844358</v>
      </c>
      <c r="Y295" s="95"/>
      <c r="Z295" s="95"/>
      <c r="AA295" s="79">
        <f t="shared" si="164"/>
        <v>87.549469844358</v>
      </c>
      <c r="AB295" s="90">
        <v>7.15</v>
      </c>
      <c r="AC295" s="76">
        <f t="shared" si="160"/>
        <v>625.97870938716</v>
      </c>
      <c r="AD295" s="76">
        <f t="shared" si="162"/>
        <v>4573.72080569066</v>
      </c>
      <c r="AE295" s="76">
        <f t="shared" si="163"/>
        <v>399.96219430934</v>
      </c>
    </row>
    <row r="296" customFormat="1" spans="1:31">
      <c r="A296" s="18"/>
      <c r="B296" s="19"/>
      <c r="C296" s="20">
        <v>240809000006</v>
      </c>
      <c r="D296" s="21">
        <v>45518</v>
      </c>
      <c r="E296" s="21" t="s">
        <v>51</v>
      </c>
      <c r="F296" s="19" t="s">
        <v>52</v>
      </c>
      <c r="G296" s="19" t="s">
        <v>59</v>
      </c>
      <c r="H296" s="19">
        <v>45</v>
      </c>
      <c r="I296" s="49"/>
      <c r="J296" s="44">
        <v>612945.2</v>
      </c>
      <c r="K296" s="45"/>
      <c r="L296" s="46">
        <f t="shared" si="171"/>
        <v>1657.45977664206</v>
      </c>
      <c r="M296" s="47">
        <v>369.81</v>
      </c>
      <c r="N296" s="48">
        <v>7.15</v>
      </c>
      <c r="O296" s="100">
        <f t="shared" si="172"/>
        <v>2644.1415</v>
      </c>
      <c r="P296" s="96"/>
      <c r="Q296" s="96"/>
      <c r="R296" s="93">
        <f t="shared" si="168"/>
        <v>1871.87743190661</v>
      </c>
      <c r="S296" s="93"/>
      <c r="T296" s="94">
        <f t="shared" si="169"/>
        <v>7.99975680933852</v>
      </c>
      <c r="U296" s="93"/>
      <c r="V296" s="94">
        <v>188</v>
      </c>
      <c r="W296" s="78">
        <f t="shared" si="161"/>
        <v>2067.87718871595</v>
      </c>
      <c r="X296" s="95">
        <f t="shared" si="170"/>
        <v>41.6902237354086</v>
      </c>
      <c r="Y296" s="95"/>
      <c r="Z296" s="95"/>
      <c r="AA296" s="79">
        <f t="shared" si="164"/>
        <v>41.6902237354086</v>
      </c>
      <c r="AB296" s="90">
        <v>7.15</v>
      </c>
      <c r="AC296" s="76">
        <f t="shared" si="160"/>
        <v>298.085099708172</v>
      </c>
      <c r="AD296" s="76">
        <f t="shared" si="162"/>
        <v>2365.96228842412</v>
      </c>
      <c r="AE296" s="76">
        <f t="shared" si="163"/>
        <v>278.17921157588</v>
      </c>
    </row>
    <row r="297" customFormat="1" spans="1:31">
      <c r="A297" s="18"/>
      <c r="B297" s="19"/>
      <c r="C297" s="20">
        <v>240809000008</v>
      </c>
      <c r="D297" s="21">
        <v>45518</v>
      </c>
      <c r="E297" s="21" t="s">
        <v>44</v>
      </c>
      <c r="F297" s="19" t="s">
        <v>45</v>
      </c>
      <c r="G297" s="19" t="s">
        <v>272</v>
      </c>
      <c r="H297" s="19">
        <v>13.5</v>
      </c>
      <c r="I297" s="51">
        <v>945</v>
      </c>
      <c r="J297" s="52"/>
      <c r="K297" s="45"/>
      <c r="L297" s="19"/>
      <c r="M297" s="45"/>
      <c r="N297" s="48"/>
      <c r="O297" s="100">
        <f t="shared" ref="O297:O303" si="173">SUM(I297)</f>
        <v>945</v>
      </c>
      <c r="P297" s="96"/>
      <c r="Q297" s="96"/>
      <c r="R297" s="93">
        <f t="shared" si="168"/>
        <v>561.563229571984</v>
      </c>
      <c r="S297" s="93"/>
      <c r="T297" s="94">
        <f t="shared" si="169"/>
        <v>2.39992704280156</v>
      </c>
      <c r="U297" s="93"/>
      <c r="V297" s="93"/>
      <c r="W297" s="78">
        <f t="shared" si="161"/>
        <v>563.963156614786</v>
      </c>
      <c r="X297" s="95">
        <f t="shared" si="170"/>
        <v>12.5070671206226</v>
      </c>
      <c r="Y297" s="95"/>
      <c r="Z297" s="95"/>
      <c r="AA297" s="79">
        <f t="shared" si="164"/>
        <v>12.5070671206226</v>
      </c>
      <c r="AB297" s="90">
        <v>7.15</v>
      </c>
      <c r="AC297" s="76">
        <f t="shared" si="160"/>
        <v>89.4255299124516</v>
      </c>
      <c r="AD297" s="76">
        <f t="shared" si="162"/>
        <v>653.388686527238</v>
      </c>
      <c r="AE297" s="76">
        <f t="shared" si="163"/>
        <v>291.611313472762</v>
      </c>
    </row>
    <row r="298" customFormat="1" spans="1:31">
      <c r="A298" s="18"/>
      <c r="B298" s="19"/>
      <c r="C298" s="20">
        <v>240809000015</v>
      </c>
      <c r="D298" s="21">
        <v>45518</v>
      </c>
      <c r="E298" s="21" t="s">
        <v>37</v>
      </c>
      <c r="F298" s="19" t="s">
        <v>38</v>
      </c>
      <c r="G298" s="19" t="s">
        <v>227</v>
      </c>
      <c r="H298" s="19">
        <v>5.5</v>
      </c>
      <c r="I298" s="43"/>
      <c r="J298" s="44">
        <v>77740</v>
      </c>
      <c r="K298" s="45"/>
      <c r="L298" s="46">
        <f t="shared" si="171"/>
        <v>1644.59488047387</v>
      </c>
      <c r="M298" s="47">
        <v>47.27</v>
      </c>
      <c r="N298" s="48">
        <v>7.15</v>
      </c>
      <c r="O298" s="100">
        <f t="shared" si="172"/>
        <v>337.9805</v>
      </c>
      <c r="P298" s="96"/>
      <c r="Q298" s="96"/>
      <c r="R298" s="93">
        <f t="shared" si="168"/>
        <v>228.785019455253</v>
      </c>
      <c r="S298" s="93"/>
      <c r="T298" s="94">
        <f t="shared" si="169"/>
        <v>0.977748054474708</v>
      </c>
      <c r="U298" s="93">
        <v>30</v>
      </c>
      <c r="V298" s="93"/>
      <c r="W298" s="78">
        <f t="shared" si="161"/>
        <v>259.762767509728</v>
      </c>
      <c r="X298" s="95">
        <f t="shared" si="170"/>
        <v>5.09547178988327</v>
      </c>
      <c r="Y298" s="95"/>
      <c r="Z298" s="95"/>
      <c r="AA298" s="79">
        <f t="shared" si="164"/>
        <v>5.09547178988327</v>
      </c>
      <c r="AB298" s="90">
        <v>7.15</v>
      </c>
      <c r="AC298" s="76">
        <f t="shared" si="160"/>
        <v>36.4326232976654</v>
      </c>
      <c r="AD298" s="76">
        <f t="shared" si="162"/>
        <v>296.195390807393</v>
      </c>
      <c r="AE298" s="76">
        <f t="shared" si="163"/>
        <v>41.785109192607</v>
      </c>
    </row>
    <row r="299" customFormat="1" spans="1:31">
      <c r="A299" s="18"/>
      <c r="B299" s="19"/>
      <c r="C299" s="20">
        <v>240809000017</v>
      </c>
      <c r="D299" s="21">
        <v>45518</v>
      </c>
      <c r="E299" s="21" t="s">
        <v>41</v>
      </c>
      <c r="F299" s="19" t="s">
        <v>42</v>
      </c>
      <c r="G299" s="19" t="s">
        <v>273</v>
      </c>
      <c r="H299" s="19">
        <v>30.5</v>
      </c>
      <c r="I299" s="43"/>
      <c r="J299" s="44">
        <v>400612.5</v>
      </c>
      <c r="K299" s="45"/>
      <c r="L299" s="46">
        <f t="shared" si="171"/>
        <v>1699.45488482586</v>
      </c>
      <c r="M299" s="47">
        <v>235.73</v>
      </c>
      <c r="N299" s="48">
        <v>7.15</v>
      </c>
      <c r="O299" s="100">
        <f t="shared" si="172"/>
        <v>1685.4695</v>
      </c>
      <c r="P299" s="96"/>
      <c r="Q299" s="96"/>
      <c r="R299" s="93">
        <f t="shared" si="168"/>
        <v>1268.71692607004</v>
      </c>
      <c r="S299" s="93"/>
      <c r="T299" s="94">
        <f t="shared" si="169"/>
        <v>5.42205739299611</v>
      </c>
      <c r="U299" s="93"/>
      <c r="V299" s="93"/>
      <c r="W299" s="78">
        <f t="shared" si="161"/>
        <v>1274.13898346304</v>
      </c>
      <c r="X299" s="95">
        <f t="shared" si="170"/>
        <v>28.2567071984436</v>
      </c>
      <c r="Y299" s="95"/>
      <c r="Z299" s="95"/>
      <c r="AA299" s="79">
        <f t="shared" si="164"/>
        <v>28.2567071984436</v>
      </c>
      <c r="AB299" s="90">
        <v>7.15</v>
      </c>
      <c r="AC299" s="76">
        <f t="shared" si="160"/>
        <v>202.035456468872</v>
      </c>
      <c r="AD299" s="76">
        <f t="shared" si="162"/>
        <v>1476.17443993191</v>
      </c>
      <c r="AE299" s="76">
        <f t="shared" si="163"/>
        <v>209.29506006809</v>
      </c>
    </row>
    <row r="300" customFormat="1" spans="1:31">
      <c r="A300" s="18"/>
      <c r="B300" s="19"/>
      <c r="C300" s="20">
        <v>240809000020</v>
      </c>
      <c r="D300" s="21">
        <v>45518</v>
      </c>
      <c r="E300" s="21" t="s">
        <v>37</v>
      </c>
      <c r="F300" s="19" t="s">
        <v>38</v>
      </c>
      <c r="G300" s="19" t="s">
        <v>274</v>
      </c>
      <c r="H300" s="19">
        <v>3</v>
      </c>
      <c r="I300" s="51">
        <v>336</v>
      </c>
      <c r="J300" s="52"/>
      <c r="K300" s="45"/>
      <c r="L300" s="19"/>
      <c r="M300" s="45"/>
      <c r="N300" s="48"/>
      <c r="O300" s="100">
        <f t="shared" si="173"/>
        <v>336</v>
      </c>
      <c r="P300" s="96"/>
      <c r="Q300" s="96"/>
      <c r="R300" s="93">
        <f t="shared" si="168"/>
        <v>124.791828793774</v>
      </c>
      <c r="S300" s="93"/>
      <c r="T300" s="94">
        <f t="shared" si="169"/>
        <v>0.533317120622568</v>
      </c>
      <c r="U300" s="93"/>
      <c r="V300" s="93"/>
      <c r="W300" s="78">
        <f t="shared" si="161"/>
        <v>125.325145914397</v>
      </c>
      <c r="X300" s="95">
        <f t="shared" si="170"/>
        <v>2.77934824902724</v>
      </c>
      <c r="Y300" s="95"/>
      <c r="Z300" s="95"/>
      <c r="AA300" s="79">
        <f t="shared" si="164"/>
        <v>2.77934824902724</v>
      </c>
      <c r="AB300" s="90">
        <v>7.15</v>
      </c>
      <c r="AC300" s="76">
        <f t="shared" si="160"/>
        <v>19.8723399805448</v>
      </c>
      <c r="AD300" s="76">
        <f t="shared" si="162"/>
        <v>145.197485894942</v>
      </c>
      <c r="AE300" s="76">
        <f t="shared" si="163"/>
        <v>190.802514105058</v>
      </c>
    </row>
    <row r="301" customFormat="1" spans="1:31">
      <c r="A301" s="18"/>
      <c r="B301" s="19"/>
      <c r="C301" s="20">
        <v>240809000021</v>
      </c>
      <c r="D301" s="21">
        <v>45518</v>
      </c>
      <c r="E301" s="21" t="s">
        <v>44</v>
      </c>
      <c r="F301" s="19" t="s">
        <v>45</v>
      </c>
      <c r="G301" s="19" t="s">
        <v>267</v>
      </c>
      <c r="H301" s="19">
        <v>19</v>
      </c>
      <c r="I301" s="51">
        <v>1007</v>
      </c>
      <c r="J301" s="52"/>
      <c r="K301" s="45"/>
      <c r="L301" s="19"/>
      <c r="M301" s="45"/>
      <c r="N301" s="48"/>
      <c r="O301" s="100">
        <f t="shared" si="173"/>
        <v>1007</v>
      </c>
      <c r="P301" s="96"/>
      <c r="Q301" s="96"/>
      <c r="R301" s="93">
        <f t="shared" si="168"/>
        <v>790.348249027237</v>
      </c>
      <c r="S301" s="93"/>
      <c r="T301" s="94">
        <f t="shared" si="169"/>
        <v>3.37767509727626</v>
      </c>
      <c r="U301" s="93"/>
      <c r="V301" s="93"/>
      <c r="W301" s="78">
        <f t="shared" si="161"/>
        <v>793.725924124514</v>
      </c>
      <c r="X301" s="95">
        <f t="shared" si="170"/>
        <v>17.6025389105058</v>
      </c>
      <c r="Y301" s="95"/>
      <c r="Z301" s="95"/>
      <c r="AA301" s="79">
        <f t="shared" si="164"/>
        <v>17.6025389105058</v>
      </c>
      <c r="AB301" s="90">
        <v>7.15</v>
      </c>
      <c r="AC301" s="76">
        <f t="shared" si="160"/>
        <v>125.858153210116</v>
      </c>
      <c r="AD301" s="76">
        <f t="shared" si="162"/>
        <v>919.58407733463</v>
      </c>
      <c r="AE301" s="76">
        <f t="shared" si="163"/>
        <v>87.41592266537</v>
      </c>
    </row>
    <row r="302" customFormat="1" spans="1:31">
      <c r="A302" s="18"/>
      <c r="B302" s="19"/>
      <c r="C302" s="20">
        <v>240809000025</v>
      </c>
      <c r="D302" s="21">
        <v>45518</v>
      </c>
      <c r="E302" s="21" t="s">
        <v>37</v>
      </c>
      <c r="F302" s="19" t="s">
        <v>38</v>
      </c>
      <c r="G302" s="19" t="s">
        <v>227</v>
      </c>
      <c r="H302" s="19">
        <v>3.5</v>
      </c>
      <c r="I302" s="51">
        <v>203</v>
      </c>
      <c r="J302" s="52"/>
      <c r="K302" s="45"/>
      <c r="L302" s="19"/>
      <c r="M302" s="45"/>
      <c r="N302" s="48"/>
      <c r="O302" s="100">
        <f t="shared" si="173"/>
        <v>203</v>
      </c>
      <c r="P302" s="96"/>
      <c r="Q302" s="96"/>
      <c r="R302" s="93">
        <f t="shared" si="168"/>
        <v>145.59046692607</v>
      </c>
      <c r="S302" s="93"/>
      <c r="T302" s="94">
        <f t="shared" si="169"/>
        <v>0.622203307392996</v>
      </c>
      <c r="U302" s="93"/>
      <c r="V302" s="93"/>
      <c r="W302" s="78">
        <f t="shared" si="161"/>
        <v>146.212670233463</v>
      </c>
      <c r="X302" s="95">
        <f t="shared" si="170"/>
        <v>3.24257295719844</v>
      </c>
      <c r="Y302" s="95"/>
      <c r="Z302" s="95"/>
      <c r="AA302" s="79">
        <f t="shared" si="164"/>
        <v>3.24257295719844</v>
      </c>
      <c r="AB302" s="90">
        <v>7.15</v>
      </c>
      <c r="AC302" s="76">
        <f t="shared" si="160"/>
        <v>23.1843966439688</v>
      </c>
      <c r="AD302" s="76">
        <f t="shared" si="162"/>
        <v>169.397066877432</v>
      </c>
      <c r="AE302" s="76">
        <f t="shared" si="163"/>
        <v>33.602933122568</v>
      </c>
    </row>
    <row r="303" customFormat="1" spans="1:31">
      <c r="A303" s="18"/>
      <c r="B303" s="19"/>
      <c r="C303" s="20">
        <v>240809000027</v>
      </c>
      <c r="D303" s="21">
        <v>45518</v>
      </c>
      <c r="E303" s="21" t="s">
        <v>41</v>
      </c>
      <c r="F303" s="19" t="s">
        <v>42</v>
      </c>
      <c r="G303" s="19" t="s">
        <v>275</v>
      </c>
      <c r="H303" s="19">
        <v>9.5</v>
      </c>
      <c r="I303" s="51">
        <v>604.5</v>
      </c>
      <c r="J303" s="52"/>
      <c r="K303" s="45"/>
      <c r="L303" s="19"/>
      <c r="M303" s="45"/>
      <c r="N303" s="48"/>
      <c r="O303" s="100">
        <f t="shared" si="173"/>
        <v>604.5</v>
      </c>
      <c r="P303" s="96"/>
      <c r="Q303" s="96"/>
      <c r="R303" s="93">
        <f t="shared" si="168"/>
        <v>395.174124513619</v>
      </c>
      <c r="S303" s="93"/>
      <c r="T303" s="94">
        <f t="shared" si="169"/>
        <v>1.68883754863813</v>
      </c>
      <c r="U303" s="93"/>
      <c r="V303" s="93"/>
      <c r="W303" s="78">
        <f t="shared" si="161"/>
        <v>396.862962062257</v>
      </c>
      <c r="X303" s="95">
        <f t="shared" si="170"/>
        <v>8.80126945525292</v>
      </c>
      <c r="Y303" s="95"/>
      <c r="Z303" s="95"/>
      <c r="AA303" s="79">
        <f t="shared" si="164"/>
        <v>8.80126945525292</v>
      </c>
      <c r="AB303" s="90">
        <v>7.15</v>
      </c>
      <c r="AC303" s="76">
        <f t="shared" si="160"/>
        <v>62.9290766050584</v>
      </c>
      <c r="AD303" s="76">
        <f t="shared" si="162"/>
        <v>459.792038667315</v>
      </c>
      <c r="AE303" s="76">
        <f t="shared" si="163"/>
        <v>144.707961332685</v>
      </c>
    </row>
    <row r="304" customFormat="1" spans="1:31">
      <c r="A304" s="18"/>
      <c r="B304" s="19"/>
      <c r="C304" s="20">
        <v>240809000031</v>
      </c>
      <c r="D304" s="21">
        <v>45518</v>
      </c>
      <c r="E304" s="21" t="s">
        <v>41</v>
      </c>
      <c r="F304" s="19" t="s">
        <v>42</v>
      </c>
      <c r="G304" s="19" t="s">
        <v>276</v>
      </c>
      <c r="H304" s="19">
        <v>1.5</v>
      </c>
      <c r="I304" s="43"/>
      <c r="J304" s="44">
        <v>22950</v>
      </c>
      <c r="K304" s="45"/>
      <c r="L304" s="46">
        <f t="shared" ref="L304:L310" si="174">SUM(J304/M304)</f>
        <v>1609.396914446</v>
      </c>
      <c r="M304" s="47">
        <v>14.26</v>
      </c>
      <c r="N304" s="48">
        <v>7.15</v>
      </c>
      <c r="O304" s="100">
        <f t="shared" ref="O304:O310" si="175">SUM(M304*N304)</f>
        <v>101.959</v>
      </c>
      <c r="P304" s="96"/>
      <c r="Q304" s="96"/>
      <c r="R304" s="93">
        <f t="shared" si="168"/>
        <v>62.3959143968872</v>
      </c>
      <c r="S304" s="93"/>
      <c r="T304" s="94">
        <f t="shared" si="169"/>
        <v>0.266658560311284</v>
      </c>
      <c r="U304" s="93"/>
      <c r="V304" s="93"/>
      <c r="W304" s="78">
        <f t="shared" si="161"/>
        <v>62.6625729571984</v>
      </c>
      <c r="X304" s="95">
        <f t="shared" si="170"/>
        <v>1.38967412451362</v>
      </c>
      <c r="Y304" s="95"/>
      <c r="Z304" s="95"/>
      <c r="AA304" s="79">
        <f t="shared" si="164"/>
        <v>1.38967412451362</v>
      </c>
      <c r="AB304" s="90">
        <v>7.15</v>
      </c>
      <c r="AC304" s="76">
        <f t="shared" si="160"/>
        <v>9.93616999027238</v>
      </c>
      <c r="AD304" s="76">
        <f t="shared" si="162"/>
        <v>72.5987429474708</v>
      </c>
      <c r="AE304" s="76">
        <f t="shared" si="163"/>
        <v>29.3602570525292</v>
      </c>
    </row>
    <row r="305" customFormat="1" spans="1:31">
      <c r="A305" s="18"/>
      <c r="B305" s="19"/>
      <c r="C305" s="20">
        <v>240809000032</v>
      </c>
      <c r="D305" s="21">
        <v>45518</v>
      </c>
      <c r="E305" s="21" t="s">
        <v>41</v>
      </c>
      <c r="F305" s="19" t="s">
        <v>42</v>
      </c>
      <c r="G305" s="19" t="s">
        <v>277</v>
      </c>
      <c r="H305" s="19">
        <v>3</v>
      </c>
      <c r="I305" s="51">
        <v>183</v>
      </c>
      <c r="J305" s="52"/>
      <c r="K305" s="45"/>
      <c r="L305" s="19"/>
      <c r="M305" s="45"/>
      <c r="N305" s="48"/>
      <c r="O305" s="100">
        <f t="shared" ref="O305:O307" si="176">SUM(I305)</f>
        <v>183</v>
      </c>
      <c r="P305" s="96"/>
      <c r="Q305" s="96"/>
      <c r="R305" s="93">
        <f t="shared" si="168"/>
        <v>124.791828793774</v>
      </c>
      <c r="S305" s="93"/>
      <c r="T305" s="94">
        <f t="shared" si="169"/>
        <v>0.533317120622568</v>
      </c>
      <c r="U305" s="93"/>
      <c r="V305" s="93"/>
      <c r="W305" s="78">
        <f t="shared" si="161"/>
        <v>125.325145914397</v>
      </c>
      <c r="X305" s="95">
        <f t="shared" si="170"/>
        <v>2.77934824902724</v>
      </c>
      <c r="Y305" s="95"/>
      <c r="Z305" s="95"/>
      <c r="AA305" s="79">
        <f t="shared" si="164"/>
        <v>2.77934824902724</v>
      </c>
      <c r="AB305" s="90">
        <v>7.15</v>
      </c>
      <c r="AC305" s="76">
        <f t="shared" si="160"/>
        <v>19.8723399805448</v>
      </c>
      <c r="AD305" s="76">
        <f t="shared" si="162"/>
        <v>145.197485894942</v>
      </c>
      <c r="AE305" s="76">
        <f t="shared" si="163"/>
        <v>37.802514105058</v>
      </c>
    </row>
    <row r="306" customFormat="1" spans="1:31">
      <c r="A306" s="18"/>
      <c r="B306" s="19"/>
      <c r="C306" s="20">
        <v>240809000037</v>
      </c>
      <c r="D306" s="21">
        <v>45518</v>
      </c>
      <c r="E306" s="21" t="s">
        <v>51</v>
      </c>
      <c r="F306" s="19" t="s">
        <v>52</v>
      </c>
      <c r="G306" s="19" t="s">
        <v>238</v>
      </c>
      <c r="H306" s="19">
        <v>5</v>
      </c>
      <c r="I306" s="51">
        <v>333</v>
      </c>
      <c r="J306" s="52"/>
      <c r="K306" s="45"/>
      <c r="L306" s="19"/>
      <c r="M306" s="45"/>
      <c r="N306" s="48"/>
      <c r="O306" s="100">
        <f t="shared" si="176"/>
        <v>333</v>
      </c>
      <c r="P306" s="96"/>
      <c r="Q306" s="96"/>
      <c r="R306" s="93">
        <f t="shared" si="168"/>
        <v>207.986381322957</v>
      </c>
      <c r="S306" s="93"/>
      <c r="T306" s="94">
        <f t="shared" si="169"/>
        <v>0.88886186770428</v>
      </c>
      <c r="U306" s="93"/>
      <c r="V306" s="93"/>
      <c r="W306" s="78">
        <f t="shared" si="161"/>
        <v>208.875243190662</v>
      </c>
      <c r="X306" s="95">
        <f t="shared" si="170"/>
        <v>4.63224708171206</v>
      </c>
      <c r="Y306" s="95"/>
      <c r="Z306" s="95"/>
      <c r="AA306" s="79">
        <f t="shared" si="164"/>
        <v>4.63224708171206</v>
      </c>
      <c r="AB306" s="90">
        <v>7.15</v>
      </c>
      <c r="AC306" s="76">
        <f t="shared" si="160"/>
        <v>33.1205666342412</v>
      </c>
      <c r="AD306" s="76">
        <f t="shared" si="162"/>
        <v>241.995809824903</v>
      </c>
      <c r="AE306" s="76">
        <f t="shared" si="163"/>
        <v>91.004190175097</v>
      </c>
    </row>
    <row r="307" customFormat="1" spans="1:31">
      <c r="A307" s="18"/>
      <c r="B307" s="19"/>
      <c r="C307" s="20">
        <v>240809000041</v>
      </c>
      <c r="D307" s="21">
        <v>45518</v>
      </c>
      <c r="E307" s="21" t="s">
        <v>51</v>
      </c>
      <c r="F307" s="19" t="s">
        <v>52</v>
      </c>
      <c r="G307" s="19" t="s">
        <v>201</v>
      </c>
      <c r="H307" s="19">
        <v>5</v>
      </c>
      <c r="I307" s="51">
        <v>288.5</v>
      </c>
      <c r="J307" s="52"/>
      <c r="K307" s="45"/>
      <c r="L307" s="19"/>
      <c r="M307" s="45"/>
      <c r="N307" s="48"/>
      <c r="O307" s="100">
        <f t="shared" si="176"/>
        <v>288.5</v>
      </c>
      <c r="P307" s="96"/>
      <c r="Q307" s="96"/>
      <c r="R307" s="93">
        <f t="shared" si="168"/>
        <v>207.986381322957</v>
      </c>
      <c r="S307" s="93"/>
      <c r="T307" s="94">
        <f t="shared" si="169"/>
        <v>0.88886186770428</v>
      </c>
      <c r="U307" s="93"/>
      <c r="V307" s="93"/>
      <c r="W307" s="78">
        <f t="shared" si="161"/>
        <v>208.875243190662</v>
      </c>
      <c r="X307" s="95">
        <f t="shared" si="170"/>
        <v>4.63224708171206</v>
      </c>
      <c r="Y307" s="95"/>
      <c r="Z307" s="95"/>
      <c r="AA307" s="79">
        <f t="shared" si="164"/>
        <v>4.63224708171206</v>
      </c>
      <c r="AB307" s="90">
        <v>7.15</v>
      </c>
      <c r="AC307" s="76">
        <f t="shared" si="160"/>
        <v>33.1205666342412</v>
      </c>
      <c r="AD307" s="76">
        <f t="shared" si="162"/>
        <v>241.995809824903</v>
      </c>
      <c r="AE307" s="76">
        <f t="shared" si="163"/>
        <v>46.504190175097</v>
      </c>
    </row>
    <row r="308" customFormat="1" spans="1:31">
      <c r="A308" s="18"/>
      <c r="B308" s="19"/>
      <c r="C308" s="22">
        <v>240809000042</v>
      </c>
      <c r="D308" s="23">
        <v>45518</v>
      </c>
      <c r="E308" s="21" t="s">
        <v>57</v>
      </c>
      <c r="F308" s="24" t="s">
        <v>57</v>
      </c>
      <c r="G308" s="24" t="s">
        <v>278</v>
      </c>
      <c r="H308" s="24">
        <v>7.5</v>
      </c>
      <c r="I308" s="43"/>
      <c r="J308" s="44">
        <v>97300</v>
      </c>
      <c r="K308" s="45"/>
      <c r="L308" s="46">
        <f t="shared" si="174"/>
        <v>1605.08083140878</v>
      </c>
      <c r="M308" s="47">
        <v>60.62</v>
      </c>
      <c r="N308" s="48">
        <v>7.15</v>
      </c>
      <c r="O308" s="100">
        <f t="shared" si="175"/>
        <v>433.433</v>
      </c>
      <c r="P308" s="96"/>
      <c r="Q308" s="96"/>
      <c r="R308" s="93">
        <f t="shared" si="168"/>
        <v>311.979571984436</v>
      </c>
      <c r="S308" s="93"/>
      <c r="T308" s="94">
        <f t="shared" si="169"/>
        <v>1.33329280155642</v>
      </c>
      <c r="U308" s="93"/>
      <c r="V308" s="93"/>
      <c r="W308" s="78">
        <f t="shared" si="161"/>
        <v>313.312864785992</v>
      </c>
      <c r="X308" s="95">
        <f t="shared" si="170"/>
        <v>6.94837062256809</v>
      </c>
      <c r="Y308" s="95"/>
      <c r="Z308" s="95"/>
      <c r="AA308" s="79">
        <f t="shared" si="164"/>
        <v>6.94837062256809</v>
      </c>
      <c r="AB308" s="90">
        <v>7.15</v>
      </c>
      <c r="AC308" s="76">
        <f t="shared" si="160"/>
        <v>49.6808499513619</v>
      </c>
      <c r="AD308" s="76">
        <f t="shared" si="162"/>
        <v>362.993714737354</v>
      </c>
      <c r="AE308" s="76">
        <f t="shared" si="163"/>
        <v>70.439285262646</v>
      </c>
    </row>
    <row r="309" customFormat="1" spans="1:31">
      <c r="A309" s="18"/>
      <c r="B309" s="19"/>
      <c r="C309" s="20">
        <v>240809000047</v>
      </c>
      <c r="D309" s="21">
        <v>45518</v>
      </c>
      <c r="E309" s="21" t="s">
        <v>44</v>
      </c>
      <c r="F309" s="19" t="s">
        <v>45</v>
      </c>
      <c r="G309" s="19" t="s">
        <v>279</v>
      </c>
      <c r="H309" s="19">
        <v>37.5</v>
      </c>
      <c r="I309" s="49"/>
      <c r="J309" s="44">
        <v>464550</v>
      </c>
      <c r="K309" s="45"/>
      <c r="L309" s="46">
        <f t="shared" si="174"/>
        <v>1630</v>
      </c>
      <c r="M309" s="47">
        <v>285</v>
      </c>
      <c r="N309" s="48">
        <v>7.15</v>
      </c>
      <c r="O309" s="100">
        <f t="shared" si="175"/>
        <v>2037.75</v>
      </c>
      <c r="P309" s="96"/>
      <c r="Q309" s="96"/>
      <c r="R309" s="93">
        <f t="shared" si="168"/>
        <v>1559.89785992218</v>
      </c>
      <c r="S309" s="93"/>
      <c r="T309" s="94">
        <f t="shared" si="169"/>
        <v>6.6664640077821</v>
      </c>
      <c r="U309" s="93"/>
      <c r="V309" s="93"/>
      <c r="W309" s="78">
        <f t="shared" si="161"/>
        <v>1566.56432392996</v>
      </c>
      <c r="X309" s="95">
        <f t="shared" si="170"/>
        <v>34.7418531128405</v>
      </c>
      <c r="Y309" s="95"/>
      <c r="Z309" s="95"/>
      <c r="AA309" s="79">
        <f t="shared" si="164"/>
        <v>34.7418531128405</v>
      </c>
      <c r="AB309" s="90">
        <v>7.15</v>
      </c>
      <c r="AC309" s="76">
        <f t="shared" si="160"/>
        <v>248.40424975681</v>
      </c>
      <c r="AD309" s="76">
        <f t="shared" si="162"/>
        <v>1814.96857368677</v>
      </c>
      <c r="AE309" s="76">
        <f t="shared" si="163"/>
        <v>222.78142631323</v>
      </c>
    </row>
    <row r="310" customFormat="1" spans="1:31">
      <c r="A310" s="18"/>
      <c r="B310" s="19"/>
      <c r="C310" s="20">
        <v>240809000050</v>
      </c>
      <c r="D310" s="21">
        <v>45518</v>
      </c>
      <c r="E310" s="21" t="s">
        <v>44</v>
      </c>
      <c r="F310" s="19" t="s">
        <v>45</v>
      </c>
      <c r="G310" s="19" t="s">
        <v>280</v>
      </c>
      <c r="H310" s="19">
        <v>35</v>
      </c>
      <c r="I310" s="49"/>
      <c r="J310" s="44">
        <v>460475</v>
      </c>
      <c r="K310" s="45"/>
      <c r="L310" s="46">
        <f t="shared" si="174"/>
        <v>1627.69529869212</v>
      </c>
      <c r="M310" s="47">
        <v>282.9</v>
      </c>
      <c r="N310" s="48">
        <v>7.15</v>
      </c>
      <c r="O310" s="100">
        <f t="shared" si="175"/>
        <v>2022.735</v>
      </c>
      <c r="P310" s="96"/>
      <c r="Q310" s="96"/>
      <c r="R310" s="93">
        <f t="shared" si="168"/>
        <v>1455.9046692607</v>
      </c>
      <c r="S310" s="93"/>
      <c r="T310" s="94">
        <f t="shared" si="169"/>
        <v>6.22203307392996</v>
      </c>
      <c r="U310" s="93"/>
      <c r="V310" s="93"/>
      <c r="W310" s="78">
        <f t="shared" si="161"/>
        <v>1462.12670233463</v>
      </c>
      <c r="X310" s="95">
        <f t="shared" si="170"/>
        <v>32.4257295719844</v>
      </c>
      <c r="Y310" s="95"/>
      <c r="Z310" s="95"/>
      <c r="AA310" s="79">
        <f t="shared" si="164"/>
        <v>32.4257295719844</v>
      </c>
      <c r="AB310" s="90">
        <v>7.15</v>
      </c>
      <c r="AC310" s="76">
        <f t="shared" si="160"/>
        <v>231.843966439688</v>
      </c>
      <c r="AD310" s="76">
        <f t="shared" si="162"/>
        <v>1693.97066877432</v>
      </c>
      <c r="AE310" s="76">
        <f t="shared" si="163"/>
        <v>328.76433122568</v>
      </c>
    </row>
    <row r="311" customFormat="1" spans="1:31">
      <c r="A311" s="18"/>
      <c r="B311" s="19"/>
      <c r="C311" s="20">
        <v>240810000005</v>
      </c>
      <c r="D311" s="21">
        <v>45518</v>
      </c>
      <c r="E311" s="21" t="s">
        <v>51</v>
      </c>
      <c r="F311" s="19" t="s">
        <v>52</v>
      </c>
      <c r="G311" s="19" t="s">
        <v>281</v>
      </c>
      <c r="H311" s="19">
        <v>14</v>
      </c>
      <c r="I311" s="51">
        <v>804</v>
      </c>
      <c r="J311" s="52"/>
      <c r="K311" s="45"/>
      <c r="L311" s="19"/>
      <c r="M311" s="45"/>
      <c r="N311" s="48"/>
      <c r="O311" s="100">
        <f t="shared" ref="O311:O317" si="177">SUM(I311)</f>
        <v>804</v>
      </c>
      <c r="P311" s="96"/>
      <c r="Q311" s="96"/>
      <c r="R311" s="93">
        <f t="shared" si="168"/>
        <v>582.36186770428</v>
      </c>
      <c r="S311" s="93"/>
      <c r="T311" s="94">
        <f t="shared" si="169"/>
        <v>2.48881322957198</v>
      </c>
      <c r="U311" s="93"/>
      <c r="V311" s="93"/>
      <c r="W311" s="78">
        <f t="shared" si="161"/>
        <v>584.850680933852</v>
      </c>
      <c r="X311" s="95">
        <f t="shared" si="170"/>
        <v>12.9702918287938</v>
      </c>
      <c r="Y311" s="95"/>
      <c r="Z311" s="95"/>
      <c r="AA311" s="79">
        <f t="shared" si="164"/>
        <v>12.9702918287938</v>
      </c>
      <c r="AB311" s="90">
        <v>7.15</v>
      </c>
      <c r="AC311" s="76">
        <f t="shared" si="160"/>
        <v>92.7375865758757</v>
      </c>
      <c r="AD311" s="76">
        <f t="shared" si="162"/>
        <v>677.588267509728</v>
      </c>
      <c r="AE311" s="76">
        <f t="shared" si="163"/>
        <v>126.411732490272</v>
      </c>
    </row>
    <row r="312" customFormat="1" spans="1:31">
      <c r="A312" s="18"/>
      <c r="B312" s="19"/>
      <c r="C312" s="20">
        <v>240810000006</v>
      </c>
      <c r="D312" s="21">
        <v>45518</v>
      </c>
      <c r="E312" s="21" t="s">
        <v>51</v>
      </c>
      <c r="F312" s="19" t="s">
        <v>52</v>
      </c>
      <c r="G312" s="19" t="s">
        <v>122</v>
      </c>
      <c r="H312" s="19">
        <v>9.5</v>
      </c>
      <c r="I312" s="51">
        <v>547.5</v>
      </c>
      <c r="J312" s="52"/>
      <c r="K312" s="45"/>
      <c r="L312" s="19"/>
      <c r="M312" s="45"/>
      <c r="N312" s="48"/>
      <c r="O312" s="100">
        <f t="shared" si="177"/>
        <v>547.5</v>
      </c>
      <c r="P312" s="96"/>
      <c r="Q312" s="96"/>
      <c r="R312" s="93">
        <f t="shared" si="168"/>
        <v>395.174124513619</v>
      </c>
      <c r="S312" s="93"/>
      <c r="T312" s="94">
        <f t="shared" si="169"/>
        <v>1.68883754863813</v>
      </c>
      <c r="U312" s="93"/>
      <c r="V312" s="93"/>
      <c r="W312" s="78">
        <f t="shared" si="161"/>
        <v>396.862962062257</v>
      </c>
      <c r="X312" s="95">
        <f t="shared" si="170"/>
        <v>8.80126945525292</v>
      </c>
      <c r="Y312" s="95"/>
      <c r="Z312" s="95"/>
      <c r="AA312" s="79">
        <f t="shared" si="164"/>
        <v>8.80126945525292</v>
      </c>
      <c r="AB312" s="90">
        <v>7.15</v>
      </c>
      <c r="AC312" s="76">
        <f t="shared" si="160"/>
        <v>62.9290766050584</v>
      </c>
      <c r="AD312" s="76">
        <f t="shared" si="162"/>
        <v>459.792038667315</v>
      </c>
      <c r="AE312" s="76">
        <f t="shared" si="163"/>
        <v>87.707961332685</v>
      </c>
    </row>
    <row r="313" customFormat="1" spans="1:31">
      <c r="A313" s="18"/>
      <c r="B313" s="19"/>
      <c r="C313" s="20">
        <v>240810000007</v>
      </c>
      <c r="D313" s="21">
        <v>45518</v>
      </c>
      <c r="E313" s="21" t="s">
        <v>51</v>
      </c>
      <c r="F313" s="19" t="s">
        <v>52</v>
      </c>
      <c r="G313" s="19" t="s">
        <v>171</v>
      </c>
      <c r="H313" s="19">
        <v>7.5</v>
      </c>
      <c r="I313" s="49"/>
      <c r="J313" s="44">
        <v>106600</v>
      </c>
      <c r="K313" s="45"/>
      <c r="L313" s="46">
        <f t="shared" ref="L313:L318" si="178">SUM(J313/M313)</f>
        <v>1772.23607647548</v>
      </c>
      <c r="M313" s="47">
        <v>60.15</v>
      </c>
      <c r="N313" s="48">
        <v>7.15</v>
      </c>
      <c r="O313" s="100">
        <f t="shared" ref="O313:O318" si="179">SUM(M313*N313)</f>
        <v>430.0725</v>
      </c>
      <c r="P313" s="96"/>
      <c r="Q313" s="96"/>
      <c r="R313" s="93">
        <f t="shared" si="168"/>
        <v>311.979571984436</v>
      </c>
      <c r="S313" s="93"/>
      <c r="T313" s="94">
        <f t="shared" si="169"/>
        <v>1.33329280155642</v>
      </c>
      <c r="U313" s="93"/>
      <c r="V313" s="93"/>
      <c r="W313" s="78">
        <f t="shared" si="161"/>
        <v>313.312864785992</v>
      </c>
      <c r="X313" s="95">
        <f t="shared" si="170"/>
        <v>6.94837062256809</v>
      </c>
      <c r="Y313" s="95"/>
      <c r="Z313" s="95"/>
      <c r="AA313" s="79">
        <f t="shared" si="164"/>
        <v>6.94837062256809</v>
      </c>
      <c r="AB313" s="90">
        <v>7.15</v>
      </c>
      <c r="AC313" s="76">
        <f t="shared" si="160"/>
        <v>49.6808499513619</v>
      </c>
      <c r="AD313" s="76">
        <f t="shared" si="162"/>
        <v>362.993714737354</v>
      </c>
      <c r="AE313" s="76">
        <f t="shared" si="163"/>
        <v>67.078785262646</v>
      </c>
    </row>
    <row r="314" customFormat="1" spans="1:31">
      <c r="A314" s="18"/>
      <c r="B314" s="19"/>
      <c r="C314" s="20">
        <v>240811000005</v>
      </c>
      <c r="D314" s="21">
        <v>45518</v>
      </c>
      <c r="E314" s="21" t="s">
        <v>41</v>
      </c>
      <c r="F314" s="19" t="s">
        <v>42</v>
      </c>
      <c r="G314" s="19" t="s">
        <v>229</v>
      </c>
      <c r="H314" s="19">
        <v>7.5</v>
      </c>
      <c r="I314" s="49"/>
      <c r="J314" s="44">
        <v>98045</v>
      </c>
      <c r="K314" s="45"/>
      <c r="L314" s="46">
        <f t="shared" si="178"/>
        <v>1630.00831255195</v>
      </c>
      <c r="M314" s="47">
        <v>60.15</v>
      </c>
      <c r="N314" s="48">
        <v>7.15</v>
      </c>
      <c r="O314" s="100">
        <f t="shared" si="179"/>
        <v>430.0725</v>
      </c>
      <c r="P314" s="96"/>
      <c r="Q314" s="96"/>
      <c r="R314" s="93">
        <f t="shared" si="168"/>
        <v>311.979571984436</v>
      </c>
      <c r="S314" s="93"/>
      <c r="T314" s="94">
        <f t="shared" si="169"/>
        <v>1.33329280155642</v>
      </c>
      <c r="U314" s="93"/>
      <c r="V314" s="93"/>
      <c r="W314" s="78">
        <f t="shared" si="161"/>
        <v>313.312864785992</v>
      </c>
      <c r="X314" s="95">
        <f t="shared" si="170"/>
        <v>6.94837062256809</v>
      </c>
      <c r="Y314" s="95"/>
      <c r="Z314" s="95"/>
      <c r="AA314" s="79">
        <f t="shared" si="164"/>
        <v>6.94837062256809</v>
      </c>
      <c r="AB314" s="90">
        <v>7.15</v>
      </c>
      <c r="AC314" s="76">
        <f t="shared" si="160"/>
        <v>49.6808499513619</v>
      </c>
      <c r="AD314" s="76">
        <f t="shared" si="162"/>
        <v>362.993714737354</v>
      </c>
      <c r="AE314" s="76">
        <f t="shared" si="163"/>
        <v>67.078785262646</v>
      </c>
    </row>
    <row r="315" customFormat="1" spans="1:31">
      <c r="A315" s="18"/>
      <c r="B315" s="19"/>
      <c r="C315" s="20">
        <v>240811000008</v>
      </c>
      <c r="D315" s="21">
        <v>45518</v>
      </c>
      <c r="E315" s="21" t="s">
        <v>41</v>
      </c>
      <c r="F315" s="19" t="s">
        <v>42</v>
      </c>
      <c r="G315" s="19" t="s">
        <v>166</v>
      </c>
      <c r="H315" s="19">
        <v>63</v>
      </c>
      <c r="I315" s="51">
        <v>3465</v>
      </c>
      <c r="J315" s="52"/>
      <c r="K315" s="45"/>
      <c r="L315" s="19"/>
      <c r="M315" s="45"/>
      <c r="N315" s="48"/>
      <c r="O315" s="100">
        <f t="shared" si="177"/>
        <v>3465</v>
      </c>
      <c r="P315" s="96"/>
      <c r="Q315" s="96"/>
      <c r="R315" s="93">
        <f t="shared" si="168"/>
        <v>2620.62840466926</v>
      </c>
      <c r="S315" s="93"/>
      <c r="T315" s="94">
        <f t="shared" si="169"/>
        <v>11.1996595330739</v>
      </c>
      <c r="U315" s="93"/>
      <c r="V315" s="93"/>
      <c r="W315" s="78">
        <f t="shared" si="161"/>
        <v>2631.82806420233</v>
      </c>
      <c r="X315" s="95">
        <f t="shared" si="170"/>
        <v>58.366313229572</v>
      </c>
      <c r="Y315" s="95"/>
      <c r="Z315" s="95"/>
      <c r="AA315" s="79">
        <f t="shared" si="164"/>
        <v>58.366313229572</v>
      </c>
      <c r="AB315" s="90">
        <v>7.15</v>
      </c>
      <c r="AC315" s="76">
        <f t="shared" si="160"/>
        <v>417.31913959144</v>
      </c>
      <c r="AD315" s="76">
        <f t="shared" si="162"/>
        <v>3049.14720379377</v>
      </c>
      <c r="AE315" s="76">
        <f t="shared" si="163"/>
        <v>415.85279620623</v>
      </c>
    </row>
    <row r="316" customFormat="1" spans="1:31">
      <c r="A316" s="18"/>
      <c r="B316" s="19"/>
      <c r="C316" s="20">
        <v>240811000009</v>
      </c>
      <c r="D316" s="21">
        <v>45518</v>
      </c>
      <c r="E316" s="21" t="s">
        <v>41</v>
      </c>
      <c r="F316" s="19" t="s">
        <v>42</v>
      </c>
      <c r="G316" s="19" t="s">
        <v>43</v>
      </c>
      <c r="H316" s="19">
        <v>0.68</v>
      </c>
      <c r="I316" s="51">
        <v>53</v>
      </c>
      <c r="J316" s="52"/>
      <c r="K316" s="45"/>
      <c r="L316" s="19"/>
      <c r="M316" s="45"/>
      <c r="N316" s="48"/>
      <c r="O316" s="100">
        <f t="shared" si="177"/>
        <v>53</v>
      </c>
      <c r="P316" s="96"/>
      <c r="Q316" s="96"/>
      <c r="R316" s="93">
        <f t="shared" si="168"/>
        <v>28.2861478599222</v>
      </c>
      <c r="S316" s="93"/>
      <c r="T316" s="94">
        <f t="shared" si="169"/>
        <v>0.120885214007782</v>
      </c>
      <c r="U316" s="93"/>
      <c r="V316" s="93"/>
      <c r="W316" s="78">
        <f t="shared" si="161"/>
        <v>28.40703307393</v>
      </c>
      <c r="X316" s="95">
        <f t="shared" si="170"/>
        <v>0.62998560311284</v>
      </c>
      <c r="Y316" s="95"/>
      <c r="Z316" s="95"/>
      <c r="AA316" s="79">
        <f t="shared" si="164"/>
        <v>0.62998560311284</v>
      </c>
      <c r="AB316" s="90">
        <v>7.15</v>
      </c>
      <c r="AC316" s="76">
        <f t="shared" si="160"/>
        <v>4.50439706225681</v>
      </c>
      <c r="AD316" s="76">
        <f t="shared" si="162"/>
        <v>32.9114301361868</v>
      </c>
      <c r="AE316" s="76">
        <f t="shared" si="163"/>
        <v>20.0885698638132</v>
      </c>
    </row>
    <row r="317" customFormat="1" spans="1:31">
      <c r="A317" s="18"/>
      <c r="B317" s="19"/>
      <c r="C317" s="20">
        <v>240811000013</v>
      </c>
      <c r="D317" s="21">
        <v>45518</v>
      </c>
      <c r="E317" s="21" t="s">
        <v>41</v>
      </c>
      <c r="F317" s="19" t="s">
        <v>42</v>
      </c>
      <c r="G317" s="19" t="s">
        <v>282</v>
      </c>
      <c r="H317" s="19">
        <v>23</v>
      </c>
      <c r="I317" s="51">
        <v>1265</v>
      </c>
      <c r="J317" s="52"/>
      <c r="K317" s="45"/>
      <c r="L317" s="19"/>
      <c r="M317" s="45"/>
      <c r="N317" s="48"/>
      <c r="O317" s="100">
        <f t="shared" si="177"/>
        <v>1265</v>
      </c>
      <c r="P317" s="96"/>
      <c r="Q317" s="96"/>
      <c r="R317" s="93">
        <f t="shared" si="168"/>
        <v>956.737354085603</v>
      </c>
      <c r="S317" s="93"/>
      <c r="T317" s="94">
        <f t="shared" si="169"/>
        <v>4.08876459143969</v>
      </c>
      <c r="U317" s="93"/>
      <c r="V317" s="93"/>
      <c r="W317" s="78">
        <f t="shared" si="161"/>
        <v>960.826118677043</v>
      </c>
      <c r="X317" s="95">
        <f t="shared" si="170"/>
        <v>21.3083365758755</v>
      </c>
      <c r="Y317" s="95"/>
      <c r="Z317" s="95"/>
      <c r="AA317" s="79">
        <f t="shared" si="164"/>
        <v>21.3083365758755</v>
      </c>
      <c r="AB317" s="90">
        <v>7.15</v>
      </c>
      <c r="AC317" s="76">
        <f t="shared" si="160"/>
        <v>152.35460651751</v>
      </c>
      <c r="AD317" s="76">
        <f t="shared" si="162"/>
        <v>1113.18072519455</v>
      </c>
      <c r="AE317" s="76">
        <f t="shared" si="163"/>
        <v>151.81927480545</v>
      </c>
    </row>
    <row r="318" customFormat="1" spans="1:31">
      <c r="A318" s="18"/>
      <c r="B318" s="19"/>
      <c r="C318" s="20">
        <v>240812000003</v>
      </c>
      <c r="D318" s="21">
        <v>45518</v>
      </c>
      <c r="E318" s="21" t="s">
        <v>37</v>
      </c>
      <c r="F318" s="19" t="s">
        <v>38</v>
      </c>
      <c r="G318" s="19" t="s">
        <v>54</v>
      </c>
      <c r="H318" s="19">
        <v>30.5</v>
      </c>
      <c r="I318" s="43"/>
      <c r="J318" s="44">
        <v>387716</v>
      </c>
      <c r="K318" s="45"/>
      <c r="L318" s="46">
        <f t="shared" si="178"/>
        <v>1623.05760214334</v>
      </c>
      <c r="M318" s="47">
        <v>238.88</v>
      </c>
      <c r="N318" s="48">
        <v>7.15</v>
      </c>
      <c r="O318" s="49">
        <f t="shared" si="179"/>
        <v>1707.992</v>
      </c>
      <c r="P318" s="96"/>
      <c r="Q318" s="96"/>
      <c r="R318" s="93">
        <f t="shared" si="168"/>
        <v>1268.71692607004</v>
      </c>
      <c r="S318" s="93"/>
      <c r="T318" s="94">
        <f t="shared" si="169"/>
        <v>5.42205739299611</v>
      </c>
      <c r="U318" s="93"/>
      <c r="V318" s="93"/>
      <c r="W318" s="78">
        <f t="shared" si="161"/>
        <v>1274.13898346304</v>
      </c>
      <c r="X318" s="95">
        <f t="shared" si="170"/>
        <v>28.2567071984436</v>
      </c>
      <c r="Y318" s="95"/>
      <c r="Z318" s="95"/>
      <c r="AA318" s="79">
        <f t="shared" si="164"/>
        <v>28.2567071984436</v>
      </c>
      <c r="AB318" s="90">
        <v>7.15</v>
      </c>
      <c r="AC318" s="76">
        <f t="shared" si="160"/>
        <v>202.035456468872</v>
      </c>
      <c r="AD318" s="76">
        <f t="shared" si="162"/>
        <v>1476.17443993191</v>
      </c>
      <c r="AE318" s="76">
        <f t="shared" si="163"/>
        <v>231.81756006809</v>
      </c>
    </row>
    <row r="319" customFormat="1" spans="1:31">
      <c r="A319" s="18"/>
      <c r="B319" s="19"/>
      <c r="C319" s="20">
        <v>240812000015</v>
      </c>
      <c r="D319" s="21">
        <v>45518</v>
      </c>
      <c r="E319" s="21" t="s">
        <v>37</v>
      </c>
      <c r="F319" s="19" t="s">
        <v>38</v>
      </c>
      <c r="G319" s="19" t="s">
        <v>283</v>
      </c>
      <c r="H319" s="19">
        <v>8.5</v>
      </c>
      <c r="I319" s="51">
        <v>504</v>
      </c>
      <c r="J319" s="52"/>
      <c r="K319" s="45"/>
      <c r="L319" s="19"/>
      <c r="M319" s="45"/>
      <c r="N319" s="48"/>
      <c r="O319" s="100">
        <f t="shared" ref="O319:O322" si="180">SUM(I319)</f>
        <v>504</v>
      </c>
      <c r="P319" s="96"/>
      <c r="Q319" s="96"/>
      <c r="R319" s="93">
        <f t="shared" si="168"/>
        <v>353.576848249027</v>
      </c>
      <c r="S319" s="93"/>
      <c r="T319" s="94">
        <f t="shared" si="169"/>
        <v>1.51106517509728</v>
      </c>
      <c r="U319" s="93"/>
      <c r="V319" s="93"/>
      <c r="W319" s="78">
        <f t="shared" si="161"/>
        <v>355.087913424125</v>
      </c>
      <c r="X319" s="95">
        <f t="shared" si="170"/>
        <v>7.87482003891051</v>
      </c>
      <c r="Y319" s="95"/>
      <c r="Z319" s="95"/>
      <c r="AA319" s="79">
        <f t="shared" si="164"/>
        <v>7.87482003891051</v>
      </c>
      <c r="AB319" s="90">
        <v>7.15</v>
      </c>
      <c r="AC319" s="76">
        <f t="shared" si="160"/>
        <v>56.3049632782102</v>
      </c>
      <c r="AD319" s="76">
        <f t="shared" si="162"/>
        <v>411.392876702335</v>
      </c>
      <c r="AE319" s="76">
        <f t="shared" si="163"/>
        <v>92.607123297665</v>
      </c>
    </row>
    <row r="320" customFormat="1" spans="1:31">
      <c r="A320" s="18"/>
      <c r="B320" s="19"/>
      <c r="C320" s="20">
        <v>240812000017</v>
      </c>
      <c r="D320" s="21">
        <v>45518</v>
      </c>
      <c r="E320" s="21" t="s">
        <v>44</v>
      </c>
      <c r="F320" s="19" t="s">
        <v>45</v>
      </c>
      <c r="G320" s="19" t="s">
        <v>271</v>
      </c>
      <c r="H320" s="19">
        <v>12</v>
      </c>
      <c r="I320" s="51">
        <v>729</v>
      </c>
      <c r="J320" s="52"/>
      <c r="K320" s="45"/>
      <c r="L320" s="19"/>
      <c r="M320" s="45"/>
      <c r="N320" s="48"/>
      <c r="O320" s="100">
        <f t="shared" si="180"/>
        <v>729</v>
      </c>
      <c r="P320" s="96"/>
      <c r="Q320" s="96"/>
      <c r="R320" s="93">
        <f t="shared" si="168"/>
        <v>499.167315175097</v>
      </c>
      <c r="S320" s="93"/>
      <c r="T320" s="94">
        <f t="shared" si="169"/>
        <v>2.13326848249027</v>
      </c>
      <c r="U320" s="93"/>
      <c r="V320" s="94">
        <v>93</v>
      </c>
      <c r="W320" s="78">
        <f t="shared" si="161"/>
        <v>594.300583657588</v>
      </c>
      <c r="X320" s="95">
        <f t="shared" si="170"/>
        <v>11.1173929961089</v>
      </c>
      <c r="Y320" s="95"/>
      <c r="Z320" s="95"/>
      <c r="AA320" s="79">
        <f t="shared" si="164"/>
        <v>11.1173929961089</v>
      </c>
      <c r="AB320" s="90">
        <v>7.15</v>
      </c>
      <c r="AC320" s="76">
        <f t="shared" si="160"/>
        <v>79.4893599221787</v>
      </c>
      <c r="AD320" s="76">
        <f t="shared" si="162"/>
        <v>673.789943579767</v>
      </c>
      <c r="AE320" s="76">
        <f t="shared" si="163"/>
        <v>55.2100564202329</v>
      </c>
    </row>
    <row r="321" customFormat="1" spans="1:31">
      <c r="A321" s="18"/>
      <c r="B321" s="19"/>
      <c r="C321" s="20">
        <v>240812000018</v>
      </c>
      <c r="D321" s="21">
        <v>45518</v>
      </c>
      <c r="E321" s="21" t="s">
        <v>44</v>
      </c>
      <c r="F321" s="19" t="s">
        <v>45</v>
      </c>
      <c r="G321" s="19" t="s">
        <v>262</v>
      </c>
      <c r="H321" s="19">
        <v>156.5</v>
      </c>
      <c r="I321" s="51">
        <v>8123</v>
      </c>
      <c r="J321" s="52"/>
      <c r="K321" s="45"/>
      <c r="L321" s="19"/>
      <c r="M321" s="45"/>
      <c r="N321" s="48"/>
      <c r="O321" s="100">
        <f t="shared" si="180"/>
        <v>8123</v>
      </c>
      <c r="P321" s="96"/>
      <c r="Q321" s="96"/>
      <c r="R321" s="93">
        <f t="shared" si="168"/>
        <v>6509.97373540856</v>
      </c>
      <c r="S321" s="93"/>
      <c r="T321" s="94">
        <f t="shared" si="169"/>
        <v>27.821376459144</v>
      </c>
      <c r="U321" s="94">
        <v>480</v>
      </c>
      <c r="V321" s="93"/>
      <c r="W321" s="78">
        <f t="shared" si="161"/>
        <v>7017.7951118677</v>
      </c>
      <c r="X321" s="95">
        <f t="shared" si="170"/>
        <v>144.989333657588</v>
      </c>
      <c r="Y321" s="95"/>
      <c r="Z321" s="95"/>
      <c r="AA321" s="79">
        <f t="shared" si="164"/>
        <v>144.989333657588</v>
      </c>
      <c r="AB321" s="90">
        <v>7.15</v>
      </c>
      <c r="AC321" s="76">
        <f t="shared" si="160"/>
        <v>1036.67373565175</v>
      </c>
      <c r="AD321" s="76">
        <f t="shared" si="162"/>
        <v>8054.46884751945</v>
      </c>
      <c r="AE321" s="76">
        <f t="shared" si="163"/>
        <v>68.5311524805502</v>
      </c>
    </row>
    <row r="322" customFormat="1" spans="1:31">
      <c r="A322" s="18"/>
      <c r="B322" s="19"/>
      <c r="C322" s="20">
        <v>240812000022</v>
      </c>
      <c r="D322" s="21">
        <v>45518</v>
      </c>
      <c r="E322" s="21" t="s">
        <v>44</v>
      </c>
      <c r="F322" s="19" t="s">
        <v>45</v>
      </c>
      <c r="G322" s="19" t="s">
        <v>92</v>
      </c>
      <c r="H322" s="19">
        <v>5</v>
      </c>
      <c r="I322" s="51">
        <v>343.5</v>
      </c>
      <c r="J322" s="52"/>
      <c r="K322" s="45"/>
      <c r="L322" s="19"/>
      <c r="M322" s="45"/>
      <c r="N322" s="48"/>
      <c r="O322" s="100">
        <f t="shared" si="180"/>
        <v>343.5</v>
      </c>
      <c r="P322" s="96"/>
      <c r="Q322" s="96"/>
      <c r="R322" s="93">
        <f t="shared" si="168"/>
        <v>207.986381322957</v>
      </c>
      <c r="S322" s="93"/>
      <c r="T322" s="94">
        <f t="shared" si="169"/>
        <v>0.88886186770428</v>
      </c>
      <c r="U322" s="93"/>
      <c r="V322" s="93"/>
      <c r="W322" s="78">
        <f t="shared" si="161"/>
        <v>208.875243190662</v>
      </c>
      <c r="X322" s="95">
        <f t="shared" si="170"/>
        <v>4.63224708171206</v>
      </c>
      <c r="Y322" s="95"/>
      <c r="Z322" s="95"/>
      <c r="AA322" s="79">
        <f t="shared" si="164"/>
        <v>4.63224708171206</v>
      </c>
      <c r="AB322" s="90">
        <v>7.15</v>
      </c>
      <c r="AC322" s="76">
        <f t="shared" si="160"/>
        <v>33.1205666342412</v>
      </c>
      <c r="AD322" s="76">
        <f t="shared" si="162"/>
        <v>241.995809824903</v>
      </c>
      <c r="AE322" s="76">
        <f t="shared" si="163"/>
        <v>101.504190175097</v>
      </c>
    </row>
    <row r="323" customFormat="1" spans="1:31">
      <c r="A323" s="18"/>
      <c r="B323" s="19"/>
      <c r="C323" s="20">
        <v>240812000024</v>
      </c>
      <c r="D323" s="21">
        <v>45518</v>
      </c>
      <c r="E323" s="21" t="s">
        <v>37</v>
      </c>
      <c r="F323" s="19" t="s">
        <v>38</v>
      </c>
      <c r="G323" s="19" t="s">
        <v>50</v>
      </c>
      <c r="H323" s="19">
        <v>3</v>
      </c>
      <c r="I323" s="43"/>
      <c r="J323" s="44">
        <v>42304.5</v>
      </c>
      <c r="K323" s="45"/>
      <c r="L323" s="46">
        <f>SUM(J323/M323)</f>
        <v>1694.89182692308</v>
      </c>
      <c r="M323" s="47">
        <v>24.96</v>
      </c>
      <c r="N323" s="48">
        <v>7.15</v>
      </c>
      <c r="O323" s="49">
        <f>SUM(M323*N323)</f>
        <v>178.464</v>
      </c>
      <c r="P323" s="96"/>
      <c r="Q323" s="96"/>
      <c r="R323" s="93">
        <f t="shared" si="168"/>
        <v>124.791828793774</v>
      </c>
      <c r="S323" s="93"/>
      <c r="T323" s="94">
        <f t="shared" si="169"/>
        <v>0.533317120622568</v>
      </c>
      <c r="U323" s="93"/>
      <c r="V323" s="94">
        <v>15</v>
      </c>
      <c r="W323" s="78">
        <f t="shared" si="161"/>
        <v>140.325145914397</v>
      </c>
      <c r="X323" s="95">
        <f t="shared" si="170"/>
        <v>2.77934824902724</v>
      </c>
      <c r="Y323" s="95"/>
      <c r="Z323" s="95"/>
      <c r="AA323" s="79">
        <f t="shared" si="164"/>
        <v>2.77934824902724</v>
      </c>
      <c r="AB323" s="90">
        <v>7.15</v>
      </c>
      <c r="AC323" s="76">
        <f t="shared" si="160"/>
        <v>19.8723399805448</v>
      </c>
      <c r="AD323" s="76">
        <f t="shared" si="162"/>
        <v>160.197485894942</v>
      </c>
      <c r="AE323" s="76">
        <f t="shared" si="163"/>
        <v>18.266514105058</v>
      </c>
    </row>
    <row r="324" customFormat="1" spans="1:31">
      <c r="A324" s="18"/>
      <c r="B324" s="19"/>
      <c r="C324" s="20">
        <v>240812000025</v>
      </c>
      <c r="D324" s="21">
        <v>45518</v>
      </c>
      <c r="E324" s="21" t="s">
        <v>44</v>
      </c>
      <c r="F324" s="19" t="s">
        <v>45</v>
      </c>
      <c r="G324" s="19" t="s">
        <v>284</v>
      </c>
      <c r="H324" s="19">
        <v>12.5</v>
      </c>
      <c r="I324" s="49"/>
      <c r="J324" s="44">
        <v>161000</v>
      </c>
      <c r="K324" s="45"/>
      <c r="L324" s="46">
        <f>SUM(J324/M324)</f>
        <v>1630.37974683544</v>
      </c>
      <c r="M324" s="47">
        <v>98.75</v>
      </c>
      <c r="N324" s="48">
        <v>7.15</v>
      </c>
      <c r="O324" s="100">
        <f>SUM(M324*N324)</f>
        <v>706.0625</v>
      </c>
      <c r="P324" s="96"/>
      <c r="Q324" s="96"/>
      <c r="R324" s="93">
        <f t="shared" si="168"/>
        <v>519.965953307393</v>
      </c>
      <c r="S324" s="93"/>
      <c r="T324" s="94">
        <f t="shared" si="169"/>
        <v>2.2221546692607</v>
      </c>
      <c r="U324" s="93"/>
      <c r="V324" s="93"/>
      <c r="W324" s="78">
        <f t="shared" si="161"/>
        <v>522.188107976654</v>
      </c>
      <c r="X324" s="95">
        <f t="shared" si="170"/>
        <v>11.5806177042802</v>
      </c>
      <c r="Y324" s="95"/>
      <c r="Z324" s="95"/>
      <c r="AA324" s="79">
        <f t="shared" si="164"/>
        <v>11.5806177042802</v>
      </c>
      <c r="AB324" s="90">
        <v>7.15</v>
      </c>
      <c r="AC324" s="76">
        <f t="shared" si="160"/>
        <v>82.8014165856034</v>
      </c>
      <c r="AD324" s="76">
        <f t="shared" si="162"/>
        <v>604.989524562257</v>
      </c>
      <c r="AE324" s="76">
        <f t="shared" si="163"/>
        <v>101.072975437743</v>
      </c>
    </row>
    <row r="325" customFormat="1" spans="1:31">
      <c r="A325" s="18"/>
      <c r="B325" s="19"/>
      <c r="C325" s="20">
        <v>240812000031</v>
      </c>
      <c r="D325" s="21">
        <v>45518</v>
      </c>
      <c r="E325" s="21" t="s">
        <v>51</v>
      </c>
      <c r="F325" s="19" t="s">
        <v>52</v>
      </c>
      <c r="G325" s="19" t="s">
        <v>122</v>
      </c>
      <c r="H325" s="19">
        <v>0.62</v>
      </c>
      <c r="I325" s="51">
        <v>63</v>
      </c>
      <c r="J325" s="52"/>
      <c r="K325" s="45"/>
      <c r="L325" s="19"/>
      <c r="M325" s="45"/>
      <c r="N325" s="48"/>
      <c r="O325" s="100">
        <f t="shared" ref="O325:O332" si="181">SUM(I325)</f>
        <v>63</v>
      </c>
      <c r="P325" s="96"/>
      <c r="Q325" s="96"/>
      <c r="R325" s="93">
        <f t="shared" si="168"/>
        <v>25.7903112840467</v>
      </c>
      <c r="S325" s="93"/>
      <c r="T325" s="94">
        <f t="shared" si="169"/>
        <v>0.110218871595331</v>
      </c>
      <c r="U325" s="93"/>
      <c r="V325" s="93"/>
      <c r="W325" s="78">
        <f t="shared" si="161"/>
        <v>25.900530155642</v>
      </c>
      <c r="X325" s="95">
        <f t="shared" si="170"/>
        <v>0.574398638132296</v>
      </c>
      <c r="Y325" s="95"/>
      <c r="Z325" s="95"/>
      <c r="AA325" s="79">
        <f t="shared" si="164"/>
        <v>0.574398638132296</v>
      </c>
      <c r="AB325" s="90">
        <v>7.15</v>
      </c>
      <c r="AC325" s="76">
        <f t="shared" si="160"/>
        <v>4.10695026264592</v>
      </c>
      <c r="AD325" s="76">
        <f t="shared" si="162"/>
        <v>30.0074804182879</v>
      </c>
      <c r="AE325" s="76">
        <f t="shared" si="163"/>
        <v>32.9925195817121</v>
      </c>
    </row>
    <row r="326" customFormat="1" spans="1:31">
      <c r="A326" s="18"/>
      <c r="B326" s="19"/>
      <c r="C326" s="20">
        <v>240812000032</v>
      </c>
      <c r="D326" s="21">
        <v>45518</v>
      </c>
      <c r="E326" s="21" t="s">
        <v>51</v>
      </c>
      <c r="F326" s="19" t="s">
        <v>52</v>
      </c>
      <c r="G326" s="19" t="s">
        <v>53</v>
      </c>
      <c r="H326" s="19">
        <v>13</v>
      </c>
      <c r="I326" s="51">
        <v>747</v>
      </c>
      <c r="J326" s="52"/>
      <c r="K326" s="45"/>
      <c r="L326" s="19"/>
      <c r="M326" s="45"/>
      <c r="N326" s="48"/>
      <c r="O326" s="100">
        <f t="shared" si="181"/>
        <v>747</v>
      </c>
      <c r="P326" s="96"/>
      <c r="Q326" s="96"/>
      <c r="R326" s="93">
        <f t="shared" si="168"/>
        <v>540.764591439689</v>
      </c>
      <c r="S326" s="93"/>
      <c r="T326" s="94">
        <f t="shared" si="169"/>
        <v>2.31104085603113</v>
      </c>
      <c r="U326" s="93"/>
      <c r="V326" s="93"/>
      <c r="W326" s="78">
        <f t="shared" si="161"/>
        <v>543.07563229572</v>
      </c>
      <c r="X326" s="95">
        <f t="shared" si="170"/>
        <v>12.0438424124514</v>
      </c>
      <c r="Y326" s="95"/>
      <c r="Z326" s="95"/>
      <c r="AA326" s="79">
        <f t="shared" si="164"/>
        <v>12.0438424124514</v>
      </c>
      <c r="AB326" s="90">
        <v>7.15</v>
      </c>
      <c r="AC326" s="76">
        <f t="shared" si="160"/>
        <v>86.1134732490275</v>
      </c>
      <c r="AD326" s="76">
        <f t="shared" si="162"/>
        <v>629.189105544747</v>
      </c>
      <c r="AE326" s="76">
        <f t="shared" si="163"/>
        <v>117.810894455253</v>
      </c>
    </row>
    <row r="327" customFormat="1" spans="1:31">
      <c r="A327" s="18"/>
      <c r="B327" s="19"/>
      <c r="C327" s="20">
        <v>240812000033</v>
      </c>
      <c r="D327" s="21">
        <v>45518</v>
      </c>
      <c r="E327" s="21" t="s">
        <v>51</v>
      </c>
      <c r="F327" s="19" t="s">
        <v>52</v>
      </c>
      <c r="G327" s="19" t="s">
        <v>53</v>
      </c>
      <c r="H327" s="19">
        <v>4.5</v>
      </c>
      <c r="I327" s="51">
        <v>273</v>
      </c>
      <c r="J327" s="52"/>
      <c r="K327" s="45"/>
      <c r="L327" s="19"/>
      <c r="M327" s="45"/>
      <c r="N327" s="48"/>
      <c r="O327" s="100">
        <f t="shared" si="181"/>
        <v>273</v>
      </c>
      <c r="P327" s="96"/>
      <c r="Q327" s="96"/>
      <c r="R327" s="93">
        <f t="shared" si="168"/>
        <v>187.187743190661</v>
      </c>
      <c r="S327" s="93"/>
      <c r="T327" s="94">
        <f t="shared" si="169"/>
        <v>0.799975680933852</v>
      </c>
      <c r="U327" s="93"/>
      <c r="V327" s="93"/>
      <c r="W327" s="78">
        <f t="shared" si="161"/>
        <v>187.987718871595</v>
      </c>
      <c r="X327" s="95">
        <f t="shared" si="170"/>
        <v>4.16902237354086</v>
      </c>
      <c r="Y327" s="95"/>
      <c r="Z327" s="95"/>
      <c r="AA327" s="79">
        <f t="shared" si="164"/>
        <v>4.16902237354086</v>
      </c>
      <c r="AB327" s="90">
        <v>7.15</v>
      </c>
      <c r="AC327" s="76">
        <f t="shared" si="160"/>
        <v>29.8085099708171</v>
      </c>
      <c r="AD327" s="76">
        <f t="shared" si="162"/>
        <v>217.796228842412</v>
      </c>
      <c r="AE327" s="76">
        <f t="shared" si="163"/>
        <v>55.203771157588</v>
      </c>
    </row>
    <row r="328" customFormat="1" spans="1:31">
      <c r="A328" s="18"/>
      <c r="B328" s="19"/>
      <c r="C328" s="20">
        <v>240812000050</v>
      </c>
      <c r="D328" s="21">
        <v>45518</v>
      </c>
      <c r="E328" s="21" t="s">
        <v>51</v>
      </c>
      <c r="F328" s="19" t="s">
        <v>52</v>
      </c>
      <c r="G328" s="19" t="s">
        <v>285</v>
      </c>
      <c r="H328" s="19">
        <v>205</v>
      </c>
      <c r="I328" s="43">
        <v>12717</v>
      </c>
      <c r="J328" s="52"/>
      <c r="K328" s="45"/>
      <c r="L328" s="19"/>
      <c r="M328" s="45"/>
      <c r="N328" s="48"/>
      <c r="O328" s="100">
        <f t="shared" si="181"/>
        <v>12717</v>
      </c>
      <c r="P328" s="97"/>
      <c r="Q328" s="97"/>
      <c r="R328" s="93">
        <f t="shared" si="168"/>
        <v>8527.44163424125</v>
      </c>
      <c r="S328" s="93"/>
      <c r="T328" s="94">
        <f t="shared" si="169"/>
        <v>36.4433365758755</v>
      </c>
      <c r="U328" s="93"/>
      <c r="V328" s="93"/>
      <c r="W328" s="78">
        <f t="shared" si="161"/>
        <v>8563.88497081712</v>
      </c>
      <c r="X328" s="95">
        <f t="shared" si="170"/>
        <v>189.922130350195</v>
      </c>
      <c r="Y328" s="95"/>
      <c r="Z328" s="95"/>
      <c r="AA328" s="79">
        <f t="shared" si="164"/>
        <v>189.922130350195</v>
      </c>
      <c r="AB328" s="90">
        <v>7.15</v>
      </c>
      <c r="AC328" s="76">
        <f t="shared" si="160"/>
        <v>1357.94323200389</v>
      </c>
      <c r="AD328" s="76">
        <f t="shared" si="162"/>
        <v>9921.82820282101</v>
      </c>
      <c r="AE328" s="76">
        <f t="shared" si="163"/>
        <v>2795.17179717899</v>
      </c>
    </row>
    <row r="329" customFormat="1" spans="1:31">
      <c r="A329" s="101" t="s">
        <v>286</v>
      </c>
      <c r="B329" s="102" t="s">
        <v>287</v>
      </c>
      <c r="C329" s="20">
        <v>240808000047</v>
      </c>
      <c r="D329" s="21">
        <v>45518</v>
      </c>
      <c r="E329" s="21" t="s">
        <v>41</v>
      </c>
      <c r="F329" s="102" t="s">
        <v>42</v>
      </c>
      <c r="G329" s="102" t="s">
        <v>288</v>
      </c>
      <c r="H329" s="102">
        <v>455.5</v>
      </c>
      <c r="I329" s="103">
        <v>27330</v>
      </c>
      <c r="J329" s="52"/>
      <c r="K329" s="45"/>
      <c r="L329" s="19"/>
      <c r="M329" s="104"/>
      <c r="N329" s="105"/>
      <c r="O329" s="100">
        <f t="shared" si="181"/>
        <v>27330</v>
      </c>
      <c r="P329" s="106">
        <f>SUM(O329)</f>
        <v>27330</v>
      </c>
      <c r="Q329" s="106" t="s">
        <v>40</v>
      </c>
      <c r="R329" s="106">
        <v>19756</v>
      </c>
      <c r="S329" s="106"/>
      <c r="T329" s="106">
        <v>0</v>
      </c>
      <c r="U329" s="106"/>
      <c r="V329" s="106"/>
      <c r="W329" s="78">
        <f t="shared" ref="W329:W354" si="182">SUM(R329:V329)</f>
        <v>19756</v>
      </c>
      <c r="X329" s="107">
        <v>382.93</v>
      </c>
      <c r="Y329" s="107"/>
      <c r="Z329" s="107"/>
      <c r="AA329" s="79">
        <f t="shared" si="164"/>
        <v>382.93</v>
      </c>
      <c r="AB329" s="90">
        <v>7.15</v>
      </c>
      <c r="AC329" s="76">
        <f t="shared" ref="AC329:AC354" si="183">SUM(AA329*AB329)</f>
        <v>2737.9495</v>
      </c>
      <c r="AD329" s="76">
        <f t="shared" ref="AD329:AD354" si="184">SUM(W329+AC329)</f>
        <v>22493.9495</v>
      </c>
      <c r="AE329" s="76">
        <f t="shared" ref="AE329:AE354" si="185">SUM(O329-AD329)</f>
        <v>4836.0505</v>
      </c>
    </row>
    <row r="330" customFormat="1" spans="1:31">
      <c r="A330" s="18" t="s">
        <v>289</v>
      </c>
      <c r="B330" s="19" t="s">
        <v>290</v>
      </c>
      <c r="C330" s="20">
        <v>240807000013</v>
      </c>
      <c r="D330" s="21">
        <v>45519</v>
      </c>
      <c r="E330" s="21" t="s">
        <v>173</v>
      </c>
      <c r="F330" s="19" t="s">
        <v>57</v>
      </c>
      <c r="G330" s="19" t="s">
        <v>174</v>
      </c>
      <c r="H330" s="19">
        <v>0.27</v>
      </c>
      <c r="I330" s="51">
        <v>63</v>
      </c>
      <c r="J330" s="52"/>
      <c r="K330" s="45"/>
      <c r="L330" s="19"/>
      <c r="M330" s="45"/>
      <c r="N330" s="48"/>
      <c r="O330" s="49">
        <f t="shared" si="181"/>
        <v>63</v>
      </c>
      <c r="P330" s="50">
        <f>SUM(O330:O354)</f>
        <v>18256.1109285</v>
      </c>
      <c r="Q330" s="50" t="s">
        <v>80</v>
      </c>
      <c r="R330" s="76">
        <f>SUM(5649/80)*H330</f>
        <v>19.065375</v>
      </c>
      <c r="S330" s="76"/>
      <c r="T330" s="77">
        <f>SUM(53.99/80)*H330</f>
        <v>0.18221625</v>
      </c>
      <c r="U330" s="76"/>
      <c r="V330" s="76"/>
      <c r="W330" s="78">
        <f t="shared" si="182"/>
        <v>19.24759125</v>
      </c>
      <c r="X330" s="79">
        <f>SUM(294.03/80)*H330</f>
        <v>0.99235125</v>
      </c>
      <c r="Y330" s="79"/>
      <c r="Z330" s="79"/>
      <c r="AA330" s="79">
        <f t="shared" ref="AA330:AA354" si="186">SUM(X330:Z330)</f>
        <v>0.99235125</v>
      </c>
      <c r="AB330" s="90">
        <v>7.15</v>
      </c>
      <c r="AC330" s="76">
        <f t="shared" si="183"/>
        <v>7.0953114375</v>
      </c>
      <c r="AD330" s="76">
        <f t="shared" si="184"/>
        <v>26.3429026875</v>
      </c>
      <c r="AE330" s="76">
        <f t="shared" si="185"/>
        <v>36.6570973125</v>
      </c>
    </row>
    <row r="331" customFormat="1" spans="1:31">
      <c r="A331" s="18"/>
      <c r="B331" s="19"/>
      <c r="C331" s="20">
        <v>240807000035</v>
      </c>
      <c r="D331" s="21">
        <v>45519</v>
      </c>
      <c r="E331" s="21" t="s">
        <v>44</v>
      </c>
      <c r="F331" s="19" t="s">
        <v>45</v>
      </c>
      <c r="G331" s="19" t="s">
        <v>120</v>
      </c>
      <c r="H331" s="19">
        <v>0.95</v>
      </c>
      <c r="I331" s="51">
        <v>115</v>
      </c>
      <c r="J331" s="52"/>
      <c r="K331" s="45"/>
      <c r="L331" s="19"/>
      <c r="M331" s="45"/>
      <c r="N331" s="48"/>
      <c r="O331" s="49">
        <f t="shared" si="181"/>
        <v>115</v>
      </c>
      <c r="P331" s="53"/>
      <c r="Q331" s="53"/>
      <c r="R331" s="76">
        <f t="shared" ref="R331:R354" si="187">SUM(5649/80)*H331</f>
        <v>67.081875</v>
      </c>
      <c r="S331" s="76"/>
      <c r="T331" s="77">
        <f t="shared" ref="T331:T354" si="188">SUM(53.99/80)*H331</f>
        <v>0.64113125</v>
      </c>
      <c r="U331" s="76"/>
      <c r="V331" s="76"/>
      <c r="W331" s="78">
        <f t="shared" si="182"/>
        <v>67.72300625</v>
      </c>
      <c r="X331" s="79">
        <f t="shared" ref="X331:X354" si="189">SUM(294.03/80)*H331</f>
        <v>3.49160625</v>
      </c>
      <c r="Y331" s="79"/>
      <c r="Z331" s="79"/>
      <c r="AA331" s="79">
        <f t="shared" si="186"/>
        <v>3.49160625</v>
      </c>
      <c r="AB331" s="90">
        <v>7.15</v>
      </c>
      <c r="AC331" s="76">
        <f t="shared" si="183"/>
        <v>24.9649846875</v>
      </c>
      <c r="AD331" s="76">
        <f t="shared" si="184"/>
        <v>92.6879909375</v>
      </c>
      <c r="AE331" s="76">
        <f t="shared" si="185"/>
        <v>22.3120090625</v>
      </c>
    </row>
    <row r="332" customFormat="1" spans="1:31">
      <c r="A332" s="18"/>
      <c r="B332" s="19"/>
      <c r="C332" s="20">
        <v>240809000013</v>
      </c>
      <c r="D332" s="21">
        <v>45519</v>
      </c>
      <c r="E332" s="21" t="s">
        <v>41</v>
      </c>
      <c r="F332" s="19" t="s">
        <v>42</v>
      </c>
      <c r="G332" s="19" t="s">
        <v>191</v>
      </c>
      <c r="H332" s="19">
        <v>11.5</v>
      </c>
      <c r="I332" s="51">
        <v>1380</v>
      </c>
      <c r="J332" s="52"/>
      <c r="K332" s="45"/>
      <c r="L332" s="19"/>
      <c r="M332" s="45"/>
      <c r="N332" s="48"/>
      <c r="O332" s="49">
        <f t="shared" si="181"/>
        <v>1380</v>
      </c>
      <c r="P332" s="53"/>
      <c r="Q332" s="53"/>
      <c r="R332" s="76">
        <f t="shared" si="187"/>
        <v>812.04375</v>
      </c>
      <c r="S332" s="76"/>
      <c r="T332" s="77">
        <f t="shared" si="188"/>
        <v>7.7610625</v>
      </c>
      <c r="U332" s="76"/>
      <c r="V332" s="76"/>
      <c r="W332" s="78">
        <f t="shared" si="182"/>
        <v>819.8048125</v>
      </c>
      <c r="X332" s="79">
        <f t="shared" si="189"/>
        <v>42.2668125</v>
      </c>
      <c r="Y332" s="79"/>
      <c r="Z332" s="79"/>
      <c r="AA332" s="79">
        <f t="shared" si="186"/>
        <v>42.2668125</v>
      </c>
      <c r="AB332" s="90">
        <v>7.15</v>
      </c>
      <c r="AC332" s="76">
        <f t="shared" si="183"/>
        <v>302.207709375</v>
      </c>
      <c r="AD332" s="76">
        <f t="shared" si="184"/>
        <v>1122.012521875</v>
      </c>
      <c r="AE332" s="76">
        <f t="shared" si="185"/>
        <v>257.987478125</v>
      </c>
    </row>
    <row r="333" customFormat="1" spans="1:31">
      <c r="A333" s="18"/>
      <c r="B333" s="19"/>
      <c r="C333" s="20">
        <v>240809000044</v>
      </c>
      <c r="D333" s="21">
        <v>45519</v>
      </c>
      <c r="E333" s="21" t="s">
        <v>51</v>
      </c>
      <c r="F333" s="19" t="s">
        <v>52</v>
      </c>
      <c r="G333" s="19" t="s">
        <v>270</v>
      </c>
      <c r="H333" s="19">
        <v>2.5</v>
      </c>
      <c r="I333" s="49"/>
      <c r="J333" s="44">
        <v>64526.88</v>
      </c>
      <c r="K333" s="45"/>
      <c r="L333" s="46">
        <f>SUM(J333/M333)</f>
        <v>1616</v>
      </c>
      <c r="M333" s="47">
        <v>39.93</v>
      </c>
      <c r="N333" s="48">
        <v>7.15</v>
      </c>
      <c r="O333" s="49">
        <f>SUM(M333*N333)</f>
        <v>285.4995</v>
      </c>
      <c r="P333" s="53"/>
      <c r="Q333" s="53"/>
      <c r="R333" s="76">
        <f t="shared" si="187"/>
        <v>176.53125</v>
      </c>
      <c r="S333" s="76"/>
      <c r="T333" s="77">
        <f t="shared" si="188"/>
        <v>1.6871875</v>
      </c>
      <c r="U333" s="76"/>
      <c r="V333" s="76"/>
      <c r="W333" s="78">
        <f t="shared" si="182"/>
        <v>178.2184375</v>
      </c>
      <c r="X333" s="79">
        <f t="shared" si="189"/>
        <v>9.1884375</v>
      </c>
      <c r="Y333" s="79"/>
      <c r="Z333" s="79"/>
      <c r="AA333" s="79">
        <f t="shared" si="186"/>
        <v>9.1884375</v>
      </c>
      <c r="AB333" s="90">
        <v>7.15</v>
      </c>
      <c r="AC333" s="76">
        <f t="shared" si="183"/>
        <v>65.697328125</v>
      </c>
      <c r="AD333" s="76">
        <f t="shared" si="184"/>
        <v>243.915765625</v>
      </c>
      <c r="AE333" s="76">
        <f t="shared" si="185"/>
        <v>41.583734375</v>
      </c>
    </row>
    <row r="334" customFormat="1" spans="1:31">
      <c r="A334" s="18"/>
      <c r="B334" s="19"/>
      <c r="C334" s="20">
        <v>240809000046</v>
      </c>
      <c r="D334" s="21">
        <v>45519</v>
      </c>
      <c r="E334" s="21" t="s">
        <v>51</v>
      </c>
      <c r="F334" s="19" t="s">
        <v>52</v>
      </c>
      <c r="G334" s="19" t="s">
        <v>144</v>
      </c>
      <c r="H334" s="19">
        <v>13</v>
      </c>
      <c r="I334" s="51">
        <v>1560</v>
      </c>
      <c r="J334" s="52"/>
      <c r="K334" s="45"/>
      <c r="L334" s="19"/>
      <c r="M334" s="45"/>
      <c r="N334" s="48"/>
      <c r="O334" s="49">
        <f t="shared" ref="O334:O338" si="190">SUM(I334)</f>
        <v>1560</v>
      </c>
      <c r="P334" s="53"/>
      <c r="Q334" s="53"/>
      <c r="R334" s="76">
        <f t="shared" si="187"/>
        <v>917.9625</v>
      </c>
      <c r="S334" s="76"/>
      <c r="T334" s="77">
        <f t="shared" si="188"/>
        <v>8.773375</v>
      </c>
      <c r="U334" s="76"/>
      <c r="V334" s="76"/>
      <c r="W334" s="78">
        <f t="shared" si="182"/>
        <v>926.735875</v>
      </c>
      <c r="X334" s="79">
        <f t="shared" si="189"/>
        <v>47.779875</v>
      </c>
      <c r="Y334" s="79"/>
      <c r="Z334" s="79"/>
      <c r="AA334" s="79">
        <f t="shared" si="186"/>
        <v>47.779875</v>
      </c>
      <c r="AB334" s="90">
        <v>7.15</v>
      </c>
      <c r="AC334" s="76">
        <f t="shared" si="183"/>
        <v>341.62610625</v>
      </c>
      <c r="AD334" s="76">
        <f t="shared" si="184"/>
        <v>1268.36198125</v>
      </c>
      <c r="AE334" s="76">
        <f t="shared" si="185"/>
        <v>291.63801875</v>
      </c>
    </row>
    <row r="335" customFormat="1" spans="1:31">
      <c r="A335" s="18"/>
      <c r="B335" s="19"/>
      <c r="C335" s="20">
        <v>240810000009</v>
      </c>
      <c r="D335" s="21">
        <v>45519</v>
      </c>
      <c r="E335" s="21" t="s">
        <v>51</v>
      </c>
      <c r="F335" s="19" t="s">
        <v>52</v>
      </c>
      <c r="G335" s="19" t="s">
        <v>185</v>
      </c>
      <c r="H335" s="19">
        <v>6.5</v>
      </c>
      <c r="I335" s="51">
        <v>975</v>
      </c>
      <c r="J335" s="52"/>
      <c r="K335" s="45"/>
      <c r="L335" s="19"/>
      <c r="M335" s="45"/>
      <c r="N335" s="48"/>
      <c r="O335" s="49">
        <f t="shared" si="190"/>
        <v>975</v>
      </c>
      <c r="P335" s="53"/>
      <c r="Q335" s="53"/>
      <c r="R335" s="76">
        <f t="shared" si="187"/>
        <v>458.98125</v>
      </c>
      <c r="S335" s="76"/>
      <c r="T335" s="77">
        <f t="shared" si="188"/>
        <v>4.3866875</v>
      </c>
      <c r="U335" s="76"/>
      <c r="V335" s="76"/>
      <c r="W335" s="78">
        <f t="shared" si="182"/>
        <v>463.3679375</v>
      </c>
      <c r="X335" s="79">
        <f t="shared" si="189"/>
        <v>23.8899375</v>
      </c>
      <c r="Y335" s="79"/>
      <c r="Z335" s="79"/>
      <c r="AA335" s="79">
        <f t="shared" si="186"/>
        <v>23.8899375</v>
      </c>
      <c r="AB335" s="90">
        <v>7.15</v>
      </c>
      <c r="AC335" s="76">
        <f t="shared" si="183"/>
        <v>170.813053125</v>
      </c>
      <c r="AD335" s="76">
        <f t="shared" si="184"/>
        <v>634.180990625</v>
      </c>
      <c r="AE335" s="76">
        <f t="shared" si="185"/>
        <v>340.819009375</v>
      </c>
    </row>
    <row r="336" customFormat="1" spans="1:31">
      <c r="A336" s="18"/>
      <c r="B336" s="19"/>
      <c r="C336" s="20">
        <v>240811000011</v>
      </c>
      <c r="D336" s="21">
        <v>45519</v>
      </c>
      <c r="E336" s="21" t="s">
        <v>57</v>
      </c>
      <c r="F336" s="19" t="s">
        <v>57</v>
      </c>
      <c r="G336" s="19" t="s">
        <v>224</v>
      </c>
      <c r="H336" s="19">
        <v>8</v>
      </c>
      <c r="I336" s="51">
        <v>955</v>
      </c>
      <c r="J336" s="52"/>
      <c r="K336" s="45"/>
      <c r="L336" s="19"/>
      <c r="M336" s="45"/>
      <c r="N336" s="48"/>
      <c r="O336" s="49">
        <f t="shared" si="190"/>
        <v>955</v>
      </c>
      <c r="P336" s="53"/>
      <c r="Q336" s="53"/>
      <c r="R336" s="76">
        <f t="shared" si="187"/>
        <v>564.9</v>
      </c>
      <c r="S336" s="76"/>
      <c r="T336" s="77">
        <f t="shared" si="188"/>
        <v>5.399</v>
      </c>
      <c r="U336" s="76"/>
      <c r="V336" s="76"/>
      <c r="W336" s="78">
        <f t="shared" si="182"/>
        <v>570.299</v>
      </c>
      <c r="X336" s="79">
        <f t="shared" si="189"/>
        <v>29.403</v>
      </c>
      <c r="Y336" s="79"/>
      <c r="Z336" s="79"/>
      <c r="AA336" s="79">
        <f t="shared" si="186"/>
        <v>29.403</v>
      </c>
      <c r="AB336" s="90">
        <v>7.15</v>
      </c>
      <c r="AC336" s="76">
        <f t="shared" si="183"/>
        <v>210.23145</v>
      </c>
      <c r="AD336" s="76">
        <f t="shared" si="184"/>
        <v>780.53045</v>
      </c>
      <c r="AE336" s="76">
        <f t="shared" si="185"/>
        <v>174.46955</v>
      </c>
    </row>
    <row r="337" customFormat="1" spans="1:31">
      <c r="A337" s="18"/>
      <c r="B337" s="19"/>
      <c r="C337" s="20">
        <v>240812000006</v>
      </c>
      <c r="D337" s="21">
        <v>45519</v>
      </c>
      <c r="E337" s="21" t="s">
        <v>37</v>
      </c>
      <c r="F337" s="19" t="s">
        <v>38</v>
      </c>
      <c r="G337" s="19" t="s">
        <v>160</v>
      </c>
      <c r="H337" s="19">
        <v>3</v>
      </c>
      <c r="I337" s="51">
        <v>360</v>
      </c>
      <c r="J337" s="52"/>
      <c r="K337" s="45"/>
      <c r="L337" s="19"/>
      <c r="M337" s="45"/>
      <c r="N337" s="48"/>
      <c r="O337" s="49">
        <f t="shared" si="190"/>
        <v>360</v>
      </c>
      <c r="P337" s="53"/>
      <c r="Q337" s="53"/>
      <c r="R337" s="76">
        <f t="shared" si="187"/>
        <v>211.8375</v>
      </c>
      <c r="S337" s="76"/>
      <c r="T337" s="77">
        <f t="shared" si="188"/>
        <v>2.024625</v>
      </c>
      <c r="U337" s="76"/>
      <c r="V337" s="76"/>
      <c r="W337" s="78">
        <f t="shared" si="182"/>
        <v>213.862125</v>
      </c>
      <c r="X337" s="79">
        <f t="shared" si="189"/>
        <v>11.026125</v>
      </c>
      <c r="Y337" s="79"/>
      <c r="Z337" s="79"/>
      <c r="AA337" s="79">
        <f t="shared" si="186"/>
        <v>11.026125</v>
      </c>
      <c r="AB337" s="90">
        <v>7.15</v>
      </c>
      <c r="AC337" s="76">
        <f t="shared" si="183"/>
        <v>78.83679375</v>
      </c>
      <c r="AD337" s="76">
        <f t="shared" si="184"/>
        <v>292.69891875</v>
      </c>
      <c r="AE337" s="76">
        <f t="shared" si="185"/>
        <v>67.30108125</v>
      </c>
    </row>
    <row r="338" customFormat="1" spans="1:31">
      <c r="A338" s="18"/>
      <c r="B338" s="19"/>
      <c r="C338" s="20">
        <v>240812000007</v>
      </c>
      <c r="D338" s="21">
        <v>45519</v>
      </c>
      <c r="E338" s="21" t="s">
        <v>37</v>
      </c>
      <c r="F338" s="19" t="s">
        <v>38</v>
      </c>
      <c r="G338" s="19" t="s">
        <v>220</v>
      </c>
      <c r="H338" s="19">
        <v>0.58</v>
      </c>
      <c r="I338" s="51">
        <v>170</v>
      </c>
      <c r="J338" s="52"/>
      <c r="K338" s="45"/>
      <c r="L338" s="19"/>
      <c r="M338" s="45"/>
      <c r="N338" s="48"/>
      <c r="O338" s="49">
        <f t="shared" si="190"/>
        <v>170</v>
      </c>
      <c r="P338" s="53"/>
      <c r="Q338" s="53"/>
      <c r="R338" s="76">
        <f t="shared" si="187"/>
        <v>40.95525</v>
      </c>
      <c r="S338" s="76"/>
      <c r="T338" s="77">
        <f t="shared" si="188"/>
        <v>0.3914275</v>
      </c>
      <c r="U338" s="77">
        <v>50</v>
      </c>
      <c r="V338" s="76"/>
      <c r="W338" s="78">
        <f t="shared" si="182"/>
        <v>91.3466775</v>
      </c>
      <c r="X338" s="79">
        <f t="shared" si="189"/>
        <v>2.1317175</v>
      </c>
      <c r="Y338" s="79"/>
      <c r="Z338" s="79"/>
      <c r="AA338" s="79">
        <f t="shared" si="186"/>
        <v>2.1317175</v>
      </c>
      <c r="AB338" s="90">
        <v>7.15</v>
      </c>
      <c r="AC338" s="76">
        <f t="shared" si="183"/>
        <v>15.241780125</v>
      </c>
      <c r="AD338" s="76">
        <f t="shared" si="184"/>
        <v>106.588457625</v>
      </c>
      <c r="AE338" s="76">
        <f t="shared" si="185"/>
        <v>63.411542375</v>
      </c>
    </row>
    <row r="339" customFormat="1" spans="1:31">
      <c r="A339" s="18"/>
      <c r="B339" s="19"/>
      <c r="C339" s="20">
        <v>240812000013</v>
      </c>
      <c r="D339" s="21">
        <v>45519</v>
      </c>
      <c r="E339" s="21" t="s">
        <v>37</v>
      </c>
      <c r="F339" s="19" t="s">
        <v>38</v>
      </c>
      <c r="G339" s="19" t="s">
        <v>227</v>
      </c>
      <c r="H339" s="19">
        <v>26.5</v>
      </c>
      <c r="I339" s="43"/>
      <c r="J339" s="44">
        <v>731400</v>
      </c>
      <c r="K339" s="45"/>
      <c r="L339" s="46">
        <f>SUM(J339/M339)</f>
        <v>1644.51939291737</v>
      </c>
      <c r="M339" s="47">
        <v>444.75</v>
      </c>
      <c r="N339" s="48">
        <v>7.15</v>
      </c>
      <c r="O339" s="49">
        <f>SUM(M339*N339)</f>
        <v>3179.9625</v>
      </c>
      <c r="P339" s="53"/>
      <c r="Q339" s="53"/>
      <c r="R339" s="76">
        <f t="shared" si="187"/>
        <v>1871.23125</v>
      </c>
      <c r="S339" s="76"/>
      <c r="T339" s="77">
        <f t="shared" si="188"/>
        <v>17.8841875</v>
      </c>
      <c r="U339" s="76"/>
      <c r="V339" s="76"/>
      <c r="W339" s="78">
        <f t="shared" si="182"/>
        <v>1889.1154375</v>
      </c>
      <c r="X339" s="79">
        <f t="shared" si="189"/>
        <v>97.3974375</v>
      </c>
      <c r="Y339" s="79"/>
      <c r="Z339" s="79"/>
      <c r="AA339" s="79">
        <f t="shared" si="186"/>
        <v>97.3974375</v>
      </c>
      <c r="AB339" s="90">
        <v>7.15</v>
      </c>
      <c r="AC339" s="76">
        <f t="shared" si="183"/>
        <v>696.391678125</v>
      </c>
      <c r="AD339" s="76">
        <f t="shared" si="184"/>
        <v>2585.507115625</v>
      </c>
      <c r="AE339" s="76">
        <f t="shared" si="185"/>
        <v>594.455384375</v>
      </c>
    </row>
    <row r="340" customFormat="1" spans="1:31">
      <c r="A340" s="18"/>
      <c r="B340" s="19"/>
      <c r="C340" s="20">
        <v>240812000019</v>
      </c>
      <c r="D340" s="21">
        <v>45519</v>
      </c>
      <c r="E340" s="21" t="s">
        <v>44</v>
      </c>
      <c r="F340" s="19" t="s">
        <v>45</v>
      </c>
      <c r="G340" s="19" t="s">
        <v>262</v>
      </c>
      <c r="H340" s="19">
        <v>3.5</v>
      </c>
      <c r="I340" s="51">
        <v>402.5</v>
      </c>
      <c r="J340" s="52"/>
      <c r="K340" s="45"/>
      <c r="L340" s="19"/>
      <c r="M340" s="45"/>
      <c r="N340" s="48"/>
      <c r="O340" s="49">
        <f t="shared" ref="O340:O345" si="191">SUM(I340)</f>
        <v>402.5</v>
      </c>
      <c r="P340" s="53"/>
      <c r="Q340" s="53"/>
      <c r="R340" s="76">
        <f t="shared" si="187"/>
        <v>247.14375</v>
      </c>
      <c r="S340" s="76"/>
      <c r="T340" s="77">
        <f t="shared" si="188"/>
        <v>2.3620625</v>
      </c>
      <c r="U340" s="76"/>
      <c r="V340" s="76"/>
      <c r="W340" s="78">
        <f t="shared" si="182"/>
        <v>249.5058125</v>
      </c>
      <c r="X340" s="79">
        <f t="shared" si="189"/>
        <v>12.8638125</v>
      </c>
      <c r="Y340" s="79"/>
      <c r="Z340" s="79"/>
      <c r="AA340" s="79">
        <f t="shared" si="186"/>
        <v>12.8638125</v>
      </c>
      <c r="AB340" s="90">
        <v>7.15</v>
      </c>
      <c r="AC340" s="76">
        <f t="shared" si="183"/>
        <v>91.976259375</v>
      </c>
      <c r="AD340" s="76">
        <f t="shared" si="184"/>
        <v>341.482071875</v>
      </c>
      <c r="AE340" s="76">
        <f t="shared" si="185"/>
        <v>61.017928125</v>
      </c>
    </row>
    <row r="341" customFormat="1" spans="1:31">
      <c r="A341" s="18"/>
      <c r="B341" s="19"/>
      <c r="C341" s="20">
        <v>240812000020</v>
      </c>
      <c r="D341" s="21">
        <v>45519</v>
      </c>
      <c r="E341" s="21" t="s">
        <v>44</v>
      </c>
      <c r="F341" s="19" t="s">
        <v>45</v>
      </c>
      <c r="G341" s="19" t="s">
        <v>291</v>
      </c>
      <c r="H341" s="19">
        <v>0.754</v>
      </c>
      <c r="I341" s="51">
        <v>256</v>
      </c>
      <c r="J341" s="52"/>
      <c r="K341" s="45"/>
      <c r="L341" s="19"/>
      <c r="M341" s="45"/>
      <c r="N341" s="48"/>
      <c r="O341" s="49">
        <f t="shared" si="191"/>
        <v>256</v>
      </c>
      <c r="P341" s="53"/>
      <c r="Q341" s="53"/>
      <c r="R341" s="76">
        <f t="shared" si="187"/>
        <v>53.241825</v>
      </c>
      <c r="S341" s="76"/>
      <c r="T341" s="77">
        <f t="shared" si="188"/>
        <v>0.50885575</v>
      </c>
      <c r="U341" s="76"/>
      <c r="V341" s="76"/>
      <c r="W341" s="78">
        <f t="shared" si="182"/>
        <v>53.75068075</v>
      </c>
      <c r="X341" s="79">
        <f t="shared" si="189"/>
        <v>2.77123275</v>
      </c>
      <c r="Y341" s="79"/>
      <c r="Z341" s="79"/>
      <c r="AA341" s="79">
        <f t="shared" si="186"/>
        <v>2.77123275</v>
      </c>
      <c r="AB341" s="90">
        <v>7.15</v>
      </c>
      <c r="AC341" s="76">
        <f t="shared" si="183"/>
        <v>19.8143141625</v>
      </c>
      <c r="AD341" s="76">
        <f t="shared" si="184"/>
        <v>73.5649949125</v>
      </c>
      <c r="AE341" s="76">
        <f t="shared" si="185"/>
        <v>182.4350050875</v>
      </c>
    </row>
    <row r="342" customFormat="1" spans="1:31">
      <c r="A342" s="18"/>
      <c r="B342" s="19"/>
      <c r="C342" s="20">
        <v>240812000023</v>
      </c>
      <c r="D342" s="21">
        <v>45519</v>
      </c>
      <c r="E342" s="21" t="s">
        <v>44</v>
      </c>
      <c r="F342" s="19" t="s">
        <v>45</v>
      </c>
      <c r="G342" s="19" t="s">
        <v>120</v>
      </c>
      <c r="H342" s="19">
        <v>0.5985</v>
      </c>
      <c r="I342" s="51">
        <v>115</v>
      </c>
      <c r="J342" s="52"/>
      <c r="K342" s="45"/>
      <c r="L342" s="19"/>
      <c r="M342" s="45"/>
      <c r="N342" s="48"/>
      <c r="O342" s="49">
        <f t="shared" si="191"/>
        <v>115</v>
      </c>
      <c r="P342" s="53"/>
      <c r="Q342" s="53"/>
      <c r="R342" s="76">
        <f t="shared" si="187"/>
        <v>42.26158125</v>
      </c>
      <c r="S342" s="76"/>
      <c r="T342" s="77">
        <f t="shared" si="188"/>
        <v>0.4039126875</v>
      </c>
      <c r="U342" s="76"/>
      <c r="V342" s="76"/>
      <c r="W342" s="78">
        <f t="shared" si="182"/>
        <v>42.6654939375</v>
      </c>
      <c r="X342" s="79">
        <f t="shared" si="189"/>
        <v>2.1997119375</v>
      </c>
      <c r="Y342" s="79"/>
      <c r="Z342" s="79"/>
      <c r="AA342" s="79">
        <f t="shared" si="186"/>
        <v>2.1997119375</v>
      </c>
      <c r="AB342" s="90">
        <v>7.15</v>
      </c>
      <c r="AC342" s="76">
        <f t="shared" si="183"/>
        <v>15.727940353125</v>
      </c>
      <c r="AD342" s="76">
        <f t="shared" si="184"/>
        <v>58.393434290625</v>
      </c>
      <c r="AE342" s="76">
        <f t="shared" si="185"/>
        <v>56.606565709375</v>
      </c>
    </row>
    <row r="343" customFormat="1" spans="1:31">
      <c r="A343" s="18"/>
      <c r="B343" s="19"/>
      <c r="C343" s="20">
        <v>240812000028</v>
      </c>
      <c r="D343" s="21">
        <v>45519</v>
      </c>
      <c r="E343" s="21" t="s">
        <v>44</v>
      </c>
      <c r="F343" s="19" t="s">
        <v>45</v>
      </c>
      <c r="G343" s="19" t="s">
        <v>292</v>
      </c>
      <c r="H343" s="19">
        <v>3</v>
      </c>
      <c r="I343" s="51">
        <v>345</v>
      </c>
      <c r="J343" s="52"/>
      <c r="K343" s="45"/>
      <c r="L343" s="19"/>
      <c r="M343" s="45"/>
      <c r="N343" s="48"/>
      <c r="O343" s="49">
        <f t="shared" si="191"/>
        <v>345</v>
      </c>
      <c r="P343" s="53"/>
      <c r="Q343" s="53"/>
      <c r="R343" s="76">
        <f t="shared" si="187"/>
        <v>211.8375</v>
      </c>
      <c r="S343" s="76"/>
      <c r="T343" s="77">
        <f t="shared" si="188"/>
        <v>2.024625</v>
      </c>
      <c r="U343" s="76"/>
      <c r="V343" s="76"/>
      <c r="W343" s="78">
        <f t="shared" si="182"/>
        <v>213.862125</v>
      </c>
      <c r="X343" s="79">
        <f t="shared" si="189"/>
        <v>11.026125</v>
      </c>
      <c r="Y343" s="79"/>
      <c r="Z343" s="79"/>
      <c r="AA343" s="79">
        <f t="shared" si="186"/>
        <v>11.026125</v>
      </c>
      <c r="AB343" s="90">
        <v>7.15</v>
      </c>
      <c r="AC343" s="76">
        <f t="shared" si="183"/>
        <v>78.83679375</v>
      </c>
      <c r="AD343" s="76">
        <f t="shared" si="184"/>
        <v>292.69891875</v>
      </c>
      <c r="AE343" s="76">
        <f t="shared" si="185"/>
        <v>52.30108125</v>
      </c>
    </row>
    <row r="344" customFormat="1" spans="1:31">
      <c r="A344" s="18"/>
      <c r="B344" s="19"/>
      <c r="C344" s="20">
        <v>240812000037</v>
      </c>
      <c r="D344" s="21">
        <v>45519</v>
      </c>
      <c r="E344" s="21" t="s">
        <v>37</v>
      </c>
      <c r="F344" s="19" t="s">
        <v>38</v>
      </c>
      <c r="G344" s="19" t="s">
        <v>75</v>
      </c>
      <c r="H344" s="19">
        <v>2.5</v>
      </c>
      <c r="I344" s="51">
        <v>287.5</v>
      </c>
      <c r="J344" s="52"/>
      <c r="K344" s="45"/>
      <c r="L344" s="19"/>
      <c r="M344" s="45"/>
      <c r="N344" s="48"/>
      <c r="O344" s="49">
        <f t="shared" si="191"/>
        <v>287.5</v>
      </c>
      <c r="P344" s="53"/>
      <c r="Q344" s="53"/>
      <c r="R344" s="76">
        <f t="shared" si="187"/>
        <v>176.53125</v>
      </c>
      <c r="S344" s="76"/>
      <c r="T344" s="77">
        <f t="shared" si="188"/>
        <v>1.6871875</v>
      </c>
      <c r="U344" s="76"/>
      <c r="V344" s="76"/>
      <c r="W344" s="78">
        <f t="shared" si="182"/>
        <v>178.2184375</v>
      </c>
      <c r="X344" s="79">
        <f t="shared" si="189"/>
        <v>9.1884375</v>
      </c>
      <c r="Y344" s="79"/>
      <c r="Z344" s="79"/>
      <c r="AA344" s="79">
        <f t="shared" si="186"/>
        <v>9.1884375</v>
      </c>
      <c r="AB344" s="90">
        <v>7.15</v>
      </c>
      <c r="AC344" s="76">
        <f t="shared" si="183"/>
        <v>65.697328125</v>
      </c>
      <c r="AD344" s="76">
        <f t="shared" si="184"/>
        <v>243.915765625</v>
      </c>
      <c r="AE344" s="76">
        <f t="shared" si="185"/>
        <v>43.584234375</v>
      </c>
    </row>
    <row r="345" customFormat="1" spans="1:31">
      <c r="A345" s="18"/>
      <c r="B345" s="19"/>
      <c r="C345" s="20">
        <v>240812000052</v>
      </c>
      <c r="D345" s="21">
        <v>45519</v>
      </c>
      <c r="E345" s="21" t="s">
        <v>57</v>
      </c>
      <c r="F345" s="19" t="s">
        <v>57</v>
      </c>
      <c r="G345" s="19" t="s">
        <v>69</v>
      </c>
      <c r="H345" s="19">
        <v>24</v>
      </c>
      <c r="I345" s="43">
        <v>3600</v>
      </c>
      <c r="J345" s="52"/>
      <c r="K345" s="45"/>
      <c r="L345" s="19"/>
      <c r="M345" s="45"/>
      <c r="N345" s="48"/>
      <c r="O345" s="49">
        <f t="shared" si="191"/>
        <v>3600</v>
      </c>
      <c r="P345" s="53"/>
      <c r="Q345" s="53"/>
      <c r="R345" s="76">
        <f t="shared" si="187"/>
        <v>1694.7</v>
      </c>
      <c r="S345" s="76"/>
      <c r="T345" s="77">
        <f t="shared" si="188"/>
        <v>16.197</v>
      </c>
      <c r="U345" s="76"/>
      <c r="V345" s="76"/>
      <c r="W345" s="78">
        <f t="shared" si="182"/>
        <v>1710.897</v>
      </c>
      <c r="X345" s="79">
        <f t="shared" si="189"/>
        <v>88.209</v>
      </c>
      <c r="Y345" s="79"/>
      <c r="Z345" s="79"/>
      <c r="AA345" s="79">
        <f t="shared" si="186"/>
        <v>88.209</v>
      </c>
      <c r="AB345" s="90">
        <v>7.15</v>
      </c>
      <c r="AC345" s="76">
        <f t="shared" si="183"/>
        <v>630.69435</v>
      </c>
      <c r="AD345" s="76">
        <f t="shared" si="184"/>
        <v>2341.59135</v>
      </c>
      <c r="AE345" s="76">
        <f t="shared" si="185"/>
        <v>1258.40865</v>
      </c>
    </row>
    <row r="346" customFormat="1" spans="1:31">
      <c r="A346" s="18"/>
      <c r="B346" s="19"/>
      <c r="C346" s="20">
        <v>240812000059</v>
      </c>
      <c r="D346" s="21">
        <v>45519</v>
      </c>
      <c r="E346" s="21" t="s">
        <v>41</v>
      </c>
      <c r="F346" s="19" t="s">
        <v>42</v>
      </c>
      <c r="G346" s="19" t="s">
        <v>178</v>
      </c>
      <c r="H346" s="19">
        <v>0.2</v>
      </c>
      <c r="I346" s="43"/>
      <c r="J346" s="44">
        <v>33750</v>
      </c>
      <c r="K346" s="45"/>
      <c r="L346" s="46">
        <f t="shared" ref="L346:L349" si="192">SUM(J346/M346)</f>
        <v>1609.44206008584</v>
      </c>
      <c r="M346" s="47">
        <v>20.97</v>
      </c>
      <c r="N346" s="48">
        <v>7.15</v>
      </c>
      <c r="O346" s="49">
        <f t="shared" ref="O346:O349" si="193">SUM(M346*N346)</f>
        <v>149.9355</v>
      </c>
      <c r="P346" s="53"/>
      <c r="Q346" s="53"/>
      <c r="R346" s="76">
        <f t="shared" si="187"/>
        <v>14.1225</v>
      </c>
      <c r="S346" s="76"/>
      <c r="T346" s="77">
        <f t="shared" si="188"/>
        <v>0.134975</v>
      </c>
      <c r="U346" s="76"/>
      <c r="V346" s="76"/>
      <c r="W346" s="78">
        <f t="shared" si="182"/>
        <v>14.257475</v>
      </c>
      <c r="X346" s="79">
        <f t="shared" si="189"/>
        <v>0.735075</v>
      </c>
      <c r="Y346" s="79"/>
      <c r="Z346" s="79"/>
      <c r="AA346" s="79">
        <f t="shared" si="186"/>
        <v>0.735075</v>
      </c>
      <c r="AB346" s="90">
        <v>7.15</v>
      </c>
      <c r="AC346" s="76">
        <f t="shared" si="183"/>
        <v>5.25578625</v>
      </c>
      <c r="AD346" s="76">
        <f t="shared" si="184"/>
        <v>19.51326125</v>
      </c>
      <c r="AE346" s="76">
        <f t="shared" si="185"/>
        <v>130.42223875</v>
      </c>
    </row>
    <row r="347" customFormat="1" spans="1:31">
      <c r="A347" s="18"/>
      <c r="B347" s="19"/>
      <c r="C347" s="20">
        <v>240812000065</v>
      </c>
      <c r="D347" s="21">
        <v>45519</v>
      </c>
      <c r="E347" s="21" t="s">
        <v>37</v>
      </c>
      <c r="F347" s="19" t="s">
        <v>38</v>
      </c>
      <c r="G347" s="19" t="s">
        <v>71</v>
      </c>
      <c r="H347" s="19">
        <v>9</v>
      </c>
      <c r="I347" s="49"/>
      <c r="J347" s="44">
        <v>235564</v>
      </c>
      <c r="K347" s="45"/>
      <c r="L347" s="46">
        <f t="shared" si="192"/>
        <v>1615.99791562035</v>
      </c>
      <c r="M347" s="47">
        <v>145.76999</v>
      </c>
      <c r="N347" s="48">
        <v>7.15</v>
      </c>
      <c r="O347" s="49">
        <f t="shared" si="193"/>
        <v>1042.2554285</v>
      </c>
      <c r="P347" s="53"/>
      <c r="Q347" s="53"/>
      <c r="R347" s="76">
        <f t="shared" si="187"/>
        <v>635.5125</v>
      </c>
      <c r="S347" s="76"/>
      <c r="T347" s="77">
        <f t="shared" si="188"/>
        <v>6.073875</v>
      </c>
      <c r="U347" s="76"/>
      <c r="V347" s="76"/>
      <c r="W347" s="78">
        <f t="shared" si="182"/>
        <v>641.586375</v>
      </c>
      <c r="X347" s="79">
        <f t="shared" si="189"/>
        <v>33.078375</v>
      </c>
      <c r="Y347" s="79"/>
      <c r="Z347" s="79"/>
      <c r="AA347" s="79">
        <f t="shared" si="186"/>
        <v>33.078375</v>
      </c>
      <c r="AB347" s="90">
        <v>7.15</v>
      </c>
      <c r="AC347" s="76">
        <f t="shared" si="183"/>
        <v>236.51038125</v>
      </c>
      <c r="AD347" s="76">
        <f t="shared" si="184"/>
        <v>878.09675625</v>
      </c>
      <c r="AE347" s="76">
        <f t="shared" si="185"/>
        <v>164.15867225</v>
      </c>
    </row>
    <row r="348" customFormat="1" spans="1:31">
      <c r="A348" s="18"/>
      <c r="B348" s="19"/>
      <c r="C348" s="20">
        <v>240813000003</v>
      </c>
      <c r="D348" s="21">
        <v>45519</v>
      </c>
      <c r="E348" s="21" t="s">
        <v>82</v>
      </c>
      <c r="F348" s="19" t="s">
        <v>83</v>
      </c>
      <c r="G348" s="19" t="s">
        <v>137</v>
      </c>
      <c r="H348" s="19">
        <v>3.5</v>
      </c>
      <c r="I348" s="51">
        <v>434.5</v>
      </c>
      <c r="J348" s="52"/>
      <c r="K348" s="45"/>
      <c r="L348" s="19"/>
      <c r="M348" s="45"/>
      <c r="N348" s="48"/>
      <c r="O348" s="49">
        <f t="shared" ref="O348:O351" si="194">SUM(I348)</f>
        <v>434.5</v>
      </c>
      <c r="P348" s="53"/>
      <c r="Q348" s="53"/>
      <c r="R348" s="76">
        <f t="shared" si="187"/>
        <v>247.14375</v>
      </c>
      <c r="S348" s="76"/>
      <c r="T348" s="77">
        <f t="shared" si="188"/>
        <v>2.3620625</v>
      </c>
      <c r="U348" s="76"/>
      <c r="V348" s="76"/>
      <c r="W348" s="78">
        <f t="shared" si="182"/>
        <v>249.5058125</v>
      </c>
      <c r="X348" s="79">
        <f t="shared" si="189"/>
        <v>12.8638125</v>
      </c>
      <c r="Y348" s="79">
        <v>4.4</v>
      </c>
      <c r="Z348" s="79"/>
      <c r="AA348" s="79">
        <f t="shared" si="186"/>
        <v>17.2638125</v>
      </c>
      <c r="AB348" s="90">
        <v>7.15</v>
      </c>
      <c r="AC348" s="76">
        <f t="shared" si="183"/>
        <v>123.436259375</v>
      </c>
      <c r="AD348" s="76">
        <f t="shared" si="184"/>
        <v>372.942071875</v>
      </c>
      <c r="AE348" s="76">
        <f t="shared" si="185"/>
        <v>61.557928125</v>
      </c>
    </row>
    <row r="349" customFormat="1" spans="1:31">
      <c r="A349" s="18"/>
      <c r="B349" s="19"/>
      <c r="C349" s="20">
        <v>240813000004</v>
      </c>
      <c r="D349" s="21">
        <v>45519</v>
      </c>
      <c r="E349" s="21" t="s">
        <v>41</v>
      </c>
      <c r="F349" s="19" t="s">
        <v>42</v>
      </c>
      <c r="G349" s="19" t="s">
        <v>81</v>
      </c>
      <c r="H349" s="19">
        <v>1.5</v>
      </c>
      <c r="I349" s="43"/>
      <c r="J349" s="44">
        <v>38467.5</v>
      </c>
      <c r="K349" s="45"/>
      <c r="L349" s="46">
        <f t="shared" si="192"/>
        <v>1594.83830845771</v>
      </c>
      <c r="M349" s="47">
        <v>24.12</v>
      </c>
      <c r="N349" s="48">
        <v>7.15</v>
      </c>
      <c r="O349" s="49">
        <f t="shared" si="193"/>
        <v>172.458</v>
      </c>
      <c r="P349" s="53"/>
      <c r="Q349" s="53"/>
      <c r="R349" s="76">
        <f t="shared" si="187"/>
        <v>105.91875</v>
      </c>
      <c r="S349" s="76"/>
      <c r="T349" s="77">
        <f t="shared" si="188"/>
        <v>1.0123125</v>
      </c>
      <c r="U349" s="76"/>
      <c r="V349" s="76"/>
      <c r="W349" s="78">
        <f t="shared" si="182"/>
        <v>106.9310625</v>
      </c>
      <c r="X349" s="79">
        <f t="shared" si="189"/>
        <v>5.5130625</v>
      </c>
      <c r="Y349" s="79"/>
      <c r="Z349" s="79"/>
      <c r="AA349" s="79">
        <f t="shared" si="186"/>
        <v>5.5130625</v>
      </c>
      <c r="AB349" s="90">
        <v>7.15</v>
      </c>
      <c r="AC349" s="76">
        <f t="shared" si="183"/>
        <v>39.418396875</v>
      </c>
      <c r="AD349" s="76">
        <f t="shared" si="184"/>
        <v>146.349459375</v>
      </c>
      <c r="AE349" s="76">
        <f t="shared" si="185"/>
        <v>26.108540625</v>
      </c>
    </row>
    <row r="350" customFormat="1" spans="1:31">
      <c r="A350" s="18"/>
      <c r="B350" s="19"/>
      <c r="C350" s="20">
        <v>240813000013</v>
      </c>
      <c r="D350" s="21">
        <v>45519</v>
      </c>
      <c r="E350" s="21" t="s">
        <v>57</v>
      </c>
      <c r="F350" s="19" t="s">
        <v>57</v>
      </c>
      <c r="G350" s="19" t="s">
        <v>150</v>
      </c>
      <c r="H350" s="19">
        <v>3</v>
      </c>
      <c r="I350" s="51">
        <v>345</v>
      </c>
      <c r="J350" s="52"/>
      <c r="K350" s="45"/>
      <c r="L350" s="19"/>
      <c r="M350" s="45"/>
      <c r="N350" s="48"/>
      <c r="O350" s="49">
        <f t="shared" si="194"/>
        <v>345</v>
      </c>
      <c r="P350" s="53"/>
      <c r="Q350" s="53"/>
      <c r="R350" s="76">
        <f t="shared" si="187"/>
        <v>211.8375</v>
      </c>
      <c r="S350" s="76"/>
      <c r="T350" s="77">
        <f t="shared" si="188"/>
        <v>2.024625</v>
      </c>
      <c r="U350" s="76"/>
      <c r="V350" s="76"/>
      <c r="W350" s="78">
        <f t="shared" si="182"/>
        <v>213.862125</v>
      </c>
      <c r="X350" s="79">
        <f t="shared" si="189"/>
        <v>11.026125</v>
      </c>
      <c r="Y350" s="79"/>
      <c r="Z350" s="79"/>
      <c r="AA350" s="79">
        <f t="shared" si="186"/>
        <v>11.026125</v>
      </c>
      <c r="AB350" s="90">
        <v>7.15</v>
      </c>
      <c r="AC350" s="76">
        <f t="shared" si="183"/>
        <v>78.83679375</v>
      </c>
      <c r="AD350" s="76">
        <f t="shared" si="184"/>
        <v>292.69891875</v>
      </c>
      <c r="AE350" s="76">
        <f t="shared" si="185"/>
        <v>52.30108125</v>
      </c>
    </row>
    <row r="351" customFormat="1" spans="1:31">
      <c r="A351" s="18"/>
      <c r="B351" s="19"/>
      <c r="C351" s="20">
        <v>240813000015</v>
      </c>
      <c r="D351" s="21">
        <v>45519</v>
      </c>
      <c r="E351" s="21" t="s">
        <v>51</v>
      </c>
      <c r="F351" s="19" t="s">
        <v>52</v>
      </c>
      <c r="G351" s="19" t="s">
        <v>185</v>
      </c>
      <c r="H351" s="19">
        <v>9.5</v>
      </c>
      <c r="I351" s="51">
        <v>1140</v>
      </c>
      <c r="J351" s="52"/>
      <c r="K351" s="45"/>
      <c r="L351" s="19"/>
      <c r="M351" s="45"/>
      <c r="N351" s="48"/>
      <c r="O351" s="49">
        <f t="shared" si="194"/>
        <v>1140</v>
      </c>
      <c r="P351" s="53"/>
      <c r="Q351" s="53"/>
      <c r="R351" s="76">
        <f t="shared" si="187"/>
        <v>670.81875</v>
      </c>
      <c r="S351" s="76"/>
      <c r="T351" s="77">
        <f t="shared" si="188"/>
        <v>6.4113125</v>
      </c>
      <c r="U351" s="76"/>
      <c r="V351" s="76"/>
      <c r="W351" s="78">
        <f t="shared" si="182"/>
        <v>677.2300625</v>
      </c>
      <c r="X351" s="79">
        <f t="shared" si="189"/>
        <v>34.9160625</v>
      </c>
      <c r="Y351" s="79"/>
      <c r="Z351" s="79"/>
      <c r="AA351" s="79">
        <f t="shared" si="186"/>
        <v>34.9160625</v>
      </c>
      <c r="AB351" s="90">
        <v>7.15</v>
      </c>
      <c r="AC351" s="76">
        <f t="shared" si="183"/>
        <v>249.649846875</v>
      </c>
      <c r="AD351" s="76">
        <f t="shared" si="184"/>
        <v>926.879909375</v>
      </c>
      <c r="AE351" s="76">
        <f t="shared" si="185"/>
        <v>213.120090625</v>
      </c>
    </row>
    <row r="352" customFormat="1" spans="1:31">
      <c r="A352" s="18"/>
      <c r="B352" s="19"/>
      <c r="C352" s="20">
        <v>240813000021</v>
      </c>
      <c r="D352" s="21">
        <v>45519</v>
      </c>
      <c r="E352" s="21" t="s">
        <v>37</v>
      </c>
      <c r="F352" s="19" t="s">
        <v>204</v>
      </c>
      <c r="G352" s="19" t="s">
        <v>205</v>
      </c>
      <c r="H352" s="19">
        <v>3.5</v>
      </c>
      <c r="I352" s="57">
        <v>402.5</v>
      </c>
      <c r="J352" s="52"/>
      <c r="K352" s="45"/>
      <c r="L352" s="19"/>
      <c r="M352" s="45"/>
      <c r="N352" s="48"/>
      <c r="O352" s="49">
        <f>SUBTOTAL(9,I352)</f>
        <v>402.5</v>
      </c>
      <c r="P352" s="53"/>
      <c r="Q352" s="53"/>
      <c r="R352" s="76">
        <f t="shared" si="187"/>
        <v>247.14375</v>
      </c>
      <c r="S352" s="76"/>
      <c r="T352" s="77">
        <f t="shared" si="188"/>
        <v>2.3620625</v>
      </c>
      <c r="U352" s="76"/>
      <c r="V352" s="76"/>
      <c r="W352" s="78">
        <f t="shared" si="182"/>
        <v>249.5058125</v>
      </c>
      <c r="X352" s="79">
        <f t="shared" si="189"/>
        <v>12.8638125</v>
      </c>
      <c r="Y352" s="79"/>
      <c r="Z352" s="79"/>
      <c r="AA352" s="79">
        <f t="shared" si="186"/>
        <v>12.8638125</v>
      </c>
      <c r="AB352" s="90">
        <v>7.15</v>
      </c>
      <c r="AC352" s="76">
        <f t="shared" si="183"/>
        <v>91.976259375</v>
      </c>
      <c r="AD352" s="76">
        <f t="shared" si="184"/>
        <v>341.482071875</v>
      </c>
      <c r="AE352" s="76">
        <f t="shared" si="185"/>
        <v>61.017928125</v>
      </c>
    </row>
    <row r="353" customFormat="1" spans="1:31">
      <c r="A353" s="18"/>
      <c r="B353" s="19"/>
      <c r="C353" s="20">
        <v>240813000033</v>
      </c>
      <c r="D353" s="21">
        <v>45519</v>
      </c>
      <c r="E353" s="21" t="s">
        <v>37</v>
      </c>
      <c r="F353" s="19" t="s">
        <v>38</v>
      </c>
      <c r="G353" s="19" t="s">
        <v>230</v>
      </c>
      <c r="H353" s="19">
        <v>2</v>
      </c>
      <c r="I353" s="51">
        <v>200</v>
      </c>
      <c r="J353" s="52"/>
      <c r="K353" s="45"/>
      <c r="L353" s="19"/>
      <c r="M353" s="45"/>
      <c r="N353" s="48"/>
      <c r="O353" s="49">
        <f t="shared" ref="O353:O361" si="195">SUM(I353)</f>
        <v>200</v>
      </c>
      <c r="P353" s="53"/>
      <c r="Q353" s="53"/>
      <c r="R353" s="76">
        <f t="shared" si="187"/>
        <v>141.225</v>
      </c>
      <c r="S353" s="76"/>
      <c r="T353" s="77">
        <f t="shared" si="188"/>
        <v>1.34975</v>
      </c>
      <c r="U353" s="76"/>
      <c r="V353" s="76"/>
      <c r="W353" s="78">
        <f t="shared" si="182"/>
        <v>142.57475</v>
      </c>
      <c r="X353" s="79">
        <f t="shared" si="189"/>
        <v>7.35075</v>
      </c>
      <c r="Y353" s="79"/>
      <c r="Z353" s="79"/>
      <c r="AA353" s="79">
        <f t="shared" si="186"/>
        <v>7.35075</v>
      </c>
      <c r="AB353" s="90">
        <v>7.15</v>
      </c>
      <c r="AC353" s="76">
        <f t="shared" ref="AC353:AC384" si="196">SUM(AA353*AB353)</f>
        <v>52.5578625</v>
      </c>
      <c r="AD353" s="76">
        <f t="shared" ref="AD353:AD384" si="197">SUM(W353+AC353)</f>
        <v>195.1326125</v>
      </c>
      <c r="AE353" s="76">
        <f t="shared" si="185"/>
        <v>4.86738750000001</v>
      </c>
    </row>
    <row r="354" customFormat="1" spans="1:31">
      <c r="A354" s="18"/>
      <c r="B354" s="19"/>
      <c r="C354" s="20">
        <v>240814000022</v>
      </c>
      <c r="D354" s="21">
        <v>45519</v>
      </c>
      <c r="E354" s="21" t="s">
        <v>41</v>
      </c>
      <c r="F354" s="19" t="s">
        <v>42</v>
      </c>
      <c r="G354" s="19" t="s">
        <v>293</v>
      </c>
      <c r="H354" s="19">
        <v>2</v>
      </c>
      <c r="I354" s="51">
        <v>320</v>
      </c>
      <c r="J354" s="52"/>
      <c r="K354" s="45"/>
      <c r="L354" s="19"/>
      <c r="M354" s="45"/>
      <c r="N354" s="48"/>
      <c r="O354" s="49">
        <f t="shared" si="195"/>
        <v>320</v>
      </c>
      <c r="P354" s="54"/>
      <c r="Q354" s="54"/>
      <c r="R354" s="76">
        <f t="shared" si="187"/>
        <v>141.225</v>
      </c>
      <c r="S354" s="76"/>
      <c r="T354" s="77">
        <f t="shared" si="188"/>
        <v>1.34975</v>
      </c>
      <c r="U354" s="76"/>
      <c r="V354" s="76"/>
      <c r="W354" s="78">
        <f t="shared" ref="W354:W385" si="198">SUM(R354:V354)</f>
        <v>142.57475</v>
      </c>
      <c r="X354" s="79">
        <f t="shared" si="189"/>
        <v>7.35075</v>
      </c>
      <c r="Y354" s="79"/>
      <c r="Z354" s="79"/>
      <c r="AA354" s="79">
        <f t="shared" ref="AA354:AA385" si="199">SUM(X354:Z354)</f>
        <v>7.35075</v>
      </c>
      <c r="AB354" s="90">
        <v>7.15</v>
      </c>
      <c r="AC354" s="76">
        <f t="shared" si="196"/>
        <v>52.5578625</v>
      </c>
      <c r="AD354" s="76">
        <f t="shared" si="197"/>
        <v>195.1326125</v>
      </c>
      <c r="AE354" s="76">
        <f t="shared" ref="AE354:AE385" si="200">SUM(O354-AD354)</f>
        <v>124.8673875</v>
      </c>
    </row>
    <row r="355" customFormat="1" spans="1:31">
      <c r="A355" s="18" t="s">
        <v>294</v>
      </c>
      <c r="B355" s="19" t="s">
        <v>295</v>
      </c>
      <c r="C355" s="20">
        <v>240804000002</v>
      </c>
      <c r="D355" s="21">
        <v>45520</v>
      </c>
      <c r="E355" s="21" t="s">
        <v>127</v>
      </c>
      <c r="F355" s="19"/>
      <c r="G355" s="19" t="s">
        <v>296</v>
      </c>
      <c r="H355" s="19">
        <v>0.92</v>
      </c>
      <c r="I355" s="49"/>
      <c r="J355" s="44">
        <v>15876</v>
      </c>
      <c r="K355" s="45"/>
      <c r="L355" s="46">
        <f>SUM(J355/M355)</f>
        <v>1640.0826446281</v>
      </c>
      <c r="M355" s="47">
        <v>9.68</v>
      </c>
      <c r="N355" s="48">
        <v>7.15</v>
      </c>
      <c r="O355" s="100">
        <f>SUM(M355*N355)</f>
        <v>69.212</v>
      </c>
      <c r="P355" s="50">
        <f>SUM(O355:O420)</f>
        <v>221168.8944142</v>
      </c>
      <c r="Q355" s="50" t="s">
        <v>40</v>
      </c>
      <c r="R355" s="76">
        <f>SUM(152484.4/3206)*H355</f>
        <v>43.7572202121023</v>
      </c>
      <c r="S355" s="76"/>
      <c r="T355" s="77">
        <f>SUM(260/3206)*H355</f>
        <v>0.0746101060511541</v>
      </c>
      <c r="U355" s="76"/>
      <c r="V355" s="76"/>
      <c r="W355" s="78">
        <f t="shared" si="198"/>
        <v>43.8318303181535</v>
      </c>
      <c r="X355" s="79">
        <f>SUM(3369.9/3206)*H355</f>
        <v>0.967033063006862</v>
      </c>
      <c r="Y355" s="79"/>
      <c r="Z355" s="79"/>
      <c r="AA355" s="79">
        <f t="shared" si="199"/>
        <v>0.967033063006862</v>
      </c>
      <c r="AB355" s="90">
        <v>7.15</v>
      </c>
      <c r="AC355" s="76">
        <f t="shared" si="196"/>
        <v>6.91428640049906</v>
      </c>
      <c r="AD355" s="76">
        <f t="shared" si="197"/>
        <v>50.7461167186525</v>
      </c>
      <c r="AE355" s="76">
        <f t="shared" si="200"/>
        <v>18.4658832813475</v>
      </c>
    </row>
    <row r="356" customFormat="1" spans="1:31">
      <c r="A356" s="18"/>
      <c r="B356" s="19"/>
      <c r="C356" s="20">
        <v>240805000013</v>
      </c>
      <c r="D356" s="21">
        <v>45520</v>
      </c>
      <c r="E356" s="21" t="s">
        <v>82</v>
      </c>
      <c r="F356" s="19" t="s">
        <v>83</v>
      </c>
      <c r="G356" s="19" t="s">
        <v>297</v>
      </c>
      <c r="H356" s="19">
        <v>6</v>
      </c>
      <c r="I356" s="51">
        <v>414.8</v>
      </c>
      <c r="J356" s="52"/>
      <c r="K356" s="45"/>
      <c r="L356" s="19"/>
      <c r="M356" s="45"/>
      <c r="N356" s="48"/>
      <c r="O356" s="100">
        <f t="shared" si="195"/>
        <v>414.8</v>
      </c>
      <c r="P356" s="53"/>
      <c r="Q356" s="53"/>
      <c r="R356" s="76">
        <f t="shared" ref="R356:R387" si="201">SUM(152484.4/3206)*H356</f>
        <v>285.373175296319</v>
      </c>
      <c r="S356" s="76"/>
      <c r="T356" s="77">
        <f t="shared" ref="T356:T387" si="202">SUM(260/3206)*H356</f>
        <v>0.486587648159701</v>
      </c>
      <c r="U356" s="76"/>
      <c r="V356" s="76"/>
      <c r="W356" s="78">
        <f t="shared" si="198"/>
        <v>285.859762944479</v>
      </c>
      <c r="X356" s="79">
        <f t="shared" ref="X356:X387" si="203">SUM(3369.9/3206)*H356</f>
        <v>6.30673736743606</v>
      </c>
      <c r="Y356" s="79"/>
      <c r="Z356" s="79"/>
      <c r="AA356" s="79">
        <f t="shared" si="199"/>
        <v>6.30673736743606</v>
      </c>
      <c r="AB356" s="90">
        <v>7.15</v>
      </c>
      <c r="AC356" s="76">
        <f t="shared" si="196"/>
        <v>45.0931721771678</v>
      </c>
      <c r="AD356" s="76">
        <f t="shared" si="197"/>
        <v>330.952935121647</v>
      </c>
      <c r="AE356" s="76">
        <f t="shared" si="200"/>
        <v>83.847064878353</v>
      </c>
    </row>
    <row r="357" customFormat="1" spans="1:31">
      <c r="A357" s="18"/>
      <c r="B357" s="19"/>
      <c r="C357" s="20">
        <v>240806000017</v>
      </c>
      <c r="D357" s="21">
        <v>45520</v>
      </c>
      <c r="E357" s="21" t="s">
        <v>37</v>
      </c>
      <c r="F357" s="19" t="s">
        <v>38</v>
      </c>
      <c r="G357" s="19" t="s">
        <v>298</v>
      </c>
      <c r="H357" s="19">
        <v>18</v>
      </c>
      <c r="I357" s="51">
        <v>1110</v>
      </c>
      <c r="J357" s="52"/>
      <c r="K357" s="45"/>
      <c r="L357" s="19"/>
      <c r="M357" s="45"/>
      <c r="N357" s="48"/>
      <c r="O357" s="100">
        <f t="shared" si="195"/>
        <v>1110</v>
      </c>
      <c r="P357" s="53"/>
      <c r="Q357" s="53"/>
      <c r="R357" s="76">
        <f t="shared" si="201"/>
        <v>856.119525888958</v>
      </c>
      <c r="S357" s="76"/>
      <c r="T357" s="77">
        <f t="shared" si="202"/>
        <v>1.4597629444791</v>
      </c>
      <c r="U357" s="76">
        <v>30</v>
      </c>
      <c r="V357" s="76"/>
      <c r="W357" s="78">
        <f t="shared" si="198"/>
        <v>887.579288833437</v>
      </c>
      <c r="X357" s="79">
        <f t="shared" si="203"/>
        <v>18.9202121023082</v>
      </c>
      <c r="Y357" s="79"/>
      <c r="Z357" s="79"/>
      <c r="AA357" s="79">
        <f t="shared" si="199"/>
        <v>18.9202121023082</v>
      </c>
      <c r="AB357" s="90">
        <v>7.15</v>
      </c>
      <c r="AC357" s="76">
        <f t="shared" si="196"/>
        <v>135.279516531503</v>
      </c>
      <c r="AD357" s="76">
        <f t="shared" si="197"/>
        <v>1022.85880536494</v>
      </c>
      <c r="AE357" s="76">
        <f t="shared" si="200"/>
        <v>87.1411946350599</v>
      </c>
    </row>
    <row r="358" customFormat="1" spans="1:31">
      <c r="A358" s="18"/>
      <c r="B358" s="19"/>
      <c r="C358" s="20">
        <v>240806000018</v>
      </c>
      <c r="D358" s="21">
        <v>45520</v>
      </c>
      <c r="E358" s="21" t="s">
        <v>37</v>
      </c>
      <c r="F358" s="19" t="s">
        <v>38</v>
      </c>
      <c r="G358" s="19" t="s">
        <v>87</v>
      </c>
      <c r="H358" s="19">
        <v>11</v>
      </c>
      <c r="I358" s="51">
        <v>617.5</v>
      </c>
      <c r="J358" s="52"/>
      <c r="K358" s="45"/>
      <c r="L358" s="19"/>
      <c r="M358" s="45"/>
      <c r="N358" s="48"/>
      <c r="O358" s="100">
        <f t="shared" si="195"/>
        <v>617.5</v>
      </c>
      <c r="P358" s="53"/>
      <c r="Q358" s="53"/>
      <c r="R358" s="76">
        <f t="shared" si="201"/>
        <v>523.184154709919</v>
      </c>
      <c r="S358" s="76"/>
      <c r="T358" s="77">
        <f t="shared" si="202"/>
        <v>0.892077354959451</v>
      </c>
      <c r="U358" s="76"/>
      <c r="V358" s="76"/>
      <c r="W358" s="78">
        <f t="shared" si="198"/>
        <v>524.076232064878</v>
      </c>
      <c r="X358" s="79">
        <f t="shared" si="203"/>
        <v>11.5623518402994</v>
      </c>
      <c r="Y358" s="79"/>
      <c r="Z358" s="79"/>
      <c r="AA358" s="79">
        <f t="shared" si="199"/>
        <v>11.5623518402994</v>
      </c>
      <c r="AB358" s="90">
        <v>7.15</v>
      </c>
      <c r="AC358" s="76">
        <f t="shared" si="196"/>
        <v>82.670815658141</v>
      </c>
      <c r="AD358" s="76">
        <f t="shared" si="197"/>
        <v>606.747047723019</v>
      </c>
      <c r="AE358" s="76">
        <f t="shared" si="200"/>
        <v>10.752952276981</v>
      </c>
    </row>
    <row r="359" customFormat="1" spans="1:31">
      <c r="A359" s="18"/>
      <c r="B359" s="19"/>
      <c r="C359" s="20">
        <v>240806000029</v>
      </c>
      <c r="D359" s="21">
        <v>45520</v>
      </c>
      <c r="E359" s="21" t="s">
        <v>44</v>
      </c>
      <c r="F359" s="19" t="s">
        <v>45</v>
      </c>
      <c r="G359" s="19" t="s">
        <v>299</v>
      </c>
      <c r="H359" s="19">
        <v>6.5</v>
      </c>
      <c r="I359" s="51">
        <v>457</v>
      </c>
      <c r="J359" s="52"/>
      <c r="K359" s="45"/>
      <c r="L359" s="19"/>
      <c r="M359" s="45"/>
      <c r="N359" s="48"/>
      <c r="O359" s="100">
        <f t="shared" si="195"/>
        <v>457</v>
      </c>
      <c r="P359" s="53"/>
      <c r="Q359" s="53"/>
      <c r="R359" s="76">
        <f t="shared" si="201"/>
        <v>309.154273237679</v>
      </c>
      <c r="S359" s="76"/>
      <c r="T359" s="77">
        <f t="shared" si="202"/>
        <v>0.527136618839676</v>
      </c>
      <c r="U359" s="76"/>
      <c r="V359" s="76"/>
      <c r="W359" s="78">
        <f t="shared" si="198"/>
        <v>309.681409856519</v>
      </c>
      <c r="X359" s="79">
        <f t="shared" si="203"/>
        <v>6.8322988147224</v>
      </c>
      <c r="Y359" s="79"/>
      <c r="Z359" s="79"/>
      <c r="AA359" s="79">
        <f t="shared" si="199"/>
        <v>6.8322988147224</v>
      </c>
      <c r="AB359" s="90">
        <v>7.15</v>
      </c>
      <c r="AC359" s="76">
        <f t="shared" si="196"/>
        <v>48.8509365252651</v>
      </c>
      <c r="AD359" s="76">
        <f t="shared" si="197"/>
        <v>358.532346381784</v>
      </c>
      <c r="AE359" s="76">
        <f t="shared" si="200"/>
        <v>98.467653618216</v>
      </c>
    </row>
    <row r="360" customFormat="1" spans="1:31">
      <c r="A360" s="18"/>
      <c r="B360" s="19"/>
      <c r="C360" s="20">
        <v>240807000001</v>
      </c>
      <c r="D360" s="21">
        <v>45520</v>
      </c>
      <c r="E360" s="21" t="s">
        <v>44</v>
      </c>
      <c r="F360" s="19" t="s">
        <v>45</v>
      </c>
      <c r="G360" s="19" t="s">
        <v>120</v>
      </c>
      <c r="H360" s="19">
        <v>5.5</v>
      </c>
      <c r="I360" s="51">
        <v>366</v>
      </c>
      <c r="J360" s="52"/>
      <c r="K360" s="45"/>
      <c r="L360" s="19"/>
      <c r="M360" s="45"/>
      <c r="N360" s="48"/>
      <c r="O360" s="100">
        <f t="shared" si="195"/>
        <v>366</v>
      </c>
      <c r="P360" s="53"/>
      <c r="Q360" s="53"/>
      <c r="R360" s="76">
        <f t="shared" si="201"/>
        <v>261.592077354959</v>
      </c>
      <c r="S360" s="76"/>
      <c r="T360" s="77">
        <f t="shared" si="202"/>
        <v>0.446038677479725</v>
      </c>
      <c r="U360" s="76"/>
      <c r="V360" s="76"/>
      <c r="W360" s="78">
        <f t="shared" si="198"/>
        <v>262.038116032439</v>
      </c>
      <c r="X360" s="79">
        <f t="shared" si="203"/>
        <v>5.78117592014972</v>
      </c>
      <c r="Y360" s="79"/>
      <c r="Z360" s="79"/>
      <c r="AA360" s="79">
        <f t="shared" si="199"/>
        <v>5.78117592014972</v>
      </c>
      <c r="AB360" s="90">
        <v>7.15</v>
      </c>
      <c r="AC360" s="76">
        <f t="shared" si="196"/>
        <v>41.3354078290705</v>
      </c>
      <c r="AD360" s="76">
        <f t="shared" si="197"/>
        <v>303.37352386151</v>
      </c>
      <c r="AE360" s="76">
        <f t="shared" si="200"/>
        <v>62.62647613849</v>
      </c>
    </row>
    <row r="361" customFormat="1" spans="1:31">
      <c r="A361" s="18"/>
      <c r="B361" s="19"/>
      <c r="C361" s="20">
        <v>240807000003</v>
      </c>
      <c r="D361" s="21">
        <v>45520</v>
      </c>
      <c r="E361" s="21" t="s">
        <v>44</v>
      </c>
      <c r="F361" s="19" t="s">
        <v>45</v>
      </c>
      <c r="G361" s="19" t="s">
        <v>46</v>
      </c>
      <c r="H361" s="19">
        <v>5</v>
      </c>
      <c r="I361" s="51">
        <v>333</v>
      </c>
      <c r="J361" s="52"/>
      <c r="K361" s="45"/>
      <c r="L361" s="19"/>
      <c r="M361" s="45"/>
      <c r="N361" s="48"/>
      <c r="O361" s="100">
        <f t="shared" si="195"/>
        <v>333</v>
      </c>
      <c r="P361" s="53"/>
      <c r="Q361" s="53"/>
      <c r="R361" s="76">
        <f t="shared" si="201"/>
        <v>237.810979413599</v>
      </c>
      <c r="S361" s="76"/>
      <c r="T361" s="77">
        <f t="shared" si="202"/>
        <v>0.40548970679975</v>
      </c>
      <c r="U361" s="76"/>
      <c r="V361" s="76"/>
      <c r="W361" s="78">
        <f t="shared" si="198"/>
        <v>238.216469120399</v>
      </c>
      <c r="X361" s="79">
        <f t="shared" si="203"/>
        <v>5.25561447286338</v>
      </c>
      <c r="Y361" s="79"/>
      <c r="Z361" s="79"/>
      <c r="AA361" s="79">
        <f t="shared" si="199"/>
        <v>5.25561447286338</v>
      </c>
      <c r="AB361" s="90">
        <v>7.15</v>
      </c>
      <c r="AC361" s="76">
        <f t="shared" si="196"/>
        <v>37.5776434809732</v>
      </c>
      <c r="AD361" s="76">
        <f t="shared" si="197"/>
        <v>275.794112601372</v>
      </c>
      <c r="AE361" s="76">
        <f t="shared" si="200"/>
        <v>57.205887398628</v>
      </c>
    </row>
    <row r="362" customFormat="1" spans="1:31">
      <c r="A362" s="18"/>
      <c r="B362" s="19"/>
      <c r="C362" s="20">
        <v>240807000023</v>
      </c>
      <c r="D362" s="21">
        <v>45520</v>
      </c>
      <c r="E362" s="21" t="s">
        <v>37</v>
      </c>
      <c r="F362" s="19" t="s">
        <v>38</v>
      </c>
      <c r="G362" s="19" t="s">
        <v>50</v>
      </c>
      <c r="H362" s="19">
        <v>2.5</v>
      </c>
      <c r="I362" s="43"/>
      <c r="J362" s="44">
        <v>34655</v>
      </c>
      <c r="K362" s="45"/>
      <c r="L362" s="46">
        <f>SUM(J362/M362)</f>
        <v>1709.6694622595</v>
      </c>
      <c r="M362" s="47">
        <v>20.27</v>
      </c>
      <c r="N362" s="48">
        <v>7.15</v>
      </c>
      <c r="O362" s="49">
        <f>SUM(M362*N362)</f>
        <v>144.9305</v>
      </c>
      <c r="P362" s="53"/>
      <c r="Q362" s="53"/>
      <c r="R362" s="76">
        <f t="shared" si="201"/>
        <v>118.9054897068</v>
      </c>
      <c r="S362" s="76"/>
      <c r="T362" s="77">
        <f t="shared" si="202"/>
        <v>0.202744853399875</v>
      </c>
      <c r="U362" s="76"/>
      <c r="V362" s="76"/>
      <c r="W362" s="78">
        <f t="shared" si="198"/>
        <v>119.1082345602</v>
      </c>
      <c r="X362" s="79">
        <f t="shared" si="203"/>
        <v>2.62780723643169</v>
      </c>
      <c r="Y362" s="79"/>
      <c r="Z362" s="79"/>
      <c r="AA362" s="79">
        <f t="shared" si="199"/>
        <v>2.62780723643169</v>
      </c>
      <c r="AB362" s="90">
        <v>7.15</v>
      </c>
      <c r="AC362" s="76">
        <f t="shared" si="196"/>
        <v>18.7888217404866</v>
      </c>
      <c r="AD362" s="76">
        <f t="shared" si="197"/>
        <v>137.897056300686</v>
      </c>
      <c r="AE362" s="76">
        <f t="shared" si="200"/>
        <v>7.03344369931401</v>
      </c>
    </row>
    <row r="363" customFormat="1" spans="1:31">
      <c r="A363" s="18"/>
      <c r="B363" s="19"/>
      <c r="C363" s="20">
        <v>240807000031</v>
      </c>
      <c r="D363" s="21">
        <v>45520</v>
      </c>
      <c r="E363" s="21" t="s">
        <v>44</v>
      </c>
      <c r="F363" s="19" t="s">
        <v>45</v>
      </c>
      <c r="G363" s="19" t="s">
        <v>120</v>
      </c>
      <c r="H363" s="19">
        <v>2.5</v>
      </c>
      <c r="I363" s="51">
        <v>168</v>
      </c>
      <c r="J363" s="52"/>
      <c r="K363" s="45"/>
      <c r="L363" s="19"/>
      <c r="M363" s="45"/>
      <c r="N363" s="48"/>
      <c r="O363" s="100">
        <f t="shared" ref="O363:O371" si="204">SUM(I363)</f>
        <v>168</v>
      </c>
      <c r="P363" s="53"/>
      <c r="Q363" s="53"/>
      <c r="R363" s="76">
        <f t="shared" si="201"/>
        <v>118.9054897068</v>
      </c>
      <c r="S363" s="76"/>
      <c r="T363" s="77">
        <f t="shared" si="202"/>
        <v>0.202744853399875</v>
      </c>
      <c r="U363" s="76"/>
      <c r="V363" s="76"/>
      <c r="W363" s="78">
        <f t="shared" si="198"/>
        <v>119.1082345602</v>
      </c>
      <c r="X363" s="79">
        <f t="shared" si="203"/>
        <v>2.62780723643169</v>
      </c>
      <c r="Y363" s="79"/>
      <c r="Z363" s="79"/>
      <c r="AA363" s="79">
        <f t="shared" si="199"/>
        <v>2.62780723643169</v>
      </c>
      <c r="AB363" s="90">
        <v>7.15</v>
      </c>
      <c r="AC363" s="76">
        <f t="shared" si="196"/>
        <v>18.7888217404866</v>
      </c>
      <c r="AD363" s="76">
        <f t="shared" si="197"/>
        <v>137.897056300686</v>
      </c>
      <c r="AE363" s="76">
        <f t="shared" si="200"/>
        <v>30.102943699314</v>
      </c>
    </row>
    <row r="364" customFormat="1" spans="1:31">
      <c r="A364" s="18"/>
      <c r="B364" s="19"/>
      <c r="C364" s="20">
        <v>240808000005</v>
      </c>
      <c r="D364" s="21">
        <v>45520</v>
      </c>
      <c r="E364" s="21" t="s">
        <v>51</v>
      </c>
      <c r="F364" s="19" t="s">
        <v>52</v>
      </c>
      <c r="G364" s="19" t="s">
        <v>208</v>
      </c>
      <c r="H364" s="19">
        <v>4</v>
      </c>
      <c r="I364" s="51">
        <v>285</v>
      </c>
      <c r="J364" s="52"/>
      <c r="K364" s="45"/>
      <c r="L364" s="19"/>
      <c r="M364" s="45"/>
      <c r="N364" s="48"/>
      <c r="O364" s="100">
        <f t="shared" si="204"/>
        <v>285</v>
      </c>
      <c r="P364" s="53"/>
      <c r="Q364" s="53"/>
      <c r="R364" s="76">
        <f t="shared" si="201"/>
        <v>190.24878353088</v>
      </c>
      <c r="S364" s="76"/>
      <c r="T364" s="77">
        <f t="shared" si="202"/>
        <v>0.3243917654398</v>
      </c>
      <c r="U364" s="76"/>
      <c r="V364" s="76"/>
      <c r="W364" s="78">
        <f t="shared" si="198"/>
        <v>190.573175296319</v>
      </c>
      <c r="X364" s="79">
        <f t="shared" si="203"/>
        <v>4.20449157829071</v>
      </c>
      <c r="Y364" s="79"/>
      <c r="Z364" s="79"/>
      <c r="AA364" s="79">
        <f t="shared" si="199"/>
        <v>4.20449157829071</v>
      </c>
      <c r="AB364" s="90">
        <v>7.15</v>
      </c>
      <c r="AC364" s="76">
        <f t="shared" si="196"/>
        <v>30.0621147847785</v>
      </c>
      <c r="AD364" s="76">
        <f t="shared" si="197"/>
        <v>220.635290081098</v>
      </c>
      <c r="AE364" s="76">
        <f t="shared" si="200"/>
        <v>64.364709918902</v>
      </c>
    </row>
    <row r="365" customFormat="1" spans="1:31">
      <c r="A365" s="18"/>
      <c r="B365" s="19"/>
      <c r="C365" s="20">
        <v>240808000007</v>
      </c>
      <c r="D365" s="21">
        <v>45520</v>
      </c>
      <c r="E365" s="21" t="s">
        <v>37</v>
      </c>
      <c r="F365" s="19" t="s">
        <v>38</v>
      </c>
      <c r="G365" s="19" t="s">
        <v>87</v>
      </c>
      <c r="H365" s="19">
        <v>3</v>
      </c>
      <c r="I365" s="51">
        <v>227.5</v>
      </c>
      <c r="J365" s="52"/>
      <c r="K365" s="45"/>
      <c r="L365" s="19"/>
      <c r="M365" s="45"/>
      <c r="N365" s="48"/>
      <c r="O365" s="100">
        <f t="shared" si="204"/>
        <v>227.5</v>
      </c>
      <c r="P365" s="53"/>
      <c r="Q365" s="53"/>
      <c r="R365" s="76">
        <f t="shared" si="201"/>
        <v>142.68658764816</v>
      </c>
      <c r="S365" s="76"/>
      <c r="T365" s="77">
        <f t="shared" si="202"/>
        <v>0.24329382407985</v>
      </c>
      <c r="U365" s="76"/>
      <c r="V365" s="76"/>
      <c r="W365" s="78">
        <f t="shared" si="198"/>
        <v>142.92988147224</v>
      </c>
      <c r="X365" s="79">
        <f t="shared" si="203"/>
        <v>3.15336868371803</v>
      </c>
      <c r="Y365" s="79"/>
      <c r="Z365" s="79"/>
      <c r="AA365" s="79">
        <f t="shared" si="199"/>
        <v>3.15336868371803</v>
      </c>
      <c r="AB365" s="90">
        <v>7.15</v>
      </c>
      <c r="AC365" s="76">
        <f t="shared" si="196"/>
        <v>22.5465860885839</v>
      </c>
      <c r="AD365" s="76">
        <f t="shared" si="197"/>
        <v>165.476467560823</v>
      </c>
      <c r="AE365" s="76">
        <f t="shared" si="200"/>
        <v>62.023532439177</v>
      </c>
    </row>
    <row r="366" customFormat="1" spans="1:31">
      <c r="A366" s="18"/>
      <c r="B366" s="19"/>
      <c r="C366" s="20">
        <v>240808000009</v>
      </c>
      <c r="D366" s="21">
        <v>45520</v>
      </c>
      <c r="E366" s="21" t="s">
        <v>37</v>
      </c>
      <c r="F366" s="19" t="s">
        <v>38</v>
      </c>
      <c r="G366" s="19" t="s">
        <v>300</v>
      </c>
      <c r="H366" s="19">
        <v>12</v>
      </c>
      <c r="I366" s="51">
        <v>805</v>
      </c>
      <c r="J366" s="52"/>
      <c r="K366" s="45"/>
      <c r="L366" s="19"/>
      <c r="M366" s="45"/>
      <c r="N366" s="48"/>
      <c r="O366" s="100">
        <f t="shared" si="204"/>
        <v>805</v>
      </c>
      <c r="P366" s="53"/>
      <c r="Q366" s="53"/>
      <c r="R366" s="76">
        <f t="shared" si="201"/>
        <v>570.746350592639</v>
      </c>
      <c r="S366" s="76"/>
      <c r="T366" s="77">
        <f t="shared" si="202"/>
        <v>0.973175296319401</v>
      </c>
      <c r="U366" s="76"/>
      <c r="V366" s="76"/>
      <c r="W366" s="78">
        <f t="shared" si="198"/>
        <v>571.719525888958</v>
      </c>
      <c r="X366" s="79">
        <f t="shared" si="203"/>
        <v>12.6134747348721</v>
      </c>
      <c r="Y366" s="79"/>
      <c r="Z366" s="79"/>
      <c r="AA366" s="79">
        <f t="shared" si="199"/>
        <v>12.6134747348721</v>
      </c>
      <c r="AB366" s="90">
        <v>7.15</v>
      </c>
      <c r="AC366" s="76">
        <f t="shared" si="196"/>
        <v>90.1863443543356</v>
      </c>
      <c r="AD366" s="76">
        <f t="shared" si="197"/>
        <v>661.905870243294</v>
      </c>
      <c r="AE366" s="76">
        <f t="shared" si="200"/>
        <v>143.094129756706</v>
      </c>
    </row>
    <row r="367" customFormat="1" spans="1:31">
      <c r="A367" s="18"/>
      <c r="B367" s="19"/>
      <c r="C367" s="20">
        <v>240808000013</v>
      </c>
      <c r="D367" s="21">
        <v>45520</v>
      </c>
      <c r="E367" s="21" t="s">
        <v>37</v>
      </c>
      <c r="F367" s="19" t="s">
        <v>38</v>
      </c>
      <c r="G367" s="19" t="s">
        <v>301</v>
      </c>
      <c r="H367" s="19">
        <v>2</v>
      </c>
      <c r="I367" s="51">
        <v>135.3</v>
      </c>
      <c r="J367" s="52"/>
      <c r="K367" s="45"/>
      <c r="L367" s="19"/>
      <c r="M367" s="45"/>
      <c r="N367" s="48"/>
      <c r="O367" s="100">
        <f t="shared" si="204"/>
        <v>135.3</v>
      </c>
      <c r="P367" s="53"/>
      <c r="Q367" s="53"/>
      <c r="R367" s="76">
        <f t="shared" si="201"/>
        <v>95.1243917654398</v>
      </c>
      <c r="S367" s="76"/>
      <c r="T367" s="77">
        <f t="shared" si="202"/>
        <v>0.1621958827199</v>
      </c>
      <c r="U367" s="76"/>
      <c r="V367" s="76"/>
      <c r="W367" s="78">
        <f t="shared" si="198"/>
        <v>95.2865876481597</v>
      </c>
      <c r="X367" s="79">
        <f t="shared" si="203"/>
        <v>2.10224578914535</v>
      </c>
      <c r="Y367" s="79"/>
      <c r="Z367" s="79"/>
      <c r="AA367" s="79">
        <f t="shared" si="199"/>
        <v>2.10224578914535</v>
      </c>
      <c r="AB367" s="90">
        <v>7.15</v>
      </c>
      <c r="AC367" s="76">
        <f t="shared" si="196"/>
        <v>15.0310573923893</v>
      </c>
      <c r="AD367" s="76">
        <f t="shared" si="197"/>
        <v>110.317645040549</v>
      </c>
      <c r="AE367" s="76">
        <f t="shared" si="200"/>
        <v>24.982354959451</v>
      </c>
    </row>
    <row r="368" customFormat="1" spans="1:31">
      <c r="A368" s="18"/>
      <c r="B368" s="19"/>
      <c r="C368" s="20">
        <v>240808000015</v>
      </c>
      <c r="D368" s="21">
        <v>45520</v>
      </c>
      <c r="E368" s="21" t="s">
        <v>37</v>
      </c>
      <c r="F368" s="19" t="s">
        <v>38</v>
      </c>
      <c r="G368" s="19" t="s">
        <v>302</v>
      </c>
      <c r="H368" s="19">
        <v>13</v>
      </c>
      <c r="I368" s="51">
        <v>1040</v>
      </c>
      <c r="J368" s="52"/>
      <c r="K368" s="45"/>
      <c r="L368" s="19"/>
      <c r="M368" s="45"/>
      <c r="N368" s="48"/>
      <c r="O368" s="100">
        <f t="shared" si="204"/>
        <v>1040</v>
      </c>
      <c r="P368" s="53"/>
      <c r="Q368" s="53"/>
      <c r="R368" s="76">
        <f t="shared" si="201"/>
        <v>618.308546475359</v>
      </c>
      <c r="S368" s="76"/>
      <c r="T368" s="77">
        <f t="shared" si="202"/>
        <v>1.05427323767935</v>
      </c>
      <c r="U368" s="76"/>
      <c r="V368" s="76"/>
      <c r="W368" s="78">
        <f t="shared" si="198"/>
        <v>619.362819713038</v>
      </c>
      <c r="X368" s="79">
        <f t="shared" si="203"/>
        <v>13.6645976294448</v>
      </c>
      <c r="Y368" s="79"/>
      <c r="Z368" s="79"/>
      <c r="AA368" s="79">
        <f t="shared" si="199"/>
        <v>13.6645976294448</v>
      </c>
      <c r="AB368" s="90">
        <v>7.15</v>
      </c>
      <c r="AC368" s="76">
        <f t="shared" si="196"/>
        <v>97.7018730505303</v>
      </c>
      <c r="AD368" s="76">
        <f t="shared" si="197"/>
        <v>717.064692763568</v>
      </c>
      <c r="AE368" s="76">
        <f t="shared" si="200"/>
        <v>322.935307236432</v>
      </c>
    </row>
    <row r="369" customFormat="1" spans="1:31">
      <c r="A369" s="18"/>
      <c r="B369" s="19"/>
      <c r="C369" s="20">
        <v>240808000020</v>
      </c>
      <c r="D369" s="21">
        <v>45520</v>
      </c>
      <c r="E369" s="21" t="s">
        <v>41</v>
      </c>
      <c r="F369" s="19" t="s">
        <v>42</v>
      </c>
      <c r="G369" s="19" t="s">
        <v>166</v>
      </c>
      <c r="H369" s="19">
        <v>6.5</v>
      </c>
      <c r="I369" s="51">
        <v>474.5</v>
      </c>
      <c r="J369" s="52"/>
      <c r="K369" s="45"/>
      <c r="L369" s="19"/>
      <c r="M369" s="45"/>
      <c r="N369" s="48"/>
      <c r="O369" s="100">
        <f t="shared" si="204"/>
        <v>474.5</v>
      </c>
      <c r="P369" s="53"/>
      <c r="Q369" s="53"/>
      <c r="R369" s="76">
        <f t="shared" si="201"/>
        <v>309.154273237679</v>
      </c>
      <c r="S369" s="76"/>
      <c r="T369" s="77">
        <f t="shared" si="202"/>
        <v>0.527136618839676</v>
      </c>
      <c r="U369" s="76"/>
      <c r="V369" s="76"/>
      <c r="W369" s="78">
        <f t="shared" si="198"/>
        <v>309.681409856519</v>
      </c>
      <c r="X369" s="79">
        <f t="shared" si="203"/>
        <v>6.8322988147224</v>
      </c>
      <c r="Y369" s="79"/>
      <c r="Z369" s="79"/>
      <c r="AA369" s="79">
        <f t="shared" si="199"/>
        <v>6.8322988147224</v>
      </c>
      <c r="AB369" s="90">
        <v>7.15</v>
      </c>
      <c r="AC369" s="76">
        <f t="shared" si="196"/>
        <v>48.8509365252651</v>
      </c>
      <c r="AD369" s="76">
        <f t="shared" si="197"/>
        <v>358.532346381784</v>
      </c>
      <c r="AE369" s="76">
        <f t="shared" si="200"/>
        <v>115.967653618216</v>
      </c>
    </row>
    <row r="370" customFormat="1" spans="1:31">
      <c r="A370" s="18"/>
      <c r="B370" s="19"/>
      <c r="C370" s="20">
        <v>240808000035</v>
      </c>
      <c r="D370" s="21">
        <v>45520</v>
      </c>
      <c r="E370" s="21" t="s">
        <v>57</v>
      </c>
      <c r="F370" s="19" t="s">
        <v>57</v>
      </c>
      <c r="G370" s="19" t="s">
        <v>224</v>
      </c>
      <c r="H370" s="19">
        <v>8</v>
      </c>
      <c r="I370" s="51">
        <v>508.2</v>
      </c>
      <c r="J370" s="52"/>
      <c r="K370" s="45"/>
      <c r="L370" s="19"/>
      <c r="M370" s="45"/>
      <c r="N370" s="48"/>
      <c r="O370" s="100">
        <f t="shared" si="204"/>
        <v>508.2</v>
      </c>
      <c r="P370" s="53"/>
      <c r="Q370" s="53"/>
      <c r="R370" s="76">
        <f t="shared" si="201"/>
        <v>380.497567061759</v>
      </c>
      <c r="S370" s="76"/>
      <c r="T370" s="77">
        <f t="shared" si="202"/>
        <v>0.648783530879601</v>
      </c>
      <c r="U370" s="76"/>
      <c r="V370" s="76"/>
      <c r="W370" s="78">
        <f t="shared" si="198"/>
        <v>381.146350592639</v>
      </c>
      <c r="X370" s="79">
        <f t="shared" si="203"/>
        <v>8.40898315658141</v>
      </c>
      <c r="Y370" s="79"/>
      <c r="Z370" s="79"/>
      <c r="AA370" s="79">
        <f t="shared" si="199"/>
        <v>8.40898315658141</v>
      </c>
      <c r="AB370" s="90">
        <v>7.15</v>
      </c>
      <c r="AC370" s="76">
        <f t="shared" si="196"/>
        <v>60.1242295695571</v>
      </c>
      <c r="AD370" s="76">
        <f t="shared" si="197"/>
        <v>441.270580162196</v>
      </c>
      <c r="AE370" s="76">
        <f t="shared" si="200"/>
        <v>66.929419837804</v>
      </c>
    </row>
    <row r="371" customFormat="1" spans="1:31">
      <c r="A371" s="18"/>
      <c r="B371" s="19"/>
      <c r="C371" s="20">
        <v>240808000042</v>
      </c>
      <c r="D371" s="21">
        <v>45520</v>
      </c>
      <c r="E371" s="21" t="s">
        <v>41</v>
      </c>
      <c r="F371" s="19" t="s">
        <v>42</v>
      </c>
      <c r="G371" s="19" t="s">
        <v>43</v>
      </c>
      <c r="H371" s="19">
        <v>0.56</v>
      </c>
      <c r="I371" s="51">
        <v>67</v>
      </c>
      <c r="J371" s="52"/>
      <c r="K371" s="45"/>
      <c r="L371" s="19"/>
      <c r="M371" s="45"/>
      <c r="N371" s="48"/>
      <c r="O371" s="100">
        <f t="shared" si="204"/>
        <v>67</v>
      </c>
      <c r="P371" s="53"/>
      <c r="Q371" s="53"/>
      <c r="R371" s="76">
        <f t="shared" si="201"/>
        <v>26.6348296943231</v>
      </c>
      <c r="S371" s="76"/>
      <c r="T371" s="77">
        <f t="shared" si="202"/>
        <v>0.0454148471615721</v>
      </c>
      <c r="U371" s="76"/>
      <c r="V371" s="76"/>
      <c r="W371" s="78">
        <f t="shared" si="198"/>
        <v>26.6802445414847</v>
      </c>
      <c r="X371" s="79">
        <f t="shared" si="203"/>
        <v>0.588628820960699</v>
      </c>
      <c r="Y371" s="79"/>
      <c r="Z371" s="79"/>
      <c r="AA371" s="79">
        <f t="shared" si="199"/>
        <v>0.588628820960699</v>
      </c>
      <c r="AB371" s="90">
        <v>7.15</v>
      </c>
      <c r="AC371" s="76">
        <f t="shared" si="196"/>
        <v>4.208696069869</v>
      </c>
      <c r="AD371" s="76">
        <f t="shared" si="197"/>
        <v>30.8889406113537</v>
      </c>
      <c r="AE371" s="76">
        <f t="shared" si="200"/>
        <v>36.1110593886463</v>
      </c>
    </row>
    <row r="372" customFormat="1" spans="1:31">
      <c r="A372" s="18"/>
      <c r="B372" s="19"/>
      <c r="C372" s="20">
        <v>240808000043</v>
      </c>
      <c r="D372" s="21">
        <v>45520</v>
      </c>
      <c r="E372" s="21" t="s">
        <v>41</v>
      </c>
      <c r="F372" s="19" t="s">
        <v>42</v>
      </c>
      <c r="G372" s="19" t="s">
        <v>276</v>
      </c>
      <c r="H372" s="19">
        <v>3</v>
      </c>
      <c r="I372" s="43"/>
      <c r="J372" s="44">
        <v>57285</v>
      </c>
      <c r="K372" s="45"/>
      <c r="L372" s="46">
        <f>SUM(J372/M372)</f>
        <v>1630.65755764304</v>
      </c>
      <c r="M372" s="47">
        <v>35.13</v>
      </c>
      <c r="N372" s="48">
        <v>7.15</v>
      </c>
      <c r="O372" s="100">
        <f>SUM(M372*N372)</f>
        <v>251.1795</v>
      </c>
      <c r="P372" s="53"/>
      <c r="Q372" s="53"/>
      <c r="R372" s="76">
        <f t="shared" si="201"/>
        <v>142.68658764816</v>
      </c>
      <c r="S372" s="76"/>
      <c r="T372" s="77">
        <f t="shared" si="202"/>
        <v>0.24329382407985</v>
      </c>
      <c r="U372" s="76"/>
      <c r="V372" s="76"/>
      <c r="W372" s="78">
        <f t="shared" si="198"/>
        <v>142.92988147224</v>
      </c>
      <c r="X372" s="79">
        <f t="shared" si="203"/>
        <v>3.15336868371803</v>
      </c>
      <c r="Y372" s="79"/>
      <c r="Z372" s="79"/>
      <c r="AA372" s="79">
        <f t="shared" si="199"/>
        <v>3.15336868371803</v>
      </c>
      <c r="AB372" s="90">
        <v>7.15</v>
      </c>
      <c r="AC372" s="76">
        <f t="shared" si="196"/>
        <v>22.5465860885839</v>
      </c>
      <c r="AD372" s="76">
        <f t="shared" si="197"/>
        <v>165.476467560823</v>
      </c>
      <c r="AE372" s="76">
        <f t="shared" si="200"/>
        <v>85.703032439177</v>
      </c>
    </row>
    <row r="373" customFormat="1" spans="1:31">
      <c r="A373" s="18"/>
      <c r="B373" s="19"/>
      <c r="C373" s="20">
        <v>240808000045</v>
      </c>
      <c r="D373" s="21">
        <v>45520</v>
      </c>
      <c r="E373" s="21" t="s">
        <v>82</v>
      </c>
      <c r="F373" s="19" t="s">
        <v>83</v>
      </c>
      <c r="G373" s="19" t="s">
        <v>303</v>
      </c>
      <c r="H373" s="19">
        <v>0.86</v>
      </c>
      <c r="I373" s="51">
        <v>116</v>
      </c>
      <c r="J373" s="52"/>
      <c r="K373" s="45"/>
      <c r="L373" s="19"/>
      <c r="M373" s="45"/>
      <c r="N373" s="48"/>
      <c r="O373" s="100">
        <f t="shared" ref="O373:O376" si="205">SUM(I373)</f>
        <v>116</v>
      </c>
      <c r="P373" s="53"/>
      <c r="Q373" s="53"/>
      <c r="R373" s="76">
        <f t="shared" si="201"/>
        <v>40.9034884591391</v>
      </c>
      <c r="S373" s="76"/>
      <c r="T373" s="77">
        <f t="shared" si="202"/>
        <v>0.0697442295695571</v>
      </c>
      <c r="U373" s="76"/>
      <c r="V373" s="76"/>
      <c r="W373" s="78">
        <f t="shared" si="198"/>
        <v>40.9732326887087</v>
      </c>
      <c r="X373" s="79">
        <f t="shared" si="203"/>
        <v>0.903965689332502</v>
      </c>
      <c r="Y373" s="79"/>
      <c r="Z373" s="79"/>
      <c r="AA373" s="79">
        <f t="shared" si="199"/>
        <v>0.903965689332502</v>
      </c>
      <c r="AB373" s="90">
        <v>7.15</v>
      </c>
      <c r="AC373" s="76">
        <f t="shared" si="196"/>
        <v>6.46335467872739</v>
      </c>
      <c r="AD373" s="76">
        <f t="shared" si="197"/>
        <v>47.4365873674361</v>
      </c>
      <c r="AE373" s="76">
        <f t="shared" si="200"/>
        <v>68.5634126325639</v>
      </c>
    </row>
    <row r="374" customFormat="1" spans="1:31">
      <c r="A374" s="18"/>
      <c r="B374" s="19"/>
      <c r="C374" s="20">
        <v>240808000048</v>
      </c>
      <c r="D374" s="21">
        <v>45520</v>
      </c>
      <c r="E374" s="21" t="s">
        <v>44</v>
      </c>
      <c r="F374" s="19" t="s">
        <v>45</v>
      </c>
      <c r="G374" s="19" t="s">
        <v>187</v>
      </c>
      <c r="H374" s="19">
        <v>7.5</v>
      </c>
      <c r="I374" s="51">
        <v>495</v>
      </c>
      <c r="J374" s="52"/>
      <c r="K374" s="45"/>
      <c r="L374" s="19"/>
      <c r="M374" s="45"/>
      <c r="N374" s="48"/>
      <c r="O374" s="100">
        <f t="shared" si="205"/>
        <v>495</v>
      </c>
      <c r="P374" s="53"/>
      <c r="Q374" s="53"/>
      <c r="R374" s="76">
        <f t="shared" si="201"/>
        <v>356.716469120399</v>
      </c>
      <c r="S374" s="76"/>
      <c r="T374" s="77">
        <f t="shared" si="202"/>
        <v>0.608234560199626</v>
      </c>
      <c r="U374" s="76"/>
      <c r="V374" s="76"/>
      <c r="W374" s="78">
        <f t="shared" si="198"/>
        <v>357.324703680599</v>
      </c>
      <c r="X374" s="79">
        <f t="shared" si="203"/>
        <v>7.88342170929507</v>
      </c>
      <c r="Y374" s="79"/>
      <c r="Z374" s="79"/>
      <c r="AA374" s="79">
        <f t="shared" si="199"/>
        <v>7.88342170929507</v>
      </c>
      <c r="AB374" s="90">
        <v>7.15</v>
      </c>
      <c r="AC374" s="76">
        <f t="shared" si="196"/>
        <v>56.3664652214598</v>
      </c>
      <c r="AD374" s="76">
        <f t="shared" si="197"/>
        <v>413.691168902059</v>
      </c>
      <c r="AE374" s="76">
        <f t="shared" si="200"/>
        <v>81.308831097941</v>
      </c>
    </row>
    <row r="375" customFormat="1" spans="1:31">
      <c r="A375" s="18"/>
      <c r="B375" s="19"/>
      <c r="C375" s="20">
        <v>240808000050</v>
      </c>
      <c r="D375" s="21">
        <v>45520</v>
      </c>
      <c r="E375" s="21" t="s">
        <v>44</v>
      </c>
      <c r="F375" s="19" t="s">
        <v>45</v>
      </c>
      <c r="G375" s="19" t="s">
        <v>120</v>
      </c>
      <c r="H375" s="19">
        <v>4</v>
      </c>
      <c r="I375" s="51">
        <v>297</v>
      </c>
      <c r="J375" s="52"/>
      <c r="K375" s="45"/>
      <c r="L375" s="19"/>
      <c r="M375" s="45"/>
      <c r="N375" s="48"/>
      <c r="O375" s="100">
        <f t="shared" si="205"/>
        <v>297</v>
      </c>
      <c r="P375" s="53"/>
      <c r="Q375" s="53"/>
      <c r="R375" s="76">
        <f t="shared" si="201"/>
        <v>190.24878353088</v>
      </c>
      <c r="S375" s="76"/>
      <c r="T375" s="77">
        <f t="shared" si="202"/>
        <v>0.3243917654398</v>
      </c>
      <c r="U375" s="76">
        <v>30</v>
      </c>
      <c r="V375" s="76"/>
      <c r="W375" s="78">
        <f t="shared" si="198"/>
        <v>220.573175296319</v>
      </c>
      <c r="X375" s="79">
        <f t="shared" si="203"/>
        <v>4.20449157829071</v>
      </c>
      <c r="Y375" s="79"/>
      <c r="Z375" s="79"/>
      <c r="AA375" s="79">
        <f t="shared" si="199"/>
        <v>4.20449157829071</v>
      </c>
      <c r="AB375" s="90">
        <v>7.15</v>
      </c>
      <c r="AC375" s="76">
        <f t="shared" si="196"/>
        <v>30.0621147847785</v>
      </c>
      <c r="AD375" s="76">
        <f t="shared" si="197"/>
        <v>250.635290081098</v>
      </c>
      <c r="AE375" s="76">
        <f t="shared" si="200"/>
        <v>46.364709918902</v>
      </c>
    </row>
    <row r="376" customFormat="1" spans="1:31">
      <c r="A376" s="18"/>
      <c r="B376" s="19"/>
      <c r="C376" s="22">
        <v>240808000052</v>
      </c>
      <c r="D376" s="23">
        <v>45520</v>
      </c>
      <c r="E376" s="21" t="s">
        <v>44</v>
      </c>
      <c r="F376" s="24" t="s">
        <v>45</v>
      </c>
      <c r="G376" s="24" t="s">
        <v>304</v>
      </c>
      <c r="H376" s="24">
        <v>3.5</v>
      </c>
      <c r="I376" s="51">
        <v>207</v>
      </c>
      <c r="J376" s="52"/>
      <c r="K376" s="45"/>
      <c r="L376" s="19"/>
      <c r="M376" s="45"/>
      <c r="N376" s="48"/>
      <c r="O376" s="100">
        <f t="shared" si="205"/>
        <v>207</v>
      </c>
      <c r="P376" s="53"/>
      <c r="Q376" s="53"/>
      <c r="R376" s="76">
        <f t="shared" si="201"/>
        <v>166.46768558952</v>
      </c>
      <c r="S376" s="76"/>
      <c r="T376" s="77">
        <f t="shared" si="202"/>
        <v>0.283842794759825</v>
      </c>
      <c r="U376" s="76"/>
      <c r="V376" s="76"/>
      <c r="W376" s="78">
        <f t="shared" si="198"/>
        <v>166.751528384279</v>
      </c>
      <c r="X376" s="79">
        <f t="shared" si="203"/>
        <v>3.67893013100437</v>
      </c>
      <c r="Y376" s="79"/>
      <c r="Z376" s="79"/>
      <c r="AA376" s="79">
        <f t="shared" si="199"/>
        <v>3.67893013100437</v>
      </c>
      <c r="AB376" s="90">
        <v>7.15</v>
      </c>
      <c r="AC376" s="76">
        <f t="shared" si="196"/>
        <v>26.3043504366812</v>
      </c>
      <c r="AD376" s="76">
        <f t="shared" si="197"/>
        <v>193.055878820961</v>
      </c>
      <c r="AE376" s="76">
        <f t="shared" si="200"/>
        <v>13.944121179039</v>
      </c>
    </row>
    <row r="377" customFormat="1" spans="1:31">
      <c r="A377" s="18"/>
      <c r="B377" s="19"/>
      <c r="C377" s="20">
        <v>240808000053</v>
      </c>
      <c r="D377" s="21">
        <v>45520</v>
      </c>
      <c r="E377" s="21" t="s">
        <v>57</v>
      </c>
      <c r="F377" s="19" t="s">
        <v>57</v>
      </c>
      <c r="G377" s="19" t="s">
        <v>278</v>
      </c>
      <c r="H377" s="19">
        <v>1.5</v>
      </c>
      <c r="I377" s="43"/>
      <c r="J377" s="44">
        <v>24008.4</v>
      </c>
      <c r="K377" s="45"/>
      <c r="L377" s="46">
        <f>SUM(J377/M377)</f>
        <v>1631.00543478261</v>
      </c>
      <c r="M377" s="47">
        <v>14.72</v>
      </c>
      <c r="N377" s="48">
        <v>7.15</v>
      </c>
      <c r="O377" s="100">
        <f t="shared" ref="O377:O380" si="206">SUM(M377*N377)</f>
        <v>105.248</v>
      </c>
      <c r="P377" s="53"/>
      <c r="Q377" s="53"/>
      <c r="R377" s="76">
        <f t="shared" si="201"/>
        <v>71.3432938240799</v>
      </c>
      <c r="S377" s="76"/>
      <c r="T377" s="77">
        <f t="shared" si="202"/>
        <v>0.121646912039925</v>
      </c>
      <c r="U377" s="76"/>
      <c r="V377" s="76"/>
      <c r="W377" s="78">
        <f t="shared" si="198"/>
        <v>71.4649407361198</v>
      </c>
      <c r="X377" s="79">
        <f t="shared" si="203"/>
        <v>1.57668434185901</v>
      </c>
      <c r="Y377" s="79"/>
      <c r="Z377" s="79"/>
      <c r="AA377" s="79">
        <f t="shared" si="199"/>
        <v>1.57668434185901</v>
      </c>
      <c r="AB377" s="90">
        <v>7.15</v>
      </c>
      <c r="AC377" s="76">
        <f t="shared" si="196"/>
        <v>11.273293044292</v>
      </c>
      <c r="AD377" s="76">
        <f t="shared" si="197"/>
        <v>82.7382337804117</v>
      </c>
      <c r="AE377" s="76">
        <f t="shared" si="200"/>
        <v>22.5097662195883</v>
      </c>
    </row>
    <row r="378" customFormat="1" spans="1:31">
      <c r="A378" s="18"/>
      <c r="B378" s="19"/>
      <c r="C378" s="20">
        <v>240808000055</v>
      </c>
      <c r="D378" s="21">
        <v>45520</v>
      </c>
      <c r="E378" s="21" t="s">
        <v>44</v>
      </c>
      <c r="F378" s="19" t="s">
        <v>45</v>
      </c>
      <c r="G378" s="19" t="s">
        <v>180</v>
      </c>
      <c r="H378" s="19">
        <v>12</v>
      </c>
      <c r="I378" s="43"/>
      <c r="J378" s="44">
        <v>213200</v>
      </c>
      <c r="K378" s="45"/>
      <c r="L378" s="46">
        <f>SUM(J378/M378)</f>
        <v>1640</v>
      </c>
      <c r="M378" s="47">
        <v>130</v>
      </c>
      <c r="N378" s="48">
        <v>7.15</v>
      </c>
      <c r="O378" s="100">
        <f t="shared" si="206"/>
        <v>929.5</v>
      </c>
      <c r="P378" s="53"/>
      <c r="Q378" s="53"/>
      <c r="R378" s="76">
        <f t="shared" si="201"/>
        <v>570.746350592639</v>
      </c>
      <c r="S378" s="76"/>
      <c r="T378" s="77">
        <f t="shared" si="202"/>
        <v>0.973175296319401</v>
      </c>
      <c r="U378" s="76">
        <v>30</v>
      </c>
      <c r="V378" s="76"/>
      <c r="W378" s="78">
        <f t="shared" si="198"/>
        <v>601.719525888958</v>
      </c>
      <c r="X378" s="79">
        <f t="shared" si="203"/>
        <v>12.6134747348721</v>
      </c>
      <c r="Y378" s="79"/>
      <c r="Z378" s="79"/>
      <c r="AA378" s="79">
        <f t="shared" si="199"/>
        <v>12.6134747348721</v>
      </c>
      <c r="AB378" s="90">
        <v>7.15</v>
      </c>
      <c r="AC378" s="76">
        <f t="shared" si="196"/>
        <v>90.1863443543356</v>
      </c>
      <c r="AD378" s="76">
        <f t="shared" si="197"/>
        <v>691.905870243294</v>
      </c>
      <c r="AE378" s="76">
        <f t="shared" si="200"/>
        <v>237.594129756706</v>
      </c>
    </row>
    <row r="379" customFormat="1" spans="1:31">
      <c r="A379" s="18"/>
      <c r="B379" s="19"/>
      <c r="C379" s="20">
        <v>240808000056</v>
      </c>
      <c r="D379" s="21">
        <v>45520</v>
      </c>
      <c r="E379" s="21" t="s">
        <v>44</v>
      </c>
      <c r="F379" s="19" t="s">
        <v>45</v>
      </c>
      <c r="G379" s="19" t="s">
        <v>236</v>
      </c>
      <c r="H379" s="19">
        <v>22</v>
      </c>
      <c r="I379" s="49"/>
      <c r="J379" s="44">
        <v>303793.6</v>
      </c>
      <c r="K379" s="45"/>
      <c r="L379" s="46">
        <f>SUM(J379/M379)</f>
        <v>1640.0000885338</v>
      </c>
      <c r="M379" s="47">
        <v>185.23999</v>
      </c>
      <c r="N379" s="48">
        <v>7.15</v>
      </c>
      <c r="O379" s="100">
        <f t="shared" si="206"/>
        <v>1324.4659285</v>
      </c>
      <c r="P379" s="53"/>
      <c r="Q379" s="53"/>
      <c r="R379" s="76">
        <f t="shared" si="201"/>
        <v>1046.36830941984</v>
      </c>
      <c r="S379" s="76"/>
      <c r="T379" s="77">
        <f t="shared" si="202"/>
        <v>1.7841547099189</v>
      </c>
      <c r="U379" s="76"/>
      <c r="V379" s="76"/>
      <c r="W379" s="78">
        <f t="shared" si="198"/>
        <v>1048.15246412976</v>
      </c>
      <c r="X379" s="79">
        <f t="shared" si="203"/>
        <v>23.1247036805989</v>
      </c>
      <c r="Y379" s="79"/>
      <c r="Z379" s="79"/>
      <c r="AA379" s="79">
        <f t="shared" si="199"/>
        <v>23.1247036805989</v>
      </c>
      <c r="AB379" s="90">
        <v>7.15</v>
      </c>
      <c r="AC379" s="76">
        <f t="shared" si="196"/>
        <v>165.341631316282</v>
      </c>
      <c r="AD379" s="76">
        <f t="shared" si="197"/>
        <v>1213.49409544604</v>
      </c>
      <c r="AE379" s="76">
        <f t="shared" si="200"/>
        <v>110.97183305396</v>
      </c>
    </row>
    <row r="380" customFormat="1" spans="1:31">
      <c r="A380" s="18"/>
      <c r="B380" s="19"/>
      <c r="C380" s="20">
        <v>240808000058</v>
      </c>
      <c r="D380" s="21">
        <v>45520</v>
      </c>
      <c r="E380" s="21" t="s">
        <v>51</v>
      </c>
      <c r="F380" s="19" t="s">
        <v>52</v>
      </c>
      <c r="G380" s="19" t="s">
        <v>305</v>
      </c>
      <c r="H380" s="19">
        <v>6</v>
      </c>
      <c r="I380" s="49"/>
      <c r="J380" s="52"/>
      <c r="K380" s="47">
        <v>53.13</v>
      </c>
      <c r="L380" s="19"/>
      <c r="M380" s="47">
        <v>53.129997</v>
      </c>
      <c r="N380" s="48">
        <v>7.15</v>
      </c>
      <c r="O380" s="100">
        <f t="shared" si="206"/>
        <v>379.87947855</v>
      </c>
      <c r="P380" s="53"/>
      <c r="Q380" s="53"/>
      <c r="R380" s="76">
        <f t="shared" si="201"/>
        <v>285.373175296319</v>
      </c>
      <c r="S380" s="76"/>
      <c r="T380" s="77">
        <f t="shared" si="202"/>
        <v>0.486587648159701</v>
      </c>
      <c r="U380" s="76"/>
      <c r="V380" s="76"/>
      <c r="W380" s="78">
        <f t="shared" si="198"/>
        <v>285.859762944479</v>
      </c>
      <c r="X380" s="79">
        <f t="shared" si="203"/>
        <v>6.30673736743606</v>
      </c>
      <c r="Y380" s="79"/>
      <c r="Z380" s="79"/>
      <c r="AA380" s="79">
        <f t="shared" si="199"/>
        <v>6.30673736743606</v>
      </c>
      <c r="AB380" s="90">
        <v>7.15</v>
      </c>
      <c r="AC380" s="76">
        <f t="shared" si="196"/>
        <v>45.0931721771678</v>
      </c>
      <c r="AD380" s="76">
        <f t="shared" si="197"/>
        <v>330.952935121647</v>
      </c>
      <c r="AE380" s="76">
        <f t="shared" si="200"/>
        <v>48.926543428353</v>
      </c>
    </row>
    <row r="381" customFormat="1" spans="1:31">
      <c r="A381" s="18"/>
      <c r="B381" s="19"/>
      <c r="C381" s="20">
        <v>240809000011</v>
      </c>
      <c r="D381" s="21">
        <v>45520</v>
      </c>
      <c r="E381" s="21" t="s">
        <v>37</v>
      </c>
      <c r="F381" s="19" t="s">
        <v>38</v>
      </c>
      <c r="G381" s="19" t="s">
        <v>306</v>
      </c>
      <c r="H381" s="19">
        <v>16</v>
      </c>
      <c r="I381" s="51">
        <v>1600</v>
      </c>
      <c r="J381" s="52"/>
      <c r="K381" s="45"/>
      <c r="L381" s="19"/>
      <c r="M381" s="45"/>
      <c r="N381" s="48"/>
      <c r="O381" s="100">
        <f>SUM(I381)</f>
        <v>1600</v>
      </c>
      <c r="P381" s="53"/>
      <c r="Q381" s="53"/>
      <c r="R381" s="76">
        <f t="shared" si="201"/>
        <v>760.995134123518</v>
      </c>
      <c r="S381" s="76"/>
      <c r="T381" s="77">
        <f t="shared" si="202"/>
        <v>1.2975670617592</v>
      </c>
      <c r="U381" s="76"/>
      <c r="V381" s="76"/>
      <c r="W381" s="78">
        <f t="shared" si="198"/>
        <v>762.292701185278</v>
      </c>
      <c r="X381" s="79">
        <f t="shared" si="203"/>
        <v>16.8179663131628</v>
      </c>
      <c r="Y381" s="79"/>
      <c r="Z381" s="79"/>
      <c r="AA381" s="79">
        <f t="shared" si="199"/>
        <v>16.8179663131628</v>
      </c>
      <c r="AB381" s="90">
        <v>7.15</v>
      </c>
      <c r="AC381" s="76">
        <f t="shared" si="196"/>
        <v>120.248459139114</v>
      </c>
      <c r="AD381" s="76">
        <f t="shared" si="197"/>
        <v>882.541160324392</v>
      </c>
      <c r="AE381" s="76">
        <f t="shared" si="200"/>
        <v>717.458839675608</v>
      </c>
    </row>
    <row r="382" customFormat="1" spans="1:31">
      <c r="A382" s="18"/>
      <c r="B382" s="19"/>
      <c r="C382" s="20">
        <v>240809000018</v>
      </c>
      <c r="D382" s="21">
        <v>45520</v>
      </c>
      <c r="E382" s="21" t="s">
        <v>37</v>
      </c>
      <c r="F382" s="19" t="s">
        <v>38</v>
      </c>
      <c r="G382" s="19" t="s">
        <v>307</v>
      </c>
      <c r="H382" s="19">
        <v>5</v>
      </c>
      <c r="I382" s="51">
        <v>400</v>
      </c>
      <c r="J382" s="52"/>
      <c r="K382" s="45"/>
      <c r="L382" s="19"/>
      <c r="M382" s="45"/>
      <c r="N382" s="48"/>
      <c r="O382" s="100">
        <f t="shared" ref="O381:O383" si="207">SUM(I382)</f>
        <v>400</v>
      </c>
      <c r="P382" s="53"/>
      <c r="Q382" s="53"/>
      <c r="R382" s="76">
        <f t="shared" si="201"/>
        <v>237.810979413599</v>
      </c>
      <c r="S382" s="76"/>
      <c r="T382" s="77">
        <f t="shared" si="202"/>
        <v>0.40548970679975</v>
      </c>
      <c r="U382" s="76"/>
      <c r="V382" s="76"/>
      <c r="W382" s="78">
        <f t="shared" si="198"/>
        <v>238.216469120399</v>
      </c>
      <c r="X382" s="79">
        <f t="shared" si="203"/>
        <v>5.25561447286338</v>
      </c>
      <c r="Y382" s="79">
        <v>6.99</v>
      </c>
      <c r="Z382" s="79"/>
      <c r="AA382" s="79">
        <f t="shared" si="199"/>
        <v>12.2456144728634</v>
      </c>
      <c r="AB382" s="90">
        <v>7.15</v>
      </c>
      <c r="AC382" s="76">
        <f t="shared" si="196"/>
        <v>87.5561434809732</v>
      </c>
      <c r="AD382" s="76">
        <f t="shared" si="197"/>
        <v>325.772612601372</v>
      </c>
      <c r="AE382" s="76">
        <f t="shared" si="200"/>
        <v>74.227387398628</v>
      </c>
    </row>
    <row r="383" customFormat="1" spans="1:31">
      <c r="A383" s="18"/>
      <c r="B383" s="19"/>
      <c r="C383" s="20">
        <v>240809000023</v>
      </c>
      <c r="D383" s="21">
        <v>45520</v>
      </c>
      <c r="E383" s="21" t="s">
        <v>57</v>
      </c>
      <c r="F383" s="19" t="s">
        <v>57</v>
      </c>
      <c r="G383" s="19" t="s">
        <v>150</v>
      </c>
      <c r="H383" s="19">
        <v>205</v>
      </c>
      <c r="I383" s="51">
        <v>12011.5</v>
      </c>
      <c r="J383" s="52"/>
      <c r="K383" s="45"/>
      <c r="L383" s="19"/>
      <c r="M383" s="45"/>
      <c r="N383" s="48"/>
      <c r="O383" s="100">
        <f t="shared" si="207"/>
        <v>12011.5</v>
      </c>
      <c r="P383" s="53"/>
      <c r="Q383" s="53"/>
      <c r="R383" s="76">
        <f t="shared" si="201"/>
        <v>9750.25015595758</v>
      </c>
      <c r="S383" s="76"/>
      <c r="T383" s="77">
        <f t="shared" si="202"/>
        <v>16.6250779787898</v>
      </c>
      <c r="U383" s="76"/>
      <c r="V383" s="76"/>
      <c r="W383" s="78">
        <f t="shared" si="198"/>
        <v>9766.87523393637</v>
      </c>
      <c r="X383" s="79">
        <f t="shared" si="203"/>
        <v>215.480193387399</v>
      </c>
      <c r="Y383" s="79"/>
      <c r="Z383" s="79"/>
      <c r="AA383" s="79">
        <f t="shared" si="199"/>
        <v>215.480193387399</v>
      </c>
      <c r="AB383" s="90">
        <v>7.15</v>
      </c>
      <c r="AC383" s="76">
        <f t="shared" si="196"/>
        <v>1540.6833827199</v>
      </c>
      <c r="AD383" s="76">
        <f t="shared" si="197"/>
        <v>11307.5586166563</v>
      </c>
      <c r="AE383" s="76">
        <f t="shared" si="200"/>
        <v>703.941383343699</v>
      </c>
    </row>
    <row r="384" customFormat="1" spans="1:31">
      <c r="A384" s="18"/>
      <c r="B384" s="19"/>
      <c r="C384" s="20">
        <v>240809000026</v>
      </c>
      <c r="D384" s="21">
        <v>45520</v>
      </c>
      <c r="E384" s="21" t="s">
        <v>37</v>
      </c>
      <c r="F384" s="19" t="s">
        <v>38</v>
      </c>
      <c r="G384" s="19" t="s">
        <v>308</v>
      </c>
      <c r="H384" s="19">
        <v>2</v>
      </c>
      <c r="I384" s="43"/>
      <c r="J384" s="44">
        <v>31464</v>
      </c>
      <c r="K384" s="45"/>
      <c r="L384" s="46">
        <f>SUM(J384/M384)</f>
        <v>1630.25906735751</v>
      </c>
      <c r="M384" s="47">
        <v>19.3</v>
      </c>
      <c r="N384" s="48">
        <v>7.15</v>
      </c>
      <c r="O384" s="100">
        <f>SUM(M384*N384)</f>
        <v>137.995</v>
      </c>
      <c r="P384" s="53"/>
      <c r="Q384" s="53"/>
      <c r="R384" s="76">
        <f t="shared" si="201"/>
        <v>95.1243917654398</v>
      </c>
      <c r="S384" s="76"/>
      <c r="T384" s="77">
        <f t="shared" si="202"/>
        <v>0.1621958827199</v>
      </c>
      <c r="U384" s="76"/>
      <c r="V384" s="76"/>
      <c r="W384" s="78">
        <f t="shared" si="198"/>
        <v>95.2865876481597</v>
      </c>
      <c r="X384" s="79">
        <f t="shared" si="203"/>
        <v>2.10224578914535</v>
      </c>
      <c r="Y384" s="79">
        <v>2.09</v>
      </c>
      <c r="Z384" s="79"/>
      <c r="AA384" s="79">
        <f t="shared" si="199"/>
        <v>4.19224578914535</v>
      </c>
      <c r="AB384" s="90">
        <v>7.15</v>
      </c>
      <c r="AC384" s="76">
        <f t="shared" si="196"/>
        <v>29.9745573923893</v>
      </c>
      <c r="AD384" s="76">
        <f t="shared" si="197"/>
        <v>125.261145040549</v>
      </c>
      <c r="AE384" s="76">
        <f t="shared" si="200"/>
        <v>12.733854959451</v>
      </c>
    </row>
    <row r="385" customFormat="1" spans="1:31">
      <c r="A385" s="18"/>
      <c r="B385" s="19"/>
      <c r="C385" s="20">
        <v>240809000033</v>
      </c>
      <c r="D385" s="21">
        <v>45520</v>
      </c>
      <c r="E385" s="21" t="s">
        <v>57</v>
      </c>
      <c r="F385" s="19" t="s">
        <v>57</v>
      </c>
      <c r="G385" s="19" t="s">
        <v>217</v>
      </c>
      <c r="H385" s="19">
        <v>100</v>
      </c>
      <c r="I385" s="51">
        <v>9300</v>
      </c>
      <c r="J385" s="52"/>
      <c r="K385" s="45"/>
      <c r="L385" s="19"/>
      <c r="M385" s="45"/>
      <c r="N385" s="48"/>
      <c r="O385" s="100">
        <f t="shared" ref="O385:O394" si="208">SUM(I385)</f>
        <v>9300</v>
      </c>
      <c r="P385" s="53"/>
      <c r="Q385" s="53"/>
      <c r="R385" s="76">
        <f t="shared" si="201"/>
        <v>4756.21958827199</v>
      </c>
      <c r="S385" s="76"/>
      <c r="T385" s="77">
        <f t="shared" si="202"/>
        <v>8.10979413599501</v>
      </c>
      <c r="U385" s="76"/>
      <c r="V385" s="76"/>
      <c r="W385" s="78">
        <f t="shared" si="198"/>
        <v>4764.32938240798</v>
      </c>
      <c r="X385" s="79">
        <f t="shared" si="203"/>
        <v>105.112289457268</v>
      </c>
      <c r="Y385" s="79"/>
      <c r="Z385" s="79"/>
      <c r="AA385" s="79">
        <f t="shared" si="199"/>
        <v>105.112289457268</v>
      </c>
      <c r="AB385" s="90">
        <v>7.15</v>
      </c>
      <c r="AC385" s="76">
        <f t="shared" ref="AC385:AC418" si="209">SUM(AA385*AB385)</f>
        <v>751.552869619464</v>
      </c>
      <c r="AD385" s="76">
        <f t="shared" ref="AD385:AD418" si="210">SUM(W385+AC385)</f>
        <v>5515.88225202745</v>
      </c>
      <c r="AE385" s="76">
        <f t="shared" si="200"/>
        <v>3784.11774797255</v>
      </c>
    </row>
    <row r="386" customFormat="1" spans="1:31">
      <c r="A386" s="18"/>
      <c r="B386" s="19"/>
      <c r="C386" s="20">
        <v>240809000036</v>
      </c>
      <c r="D386" s="21">
        <v>45520</v>
      </c>
      <c r="E386" s="21" t="s">
        <v>41</v>
      </c>
      <c r="F386" s="19" t="s">
        <v>42</v>
      </c>
      <c r="G386" s="19" t="s">
        <v>121</v>
      </c>
      <c r="H386" s="19">
        <v>0.22</v>
      </c>
      <c r="I386" s="51">
        <v>88.2</v>
      </c>
      <c r="J386" s="52"/>
      <c r="K386" s="45"/>
      <c r="L386" s="19"/>
      <c r="M386" s="45"/>
      <c r="N386" s="48"/>
      <c r="O386" s="100">
        <f t="shared" si="208"/>
        <v>88.2</v>
      </c>
      <c r="P386" s="53"/>
      <c r="Q386" s="53"/>
      <c r="R386" s="76">
        <f t="shared" si="201"/>
        <v>10.4636830941984</v>
      </c>
      <c r="S386" s="76"/>
      <c r="T386" s="77">
        <f t="shared" si="202"/>
        <v>0.017841547099189</v>
      </c>
      <c r="U386" s="76"/>
      <c r="V386" s="76"/>
      <c r="W386" s="78">
        <f t="shared" ref="W386:W418" si="211">SUM(R386:V386)</f>
        <v>10.4815246412976</v>
      </c>
      <c r="X386" s="79">
        <f t="shared" si="203"/>
        <v>0.231247036805989</v>
      </c>
      <c r="Y386" s="79"/>
      <c r="Z386" s="79"/>
      <c r="AA386" s="79">
        <f t="shared" ref="AA386:AA418" si="212">SUM(X386:Z386)</f>
        <v>0.231247036805989</v>
      </c>
      <c r="AB386" s="90">
        <v>7.15</v>
      </c>
      <c r="AC386" s="76">
        <f t="shared" si="209"/>
        <v>1.65341631316282</v>
      </c>
      <c r="AD386" s="76">
        <f t="shared" si="210"/>
        <v>12.1349409544604</v>
      </c>
      <c r="AE386" s="76">
        <f t="shared" ref="AE386:AE419" si="213">SUM(O386-AD386)</f>
        <v>76.0650590455396</v>
      </c>
    </row>
    <row r="387" customFormat="1" spans="1:31">
      <c r="A387" s="18"/>
      <c r="B387" s="19"/>
      <c r="C387" s="20">
        <v>240809000039</v>
      </c>
      <c r="D387" s="21">
        <v>45520</v>
      </c>
      <c r="E387" s="21" t="s">
        <v>37</v>
      </c>
      <c r="F387" s="19" t="s">
        <v>38</v>
      </c>
      <c r="G387" s="19" t="s">
        <v>252</v>
      </c>
      <c r="H387" s="19">
        <v>11.5</v>
      </c>
      <c r="I387" s="43"/>
      <c r="J387" s="44">
        <v>152076</v>
      </c>
      <c r="K387" s="45"/>
      <c r="L387" s="46">
        <f>SUM(J387/M387)</f>
        <v>1630.31732418525</v>
      </c>
      <c r="M387" s="47">
        <v>93.28</v>
      </c>
      <c r="N387" s="48">
        <v>7.15</v>
      </c>
      <c r="O387" s="100">
        <f>SUM(M387*N387)</f>
        <v>666.952</v>
      </c>
      <c r="P387" s="53"/>
      <c r="Q387" s="53"/>
      <c r="R387" s="76">
        <f t="shared" si="201"/>
        <v>546.965252651279</v>
      </c>
      <c r="S387" s="76"/>
      <c r="T387" s="77">
        <f t="shared" si="202"/>
        <v>0.932626325639426</v>
      </c>
      <c r="U387" s="76"/>
      <c r="V387" s="76"/>
      <c r="W387" s="78">
        <f t="shared" si="211"/>
        <v>547.897878976918</v>
      </c>
      <c r="X387" s="79">
        <f t="shared" si="203"/>
        <v>12.0879132875858</v>
      </c>
      <c r="Y387" s="79"/>
      <c r="Z387" s="79"/>
      <c r="AA387" s="79">
        <f t="shared" si="212"/>
        <v>12.0879132875858</v>
      </c>
      <c r="AB387" s="90">
        <v>7.15</v>
      </c>
      <c r="AC387" s="76">
        <f t="shared" si="209"/>
        <v>86.4285800062383</v>
      </c>
      <c r="AD387" s="76">
        <f t="shared" si="210"/>
        <v>634.326458983157</v>
      </c>
      <c r="AE387" s="76">
        <f t="shared" si="213"/>
        <v>32.6255410168435</v>
      </c>
    </row>
    <row r="388" customFormat="1" spans="1:31">
      <c r="A388" s="18"/>
      <c r="B388" s="19"/>
      <c r="C388" s="20">
        <v>240809000048</v>
      </c>
      <c r="D388" s="21">
        <v>45520</v>
      </c>
      <c r="E388" s="21" t="s">
        <v>44</v>
      </c>
      <c r="F388" s="19" t="s">
        <v>45</v>
      </c>
      <c r="G388" s="19" t="s">
        <v>172</v>
      </c>
      <c r="H388" s="19">
        <v>14</v>
      </c>
      <c r="I388" s="51">
        <v>1016</v>
      </c>
      <c r="J388" s="52"/>
      <c r="K388" s="45"/>
      <c r="L388" s="19"/>
      <c r="M388" s="45"/>
      <c r="N388" s="48"/>
      <c r="O388" s="100">
        <f t="shared" si="208"/>
        <v>1016</v>
      </c>
      <c r="P388" s="53"/>
      <c r="Q388" s="53"/>
      <c r="R388" s="76">
        <f t="shared" ref="R388:R420" si="214">SUM(152484.4/3206)*H388</f>
        <v>665.870742358079</v>
      </c>
      <c r="S388" s="76"/>
      <c r="T388" s="77">
        <f t="shared" ref="T388:T420" si="215">SUM(260/3206)*H388</f>
        <v>1.1353711790393</v>
      </c>
      <c r="U388" s="76">
        <v>40</v>
      </c>
      <c r="V388" s="76"/>
      <c r="W388" s="78">
        <f t="shared" si="211"/>
        <v>707.006113537118</v>
      </c>
      <c r="X388" s="79">
        <f t="shared" ref="X388:X420" si="216">SUM(3369.9/3206)*H388</f>
        <v>14.7157205240175</v>
      </c>
      <c r="Y388" s="79"/>
      <c r="Z388" s="79"/>
      <c r="AA388" s="79">
        <f t="shared" si="212"/>
        <v>14.7157205240175</v>
      </c>
      <c r="AB388" s="90">
        <v>7.15</v>
      </c>
      <c r="AC388" s="76">
        <f t="shared" si="209"/>
        <v>105.217401746725</v>
      </c>
      <c r="AD388" s="76">
        <f t="shared" si="210"/>
        <v>812.223515283843</v>
      </c>
      <c r="AE388" s="76">
        <f t="shared" si="213"/>
        <v>203.776484716157</v>
      </c>
    </row>
    <row r="389" customFormat="1" spans="1:31">
      <c r="A389" s="18"/>
      <c r="B389" s="19"/>
      <c r="C389" s="20">
        <v>240809000049</v>
      </c>
      <c r="D389" s="21">
        <v>45520</v>
      </c>
      <c r="E389" s="21" t="s">
        <v>44</v>
      </c>
      <c r="F389" s="19" t="s">
        <v>45</v>
      </c>
      <c r="G389" s="19" t="s">
        <v>309</v>
      </c>
      <c r="H389" s="19">
        <v>7.5</v>
      </c>
      <c r="I389" s="51">
        <v>495</v>
      </c>
      <c r="J389" s="52"/>
      <c r="K389" s="45"/>
      <c r="L389" s="19"/>
      <c r="M389" s="45"/>
      <c r="N389" s="48"/>
      <c r="O389" s="100">
        <f t="shared" si="208"/>
        <v>495</v>
      </c>
      <c r="P389" s="53"/>
      <c r="Q389" s="53"/>
      <c r="R389" s="76">
        <f t="shared" si="214"/>
        <v>356.716469120399</v>
      </c>
      <c r="S389" s="76"/>
      <c r="T389" s="77">
        <f t="shared" si="215"/>
        <v>0.608234560199626</v>
      </c>
      <c r="U389" s="76"/>
      <c r="V389" s="76"/>
      <c r="W389" s="78">
        <f t="shared" si="211"/>
        <v>357.324703680599</v>
      </c>
      <c r="X389" s="79">
        <f t="shared" si="216"/>
        <v>7.88342170929507</v>
      </c>
      <c r="Y389" s="79"/>
      <c r="Z389" s="79"/>
      <c r="AA389" s="79">
        <f t="shared" si="212"/>
        <v>7.88342170929507</v>
      </c>
      <c r="AB389" s="90">
        <v>7.15</v>
      </c>
      <c r="AC389" s="76">
        <f t="shared" si="209"/>
        <v>56.3664652214598</v>
      </c>
      <c r="AD389" s="76">
        <f t="shared" si="210"/>
        <v>413.691168902059</v>
      </c>
      <c r="AE389" s="76">
        <f t="shared" si="213"/>
        <v>81.3088310979414</v>
      </c>
    </row>
    <row r="390" customFormat="1" spans="1:31">
      <c r="A390" s="18"/>
      <c r="B390" s="19"/>
      <c r="C390" s="20">
        <v>240810000002</v>
      </c>
      <c r="D390" s="21">
        <v>45520</v>
      </c>
      <c r="E390" s="21" t="s">
        <v>57</v>
      </c>
      <c r="F390" s="19" t="s">
        <v>57</v>
      </c>
      <c r="G390" s="19" t="s">
        <v>224</v>
      </c>
      <c r="H390" s="19">
        <v>14</v>
      </c>
      <c r="I390" s="51">
        <v>1175.6</v>
      </c>
      <c r="J390" s="52"/>
      <c r="K390" s="45"/>
      <c r="L390" s="19"/>
      <c r="M390" s="45"/>
      <c r="N390" s="48"/>
      <c r="O390" s="100">
        <f t="shared" si="208"/>
        <v>1175.6</v>
      </c>
      <c r="P390" s="53"/>
      <c r="Q390" s="53"/>
      <c r="R390" s="76">
        <f t="shared" si="214"/>
        <v>665.870742358079</v>
      </c>
      <c r="S390" s="76"/>
      <c r="T390" s="77">
        <f t="shared" si="215"/>
        <v>1.1353711790393</v>
      </c>
      <c r="U390" s="76">
        <v>50</v>
      </c>
      <c r="V390" s="76"/>
      <c r="W390" s="78">
        <f t="shared" si="211"/>
        <v>717.006113537118</v>
      </c>
      <c r="X390" s="79">
        <f t="shared" si="216"/>
        <v>14.7157205240175</v>
      </c>
      <c r="Y390" s="79"/>
      <c r="Z390" s="79"/>
      <c r="AA390" s="79">
        <f t="shared" si="212"/>
        <v>14.7157205240175</v>
      </c>
      <c r="AB390" s="90">
        <v>7.15</v>
      </c>
      <c r="AC390" s="76">
        <f t="shared" si="209"/>
        <v>105.217401746725</v>
      </c>
      <c r="AD390" s="76">
        <f t="shared" si="210"/>
        <v>822.223515283843</v>
      </c>
      <c r="AE390" s="76">
        <f t="shared" si="213"/>
        <v>353.376484716157</v>
      </c>
    </row>
    <row r="391" customFormat="1" spans="1:31">
      <c r="A391" s="18"/>
      <c r="B391" s="19"/>
      <c r="C391" s="20">
        <v>240811000003</v>
      </c>
      <c r="D391" s="21">
        <v>45520</v>
      </c>
      <c r="E391" s="21" t="s">
        <v>41</v>
      </c>
      <c r="F391" s="19" t="s">
        <v>42</v>
      </c>
      <c r="G391" s="19" t="s">
        <v>168</v>
      </c>
      <c r="H391" s="19">
        <v>0.82</v>
      </c>
      <c r="I391" s="51">
        <v>75.9</v>
      </c>
      <c r="J391" s="52"/>
      <c r="K391" s="45"/>
      <c r="L391" s="19"/>
      <c r="M391" s="45"/>
      <c r="N391" s="48"/>
      <c r="O391" s="100">
        <f t="shared" si="208"/>
        <v>75.9</v>
      </c>
      <c r="P391" s="53"/>
      <c r="Q391" s="53"/>
      <c r="R391" s="76">
        <f t="shared" si="214"/>
        <v>39.0010006238303</v>
      </c>
      <c r="S391" s="76"/>
      <c r="T391" s="77">
        <f t="shared" si="215"/>
        <v>0.0665003119151591</v>
      </c>
      <c r="U391" s="76"/>
      <c r="V391" s="76"/>
      <c r="W391" s="78">
        <f t="shared" si="211"/>
        <v>39.0675009357455</v>
      </c>
      <c r="X391" s="79">
        <f t="shared" si="216"/>
        <v>0.861920773549595</v>
      </c>
      <c r="Y391" s="79"/>
      <c r="Z391" s="79"/>
      <c r="AA391" s="79">
        <f t="shared" si="212"/>
        <v>0.861920773549595</v>
      </c>
      <c r="AB391" s="90">
        <v>7.15</v>
      </c>
      <c r="AC391" s="76">
        <f t="shared" si="209"/>
        <v>6.1627335308796</v>
      </c>
      <c r="AD391" s="76">
        <f t="shared" si="210"/>
        <v>45.2302344666251</v>
      </c>
      <c r="AE391" s="76">
        <f t="shared" si="213"/>
        <v>30.6697655333749</v>
      </c>
    </row>
    <row r="392" customFormat="1" spans="1:31">
      <c r="A392" s="18"/>
      <c r="B392" s="19"/>
      <c r="C392" s="20">
        <v>240811000004</v>
      </c>
      <c r="D392" s="21">
        <v>45520</v>
      </c>
      <c r="E392" s="21" t="s">
        <v>41</v>
      </c>
      <c r="F392" s="19" t="s">
        <v>42</v>
      </c>
      <c r="G392" s="19" t="s">
        <v>310</v>
      </c>
      <c r="H392" s="19">
        <v>0.85</v>
      </c>
      <c r="I392" s="51">
        <v>96.6</v>
      </c>
      <c r="J392" s="52"/>
      <c r="K392" s="45"/>
      <c r="L392" s="19"/>
      <c r="M392" s="45"/>
      <c r="N392" s="48"/>
      <c r="O392" s="100">
        <f t="shared" si="208"/>
        <v>96.6</v>
      </c>
      <c r="P392" s="53"/>
      <c r="Q392" s="53"/>
      <c r="R392" s="76">
        <f t="shared" si="214"/>
        <v>40.4278665003119</v>
      </c>
      <c r="S392" s="76"/>
      <c r="T392" s="77">
        <f t="shared" si="215"/>
        <v>0.0689332501559576</v>
      </c>
      <c r="U392" s="76"/>
      <c r="V392" s="76"/>
      <c r="W392" s="78">
        <f t="shared" si="211"/>
        <v>40.4967997504679</v>
      </c>
      <c r="X392" s="79">
        <f t="shared" si="216"/>
        <v>0.893454460386775</v>
      </c>
      <c r="Y392" s="79"/>
      <c r="Z392" s="79"/>
      <c r="AA392" s="79">
        <f t="shared" si="212"/>
        <v>0.893454460386775</v>
      </c>
      <c r="AB392" s="90">
        <v>7.15</v>
      </c>
      <c r="AC392" s="76">
        <f t="shared" si="209"/>
        <v>6.38819939176544</v>
      </c>
      <c r="AD392" s="76">
        <f t="shared" si="210"/>
        <v>46.8849991422333</v>
      </c>
      <c r="AE392" s="76">
        <f t="shared" si="213"/>
        <v>49.7150008577667</v>
      </c>
    </row>
    <row r="393" customFormat="1" spans="1:31">
      <c r="A393" s="18"/>
      <c r="B393" s="19"/>
      <c r="C393" s="20">
        <v>240811000010</v>
      </c>
      <c r="D393" s="21">
        <v>45520</v>
      </c>
      <c r="E393" s="21" t="s">
        <v>41</v>
      </c>
      <c r="F393" s="19" t="s">
        <v>42</v>
      </c>
      <c r="G393" s="19" t="s">
        <v>311</v>
      </c>
      <c r="H393" s="19">
        <v>4</v>
      </c>
      <c r="I393" s="51">
        <v>340.2</v>
      </c>
      <c r="J393" s="52"/>
      <c r="K393" s="45"/>
      <c r="L393" s="19"/>
      <c r="M393" s="45"/>
      <c r="N393" s="48"/>
      <c r="O393" s="100">
        <f t="shared" si="208"/>
        <v>340.2</v>
      </c>
      <c r="P393" s="53"/>
      <c r="Q393" s="53"/>
      <c r="R393" s="76">
        <f t="shared" si="214"/>
        <v>190.24878353088</v>
      </c>
      <c r="S393" s="76"/>
      <c r="T393" s="77">
        <f t="shared" si="215"/>
        <v>0.3243917654398</v>
      </c>
      <c r="U393" s="76"/>
      <c r="V393" s="76"/>
      <c r="W393" s="78">
        <f t="shared" si="211"/>
        <v>190.573175296319</v>
      </c>
      <c r="X393" s="79">
        <f t="shared" si="216"/>
        <v>4.20449157829071</v>
      </c>
      <c r="Y393" s="79"/>
      <c r="Z393" s="79"/>
      <c r="AA393" s="79">
        <f t="shared" si="212"/>
        <v>4.20449157829071</v>
      </c>
      <c r="AB393" s="90">
        <v>7.15</v>
      </c>
      <c r="AC393" s="76">
        <f t="shared" si="209"/>
        <v>30.0621147847785</v>
      </c>
      <c r="AD393" s="76">
        <f t="shared" si="210"/>
        <v>220.635290081098</v>
      </c>
      <c r="AE393" s="76">
        <f t="shared" si="213"/>
        <v>119.564709918902</v>
      </c>
    </row>
    <row r="394" customFormat="1" spans="1:31">
      <c r="A394" s="18"/>
      <c r="B394" s="19"/>
      <c r="C394" s="20">
        <v>240811000014</v>
      </c>
      <c r="D394" s="21">
        <v>45520</v>
      </c>
      <c r="E394" s="21" t="s">
        <v>41</v>
      </c>
      <c r="F394" s="19" t="s">
        <v>42</v>
      </c>
      <c r="G394" s="19" t="s">
        <v>43</v>
      </c>
      <c r="H394" s="19">
        <v>0.15</v>
      </c>
      <c r="I394" s="51">
        <v>67</v>
      </c>
      <c r="J394" s="52"/>
      <c r="K394" s="45"/>
      <c r="L394" s="19"/>
      <c r="M394" s="45"/>
      <c r="N394" s="48"/>
      <c r="O394" s="100">
        <f t="shared" si="208"/>
        <v>67</v>
      </c>
      <c r="P394" s="53"/>
      <c r="Q394" s="53"/>
      <c r="R394" s="76">
        <f t="shared" si="214"/>
        <v>7.13432938240798</v>
      </c>
      <c r="S394" s="76"/>
      <c r="T394" s="77">
        <f t="shared" si="215"/>
        <v>0.0121646912039925</v>
      </c>
      <c r="U394" s="76"/>
      <c r="V394" s="76"/>
      <c r="W394" s="78">
        <f t="shared" si="211"/>
        <v>7.14649407361198</v>
      </c>
      <c r="X394" s="79">
        <f t="shared" si="216"/>
        <v>0.157668434185901</v>
      </c>
      <c r="Y394" s="79"/>
      <c r="Z394" s="79"/>
      <c r="AA394" s="79">
        <f t="shared" si="212"/>
        <v>0.157668434185901</v>
      </c>
      <c r="AB394" s="90">
        <v>7.15</v>
      </c>
      <c r="AC394" s="76">
        <f t="shared" si="209"/>
        <v>1.1273293044292</v>
      </c>
      <c r="AD394" s="76">
        <f t="shared" si="210"/>
        <v>8.27382337804117</v>
      </c>
      <c r="AE394" s="76">
        <f t="shared" si="213"/>
        <v>58.7261766219588</v>
      </c>
    </row>
    <row r="395" customFormat="1" spans="1:31">
      <c r="A395" s="18"/>
      <c r="B395" s="19"/>
      <c r="C395" s="20">
        <v>240812000001</v>
      </c>
      <c r="D395" s="21">
        <v>45520</v>
      </c>
      <c r="E395" s="21" t="s">
        <v>37</v>
      </c>
      <c r="F395" s="19" t="s">
        <v>38</v>
      </c>
      <c r="G395" s="19" t="s">
        <v>212</v>
      </c>
      <c r="H395" s="19">
        <v>3.5</v>
      </c>
      <c r="I395" s="43"/>
      <c r="J395" s="44">
        <v>53420.4</v>
      </c>
      <c r="K395" s="45"/>
      <c r="L395" s="46">
        <f>SUM(J395/M395)</f>
        <v>1630.65934065934</v>
      </c>
      <c r="M395" s="47">
        <v>32.76</v>
      </c>
      <c r="N395" s="48">
        <v>7.15</v>
      </c>
      <c r="O395" s="100">
        <f>SUM(M395*N395)</f>
        <v>234.234</v>
      </c>
      <c r="P395" s="53"/>
      <c r="Q395" s="53"/>
      <c r="R395" s="76">
        <f t="shared" si="214"/>
        <v>166.46768558952</v>
      </c>
      <c r="S395" s="76"/>
      <c r="T395" s="77">
        <f t="shared" si="215"/>
        <v>0.283842794759825</v>
      </c>
      <c r="U395" s="76"/>
      <c r="V395" s="76"/>
      <c r="W395" s="78">
        <f t="shared" si="211"/>
        <v>166.751528384279</v>
      </c>
      <c r="X395" s="79">
        <f t="shared" si="216"/>
        <v>3.67893013100437</v>
      </c>
      <c r="Y395" s="79"/>
      <c r="Z395" s="79"/>
      <c r="AA395" s="79">
        <f t="shared" si="212"/>
        <v>3.67893013100437</v>
      </c>
      <c r="AB395" s="90">
        <v>7.15</v>
      </c>
      <c r="AC395" s="76">
        <f t="shared" si="209"/>
        <v>26.3043504366812</v>
      </c>
      <c r="AD395" s="76">
        <f t="shared" si="210"/>
        <v>193.055878820961</v>
      </c>
      <c r="AE395" s="76">
        <f t="shared" si="213"/>
        <v>41.1781211790393</v>
      </c>
    </row>
    <row r="396" customFormat="1" spans="1:31">
      <c r="A396" s="18"/>
      <c r="B396" s="19"/>
      <c r="C396" s="20">
        <v>240812000008</v>
      </c>
      <c r="D396" s="21">
        <v>45520</v>
      </c>
      <c r="E396" s="21" t="s">
        <v>37</v>
      </c>
      <c r="F396" s="19" t="s">
        <v>38</v>
      </c>
      <c r="G396" s="19" t="s">
        <v>76</v>
      </c>
      <c r="H396" s="19">
        <v>66</v>
      </c>
      <c r="I396" s="43"/>
      <c r="J396" s="44">
        <v>1009645</v>
      </c>
      <c r="K396" s="45"/>
      <c r="L396" s="46">
        <f>SUM(J396/M396)</f>
        <v>1751.7610521202</v>
      </c>
      <c r="M396" s="47">
        <v>576.36</v>
      </c>
      <c r="N396" s="48">
        <v>7.15</v>
      </c>
      <c r="O396" s="100">
        <f>SUM(M396*N396)</f>
        <v>4120.974</v>
      </c>
      <c r="P396" s="53"/>
      <c r="Q396" s="53"/>
      <c r="R396" s="76">
        <f t="shared" si="214"/>
        <v>3139.10492825951</v>
      </c>
      <c r="S396" s="76"/>
      <c r="T396" s="77">
        <f t="shared" si="215"/>
        <v>5.35246412975671</v>
      </c>
      <c r="U396" s="77">
        <v>160</v>
      </c>
      <c r="V396" s="76"/>
      <c r="W396" s="78">
        <f t="shared" si="211"/>
        <v>3304.45739238927</v>
      </c>
      <c r="X396" s="79">
        <f t="shared" si="216"/>
        <v>69.3741110417966</v>
      </c>
      <c r="Y396" s="79"/>
      <c r="Z396" s="79"/>
      <c r="AA396" s="79">
        <f t="shared" si="212"/>
        <v>69.3741110417966</v>
      </c>
      <c r="AB396" s="90">
        <v>7.15</v>
      </c>
      <c r="AC396" s="76">
        <f t="shared" si="209"/>
        <v>496.024893948846</v>
      </c>
      <c r="AD396" s="76">
        <f t="shared" si="210"/>
        <v>3800.48228633812</v>
      </c>
      <c r="AE396" s="76">
        <f t="shared" si="213"/>
        <v>320.491713661884</v>
      </c>
    </row>
    <row r="397" customFormat="1" spans="1:31">
      <c r="A397" s="18"/>
      <c r="B397" s="19"/>
      <c r="C397" s="20">
        <v>240812000009</v>
      </c>
      <c r="D397" s="21">
        <v>45520</v>
      </c>
      <c r="E397" s="21" t="s">
        <v>37</v>
      </c>
      <c r="F397" s="19" t="s">
        <v>38</v>
      </c>
      <c r="G397" s="19" t="s">
        <v>119</v>
      </c>
      <c r="H397" s="19">
        <v>3</v>
      </c>
      <c r="I397" s="51">
        <v>210</v>
      </c>
      <c r="J397" s="52"/>
      <c r="K397" s="45"/>
      <c r="L397" s="19"/>
      <c r="M397" s="45"/>
      <c r="N397" s="48"/>
      <c r="O397" s="100">
        <f t="shared" ref="O397:O404" si="217">SUM(I397)</f>
        <v>210</v>
      </c>
      <c r="P397" s="53"/>
      <c r="Q397" s="53"/>
      <c r="R397" s="76">
        <f t="shared" si="214"/>
        <v>142.68658764816</v>
      </c>
      <c r="S397" s="76"/>
      <c r="T397" s="77">
        <f t="shared" si="215"/>
        <v>0.24329382407985</v>
      </c>
      <c r="U397" s="76"/>
      <c r="V397" s="76"/>
      <c r="W397" s="78">
        <f t="shared" si="211"/>
        <v>142.92988147224</v>
      </c>
      <c r="X397" s="79">
        <f t="shared" si="216"/>
        <v>3.15336868371803</v>
      </c>
      <c r="Y397" s="79"/>
      <c r="Z397" s="79"/>
      <c r="AA397" s="79">
        <f t="shared" si="212"/>
        <v>3.15336868371803</v>
      </c>
      <c r="AB397" s="90">
        <v>7.15</v>
      </c>
      <c r="AC397" s="76">
        <f t="shared" si="209"/>
        <v>22.5465860885839</v>
      </c>
      <c r="AD397" s="76">
        <f t="shared" si="210"/>
        <v>165.476467560823</v>
      </c>
      <c r="AE397" s="76">
        <f t="shared" si="213"/>
        <v>44.5235324391766</v>
      </c>
    </row>
    <row r="398" customFormat="1" spans="1:31">
      <c r="A398" s="18"/>
      <c r="B398" s="19"/>
      <c r="C398" s="22">
        <v>240812000010</v>
      </c>
      <c r="D398" s="23">
        <v>45520</v>
      </c>
      <c r="E398" s="21" t="s">
        <v>37</v>
      </c>
      <c r="F398" s="24" t="s">
        <v>38</v>
      </c>
      <c r="G398" s="24" t="s">
        <v>239</v>
      </c>
      <c r="H398" s="24">
        <v>3</v>
      </c>
      <c r="I398" s="51">
        <v>239.1</v>
      </c>
      <c r="J398" s="52"/>
      <c r="K398" s="45"/>
      <c r="L398" s="19"/>
      <c r="M398" s="45"/>
      <c r="N398" s="48"/>
      <c r="O398" s="100">
        <f t="shared" si="217"/>
        <v>239.1</v>
      </c>
      <c r="P398" s="53"/>
      <c r="Q398" s="53"/>
      <c r="R398" s="76">
        <f t="shared" si="214"/>
        <v>142.68658764816</v>
      </c>
      <c r="S398" s="76"/>
      <c r="T398" s="77">
        <f t="shared" si="215"/>
        <v>0.24329382407985</v>
      </c>
      <c r="U398" s="76"/>
      <c r="V398" s="76"/>
      <c r="W398" s="78">
        <f t="shared" si="211"/>
        <v>142.92988147224</v>
      </c>
      <c r="X398" s="79">
        <f t="shared" si="216"/>
        <v>3.15336868371803</v>
      </c>
      <c r="Y398" s="79"/>
      <c r="Z398" s="79"/>
      <c r="AA398" s="79">
        <f t="shared" si="212"/>
        <v>3.15336868371803</v>
      </c>
      <c r="AB398" s="90">
        <v>7.15</v>
      </c>
      <c r="AC398" s="76">
        <f t="shared" si="209"/>
        <v>22.5465860885839</v>
      </c>
      <c r="AD398" s="76">
        <f t="shared" si="210"/>
        <v>165.476467560823</v>
      </c>
      <c r="AE398" s="76">
        <f t="shared" si="213"/>
        <v>73.6235324391766</v>
      </c>
    </row>
    <row r="399" customFormat="1" spans="1:31">
      <c r="A399" s="18"/>
      <c r="B399" s="19"/>
      <c r="C399" s="20">
        <v>240812000011</v>
      </c>
      <c r="D399" s="21">
        <v>45520</v>
      </c>
      <c r="E399" s="21" t="s">
        <v>37</v>
      </c>
      <c r="F399" s="19" t="s">
        <v>38</v>
      </c>
      <c r="G399" s="19" t="s">
        <v>312</v>
      </c>
      <c r="H399" s="19">
        <v>3.5</v>
      </c>
      <c r="I399" s="51">
        <v>282.4</v>
      </c>
      <c r="J399" s="52"/>
      <c r="K399" s="45"/>
      <c r="L399" s="19"/>
      <c r="M399" s="45"/>
      <c r="N399" s="48"/>
      <c r="O399" s="100">
        <f t="shared" si="217"/>
        <v>282.4</v>
      </c>
      <c r="P399" s="53"/>
      <c r="Q399" s="53"/>
      <c r="R399" s="76">
        <f t="shared" si="214"/>
        <v>166.46768558952</v>
      </c>
      <c r="S399" s="76"/>
      <c r="T399" s="77">
        <f t="shared" si="215"/>
        <v>0.283842794759825</v>
      </c>
      <c r="U399" s="76"/>
      <c r="V399" s="76"/>
      <c r="W399" s="78">
        <f t="shared" si="211"/>
        <v>166.751528384279</v>
      </c>
      <c r="X399" s="79">
        <f t="shared" si="216"/>
        <v>3.67893013100437</v>
      </c>
      <c r="Y399" s="79">
        <v>3.49</v>
      </c>
      <c r="Z399" s="79"/>
      <c r="AA399" s="79">
        <f t="shared" si="212"/>
        <v>7.16893013100437</v>
      </c>
      <c r="AB399" s="90">
        <v>7.15</v>
      </c>
      <c r="AC399" s="76">
        <f t="shared" si="209"/>
        <v>51.2578504366812</v>
      </c>
      <c r="AD399" s="76">
        <f t="shared" si="210"/>
        <v>218.009378820961</v>
      </c>
      <c r="AE399" s="76">
        <f t="shared" si="213"/>
        <v>64.3906211790393</v>
      </c>
    </row>
    <row r="400" customFormat="1" spans="1:31">
      <c r="A400" s="18"/>
      <c r="B400" s="19"/>
      <c r="C400" s="20">
        <v>240812000012</v>
      </c>
      <c r="D400" s="21">
        <v>45520</v>
      </c>
      <c r="E400" s="21" t="s">
        <v>37</v>
      </c>
      <c r="F400" s="19" t="s">
        <v>38</v>
      </c>
      <c r="G400" s="19" t="s">
        <v>313</v>
      </c>
      <c r="H400" s="19">
        <v>17.5</v>
      </c>
      <c r="I400" s="51">
        <v>1345</v>
      </c>
      <c r="J400" s="52"/>
      <c r="K400" s="45"/>
      <c r="L400" s="19"/>
      <c r="M400" s="45"/>
      <c r="N400" s="48"/>
      <c r="O400" s="100">
        <f t="shared" si="217"/>
        <v>1345</v>
      </c>
      <c r="P400" s="53"/>
      <c r="Q400" s="53"/>
      <c r="R400" s="76">
        <f t="shared" si="214"/>
        <v>832.338427947598</v>
      </c>
      <c r="S400" s="76"/>
      <c r="T400" s="77">
        <f t="shared" si="215"/>
        <v>1.41921397379913</v>
      </c>
      <c r="U400" s="76">
        <v>30</v>
      </c>
      <c r="V400" s="76"/>
      <c r="W400" s="78">
        <f t="shared" si="211"/>
        <v>863.757641921397</v>
      </c>
      <c r="X400" s="79">
        <f t="shared" si="216"/>
        <v>18.3946506550218</v>
      </c>
      <c r="Y400" s="79"/>
      <c r="Z400" s="79"/>
      <c r="AA400" s="79">
        <f t="shared" si="212"/>
        <v>18.3946506550218</v>
      </c>
      <c r="AB400" s="90">
        <v>7.15</v>
      </c>
      <c r="AC400" s="76">
        <f t="shared" si="209"/>
        <v>131.521752183406</v>
      </c>
      <c r="AD400" s="76">
        <f t="shared" si="210"/>
        <v>995.279394104803</v>
      </c>
      <c r="AE400" s="76">
        <f t="shared" si="213"/>
        <v>349.720605895197</v>
      </c>
    </row>
    <row r="401" customFormat="1" spans="1:31">
      <c r="A401" s="18"/>
      <c r="B401" s="19"/>
      <c r="C401" s="20">
        <v>240812000014</v>
      </c>
      <c r="D401" s="21">
        <v>45520</v>
      </c>
      <c r="E401" s="21" t="s">
        <v>37</v>
      </c>
      <c r="F401" s="19" t="s">
        <v>38</v>
      </c>
      <c r="G401" s="19" t="s">
        <v>314</v>
      </c>
      <c r="H401" s="19">
        <v>0.54</v>
      </c>
      <c r="I401" s="51">
        <v>110.4</v>
      </c>
      <c r="J401" s="52"/>
      <c r="K401" s="45"/>
      <c r="L401" s="19"/>
      <c r="M401" s="45"/>
      <c r="N401" s="48"/>
      <c r="O401" s="100">
        <f t="shared" si="217"/>
        <v>110.4</v>
      </c>
      <c r="P401" s="53"/>
      <c r="Q401" s="53"/>
      <c r="R401" s="76">
        <f t="shared" si="214"/>
        <v>25.6835857766687</v>
      </c>
      <c r="S401" s="76"/>
      <c r="T401" s="77">
        <f t="shared" si="215"/>
        <v>0.0437928883343731</v>
      </c>
      <c r="U401" s="76"/>
      <c r="V401" s="76"/>
      <c r="W401" s="78">
        <f t="shared" si="211"/>
        <v>25.7273786650031</v>
      </c>
      <c r="X401" s="79">
        <f t="shared" si="216"/>
        <v>0.567606363069245</v>
      </c>
      <c r="Y401" s="79"/>
      <c r="Z401" s="79"/>
      <c r="AA401" s="79">
        <f t="shared" si="212"/>
        <v>0.567606363069245</v>
      </c>
      <c r="AB401" s="90">
        <v>7.15</v>
      </c>
      <c r="AC401" s="76">
        <f t="shared" si="209"/>
        <v>4.0583854959451</v>
      </c>
      <c r="AD401" s="76">
        <f t="shared" si="210"/>
        <v>29.7857641609482</v>
      </c>
      <c r="AE401" s="76">
        <f t="shared" si="213"/>
        <v>80.6142358390518</v>
      </c>
    </row>
    <row r="402" customFormat="1" spans="1:31">
      <c r="A402" s="18"/>
      <c r="B402" s="19"/>
      <c r="C402" s="20">
        <v>240812000016</v>
      </c>
      <c r="D402" s="21">
        <v>45520</v>
      </c>
      <c r="E402" s="21" t="s">
        <v>44</v>
      </c>
      <c r="F402" s="19" t="s">
        <v>45</v>
      </c>
      <c r="G402" s="19" t="s">
        <v>315</v>
      </c>
      <c r="H402" s="19">
        <v>7.5</v>
      </c>
      <c r="I402" s="51">
        <v>526</v>
      </c>
      <c r="J402" s="52"/>
      <c r="K402" s="45"/>
      <c r="L402" s="19"/>
      <c r="M402" s="45"/>
      <c r="N402" s="48"/>
      <c r="O402" s="100">
        <f t="shared" si="217"/>
        <v>526</v>
      </c>
      <c r="P402" s="53"/>
      <c r="Q402" s="53"/>
      <c r="R402" s="76">
        <f t="shared" si="214"/>
        <v>356.716469120399</v>
      </c>
      <c r="S402" s="76"/>
      <c r="T402" s="77">
        <f t="shared" si="215"/>
        <v>0.608234560199626</v>
      </c>
      <c r="U402" s="76"/>
      <c r="V402" s="76"/>
      <c r="W402" s="78">
        <f t="shared" si="211"/>
        <v>357.324703680599</v>
      </c>
      <c r="X402" s="79">
        <f t="shared" si="216"/>
        <v>7.88342170929507</v>
      </c>
      <c r="Y402" s="79"/>
      <c r="Z402" s="79"/>
      <c r="AA402" s="79">
        <f t="shared" si="212"/>
        <v>7.88342170929507</v>
      </c>
      <c r="AB402" s="90">
        <v>7.15</v>
      </c>
      <c r="AC402" s="76">
        <f t="shared" si="209"/>
        <v>56.3664652214598</v>
      </c>
      <c r="AD402" s="76">
        <f t="shared" si="210"/>
        <v>413.691168902059</v>
      </c>
      <c r="AE402" s="76">
        <f t="shared" si="213"/>
        <v>112.308831097941</v>
      </c>
    </row>
    <row r="403" customFormat="1" spans="1:31">
      <c r="A403" s="18"/>
      <c r="B403" s="19"/>
      <c r="C403" s="20">
        <v>240812000021</v>
      </c>
      <c r="D403" s="21">
        <v>45520</v>
      </c>
      <c r="E403" s="21" t="s">
        <v>44</v>
      </c>
      <c r="F403" s="19" t="s">
        <v>45</v>
      </c>
      <c r="G403" s="19" t="s">
        <v>316</v>
      </c>
      <c r="H403" s="19">
        <v>0.28</v>
      </c>
      <c r="I403" s="51">
        <v>76</v>
      </c>
      <c r="J403" s="52"/>
      <c r="K403" s="45"/>
      <c r="L403" s="19"/>
      <c r="M403" s="45"/>
      <c r="N403" s="48"/>
      <c r="O403" s="100">
        <f t="shared" si="217"/>
        <v>76</v>
      </c>
      <c r="P403" s="53"/>
      <c r="Q403" s="53"/>
      <c r="R403" s="76">
        <f t="shared" si="214"/>
        <v>13.3174148471616</v>
      </c>
      <c r="S403" s="76"/>
      <c r="T403" s="77">
        <f t="shared" si="215"/>
        <v>0.022707423580786</v>
      </c>
      <c r="U403" s="76"/>
      <c r="V403" s="76"/>
      <c r="W403" s="78">
        <f t="shared" si="211"/>
        <v>13.3401222707424</v>
      </c>
      <c r="X403" s="79">
        <f t="shared" si="216"/>
        <v>0.294314410480349</v>
      </c>
      <c r="Y403" s="79"/>
      <c r="Z403" s="79"/>
      <c r="AA403" s="79">
        <f t="shared" si="212"/>
        <v>0.294314410480349</v>
      </c>
      <c r="AB403" s="90">
        <v>7.15</v>
      </c>
      <c r="AC403" s="76">
        <f t="shared" si="209"/>
        <v>2.1043480349345</v>
      </c>
      <c r="AD403" s="76">
        <f t="shared" si="210"/>
        <v>15.4444703056769</v>
      </c>
      <c r="AE403" s="76">
        <f t="shared" si="213"/>
        <v>60.5555296943231</v>
      </c>
    </row>
    <row r="404" customFormat="1" spans="1:31">
      <c r="A404" s="18"/>
      <c r="B404" s="19"/>
      <c r="C404" s="20">
        <v>240812000030</v>
      </c>
      <c r="D404" s="21">
        <v>45520</v>
      </c>
      <c r="E404" s="21" t="s">
        <v>51</v>
      </c>
      <c r="F404" s="19" t="s">
        <v>52</v>
      </c>
      <c r="G404" s="19" t="s">
        <v>122</v>
      </c>
      <c r="H404" s="19">
        <v>22</v>
      </c>
      <c r="I404" s="51">
        <v>1705.2</v>
      </c>
      <c r="J404" s="52"/>
      <c r="K404" s="45"/>
      <c r="L404" s="19"/>
      <c r="M404" s="45"/>
      <c r="N404" s="48"/>
      <c r="O404" s="100">
        <f t="shared" si="217"/>
        <v>1705.2</v>
      </c>
      <c r="P404" s="53"/>
      <c r="Q404" s="53"/>
      <c r="R404" s="76">
        <f t="shared" si="214"/>
        <v>1046.36830941984</v>
      </c>
      <c r="S404" s="76"/>
      <c r="T404" s="77">
        <f t="shared" si="215"/>
        <v>1.7841547099189</v>
      </c>
      <c r="U404" s="76"/>
      <c r="V404" s="76"/>
      <c r="W404" s="78">
        <f t="shared" si="211"/>
        <v>1048.15246412976</v>
      </c>
      <c r="X404" s="79">
        <f t="shared" si="216"/>
        <v>23.1247036805989</v>
      </c>
      <c r="Y404" s="79"/>
      <c r="Z404" s="79"/>
      <c r="AA404" s="79">
        <f t="shared" si="212"/>
        <v>23.1247036805989</v>
      </c>
      <c r="AB404" s="90">
        <v>7.15</v>
      </c>
      <c r="AC404" s="76">
        <f t="shared" si="209"/>
        <v>165.341631316282</v>
      </c>
      <c r="AD404" s="76">
        <f t="shared" si="210"/>
        <v>1213.49409544604</v>
      </c>
      <c r="AE404" s="76">
        <f t="shared" si="213"/>
        <v>491.705904553961</v>
      </c>
    </row>
    <row r="405" customFormat="1" spans="1:31">
      <c r="A405" s="18"/>
      <c r="B405" s="19"/>
      <c r="C405" s="20">
        <v>240812000034</v>
      </c>
      <c r="D405" s="21">
        <v>45520</v>
      </c>
      <c r="E405" s="21" t="s">
        <v>51</v>
      </c>
      <c r="F405" s="19" t="s">
        <v>52</v>
      </c>
      <c r="G405" s="19" t="s">
        <v>317</v>
      </c>
      <c r="H405" s="19">
        <v>2</v>
      </c>
      <c r="I405" s="43"/>
      <c r="J405" s="44">
        <v>30848</v>
      </c>
      <c r="K405" s="45"/>
      <c r="L405" s="46">
        <f>SUM(J405/M405)</f>
        <v>1655.82393988191</v>
      </c>
      <c r="M405" s="47">
        <v>18.63</v>
      </c>
      <c r="N405" s="48">
        <v>7.15</v>
      </c>
      <c r="O405" s="100">
        <f>SUM(M405*N405)</f>
        <v>133.2045</v>
      </c>
      <c r="P405" s="53"/>
      <c r="Q405" s="53"/>
      <c r="R405" s="76">
        <f t="shared" si="214"/>
        <v>95.1243917654398</v>
      </c>
      <c r="S405" s="76"/>
      <c r="T405" s="77">
        <f t="shared" si="215"/>
        <v>0.1621958827199</v>
      </c>
      <c r="U405" s="76"/>
      <c r="V405" s="76"/>
      <c r="W405" s="78">
        <f t="shared" si="211"/>
        <v>95.2865876481597</v>
      </c>
      <c r="X405" s="79">
        <f t="shared" si="216"/>
        <v>2.10224578914535</v>
      </c>
      <c r="Y405" s="79"/>
      <c r="Z405" s="79"/>
      <c r="AA405" s="79">
        <f t="shared" si="212"/>
        <v>2.10224578914535</v>
      </c>
      <c r="AB405" s="90">
        <v>7.15</v>
      </c>
      <c r="AC405" s="76">
        <f t="shared" si="209"/>
        <v>15.0310573923893</v>
      </c>
      <c r="AD405" s="76">
        <f t="shared" si="210"/>
        <v>110.317645040549</v>
      </c>
      <c r="AE405" s="76">
        <f t="shared" si="213"/>
        <v>22.886854959451</v>
      </c>
    </row>
    <row r="406" customFormat="1" spans="1:31">
      <c r="A406" s="18"/>
      <c r="B406" s="19"/>
      <c r="C406" s="20">
        <v>240812000035</v>
      </c>
      <c r="D406" s="21">
        <v>45520</v>
      </c>
      <c r="E406" s="21" t="s">
        <v>51</v>
      </c>
      <c r="F406" s="19" t="s">
        <v>52</v>
      </c>
      <c r="G406" s="19" t="s">
        <v>318</v>
      </c>
      <c r="H406" s="19">
        <v>1.5</v>
      </c>
      <c r="I406" s="49"/>
      <c r="J406" s="44">
        <v>29733</v>
      </c>
      <c r="K406" s="45"/>
      <c r="L406" s="46">
        <f>SUM(J406/M406)</f>
        <v>1639.98887810321</v>
      </c>
      <c r="M406" s="47">
        <v>18.130001</v>
      </c>
      <c r="N406" s="48">
        <v>7.15</v>
      </c>
      <c r="O406" s="100">
        <f>SUM(M406*N406)</f>
        <v>129.62950715</v>
      </c>
      <c r="P406" s="53"/>
      <c r="Q406" s="53"/>
      <c r="R406" s="76">
        <f t="shared" si="214"/>
        <v>71.3432938240799</v>
      </c>
      <c r="S406" s="76"/>
      <c r="T406" s="77">
        <f t="shared" si="215"/>
        <v>0.121646912039925</v>
      </c>
      <c r="U406" s="76"/>
      <c r="V406" s="76"/>
      <c r="W406" s="78">
        <f t="shared" si="211"/>
        <v>71.4649407361198</v>
      </c>
      <c r="X406" s="79">
        <f t="shared" si="216"/>
        <v>1.57668434185901</v>
      </c>
      <c r="Y406" s="79"/>
      <c r="Z406" s="79"/>
      <c r="AA406" s="79">
        <f t="shared" si="212"/>
        <v>1.57668434185901</v>
      </c>
      <c r="AB406" s="90">
        <v>7.15</v>
      </c>
      <c r="AC406" s="76">
        <f t="shared" si="209"/>
        <v>11.273293044292</v>
      </c>
      <c r="AD406" s="76">
        <f t="shared" si="210"/>
        <v>82.7382337804117</v>
      </c>
      <c r="AE406" s="76">
        <f t="shared" si="213"/>
        <v>46.8912733695883</v>
      </c>
    </row>
    <row r="407" customFormat="1" spans="1:31">
      <c r="A407" s="18"/>
      <c r="B407" s="19"/>
      <c r="C407" s="20">
        <v>240812000036</v>
      </c>
      <c r="D407" s="21">
        <v>45520</v>
      </c>
      <c r="E407" s="21" t="s">
        <v>51</v>
      </c>
      <c r="F407" s="19" t="s">
        <v>52</v>
      </c>
      <c r="G407" s="19" t="s">
        <v>215</v>
      </c>
      <c r="H407" s="19">
        <v>11</v>
      </c>
      <c r="I407" s="51">
        <v>761</v>
      </c>
      <c r="J407" s="52"/>
      <c r="K407" s="45"/>
      <c r="L407" s="19"/>
      <c r="M407" s="45"/>
      <c r="N407" s="48"/>
      <c r="O407" s="100">
        <f t="shared" ref="O407:O413" si="218">SUM(I407)</f>
        <v>761</v>
      </c>
      <c r="P407" s="53"/>
      <c r="Q407" s="53"/>
      <c r="R407" s="76">
        <f t="shared" si="214"/>
        <v>523.184154709919</v>
      </c>
      <c r="S407" s="76"/>
      <c r="T407" s="77">
        <f t="shared" si="215"/>
        <v>0.892077354959451</v>
      </c>
      <c r="U407" s="76"/>
      <c r="V407" s="77">
        <v>35</v>
      </c>
      <c r="W407" s="78">
        <f t="shared" si="211"/>
        <v>559.076232064878</v>
      </c>
      <c r="X407" s="79">
        <f t="shared" si="216"/>
        <v>11.5623518402994</v>
      </c>
      <c r="Y407" s="79"/>
      <c r="Z407" s="79"/>
      <c r="AA407" s="79">
        <f t="shared" si="212"/>
        <v>11.5623518402994</v>
      </c>
      <c r="AB407" s="90">
        <v>7.15</v>
      </c>
      <c r="AC407" s="76">
        <f t="shared" si="209"/>
        <v>82.670815658141</v>
      </c>
      <c r="AD407" s="76">
        <f t="shared" si="210"/>
        <v>641.747047723019</v>
      </c>
      <c r="AE407" s="76">
        <f t="shared" si="213"/>
        <v>119.252952276981</v>
      </c>
    </row>
    <row r="408" customFormat="1" spans="1:31">
      <c r="A408" s="18"/>
      <c r="B408" s="19"/>
      <c r="C408" s="20">
        <v>240812000046</v>
      </c>
      <c r="D408" s="21">
        <v>45520</v>
      </c>
      <c r="E408" s="21" t="s">
        <v>37</v>
      </c>
      <c r="F408" s="19" t="s">
        <v>38</v>
      </c>
      <c r="G408" s="19" t="s">
        <v>319</v>
      </c>
      <c r="H408" s="19">
        <v>422</v>
      </c>
      <c r="I408" s="51">
        <v>37190</v>
      </c>
      <c r="J408" s="52"/>
      <c r="K408" s="45"/>
      <c r="L408" s="19"/>
      <c r="M408" s="45"/>
      <c r="N408" s="48"/>
      <c r="O408" s="100">
        <f t="shared" si="218"/>
        <v>37190</v>
      </c>
      <c r="P408" s="53"/>
      <c r="Q408" s="53"/>
      <c r="R408" s="76">
        <f t="shared" si="214"/>
        <v>20071.2466625078</v>
      </c>
      <c r="S408" s="76"/>
      <c r="T408" s="77">
        <f t="shared" si="215"/>
        <v>34.2233312538989</v>
      </c>
      <c r="U408" s="77">
        <f>SUM(590+600)</f>
        <v>1190</v>
      </c>
      <c r="V408" s="76"/>
      <c r="W408" s="78">
        <f t="shared" si="211"/>
        <v>21295.4699937617</v>
      </c>
      <c r="X408" s="79">
        <f t="shared" si="216"/>
        <v>443.573861509669</v>
      </c>
      <c r="Y408" s="79"/>
      <c r="Z408" s="79"/>
      <c r="AA408" s="79">
        <f t="shared" si="212"/>
        <v>443.573861509669</v>
      </c>
      <c r="AB408" s="90">
        <v>7.15</v>
      </c>
      <c r="AC408" s="76">
        <f t="shared" si="209"/>
        <v>3171.55310979414</v>
      </c>
      <c r="AD408" s="76">
        <f t="shared" si="210"/>
        <v>24467.0231035558</v>
      </c>
      <c r="AE408" s="76">
        <f t="shared" si="213"/>
        <v>12722.9768964442</v>
      </c>
    </row>
    <row r="409" customFormat="1" spans="1:31">
      <c r="A409" s="18"/>
      <c r="B409" s="19"/>
      <c r="C409" s="20">
        <v>240812000047</v>
      </c>
      <c r="D409" s="21">
        <v>45520</v>
      </c>
      <c r="E409" s="21" t="s">
        <v>37</v>
      </c>
      <c r="F409" s="19" t="s">
        <v>38</v>
      </c>
      <c r="G409" s="19" t="s">
        <v>319</v>
      </c>
      <c r="H409" s="19">
        <v>166</v>
      </c>
      <c r="I409" s="51">
        <v>14710</v>
      </c>
      <c r="J409" s="52"/>
      <c r="K409" s="45"/>
      <c r="L409" s="19"/>
      <c r="M409" s="45"/>
      <c r="N409" s="48"/>
      <c r="O409" s="100">
        <f t="shared" si="218"/>
        <v>14710</v>
      </c>
      <c r="P409" s="53"/>
      <c r="Q409" s="53"/>
      <c r="R409" s="76">
        <f t="shared" si="214"/>
        <v>7895.3245165315</v>
      </c>
      <c r="S409" s="76"/>
      <c r="T409" s="77">
        <f t="shared" si="215"/>
        <v>13.4622582657517</v>
      </c>
      <c r="U409" s="77">
        <v>500</v>
      </c>
      <c r="V409" s="76"/>
      <c r="W409" s="78">
        <f t="shared" si="211"/>
        <v>8408.78677479726</v>
      </c>
      <c r="X409" s="79">
        <f t="shared" si="216"/>
        <v>174.486400499064</v>
      </c>
      <c r="Y409" s="79"/>
      <c r="Z409" s="79"/>
      <c r="AA409" s="79">
        <f t="shared" si="212"/>
        <v>174.486400499064</v>
      </c>
      <c r="AB409" s="90">
        <v>7.15</v>
      </c>
      <c r="AC409" s="76">
        <f t="shared" si="209"/>
        <v>1247.57776356831</v>
      </c>
      <c r="AD409" s="76">
        <f t="shared" si="210"/>
        <v>9656.36453836557</v>
      </c>
      <c r="AE409" s="76">
        <f t="shared" si="213"/>
        <v>5053.63546163443</v>
      </c>
    </row>
    <row r="410" customFormat="1" spans="1:31">
      <c r="A410" s="18"/>
      <c r="B410" s="19"/>
      <c r="C410" s="20">
        <v>240812000049</v>
      </c>
      <c r="D410" s="21">
        <v>45520</v>
      </c>
      <c r="E410" s="21" t="s">
        <v>37</v>
      </c>
      <c r="F410" s="19" t="s">
        <v>38</v>
      </c>
      <c r="G410" s="19" t="s">
        <v>283</v>
      </c>
      <c r="H410" s="19">
        <v>2</v>
      </c>
      <c r="I410" s="51">
        <v>162.5</v>
      </c>
      <c r="J410" s="52"/>
      <c r="K410" s="45"/>
      <c r="L410" s="19"/>
      <c r="M410" s="45"/>
      <c r="N410" s="48"/>
      <c r="O410" s="100">
        <f t="shared" si="218"/>
        <v>162.5</v>
      </c>
      <c r="P410" s="53"/>
      <c r="Q410" s="53"/>
      <c r="R410" s="76">
        <f t="shared" si="214"/>
        <v>95.1243917654398</v>
      </c>
      <c r="S410" s="76"/>
      <c r="T410" s="77">
        <f t="shared" si="215"/>
        <v>0.1621958827199</v>
      </c>
      <c r="U410" s="76"/>
      <c r="V410" s="76"/>
      <c r="W410" s="78">
        <f t="shared" si="211"/>
        <v>95.2865876481597</v>
      </c>
      <c r="X410" s="79">
        <f t="shared" si="216"/>
        <v>2.10224578914535</v>
      </c>
      <c r="Y410" s="79"/>
      <c r="Z410" s="79"/>
      <c r="AA410" s="79">
        <f t="shared" si="212"/>
        <v>2.10224578914535</v>
      </c>
      <c r="AB410" s="90">
        <v>7.15</v>
      </c>
      <c r="AC410" s="76">
        <f t="shared" si="209"/>
        <v>15.0310573923893</v>
      </c>
      <c r="AD410" s="76">
        <f t="shared" si="210"/>
        <v>110.317645040549</v>
      </c>
      <c r="AE410" s="76">
        <f t="shared" si="213"/>
        <v>52.182354959451</v>
      </c>
    </row>
    <row r="411" customFormat="1" spans="1:31">
      <c r="A411" s="18"/>
      <c r="B411" s="19"/>
      <c r="C411" s="20">
        <v>240812000064</v>
      </c>
      <c r="D411" s="21">
        <v>45520</v>
      </c>
      <c r="E411" s="21" t="s">
        <v>37</v>
      </c>
      <c r="F411" s="19" t="s">
        <v>38</v>
      </c>
      <c r="G411" s="19" t="s">
        <v>320</v>
      </c>
      <c r="H411" s="19">
        <v>5</v>
      </c>
      <c r="I411" s="51">
        <v>370</v>
      </c>
      <c r="J411" s="52"/>
      <c r="K411" s="45"/>
      <c r="L411" s="19"/>
      <c r="M411" s="45"/>
      <c r="N411" s="48"/>
      <c r="O411" s="100">
        <f t="shared" si="218"/>
        <v>370</v>
      </c>
      <c r="P411" s="53"/>
      <c r="Q411" s="53"/>
      <c r="R411" s="76">
        <f t="shared" si="214"/>
        <v>237.810979413599</v>
      </c>
      <c r="S411" s="76"/>
      <c r="T411" s="77">
        <f t="shared" si="215"/>
        <v>0.40548970679975</v>
      </c>
      <c r="U411" s="76"/>
      <c r="V411" s="76"/>
      <c r="W411" s="78">
        <f t="shared" si="211"/>
        <v>238.216469120399</v>
      </c>
      <c r="X411" s="79">
        <f t="shared" si="216"/>
        <v>5.25561447286338</v>
      </c>
      <c r="Y411" s="79"/>
      <c r="Z411" s="79"/>
      <c r="AA411" s="79">
        <f t="shared" si="212"/>
        <v>5.25561447286338</v>
      </c>
      <c r="AB411" s="90">
        <v>7.15</v>
      </c>
      <c r="AC411" s="76">
        <f t="shared" si="209"/>
        <v>37.5776434809732</v>
      </c>
      <c r="AD411" s="76">
        <f t="shared" si="210"/>
        <v>275.794112601372</v>
      </c>
      <c r="AE411" s="76">
        <f t="shared" si="213"/>
        <v>94.2058873986276</v>
      </c>
    </row>
    <row r="412" customFormat="1" spans="1:31">
      <c r="A412" s="18"/>
      <c r="B412" s="19"/>
      <c r="C412" s="20">
        <v>240812000068</v>
      </c>
      <c r="D412" s="21">
        <v>45520</v>
      </c>
      <c r="E412" s="21" t="s">
        <v>37</v>
      </c>
      <c r="F412" s="19" t="s">
        <v>38</v>
      </c>
      <c r="G412" s="19" t="s">
        <v>202</v>
      </c>
      <c r="H412" s="19">
        <v>64.5</v>
      </c>
      <c r="I412" s="51">
        <v>4290</v>
      </c>
      <c r="J412" s="52"/>
      <c r="K412" s="45"/>
      <c r="L412" s="19"/>
      <c r="M412" s="45"/>
      <c r="N412" s="48"/>
      <c r="O412" s="100">
        <f t="shared" si="218"/>
        <v>4290</v>
      </c>
      <c r="P412" s="53"/>
      <c r="Q412" s="53"/>
      <c r="R412" s="76">
        <f t="shared" si="214"/>
        <v>3067.76163443543</v>
      </c>
      <c r="S412" s="76"/>
      <c r="T412" s="77">
        <f t="shared" si="215"/>
        <v>5.23081721771678</v>
      </c>
      <c r="U412" s="77">
        <v>130</v>
      </c>
      <c r="V412" s="76"/>
      <c r="W412" s="78">
        <f t="shared" si="211"/>
        <v>3202.99245165315</v>
      </c>
      <c r="X412" s="79">
        <f t="shared" si="216"/>
        <v>67.7974266999376</v>
      </c>
      <c r="Y412" s="79">
        <v>7.69</v>
      </c>
      <c r="Z412" s="79"/>
      <c r="AA412" s="79">
        <f t="shared" si="212"/>
        <v>75.4874266999376</v>
      </c>
      <c r="AB412" s="90">
        <v>7.15</v>
      </c>
      <c r="AC412" s="76">
        <f t="shared" si="209"/>
        <v>539.735100904554</v>
      </c>
      <c r="AD412" s="76">
        <f t="shared" si="210"/>
        <v>3742.7275525577</v>
      </c>
      <c r="AE412" s="76">
        <f t="shared" si="213"/>
        <v>547.272447442296</v>
      </c>
    </row>
    <row r="413" customFormat="1" spans="1:31">
      <c r="A413" s="18"/>
      <c r="B413" s="19"/>
      <c r="C413" s="20">
        <v>240813000006</v>
      </c>
      <c r="D413" s="21">
        <v>45520</v>
      </c>
      <c r="E413" s="21" t="s">
        <v>41</v>
      </c>
      <c r="F413" s="19" t="s">
        <v>42</v>
      </c>
      <c r="G413" s="19" t="s">
        <v>321</v>
      </c>
      <c r="H413" s="19">
        <v>24</v>
      </c>
      <c r="I413" s="51">
        <v>1741.9</v>
      </c>
      <c r="J413" s="52"/>
      <c r="K413" s="45"/>
      <c r="L413" s="19"/>
      <c r="M413" s="45"/>
      <c r="N413" s="48"/>
      <c r="O413" s="100">
        <f t="shared" si="218"/>
        <v>1741.9</v>
      </c>
      <c r="P413" s="53"/>
      <c r="Q413" s="53"/>
      <c r="R413" s="76">
        <f t="shared" si="214"/>
        <v>1141.49270118528</v>
      </c>
      <c r="S413" s="76"/>
      <c r="T413" s="77">
        <f t="shared" si="215"/>
        <v>1.9463505926388</v>
      </c>
      <c r="U413" s="77">
        <v>100</v>
      </c>
      <c r="V413" s="76"/>
      <c r="W413" s="78">
        <f t="shared" si="211"/>
        <v>1243.43905177792</v>
      </c>
      <c r="X413" s="79">
        <f t="shared" si="216"/>
        <v>25.2269494697442</v>
      </c>
      <c r="Y413" s="79"/>
      <c r="Z413" s="79"/>
      <c r="AA413" s="79">
        <f t="shared" si="212"/>
        <v>25.2269494697442</v>
      </c>
      <c r="AB413" s="90">
        <v>7.15</v>
      </c>
      <c r="AC413" s="76">
        <f t="shared" si="209"/>
        <v>180.372688708671</v>
      </c>
      <c r="AD413" s="76">
        <f t="shared" si="210"/>
        <v>1423.81174048659</v>
      </c>
      <c r="AE413" s="76">
        <f t="shared" si="213"/>
        <v>318.088259513413</v>
      </c>
    </row>
    <row r="414" customFormat="1" spans="1:31">
      <c r="A414" s="18"/>
      <c r="B414" s="19"/>
      <c r="C414" s="20">
        <v>240813000010</v>
      </c>
      <c r="D414" s="21">
        <v>45520</v>
      </c>
      <c r="E414" s="21" t="s">
        <v>44</v>
      </c>
      <c r="F414" s="19" t="s">
        <v>45</v>
      </c>
      <c r="G414" s="19" t="s">
        <v>236</v>
      </c>
      <c r="H414" s="19">
        <v>98</v>
      </c>
      <c r="I414" s="49"/>
      <c r="J414" s="44">
        <v>1345784</v>
      </c>
      <c r="K414" s="45"/>
      <c r="L414" s="46">
        <f>SUM(J414/M414)</f>
        <v>1640</v>
      </c>
      <c r="M414" s="47">
        <v>820.6</v>
      </c>
      <c r="N414" s="48">
        <v>7.15</v>
      </c>
      <c r="O414" s="100">
        <f>SUM(M414*N414)</f>
        <v>5867.29</v>
      </c>
      <c r="P414" s="53"/>
      <c r="Q414" s="53"/>
      <c r="R414" s="76">
        <f t="shared" si="214"/>
        <v>4661.09519650655</v>
      </c>
      <c r="S414" s="76"/>
      <c r="T414" s="77">
        <f t="shared" si="215"/>
        <v>7.94759825327511</v>
      </c>
      <c r="U414" s="76"/>
      <c r="V414" s="76"/>
      <c r="W414" s="78">
        <f t="shared" si="211"/>
        <v>4669.04279475982</v>
      </c>
      <c r="X414" s="79">
        <f t="shared" si="216"/>
        <v>103.010043668122</v>
      </c>
      <c r="Y414" s="79"/>
      <c r="Z414" s="79"/>
      <c r="AA414" s="79">
        <f t="shared" si="212"/>
        <v>103.010043668122</v>
      </c>
      <c r="AB414" s="90">
        <v>7.15</v>
      </c>
      <c r="AC414" s="76">
        <f t="shared" si="209"/>
        <v>736.521812227074</v>
      </c>
      <c r="AD414" s="76">
        <f t="shared" si="210"/>
        <v>5405.5646069869</v>
      </c>
      <c r="AE414" s="76">
        <f t="shared" si="213"/>
        <v>461.725393013101</v>
      </c>
    </row>
    <row r="415" customFormat="1" spans="1:31">
      <c r="A415" s="18"/>
      <c r="B415" s="19"/>
      <c r="C415" s="20">
        <v>240813000012</v>
      </c>
      <c r="D415" s="21">
        <v>45520</v>
      </c>
      <c r="E415" s="21" t="s">
        <v>57</v>
      </c>
      <c r="F415" s="19" t="s">
        <v>57</v>
      </c>
      <c r="G415" s="19" t="s">
        <v>150</v>
      </c>
      <c r="H415" s="19">
        <v>237</v>
      </c>
      <c r="I415" s="51">
        <v>13504</v>
      </c>
      <c r="J415" s="52"/>
      <c r="K415" s="45"/>
      <c r="L415" s="19"/>
      <c r="M415" s="45"/>
      <c r="N415" s="48"/>
      <c r="O415" s="100">
        <f t="shared" ref="O415:O420" si="219">SUM(I415)</f>
        <v>13504</v>
      </c>
      <c r="P415" s="53"/>
      <c r="Q415" s="53"/>
      <c r="R415" s="76">
        <f t="shared" si="214"/>
        <v>11272.2404242046</v>
      </c>
      <c r="S415" s="76"/>
      <c r="T415" s="77">
        <f t="shared" si="215"/>
        <v>19.2202121023082</v>
      </c>
      <c r="U415" s="76"/>
      <c r="V415" s="76"/>
      <c r="W415" s="78">
        <f t="shared" si="211"/>
        <v>11291.4606363069</v>
      </c>
      <c r="X415" s="79">
        <f t="shared" si="216"/>
        <v>249.116126013724</v>
      </c>
      <c r="Y415" s="79"/>
      <c r="Z415" s="79"/>
      <c r="AA415" s="79">
        <f t="shared" si="212"/>
        <v>249.116126013724</v>
      </c>
      <c r="AB415" s="90">
        <v>7.15</v>
      </c>
      <c r="AC415" s="76">
        <f t="shared" si="209"/>
        <v>1781.18030099813</v>
      </c>
      <c r="AD415" s="76">
        <f t="shared" si="210"/>
        <v>13072.6409373051</v>
      </c>
      <c r="AE415" s="76">
        <f t="shared" si="213"/>
        <v>431.359062694948</v>
      </c>
    </row>
    <row r="416" customFormat="1" spans="1:31">
      <c r="A416" s="18"/>
      <c r="B416" s="19"/>
      <c r="C416" s="20">
        <v>240813000022</v>
      </c>
      <c r="D416" s="21">
        <v>45520</v>
      </c>
      <c r="E416" s="21" t="s">
        <v>57</v>
      </c>
      <c r="F416" s="19" t="s">
        <v>57</v>
      </c>
      <c r="G416" s="19" t="s">
        <v>217</v>
      </c>
      <c r="H416" s="19">
        <v>129.5</v>
      </c>
      <c r="I416" s="51">
        <v>12493.5</v>
      </c>
      <c r="J416" s="52"/>
      <c r="K416" s="45"/>
      <c r="L416" s="19"/>
      <c r="M416" s="45"/>
      <c r="N416" s="48"/>
      <c r="O416" s="100">
        <f t="shared" si="219"/>
        <v>12493.5</v>
      </c>
      <c r="P416" s="53"/>
      <c r="Q416" s="53"/>
      <c r="R416" s="76">
        <f t="shared" si="214"/>
        <v>6159.30436681223</v>
      </c>
      <c r="S416" s="76"/>
      <c r="T416" s="77">
        <f t="shared" si="215"/>
        <v>10.5021834061135</v>
      </c>
      <c r="U416" s="76"/>
      <c r="V416" s="76"/>
      <c r="W416" s="78">
        <f t="shared" si="211"/>
        <v>6169.80655021834</v>
      </c>
      <c r="X416" s="79">
        <f t="shared" si="216"/>
        <v>136.120414847162</v>
      </c>
      <c r="Y416" s="79"/>
      <c r="Z416" s="79"/>
      <c r="AA416" s="79">
        <f t="shared" si="212"/>
        <v>136.120414847162</v>
      </c>
      <c r="AB416" s="90">
        <v>7.15</v>
      </c>
      <c r="AC416" s="76">
        <f t="shared" si="209"/>
        <v>973.260966157205</v>
      </c>
      <c r="AD416" s="76">
        <f t="shared" si="210"/>
        <v>7143.06751637554</v>
      </c>
      <c r="AE416" s="76">
        <f t="shared" si="213"/>
        <v>5350.43248362446</v>
      </c>
    </row>
    <row r="417" customFormat="1" spans="1:31">
      <c r="A417" s="18"/>
      <c r="B417" s="19"/>
      <c r="C417" s="20">
        <v>240813000023</v>
      </c>
      <c r="D417" s="21">
        <v>45520</v>
      </c>
      <c r="E417" s="21" t="s">
        <v>57</v>
      </c>
      <c r="F417" s="19" t="s">
        <v>57</v>
      </c>
      <c r="G417" s="19" t="s">
        <v>155</v>
      </c>
      <c r="H417" s="19">
        <v>474</v>
      </c>
      <c r="I417" s="51">
        <v>24648</v>
      </c>
      <c r="J417" s="52"/>
      <c r="K417" s="45"/>
      <c r="L417" s="19"/>
      <c r="M417" s="45"/>
      <c r="N417" s="48"/>
      <c r="O417" s="100">
        <f t="shared" si="219"/>
        <v>24648</v>
      </c>
      <c r="P417" s="53"/>
      <c r="Q417" s="53"/>
      <c r="R417" s="76">
        <f t="shared" si="214"/>
        <v>22544.4808484092</v>
      </c>
      <c r="S417" s="76"/>
      <c r="T417" s="77">
        <f t="shared" si="215"/>
        <v>38.4404242046163</v>
      </c>
      <c r="U417" s="76"/>
      <c r="V417" s="76"/>
      <c r="W417" s="78">
        <f t="shared" si="211"/>
        <v>22582.9212726138</v>
      </c>
      <c r="X417" s="79">
        <f t="shared" si="216"/>
        <v>498.232252027449</v>
      </c>
      <c r="Y417" s="79"/>
      <c r="Z417" s="79"/>
      <c r="AA417" s="79">
        <f t="shared" si="212"/>
        <v>498.232252027449</v>
      </c>
      <c r="AB417" s="90">
        <v>7.15</v>
      </c>
      <c r="AC417" s="76">
        <f t="shared" si="209"/>
        <v>3562.36060199626</v>
      </c>
      <c r="AD417" s="76">
        <f t="shared" si="210"/>
        <v>26145.2818746101</v>
      </c>
      <c r="AE417" s="76">
        <f t="shared" si="213"/>
        <v>-1497.2818746101</v>
      </c>
    </row>
    <row r="418" customFormat="1" spans="1:31">
      <c r="A418" s="18"/>
      <c r="B418" s="19"/>
      <c r="C418" s="20">
        <v>240813000024</v>
      </c>
      <c r="D418" s="21">
        <v>45520</v>
      </c>
      <c r="E418" s="21" t="s">
        <v>57</v>
      </c>
      <c r="F418" s="19" t="s">
        <v>57</v>
      </c>
      <c r="G418" s="19" t="s">
        <v>155</v>
      </c>
      <c r="H418" s="19">
        <v>477</v>
      </c>
      <c r="I418" s="51">
        <v>24804</v>
      </c>
      <c r="J418" s="52"/>
      <c r="K418" s="45"/>
      <c r="L418" s="19"/>
      <c r="M418" s="45"/>
      <c r="N418" s="48"/>
      <c r="O418" s="100">
        <f t="shared" si="219"/>
        <v>24804</v>
      </c>
      <c r="P418" s="53"/>
      <c r="Q418" s="53"/>
      <c r="R418" s="76">
        <f t="shared" si="214"/>
        <v>22687.1674360574</v>
      </c>
      <c r="S418" s="76"/>
      <c r="T418" s="77">
        <f t="shared" si="215"/>
        <v>38.6837180286962</v>
      </c>
      <c r="U418" s="76"/>
      <c r="V418" s="76"/>
      <c r="W418" s="78">
        <f t="shared" si="211"/>
        <v>22725.8511540861</v>
      </c>
      <c r="X418" s="79">
        <f t="shared" si="216"/>
        <v>501.385620711167</v>
      </c>
      <c r="Y418" s="79"/>
      <c r="Z418" s="79"/>
      <c r="AA418" s="79">
        <f t="shared" si="212"/>
        <v>501.385620711167</v>
      </c>
      <c r="AB418" s="90">
        <v>7.15</v>
      </c>
      <c r="AC418" s="76">
        <f t="shared" si="209"/>
        <v>3584.90718808484</v>
      </c>
      <c r="AD418" s="76">
        <f t="shared" si="210"/>
        <v>26310.7583421709</v>
      </c>
      <c r="AE418" s="76">
        <f t="shared" si="213"/>
        <v>-1506.75834217093</v>
      </c>
    </row>
    <row r="419" customFormat="1" spans="1:31">
      <c r="A419" s="18"/>
      <c r="B419" s="19"/>
      <c r="C419" s="20">
        <v>240813000027</v>
      </c>
      <c r="D419" s="21">
        <v>45520</v>
      </c>
      <c r="E419" s="21" t="s">
        <v>44</v>
      </c>
      <c r="F419" s="19" t="s">
        <v>45</v>
      </c>
      <c r="G419" s="19" t="s">
        <v>322</v>
      </c>
      <c r="H419" s="19">
        <v>402.5</v>
      </c>
      <c r="I419" s="51">
        <v>31434</v>
      </c>
      <c r="J419" s="52"/>
      <c r="K419" s="45"/>
      <c r="L419" s="19"/>
      <c r="M419" s="45"/>
      <c r="N419" s="48"/>
      <c r="O419" s="100">
        <f t="shared" si="219"/>
        <v>31434</v>
      </c>
      <c r="P419" s="53"/>
      <c r="Q419" s="53"/>
      <c r="R419" s="76">
        <f t="shared" si="214"/>
        <v>19143.7838427948</v>
      </c>
      <c r="S419" s="76"/>
      <c r="T419" s="77">
        <f t="shared" si="215"/>
        <v>32.6419213973799</v>
      </c>
      <c r="U419" s="76"/>
      <c r="V419" s="76"/>
      <c r="W419" s="78">
        <f t="shared" ref="W419:W431" si="220">SUM(R419:V419)</f>
        <v>19176.4257641921</v>
      </c>
      <c r="X419" s="79">
        <f t="shared" si="216"/>
        <v>423.076965065502</v>
      </c>
      <c r="Y419" s="79"/>
      <c r="Z419" s="79"/>
      <c r="AA419" s="79">
        <f t="shared" ref="AA419:AA431" si="221">SUM(X419:Z419)</f>
        <v>423.076965065502</v>
      </c>
      <c r="AB419" s="90">
        <v>7.15</v>
      </c>
      <c r="AC419" s="76">
        <f t="shared" ref="AC419:AC431" si="222">SUM(AA419*AB419)</f>
        <v>3025.00030021834</v>
      </c>
      <c r="AD419" s="76">
        <f t="shared" ref="AD419:AD431" si="223">SUM(W419+AC419)</f>
        <v>22201.4260644105</v>
      </c>
      <c r="AE419" s="76">
        <f t="shared" si="213"/>
        <v>9232.57393558952</v>
      </c>
    </row>
    <row r="420" customFormat="1" spans="1:31">
      <c r="A420" s="18"/>
      <c r="B420" s="19"/>
      <c r="C420" s="20">
        <v>240813000030</v>
      </c>
      <c r="D420" s="21">
        <v>45520</v>
      </c>
      <c r="E420" s="21" t="s">
        <v>44</v>
      </c>
      <c r="F420" s="19" t="s">
        <v>45</v>
      </c>
      <c r="G420" s="19" t="s">
        <v>92</v>
      </c>
      <c r="H420" s="19">
        <v>21.5</v>
      </c>
      <c r="I420" s="51">
        <v>1281.4</v>
      </c>
      <c r="J420" s="52"/>
      <c r="K420" s="45"/>
      <c r="L420" s="19"/>
      <c r="M420" s="45"/>
      <c r="N420" s="48"/>
      <c r="O420" s="100">
        <f t="shared" si="219"/>
        <v>1281.4</v>
      </c>
      <c r="P420" s="54"/>
      <c r="Q420" s="54"/>
      <c r="R420" s="76">
        <f t="shared" si="214"/>
        <v>1022.58721147848</v>
      </c>
      <c r="S420" s="76"/>
      <c r="T420" s="77">
        <f t="shared" si="215"/>
        <v>1.74360573923893</v>
      </c>
      <c r="U420" s="76"/>
      <c r="V420" s="76"/>
      <c r="W420" s="78">
        <f t="shared" si="220"/>
        <v>1024.33081721772</v>
      </c>
      <c r="X420" s="79">
        <f t="shared" si="216"/>
        <v>22.5991422333125</v>
      </c>
      <c r="Y420" s="79"/>
      <c r="Z420" s="79"/>
      <c r="AA420" s="79">
        <f t="shared" si="221"/>
        <v>22.5991422333125</v>
      </c>
      <c r="AB420" s="90">
        <v>7.15</v>
      </c>
      <c r="AC420" s="76">
        <f t="shared" si="222"/>
        <v>161.583866968185</v>
      </c>
      <c r="AD420" s="76">
        <f t="shared" si="223"/>
        <v>1185.9146841859</v>
      </c>
      <c r="AE420" s="76">
        <f t="shared" ref="AE420:AE431" si="224">SUM(O420-AD420)</f>
        <v>95.4853158140986</v>
      </c>
    </row>
    <row r="421" customFormat="1" spans="1:31">
      <c r="A421" s="18" t="s">
        <v>323</v>
      </c>
      <c r="B421" s="19" t="s">
        <v>324</v>
      </c>
      <c r="C421" s="20">
        <v>240813000032</v>
      </c>
      <c r="D421" s="21">
        <v>45522</v>
      </c>
      <c r="E421" s="21" t="s">
        <v>127</v>
      </c>
      <c r="F421" s="19" t="s">
        <v>325</v>
      </c>
      <c r="G421" s="19" t="s">
        <v>326</v>
      </c>
      <c r="H421" s="19">
        <v>1</v>
      </c>
      <c r="I421" s="49"/>
      <c r="J421" s="44">
        <v>26406</v>
      </c>
      <c r="K421" s="45"/>
      <c r="L421" s="46">
        <f>SUM(J421/M421)</f>
        <v>1630</v>
      </c>
      <c r="M421" s="47">
        <v>16.2</v>
      </c>
      <c r="N421" s="48">
        <v>7.15</v>
      </c>
      <c r="O421" s="100">
        <f>SUM(M421*N421)</f>
        <v>115.83</v>
      </c>
      <c r="P421" s="92">
        <f>SUM(O421:O430)</f>
        <v>4123.667</v>
      </c>
      <c r="Q421" s="92" t="s">
        <v>80</v>
      </c>
      <c r="R421" s="93">
        <f>SUM(2500/32)*H421</f>
        <v>78.125</v>
      </c>
      <c r="S421" s="93"/>
      <c r="T421" s="94">
        <f>SUM(54.99/32)*H421</f>
        <v>1.7184375</v>
      </c>
      <c r="U421" s="93"/>
      <c r="V421" s="93"/>
      <c r="W421" s="78">
        <f t="shared" si="220"/>
        <v>79.8434375</v>
      </c>
      <c r="X421" s="95">
        <f>SUM(74.42/32)*H421</f>
        <v>2.325625</v>
      </c>
      <c r="Y421" s="95"/>
      <c r="Z421" s="95"/>
      <c r="AA421" s="79">
        <f t="shared" si="221"/>
        <v>2.325625</v>
      </c>
      <c r="AB421" s="90">
        <v>7.15</v>
      </c>
      <c r="AC421" s="76">
        <f t="shared" si="222"/>
        <v>16.62821875</v>
      </c>
      <c r="AD421" s="76">
        <f t="shared" si="223"/>
        <v>96.47165625</v>
      </c>
      <c r="AE421" s="76">
        <f t="shared" si="224"/>
        <v>19.35834375</v>
      </c>
    </row>
    <row r="422" customFormat="1" spans="1:31">
      <c r="A422" s="18"/>
      <c r="B422" s="19"/>
      <c r="C422" s="20">
        <v>240813000036</v>
      </c>
      <c r="D422" s="21">
        <v>45522</v>
      </c>
      <c r="E422" s="21" t="s">
        <v>51</v>
      </c>
      <c r="F422" s="19" t="s">
        <v>52</v>
      </c>
      <c r="G422" s="19" t="s">
        <v>144</v>
      </c>
      <c r="H422" s="19">
        <v>12.5</v>
      </c>
      <c r="I422" s="51">
        <v>1500</v>
      </c>
      <c r="J422" s="52"/>
      <c r="K422" s="45"/>
      <c r="L422" s="19"/>
      <c r="M422" s="45"/>
      <c r="N422" s="48"/>
      <c r="O422" s="100">
        <f t="shared" ref="O422:O437" si="225">SUM(I422)</f>
        <v>1500</v>
      </c>
      <c r="P422" s="96"/>
      <c r="Q422" s="96"/>
      <c r="R422" s="93">
        <f t="shared" ref="R422:R430" si="226">SUM(2500/32)*H422</f>
        <v>976.5625</v>
      </c>
      <c r="S422" s="93"/>
      <c r="T422" s="94">
        <f t="shared" ref="T422:T430" si="227">SUM(54.99/32)*H422</f>
        <v>21.48046875</v>
      </c>
      <c r="U422" s="93"/>
      <c r="V422" s="93"/>
      <c r="W422" s="78">
        <f t="shared" si="220"/>
        <v>998.04296875</v>
      </c>
      <c r="X422" s="95">
        <f t="shared" ref="X422:X430" si="228">SUM(74.42/32)*H422</f>
        <v>29.0703125</v>
      </c>
      <c r="Y422" s="95"/>
      <c r="Z422" s="95"/>
      <c r="AA422" s="79">
        <f t="shared" si="221"/>
        <v>29.0703125</v>
      </c>
      <c r="AB422" s="90">
        <v>7.15</v>
      </c>
      <c r="AC422" s="76">
        <f t="shared" si="222"/>
        <v>207.852734375</v>
      </c>
      <c r="AD422" s="76">
        <f t="shared" si="223"/>
        <v>1205.895703125</v>
      </c>
      <c r="AE422" s="76">
        <f t="shared" si="224"/>
        <v>294.104296875</v>
      </c>
    </row>
    <row r="423" customFormat="1" spans="1:31">
      <c r="A423" s="18"/>
      <c r="B423" s="19"/>
      <c r="C423" s="20">
        <v>240814000023</v>
      </c>
      <c r="D423" s="21">
        <v>45522</v>
      </c>
      <c r="E423" s="21" t="s">
        <v>51</v>
      </c>
      <c r="F423" s="19" t="s">
        <v>52</v>
      </c>
      <c r="G423" s="19" t="s">
        <v>185</v>
      </c>
      <c r="H423" s="19">
        <v>1.5</v>
      </c>
      <c r="I423" s="51">
        <v>180</v>
      </c>
      <c r="J423" s="52"/>
      <c r="K423" s="45"/>
      <c r="L423" s="19"/>
      <c r="M423" s="45"/>
      <c r="N423" s="48"/>
      <c r="O423" s="100">
        <f t="shared" si="225"/>
        <v>180</v>
      </c>
      <c r="P423" s="96"/>
      <c r="Q423" s="96"/>
      <c r="R423" s="93">
        <f t="shared" si="226"/>
        <v>117.1875</v>
      </c>
      <c r="S423" s="93"/>
      <c r="T423" s="94">
        <f t="shared" si="227"/>
        <v>2.57765625</v>
      </c>
      <c r="U423" s="93"/>
      <c r="V423" s="93"/>
      <c r="W423" s="78">
        <f t="shared" si="220"/>
        <v>119.76515625</v>
      </c>
      <c r="X423" s="95">
        <f t="shared" si="228"/>
        <v>3.4884375</v>
      </c>
      <c r="Y423" s="95"/>
      <c r="Z423" s="95"/>
      <c r="AA423" s="79">
        <f t="shared" si="221"/>
        <v>3.4884375</v>
      </c>
      <c r="AB423" s="90">
        <v>7.15</v>
      </c>
      <c r="AC423" s="76">
        <f t="shared" si="222"/>
        <v>24.942328125</v>
      </c>
      <c r="AD423" s="76">
        <f t="shared" si="223"/>
        <v>144.707484375</v>
      </c>
      <c r="AE423" s="76">
        <f t="shared" si="224"/>
        <v>35.292515625</v>
      </c>
    </row>
    <row r="424" customFormat="1" spans="1:31">
      <c r="A424" s="18"/>
      <c r="B424" s="19"/>
      <c r="C424" s="20">
        <v>240814000033</v>
      </c>
      <c r="D424" s="21">
        <v>45522</v>
      </c>
      <c r="E424" s="21" t="s">
        <v>127</v>
      </c>
      <c r="F424" s="19" t="s">
        <v>194</v>
      </c>
      <c r="G424" s="19" t="s">
        <v>207</v>
      </c>
      <c r="H424" s="19">
        <v>6</v>
      </c>
      <c r="I424" s="108"/>
      <c r="J424" s="44">
        <v>158403.4</v>
      </c>
      <c r="K424" s="45"/>
      <c r="L424" s="46">
        <f>SUM(J424/M424)</f>
        <v>1630</v>
      </c>
      <c r="M424" s="47">
        <v>97.18</v>
      </c>
      <c r="N424" s="48">
        <v>7.15</v>
      </c>
      <c r="O424" s="100">
        <f>SUM(M424*N424)</f>
        <v>694.837</v>
      </c>
      <c r="P424" s="96"/>
      <c r="Q424" s="96"/>
      <c r="R424" s="93">
        <f t="shared" si="226"/>
        <v>468.75</v>
      </c>
      <c r="S424" s="93"/>
      <c r="T424" s="94">
        <f t="shared" si="227"/>
        <v>10.310625</v>
      </c>
      <c r="U424" s="93"/>
      <c r="V424" s="93"/>
      <c r="W424" s="78">
        <f t="shared" si="220"/>
        <v>479.060625</v>
      </c>
      <c r="X424" s="95">
        <f t="shared" si="228"/>
        <v>13.95375</v>
      </c>
      <c r="Y424" s="95"/>
      <c r="Z424" s="95"/>
      <c r="AA424" s="79">
        <f t="shared" si="221"/>
        <v>13.95375</v>
      </c>
      <c r="AB424" s="90">
        <v>7.15</v>
      </c>
      <c r="AC424" s="76">
        <f t="shared" si="222"/>
        <v>99.7693125</v>
      </c>
      <c r="AD424" s="76">
        <f t="shared" si="223"/>
        <v>578.8299375</v>
      </c>
      <c r="AE424" s="76">
        <f t="shared" si="224"/>
        <v>116.0070625</v>
      </c>
    </row>
    <row r="425" customFormat="1" spans="1:31">
      <c r="A425" s="18"/>
      <c r="B425" s="19"/>
      <c r="C425" s="20">
        <v>240815000005</v>
      </c>
      <c r="D425" s="21">
        <v>45522</v>
      </c>
      <c r="E425" s="21" t="s">
        <v>51</v>
      </c>
      <c r="F425" s="19" t="s">
        <v>52</v>
      </c>
      <c r="G425" s="19" t="s">
        <v>185</v>
      </c>
      <c r="H425" s="19">
        <v>0.24</v>
      </c>
      <c r="I425" s="51">
        <v>120</v>
      </c>
      <c r="J425" s="52"/>
      <c r="K425" s="45"/>
      <c r="L425" s="19"/>
      <c r="M425" s="45"/>
      <c r="N425" s="48"/>
      <c r="O425" s="100">
        <f t="shared" si="225"/>
        <v>120</v>
      </c>
      <c r="P425" s="96"/>
      <c r="Q425" s="96"/>
      <c r="R425" s="93">
        <f t="shared" si="226"/>
        <v>18.75</v>
      </c>
      <c r="S425" s="93"/>
      <c r="T425" s="94">
        <f t="shared" si="227"/>
        <v>0.412425</v>
      </c>
      <c r="U425" s="93"/>
      <c r="V425" s="93"/>
      <c r="W425" s="78">
        <f t="shared" si="220"/>
        <v>19.162425</v>
      </c>
      <c r="X425" s="95">
        <f t="shared" si="228"/>
        <v>0.55815</v>
      </c>
      <c r="Y425" s="95"/>
      <c r="Z425" s="95"/>
      <c r="AA425" s="79">
        <f t="shared" si="221"/>
        <v>0.55815</v>
      </c>
      <c r="AB425" s="90">
        <v>7.15</v>
      </c>
      <c r="AC425" s="76">
        <f t="shared" si="222"/>
        <v>3.9907725</v>
      </c>
      <c r="AD425" s="76">
        <f t="shared" si="223"/>
        <v>23.1531975</v>
      </c>
      <c r="AE425" s="76">
        <f t="shared" si="224"/>
        <v>96.8468025</v>
      </c>
    </row>
    <row r="426" customFormat="1" spans="1:31">
      <c r="A426" s="18"/>
      <c r="B426" s="19"/>
      <c r="C426" s="20">
        <v>240815000009</v>
      </c>
      <c r="D426" s="21">
        <v>45522</v>
      </c>
      <c r="E426" s="21" t="s">
        <v>51</v>
      </c>
      <c r="F426" s="19" t="s">
        <v>52</v>
      </c>
      <c r="G426" s="19" t="s">
        <v>327</v>
      </c>
      <c r="H426" s="19">
        <v>0.92</v>
      </c>
      <c r="I426" s="51">
        <v>180</v>
      </c>
      <c r="J426" s="52"/>
      <c r="K426" s="45"/>
      <c r="L426" s="19"/>
      <c r="M426" s="45"/>
      <c r="N426" s="48"/>
      <c r="O426" s="100">
        <f t="shared" si="225"/>
        <v>180</v>
      </c>
      <c r="P426" s="96"/>
      <c r="Q426" s="96"/>
      <c r="R426" s="93">
        <f t="shared" si="226"/>
        <v>71.875</v>
      </c>
      <c r="S426" s="93"/>
      <c r="T426" s="94">
        <f t="shared" si="227"/>
        <v>1.5809625</v>
      </c>
      <c r="U426" s="93"/>
      <c r="V426" s="93"/>
      <c r="W426" s="78">
        <f t="shared" si="220"/>
        <v>73.4559625</v>
      </c>
      <c r="X426" s="95">
        <f t="shared" si="228"/>
        <v>2.139575</v>
      </c>
      <c r="Y426" s="95"/>
      <c r="Z426" s="95"/>
      <c r="AA426" s="79">
        <f t="shared" si="221"/>
        <v>2.139575</v>
      </c>
      <c r="AB426" s="90">
        <v>7.15</v>
      </c>
      <c r="AC426" s="76">
        <f t="shared" si="222"/>
        <v>15.29796125</v>
      </c>
      <c r="AD426" s="76">
        <f t="shared" si="223"/>
        <v>88.75392375</v>
      </c>
      <c r="AE426" s="76">
        <f t="shared" si="224"/>
        <v>91.24607625</v>
      </c>
    </row>
    <row r="427" customFormat="1" spans="1:31">
      <c r="A427" s="18"/>
      <c r="B427" s="19"/>
      <c r="C427" s="20">
        <v>240815000010</v>
      </c>
      <c r="D427" s="21">
        <v>45522</v>
      </c>
      <c r="E427" s="21" t="s">
        <v>51</v>
      </c>
      <c r="F427" s="19" t="s">
        <v>52</v>
      </c>
      <c r="G427" s="19" t="s">
        <v>327</v>
      </c>
      <c r="H427" s="19">
        <v>1.5</v>
      </c>
      <c r="I427" s="51">
        <v>180</v>
      </c>
      <c r="J427" s="52"/>
      <c r="K427" s="45"/>
      <c r="L427" s="19"/>
      <c r="M427" s="45"/>
      <c r="N427" s="48"/>
      <c r="O427" s="100">
        <f t="shared" si="225"/>
        <v>180</v>
      </c>
      <c r="P427" s="96"/>
      <c r="Q427" s="96"/>
      <c r="R427" s="93">
        <f t="shared" si="226"/>
        <v>117.1875</v>
      </c>
      <c r="S427" s="93"/>
      <c r="T427" s="94">
        <f t="shared" si="227"/>
        <v>2.57765625</v>
      </c>
      <c r="U427" s="93"/>
      <c r="V427" s="93"/>
      <c r="W427" s="78">
        <f t="shared" si="220"/>
        <v>119.76515625</v>
      </c>
      <c r="X427" s="95">
        <f t="shared" si="228"/>
        <v>3.4884375</v>
      </c>
      <c r="Y427" s="95"/>
      <c r="Z427" s="95"/>
      <c r="AA427" s="79">
        <f t="shared" si="221"/>
        <v>3.4884375</v>
      </c>
      <c r="AB427" s="90">
        <v>7.15</v>
      </c>
      <c r="AC427" s="76">
        <f t="shared" si="222"/>
        <v>24.942328125</v>
      </c>
      <c r="AD427" s="76">
        <f t="shared" si="223"/>
        <v>144.707484375</v>
      </c>
      <c r="AE427" s="76">
        <f t="shared" si="224"/>
        <v>35.292515625</v>
      </c>
    </row>
    <row r="428" customFormat="1" spans="1:31">
      <c r="A428" s="18"/>
      <c r="B428" s="19"/>
      <c r="C428" s="20">
        <v>240815000027</v>
      </c>
      <c r="D428" s="21">
        <v>45522</v>
      </c>
      <c r="E428" s="21" t="s">
        <v>37</v>
      </c>
      <c r="F428" s="19" t="s">
        <v>38</v>
      </c>
      <c r="G428" s="19" t="s">
        <v>135</v>
      </c>
      <c r="H428" s="19">
        <v>2.5</v>
      </c>
      <c r="I428" s="51">
        <v>353</v>
      </c>
      <c r="J428" s="52"/>
      <c r="K428" s="45"/>
      <c r="L428" s="19"/>
      <c r="M428" s="45"/>
      <c r="N428" s="48"/>
      <c r="O428" s="100">
        <f t="shared" si="225"/>
        <v>353</v>
      </c>
      <c r="P428" s="96"/>
      <c r="Q428" s="96"/>
      <c r="R428" s="93">
        <f t="shared" si="226"/>
        <v>195.3125</v>
      </c>
      <c r="S428" s="93"/>
      <c r="T428" s="94">
        <f t="shared" si="227"/>
        <v>4.29609375</v>
      </c>
      <c r="U428" s="93"/>
      <c r="V428" s="93">
        <v>13</v>
      </c>
      <c r="W428" s="78">
        <f t="shared" si="220"/>
        <v>212.60859375</v>
      </c>
      <c r="X428" s="95">
        <f t="shared" si="228"/>
        <v>5.8140625</v>
      </c>
      <c r="Y428" s="95"/>
      <c r="Z428" s="95"/>
      <c r="AA428" s="79">
        <f t="shared" si="221"/>
        <v>5.8140625</v>
      </c>
      <c r="AB428" s="90">
        <v>7.15</v>
      </c>
      <c r="AC428" s="76">
        <f t="shared" si="222"/>
        <v>41.570546875</v>
      </c>
      <c r="AD428" s="76">
        <f t="shared" si="223"/>
        <v>254.179140625</v>
      </c>
      <c r="AE428" s="76">
        <f t="shared" si="224"/>
        <v>98.820859375</v>
      </c>
    </row>
    <row r="429" customFormat="1" spans="1:31">
      <c r="A429" s="18"/>
      <c r="B429" s="19"/>
      <c r="C429" s="20">
        <v>240815000039</v>
      </c>
      <c r="D429" s="21">
        <v>45522</v>
      </c>
      <c r="E429" s="21" t="s">
        <v>37</v>
      </c>
      <c r="F429" s="19" t="s">
        <v>38</v>
      </c>
      <c r="G429" s="19" t="s">
        <v>300</v>
      </c>
      <c r="H429" s="19">
        <v>5.5</v>
      </c>
      <c r="I429" s="51">
        <v>685</v>
      </c>
      <c r="J429" s="52"/>
      <c r="K429" s="45"/>
      <c r="L429" s="19"/>
      <c r="M429" s="45"/>
      <c r="N429" s="48"/>
      <c r="O429" s="100">
        <f t="shared" si="225"/>
        <v>685</v>
      </c>
      <c r="P429" s="96"/>
      <c r="Q429" s="96"/>
      <c r="R429" s="93">
        <f t="shared" si="226"/>
        <v>429.6875</v>
      </c>
      <c r="S429" s="93"/>
      <c r="T429" s="94">
        <f t="shared" si="227"/>
        <v>9.45140625</v>
      </c>
      <c r="U429" s="93"/>
      <c r="V429" s="93"/>
      <c r="W429" s="78">
        <f t="shared" si="220"/>
        <v>439.13890625</v>
      </c>
      <c r="X429" s="95">
        <f t="shared" si="228"/>
        <v>12.7909375</v>
      </c>
      <c r="Y429" s="95">
        <v>3.49</v>
      </c>
      <c r="Z429" s="95"/>
      <c r="AA429" s="79">
        <f t="shared" si="221"/>
        <v>16.2809375</v>
      </c>
      <c r="AB429" s="90">
        <v>7.15</v>
      </c>
      <c r="AC429" s="76">
        <f t="shared" ref="AC429:AC460" si="229">SUM(AA429*AB429)</f>
        <v>116.408703125</v>
      </c>
      <c r="AD429" s="76">
        <f t="shared" ref="AD429:AD460" si="230">SUM(W429+AC429)</f>
        <v>555.547609375</v>
      </c>
      <c r="AE429" s="76">
        <f t="shared" ref="AE429:AE460" si="231">SUM(O429-AD429)</f>
        <v>129.452390625</v>
      </c>
    </row>
    <row r="430" customFormat="1" spans="1:31">
      <c r="A430" s="18"/>
      <c r="B430" s="19"/>
      <c r="C430" s="20">
        <v>240816000016</v>
      </c>
      <c r="D430" s="21">
        <v>45522</v>
      </c>
      <c r="E430" s="21" t="s">
        <v>37</v>
      </c>
      <c r="F430" s="19" t="s">
        <v>38</v>
      </c>
      <c r="G430" s="19" t="s">
        <v>328</v>
      </c>
      <c r="H430" s="19">
        <v>0.87</v>
      </c>
      <c r="I430" s="51">
        <v>115</v>
      </c>
      <c r="J430" s="52"/>
      <c r="K430" s="45"/>
      <c r="L430" s="19"/>
      <c r="M430" s="45"/>
      <c r="N430" s="48"/>
      <c r="O430" s="100">
        <f t="shared" si="225"/>
        <v>115</v>
      </c>
      <c r="P430" s="97"/>
      <c r="Q430" s="97"/>
      <c r="R430" s="93">
        <f t="shared" si="226"/>
        <v>67.96875</v>
      </c>
      <c r="S430" s="93"/>
      <c r="T430" s="94">
        <f t="shared" si="227"/>
        <v>1.495040625</v>
      </c>
      <c r="U430" s="93"/>
      <c r="V430" s="93"/>
      <c r="W430" s="78">
        <f t="shared" ref="W430:W461" si="232">SUM(R430:V430)</f>
        <v>69.463790625</v>
      </c>
      <c r="X430" s="95">
        <f t="shared" si="228"/>
        <v>2.02329375</v>
      </c>
      <c r="Y430" s="95"/>
      <c r="Z430" s="95"/>
      <c r="AA430" s="79">
        <f t="shared" si="221"/>
        <v>2.02329375</v>
      </c>
      <c r="AB430" s="90">
        <v>7.15</v>
      </c>
      <c r="AC430" s="76">
        <f t="shared" si="229"/>
        <v>14.4665503125</v>
      </c>
      <c r="AD430" s="76">
        <f t="shared" si="230"/>
        <v>83.9303409375</v>
      </c>
      <c r="AE430" s="76">
        <f t="shared" si="231"/>
        <v>31.0696590625</v>
      </c>
    </row>
    <row r="431" customFormat="1" spans="1:31">
      <c r="A431" s="18" t="s">
        <v>329</v>
      </c>
      <c r="B431" s="19" t="s">
        <v>330</v>
      </c>
      <c r="C431" s="20">
        <v>240818000043</v>
      </c>
      <c r="D431" s="21">
        <v>45523</v>
      </c>
      <c r="E431" s="21" t="s">
        <v>57</v>
      </c>
      <c r="F431" s="19" t="s">
        <v>57</v>
      </c>
      <c r="G431" s="19" t="s">
        <v>331</v>
      </c>
      <c r="H431" s="19">
        <v>6508</v>
      </c>
      <c r="I431" s="51">
        <v>198132</v>
      </c>
      <c r="J431" s="52"/>
      <c r="K431" s="45"/>
      <c r="L431" s="19"/>
      <c r="M431" s="45"/>
      <c r="N431" s="105"/>
      <c r="O431" s="100">
        <f t="shared" si="225"/>
        <v>198132</v>
      </c>
      <c r="P431" s="55">
        <f>SUM(O431)</f>
        <v>198132</v>
      </c>
      <c r="Q431" s="55" t="s">
        <v>332</v>
      </c>
      <c r="R431" s="55">
        <v>0</v>
      </c>
      <c r="S431" s="55"/>
      <c r="T431" s="55"/>
      <c r="U431" s="55"/>
      <c r="V431" s="55"/>
      <c r="W431" s="78">
        <f t="shared" si="232"/>
        <v>0</v>
      </c>
      <c r="X431" s="81">
        <v>18991.9</v>
      </c>
      <c r="Y431" s="81"/>
      <c r="Z431" s="81"/>
      <c r="AA431" s="79">
        <f t="shared" ref="AA431:AA478" si="233">SUM(X431:Z431)</f>
        <v>18991.9</v>
      </c>
      <c r="AB431" s="90">
        <v>7.15</v>
      </c>
      <c r="AC431" s="76">
        <f t="shared" si="229"/>
        <v>135792.085</v>
      </c>
      <c r="AD431" s="76">
        <f t="shared" si="230"/>
        <v>135792.085</v>
      </c>
      <c r="AE431" s="76">
        <f t="shared" si="231"/>
        <v>62339.915</v>
      </c>
    </row>
    <row r="432" customFormat="1" spans="1:31">
      <c r="A432" s="18" t="s">
        <v>333</v>
      </c>
      <c r="B432" s="19" t="s">
        <v>334</v>
      </c>
      <c r="C432" s="20">
        <v>240808000027</v>
      </c>
      <c r="D432" s="21">
        <v>45525</v>
      </c>
      <c r="E432" s="21" t="s">
        <v>37</v>
      </c>
      <c r="F432" s="19" t="s">
        <v>38</v>
      </c>
      <c r="G432" s="19" t="s">
        <v>160</v>
      </c>
      <c r="H432" s="19">
        <v>3.5</v>
      </c>
      <c r="I432" s="51">
        <v>280</v>
      </c>
      <c r="J432" s="52"/>
      <c r="K432" s="45"/>
      <c r="L432" s="19"/>
      <c r="M432" s="45"/>
      <c r="N432" s="48"/>
      <c r="O432" s="49">
        <f t="shared" si="225"/>
        <v>280</v>
      </c>
      <c r="P432" s="50">
        <f>SUM(O432:O478)</f>
        <v>131449.1595</v>
      </c>
      <c r="Q432" s="50" t="s">
        <v>40</v>
      </c>
      <c r="R432" s="76">
        <f>SUM(93998.5/1975)*H432</f>
        <v>166.579620253165</v>
      </c>
      <c r="S432" s="76"/>
      <c r="T432" s="77">
        <f>SUM(130/1975)*H432</f>
        <v>0.230379746835443</v>
      </c>
      <c r="U432" s="76"/>
      <c r="V432" s="76"/>
      <c r="W432" s="78">
        <f t="shared" si="232"/>
        <v>166.81</v>
      </c>
      <c r="X432" s="79">
        <f>SUM(1832.29/1975)*H432</f>
        <v>3.24709620253165</v>
      </c>
      <c r="Y432" s="79"/>
      <c r="Z432" s="79"/>
      <c r="AA432" s="79">
        <f t="shared" si="233"/>
        <v>3.24709620253165</v>
      </c>
      <c r="AB432" s="90">
        <v>7.15</v>
      </c>
      <c r="AC432" s="76">
        <f t="shared" si="229"/>
        <v>23.2167378481013</v>
      </c>
      <c r="AD432" s="76">
        <f t="shared" si="230"/>
        <v>190.026737848101</v>
      </c>
      <c r="AE432" s="76">
        <f t="shared" si="231"/>
        <v>89.9732621518987</v>
      </c>
    </row>
    <row r="433" customFormat="1" spans="1:31">
      <c r="A433" s="18"/>
      <c r="B433" s="19"/>
      <c r="C433" s="20">
        <v>240808000028</v>
      </c>
      <c r="D433" s="21">
        <v>45525</v>
      </c>
      <c r="E433" s="21" t="s">
        <v>37</v>
      </c>
      <c r="F433" s="19" t="s">
        <v>38</v>
      </c>
      <c r="G433" s="19" t="s">
        <v>75</v>
      </c>
      <c r="H433" s="19">
        <v>1.5</v>
      </c>
      <c r="I433" s="51">
        <v>90</v>
      </c>
      <c r="J433" s="52"/>
      <c r="K433" s="45"/>
      <c r="L433" s="19"/>
      <c r="M433" s="45"/>
      <c r="N433" s="48"/>
      <c r="O433" s="49">
        <f t="shared" si="225"/>
        <v>90</v>
      </c>
      <c r="P433" s="53"/>
      <c r="Q433" s="53"/>
      <c r="R433" s="76">
        <f t="shared" ref="R433:R478" si="234">SUM(93998.5/1975)*H433</f>
        <v>71.3912658227848</v>
      </c>
      <c r="S433" s="76"/>
      <c r="T433" s="77">
        <f t="shared" ref="T433:T478" si="235">SUM(130/1975)*H433</f>
        <v>0.0987341772151899</v>
      </c>
      <c r="U433" s="76"/>
      <c r="V433" s="76"/>
      <c r="W433" s="78">
        <f t="shared" si="232"/>
        <v>71.49</v>
      </c>
      <c r="X433" s="79">
        <f t="shared" ref="X433:X478" si="236">SUM(1832.29/1975)*H433</f>
        <v>1.39161265822785</v>
      </c>
      <c r="Y433" s="79"/>
      <c r="Z433" s="79"/>
      <c r="AA433" s="79">
        <f t="shared" si="233"/>
        <v>1.39161265822785</v>
      </c>
      <c r="AB433" s="90">
        <v>7.15</v>
      </c>
      <c r="AC433" s="76">
        <f t="shared" si="229"/>
        <v>9.95003050632911</v>
      </c>
      <c r="AD433" s="76">
        <f t="shared" si="230"/>
        <v>81.4400305063291</v>
      </c>
      <c r="AE433" s="76">
        <f t="shared" si="231"/>
        <v>8.55996949367088</v>
      </c>
    </row>
    <row r="434" customFormat="1" spans="1:31">
      <c r="A434" s="18"/>
      <c r="B434" s="19"/>
      <c r="C434" s="20">
        <v>240809000016</v>
      </c>
      <c r="D434" s="21">
        <v>45525</v>
      </c>
      <c r="E434" s="21" t="s">
        <v>41</v>
      </c>
      <c r="F434" s="19" t="s">
        <v>42</v>
      </c>
      <c r="G434" s="19" t="s">
        <v>335</v>
      </c>
      <c r="H434" s="19">
        <v>13</v>
      </c>
      <c r="I434" s="51">
        <v>821.7</v>
      </c>
      <c r="J434" s="52"/>
      <c r="K434" s="45"/>
      <c r="L434" s="19"/>
      <c r="M434" s="45"/>
      <c r="N434" s="48"/>
      <c r="O434" s="49">
        <f t="shared" si="225"/>
        <v>821.7</v>
      </c>
      <c r="P434" s="53"/>
      <c r="Q434" s="53"/>
      <c r="R434" s="76">
        <f t="shared" si="234"/>
        <v>618.724303797468</v>
      </c>
      <c r="S434" s="76"/>
      <c r="T434" s="77">
        <f t="shared" si="235"/>
        <v>0.855696202531646</v>
      </c>
      <c r="U434" s="76"/>
      <c r="V434" s="76"/>
      <c r="W434" s="78">
        <f t="shared" si="232"/>
        <v>619.58</v>
      </c>
      <c r="X434" s="79">
        <f t="shared" si="236"/>
        <v>12.0606430379747</v>
      </c>
      <c r="Y434" s="79"/>
      <c r="Z434" s="79"/>
      <c r="AA434" s="79">
        <f t="shared" si="233"/>
        <v>12.0606430379747</v>
      </c>
      <c r="AB434" s="90">
        <v>7.15</v>
      </c>
      <c r="AC434" s="76">
        <f t="shared" si="229"/>
        <v>86.233597721519</v>
      </c>
      <c r="AD434" s="76">
        <f t="shared" si="230"/>
        <v>705.813597721519</v>
      </c>
      <c r="AE434" s="76">
        <f t="shared" si="231"/>
        <v>115.886402278481</v>
      </c>
    </row>
    <row r="435" customFormat="1" spans="1:31">
      <c r="A435" s="18"/>
      <c r="B435" s="19"/>
      <c r="C435" s="20">
        <v>240812000063</v>
      </c>
      <c r="D435" s="21">
        <v>45525</v>
      </c>
      <c r="E435" s="21" t="s">
        <v>37</v>
      </c>
      <c r="F435" s="19" t="s">
        <v>38</v>
      </c>
      <c r="G435" s="19" t="s">
        <v>252</v>
      </c>
      <c r="H435" s="19">
        <v>51</v>
      </c>
      <c r="I435" s="51">
        <v>3248</v>
      </c>
      <c r="J435" s="52"/>
      <c r="K435" s="45"/>
      <c r="L435" s="19"/>
      <c r="M435" s="45"/>
      <c r="N435" s="48"/>
      <c r="O435" s="49">
        <f t="shared" si="225"/>
        <v>3248</v>
      </c>
      <c r="P435" s="53"/>
      <c r="Q435" s="53"/>
      <c r="R435" s="76">
        <f t="shared" si="234"/>
        <v>2427.30303797468</v>
      </c>
      <c r="S435" s="76"/>
      <c r="T435" s="77">
        <f t="shared" si="235"/>
        <v>3.35696202531646</v>
      </c>
      <c r="U435" s="76"/>
      <c r="V435" s="76"/>
      <c r="W435" s="78">
        <f t="shared" si="232"/>
        <v>2430.66</v>
      </c>
      <c r="X435" s="79">
        <f t="shared" si="236"/>
        <v>47.3148303797468</v>
      </c>
      <c r="Y435" s="79"/>
      <c r="Z435" s="79"/>
      <c r="AA435" s="79">
        <f t="shared" si="233"/>
        <v>47.3148303797468</v>
      </c>
      <c r="AB435" s="90">
        <v>7.15</v>
      </c>
      <c r="AC435" s="76">
        <f t="shared" si="229"/>
        <v>338.30103721519</v>
      </c>
      <c r="AD435" s="76">
        <f t="shared" si="230"/>
        <v>2768.96103721519</v>
      </c>
      <c r="AE435" s="76">
        <f t="shared" si="231"/>
        <v>479.03896278481</v>
      </c>
    </row>
    <row r="436" customFormat="1" spans="1:31">
      <c r="A436" s="18"/>
      <c r="B436" s="19"/>
      <c r="C436" s="20">
        <v>240812000067</v>
      </c>
      <c r="D436" s="21">
        <v>45525</v>
      </c>
      <c r="E436" s="21" t="s">
        <v>37</v>
      </c>
      <c r="F436" s="19" t="s">
        <v>38</v>
      </c>
      <c r="G436" s="19" t="s">
        <v>336</v>
      </c>
      <c r="H436" s="19">
        <v>5.5</v>
      </c>
      <c r="I436" s="51">
        <v>447.6</v>
      </c>
      <c r="J436" s="52"/>
      <c r="K436" s="45"/>
      <c r="L436" s="19"/>
      <c r="M436" s="45"/>
      <c r="N436" s="48"/>
      <c r="O436" s="49">
        <f t="shared" si="225"/>
        <v>447.6</v>
      </c>
      <c r="P436" s="53"/>
      <c r="Q436" s="53"/>
      <c r="R436" s="76">
        <f t="shared" si="234"/>
        <v>261.767974683544</v>
      </c>
      <c r="S436" s="76"/>
      <c r="T436" s="77">
        <f t="shared" si="235"/>
        <v>0.362025316455696</v>
      </c>
      <c r="U436" s="76"/>
      <c r="V436" s="76"/>
      <c r="W436" s="78">
        <f t="shared" si="232"/>
        <v>262.13</v>
      </c>
      <c r="X436" s="79">
        <f t="shared" si="236"/>
        <v>5.10257974683544</v>
      </c>
      <c r="Y436" s="79">
        <v>6.29</v>
      </c>
      <c r="Z436" s="79"/>
      <c r="AA436" s="79">
        <f t="shared" si="233"/>
        <v>11.3925797468354</v>
      </c>
      <c r="AB436" s="90">
        <v>7.15</v>
      </c>
      <c r="AC436" s="76">
        <f t="shared" si="229"/>
        <v>81.4569451898734</v>
      </c>
      <c r="AD436" s="76">
        <f t="shared" si="230"/>
        <v>343.586945189873</v>
      </c>
      <c r="AE436" s="76">
        <f t="shared" si="231"/>
        <v>104.013054810127</v>
      </c>
    </row>
    <row r="437" customFormat="1" spans="1:31">
      <c r="A437" s="18"/>
      <c r="B437" s="19"/>
      <c r="C437" s="20">
        <v>240813000007</v>
      </c>
      <c r="D437" s="21">
        <v>45525</v>
      </c>
      <c r="E437" s="21" t="s">
        <v>44</v>
      </c>
      <c r="F437" s="19" t="s">
        <v>45</v>
      </c>
      <c r="G437" s="19" t="s">
        <v>337</v>
      </c>
      <c r="H437" s="19">
        <v>26</v>
      </c>
      <c r="I437" s="51">
        <v>1463</v>
      </c>
      <c r="J437" s="52"/>
      <c r="K437" s="45"/>
      <c r="L437" s="19"/>
      <c r="M437" s="45"/>
      <c r="N437" s="48"/>
      <c r="O437" s="49">
        <f t="shared" si="225"/>
        <v>1463</v>
      </c>
      <c r="P437" s="53"/>
      <c r="Q437" s="53"/>
      <c r="R437" s="76">
        <f t="shared" si="234"/>
        <v>1237.44860759494</v>
      </c>
      <c r="S437" s="76"/>
      <c r="T437" s="77">
        <f t="shared" si="235"/>
        <v>1.71139240506329</v>
      </c>
      <c r="U437" s="76"/>
      <c r="V437" s="77">
        <v>25</v>
      </c>
      <c r="W437" s="78">
        <f t="shared" si="232"/>
        <v>1264.16</v>
      </c>
      <c r="X437" s="79">
        <f t="shared" si="236"/>
        <v>24.1212860759494</v>
      </c>
      <c r="Y437" s="79"/>
      <c r="Z437" s="79"/>
      <c r="AA437" s="79">
        <f t="shared" si="233"/>
        <v>24.1212860759494</v>
      </c>
      <c r="AB437" s="90">
        <v>7.15</v>
      </c>
      <c r="AC437" s="76">
        <f t="shared" si="229"/>
        <v>172.467195443038</v>
      </c>
      <c r="AD437" s="76">
        <f t="shared" si="230"/>
        <v>1436.62719544304</v>
      </c>
      <c r="AE437" s="76">
        <f t="shared" si="231"/>
        <v>26.3728045569621</v>
      </c>
    </row>
    <row r="438" customFormat="1" spans="1:31">
      <c r="A438" s="18"/>
      <c r="B438" s="19"/>
      <c r="C438" s="20">
        <v>240813000020</v>
      </c>
      <c r="D438" s="21">
        <v>45525</v>
      </c>
      <c r="E438" s="21" t="s">
        <v>51</v>
      </c>
      <c r="F438" s="19" t="s">
        <v>52</v>
      </c>
      <c r="G438" s="19" t="s">
        <v>171</v>
      </c>
      <c r="H438" s="19">
        <v>101</v>
      </c>
      <c r="I438" s="49"/>
      <c r="J438" s="44">
        <v>1502195.2</v>
      </c>
      <c r="K438" s="45"/>
      <c r="L438" s="46">
        <f>SUM(J438/M438)</f>
        <v>1760</v>
      </c>
      <c r="M438" s="47">
        <v>853.52</v>
      </c>
      <c r="N438" s="48">
        <v>7.15</v>
      </c>
      <c r="O438" s="49">
        <f>SUM(M438*N438)</f>
        <v>6102.668</v>
      </c>
      <c r="P438" s="53"/>
      <c r="Q438" s="53"/>
      <c r="R438" s="76">
        <f t="shared" si="234"/>
        <v>4807.01189873418</v>
      </c>
      <c r="S438" s="76"/>
      <c r="T438" s="77">
        <f t="shared" si="235"/>
        <v>6.64810126582279</v>
      </c>
      <c r="U438" s="76"/>
      <c r="V438" s="76"/>
      <c r="W438" s="78">
        <f t="shared" si="232"/>
        <v>4813.66</v>
      </c>
      <c r="X438" s="79">
        <f t="shared" si="236"/>
        <v>93.7019189873418</v>
      </c>
      <c r="Y438" s="79"/>
      <c r="Z438" s="79"/>
      <c r="AA438" s="79">
        <f t="shared" si="233"/>
        <v>93.7019189873418</v>
      </c>
      <c r="AB438" s="90">
        <v>7.15</v>
      </c>
      <c r="AC438" s="76">
        <f t="shared" si="229"/>
        <v>669.968720759494</v>
      </c>
      <c r="AD438" s="76">
        <f t="shared" si="230"/>
        <v>5483.62872075949</v>
      </c>
      <c r="AE438" s="76">
        <f t="shared" si="231"/>
        <v>619.039279240506</v>
      </c>
    </row>
    <row r="439" customFormat="1" spans="1:31">
      <c r="A439" s="18"/>
      <c r="B439" s="19"/>
      <c r="C439" s="20">
        <v>240813000028</v>
      </c>
      <c r="D439" s="21">
        <v>45525</v>
      </c>
      <c r="E439" s="21" t="s">
        <v>37</v>
      </c>
      <c r="F439" s="19" t="s">
        <v>38</v>
      </c>
      <c r="G439" s="19" t="s">
        <v>338</v>
      </c>
      <c r="H439" s="19">
        <v>11.5</v>
      </c>
      <c r="I439" s="43"/>
      <c r="J439" s="44">
        <v>166554</v>
      </c>
      <c r="K439" s="45"/>
      <c r="L439" s="46">
        <f>SUM(J439/M439)</f>
        <v>1630.32498042287</v>
      </c>
      <c r="M439" s="47">
        <v>102.16</v>
      </c>
      <c r="N439" s="48">
        <v>7.15</v>
      </c>
      <c r="O439" s="49">
        <f>SUM(M439*N439)</f>
        <v>730.444</v>
      </c>
      <c r="P439" s="53"/>
      <c r="Q439" s="53"/>
      <c r="R439" s="76">
        <f t="shared" si="234"/>
        <v>547.333037974684</v>
      </c>
      <c r="S439" s="76"/>
      <c r="T439" s="77">
        <f t="shared" si="235"/>
        <v>0.756962025316456</v>
      </c>
      <c r="U439" s="76"/>
      <c r="V439" s="76"/>
      <c r="W439" s="78">
        <f t="shared" si="232"/>
        <v>548.09</v>
      </c>
      <c r="X439" s="79">
        <f t="shared" si="236"/>
        <v>10.6690303797468</v>
      </c>
      <c r="Y439" s="79"/>
      <c r="Z439" s="79"/>
      <c r="AA439" s="79">
        <f t="shared" si="233"/>
        <v>10.6690303797468</v>
      </c>
      <c r="AB439" s="90">
        <v>7.15</v>
      </c>
      <c r="AC439" s="76">
        <f t="shared" si="229"/>
        <v>76.2835672151899</v>
      </c>
      <c r="AD439" s="76">
        <f t="shared" si="230"/>
        <v>624.37356721519</v>
      </c>
      <c r="AE439" s="76">
        <f t="shared" si="231"/>
        <v>106.07043278481</v>
      </c>
    </row>
    <row r="440" customFormat="1" spans="1:31">
      <c r="A440" s="18"/>
      <c r="B440" s="19"/>
      <c r="C440" s="20">
        <v>240813000035</v>
      </c>
      <c r="D440" s="21">
        <v>45525</v>
      </c>
      <c r="E440" s="21" t="s">
        <v>51</v>
      </c>
      <c r="F440" s="19" t="s">
        <v>52</v>
      </c>
      <c r="G440" s="19" t="s">
        <v>132</v>
      </c>
      <c r="H440" s="19">
        <v>5</v>
      </c>
      <c r="I440" s="51">
        <v>366</v>
      </c>
      <c r="J440" s="52"/>
      <c r="K440" s="45"/>
      <c r="L440" s="19"/>
      <c r="M440" s="45"/>
      <c r="N440" s="48"/>
      <c r="O440" s="49">
        <f t="shared" ref="O440:O444" si="237">SUM(I440)</f>
        <v>366</v>
      </c>
      <c r="P440" s="53"/>
      <c r="Q440" s="53"/>
      <c r="R440" s="76">
        <f t="shared" si="234"/>
        <v>237.970886075949</v>
      </c>
      <c r="S440" s="76"/>
      <c r="T440" s="77">
        <f t="shared" si="235"/>
        <v>0.329113924050633</v>
      </c>
      <c r="U440" s="76"/>
      <c r="V440" s="76"/>
      <c r="W440" s="78">
        <f t="shared" si="232"/>
        <v>238.3</v>
      </c>
      <c r="X440" s="79">
        <f t="shared" si="236"/>
        <v>4.63870886075949</v>
      </c>
      <c r="Y440" s="79"/>
      <c r="Z440" s="79"/>
      <c r="AA440" s="79">
        <f t="shared" si="233"/>
        <v>4.63870886075949</v>
      </c>
      <c r="AB440" s="90">
        <v>7.15</v>
      </c>
      <c r="AC440" s="76">
        <f t="shared" si="229"/>
        <v>33.1667683544304</v>
      </c>
      <c r="AD440" s="76">
        <f t="shared" si="230"/>
        <v>271.46676835443</v>
      </c>
      <c r="AE440" s="76">
        <f t="shared" si="231"/>
        <v>94.5332316455696</v>
      </c>
    </row>
    <row r="441" customFormat="1" spans="1:31">
      <c r="A441" s="18"/>
      <c r="B441" s="19"/>
      <c r="C441" s="20">
        <v>240813000037</v>
      </c>
      <c r="D441" s="21">
        <v>45525</v>
      </c>
      <c r="E441" s="21" t="s">
        <v>57</v>
      </c>
      <c r="F441" s="19" t="s">
        <v>57</v>
      </c>
      <c r="G441" s="19" t="s">
        <v>339</v>
      </c>
      <c r="H441" s="19">
        <v>16.5</v>
      </c>
      <c r="I441" s="51">
        <v>1081.5</v>
      </c>
      <c r="J441" s="52"/>
      <c r="K441" s="45"/>
      <c r="L441" s="19"/>
      <c r="M441" s="45"/>
      <c r="N441" s="48"/>
      <c r="O441" s="49">
        <f t="shared" si="237"/>
        <v>1081.5</v>
      </c>
      <c r="P441" s="53"/>
      <c r="Q441" s="53"/>
      <c r="R441" s="76">
        <f t="shared" si="234"/>
        <v>785.303924050633</v>
      </c>
      <c r="S441" s="76"/>
      <c r="T441" s="77">
        <f t="shared" si="235"/>
        <v>1.08607594936709</v>
      </c>
      <c r="U441" s="76">
        <v>40</v>
      </c>
      <c r="V441" s="76"/>
      <c r="W441" s="78">
        <f t="shared" si="232"/>
        <v>826.39</v>
      </c>
      <c r="X441" s="79">
        <f t="shared" si="236"/>
        <v>15.3077392405063</v>
      </c>
      <c r="Y441" s="79"/>
      <c r="Z441" s="79"/>
      <c r="AA441" s="79">
        <f t="shared" si="233"/>
        <v>15.3077392405063</v>
      </c>
      <c r="AB441" s="90">
        <v>7.15</v>
      </c>
      <c r="AC441" s="76">
        <f t="shared" si="229"/>
        <v>109.45033556962</v>
      </c>
      <c r="AD441" s="76">
        <f t="shared" si="230"/>
        <v>935.84033556962</v>
      </c>
      <c r="AE441" s="76">
        <f t="shared" si="231"/>
        <v>145.65966443038</v>
      </c>
    </row>
    <row r="442" customFormat="1" spans="1:31">
      <c r="A442" s="18"/>
      <c r="B442" s="19"/>
      <c r="C442" s="20">
        <v>240813000038</v>
      </c>
      <c r="D442" s="21">
        <v>45525</v>
      </c>
      <c r="E442" s="21" t="s">
        <v>37</v>
      </c>
      <c r="F442" s="19" t="s">
        <v>38</v>
      </c>
      <c r="G442" s="19" t="s">
        <v>213</v>
      </c>
      <c r="H442" s="19">
        <v>6.5</v>
      </c>
      <c r="I442" s="51">
        <v>442</v>
      </c>
      <c r="J442" s="52"/>
      <c r="K442" s="45"/>
      <c r="L442" s="19"/>
      <c r="M442" s="45"/>
      <c r="N442" s="48"/>
      <c r="O442" s="49">
        <f t="shared" si="237"/>
        <v>442</v>
      </c>
      <c r="P442" s="53"/>
      <c r="Q442" s="53"/>
      <c r="R442" s="76">
        <f t="shared" si="234"/>
        <v>309.362151898734</v>
      </c>
      <c r="S442" s="76"/>
      <c r="T442" s="77">
        <f t="shared" si="235"/>
        <v>0.427848101265823</v>
      </c>
      <c r="U442" s="76"/>
      <c r="V442" s="76"/>
      <c r="W442" s="78">
        <f t="shared" si="232"/>
        <v>309.79</v>
      </c>
      <c r="X442" s="79">
        <f t="shared" si="236"/>
        <v>6.03032151898734</v>
      </c>
      <c r="Y442" s="79"/>
      <c r="Z442" s="79"/>
      <c r="AA442" s="79">
        <f t="shared" si="233"/>
        <v>6.03032151898734</v>
      </c>
      <c r="AB442" s="90">
        <v>7.15</v>
      </c>
      <c r="AC442" s="76">
        <f t="shared" si="229"/>
        <v>43.1167988607595</v>
      </c>
      <c r="AD442" s="76">
        <f t="shared" si="230"/>
        <v>352.906798860759</v>
      </c>
      <c r="AE442" s="76">
        <f t="shared" si="231"/>
        <v>89.0932011392405</v>
      </c>
    </row>
    <row r="443" customFormat="1" spans="1:31">
      <c r="A443" s="18"/>
      <c r="B443" s="19"/>
      <c r="C443" s="20">
        <v>240813000039</v>
      </c>
      <c r="D443" s="21">
        <v>45525</v>
      </c>
      <c r="E443" s="21" t="s">
        <v>37</v>
      </c>
      <c r="F443" s="19" t="s">
        <v>38</v>
      </c>
      <c r="G443" s="19" t="s">
        <v>336</v>
      </c>
      <c r="H443" s="19">
        <v>2.5</v>
      </c>
      <c r="I443" s="51">
        <v>184.8</v>
      </c>
      <c r="J443" s="52"/>
      <c r="K443" s="45"/>
      <c r="L443" s="19"/>
      <c r="M443" s="45"/>
      <c r="N443" s="48"/>
      <c r="O443" s="49">
        <f t="shared" si="237"/>
        <v>184.8</v>
      </c>
      <c r="P443" s="53"/>
      <c r="Q443" s="53"/>
      <c r="R443" s="76">
        <f t="shared" si="234"/>
        <v>118.985443037975</v>
      </c>
      <c r="S443" s="76"/>
      <c r="T443" s="77">
        <f t="shared" si="235"/>
        <v>0.164556962025316</v>
      </c>
      <c r="U443" s="76"/>
      <c r="V443" s="76"/>
      <c r="W443" s="78">
        <f t="shared" si="232"/>
        <v>119.15</v>
      </c>
      <c r="X443" s="79">
        <f t="shared" si="236"/>
        <v>2.31935443037975</v>
      </c>
      <c r="Y443" s="79"/>
      <c r="Z443" s="79"/>
      <c r="AA443" s="79">
        <f t="shared" si="233"/>
        <v>2.31935443037975</v>
      </c>
      <c r="AB443" s="90">
        <v>7.15</v>
      </c>
      <c r="AC443" s="76">
        <f t="shared" si="229"/>
        <v>16.5833841772152</v>
      </c>
      <c r="AD443" s="76">
        <f t="shared" si="230"/>
        <v>135.733384177215</v>
      </c>
      <c r="AE443" s="76">
        <f t="shared" si="231"/>
        <v>49.0666158227848</v>
      </c>
    </row>
    <row r="444" customFormat="1" spans="1:31">
      <c r="A444" s="18"/>
      <c r="B444" s="19"/>
      <c r="C444" s="20">
        <v>240813000040</v>
      </c>
      <c r="D444" s="21">
        <v>45525</v>
      </c>
      <c r="E444" s="21" t="s">
        <v>37</v>
      </c>
      <c r="F444" s="19" t="s">
        <v>38</v>
      </c>
      <c r="G444" s="19" t="s">
        <v>233</v>
      </c>
      <c r="H444" s="19">
        <v>1.5</v>
      </c>
      <c r="I444" s="51">
        <v>102.3</v>
      </c>
      <c r="J444" s="52"/>
      <c r="K444" s="45"/>
      <c r="L444" s="19"/>
      <c r="M444" s="45"/>
      <c r="N444" s="48"/>
      <c r="O444" s="49">
        <f t="shared" si="237"/>
        <v>102.3</v>
      </c>
      <c r="P444" s="53"/>
      <c r="Q444" s="53"/>
      <c r="R444" s="76">
        <f t="shared" si="234"/>
        <v>71.3912658227848</v>
      </c>
      <c r="S444" s="76"/>
      <c r="T444" s="77">
        <f t="shared" si="235"/>
        <v>0.0987341772151899</v>
      </c>
      <c r="U444" s="76"/>
      <c r="V444" s="76"/>
      <c r="W444" s="78">
        <f t="shared" si="232"/>
        <v>71.49</v>
      </c>
      <c r="X444" s="79">
        <f t="shared" si="236"/>
        <v>1.39161265822785</v>
      </c>
      <c r="Y444" s="79"/>
      <c r="Z444" s="79"/>
      <c r="AA444" s="79">
        <f t="shared" si="233"/>
        <v>1.39161265822785</v>
      </c>
      <c r="AB444" s="90">
        <v>7.15</v>
      </c>
      <c r="AC444" s="76">
        <f t="shared" si="229"/>
        <v>9.95003050632911</v>
      </c>
      <c r="AD444" s="76">
        <f t="shared" si="230"/>
        <v>81.4400305063291</v>
      </c>
      <c r="AE444" s="76">
        <f t="shared" si="231"/>
        <v>20.8599694936709</v>
      </c>
    </row>
    <row r="445" customFormat="1" spans="1:31">
      <c r="A445" s="18"/>
      <c r="B445" s="19"/>
      <c r="C445" s="20">
        <v>240813000041</v>
      </c>
      <c r="D445" s="21">
        <v>45525</v>
      </c>
      <c r="E445" s="21" t="s">
        <v>37</v>
      </c>
      <c r="F445" s="19" t="s">
        <v>38</v>
      </c>
      <c r="G445" s="19" t="s">
        <v>54</v>
      </c>
      <c r="H445" s="19">
        <v>13</v>
      </c>
      <c r="I445" s="43"/>
      <c r="J445" s="44">
        <v>199017</v>
      </c>
      <c r="K445" s="45"/>
      <c r="L445" s="46">
        <f t="shared" ref="L445:L448" si="238">SUM(J445/M445)</f>
        <v>1737.53273965427</v>
      </c>
      <c r="M445" s="47">
        <v>114.54</v>
      </c>
      <c r="N445" s="48">
        <v>7.15</v>
      </c>
      <c r="O445" s="49">
        <f t="shared" ref="O445:O448" si="239">SUM(M445*N445)</f>
        <v>818.961</v>
      </c>
      <c r="P445" s="53"/>
      <c r="Q445" s="53"/>
      <c r="R445" s="76">
        <f t="shared" si="234"/>
        <v>618.724303797468</v>
      </c>
      <c r="S445" s="76"/>
      <c r="T445" s="77">
        <f t="shared" si="235"/>
        <v>0.855696202531646</v>
      </c>
      <c r="U445" s="76"/>
      <c r="V445" s="76"/>
      <c r="W445" s="78">
        <f t="shared" si="232"/>
        <v>619.58</v>
      </c>
      <c r="X445" s="79">
        <f t="shared" si="236"/>
        <v>12.0606430379747</v>
      </c>
      <c r="Y445" s="79"/>
      <c r="Z445" s="79"/>
      <c r="AA445" s="79">
        <f t="shared" si="233"/>
        <v>12.0606430379747</v>
      </c>
      <c r="AB445" s="90">
        <v>7.15</v>
      </c>
      <c r="AC445" s="76">
        <f t="shared" si="229"/>
        <v>86.233597721519</v>
      </c>
      <c r="AD445" s="76">
        <f t="shared" si="230"/>
        <v>705.813597721519</v>
      </c>
      <c r="AE445" s="76">
        <f t="shared" si="231"/>
        <v>113.147402278481</v>
      </c>
    </row>
    <row r="446" customFormat="1" spans="1:31">
      <c r="A446" s="18"/>
      <c r="B446" s="19"/>
      <c r="C446" s="20">
        <v>240813000043</v>
      </c>
      <c r="D446" s="21">
        <v>45525</v>
      </c>
      <c r="E446" s="21" t="s">
        <v>37</v>
      </c>
      <c r="F446" s="19" t="s">
        <v>38</v>
      </c>
      <c r="G446" s="19" t="s">
        <v>340</v>
      </c>
      <c r="H446" s="19">
        <v>35.5</v>
      </c>
      <c r="I446" s="51">
        <v>3120</v>
      </c>
      <c r="J446" s="52"/>
      <c r="K446" s="45"/>
      <c r="L446" s="19"/>
      <c r="M446" s="45"/>
      <c r="N446" s="48"/>
      <c r="O446" s="49">
        <f t="shared" ref="O446:O453" si="240">SUM(I446)</f>
        <v>3120</v>
      </c>
      <c r="P446" s="53"/>
      <c r="Q446" s="53"/>
      <c r="R446" s="76">
        <f t="shared" si="234"/>
        <v>1689.59329113924</v>
      </c>
      <c r="S446" s="76"/>
      <c r="T446" s="77">
        <f t="shared" si="235"/>
        <v>2.33670886075949</v>
      </c>
      <c r="U446" s="76"/>
      <c r="V446" s="76"/>
      <c r="W446" s="78">
        <f t="shared" si="232"/>
        <v>1691.93</v>
      </c>
      <c r="X446" s="79">
        <f t="shared" si="236"/>
        <v>32.9348329113924</v>
      </c>
      <c r="Y446" s="79"/>
      <c r="Z446" s="79"/>
      <c r="AA446" s="79">
        <f t="shared" si="233"/>
        <v>32.9348329113924</v>
      </c>
      <c r="AB446" s="90">
        <v>7.15</v>
      </c>
      <c r="AC446" s="76">
        <f t="shared" si="229"/>
        <v>235.484055316456</v>
      </c>
      <c r="AD446" s="76">
        <f t="shared" si="230"/>
        <v>1927.41405531646</v>
      </c>
      <c r="AE446" s="76">
        <f t="shared" si="231"/>
        <v>1192.58594468354</v>
      </c>
    </row>
    <row r="447" customFormat="1" spans="1:31">
      <c r="A447" s="18"/>
      <c r="B447" s="19"/>
      <c r="C447" s="20">
        <v>240814000004</v>
      </c>
      <c r="D447" s="21">
        <v>45525</v>
      </c>
      <c r="E447" s="21" t="s">
        <v>44</v>
      </c>
      <c r="F447" s="19" t="s">
        <v>45</v>
      </c>
      <c r="G447" s="19" t="s">
        <v>341</v>
      </c>
      <c r="H447" s="19">
        <v>20</v>
      </c>
      <c r="I447" s="49"/>
      <c r="J447" s="44">
        <v>367639</v>
      </c>
      <c r="K447" s="45"/>
      <c r="L447" s="46">
        <f t="shared" si="238"/>
        <v>1640.00089218004</v>
      </c>
      <c r="M447" s="47">
        <v>224.17</v>
      </c>
      <c r="N447" s="48">
        <v>7.15</v>
      </c>
      <c r="O447" s="49">
        <f t="shared" si="239"/>
        <v>1602.8155</v>
      </c>
      <c r="P447" s="53"/>
      <c r="Q447" s="53"/>
      <c r="R447" s="76">
        <f t="shared" si="234"/>
        <v>951.883544303797</v>
      </c>
      <c r="S447" s="76"/>
      <c r="T447" s="77">
        <f t="shared" si="235"/>
        <v>1.31645569620253</v>
      </c>
      <c r="U447" s="76">
        <v>40</v>
      </c>
      <c r="V447" s="76">
        <v>154</v>
      </c>
      <c r="W447" s="78">
        <f t="shared" si="232"/>
        <v>1147.2</v>
      </c>
      <c r="X447" s="79">
        <f t="shared" si="236"/>
        <v>18.554835443038</v>
      </c>
      <c r="Y447" s="79"/>
      <c r="Z447" s="79"/>
      <c r="AA447" s="79">
        <f t="shared" si="233"/>
        <v>18.554835443038</v>
      </c>
      <c r="AB447" s="90">
        <v>7.15</v>
      </c>
      <c r="AC447" s="76">
        <f t="shared" si="229"/>
        <v>132.667073417722</v>
      </c>
      <c r="AD447" s="76">
        <f t="shared" si="230"/>
        <v>1279.86707341772</v>
      </c>
      <c r="AE447" s="76">
        <f t="shared" si="231"/>
        <v>322.948426582279</v>
      </c>
    </row>
    <row r="448" customFormat="1" spans="1:31">
      <c r="A448" s="18"/>
      <c r="B448" s="19"/>
      <c r="C448" s="20">
        <v>240814000010</v>
      </c>
      <c r="D448" s="21">
        <v>45525</v>
      </c>
      <c r="E448" s="21" t="s">
        <v>41</v>
      </c>
      <c r="F448" s="19" t="s">
        <v>42</v>
      </c>
      <c r="G448" s="19" t="s">
        <v>342</v>
      </c>
      <c r="H448" s="19">
        <v>4</v>
      </c>
      <c r="I448" s="43"/>
      <c r="J448" s="44">
        <v>77566</v>
      </c>
      <c r="K448" s="45"/>
      <c r="L448" s="46">
        <f t="shared" si="238"/>
        <v>1630.2227826818</v>
      </c>
      <c r="M448" s="47">
        <v>47.58</v>
      </c>
      <c r="N448" s="48">
        <v>7.15</v>
      </c>
      <c r="O448" s="49">
        <f t="shared" si="239"/>
        <v>340.197</v>
      </c>
      <c r="P448" s="53"/>
      <c r="Q448" s="53"/>
      <c r="R448" s="76">
        <f t="shared" si="234"/>
        <v>190.376708860759</v>
      </c>
      <c r="S448" s="76"/>
      <c r="T448" s="77">
        <f t="shared" si="235"/>
        <v>0.263291139240506</v>
      </c>
      <c r="U448" s="76"/>
      <c r="V448" s="76"/>
      <c r="W448" s="78">
        <f t="shared" si="232"/>
        <v>190.64</v>
      </c>
      <c r="X448" s="79">
        <f t="shared" si="236"/>
        <v>3.71096708860759</v>
      </c>
      <c r="Y448" s="79"/>
      <c r="Z448" s="79"/>
      <c r="AA448" s="79">
        <f t="shared" si="233"/>
        <v>3.71096708860759</v>
      </c>
      <c r="AB448" s="90">
        <v>7.15</v>
      </c>
      <c r="AC448" s="76">
        <f t="shared" si="229"/>
        <v>26.5334146835443</v>
      </c>
      <c r="AD448" s="76">
        <f t="shared" si="230"/>
        <v>217.173414683544</v>
      </c>
      <c r="AE448" s="76">
        <f t="shared" si="231"/>
        <v>123.023585316456</v>
      </c>
    </row>
    <row r="449" customFormat="1" spans="1:31">
      <c r="A449" s="18"/>
      <c r="B449" s="19"/>
      <c r="C449" s="20">
        <v>240814000014</v>
      </c>
      <c r="D449" s="21">
        <v>45525</v>
      </c>
      <c r="E449" s="21" t="s">
        <v>51</v>
      </c>
      <c r="F449" s="19" t="s">
        <v>52</v>
      </c>
      <c r="G449" s="19" t="s">
        <v>122</v>
      </c>
      <c r="H449" s="19">
        <v>0.79</v>
      </c>
      <c r="I449" s="51">
        <v>69.3</v>
      </c>
      <c r="J449" s="52"/>
      <c r="K449" s="45"/>
      <c r="L449" s="19"/>
      <c r="M449" s="45"/>
      <c r="N449" s="48"/>
      <c r="O449" s="49">
        <f t="shared" si="240"/>
        <v>69.3</v>
      </c>
      <c r="P449" s="53"/>
      <c r="Q449" s="53"/>
      <c r="R449" s="76">
        <f t="shared" si="234"/>
        <v>37.5994</v>
      </c>
      <c r="S449" s="76"/>
      <c r="T449" s="77">
        <f t="shared" si="235"/>
        <v>0.052</v>
      </c>
      <c r="U449" s="76"/>
      <c r="V449" s="76"/>
      <c r="W449" s="78">
        <f t="shared" si="232"/>
        <v>37.6514</v>
      </c>
      <c r="X449" s="79">
        <f t="shared" si="236"/>
        <v>0.732916</v>
      </c>
      <c r="Y449" s="79"/>
      <c r="Z449" s="79"/>
      <c r="AA449" s="79">
        <f t="shared" si="233"/>
        <v>0.732916</v>
      </c>
      <c r="AB449" s="90">
        <v>7.15</v>
      </c>
      <c r="AC449" s="76">
        <f t="shared" si="229"/>
        <v>5.2403494</v>
      </c>
      <c r="AD449" s="76">
        <f t="shared" si="230"/>
        <v>42.8917494</v>
      </c>
      <c r="AE449" s="76">
        <f t="shared" si="231"/>
        <v>26.4082506</v>
      </c>
    </row>
    <row r="450" customFormat="1" spans="1:31">
      <c r="A450" s="18"/>
      <c r="B450" s="19"/>
      <c r="C450" s="20">
        <v>240814000016</v>
      </c>
      <c r="D450" s="21">
        <v>45525</v>
      </c>
      <c r="E450" s="21" t="s">
        <v>51</v>
      </c>
      <c r="F450" s="19" t="s">
        <v>52</v>
      </c>
      <c r="G450" s="19" t="s">
        <v>343</v>
      </c>
      <c r="H450" s="19">
        <v>0.18</v>
      </c>
      <c r="I450" s="49"/>
      <c r="J450" s="44">
        <v>20204.8</v>
      </c>
      <c r="K450" s="45"/>
      <c r="L450" s="46">
        <f>SUM(J450/M450)</f>
        <v>1640</v>
      </c>
      <c r="M450" s="47">
        <v>12.32</v>
      </c>
      <c r="N450" s="48">
        <v>7.15</v>
      </c>
      <c r="O450" s="49">
        <f t="shared" ref="O450:O455" si="241">SUM(M450*N450)</f>
        <v>88.088</v>
      </c>
      <c r="P450" s="53"/>
      <c r="Q450" s="53"/>
      <c r="R450" s="76">
        <f t="shared" si="234"/>
        <v>8.56695189873418</v>
      </c>
      <c r="S450" s="76"/>
      <c r="T450" s="77">
        <f t="shared" si="235"/>
        <v>0.0118481012658228</v>
      </c>
      <c r="U450" s="76"/>
      <c r="V450" s="76"/>
      <c r="W450" s="78">
        <f t="shared" si="232"/>
        <v>8.5788</v>
      </c>
      <c r="X450" s="79">
        <f t="shared" si="236"/>
        <v>0.166993518987342</v>
      </c>
      <c r="Y450" s="79"/>
      <c r="Z450" s="79"/>
      <c r="AA450" s="79">
        <f t="shared" si="233"/>
        <v>0.166993518987342</v>
      </c>
      <c r="AB450" s="90">
        <v>7.15</v>
      </c>
      <c r="AC450" s="76">
        <f t="shared" si="229"/>
        <v>1.19400366075949</v>
      </c>
      <c r="AD450" s="76">
        <f t="shared" si="230"/>
        <v>9.77280366075949</v>
      </c>
      <c r="AE450" s="76">
        <f t="shared" si="231"/>
        <v>78.3151963392405</v>
      </c>
    </row>
    <row r="451" customFormat="1" spans="1:31">
      <c r="A451" s="18"/>
      <c r="B451" s="19"/>
      <c r="C451" s="20">
        <v>240814000017</v>
      </c>
      <c r="D451" s="21">
        <v>45525</v>
      </c>
      <c r="E451" s="21" t="s">
        <v>51</v>
      </c>
      <c r="F451" s="19" t="s">
        <v>52</v>
      </c>
      <c r="G451" s="19" t="s">
        <v>344</v>
      </c>
      <c r="H451" s="19">
        <v>2.5</v>
      </c>
      <c r="I451" s="51">
        <v>172.5</v>
      </c>
      <c r="J451" s="52"/>
      <c r="K451" s="45"/>
      <c r="L451" s="19"/>
      <c r="M451" s="45"/>
      <c r="N451" s="48"/>
      <c r="O451" s="49">
        <f t="shared" si="240"/>
        <v>172.5</v>
      </c>
      <c r="P451" s="53"/>
      <c r="Q451" s="53"/>
      <c r="R451" s="76">
        <f t="shared" si="234"/>
        <v>118.985443037975</v>
      </c>
      <c r="S451" s="76"/>
      <c r="T451" s="77">
        <f t="shared" si="235"/>
        <v>0.164556962025316</v>
      </c>
      <c r="U451" s="76"/>
      <c r="V451" s="76"/>
      <c r="W451" s="78">
        <f t="shared" si="232"/>
        <v>119.15</v>
      </c>
      <c r="X451" s="79">
        <f t="shared" si="236"/>
        <v>2.31935443037975</v>
      </c>
      <c r="Y451" s="79"/>
      <c r="Z451" s="79"/>
      <c r="AA451" s="79">
        <f t="shared" si="233"/>
        <v>2.31935443037975</v>
      </c>
      <c r="AB451" s="90">
        <v>7.15</v>
      </c>
      <c r="AC451" s="76">
        <f t="shared" si="229"/>
        <v>16.5833841772152</v>
      </c>
      <c r="AD451" s="76">
        <f t="shared" si="230"/>
        <v>135.733384177215</v>
      </c>
      <c r="AE451" s="76">
        <f t="shared" si="231"/>
        <v>36.7666158227848</v>
      </c>
    </row>
    <row r="452" customFormat="1" spans="1:31">
      <c r="A452" s="18"/>
      <c r="B452" s="19"/>
      <c r="C452" s="20">
        <v>240814000025</v>
      </c>
      <c r="D452" s="21">
        <v>45525</v>
      </c>
      <c r="E452" s="21" t="s">
        <v>37</v>
      </c>
      <c r="F452" s="19" t="s">
        <v>38</v>
      </c>
      <c r="G452" s="19" t="s">
        <v>345</v>
      </c>
      <c r="H452" s="19">
        <v>4</v>
      </c>
      <c r="I452" s="51">
        <v>270</v>
      </c>
      <c r="J452" s="52"/>
      <c r="K452" s="45"/>
      <c r="L452" s="19"/>
      <c r="M452" s="45"/>
      <c r="N452" s="48"/>
      <c r="O452" s="49">
        <f t="shared" si="240"/>
        <v>270</v>
      </c>
      <c r="P452" s="53"/>
      <c r="Q452" s="53"/>
      <c r="R452" s="76">
        <f t="shared" si="234"/>
        <v>190.376708860759</v>
      </c>
      <c r="S452" s="76"/>
      <c r="T452" s="77">
        <f t="shared" si="235"/>
        <v>0.263291139240506</v>
      </c>
      <c r="U452" s="76"/>
      <c r="V452" s="76"/>
      <c r="W452" s="78">
        <f t="shared" si="232"/>
        <v>190.64</v>
      </c>
      <c r="X452" s="79">
        <f t="shared" si="236"/>
        <v>3.71096708860759</v>
      </c>
      <c r="Y452" s="79"/>
      <c r="Z452" s="79"/>
      <c r="AA452" s="79">
        <f t="shared" si="233"/>
        <v>3.71096708860759</v>
      </c>
      <c r="AB452" s="90">
        <v>7.15</v>
      </c>
      <c r="AC452" s="76">
        <f t="shared" si="229"/>
        <v>26.5334146835443</v>
      </c>
      <c r="AD452" s="76">
        <f t="shared" si="230"/>
        <v>217.173414683544</v>
      </c>
      <c r="AE452" s="76">
        <f t="shared" si="231"/>
        <v>52.8265853164557</v>
      </c>
    </row>
    <row r="453" customFormat="1" spans="1:31">
      <c r="A453" s="18"/>
      <c r="B453" s="19"/>
      <c r="C453" s="22">
        <v>240814000031</v>
      </c>
      <c r="D453" s="23">
        <v>45525</v>
      </c>
      <c r="E453" s="21" t="s">
        <v>82</v>
      </c>
      <c r="F453" s="24" t="s">
        <v>83</v>
      </c>
      <c r="G453" s="24" t="s">
        <v>346</v>
      </c>
      <c r="H453" s="24">
        <v>21</v>
      </c>
      <c r="I453" s="51">
        <v>2005</v>
      </c>
      <c r="J453" s="52"/>
      <c r="K453" s="45"/>
      <c r="L453" s="19"/>
      <c r="M453" s="45"/>
      <c r="N453" s="48"/>
      <c r="O453" s="49">
        <f t="shared" si="240"/>
        <v>2005</v>
      </c>
      <c r="P453" s="53"/>
      <c r="Q453" s="53"/>
      <c r="R453" s="76">
        <f t="shared" si="234"/>
        <v>999.477721518987</v>
      </c>
      <c r="S453" s="76"/>
      <c r="T453" s="77">
        <f t="shared" si="235"/>
        <v>1.38227848101266</v>
      </c>
      <c r="U453" s="76"/>
      <c r="V453" s="76"/>
      <c r="W453" s="78">
        <f t="shared" si="232"/>
        <v>1000.86</v>
      </c>
      <c r="X453" s="79">
        <f t="shared" si="236"/>
        <v>19.4825772151899</v>
      </c>
      <c r="Y453" s="79"/>
      <c r="Z453" s="79"/>
      <c r="AA453" s="79">
        <f t="shared" si="233"/>
        <v>19.4825772151899</v>
      </c>
      <c r="AB453" s="90">
        <v>7.15</v>
      </c>
      <c r="AC453" s="76">
        <f t="shared" si="229"/>
        <v>139.300427088608</v>
      </c>
      <c r="AD453" s="76">
        <f t="shared" si="230"/>
        <v>1140.16042708861</v>
      </c>
      <c r="AE453" s="76">
        <f t="shared" si="231"/>
        <v>864.839572911392</v>
      </c>
    </row>
    <row r="454" customFormat="1" spans="1:31">
      <c r="A454" s="18"/>
      <c r="B454" s="19"/>
      <c r="C454" s="20">
        <v>240815000003</v>
      </c>
      <c r="D454" s="21">
        <v>45525</v>
      </c>
      <c r="E454" s="21" t="s">
        <v>44</v>
      </c>
      <c r="F454" s="19" t="s">
        <v>45</v>
      </c>
      <c r="G454" s="19" t="s">
        <v>347</v>
      </c>
      <c r="H454" s="19">
        <v>0.53</v>
      </c>
      <c r="I454" s="49"/>
      <c r="J454" s="44">
        <v>23100</v>
      </c>
      <c r="K454" s="45"/>
      <c r="L454" s="46">
        <f>SUM(J454/M454)</f>
        <v>1640.625</v>
      </c>
      <c r="M454" s="47">
        <v>14.08</v>
      </c>
      <c r="N454" s="48">
        <v>7.15</v>
      </c>
      <c r="O454" s="49">
        <f t="shared" si="241"/>
        <v>100.672</v>
      </c>
      <c r="P454" s="53"/>
      <c r="Q454" s="53"/>
      <c r="R454" s="76">
        <f t="shared" si="234"/>
        <v>25.2249139240506</v>
      </c>
      <c r="S454" s="76"/>
      <c r="T454" s="77">
        <f t="shared" si="235"/>
        <v>0.0348860759493671</v>
      </c>
      <c r="U454" s="76"/>
      <c r="V454" s="76"/>
      <c r="W454" s="78">
        <f t="shared" si="232"/>
        <v>25.2598</v>
      </c>
      <c r="X454" s="79">
        <f t="shared" si="236"/>
        <v>0.491703139240506</v>
      </c>
      <c r="Y454" s="79"/>
      <c r="Z454" s="79"/>
      <c r="AA454" s="79">
        <f t="shared" si="233"/>
        <v>0.491703139240506</v>
      </c>
      <c r="AB454" s="90">
        <v>7.15</v>
      </c>
      <c r="AC454" s="76">
        <f t="shared" si="229"/>
        <v>3.51567744556962</v>
      </c>
      <c r="AD454" s="76">
        <f t="shared" si="230"/>
        <v>28.7754774455696</v>
      </c>
      <c r="AE454" s="76">
        <f t="shared" si="231"/>
        <v>71.8965225544304</v>
      </c>
    </row>
    <row r="455" customFormat="1" spans="1:31">
      <c r="A455" s="18"/>
      <c r="B455" s="19"/>
      <c r="C455" s="20">
        <v>240815000004</v>
      </c>
      <c r="D455" s="21">
        <v>45525</v>
      </c>
      <c r="E455" s="21" t="s">
        <v>44</v>
      </c>
      <c r="F455" s="19" t="s">
        <v>45</v>
      </c>
      <c r="G455" s="19" t="s">
        <v>348</v>
      </c>
      <c r="H455" s="19">
        <v>6.5</v>
      </c>
      <c r="I455" s="49"/>
      <c r="J455" s="44">
        <v>92750</v>
      </c>
      <c r="K455" s="45"/>
      <c r="L455" s="46">
        <f>SUM(J455/M455)</f>
        <v>1640.14146772767</v>
      </c>
      <c r="M455" s="47">
        <v>56.55</v>
      </c>
      <c r="N455" s="48">
        <v>7.15</v>
      </c>
      <c r="O455" s="49">
        <f t="shared" si="241"/>
        <v>404.3325</v>
      </c>
      <c r="P455" s="53"/>
      <c r="Q455" s="53"/>
      <c r="R455" s="76">
        <f t="shared" si="234"/>
        <v>309.362151898734</v>
      </c>
      <c r="S455" s="76"/>
      <c r="T455" s="77">
        <f t="shared" si="235"/>
        <v>0.427848101265823</v>
      </c>
      <c r="U455" s="76"/>
      <c r="V455" s="76"/>
      <c r="W455" s="78">
        <f t="shared" si="232"/>
        <v>309.79</v>
      </c>
      <c r="X455" s="79">
        <f t="shared" si="236"/>
        <v>6.03032151898734</v>
      </c>
      <c r="Y455" s="79"/>
      <c r="Z455" s="79"/>
      <c r="AA455" s="79">
        <f t="shared" si="233"/>
        <v>6.03032151898734</v>
      </c>
      <c r="AB455" s="90">
        <v>7.15</v>
      </c>
      <c r="AC455" s="76">
        <f t="shared" si="229"/>
        <v>43.1167988607595</v>
      </c>
      <c r="AD455" s="76">
        <f t="shared" si="230"/>
        <v>352.906798860759</v>
      </c>
      <c r="AE455" s="76">
        <f t="shared" si="231"/>
        <v>51.4257011392405</v>
      </c>
    </row>
    <row r="456" customFormat="1" spans="1:31">
      <c r="A456" s="18"/>
      <c r="B456" s="19"/>
      <c r="C456" s="20">
        <v>240815000007</v>
      </c>
      <c r="D456" s="21">
        <v>45525</v>
      </c>
      <c r="E456" s="21" t="s">
        <v>51</v>
      </c>
      <c r="F456" s="19" t="s">
        <v>52</v>
      </c>
      <c r="G456" s="19" t="s">
        <v>133</v>
      </c>
      <c r="H456" s="19">
        <v>2</v>
      </c>
      <c r="I456" s="51">
        <v>206.8</v>
      </c>
      <c r="J456" s="52"/>
      <c r="K456" s="45"/>
      <c r="L456" s="19"/>
      <c r="M456" s="45"/>
      <c r="N456" s="48"/>
      <c r="O456" s="49">
        <f t="shared" ref="O456:O459" si="242">SUM(I456)</f>
        <v>206.8</v>
      </c>
      <c r="P456" s="53"/>
      <c r="Q456" s="53"/>
      <c r="R456" s="76">
        <f t="shared" si="234"/>
        <v>95.1883544303797</v>
      </c>
      <c r="S456" s="76"/>
      <c r="T456" s="77">
        <f t="shared" si="235"/>
        <v>0.131645569620253</v>
      </c>
      <c r="U456" s="76"/>
      <c r="V456" s="76"/>
      <c r="W456" s="78">
        <f t="shared" si="232"/>
        <v>95.32</v>
      </c>
      <c r="X456" s="79">
        <f t="shared" si="236"/>
        <v>1.8554835443038</v>
      </c>
      <c r="Y456" s="79"/>
      <c r="Z456" s="79"/>
      <c r="AA456" s="79">
        <f t="shared" si="233"/>
        <v>1.8554835443038</v>
      </c>
      <c r="AB456" s="90">
        <v>7.15</v>
      </c>
      <c r="AC456" s="76">
        <f t="shared" si="229"/>
        <v>13.2667073417722</v>
      </c>
      <c r="AD456" s="76">
        <f t="shared" si="230"/>
        <v>108.586707341772</v>
      </c>
      <c r="AE456" s="76">
        <f t="shared" si="231"/>
        <v>98.2132926582279</v>
      </c>
    </row>
    <row r="457" customFormat="1" spans="1:31">
      <c r="A457" s="18"/>
      <c r="B457" s="19"/>
      <c r="C457" s="20">
        <v>240815000015</v>
      </c>
      <c r="D457" s="21">
        <v>45525</v>
      </c>
      <c r="E457" s="21" t="s">
        <v>57</v>
      </c>
      <c r="F457" s="19" t="s">
        <v>57</v>
      </c>
      <c r="G457" s="19" t="s">
        <v>349</v>
      </c>
      <c r="H457" s="19">
        <v>71.5</v>
      </c>
      <c r="I457" s="51">
        <v>4440</v>
      </c>
      <c r="J457" s="52"/>
      <c r="K457" s="45"/>
      <c r="L457" s="19"/>
      <c r="M457" s="45"/>
      <c r="N457" s="48"/>
      <c r="O457" s="49">
        <f t="shared" si="242"/>
        <v>4440</v>
      </c>
      <c r="P457" s="53"/>
      <c r="Q457" s="53"/>
      <c r="R457" s="76">
        <f t="shared" si="234"/>
        <v>3402.98367088608</v>
      </c>
      <c r="S457" s="76"/>
      <c r="T457" s="77">
        <f t="shared" si="235"/>
        <v>4.70632911392405</v>
      </c>
      <c r="U457" s="76">
        <v>40</v>
      </c>
      <c r="V457" s="76"/>
      <c r="W457" s="78">
        <f t="shared" si="232"/>
        <v>3447.69</v>
      </c>
      <c r="X457" s="79">
        <f t="shared" si="236"/>
        <v>66.3335367088608</v>
      </c>
      <c r="Y457" s="79"/>
      <c r="Z457" s="79"/>
      <c r="AA457" s="79">
        <f t="shared" si="233"/>
        <v>66.3335367088608</v>
      </c>
      <c r="AB457" s="90">
        <v>7.15</v>
      </c>
      <c r="AC457" s="76">
        <f t="shared" si="229"/>
        <v>474.284787468354</v>
      </c>
      <c r="AD457" s="76">
        <f t="shared" si="230"/>
        <v>3921.97478746835</v>
      </c>
      <c r="AE457" s="76">
        <f t="shared" si="231"/>
        <v>518.025212531646</v>
      </c>
    </row>
    <row r="458" customFormat="1" spans="1:31">
      <c r="A458" s="18"/>
      <c r="B458" s="19"/>
      <c r="C458" s="20">
        <v>240815000017</v>
      </c>
      <c r="D458" s="21">
        <v>45525</v>
      </c>
      <c r="E458" s="21" t="s">
        <v>51</v>
      </c>
      <c r="F458" s="19" t="s">
        <v>52</v>
      </c>
      <c r="G458" s="19" t="s">
        <v>122</v>
      </c>
      <c r="H458" s="19">
        <v>2.5</v>
      </c>
      <c r="I458" s="51">
        <v>214.2</v>
      </c>
      <c r="J458" s="52"/>
      <c r="K458" s="45"/>
      <c r="L458" s="19"/>
      <c r="M458" s="45"/>
      <c r="N458" s="48"/>
      <c r="O458" s="49">
        <f t="shared" si="242"/>
        <v>214.2</v>
      </c>
      <c r="P458" s="53"/>
      <c r="Q458" s="53"/>
      <c r="R458" s="76">
        <f t="shared" si="234"/>
        <v>118.985443037975</v>
      </c>
      <c r="S458" s="76"/>
      <c r="T458" s="77">
        <f t="shared" si="235"/>
        <v>0.164556962025316</v>
      </c>
      <c r="U458" s="76"/>
      <c r="V458" s="76"/>
      <c r="W458" s="78">
        <f t="shared" si="232"/>
        <v>119.15</v>
      </c>
      <c r="X458" s="79">
        <f t="shared" si="236"/>
        <v>2.31935443037975</v>
      </c>
      <c r="Y458" s="79"/>
      <c r="Z458" s="79"/>
      <c r="AA458" s="79">
        <f t="shared" si="233"/>
        <v>2.31935443037975</v>
      </c>
      <c r="AB458" s="90">
        <v>7.15</v>
      </c>
      <c r="AC458" s="76">
        <f t="shared" si="229"/>
        <v>16.5833841772152</v>
      </c>
      <c r="AD458" s="76">
        <f t="shared" si="230"/>
        <v>135.733384177215</v>
      </c>
      <c r="AE458" s="76">
        <f t="shared" si="231"/>
        <v>78.4666158227848</v>
      </c>
    </row>
    <row r="459" customFormat="1" spans="1:31">
      <c r="A459" s="18"/>
      <c r="B459" s="19"/>
      <c r="C459" s="20">
        <v>240815000024</v>
      </c>
      <c r="D459" s="21">
        <v>45525</v>
      </c>
      <c r="E459" s="21" t="s">
        <v>41</v>
      </c>
      <c r="F459" s="19" t="s">
        <v>42</v>
      </c>
      <c r="G459" s="19" t="s">
        <v>350</v>
      </c>
      <c r="H459" s="19">
        <v>1</v>
      </c>
      <c r="I459" s="51">
        <v>100</v>
      </c>
      <c r="J459" s="52"/>
      <c r="K459" s="45"/>
      <c r="L459" s="19"/>
      <c r="M459" s="45"/>
      <c r="N459" s="48"/>
      <c r="O459" s="49">
        <f t="shared" si="242"/>
        <v>100</v>
      </c>
      <c r="P459" s="53"/>
      <c r="Q459" s="53"/>
      <c r="R459" s="76">
        <f t="shared" si="234"/>
        <v>47.5941772151899</v>
      </c>
      <c r="S459" s="76"/>
      <c r="T459" s="77">
        <f t="shared" si="235"/>
        <v>0.0658227848101266</v>
      </c>
      <c r="U459" s="76"/>
      <c r="V459" s="76"/>
      <c r="W459" s="78">
        <f t="shared" si="232"/>
        <v>47.66</v>
      </c>
      <c r="X459" s="79">
        <f t="shared" si="236"/>
        <v>0.927741772151899</v>
      </c>
      <c r="Y459" s="79">
        <v>4.1</v>
      </c>
      <c r="Z459" s="79"/>
      <c r="AA459" s="79">
        <f t="shared" si="233"/>
        <v>5.0277417721519</v>
      </c>
      <c r="AB459" s="90">
        <v>7.15</v>
      </c>
      <c r="AC459" s="76">
        <f t="shared" si="229"/>
        <v>35.9483536708861</v>
      </c>
      <c r="AD459" s="76">
        <f t="shared" si="230"/>
        <v>83.6083536708861</v>
      </c>
      <c r="AE459" s="76">
        <f t="shared" si="231"/>
        <v>16.3916463291139</v>
      </c>
    </row>
    <row r="460" customFormat="1" spans="1:31">
      <c r="A460" s="18"/>
      <c r="B460" s="19"/>
      <c r="C460" s="20">
        <v>240815000033</v>
      </c>
      <c r="D460" s="21">
        <v>45525</v>
      </c>
      <c r="E460" s="21" t="s">
        <v>37</v>
      </c>
      <c r="F460" s="19" t="s">
        <v>38</v>
      </c>
      <c r="G460" s="19" t="s">
        <v>118</v>
      </c>
      <c r="H460" s="19">
        <v>213</v>
      </c>
      <c r="I460" s="43"/>
      <c r="J460" s="44">
        <v>3666180</v>
      </c>
      <c r="K460" s="45"/>
      <c r="L460" s="46">
        <f>SUM(J460/M460)</f>
        <v>1751.75597029902</v>
      </c>
      <c r="M460" s="47">
        <v>2092.86</v>
      </c>
      <c r="N460" s="48">
        <v>7.15</v>
      </c>
      <c r="O460" s="49">
        <f>SUM(M460*N460)</f>
        <v>14963.949</v>
      </c>
      <c r="P460" s="53"/>
      <c r="Q460" s="53"/>
      <c r="R460" s="76">
        <f t="shared" si="234"/>
        <v>10137.5597468354</v>
      </c>
      <c r="S460" s="76"/>
      <c r="T460" s="77">
        <f t="shared" si="235"/>
        <v>14.020253164557</v>
      </c>
      <c r="U460" s="76"/>
      <c r="V460" s="76"/>
      <c r="W460" s="78">
        <f t="shared" si="232"/>
        <v>10151.58</v>
      </c>
      <c r="X460" s="79">
        <f t="shared" si="236"/>
        <v>197.608997468354</v>
      </c>
      <c r="Y460" s="79"/>
      <c r="Z460" s="79"/>
      <c r="AA460" s="79">
        <f t="shared" si="233"/>
        <v>197.608997468354</v>
      </c>
      <c r="AB460" s="90">
        <v>7.15</v>
      </c>
      <c r="AC460" s="76">
        <f t="shared" si="229"/>
        <v>1412.90433189873</v>
      </c>
      <c r="AD460" s="76">
        <f t="shared" si="230"/>
        <v>11564.4843318987</v>
      </c>
      <c r="AE460" s="76">
        <f t="shared" si="231"/>
        <v>3399.46466810127</v>
      </c>
    </row>
    <row r="461" customFormat="1" spans="1:31">
      <c r="A461" s="18"/>
      <c r="B461" s="19"/>
      <c r="C461" s="20">
        <v>240815000035</v>
      </c>
      <c r="D461" s="21">
        <v>45525</v>
      </c>
      <c r="E461" s="21" t="s">
        <v>37</v>
      </c>
      <c r="F461" s="19" t="s">
        <v>38</v>
      </c>
      <c r="G461" s="19" t="s">
        <v>319</v>
      </c>
      <c r="H461" s="19">
        <v>140.5</v>
      </c>
      <c r="I461" s="51">
        <v>11352</v>
      </c>
      <c r="J461" s="52"/>
      <c r="K461" s="45"/>
      <c r="L461" s="19"/>
      <c r="M461" s="45"/>
      <c r="N461" s="48"/>
      <c r="O461" s="49">
        <f t="shared" ref="O461:O463" si="243">SUM(I461)</f>
        <v>11352</v>
      </c>
      <c r="P461" s="53"/>
      <c r="Q461" s="53"/>
      <c r="R461" s="76">
        <f t="shared" si="234"/>
        <v>6686.98189873418</v>
      </c>
      <c r="S461" s="76"/>
      <c r="T461" s="77">
        <f t="shared" si="235"/>
        <v>9.24810126582279</v>
      </c>
      <c r="U461" s="77">
        <v>400</v>
      </c>
      <c r="V461" s="76"/>
      <c r="W461" s="78">
        <f t="shared" si="232"/>
        <v>7096.23</v>
      </c>
      <c r="X461" s="79">
        <f t="shared" si="236"/>
        <v>130.347718987342</v>
      </c>
      <c r="Y461" s="79"/>
      <c r="Z461" s="79"/>
      <c r="AA461" s="79">
        <f t="shared" si="233"/>
        <v>130.347718987342</v>
      </c>
      <c r="AB461" s="90">
        <v>7.15</v>
      </c>
      <c r="AC461" s="76">
        <f t="shared" ref="AC461:AC478" si="244">SUM(AA461*AB461)</f>
        <v>931.986190759494</v>
      </c>
      <c r="AD461" s="76">
        <f t="shared" ref="AD461:AD478" si="245">SUM(W461+AC461)</f>
        <v>8028.21619075949</v>
      </c>
      <c r="AE461" s="76">
        <f t="shared" ref="AE461:AE478" si="246">SUM(O461-AD461)</f>
        <v>3323.78380924051</v>
      </c>
    </row>
    <row r="462" customFormat="1" spans="1:31">
      <c r="A462" s="18"/>
      <c r="B462" s="19"/>
      <c r="C462" s="20">
        <v>240815000038</v>
      </c>
      <c r="D462" s="21">
        <v>45525</v>
      </c>
      <c r="E462" s="21" t="s">
        <v>37</v>
      </c>
      <c r="F462" s="19" t="s">
        <v>38</v>
      </c>
      <c r="G462" s="19" t="s">
        <v>351</v>
      </c>
      <c r="H462" s="19">
        <v>7</v>
      </c>
      <c r="I462" s="51">
        <v>455</v>
      </c>
      <c r="J462" s="52"/>
      <c r="K462" s="45"/>
      <c r="L462" s="19"/>
      <c r="M462" s="45"/>
      <c r="N462" s="48"/>
      <c r="O462" s="49">
        <f t="shared" si="243"/>
        <v>455</v>
      </c>
      <c r="P462" s="53"/>
      <c r="Q462" s="53"/>
      <c r="R462" s="76">
        <f t="shared" si="234"/>
        <v>333.159240506329</v>
      </c>
      <c r="S462" s="76"/>
      <c r="T462" s="77">
        <f t="shared" si="235"/>
        <v>0.460759493670886</v>
      </c>
      <c r="U462" s="76"/>
      <c r="V462" s="76"/>
      <c r="W462" s="78">
        <f t="shared" ref="W462:W478" si="247">SUM(R462:V462)</f>
        <v>333.62</v>
      </c>
      <c r="X462" s="79">
        <f t="shared" si="236"/>
        <v>6.49419240506329</v>
      </c>
      <c r="Y462" s="79"/>
      <c r="Z462" s="79"/>
      <c r="AA462" s="79">
        <f t="shared" si="233"/>
        <v>6.49419240506329</v>
      </c>
      <c r="AB462" s="90">
        <v>7.15</v>
      </c>
      <c r="AC462" s="76">
        <f t="shared" si="244"/>
        <v>46.4334756962025</v>
      </c>
      <c r="AD462" s="76">
        <f t="shared" si="245"/>
        <v>380.053475696203</v>
      </c>
      <c r="AE462" s="76">
        <f t="shared" si="246"/>
        <v>74.9465243037974</v>
      </c>
    </row>
    <row r="463" customFormat="1" spans="1:31">
      <c r="A463" s="18"/>
      <c r="B463" s="19"/>
      <c r="C463" s="20">
        <v>240815000040</v>
      </c>
      <c r="D463" s="21">
        <v>45525</v>
      </c>
      <c r="E463" s="21" t="s">
        <v>51</v>
      </c>
      <c r="F463" s="19" t="s">
        <v>52</v>
      </c>
      <c r="G463" s="19" t="s">
        <v>352</v>
      </c>
      <c r="H463" s="19">
        <v>13.5</v>
      </c>
      <c r="I463" s="51">
        <v>810</v>
      </c>
      <c r="J463" s="52"/>
      <c r="K463" s="45"/>
      <c r="L463" s="19"/>
      <c r="M463" s="45"/>
      <c r="N463" s="48"/>
      <c r="O463" s="49">
        <f t="shared" si="243"/>
        <v>810</v>
      </c>
      <c r="P463" s="53"/>
      <c r="Q463" s="53"/>
      <c r="R463" s="76">
        <f t="shared" si="234"/>
        <v>642.521392405063</v>
      </c>
      <c r="S463" s="76"/>
      <c r="T463" s="77">
        <f t="shared" si="235"/>
        <v>0.888607594936709</v>
      </c>
      <c r="U463" s="76"/>
      <c r="V463" s="76"/>
      <c r="W463" s="78">
        <f t="shared" si="247"/>
        <v>643.41</v>
      </c>
      <c r="X463" s="79">
        <f t="shared" si="236"/>
        <v>12.5245139240506</v>
      </c>
      <c r="Y463" s="79"/>
      <c r="Z463" s="79"/>
      <c r="AA463" s="79">
        <f t="shared" si="233"/>
        <v>12.5245139240506</v>
      </c>
      <c r="AB463" s="90">
        <v>7.15</v>
      </c>
      <c r="AC463" s="76">
        <f t="shared" si="244"/>
        <v>89.550274556962</v>
      </c>
      <c r="AD463" s="76">
        <f t="shared" si="245"/>
        <v>732.960274556962</v>
      </c>
      <c r="AE463" s="76">
        <f t="shared" si="246"/>
        <v>77.039725443038</v>
      </c>
    </row>
    <row r="464" customFormat="1" spans="1:31">
      <c r="A464" s="18"/>
      <c r="B464" s="19"/>
      <c r="C464" s="20">
        <v>240816000002</v>
      </c>
      <c r="D464" s="21">
        <v>45525</v>
      </c>
      <c r="E464" s="21" t="s">
        <v>353</v>
      </c>
      <c r="F464" s="19" t="s">
        <v>354</v>
      </c>
      <c r="G464" s="19" t="s">
        <v>207</v>
      </c>
      <c r="H464" s="19">
        <v>7</v>
      </c>
      <c r="I464" s="49"/>
      <c r="J464" s="44">
        <v>100766.6</v>
      </c>
      <c r="K464" s="45"/>
      <c r="L464" s="46">
        <f>SUM(J464/M464)</f>
        <v>1630</v>
      </c>
      <c r="M464" s="47">
        <v>61.82</v>
      </c>
      <c r="N464" s="48">
        <v>7.15</v>
      </c>
      <c r="O464" s="49">
        <f>SUM(M464*N464)</f>
        <v>442.013</v>
      </c>
      <c r="P464" s="53"/>
      <c r="Q464" s="53"/>
      <c r="R464" s="76">
        <f t="shared" si="234"/>
        <v>333.159240506329</v>
      </c>
      <c r="S464" s="76"/>
      <c r="T464" s="77">
        <f t="shared" si="235"/>
        <v>0.460759493670886</v>
      </c>
      <c r="U464" s="76"/>
      <c r="V464" s="76"/>
      <c r="W464" s="78">
        <f t="shared" si="247"/>
        <v>333.62</v>
      </c>
      <c r="X464" s="79">
        <f t="shared" si="236"/>
        <v>6.49419240506329</v>
      </c>
      <c r="Y464" s="79"/>
      <c r="Z464" s="79"/>
      <c r="AA464" s="79">
        <f t="shared" si="233"/>
        <v>6.49419240506329</v>
      </c>
      <c r="AB464" s="90">
        <v>7.15</v>
      </c>
      <c r="AC464" s="76">
        <f t="shared" si="244"/>
        <v>46.4334756962025</v>
      </c>
      <c r="AD464" s="76">
        <f t="shared" si="245"/>
        <v>380.053475696203</v>
      </c>
      <c r="AE464" s="76">
        <f t="shared" si="246"/>
        <v>61.9595243037974</v>
      </c>
    </row>
    <row r="465" customFormat="1" spans="1:31">
      <c r="A465" s="18"/>
      <c r="B465" s="19"/>
      <c r="C465" s="20">
        <v>240816000008</v>
      </c>
      <c r="D465" s="21">
        <v>45525</v>
      </c>
      <c r="E465" s="21" t="s">
        <v>51</v>
      </c>
      <c r="F465" s="19" t="s">
        <v>52</v>
      </c>
      <c r="G465" s="19" t="s">
        <v>122</v>
      </c>
      <c r="H465" s="19">
        <v>1.5</v>
      </c>
      <c r="I465" s="51">
        <v>130.2</v>
      </c>
      <c r="J465" s="52"/>
      <c r="K465" s="45"/>
      <c r="L465" s="19"/>
      <c r="M465" s="45"/>
      <c r="N465" s="48"/>
      <c r="O465" s="49">
        <f t="shared" ref="O465:O467" si="248">SUM(I465)</f>
        <v>130.2</v>
      </c>
      <c r="P465" s="53"/>
      <c r="Q465" s="53"/>
      <c r="R465" s="76">
        <f t="shared" si="234"/>
        <v>71.3912658227848</v>
      </c>
      <c r="S465" s="76"/>
      <c r="T465" s="77">
        <f t="shared" si="235"/>
        <v>0.0987341772151899</v>
      </c>
      <c r="U465" s="76"/>
      <c r="V465" s="76"/>
      <c r="W465" s="78">
        <f t="shared" si="247"/>
        <v>71.49</v>
      </c>
      <c r="X465" s="79">
        <f t="shared" si="236"/>
        <v>1.39161265822785</v>
      </c>
      <c r="Y465" s="79"/>
      <c r="Z465" s="79"/>
      <c r="AA465" s="79">
        <f t="shared" si="233"/>
        <v>1.39161265822785</v>
      </c>
      <c r="AB465" s="90">
        <v>7.15</v>
      </c>
      <c r="AC465" s="76">
        <f t="shared" si="244"/>
        <v>9.95003050632911</v>
      </c>
      <c r="AD465" s="76">
        <f t="shared" si="245"/>
        <v>81.4400305063291</v>
      </c>
      <c r="AE465" s="76">
        <f t="shared" si="246"/>
        <v>48.7599694936709</v>
      </c>
    </row>
    <row r="466" customFormat="1" spans="1:31">
      <c r="A466" s="18"/>
      <c r="B466" s="19"/>
      <c r="C466" s="20">
        <v>240816000011</v>
      </c>
      <c r="D466" s="21">
        <v>45525</v>
      </c>
      <c r="E466" s="21" t="s">
        <v>51</v>
      </c>
      <c r="F466" s="19" t="s">
        <v>52</v>
      </c>
      <c r="G466" s="19" t="s">
        <v>327</v>
      </c>
      <c r="H466" s="19">
        <v>2.5</v>
      </c>
      <c r="I466" s="51">
        <v>172.5</v>
      </c>
      <c r="J466" s="52"/>
      <c r="K466" s="45"/>
      <c r="L466" s="19"/>
      <c r="M466" s="45"/>
      <c r="N466" s="48"/>
      <c r="O466" s="49">
        <f t="shared" si="248"/>
        <v>172.5</v>
      </c>
      <c r="P466" s="53"/>
      <c r="Q466" s="53"/>
      <c r="R466" s="76">
        <f t="shared" si="234"/>
        <v>118.985443037975</v>
      </c>
      <c r="S466" s="76"/>
      <c r="T466" s="77">
        <f t="shared" si="235"/>
        <v>0.164556962025316</v>
      </c>
      <c r="U466" s="76"/>
      <c r="V466" s="76"/>
      <c r="W466" s="78">
        <f t="shared" si="247"/>
        <v>119.15</v>
      </c>
      <c r="X466" s="79">
        <f t="shared" si="236"/>
        <v>2.31935443037975</v>
      </c>
      <c r="Y466" s="79"/>
      <c r="Z466" s="79"/>
      <c r="AA466" s="79">
        <f t="shared" si="233"/>
        <v>2.31935443037975</v>
      </c>
      <c r="AB466" s="90">
        <v>7.15</v>
      </c>
      <c r="AC466" s="76">
        <f t="shared" si="244"/>
        <v>16.5833841772152</v>
      </c>
      <c r="AD466" s="76">
        <f t="shared" si="245"/>
        <v>135.733384177215</v>
      </c>
      <c r="AE466" s="76">
        <f t="shared" si="246"/>
        <v>36.7666158227848</v>
      </c>
    </row>
    <row r="467" customFormat="1" spans="1:31">
      <c r="A467" s="18"/>
      <c r="B467" s="19"/>
      <c r="C467" s="20">
        <v>240816000012</v>
      </c>
      <c r="D467" s="21">
        <v>45525</v>
      </c>
      <c r="E467" s="21" t="s">
        <v>37</v>
      </c>
      <c r="F467" s="19" t="s">
        <v>38</v>
      </c>
      <c r="G467" s="19" t="s">
        <v>198</v>
      </c>
      <c r="H467" s="19">
        <v>2</v>
      </c>
      <c r="I467" s="51">
        <v>195</v>
      </c>
      <c r="J467" s="52"/>
      <c r="K467" s="45"/>
      <c r="L467" s="19"/>
      <c r="M467" s="45"/>
      <c r="N467" s="48"/>
      <c r="O467" s="49">
        <f t="shared" si="248"/>
        <v>195</v>
      </c>
      <c r="P467" s="53"/>
      <c r="Q467" s="53"/>
      <c r="R467" s="76">
        <f t="shared" si="234"/>
        <v>95.1883544303797</v>
      </c>
      <c r="S467" s="76"/>
      <c r="T467" s="77">
        <f t="shared" si="235"/>
        <v>0.131645569620253</v>
      </c>
      <c r="U467" s="76"/>
      <c r="V467" s="76"/>
      <c r="W467" s="78">
        <f t="shared" si="247"/>
        <v>95.32</v>
      </c>
      <c r="X467" s="79">
        <f t="shared" si="236"/>
        <v>1.8554835443038</v>
      </c>
      <c r="Y467" s="79"/>
      <c r="Z467" s="79"/>
      <c r="AA467" s="79">
        <f t="shared" si="233"/>
        <v>1.8554835443038</v>
      </c>
      <c r="AB467" s="90">
        <v>7.15</v>
      </c>
      <c r="AC467" s="76">
        <f t="shared" si="244"/>
        <v>13.2667073417722</v>
      </c>
      <c r="AD467" s="76">
        <f t="shared" si="245"/>
        <v>108.586707341772</v>
      </c>
      <c r="AE467" s="76">
        <f t="shared" si="246"/>
        <v>86.4132926582279</v>
      </c>
    </row>
    <row r="468" customFormat="1" spans="1:31">
      <c r="A468" s="18"/>
      <c r="B468" s="19"/>
      <c r="C468" s="20">
        <v>240816000018</v>
      </c>
      <c r="D468" s="21">
        <v>45525</v>
      </c>
      <c r="E468" s="21" t="s">
        <v>44</v>
      </c>
      <c r="F468" s="19" t="s">
        <v>355</v>
      </c>
      <c r="G468" s="19" t="s">
        <v>356</v>
      </c>
      <c r="H468" s="19">
        <v>9</v>
      </c>
      <c r="I468" s="49"/>
      <c r="J468" s="44">
        <v>129888</v>
      </c>
      <c r="K468" s="45"/>
      <c r="L468" s="46">
        <f>SUM(J468/M468)</f>
        <v>1640</v>
      </c>
      <c r="M468" s="47">
        <v>79.2</v>
      </c>
      <c r="N468" s="48">
        <v>7.15</v>
      </c>
      <c r="O468" s="49">
        <f>SUM(M468*N468)</f>
        <v>566.28</v>
      </c>
      <c r="P468" s="53"/>
      <c r="Q468" s="53"/>
      <c r="R468" s="76">
        <f t="shared" si="234"/>
        <v>428.347594936709</v>
      </c>
      <c r="S468" s="76"/>
      <c r="T468" s="77">
        <f t="shared" si="235"/>
        <v>0.592405063291139</v>
      </c>
      <c r="U468" s="76"/>
      <c r="V468" s="76"/>
      <c r="W468" s="78">
        <f t="shared" si="247"/>
        <v>428.94</v>
      </c>
      <c r="X468" s="79">
        <f t="shared" si="236"/>
        <v>8.34967594936709</v>
      </c>
      <c r="Y468" s="79"/>
      <c r="Z468" s="79"/>
      <c r="AA468" s="79">
        <f t="shared" si="233"/>
        <v>8.34967594936709</v>
      </c>
      <c r="AB468" s="90">
        <v>7.15</v>
      </c>
      <c r="AC468" s="76">
        <f t="shared" si="244"/>
        <v>59.7001830379747</v>
      </c>
      <c r="AD468" s="76">
        <f t="shared" si="245"/>
        <v>488.640183037975</v>
      </c>
      <c r="AE468" s="76">
        <f t="shared" si="246"/>
        <v>77.6398169620253</v>
      </c>
    </row>
    <row r="469" customFormat="1" spans="1:31">
      <c r="A469" s="18"/>
      <c r="B469" s="19"/>
      <c r="C469" s="20">
        <v>240816000020</v>
      </c>
      <c r="D469" s="21">
        <v>45525</v>
      </c>
      <c r="E469" s="21" t="s">
        <v>57</v>
      </c>
      <c r="F469" s="19" t="s">
        <v>57</v>
      </c>
      <c r="G469" s="19" t="s">
        <v>102</v>
      </c>
      <c r="H469" s="19">
        <v>317.5</v>
      </c>
      <c r="I469" s="51">
        <v>21134.9</v>
      </c>
      <c r="J469" s="52"/>
      <c r="K469" s="45"/>
      <c r="L469" s="19"/>
      <c r="M469" s="45"/>
      <c r="N469" s="48"/>
      <c r="O469" s="49">
        <f t="shared" ref="O469:O471" si="249">SUM(I469)</f>
        <v>21134.9</v>
      </c>
      <c r="P469" s="53"/>
      <c r="Q469" s="53"/>
      <c r="R469" s="76">
        <f t="shared" si="234"/>
        <v>15111.1512658228</v>
      </c>
      <c r="S469" s="76"/>
      <c r="T469" s="77">
        <f t="shared" si="235"/>
        <v>20.8987341772152</v>
      </c>
      <c r="U469" s="77">
        <f>SUM(120+50)</f>
        <v>170</v>
      </c>
      <c r="V469" s="76"/>
      <c r="W469" s="78">
        <f t="shared" si="247"/>
        <v>15302.05</v>
      </c>
      <c r="X469" s="79">
        <f t="shared" si="236"/>
        <v>294.558012658228</v>
      </c>
      <c r="Y469" s="79"/>
      <c r="Z469" s="79"/>
      <c r="AA469" s="79">
        <f t="shared" si="233"/>
        <v>294.558012658228</v>
      </c>
      <c r="AB469" s="90">
        <v>7.15</v>
      </c>
      <c r="AC469" s="76">
        <f t="shared" si="244"/>
        <v>2106.08979050633</v>
      </c>
      <c r="AD469" s="76">
        <f t="shared" si="245"/>
        <v>17408.1397905063</v>
      </c>
      <c r="AE469" s="76">
        <f t="shared" si="246"/>
        <v>3726.76020949367</v>
      </c>
    </row>
    <row r="470" customFormat="1" spans="1:31">
      <c r="A470" s="18"/>
      <c r="B470" s="19"/>
      <c r="C470" s="20">
        <v>240816000021</v>
      </c>
      <c r="D470" s="21">
        <v>45525</v>
      </c>
      <c r="E470" s="21" t="s">
        <v>44</v>
      </c>
      <c r="F470" s="19" t="s">
        <v>45</v>
      </c>
      <c r="G470" s="19" t="s">
        <v>46</v>
      </c>
      <c r="H470" s="19">
        <v>3.5</v>
      </c>
      <c r="I470" s="51">
        <v>298</v>
      </c>
      <c r="J470" s="52"/>
      <c r="K470" s="45"/>
      <c r="L470" s="19"/>
      <c r="M470" s="45"/>
      <c r="N470" s="48"/>
      <c r="O470" s="49">
        <f t="shared" si="249"/>
        <v>298</v>
      </c>
      <c r="P470" s="53"/>
      <c r="Q470" s="53"/>
      <c r="R470" s="76">
        <f t="shared" si="234"/>
        <v>166.579620253165</v>
      </c>
      <c r="S470" s="76"/>
      <c r="T470" s="77">
        <f t="shared" si="235"/>
        <v>0.230379746835443</v>
      </c>
      <c r="U470" s="76"/>
      <c r="V470" s="76"/>
      <c r="W470" s="78">
        <f t="shared" si="247"/>
        <v>166.81</v>
      </c>
      <c r="X470" s="79">
        <f t="shared" si="236"/>
        <v>3.24709620253165</v>
      </c>
      <c r="Y470" s="79"/>
      <c r="Z470" s="79"/>
      <c r="AA470" s="79">
        <f t="shared" si="233"/>
        <v>3.24709620253165</v>
      </c>
      <c r="AB470" s="90">
        <v>7.15</v>
      </c>
      <c r="AC470" s="76">
        <f t="shared" si="244"/>
        <v>23.2167378481013</v>
      </c>
      <c r="AD470" s="76">
        <f t="shared" si="245"/>
        <v>190.026737848101</v>
      </c>
      <c r="AE470" s="76">
        <f t="shared" si="246"/>
        <v>107.973262151899</v>
      </c>
    </row>
    <row r="471" customFormat="1" spans="1:31">
      <c r="A471" s="18"/>
      <c r="B471" s="19"/>
      <c r="C471" s="20">
        <v>240816000025</v>
      </c>
      <c r="D471" s="21">
        <v>45525</v>
      </c>
      <c r="E471" s="21" t="s">
        <v>57</v>
      </c>
      <c r="F471" s="19" t="s">
        <v>57</v>
      </c>
      <c r="G471" s="19" t="s">
        <v>357</v>
      </c>
      <c r="H471" s="19">
        <v>12</v>
      </c>
      <c r="I471" s="51">
        <v>759</v>
      </c>
      <c r="J471" s="52"/>
      <c r="K471" s="45"/>
      <c r="L471" s="19"/>
      <c r="M471" s="45"/>
      <c r="N471" s="48"/>
      <c r="O471" s="49">
        <f t="shared" si="249"/>
        <v>759</v>
      </c>
      <c r="P471" s="53"/>
      <c r="Q471" s="53"/>
      <c r="R471" s="76">
        <f t="shared" si="234"/>
        <v>571.130126582279</v>
      </c>
      <c r="S471" s="76"/>
      <c r="T471" s="77">
        <f t="shared" si="235"/>
        <v>0.789873417721519</v>
      </c>
      <c r="U471" s="76"/>
      <c r="V471" s="76"/>
      <c r="W471" s="78">
        <f t="shared" si="247"/>
        <v>571.92</v>
      </c>
      <c r="X471" s="79">
        <f t="shared" si="236"/>
        <v>11.1329012658228</v>
      </c>
      <c r="Y471" s="79"/>
      <c r="Z471" s="79"/>
      <c r="AA471" s="79">
        <f t="shared" si="233"/>
        <v>11.1329012658228</v>
      </c>
      <c r="AB471" s="90">
        <v>7.15</v>
      </c>
      <c r="AC471" s="76">
        <f t="shared" si="244"/>
        <v>79.6002440506329</v>
      </c>
      <c r="AD471" s="76">
        <f t="shared" si="245"/>
        <v>651.520244050633</v>
      </c>
      <c r="AE471" s="76">
        <f t="shared" si="246"/>
        <v>107.479755949367</v>
      </c>
    </row>
    <row r="472" customFormat="1" spans="1:31">
      <c r="A472" s="18"/>
      <c r="B472" s="19"/>
      <c r="C472" s="20">
        <v>240816000026</v>
      </c>
      <c r="D472" s="21">
        <v>45525</v>
      </c>
      <c r="E472" s="21" t="s">
        <v>37</v>
      </c>
      <c r="F472" s="19" t="s">
        <v>38</v>
      </c>
      <c r="G472" s="19" t="s">
        <v>54</v>
      </c>
      <c r="H472" s="19">
        <v>16</v>
      </c>
      <c r="I472" s="43"/>
      <c r="J472" s="44">
        <v>244944</v>
      </c>
      <c r="K472" s="45"/>
      <c r="L472" s="46">
        <f>SUM(J472/M472)</f>
        <v>1737.56118323047</v>
      </c>
      <c r="M472" s="47">
        <v>140.97</v>
      </c>
      <c r="N472" s="48">
        <v>7.15</v>
      </c>
      <c r="O472" s="49">
        <f>SUM(M472*N472)</f>
        <v>1007.9355</v>
      </c>
      <c r="P472" s="53"/>
      <c r="Q472" s="53"/>
      <c r="R472" s="76">
        <f t="shared" si="234"/>
        <v>761.506835443038</v>
      </c>
      <c r="S472" s="76"/>
      <c r="T472" s="77">
        <f t="shared" si="235"/>
        <v>1.05316455696203</v>
      </c>
      <c r="U472" s="76"/>
      <c r="V472" s="76"/>
      <c r="W472" s="78">
        <f t="shared" si="247"/>
        <v>762.56</v>
      </c>
      <c r="X472" s="79">
        <f t="shared" si="236"/>
        <v>14.8438683544304</v>
      </c>
      <c r="Y472" s="79"/>
      <c r="Z472" s="79"/>
      <c r="AA472" s="79">
        <f t="shared" si="233"/>
        <v>14.8438683544304</v>
      </c>
      <c r="AB472" s="90">
        <v>7.15</v>
      </c>
      <c r="AC472" s="76">
        <f t="shared" si="244"/>
        <v>106.133658734177</v>
      </c>
      <c r="AD472" s="76">
        <f t="shared" si="245"/>
        <v>868.693658734177</v>
      </c>
      <c r="AE472" s="76">
        <f t="shared" si="246"/>
        <v>139.241841265823</v>
      </c>
    </row>
    <row r="473" customFormat="1" spans="1:31">
      <c r="A473" s="18"/>
      <c r="B473" s="19"/>
      <c r="C473" s="20">
        <v>240816000027</v>
      </c>
      <c r="D473" s="21">
        <v>45525</v>
      </c>
      <c r="E473" s="21" t="s">
        <v>44</v>
      </c>
      <c r="F473" s="19" t="s">
        <v>45</v>
      </c>
      <c r="G473" s="19" t="s">
        <v>70</v>
      </c>
      <c r="H473" s="19">
        <v>0.24</v>
      </c>
      <c r="I473" s="51">
        <v>96</v>
      </c>
      <c r="J473" s="52"/>
      <c r="K473" s="45"/>
      <c r="L473" s="19"/>
      <c r="M473" s="45"/>
      <c r="N473" s="48"/>
      <c r="O473" s="49">
        <f t="shared" ref="O473:O478" si="250">SUM(I473)</f>
        <v>96</v>
      </c>
      <c r="P473" s="53"/>
      <c r="Q473" s="53"/>
      <c r="R473" s="76">
        <f t="shared" si="234"/>
        <v>11.4226025316456</v>
      </c>
      <c r="S473" s="76"/>
      <c r="T473" s="77">
        <f t="shared" si="235"/>
        <v>0.0157974683544304</v>
      </c>
      <c r="U473" s="76"/>
      <c r="V473" s="76"/>
      <c r="W473" s="78">
        <f t="shared" si="247"/>
        <v>11.4384</v>
      </c>
      <c r="X473" s="79">
        <f t="shared" si="236"/>
        <v>0.222658025316456</v>
      </c>
      <c r="Y473" s="79"/>
      <c r="Z473" s="79"/>
      <c r="AA473" s="79">
        <f t="shared" si="233"/>
        <v>0.222658025316456</v>
      </c>
      <c r="AB473" s="90">
        <v>7.15</v>
      </c>
      <c r="AC473" s="76">
        <f t="shared" si="244"/>
        <v>1.59200488101266</v>
      </c>
      <c r="AD473" s="76">
        <f t="shared" si="245"/>
        <v>13.0304048810127</v>
      </c>
      <c r="AE473" s="76">
        <f t="shared" si="246"/>
        <v>82.9695951189873</v>
      </c>
    </row>
    <row r="474" customFormat="1" spans="1:31">
      <c r="A474" s="18"/>
      <c r="B474" s="19"/>
      <c r="C474" s="20">
        <v>240816000035</v>
      </c>
      <c r="D474" s="21">
        <v>45525</v>
      </c>
      <c r="E474" s="21" t="s">
        <v>37</v>
      </c>
      <c r="F474" s="19" t="s">
        <v>38</v>
      </c>
      <c r="G474" s="19" t="s">
        <v>358</v>
      </c>
      <c r="H474" s="19">
        <v>62.5</v>
      </c>
      <c r="I474" s="51">
        <v>3625</v>
      </c>
      <c r="J474" s="52"/>
      <c r="K474" s="45"/>
      <c r="L474" s="19"/>
      <c r="M474" s="45"/>
      <c r="N474" s="48"/>
      <c r="O474" s="49">
        <f t="shared" si="250"/>
        <v>3625</v>
      </c>
      <c r="P474" s="53"/>
      <c r="Q474" s="53"/>
      <c r="R474" s="76">
        <f t="shared" si="234"/>
        <v>2974.63607594937</v>
      </c>
      <c r="S474" s="76"/>
      <c r="T474" s="77">
        <f t="shared" si="235"/>
        <v>4.11392405063291</v>
      </c>
      <c r="U474" s="76">
        <v>30</v>
      </c>
      <c r="V474" s="76"/>
      <c r="W474" s="78">
        <f t="shared" si="247"/>
        <v>3008.75</v>
      </c>
      <c r="X474" s="79">
        <f t="shared" si="236"/>
        <v>57.9838607594937</v>
      </c>
      <c r="Y474" s="79"/>
      <c r="Z474" s="79"/>
      <c r="AA474" s="79">
        <f t="shared" si="233"/>
        <v>57.9838607594937</v>
      </c>
      <c r="AB474" s="90">
        <v>7.15</v>
      </c>
      <c r="AC474" s="76">
        <f t="shared" si="244"/>
        <v>414.58460443038</v>
      </c>
      <c r="AD474" s="76">
        <f t="shared" si="245"/>
        <v>3423.33460443038</v>
      </c>
      <c r="AE474" s="76">
        <f t="shared" si="246"/>
        <v>201.66539556962</v>
      </c>
    </row>
    <row r="475" customFormat="1" spans="1:31">
      <c r="A475" s="18"/>
      <c r="B475" s="19"/>
      <c r="C475" s="20">
        <v>240816000040</v>
      </c>
      <c r="D475" s="21">
        <v>45525</v>
      </c>
      <c r="E475" s="21" t="s">
        <v>44</v>
      </c>
      <c r="F475" s="19" t="s">
        <v>45</v>
      </c>
      <c r="G475" s="19" t="s">
        <v>359</v>
      </c>
      <c r="H475" s="19">
        <v>0.5</v>
      </c>
      <c r="I475" s="49"/>
      <c r="J475" s="44">
        <v>17319</v>
      </c>
      <c r="K475" s="45"/>
      <c r="L475" s="46">
        <f>SUM(J475/M475)</f>
        <v>1640.05681818182</v>
      </c>
      <c r="M475" s="47">
        <v>10.56</v>
      </c>
      <c r="N475" s="48">
        <v>7.15</v>
      </c>
      <c r="O475" s="49">
        <f t="shared" ref="O475:O480" si="251">SUM(M475*N475)</f>
        <v>75.504</v>
      </c>
      <c r="P475" s="53"/>
      <c r="Q475" s="53"/>
      <c r="R475" s="76">
        <f t="shared" si="234"/>
        <v>23.7970886075949</v>
      </c>
      <c r="S475" s="76"/>
      <c r="T475" s="77">
        <f t="shared" si="235"/>
        <v>0.0329113924050633</v>
      </c>
      <c r="U475" s="76"/>
      <c r="V475" s="76"/>
      <c r="W475" s="78">
        <f t="shared" si="247"/>
        <v>23.83</v>
      </c>
      <c r="X475" s="79">
        <f t="shared" si="236"/>
        <v>0.463870886075949</v>
      </c>
      <c r="Y475" s="79"/>
      <c r="Z475" s="79"/>
      <c r="AA475" s="79">
        <f t="shared" si="233"/>
        <v>0.463870886075949</v>
      </c>
      <c r="AB475" s="90">
        <v>7.15</v>
      </c>
      <c r="AC475" s="76">
        <f t="shared" si="244"/>
        <v>3.31667683544304</v>
      </c>
      <c r="AD475" s="76">
        <f t="shared" si="245"/>
        <v>27.146676835443</v>
      </c>
      <c r="AE475" s="76">
        <f t="shared" ref="AE475:AE506" si="252">SUM(O475-AD475)</f>
        <v>48.357323164557</v>
      </c>
    </row>
    <row r="476" customFormat="1" spans="1:31">
      <c r="A476" s="18"/>
      <c r="B476" s="19"/>
      <c r="C476" s="20">
        <v>240816000043</v>
      </c>
      <c r="D476" s="21">
        <v>45525</v>
      </c>
      <c r="E476" s="21" t="s">
        <v>57</v>
      </c>
      <c r="F476" s="19" t="s">
        <v>57</v>
      </c>
      <c r="G476" s="19" t="s">
        <v>150</v>
      </c>
      <c r="H476" s="19">
        <v>217</v>
      </c>
      <c r="I476" s="51">
        <v>11876.5</v>
      </c>
      <c r="J476" s="52"/>
      <c r="K476" s="45"/>
      <c r="L476" s="19"/>
      <c r="M476" s="45"/>
      <c r="N476" s="48"/>
      <c r="O476" s="49">
        <f t="shared" si="250"/>
        <v>11876.5</v>
      </c>
      <c r="P476" s="53"/>
      <c r="Q476" s="53"/>
      <c r="R476" s="76">
        <f t="shared" si="234"/>
        <v>10327.9364556962</v>
      </c>
      <c r="S476" s="76"/>
      <c r="T476" s="77">
        <f t="shared" si="235"/>
        <v>14.2835443037975</v>
      </c>
      <c r="U476" s="76"/>
      <c r="V476" s="76"/>
      <c r="W476" s="78">
        <f t="shared" si="247"/>
        <v>10342.22</v>
      </c>
      <c r="X476" s="79">
        <f t="shared" si="236"/>
        <v>201.319964556962</v>
      </c>
      <c r="Y476" s="79"/>
      <c r="Z476" s="79"/>
      <c r="AA476" s="79">
        <f t="shared" si="233"/>
        <v>201.319964556962</v>
      </c>
      <c r="AB476" s="90">
        <v>7.15</v>
      </c>
      <c r="AC476" s="76">
        <f t="shared" ref="AC476:AC507" si="253">SUM(AA476*AB476)</f>
        <v>1439.43774658228</v>
      </c>
      <c r="AD476" s="76">
        <f t="shared" ref="AD476:AD507" si="254">SUM(W476+AC476)</f>
        <v>11781.6577465823</v>
      </c>
      <c r="AE476" s="76">
        <f t="shared" si="252"/>
        <v>94.8422534177225</v>
      </c>
    </row>
    <row r="477" customFormat="1" spans="1:31">
      <c r="A477" s="18"/>
      <c r="B477" s="19"/>
      <c r="C477" s="20">
        <v>240816000044</v>
      </c>
      <c r="D477" s="21">
        <v>45525</v>
      </c>
      <c r="E477" s="21" t="s">
        <v>57</v>
      </c>
      <c r="F477" s="19" t="s">
        <v>57</v>
      </c>
      <c r="G477" s="19" t="s">
        <v>217</v>
      </c>
      <c r="H477" s="19">
        <v>100.5</v>
      </c>
      <c r="I477" s="51">
        <v>9346.5</v>
      </c>
      <c r="J477" s="52"/>
      <c r="K477" s="45"/>
      <c r="L477" s="19"/>
      <c r="M477" s="45"/>
      <c r="N477" s="48"/>
      <c r="O477" s="49">
        <f t="shared" si="250"/>
        <v>9346.5</v>
      </c>
      <c r="P477" s="53"/>
      <c r="Q477" s="53"/>
      <c r="R477" s="76">
        <f t="shared" si="234"/>
        <v>4783.21481012658</v>
      </c>
      <c r="S477" s="76"/>
      <c r="T477" s="77">
        <f t="shared" si="235"/>
        <v>6.61518987341772</v>
      </c>
      <c r="U477" s="76"/>
      <c r="V477" s="76"/>
      <c r="W477" s="78">
        <f t="shared" si="247"/>
        <v>4789.83</v>
      </c>
      <c r="X477" s="79">
        <f t="shared" si="236"/>
        <v>93.2380481012658</v>
      </c>
      <c r="Y477" s="79"/>
      <c r="Z477" s="79"/>
      <c r="AA477" s="79">
        <f t="shared" ref="AA477:AA508" si="255">SUM(X477:Z477)</f>
        <v>93.2380481012658</v>
      </c>
      <c r="AB477" s="90">
        <v>7.15</v>
      </c>
      <c r="AC477" s="76">
        <f t="shared" si="253"/>
        <v>666.652043924051</v>
      </c>
      <c r="AD477" s="76">
        <f t="shared" si="254"/>
        <v>5456.48204392405</v>
      </c>
      <c r="AE477" s="76">
        <f t="shared" si="252"/>
        <v>3890.01795607595</v>
      </c>
    </row>
    <row r="478" customFormat="1" spans="1:31">
      <c r="A478" s="18"/>
      <c r="B478" s="19"/>
      <c r="C478" s="20">
        <v>240819000036</v>
      </c>
      <c r="D478" s="21">
        <v>45525</v>
      </c>
      <c r="E478" s="21" t="s">
        <v>57</v>
      </c>
      <c r="F478" s="19" t="s">
        <v>57</v>
      </c>
      <c r="G478" s="19" t="s">
        <v>155</v>
      </c>
      <c r="H478" s="19">
        <v>477.5</v>
      </c>
      <c r="I478" s="51">
        <v>24830</v>
      </c>
      <c r="J478" s="52"/>
      <c r="K478" s="45"/>
      <c r="L478" s="19"/>
      <c r="M478" s="45"/>
      <c r="N478" s="48"/>
      <c r="O478" s="49">
        <f t="shared" si="250"/>
        <v>24830</v>
      </c>
      <c r="P478" s="54"/>
      <c r="Q478" s="54"/>
      <c r="R478" s="76">
        <f t="shared" si="234"/>
        <v>22726.2196202532</v>
      </c>
      <c r="S478" s="76"/>
      <c r="T478" s="77">
        <f t="shared" si="235"/>
        <v>31.4303797468354</v>
      </c>
      <c r="U478" s="76"/>
      <c r="V478" s="76"/>
      <c r="W478" s="78">
        <f t="shared" ref="W478:W509" si="256">SUM(R478:V478)</f>
        <v>22757.65</v>
      </c>
      <c r="X478" s="79">
        <f t="shared" si="236"/>
        <v>442.996696202532</v>
      </c>
      <c r="Y478" s="79"/>
      <c r="Z478" s="79"/>
      <c r="AA478" s="79">
        <f t="shared" si="255"/>
        <v>442.996696202532</v>
      </c>
      <c r="AB478" s="90">
        <v>7.15</v>
      </c>
      <c r="AC478" s="76">
        <f t="shared" si="253"/>
        <v>3167.4263778481</v>
      </c>
      <c r="AD478" s="76">
        <f t="shared" si="254"/>
        <v>25925.0763778481</v>
      </c>
      <c r="AE478" s="76">
        <f t="shared" si="252"/>
        <v>-1095.0763778481</v>
      </c>
    </row>
    <row r="479" customFormat="1" spans="1:31">
      <c r="A479" s="18" t="s">
        <v>360</v>
      </c>
      <c r="B479" s="19" t="s">
        <v>361</v>
      </c>
      <c r="C479" s="20">
        <v>240808000003</v>
      </c>
      <c r="D479" s="21">
        <v>45524</v>
      </c>
      <c r="E479" s="21" t="s">
        <v>41</v>
      </c>
      <c r="F479" s="19" t="s">
        <v>42</v>
      </c>
      <c r="G479" s="19" t="s">
        <v>93</v>
      </c>
      <c r="H479" s="19">
        <v>85</v>
      </c>
      <c r="I479" s="43"/>
      <c r="J479" s="52"/>
      <c r="K479" s="47">
        <v>636</v>
      </c>
      <c r="L479" s="19"/>
      <c r="M479" s="47">
        <v>636</v>
      </c>
      <c r="N479" s="48">
        <v>7.15</v>
      </c>
      <c r="O479" s="49">
        <f t="shared" si="251"/>
        <v>4547.4</v>
      </c>
      <c r="P479" s="50">
        <f>SUM(O479:O548)</f>
        <v>163619.5455143</v>
      </c>
      <c r="Q479" s="50" t="s">
        <v>40</v>
      </c>
      <c r="R479" s="76">
        <f>SUM(112742/2770)*H479</f>
        <v>3459.59205776173</v>
      </c>
      <c r="S479" s="77">
        <v>41</v>
      </c>
      <c r="T479" s="77">
        <f>SUM(205.35/2770)*H479</f>
        <v>6.30135379061372</v>
      </c>
      <c r="U479" s="76"/>
      <c r="V479" s="76"/>
      <c r="W479" s="78">
        <f t="shared" si="256"/>
        <v>3506.89341155235</v>
      </c>
      <c r="X479" s="79">
        <f>SUM(2109.82/2770)*H479</f>
        <v>64.7417689530686</v>
      </c>
      <c r="Y479" s="79"/>
      <c r="Z479" s="79"/>
      <c r="AA479" s="79">
        <f t="shared" si="255"/>
        <v>64.7417689530686</v>
      </c>
      <c r="AB479" s="90">
        <v>7.15</v>
      </c>
      <c r="AC479" s="76">
        <f t="shared" si="253"/>
        <v>462.903648014441</v>
      </c>
      <c r="AD479" s="76">
        <f t="shared" si="254"/>
        <v>3969.79705956679</v>
      </c>
      <c r="AE479" s="76">
        <f t="shared" si="252"/>
        <v>577.602940433213</v>
      </c>
    </row>
    <row r="480" customFormat="1" spans="1:31">
      <c r="A480" s="18"/>
      <c r="B480" s="19"/>
      <c r="C480" s="20">
        <v>240808000021</v>
      </c>
      <c r="D480" s="21">
        <v>45524</v>
      </c>
      <c r="E480" s="21" t="s">
        <v>41</v>
      </c>
      <c r="F480" s="19" t="s">
        <v>42</v>
      </c>
      <c r="G480" s="19" t="s">
        <v>362</v>
      </c>
      <c r="H480" s="19">
        <v>26.5</v>
      </c>
      <c r="I480" s="43"/>
      <c r="J480" s="44">
        <v>364572</v>
      </c>
      <c r="K480" s="45"/>
      <c r="L480" s="46">
        <f>SUM(J480/M480)</f>
        <v>1630.24638912489</v>
      </c>
      <c r="M480" s="47">
        <v>223.63</v>
      </c>
      <c r="N480" s="48">
        <v>7.15</v>
      </c>
      <c r="O480" s="49">
        <f t="shared" si="251"/>
        <v>1598.9545</v>
      </c>
      <c r="P480" s="53"/>
      <c r="Q480" s="53"/>
      <c r="R480" s="76">
        <f t="shared" ref="R480:R511" si="257">SUM(112742/2770)*H480</f>
        <v>1078.57870036101</v>
      </c>
      <c r="S480" s="77"/>
      <c r="T480" s="77">
        <f t="shared" ref="T480:T511" si="258">SUM(205.35/2770)*H480</f>
        <v>1.96453971119134</v>
      </c>
      <c r="U480" s="76"/>
      <c r="V480" s="76"/>
      <c r="W480" s="78">
        <f t="shared" si="256"/>
        <v>1080.5432400722</v>
      </c>
      <c r="X480" s="79">
        <f t="shared" ref="X480:X511" si="259">SUM(2109.82/2770)*H480</f>
        <v>20.1841985559567</v>
      </c>
      <c r="Y480" s="79"/>
      <c r="Z480" s="79"/>
      <c r="AA480" s="79">
        <f t="shared" si="255"/>
        <v>20.1841985559567</v>
      </c>
      <c r="AB480" s="90">
        <v>7.15</v>
      </c>
      <c r="AC480" s="76">
        <f t="shared" si="253"/>
        <v>144.31701967509</v>
      </c>
      <c r="AD480" s="76">
        <f t="shared" si="254"/>
        <v>1224.86025974729</v>
      </c>
      <c r="AE480" s="76">
        <f t="shared" si="252"/>
        <v>374.094240252708</v>
      </c>
    </row>
    <row r="481" customFormat="1" spans="1:31">
      <c r="A481" s="18"/>
      <c r="B481" s="19"/>
      <c r="C481" s="20">
        <v>240808000029</v>
      </c>
      <c r="D481" s="21">
        <v>45524</v>
      </c>
      <c r="E481" s="21" t="s">
        <v>41</v>
      </c>
      <c r="F481" s="19" t="s">
        <v>42</v>
      </c>
      <c r="G481" s="19" t="s">
        <v>43</v>
      </c>
      <c r="H481" s="19">
        <v>7.5</v>
      </c>
      <c r="I481" s="51">
        <v>397.5</v>
      </c>
      <c r="J481" s="52"/>
      <c r="K481" s="45"/>
      <c r="L481" s="19"/>
      <c r="M481" s="45"/>
      <c r="N481" s="48"/>
      <c r="O481" s="49">
        <f t="shared" ref="O481:O486" si="260">SUM(I481)</f>
        <v>397.5</v>
      </c>
      <c r="P481" s="53"/>
      <c r="Q481" s="53"/>
      <c r="R481" s="76">
        <f t="shared" si="257"/>
        <v>305.258122743682</v>
      </c>
      <c r="S481" s="77"/>
      <c r="T481" s="77">
        <f t="shared" si="258"/>
        <v>0.556001805054152</v>
      </c>
      <c r="U481" s="76"/>
      <c r="V481" s="76"/>
      <c r="W481" s="78">
        <f t="shared" si="256"/>
        <v>305.814124548737</v>
      </c>
      <c r="X481" s="79">
        <f t="shared" si="259"/>
        <v>5.71250902527076</v>
      </c>
      <c r="Y481" s="79"/>
      <c r="Z481" s="79"/>
      <c r="AA481" s="79">
        <f t="shared" si="255"/>
        <v>5.71250902527076</v>
      </c>
      <c r="AB481" s="90">
        <v>7.15</v>
      </c>
      <c r="AC481" s="76">
        <f t="shared" si="253"/>
        <v>40.8444395306859</v>
      </c>
      <c r="AD481" s="76">
        <f t="shared" si="254"/>
        <v>346.658564079422</v>
      </c>
      <c r="AE481" s="76">
        <f t="shared" si="252"/>
        <v>50.8414359205776</v>
      </c>
    </row>
    <row r="482" customFormat="1" spans="1:31">
      <c r="A482" s="18"/>
      <c r="B482" s="19"/>
      <c r="C482" s="20">
        <v>240809000019</v>
      </c>
      <c r="D482" s="21">
        <v>45524</v>
      </c>
      <c r="E482" s="21" t="s">
        <v>37</v>
      </c>
      <c r="F482" s="19" t="s">
        <v>38</v>
      </c>
      <c r="G482" s="19" t="s">
        <v>65</v>
      </c>
      <c r="H482" s="19">
        <v>28.5</v>
      </c>
      <c r="I482" s="51">
        <v>1596</v>
      </c>
      <c r="J482" s="52"/>
      <c r="K482" s="45"/>
      <c r="L482" s="19"/>
      <c r="M482" s="45"/>
      <c r="N482" s="48"/>
      <c r="O482" s="49">
        <f t="shared" si="260"/>
        <v>1596</v>
      </c>
      <c r="P482" s="53"/>
      <c r="Q482" s="53"/>
      <c r="R482" s="76">
        <f t="shared" si="257"/>
        <v>1159.98086642599</v>
      </c>
      <c r="S482" s="77"/>
      <c r="T482" s="77">
        <f t="shared" si="258"/>
        <v>2.11280685920578</v>
      </c>
      <c r="U482" s="76"/>
      <c r="V482" s="76"/>
      <c r="W482" s="78">
        <f t="shared" si="256"/>
        <v>1162.0936732852</v>
      </c>
      <c r="X482" s="79">
        <f t="shared" si="259"/>
        <v>21.7075342960289</v>
      </c>
      <c r="Y482" s="79"/>
      <c r="Z482" s="79"/>
      <c r="AA482" s="79">
        <f t="shared" si="255"/>
        <v>21.7075342960289</v>
      </c>
      <c r="AB482" s="90">
        <v>7.15</v>
      </c>
      <c r="AC482" s="76">
        <f t="shared" si="253"/>
        <v>155.208870216607</v>
      </c>
      <c r="AD482" s="76">
        <f t="shared" si="254"/>
        <v>1317.30254350181</v>
      </c>
      <c r="AE482" s="76">
        <f t="shared" si="252"/>
        <v>278.697456498195</v>
      </c>
    </row>
    <row r="483" customFormat="1" spans="1:31">
      <c r="A483" s="18"/>
      <c r="B483" s="19"/>
      <c r="C483" s="20">
        <v>240809000028</v>
      </c>
      <c r="D483" s="21">
        <v>45524</v>
      </c>
      <c r="E483" s="21" t="s">
        <v>37</v>
      </c>
      <c r="F483" s="19" t="s">
        <v>38</v>
      </c>
      <c r="G483" s="19" t="s">
        <v>71</v>
      </c>
      <c r="H483" s="19">
        <v>10.5</v>
      </c>
      <c r="I483" s="49"/>
      <c r="J483" s="44">
        <v>137514</v>
      </c>
      <c r="K483" s="45"/>
      <c r="L483" s="46">
        <f>SUM(J483/M483)</f>
        <v>1640</v>
      </c>
      <c r="M483" s="47">
        <v>83.85</v>
      </c>
      <c r="N483" s="48">
        <v>7.15</v>
      </c>
      <c r="O483" s="49">
        <f>SUM(M483*N483)</f>
        <v>599.5275</v>
      </c>
      <c r="P483" s="53"/>
      <c r="Q483" s="53"/>
      <c r="R483" s="76">
        <f t="shared" si="257"/>
        <v>427.361371841155</v>
      </c>
      <c r="S483" s="77"/>
      <c r="T483" s="77">
        <f t="shared" si="258"/>
        <v>0.778402527075812</v>
      </c>
      <c r="U483" s="76"/>
      <c r="V483" s="76"/>
      <c r="W483" s="78">
        <f t="shared" si="256"/>
        <v>428.139774368231</v>
      </c>
      <c r="X483" s="79">
        <f t="shared" si="259"/>
        <v>7.99751263537906</v>
      </c>
      <c r="Y483" s="79"/>
      <c r="Z483" s="79"/>
      <c r="AA483" s="79">
        <f t="shared" si="255"/>
        <v>7.99751263537906</v>
      </c>
      <c r="AB483" s="90">
        <v>7.15</v>
      </c>
      <c r="AC483" s="76">
        <f t="shared" si="253"/>
        <v>57.1822153429603</v>
      </c>
      <c r="AD483" s="76">
        <f t="shared" si="254"/>
        <v>485.321989711191</v>
      </c>
      <c r="AE483" s="76">
        <f t="shared" si="252"/>
        <v>114.205510288809</v>
      </c>
    </row>
    <row r="484" customFormat="1" spans="1:31">
      <c r="A484" s="18"/>
      <c r="B484" s="19"/>
      <c r="C484" s="20">
        <v>240811000007</v>
      </c>
      <c r="D484" s="21">
        <v>45524</v>
      </c>
      <c r="E484" s="21" t="s">
        <v>41</v>
      </c>
      <c r="F484" s="19" t="s">
        <v>42</v>
      </c>
      <c r="G484" s="19" t="s">
        <v>363</v>
      </c>
      <c r="H484" s="19">
        <v>0.58</v>
      </c>
      <c r="I484" s="51">
        <v>69.3</v>
      </c>
      <c r="J484" s="52"/>
      <c r="K484" s="45"/>
      <c r="L484" s="19"/>
      <c r="M484" s="45"/>
      <c r="N484" s="48"/>
      <c r="O484" s="49">
        <f t="shared" si="260"/>
        <v>69.3</v>
      </c>
      <c r="P484" s="53"/>
      <c r="Q484" s="53"/>
      <c r="R484" s="76">
        <f t="shared" si="257"/>
        <v>23.6066281588448</v>
      </c>
      <c r="S484" s="77"/>
      <c r="T484" s="77">
        <f t="shared" si="258"/>
        <v>0.0429974729241877</v>
      </c>
      <c r="U484" s="76"/>
      <c r="V484" s="76"/>
      <c r="W484" s="78">
        <f t="shared" si="256"/>
        <v>23.649625631769</v>
      </c>
      <c r="X484" s="79">
        <f t="shared" si="259"/>
        <v>0.441767364620939</v>
      </c>
      <c r="Y484" s="79"/>
      <c r="Z484" s="79"/>
      <c r="AA484" s="79">
        <f t="shared" si="255"/>
        <v>0.441767364620939</v>
      </c>
      <c r="AB484" s="90">
        <v>7.15</v>
      </c>
      <c r="AC484" s="76">
        <f t="shared" si="253"/>
        <v>3.15863665703971</v>
      </c>
      <c r="AD484" s="76">
        <f t="shared" si="254"/>
        <v>26.8082622888087</v>
      </c>
      <c r="AE484" s="76">
        <f t="shared" si="252"/>
        <v>42.4917377111913</v>
      </c>
    </row>
    <row r="485" customFormat="1" spans="1:31">
      <c r="A485" s="18"/>
      <c r="B485" s="19"/>
      <c r="C485" s="20">
        <v>240812000005</v>
      </c>
      <c r="D485" s="21">
        <v>45524</v>
      </c>
      <c r="E485" s="21" t="s">
        <v>37</v>
      </c>
      <c r="F485" s="19" t="s">
        <v>38</v>
      </c>
      <c r="G485" s="19" t="s">
        <v>87</v>
      </c>
      <c r="H485" s="19">
        <v>10</v>
      </c>
      <c r="I485" s="51">
        <v>650</v>
      </c>
      <c r="J485" s="52"/>
      <c r="K485" s="45"/>
      <c r="L485" s="19"/>
      <c r="M485" s="45"/>
      <c r="N485" s="48"/>
      <c r="O485" s="49">
        <f t="shared" si="260"/>
        <v>650</v>
      </c>
      <c r="P485" s="53"/>
      <c r="Q485" s="53"/>
      <c r="R485" s="76">
        <f t="shared" si="257"/>
        <v>407.01083032491</v>
      </c>
      <c r="S485" s="77"/>
      <c r="T485" s="77">
        <f t="shared" si="258"/>
        <v>0.741335740072202</v>
      </c>
      <c r="U485" s="76"/>
      <c r="V485" s="76"/>
      <c r="W485" s="78">
        <f t="shared" si="256"/>
        <v>407.752166064982</v>
      </c>
      <c r="X485" s="79">
        <f t="shared" si="259"/>
        <v>7.61667870036101</v>
      </c>
      <c r="Y485" s="79"/>
      <c r="Z485" s="79"/>
      <c r="AA485" s="79">
        <f t="shared" si="255"/>
        <v>7.61667870036101</v>
      </c>
      <c r="AB485" s="90">
        <v>7.15</v>
      </c>
      <c r="AC485" s="76">
        <f t="shared" si="253"/>
        <v>54.4592527075812</v>
      </c>
      <c r="AD485" s="76">
        <f t="shared" si="254"/>
        <v>462.211418772563</v>
      </c>
      <c r="AE485" s="76">
        <f t="shared" si="252"/>
        <v>187.788581227437</v>
      </c>
    </row>
    <row r="486" customFormat="1" spans="1:31">
      <c r="A486" s="18"/>
      <c r="B486" s="19"/>
      <c r="C486" s="20">
        <v>240812000026</v>
      </c>
      <c r="D486" s="21">
        <v>45524</v>
      </c>
      <c r="E486" s="21" t="s">
        <v>37</v>
      </c>
      <c r="F486" s="19" t="s">
        <v>38</v>
      </c>
      <c r="G486" s="19" t="s">
        <v>364</v>
      </c>
      <c r="H486" s="19">
        <v>11.5</v>
      </c>
      <c r="I486" s="51">
        <v>661.5</v>
      </c>
      <c r="J486" s="52"/>
      <c r="K486" s="45"/>
      <c r="L486" s="19"/>
      <c r="M486" s="45"/>
      <c r="N486" s="48"/>
      <c r="O486" s="49">
        <f t="shared" si="260"/>
        <v>661.5</v>
      </c>
      <c r="P486" s="53"/>
      <c r="Q486" s="53"/>
      <c r="R486" s="76">
        <f t="shared" si="257"/>
        <v>468.062454873646</v>
      </c>
      <c r="S486" s="77"/>
      <c r="T486" s="77">
        <f t="shared" si="258"/>
        <v>0.852536101083032</v>
      </c>
      <c r="U486" s="76"/>
      <c r="V486" s="76"/>
      <c r="W486" s="78">
        <f t="shared" si="256"/>
        <v>468.914990974729</v>
      </c>
      <c r="X486" s="79">
        <f t="shared" si="259"/>
        <v>8.75918050541516</v>
      </c>
      <c r="Y486" s="79"/>
      <c r="Z486" s="79"/>
      <c r="AA486" s="79">
        <f t="shared" si="255"/>
        <v>8.75918050541516</v>
      </c>
      <c r="AB486" s="90">
        <v>7.15</v>
      </c>
      <c r="AC486" s="76">
        <f t="shared" si="253"/>
        <v>62.6281406137184</v>
      </c>
      <c r="AD486" s="76">
        <f t="shared" si="254"/>
        <v>531.543131588448</v>
      </c>
      <c r="AE486" s="76">
        <f t="shared" si="252"/>
        <v>129.956868411552</v>
      </c>
    </row>
    <row r="487" customFormat="1" spans="1:31">
      <c r="A487" s="18"/>
      <c r="B487" s="19"/>
      <c r="C487" s="20">
        <v>240812000029</v>
      </c>
      <c r="D487" s="21">
        <v>45524</v>
      </c>
      <c r="E487" s="21" t="s">
        <v>37</v>
      </c>
      <c r="F487" s="19" t="s">
        <v>38</v>
      </c>
      <c r="G487" s="19" t="s">
        <v>50</v>
      </c>
      <c r="H487" s="19">
        <v>43</v>
      </c>
      <c r="I487" s="43"/>
      <c r="J487" s="44">
        <v>528510</v>
      </c>
      <c r="K487" s="45"/>
      <c r="L487" s="46">
        <f t="shared" ref="L487:L492" si="261">SUM(J487/M487)</f>
        <v>1694.59407464409</v>
      </c>
      <c r="M487" s="47">
        <v>311.88</v>
      </c>
      <c r="N487" s="48">
        <v>7.15</v>
      </c>
      <c r="O487" s="49">
        <f t="shared" ref="O487:O492" si="262">SUM(M487*N487)</f>
        <v>2229.942</v>
      </c>
      <c r="P487" s="53"/>
      <c r="Q487" s="53"/>
      <c r="R487" s="76">
        <f t="shared" si="257"/>
        <v>1750.14657039711</v>
      </c>
      <c r="S487" s="77"/>
      <c r="T487" s="77">
        <f t="shared" si="258"/>
        <v>3.18774368231047</v>
      </c>
      <c r="U487" s="76"/>
      <c r="V487" s="77">
        <v>80</v>
      </c>
      <c r="W487" s="78">
        <f t="shared" si="256"/>
        <v>1833.33431407942</v>
      </c>
      <c r="X487" s="79">
        <f t="shared" si="259"/>
        <v>32.7517184115523</v>
      </c>
      <c r="Y487" s="79"/>
      <c r="Z487" s="79"/>
      <c r="AA487" s="79">
        <f t="shared" si="255"/>
        <v>32.7517184115523</v>
      </c>
      <c r="AB487" s="90">
        <v>7.15</v>
      </c>
      <c r="AC487" s="76">
        <f t="shared" si="253"/>
        <v>234.174786642599</v>
      </c>
      <c r="AD487" s="76">
        <f t="shared" si="254"/>
        <v>2067.50910072202</v>
      </c>
      <c r="AE487" s="76">
        <f t="shared" si="252"/>
        <v>162.432899277978</v>
      </c>
    </row>
    <row r="488" customFormat="1" spans="1:31">
      <c r="A488" s="18"/>
      <c r="B488" s="19"/>
      <c r="C488" s="20">
        <v>240812000039</v>
      </c>
      <c r="D488" s="21">
        <v>45524</v>
      </c>
      <c r="E488" s="21" t="s">
        <v>41</v>
      </c>
      <c r="F488" s="19" t="s">
        <v>42</v>
      </c>
      <c r="G488" s="19" t="s">
        <v>365</v>
      </c>
      <c r="H488" s="19">
        <v>6</v>
      </c>
      <c r="I488" s="51">
        <v>348</v>
      </c>
      <c r="J488" s="52"/>
      <c r="K488" s="45"/>
      <c r="L488" s="19"/>
      <c r="M488" s="45"/>
      <c r="N488" s="48"/>
      <c r="O488" s="49">
        <f t="shared" ref="O488:O491" si="263">SUM(I488)</f>
        <v>348</v>
      </c>
      <c r="P488" s="53"/>
      <c r="Q488" s="53"/>
      <c r="R488" s="76">
        <f t="shared" si="257"/>
        <v>244.206498194946</v>
      </c>
      <c r="S488" s="77"/>
      <c r="T488" s="77">
        <f t="shared" si="258"/>
        <v>0.444801444043321</v>
      </c>
      <c r="U488" s="76"/>
      <c r="V488" s="76"/>
      <c r="W488" s="78">
        <f t="shared" si="256"/>
        <v>244.651299638989</v>
      </c>
      <c r="X488" s="79">
        <f t="shared" si="259"/>
        <v>4.57000722021661</v>
      </c>
      <c r="Y488" s="79"/>
      <c r="Z488" s="79"/>
      <c r="AA488" s="79">
        <f t="shared" si="255"/>
        <v>4.57000722021661</v>
      </c>
      <c r="AB488" s="90">
        <v>7.15</v>
      </c>
      <c r="AC488" s="76">
        <f t="shared" si="253"/>
        <v>32.6755516245487</v>
      </c>
      <c r="AD488" s="76">
        <f t="shared" si="254"/>
        <v>277.326851263538</v>
      </c>
      <c r="AE488" s="76">
        <f t="shared" si="252"/>
        <v>70.6731487364621</v>
      </c>
    </row>
    <row r="489" customFormat="1" spans="1:31">
      <c r="A489" s="18"/>
      <c r="B489" s="19"/>
      <c r="C489" s="20">
        <v>240812000040</v>
      </c>
      <c r="D489" s="21">
        <v>45524</v>
      </c>
      <c r="E489" s="21" t="s">
        <v>37</v>
      </c>
      <c r="F489" s="19" t="s">
        <v>214</v>
      </c>
      <c r="G489" s="19" t="s">
        <v>214</v>
      </c>
      <c r="H489" s="19">
        <v>2</v>
      </c>
      <c r="I489" s="49"/>
      <c r="J489" s="44">
        <v>30832</v>
      </c>
      <c r="K489" s="45"/>
      <c r="L489" s="46">
        <f t="shared" si="261"/>
        <v>1640</v>
      </c>
      <c r="M489" s="47">
        <v>18.8</v>
      </c>
      <c r="N489" s="48">
        <v>7.15</v>
      </c>
      <c r="O489" s="49">
        <f t="shared" si="262"/>
        <v>134.42</v>
      </c>
      <c r="P489" s="53"/>
      <c r="Q489" s="53"/>
      <c r="R489" s="76">
        <f t="shared" si="257"/>
        <v>81.402166064982</v>
      </c>
      <c r="S489" s="77"/>
      <c r="T489" s="77">
        <f t="shared" si="258"/>
        <v>0.14826714801444</v>
      </c>
      <c r="U489" s="76"/>
      <c r="V489" s="76"/>
      <c r="W489" s="78">
        <f t="shared" si="256"/>
        <v>81.5504332129964</v>
      </c>
      <c r="X489" s="79">
        <f t="shared" si="259"/>
        <v>1.5233357400722</v>
      </c>
      <c r="Y489" s="79"/>
      <c r="Z489" s="79"/>
      <c r="AA489" s="79">
        <f t="shared" si="255"/>
        <v>1.5233357400722</v>
      </c>
      <c r="AB489" s="90">
        <v>7.15</v>
      </c>
      <c r="AC489" s="76">
        <f t="shared" si="253"/>
        <v>10.8918505415162</v>
      </c>
      <c r="AD489" s="76">
        <f t="shared" si="254"/>
        <v>92.4422837545126</v>
      </c>
      <c r="AE489" s="76">
        <f t="shared" si="252"/>
        <v>41.9777162454873</v>
      </c>
    </row>
    <row r="490" customFormat="1" spans="1:31">
      <c r="A490" s="18"/>
      <c r="B490" s="19"/>
      <c r="C490" s="20">
        <v>240812000044</v>
      </c>
      <c r="D490" s="21">
        <v>45524</v>
      </c>
      <c r="E490" s="21" t="s">
        <v>37</v>
      </c>
      <c r="F490" s="19" t="s">
        <v>38</v>
      </c>
      <c r="G490" s="19" t="s">
        <v>257</v>
      </c>
      <c r="H490" s="19">
        <v>6</v>
      </c>
      <c r="I490" s="51">
        <v>348</v>
      </c>
      <c r="J490" s="52"/>
      <c r="K490" s="45"/>
      <c r="L490" s="19"/>
      <c r="M490" s="45"/>
      <c r="N490" s="48"/>
      <c r="O490" s="49">
        <f t="shared" si="263"/>
        <v>348</v>
      </c>
      <c r="P490" s="53"/>
      <c r="Q490" s="53"/>
      <c r="R490" s="76">
        <f t="shared" si="257"/>
        <v>244.206498194946</v>
      </c>
      <c r="S490" s="77"/>
      <c r="T490" s="77">
        <f t="shared" si="258"/>
        <v>0.444801444043321</v>
      </c>
      <c r="U490" s="76"/>
      <c r="V490" s="76"/>
      <c r="W490" s="78">
        <f t="shared" si="256"/>
        <v>244.651299638989</v>
      </c>
      <c r="X490" s="79">
        <f t="shared" si="259"/>
        <v>4.57000722021661</v>
      </c>
      <c r="Y490" s="79"/>
      <c r="Z490" s="79"/>
      <c r="AA490" s="79">
        <f t="shared" si="255"/>
        <v>4.57000722021661</v>
      </c>
      <c r="AB490" s="90">
        <v>7.15</v>
      </c>
      <c r="AC490" s="76">
        <f t="shared" si="253"/>
        <v>32.6755516245487</v>
      </c>
      <c r="AD490" s="76">
        <f t="shared" si="254"/>
        <v>277.326851263538</v>
      </c>
      <c r="AE490" s="76">
        <f t="shared" si="252"/>
        <v>70.6731487364621</v>
      </c>
    </row>
    <row r="491" customFormat="1" spans="1:31">
      <c r="A491" s="18"/>
      <c r="B491" s="19"/>
      <c r="C491" s="20">
        <v>240812000045</v>
      </c>
      <c r="D491" s="21">
        <v>45524</v>
      </c>
      <c r="E491" s="21" t="s">
        <v>57</v>
      </c>
      <c r="F491" s="19" t="s">
        <v>57</v>
      </c>
      <c r="G491" s="19" t="s">
        <v>366</v>
      </c>
      <c r="H491" s="19">
        <v>104.5</v>
      </c>
      <c r="I491" s="51">
        <v>5434</v>
      </c>
      <c r="J491" s="52"/>
      <c r="K491" s="45"/>
      <c r="L491" s="19"/>
      <c r="M491" s="45"/>
      <c r="N491" s="48"/>
      <c r="O491" s="49">
        <f t="shared" si="263"/>
        <v>5434</v>
      </c>
      <c r="P491" s="53"/>
      <c r="Q491" s="53"/>
      <c r="R491" s="76">
        <f t="shared" si="257"/>
        <v>4253.26317689531</v>
      </c>
      <c r="S491" s="77"/>
      <c r="T491" s="77">
        <f t="shared" si="258"/>
        <v>7.74695848375451</v>
      </c>
      <c r="U491" s="76"/>
      <c r="V491" s="76"/>
      <c r="W491" s="78">
        <f t="shared" si="256"/>
        <v>4261.01013537906</v>
      </c>
      <c r="X491" s="79">
        <f t="shared" si="259"/>
        <v>79.5942924187726</v>
      </c>
      <c r="Y491" s="79"/>
      <c r="Z491" s="79"/>
      <c r="AA491" s="79">
        <f t="shared" si="255"/>
        <v>79.5942924187726</v>
      </c>
      <c r="AB491" s="90">
        <v>7.15</v>
      </c>
      <c r="AC491" s="76">
        <f t="shared" si="253"/>
        <v>569.099190794224</v>
      </c>
      <c r="AD491" s="76">
        <f t="shared" si="254"/>
        <v>4830.10932617329</v>
      </c>
      <c r="AE491" s="76">
        <f t="shared" si="252"/>
        <v>603.890673826714</v>
      </c>
    </row>
    <row r="492" customFormat="1" spans="1:31">
      <c r="A492" s="18"/>
      <c r="B492" s="19"/>
      <c r="C492" s="20">
        <v>240812000051</v>
      </c>
      <c r="D492" s="21">
        <v>45524</v>
      </c>
      <c r="E492" s="21" t="s">
        <v>51</v>
      </c>
      <c r="F492" s="19" t="s">
        <v>52</v>
      </c>
      <c r="G492" s="19" t="s">
        <v>171</v>
      </c>
      <c r="H492" s="19">
        <v>107.5</v>
      </c>
      <c r="I492" s="49"/>
      <c r="J492" s="44">
        <v>1570976</v>
      </c>
      <c r="K492" s="45"/>
      <c r="L492" s="46">
        <f t="shared" si="261"/>
        <v>1760</v>
      </c>
      <c r="M492" s="47">
        <v>892.6</v>
      </c>
      <c r="N492" s="48">
        <v>7.15</v>
      </c>
      <c r="O492" s="49">
        <f t="shared" si="262"/>
        <v>6382.09</v>
      </c>
      <c r="P492" s="53"/>
      <c r="Q492" s="53"/>
      <c r="R492" s="76">
        <f t="shared" si="257"/>
        <v>4375.36642599278</v>
      </c>
      <c r="S492" s="77"/>
      <c r="T492" s="77">
        <f t="shared" si="258"/>
        <v>7.96935920577617</v>
      </c>
      <c r="U492" s="77">
        <v>140</v>
      </c>
      <c r="V492" s="76"/>
      <c r="W492" s="78">
        <f t="shared" si="256"/>
        <v>4523.33578519856</v>
      </c>
      <c r="X492" s="79">
        <f t="shared" si="259"/>
        <v>81.8792960288809</v>
      </c>
      <c r="Y492" s="79"/>
      <c r="Z492" s="79"/>
      <c r="AA492" s="79">
        <f t="shared" si="255"/>
        <v>81.8792960288809</v>
      </c>
      <c r="AB492" s="90">
        <v>7.15</v>
      </c>
      <c r="AC492" s="76">
        <f t="shared" si="253"/>
        <v>585.436966606498</v>
      </c>
      <c r="AD492" s="76">
        <f t="shared" si="254"/>
        <v>5108.77275180506</v>
      </c>
      <c r="AE492" s="76">
        <f t="shared" si="252"/>
        <v>1273.31724819495</v>
      </c>
    </row>
    <row r="493" customFormat="1" spans="1:31">
      <c r="A493" s="18"/>
      <c r="B493" s="19"/>
      <c r="C493" s="20">
        <v>240812000058</v>
      </c>
      <c r="D493" s="21">
        <v>45524</v>
      </c>
      <c r="E493" s="21" t="s">
        <v>41</v>
      </c>
      <c r="F493" s="19" t="s">
        <v>42</v>
      </c>
      <c r="G493" s="19" t="s">
        <v>43</v>
      </c>
      <c r="H493" s="19">
        <v>1</v>
      </c>
      <c r="I493" s="51">
        <v>53</v>
      </c>
      <c r="J493" s="52"/>
      <c r="K493" s="45"/>
      <c r="L493" s="19"/>
      <c r="M493" s="45"/>
      <c r="N493" s="48"/>
      <c r="O493" s="49">
        <f t="shared" ref="O493:O497" si="264">SUM(I493)</f>
        <v>53</v>
      </c>
      <c r="P493" s="53"/>
      <c r="Q493" s="53"/>
      <c r="R493" s="76">
        <f t="shared" si="257"/>
        <v>40.701083032491</v>
      </c>
      <c r="S493" s="77"/>
      <c r="T493" s="77">
        <f t="shared" si="258"/>
        <v>0.0741335740072202</v>
      </c>
      <c r="U493" s="76"/>
      <c r="V493" s="76"/>
      <c r="W493" s="78">
        <f t="shared" si="256"/>
        <v>40.7752166064982</v>
      </c>
      <c r="X493" s="79">
        <f t="shared" si="259"/>
        <v>0.761667870036101</v>
      </c>
      <c r="Y493" s="79"/>
      <c r="Z493" s="79"/>
      <c r="AA493" s="79">
        <f t="shared" si="255"/>
        <v>0.761667870036101</v>
      </c>
      <c r="AB493" s="90">
        <v>7.15</v>
      </c>
      <c r="AC493" s="76">
        <f t="shared" si="253"/>
        <v>5.44592527075812</v>
      </c>
      <c r="AD493" s="76">
        <f t="shared" si="254"/>
        <v>46.2211418772563</v>
      </c>
      <c r="AE493" s="76">
        <f t="shared" si="252"/>
        <v>6.77885812274368</v>
      </c>
    </row>
    <row r="494" customFormat="1" spans="1:31">
      <c r="A494" s="18"/>
      <c r="B494" s="19"/>
      <c r="C494" s="20">
        <v>240812000060</v>
      </c>
      <c r="D494" s="21">
        <v>45524</v>
      </c>
      <c r="E494" s="21" t="s">
        <v>37</v>
      </c>
      <c r="F494" s="19" t="s">
        <v>38</v>
      </c>
      <c r="G494" s="19" t="s">
        <v>367</v>
      </c>
      <c r="H494" s="19">
        <v>3.5</v>
      </c>
      <c r="I494" s="51">
        <v>255</v>
      </c>
      <c r="J494" s="52"/>
      <c r="K494" s="45"/>
      <c r="L494" s="19"/>
      <c r="M494" s="45"/>
      <c r="N494" s="48"/>
      <c r="O494" s="49">
        <f t="shared" si="264"/>
        <v>255</v>
      </c>
      <c r="P494" s="53"/>
      <c r="Q494" s="53"/>
      <c r="R494" s="76">
        <f t="shared" si="257"/>
        <v>142.453790613718</v>
      </c>
      <c r="S494" s="77"/>
      <c r="T494" s="77">
        <f t="shared" si="258"/>
        <v>0.259467509025271</v>
      </c>
      <c r="U494" s="76"/>
      <c r="V494" s="76"/>
      <c r="W494" s="78">
        <f t="shared" si="256"/>
        <v>142.713258122744</v>
      </c>
      <c r="X494" s="79">
        <f t="shared" si="259"/>
        <v>2.66583754512635</v>
      </c>
      <c r="Y494" s="79"/>
      <c r="Z494" s="79"/>
      <c r="AA494" s="79">
        <f t="shared" si="255"/>
        <v>2.66583754512635</v>
      </c>
      <c r="AB494" s="90">
        <v>7.15</v>
      </c>
      <c r="AC494" s="76">
        <f t="shared" si="253"/>
        <v>19.0607384476534</v>
      </c>
      <c r="AD494" s="76">
        <f t="shared" si="254"/>
        <v>161.773996570397</v>
      </c>
      <c r="AE494" s="76">
        <f t="shared" si="252"/>
        <v>93.2260034296029</v>
      </c>
    </row>
    <row r="495" customFormat="1" spans="1:31">
      <c r="A495" s="18"/>
      <c r="B495" s="19"/>
      <c r="C495" s="20">
        <v>240812000061</v>
      </c>
      <c r="D495" s="21">
        <v>45524</v>
      </c>
      <c r="E495" s="21" t="s">
        <v>37</v>
      </c>
      <c r="F495" s="19" t="s">
        <v>38</v>
      </c>
      <c r="G495" s="19" t="s">
        <v>54</v>
      </c>
      <c r="H495" s="19">
        <v>6</v>
      </c>
      <c r="I495" s="43"/>
      <c r="J495" s="44">
        <v>88938</v>
      </c>
      <c r="K495" s="45"/>
      <c r="L495" s="46">
        <f t="shared" ref="L495:L498" si="265">SUM(J495/M495)</f>
        <v>1737.74912075029</v>
      </c>
      <c r="M495" s="47">
        <v>51.18</v>
      </c>
      <c r="N495" s="48">
        <v>7.15</v>
      </c>
      <c r="O495" s="49">
        <f t="shared" ref="O495:O498" si="266">SUM(M495*N495)</f>
        <v>365.937</v>
      </c>
      <c r="P495" s="53"/>
      <c r="Q495" s="53"/>
      <c r="R495" s="76">
        <f t="shared" si="257"/>
        <v>244.206498194946</v>
      </c>
      <c r="S495" s="77"/>
      <c r="T495" s="77">
        <f t="shared" si="258"/>
        <v>0.444801444043321</v>
      </c>
      <c r="U495" s="76">
        <v>30</v>
      </c>
      <c r="V495" s="76"/>
      <c r="W495" s="78">
        <f t="shared" si="256"/>
        <v>274.651299638989</v>
      </c>
      <c r="X495" s="79">
        <f t="shared" si="259"/>
        <v>4.57000722021661</v>
      </c>
      <c r="Y495" s="79"/>
      <c r="Z495" s="79"/>
      <c r="AA495" s="79">
        <f t="shared" si="255"/>
        <v>4.57000722021661</v>
      </c>
      <c r="AB495" s="90">
        <v>7.15</v>
      </c>
      <c r="AC495" s="76">
        <f t="shared" si="253"/>
        <v>32.6755516245487</v>
      </c>
      <c r="AD495" s="76">
        <f t="shared" si="254"/>
        <v>307.326851263538</v>
      </c>
      <c r="AE495" s="76">
        <f t="shared" si="252"/>
        <v>58.6101487364621</v>
      </c>
    </row>
    <row r="496" customFormat="1" spans="1:31">
      <c r="A496" s="18"/>
      <c r="B496" s="19"/>
      <c r="C496" s="20">
        <v>240812000062</v>
      </c>
      <c r="D496" s="21">
        <v>45524</v>
      </c>
      <c r="E496" s="21" t="s">
        <v>37</v>
      </c>
      <c r="F496" s="19" t="s">
        <v>38</v>
      </c>
      <c r="G496" s="19" t="s">
        <v>54</v>
      </c>
      <c r="H496" s="19">
        <v>157.5</v>
      </c>
      <c r="I496" s="43"/>
      <c r="J496" s="44">
        <v>2191860</v>
      </c>
      <c r="K496" s="45"/>
      <c r="L496" s="46">
        <f t="shared" si="265"/>
        <v>1737.46165370621</v>
      </c>
      <c r="M496" s="47">
        <v>1261.53</v>
      </c>
      <c r="N496" s="48">
        <v>7.15</v>
      </c>
      <c r="O496" s="49">
        <f t="shared" si="266"/>
        <v>9019.9395</v>
      </c>
      <c r="P496" s="53"/>
      <c r="Q496" s="53"/>
      <c r="R496" s="76">
        <f t="shared" si="257"/>
        <v>6410.42057761733</v>
      </c>
      <c r="S496" s="77"/>
      <c r="T496" s="77">
        <f t="shared" si="258"/>
        <v>11.6760379061372</v>
      </c>
      <c r="U496" s="77">
        <v>200</v>
      </c>
      <c r="V496" s="76"/>
      <c r="W496" s="78">
        <f t="shared" si="256"/>
        <v>6622.09661552347</v>
      </c>
      <c r="X496" s="79">
        <f t="shared" si="259"/>
        <v>119.962689530686</v>
      </c>
      <c r="Y496" s="79"/>
      <c r="Z496" s="79"/>
      <c r="AA496" s="79">
        <f t="shared" si="255"/>
        <v>119.962689530686</v>
      </c>
      <c r="AB496" s="90">
        <v>7.15</v>
      </c>
      <c r="AC496" s="76">
        <f t="shared" si="253"/>
        <v>857.733230144405</v>
      </c>
      <c r="AD496" s="76">
        <f t="shared" si="254"/>
        <v>7479.82984566787</v>
      </c>
      <c r="AE496" s="76">
        <f t="shared" si="252"/>
        <v>1540.10965433213</v>
      </c>
    </row>
    <row r="497" customFormat="1" spans="1:31">
      <c r="A497" s="18"/>
      <c r="B497" s="19"/>
      <c r="C497" s="20">
        <v>240812000066</v>
      </c>
      <c r="D497" s="21">
        <v>45524</v>
      </c>
      <c r="E497" s="21" t="s">
        <v>37</v>
      </c>
      <c r="F497" s="19" t="s">
        <v>38</v>
      </c>
      <c r="G497" s="19" t="s">
        <v>65</v>
      </c>
      <c r="H497" s="19">
        <v>4.5</v>
      </c>
      <c r="I497" s="51">
        <v>261</v>
      </c>
      <c r="J497" s="52"/>
      <c r="K497" s="45"/>
      <c r="L497" s="19"/>
      <c r="M497" s="45"/>
      <c r="N497" s="48"/>
      <c r="O497" s="49">
        <f t="shared" si="264"/>
        <v>261</v>
      </c>
      <c r="P497" s="53"/>
      <c r="Q497" s="53"/>
      <c r="R497" s="76">
        <f t="shared" si="257"/>
        <v>183.154873646209</v>
      </c>
      <c r="S497" s="77"/>
      <c r="T497" s="77">
        <f t="shared" si="258"/>
        <v>0.333601083032491</v>
      </c>
      <c r="U497" s="76"/>
      <c r="V497" s="76"/>
      <c r="W497" s="78">
        <f t="shared" si="256"/>
        <v>183.488474729242</v>
      </c>
      <c r="X497" s="79">
        <f t="shared" si="259"/>
        <v>3.42750541516245</v>
      </c>
      <c r="Y497" s="79"/>
      <c r="Z497" s="79"/>
      <c r="AA497" s="79">
        <f t="shared" si="255"/>
        <v>3.42750541516245</v>
      </c>
      <c r="AB497" s="90">
        <v>7.15</v>
      </c>
      <c r="AC497" s="76">
        <f t="shared" si="253"/>
        <v>24.5066637184116</v>
      </c>
      <c r="AD497" s="76">
        <f t="shared" si="254"/>
        <v>207.995138447653</v>
      </c>
      <c r="AE497" s="76">
        <f t="shared" si="252"/>
        <v>53.0048615523465</v>
      </c>
    </row>
    <row r="498" customFormat="1" spans="1:31">
      <c r="A498" s="18"/>
      <c r="B498" s="19"/>
      <c r="C498" s="20">
        <v>240813000005</v>
      </c>
      <c r="D498" s="21">
        <v>45524</v>
      </c>
      <c r="E498" s="21" t="s">
        <v>41</v>
      </c>
      <c r="F498" s="19" t="s">
        <v>42</v>
      </c>
      <c r="G498" s="19" t="s">
        <v>368</v>
      </c>
      <c r="H498" s="19">
        <v>3</v>
      </c>
      <c r="I498" s="43"/>
      <c r="J498" s="44">
        <v>41724</v>
      </c>
      <c r="K498" s="45"/>
      <c r="L498" s="46">
        <f t="shared" si="265"/>
        <v>1630.48065650645</v>
      </c>
      <c r="M498" s="47">
        <v>25.59</v>
      </c>
      <c r="N498" s="48">
        <v>7.15</v>
      </c>
      <c r="O498" s="49">
        <f t="shared" si="266"/>
        <v>182.9685</v>
      </c>
      <c r="P498" s="53"/>
      <c r="Q498" s="53"/>
      <c r="R498" s="76">
        <f t="shared" si="257"/>
        <v>122.103249097473</v>
      </c>
      <c r="S498" s="77"/>
      <c r="T498" s="77">
        <f t="shared" si="258"/>
        <v>0.222400722021661</v>
      </c>
      <c r="U498" s="76"/>
      <c r="V498" s="76"/>
      <c r="W498" s="78">
        <f t="shared" si="256"/>
        <v>122.325649819495</v>
      </c>
      <c r="X498" s="79">
        <f t="shared" si="259"/>
        <v>2.2850036101083</v>
      </c>
      <c r="Y498" s="79"/>
      <c r="Z498" s="79"/>
      <c r="AA498" s="79">
        <f t="shared" si="255"/>
        <v>2.2850036101083</v>
      </c>
      <c r="AB498" s="90">
        <v>7.15</v>
      </c>
      <c r="AC498" s="76">
        <f t="shared" si="253"/>
        <v>16.3377758122744</v>
      </c>
      <c r="AD498" s="76">
        <f t="shared" si="254"/>
        <v>138.663425631769</v>
      </c>
      <c r="AE498" s="76">
        <f t="shared" si="252"/>
        <v>44.305074368231</v>
      </c>
    </row>
    <row r="499" customFormat="1" spans="1:31">
      <c r="A499" s="18"/>
      <c r="B499" s="19"/>
      <c r="C499" s="20">
        <v>240813000008</v>
      </c>
      <c r="D499" s="21">
        <v>45524</v>
      </c>
      <c r="E499" s="21" t="s">
        <v>44</v>
      </c>
      <c r="F499" s="19" t="s">
        <v>45</v>
      </c>
      <c r="G499" s="19" t="s">
        <v>322</v>
      </c>
      <c r="H499" s="19">
        <v>36</v>
      </c>
      <c r="I499" s="51">
        <v>1980</v>
      </c>
      <c r="J499" s="52"/>
      <c r="K499" s="45"/>
      <c r="L499" s="19"/>
      <c r="M499" s="45"/>
      <c r="N499" s="48"/>
      <c r="O499" s="49">
        <f>SUM(I499)</f>
        <v>1980</v>
      </c>
      <c r="P499" s="53"/>
      <c r="Q499" s="53"/>
      <c r="R499" s="76">
        <f t="shared" si="257"/>
        <v>1465.23898916968</v>
      </c>
      <c r="S499" s="77"/>
      <c r="T499" s="77">
        <f t="shared" si="258"/>
        <v>2.66880866425993</v>
      </c>
      <c r="U499" s="76"/>
      <c r="V499" s="76"/>
      <c r="W499" s="78">
        <f t="shared" si="256"/>
        <v>1467.90779783394</v>
      </c>
      <c r="X499" s="79">
        <f t="shared" si="259"/>
        <v>27.4200433212996</v>
      </c>
      <c r="Y499" s="79"/>
      <c r="Z499" s="79"/>
      <c r="AA499" s="79">
        <f t="shared" si="255"/>
        <v>27.4200433212996</v>
      </c>
      <c r="AB499" s="90">
        <v>7.15</v>
      </c>
      <c r="AC499" s="76">
        <f t="shared" si="253"/>
        <v>196.053309747292</v>
      </c>
      <c r="AD499" s="76">
        <f t="shared" si="254"/>
        <v>1663.96110758123</v>
      </c>
      <c r="AE499" s="76">
        <f t="shared" si="252"/>
        <v>316.038892418772</v>
      </c>
    </row>
    <row r="500" customFormat="1" spans="1:31">
      <c r="A500" s="18"/>
      <c r="B500" s="19"/>
      <c r="C500" s="22">
        <v>240813000009</v>
      </c>
      <c r="D500" s="23">
        <v>45524</v>
      </c>
      <c r="E500" s="21" t="s">
        <v>44</v>
      </c>
      <c r="F500" s="24" t="s">
        <v>45</v>
      </c>
      <c r="G500" s="24" t="s">
        <v>271</v>
      </c>
      <c r="H500" s="24">
        <v>15</v>
      </c>
      <c r="I500" s="51">
        <v>609.5</v>
      </c>
      <c r="J500" s="52"/>
      <c r="K500" s="45"/>
      <c r="L500" s="19"/>
      <c r="M500" s="45"/>
      <c r="N500" s="48"/>
      <c r="O500" s="49">
        <f>SUM(I500)</f>
        <v>609.5</v>
      </c>
      <c r="P500" s="53"/>
      <c r="Q500" s="53"/>
      <c r="R500" s="76">
        <f t="shared" si="257"/>
        <v>610.516245487365</v>
      </c>
      <c r="S500" s="77"/>
      <c r="T500" s="77">
        <f t="shared" si="258"/>
        <v>1.1120036101083</v>
      </c>
      <c r="U500" s="76"/>
      <c r="V500" s="76"/>
      <c r="W500" s="78">
        <f t="shared" si="256"/>
        <v>611.628249097473</v>
      </c>
      <c r="X500" s="79">
        <f t="shared" si="259"/>
        <v>11.4250180505415</v>
      </c>
      <c r="Y500" s="79"/>
      <c r="Z500" s="79"/>
      <c r="AA500" s="79">
        <f t="shared" si="255"/>
        <v>11.4250180505415</v>
      </c>
      <c r="AB500" s="90">
        <v>7.15</v>
      </c>
      <c r="AC500" s="76">
        <f t="shared" si="253"/>
        <v>81.6888790613718</v>
      </c>
      <c r="AD500" s="76">
        <f t="shared" si="254"/>
        <v>693.317128158845</v>
      </c>
      <c r="AE500" s="76">
        <f t="shared" si="252"/>
        <v>-83.8171281588449</v>
      </c>
    </row>
    <row r="501" customFormat="1" spans="1:31">
      <c r="A501" s="18"/>
      <c r="B501" s="19"/>
      <c r="C501" s="20">
        <v>240813000011</v>
      </c>
      <c r="D501" s="21">
        <v>45524</v>
      </c>
      <c r="E501" s="21" t="s">
        <v>44</v>
      </c>
      <c r="F501" s="19" t="s">
        <v>45</v>
      </c>
      <c r="G501" s="19" t="s">
        <v>236</v>
      </c>
      <c r="H501" s="19">
        <v>1.5</v>
      </c>
      <c r="I501" s="49"/>
      <c r="J501" s="44">
        <v>21238</v>
      </c>
      <c r="K501" s="45"/>
      <c r="L501" s="46">
        <f t="shared" ref="L501:L504" si="267">SUM(J501/M501)</f>
        <v>1639.99987335908</v>
      </c>
      <c r="M501" s="47">
        <v>12.950001</v>
      </c>
      <c r="N501" s="48">
        <v>7.15</v>
      </c>
      <c r="O501" s="49">
        <f t="shared" ref="O501:O504" si="268">SUM(M501*N501)</f>
        <v>92.59250715</v>
      </c>
      <c r="P501" s="53"/>
      <c r="Q501" s="53"/>
      <c r="R501" s="76">
        <f t="shared" si="257"/>
        <v>61.0516245487365</v>
      </c>
      <c r="S501" s="77"/>
      <c r="T501" s="77">
        <f t="shared" si="258"/>
        <v>0.11120036101083</v>
      </c>
      <c r="U501" s="76"/>
      <c r="V501" s="76"/>
      <c r="W501" s="78">
        <f t="shared" si="256"/>
        <v>61.1628249097473</v>
      </c>
      <c r="X501" s="79">
        <f t="shared" si="259"/>
        <v>1.14250180505415</v>
      </c>
      <c r="Y501" s="79"/>
      <c r="Z501" s="79"/>
      <c r="AA501" s="79">
        <f t="shared" si="255"/>
        <v>1.14250180505415</v>
      </c>
      <c r="AB501" s="90">
        <v>7.15</v>
      </c>
      <c r="AC501" s="76">
        <f t="shared" si="253"/>
        <v>8.16888790613719</v>
      </c>
      <c r="AD501" s="76">
        <f t="shared" si="254"/>
        <v>69.3317128158845</v>
      </c>
      <c r="AE501" s="76">
        <f t="shared" si="252"/>
        <v>23.2607943341155</v>
      </c>
    </row>
    <row r="502" customFormat="1" spans="1:31">
      <c r="A502" s="18"/>
      <c r="B502" s="19"/>
      <c r="C502" s="20">
        <v>240813000016</v>
      </c>
      <c r="D502" s="21">
        <v>45524</v>
      </c>
      <c r="E502" s="21" t="s">
        <v>51</v>
      </c>
      <c r="F502" s="19" t="s">
        <v>52</v>
      </c>
      <c r="G502" s="19" t="s">
        <v>269</v>
      </c>
      <c r="H502" s="19">
        <v>23.5</v>
      </c>
      <c r="I502" s="49"/>
      <c r="J502" s="44">
        <v>206656</v>
      </c>
      <c r="K502" s="45"/>
      <c r="L502" s="46">
        <f t="shared" si="267"/>
        <v>1639.99682564876</v>
      </c>
      <c r="M502" s="47">
        <v>126.01</v>
      </c>
      <c r="N502" s="48">
        <v>7.15</v>
      </c>
      <c r="O502" s="49">
        <f t="shared" si="268"/>
        <v>900.9715</v>
      </c>
      <c r="P502" s="53"/>
      <c r="Q502" s="53"/>
      <c r="R502" s="76">
        <f t="shared" si="257"/>
        <v>956.475451263538</v>
      </c>
      <c r="S502" s="77"/>
      <c r="T502" s="77">
        <f t="shared" si="258"/>
        <v>1.74213898916968</v>
      </c>
      <c r="U502" s="76"/>
      <c r="V502" s="76"/>
      <c r="W502" s="78">
        <f t="shared" si="256"/>
        <v>958.217590252708</v>
      </c>
      <c r="X502" s="79">
        <f t="shared" si="259"/>
        <v>17.8991949458484</v>
      </c>
      <c r="Y502" s="79"/>
      <c r="Z502" s="79"/>
      <c r="AA502" s="79">
        <f t="shared" si="255"/>
        <v>17.8991949458484</v>
      </c>
      <c r="AB502" s="90">
        <v>7.15</v>
      </c>
      <c r="AC502" s="76">
        <f t="shared" si="253"/>
        <v>127.979243862816</v>
      </c>
      <c r="AD502" s="76">
        <f t="shared" si="254"/>
        <v>1086.19683411552</v>
      </c>
      <c r="AE502" s="76">
        <f t="shared" si="252"/>
        <v>-185.225334115523</v>
      </c>
    </row>
    <row r="503" customFormat="1" spans="1:31">
      <c r="A503" s="18"/>
      <c r="B503" s="19"/>
      <c r="C503" s="20">
        <v>240813000018</v>
      </c>
      <c r="D503" s="21">
        <v>45524</v>
      </c>
      <c r="E503" s="21" t="s">
        <v>57</v>
      </c>
      <c r="F503" s="19" t="s">
        <v>57</v>
      </c>
      <c r="G503" s="19" t="s">
        <v>369</v>
      </c>
      <c r="H503" s="19">
        <v>9</v>
      </c>
      <c r="I503" s="43"/>
      <c r="J503" s="44">
        <v>117813</v>
      </c>
      <c r="K503" s="45"/>
      <c r="L503" s="46">
        <f t="shared" si="267"/>
        <v>1623.21576191788</v>
      </c>
      <c r="M503" s="47">
        <v>72.58</v>
      </c>
      <c r="N503" s="48">
        <v>7.15</v>
      </c>
      <c r="O503" s="49">
        <f t="shared" si="268"/>
        <v>518.947</v>
      </c>
      <c r="P503" s="53"/>
      <c r="Q503" s="53"/>
      <c r="R503" s="76">
        <f t="shared" si="257"/>
        <v>366.309747292419</v>
      </c>
      <c r="S503" s="77"/>
      <c r="T503" s="77">
        <f t="shared" si="258"/>
        <v>0.667202166064982</v>
      </c>
      <c r="U503" s="76"/>
      <c r="V503" s="76"/>
      <c r="W503" s="78">
        <f t="shared" si="256"/>
        <v>366.976949458484</v>
      </c>
      <c r="X503" s="79">
        <f t="shared" si="259"/>
        <v>6.85501083032491</v>
      </c>
      <c r="Y503" s="79"/>
      <c r="Z503" s="79"/>
      <c r="AA503" s="79">
        <f t="shared" si="255"/>
        <v>6.85501083032491</v>
      </c>
      <c r="AB503" s="90">
        <v>7.15</v>
      </c>
      <c r="AC503" s="76">
        <f t="shared" si="253"/>
        <v>49.0133274368231</v>
      </c>
      <c r="AD503" s="76">
        <f t="shared" si="254"/>
        <v>415.990276895307</v>
      </c>
      <c r="AE503" s="76">
        <f t="shared" si="252"/>
        <v>102.956723104693</v>
      </c>
    </row>
    <row r="504" customFormat="1" spans="1:31">
      <c r="A504" s="18"/>
      <c r="B504" s="19"/>
      <c r="C504" s="20">
        <v>240813000019</v>
      </c>
      <c r="D504" s="21">
        <v>45524</v>
      </c>
      <c r="E504" s="21" t="s">
        <v>51</v>
      </c>
      <c r="F504" s="19" t="s">
        <v>52</v>
      </c>
      <c r="G504" s="19" t="s">
        <v>171</v>
      </c>
      <c r="H504" s="19">
        <v>429</v>
      </c>
      <c r="I504" s="49"/>
      <c r="J504" s="44">
        <v>5423528</v>
      </c>
      <c r="K504" s="45"/>
      <c r="L504" s="46">
        <f t="shared" si="267"/>
        <v>1760</v>
      </c>
      <c r="M504" s="47">
        <v>3081.55</v>
      </c>
      <c r="N504" s="48">
        <v>7.15</v>
      </c>
      <c r="O504" s="49">
        <f t="shared" si="268"/>
        <v>22033.0825</v>
      </c>
      <c r="P504" s="53"/>
      <c r="Q504" s="53"/>
      <c r="R504" s="76">
        <f t="shared" si="257"/>
        <v>17460.7646209386</v>
      </c>
      <c r="S504" s="77"/>
      <c r="T504" s="77">
        <f t="shared" si="258"/>
        <v>31.8033032490975</v>
      </c>
      <c r="U504" s="76"/>
      <c r="V504" s="76"/>
      <c r="W504" s="78">
        <f t="shared" si="256"/>
        <v>17492.5679241877</v>
      </c>
      <c r="X504" s="79">
        <f t="shared" si="259"/>
        <v>326.755516245487</v>
      </c>
      <c r="Y504" s="79"/>
      <c r="Z504" s="79"/>
      <c r="AA504" s="79">
        <f t="shared" si="255"/>
        <v>326.755516245487</v>
      </c>
      <c r="AB504" s="90">
        <v>7.15</v>
      </c>
      <c r="AC504" s="76">
        <f t="shared" si="253"/>
        <v>2336.30194115523</v>
      </c>
      <c r="AD504" s="76">
        <f t="shared" si="254"/>
        <v>19828.869865343</v>
      </c>
      <c r="AE504" s="76">
        <f t="shared" si="252"/>
        <v>2204.21263465704</v>
      </c>
    </row>
    <row r="505" customFormat="1" spans="1:31">
      <c r="A505" s="18"/>
      <c r="B505" s="19"/>
      <c r="C505" s="20">
        <v>240813000029</v>
      </c>
      <c r="D505" s="21">
        <v>45524</v>
      </c>
      <c r="E505" s="21" t="s">
        <v>44</v>
      </c>
      <c r="F505" s="19" t="s">
        <v>45</v>
      </c>
      <c r="G505" s="19" t="s">
        <v>92</v>
      </c>
      <c r="H505" s="19">
        <v>7</v>
      </c>
      <c r="I505" s="51">
        <v>480.9</v>
      </c>
      <c r="J505" s="52"/>
      <c r="K505" s="45"/>
      <c r="L505" s="19"/>
      <c r="M505" s="45"/>
      <c r="N505" s="48"/>
      <c r="O505" s="49">
        <f t="shared" ref="O505:O508" si="269">SUM(I505)</f>
        <v>480.9</v>
      </c>
      <c r="P505" s="53"/>
      <c r="Q505" s="53"/>
      <c r="R505" s="76">
        <f t="shared" si="257"/>
        <v>284.907581227437</v>
      </c>
      <c r="S505" s="77"/>
      <c r="T505" s="77">
        <f t="shared" si="258"/>
        <v>0.518935018050542</v>
      </c>
      <c r="U505" s="76"/>
      <c r="V505" s="76"/>
      <c r="W505" s="78">
        <f t="shared" si="256"/>
        <v>285.426516245487</v>
      </c>
      <c r="X505" s="79">
        <f t="shared" si="259"/>
        <v>5.33167509025271</v>
      </c>
      <c r="Y505" s="79"/>
      <c r="Z505" s="79"/>
      <c r="AA505" s="79">
        <f t="shared" si="255"/>
        <v>5.33167509025271</v>
      </c>
      <c r="AB505" s="90">
        <v>7.15</v>
      </c>
      <c r="AC505" s="76">
        <f t="shared" si="253"/>
        <v>38.1214768953069</v>
      </c>
      <c r="AD505" s="76">
        <f t="shared" si="254"/>
        <v>323.547993140794</v>
      </c>
      <c r="AE505" s="76">
        <f t="shared" si="252"/>
        <v>157.352006859206</v>
      </c>
    </row>
    <row r="506" customFormat="1" spans="1:31">
      <c r="A506" s="18"/>
      <c r="B506" s="19"/>
      <c r="C506" s="20">
        <v>240813000042</v>
      </c>
      <c r="D506" s="21">
        <v>45524</v>
      </c>
      <c r="E506" s="21" t="s">
        <v>37</v>
      </c>
      <c r="F506" s="19" t="s">
        <v>38</v>
      </c>
      <c r="G506" s="19" t="s">
        <v>64</v>
      </c>
      <c r="H506" s="19">
        <v>63.5</v>
      </c>
      <c r="I506" s="43"/>
      <c r="J506" s="44">
        <v>849120</v>
      </c>
      <c r="K506" s="45"/>
      <c r="L506" s="46">
        <f>SUM(J506/M506)</f>
        <v>1658.82628741111</v>
      </c>
      <c r="M506" s="47">
        <v>511.88</v>
      </c>
      <c r="N506" s="48">
        <v>7.15</v>
      </c>
      <c r="O506" s="49">
        <f>SUM(M506*N506)</f>
        <v>3659.942</v>
      </c>
      <c r="P506" s="53"/>
      <c r="Q506" s="53"/>
      <c r="R506" s="76">
        <f t="shared" si="257"/>
        <v>2584.51877256318</v>
      </c>
      <c r="S506" s="77"/>
      <c r="T506" s="77">
        <f t="shared" si="258"/>
        <v>4.70748194945848</v>
      </c>
      <c r="U506" s="76">
        <v>90</v>
      </c>
      <c r="V506" s="76"/>
      <c r="W506" s="78">
        <f t="shared" si="256"/>
        <v>2679.22625451264</v>
      </c>
      <c r="X506" s="79">
        <f t="shared" si="259"/>
        <v>48.3659097472924</v>
      </c>
      <c r="Y506" s="79"/>
      <c r="Z506" s="79"/>
      <c r="AA506" s="79">
        <f t="shared" si="255"/>
        <v>48.3659097472924</v>
      </c>
      <c r="AB506" s="90">
        <v>7.15</v>
      </c>
      <c r="AC506" s="76">
        <f t="shared" si="253"/>
        <v>345.816254693141</v>
      </c>
      <c r="AD506" s="76">
        <f t="shared" si="254"/>
        <v>3025.04250920578</v>
      </c>
      <c r="AE506" s="76">
        <f t="shared" si="252"/>
        <v>634.899490794224</v>
      </c>
    </row>
    <row r="507" customFormat="1" spans="1:31">
      <c r="A507" s="18"/>
      <c r="B507" s="19"/>
      <c r="C507" s="20">
        <v>240813000044</v>
      </c>
      <c r="D507" s="21">
        <v>45524</v>
      </c>
      <c r="E507" s="21" t="s">
        <v>57</v>
      </c>
      <c r="F507" s="19" t="s">
        <v>57</v>
      </c>
      <c r="G507" s="19" t="s">
        <v>370</v>
      </c>
      <c r="H507" s="19">
        <v>18</v>
      </c>
      <c r="I507" s="51">
        <v>1077</v>
      </c>
      <c r="J507" s="52"/>
      <c r="K507" s="45"/>
      <c r="L507" s="19"/>
      <c r="M507" s="45"/>
      <c r="N507" s="48"/>
      <c r="O507" s="49">
        <f t="shared" si="269"/>
        <v>1077</v>
      </c>
      <c r="P507" s="53"/>
      <c r="Q507" s="53"/>
      <c r="R507" s="76">
        <f t="shared" si="257"/>
        <v>732.619494584838</v>
      </c>
      <c r="S507" s="77"/>
      <c r="T507" s="77">
        <f t="shared" si="258"/>
        <v>1.33440433212996</v>
      </c>
      <c r="U507" s="76"/>
      <c r="V507" s="76"/>
      <c r="W507" s="78">
        <f t="shared" si="256"/>
        <v>733.953898916968</v>
      </c>
      <c r="X507" s="79">
        <f t="shared" si="259"/>
        <v>13.7100216606498</v>
      </c>
      <c r="Y507" s="79"/>
      <c r="Z507" s="79"/>
      <c r="AA507" s="79">
        <f t="shared" si="255"/>
        <v>13.7100216606498</v>
      </c>
      <c r="AB507" s="90">
        <v>7.15</v>
      </c>
      <c r="AC507" s="76">
        <f t="shared" si="253"/>
        <v>98.0266548736462</v>
      </c>
      <c r="AD507" s="76">
        <f t="shared" si="254"/>
        <v>831.980553790614</v>
      </c>
      <c r="AE507" s="76">
        <f t="shared" ref="AE507:AE546" si="270">SUM(O507-AD507)</f>
        <v>245.019446209386</v>
      </c>
    </row>
    <row r="508" customFormat="1" spans="1:31">
      <c r="A508" s="18"/>
      <c r="B508" s="19"/>
      <c r="C508" s="20">
        <v>240813000045</v>
      </c>
      <c r="D508" s="21">
        <v>45524</v>
      </c>
      <c r="E508" s="21" t="s">
        <v>37</v>
      </c>
      <c r="F508" s="19" t="s">
        <v>38</v>
      </c>
      <c r="G508" s="19" t="s">
        <v>371</v>
      </c>
      <c r="H508" s="19">
        <v>112.5</v>
      </c>
      <c r="I508" s="51">
        <v>9030</v>
      </c>
      <c r="J508" s="52"/>
      <c r="K508" s="45"/>
      <c r="L508" s="19"/>
      <c r="M508" s="45"/>
      <c r="N508" s="48"/>
      <c r="O508" s="49">
        <f t="shared" si="269"/>
        <v>9030</v>
      </c>
      <c r="P508" s="53"/>
      <c r="Q508" s="53"/>
      <c r="R508" s="76">
        <f t="shared" si="257"/>
        <v>4578.87184115524</v>
      </c>
      <c r="S508" s="77"/>
      <c r="T508" s="77">
        <f t="shared" si="258"/>
        <v>8.34002707581227</v>
      </c>
      <c r="U508" s="77">
        <v>330</v>
      </c>
      <c r="V508" s="76"/>
      <c r="W508" s="78">
        <f t="shared" si="256"/>
        <v>4917.21186823105</v>
      </c>
      <c r="X508" s="79">
        <f t="shared" si="259"/>
        <v>85.6876353790614</v>
      </c>
      <c r="Y508" s="79"/>
      <c r="Z508" s="79"/>
      <c r="AA508" s="79">
        <f t="shared" si="255"/>
        <v>85.6876353790614</v>
      </c>
      <c r="AB508" s="90">
        <v>7.15</v>
      </c>
      <c r="AC508" s="76">
        <f t="shared" ref="AC508:AC546" si="271">SUM(AA508*AB508)</f>
        <v>612.666592960289</v>
      </c>
      <c r="AD508" s="76">
        <f t="shared" ref="AD508:AD546" si="272">SUM(W508+AC508)</f>
        <v>5529.87846119134</v>
      </c>
      <c r="AE508" s="76">
        <f t="shared" si="270"/>
        <v>3500.12153880866</v>
      </c>
    </row>
    <row r="509" customFormat="1" spans="1:31">
      <c r="A509" s="18"/>
      <c r="B509" s="19"/>
      <c r="C509" s="20">
        <v>240814000003</v>
      </c>
      <c r="D509" s="21">
        <v>45524</v>
      </c>
      <c r="E509" s="21" t="s">
        <v>44</v>
      </c>
      <c r="F509" s="19" t="s">
        <v>45</v>
      </c>
      <c r="G509" s="19" t="s">
        <v>162</v>
      </c>
      <c r="H509" s="19">
        <v>2</v>
      </c>
      <c r="I509" s="43"/>
      <c r="J509" s="44">
        <v>30780</v>
      </c>
      <c r="K509" s="45"/>
      <c r="L509" s="46">
        <f>SUM(J509/M509)</f>
        <v>1630.29661016949</v>
      </c>
      <c r="M509" s="47">
        <v>18.88</v>
      </c>
      <c r="N509" s="48">
        <v>7.15</v>
      </c>
      <c r="O509" s="49">
        <f>SUM(M509*N509)</f>
        <v>134.992</v>
      </c>
      <c r="P509" s="53"/>
      <c r="Q509" s="53"/>
      <c r="R509" s="76">
        <f t="shared" si="257"/>
        <v>81.402166064982</v>
      </c>
      <c r="S509" s="77"/>
      <c r="T509" s="77">
        <f t="shared" si="258"/>
        <v>0.14826714801444</v>
      </c>
      <c r="U509" s="76"/>
      <c r="V509" s="76"/>
      <c r="W509" s="78">
        <f t="shared" si="256"/>
        <v>81.5504332129964</v>
      </c>
      <c r="X509" s="79">
        <f t="shared" si="259"/>
        <v>1.5233357400722</v>
      </c>
      <c r="Y509" s="79"/>
      <c r="Z509" s="79"/>
      <c r="AA509" s="79">
        <f t="shared" ref="AA509:AA548" si="273">SUM(X509:Z509)</f>
        <v>1.5233357400722</v>
      </c>
      <c r="AB509" s="90">
        <v>7.15</v>
      </c>
      <c r="AC509" s="76">
        <f t="shared" si="271"/>
        <v>10.8918505415162</v>
      </c>
      <c r="AD509" s="76">
        <f t="shared" si="272"/>
        <v>92.4422837545126</v>
      </c>
      <c r="AE509" s="76">
        <f t="shared" si="270"/>
        <v>42.5497162454873</v>
      </c>
    </row>
    <row r="510" customFormat="1" spans="1:31">
      <c r="A510" s="18"/>
      <c r="B510" s="19"/>
      <c r="C510" s="20">
        <v>240814000005</v>
      </c>
      <c r="D510" s="21">
        <v>45524</v>
      </c>
      <c r="E510" s="21" t="s">
        <v>44</v>
      </c>
      <c r="F510" s="19" t="s">
        <v>45</v>
      </c>
      <c r="G510" s="19" t="s">
        <v>337</v>
      </c>
      <c r="H510" s="19">
        <v>5</v>
      </c>
      <c r="I510" s="51">
        <v>265</v>
      </c>
      <c r="J510" s="52"/>
      <c r="K510" s="45"/>
      <c r="L510" s="19"/>
      <c r="M510" s="45"/>
      <c r="N510" s="48"/>
      <c r="O510" s="49">
        <f t="shared" ref="O510:O516" si="274">SUM(I510)</f>
        <v>265</v>
      </c>
      <c r="P510" s="53"/>
      <c r="Q510" s="53"/>
      <c r="R510" s="76">
        <f t="shared" si="257"/>
        <v>203.505415162455</v>
      </c>
      <c r="S510" s="77"/>
      <c r="T510" s="77">
        <f t="shared" si="258"/>
        <v>0.370667870036101</v>
      </c>
      <c r="U510" s="76"/>
      <c r="V510" s="76"/>
      <c r="W510" s="78">
        <f t="shared" ref="W510:W547" si="275">SUM(R510:V510)</f>
        <v>203.876083032491</v>
      </c>
      <c r="X510" s="79">
        <f t="shared" si="259"/>
        <v>3.80833935018051</v>
      </c>
      <c r="Y510" s="79"/>
      <c r="Z510" s="79"/>
      <c r="AA510" s="79">
        <f t="shared" si="273"/>
        <v>3.80833935018051</v>
      </c>
      <c r="AB510" s="90">
        <v>7.15</v>
      </c>
      <c r="AC510" s="76">
        <f t="shared" si="271"/>
        <v>27.2296263537906</v>
      </c>
      <c r="AD510" s="76">
        <f t="shared" si="272"/>
        <v>231.105709386282</v>
      </c>
      <c r="AE510" s="76">
        <f t="shared" si="270"/>
        <v>33.8942906137184</v>
      </c>
    </row>
    <row r="511" customFormat="1" spans="1:31">
      <c r="A511" s="18"/>
      <c r="B511" s="19"/>
      <c r="C511" s="20">
        <v>240814000006</v>
      </c>
      <c r="D511" s="21">
        <v>45524</v>
      </c>
      <c r="E511" s="21" t="s">
        <v>44</v>
      </c>
      <c r="F511" s="19" t="s">
        <v>45</v>
      </c>
      <c r="G511" s="19" t="s">
        <v>372</v>
      </c>
      <c r="H511" s="19">
        <v>152</v>
      </c>
      <c r="I511" s="51">
        <v>9120</v>
      </c>
      <c r="J511" s="52"/>
      <c r="K511" s="45"/>
      <c r="L511" s="19"/>
      <c r="M511" s="45"/>
      <c r="N511" s="48"/>
      <c r="O511" s="49">
        <f t="shared" si="274"/>
        <v>9120</v>
      </c>
      <c r="P511" s="53"/>
      <c r="Q511" s="53"/>
      <c r="R511" s="76">
        <f t="shared" si="257"/>
        <v>6186.56462093863</v>
      </c>
      <c r="S511" s="77"/>
      <c r="T511" s="77">
        <f t="shared" si="258"/>
        <v>11.2683032490975</v>
      </c>
      <c r="U511" s="76"/>
      <c r="V511" s="76"/>
      <c r="W511" s="78">
        <f t="shared" si="275"/>
        <v>6197.83292418773</v>
      </c>
      <c r="X511" s="79">
        <f t="shared" si="259"/>
        <v>115.773516245487</v>
      </c>
      <c r="Y511" s="79"/>
      <c r="Z511" s="79"/>
      <c r="AA511" s="79">
        <f t="shared" si="273"/>
        <v>115.773516245487</v>
      </c>
      <c r="AB511" s="90">
        <v>7.15</v>
      </c>
      <c r="AC511" s="76">
        <f t="shared" si="271"/>
        <v>827.780641155235</v>
      </c>
      <c r="AD511" s="76">
        <f t="shared" si="272"/>
        <v>7025.61356534296</v>
      </c>
      <c r="AE511" s="76">
        <f t="shared" si="270"/>
        <v>2094.38643465704</v>
      </c>
    </row>
    <row r="512" customFormat="1" spans="1:31">
      <c r="A512" s="18"/>
      <c r="B512" s="19"/>
      <c r="C512" s="20">
        <v>240814000007</v>
      </c>
      <c r="D512" s="21">
        <v>45524</v>
      </c>
      <c r="E512" s="21" t="s">
        <v>44</v>
      </c>
      <c r="F512" s="19" t="s">
        <v>45</v>
      </c>
      <c r="G512" s="19" t="s">
        <v>271</v>
      </c>
      <c r="H512" s="19">
        <v>20.5</v>
      </c>
      <c r="I512" s="51">
        <v>1086.5</v>
      </c>
      <c r="J512" s="52"/>
      <c r="K512" s="45"/>
      <c r="L512" s="19"/>
      <c r="M512" s="45"/>
      <c r="N512" s="48"/>
      <c r="O512" s="49">
        <f t="shared" si="274"/>
        <v>1086.5</v>
      </c>
      <c r="P512" s="53"/>
      <c r="Q512" s="53"/>
      <c r="R512" s="76">
        <f t="shared" ref="R512:R548" si="276">SUM(112742/2770)*H512</f>
        <v>834.372202166065</v>
      </c>
      <c r="S512" s="77"/>
      <c r="T512" s="77">
        <f t="shared" ref="T512:T548" si="277">SUM(205.35/2770)*H512</f>
        <v>1.51973826714801</v>
      </c>
      <c r="U512" s="76"/>
      <c r="V512" s="76"/>
      <c r="W512" s="78">
        <f t="shared" si="275"/>
        <v>835.891940433213</v>
      </c>
      <c r="X512" s="79">
        <f t="shared" ref="X512:X548" si="278">SUM(2109.82/2770)*H512</f>
        <v>15.6141913357401</v>
      </c>
      <c r="Y512" s="79"/>
      <c r="Z512" s="79"/>
      <c r="AA512" s="79">
        <f t="shared" si="273"/>
        <v>15.6141913357401</v>
      </c>
      <c r="AB512" s="90">
        <v>7.15</v>
      </c>
      <c r="AC512" s="76">
        <f t="shared" si="271"/>
        <v>111.641468050542</v>
      </c>
      <c r="AD512" s="76">
        <f t="shared" si="272"/>
        <v>947.533408483755</v>
      </c>
      <c r="AE512" s="76">
        <f t="shared" si="270"/>
        <v>138.966591516245</v>
      </c>
    </row>
    <row r="513" customFormat="1" spans="1:31">
      <c r="A513" s="18"/>
      <c r="B513" s="19"/>
      <c r="C513" s="20">
        <v>240814000008</v>
      </c>
      <c r="D513" s="21">
        <v>45524</v>
      </c>
      <c r="E513" s="21" t="s">
        <v>44</v>
      </c>
      <c r="F513" s="19" t="s">
        <v>45</v>
      </c>
      <c r="G513" s="19" t="s">
        <v>373</v>
      </c>
      <c r="H513" s="19">
        <v>1.5</v>
      </c>
      <c r="I513" s="51">
        <v>93</v>
      </c>
      <c r="J513" s="52"/>
      <c r="K513" s="45"/>
      <c r="L513" s="19"/>
      <c r="M513" s="45"/>
      <c r="N513" s="48"/>
      <c r="O513" s="49">
        <f t="shared" si="274"/>
        <v>93</v>
      </c>
      <c r="P513" s="53"/>
      <c r="Q513" s="53"/>
      <c r="R513" s="76">
        <f t="shared" si="276"/>
        <v>61.0516245487365</v>
      </c>
      <c r="S513" s="77"/>
      <c r="T513" s="77">
        <f t="shared" si="277"/>
        <v>0.11120036101083</v>
      </c>
      <c r="U513" s="76"/>
      <c r="V513" s="76"/>
      <c r="W513" s="78">
        <f t="shared" si="275"/>
        <v>61.1628249097473</v>
      </c>
      <c r="X513" s="79">
        <f t="shared" si="278"/>
        <v>1.14250180505415</v>
      </c>
      <c r="Y513" s="79"/>
      <c r="Z513" s="79"/>
      <c r="AA513" s="79">
        <f t="shared" si="273"/>
        <v>1.14250180505415</v>
      </c>
      <c r="AB513" s="90">
        <v>7.15</v>
      </c>
      <c r="AC513" s="76">
        <f t="shared" si="271"/>
        <v>8.16888790613719</v>
      </c>
      <c r="AD513" s="76">
        <f t="shared" si="272"/>
        <v>69.3317128158845</v>
      </c>
      <c r="AE513" s="76">
        <f t="shared" si="270"/>
        <v>23.6682871841155</v>
      </c>
    </row>
    <row r="514" customFormat="1" spans="1:31">
      <c r="A514" s="18"/>
      <c r="B514" s="19"/>
      <c r="C514" s="20">
        <v>240814000009</v>
      </c>
      <c r="D514" s="21">
        <v>45524</v>
      </c>
      <c r="E514" s="21" t="s">
        <v>44</v>
      </c>
      <c r="F514" s="19" t="s">
        <v>45</v>
      </c>
      <c r="G514" s="19" t="s">
        <v>322</v>
      </c>
      <c r="H514" s="19">
        <v>12.5</v>
      </c>
      <c r="I514" s="51">
        <v>687.5</v>
      </c>
      <c r="J514" s="52"/>
      <c r="K514" s="45"/>
      <c r="L514" s="19"/>
      <c r="M514" s="45"/>
      <c r="N514" s="48"/>
      <c r="O514" s="49">
        <f t="shared" si="274"/>
        <v>687.5</v>
      </c>
      <c r="P514" s="53"/>
      <c r="Q514" s="53"/>
      <c r="R514" s="76">
        <f t="shared" si="276"/>
        <v>508.763537906137</v>
      </c>
      <c r="S514" s="77"/>
      <c r="T514" s="77">
        <f t="shared" si="277"/>
        <v>0.926669675090253</v>
      </c>
      <c r="U514" s="76"/>
      <c r="V514" s="76"/>
      <c r="W514" s="78">
        <f t="shared" si="275"/>
        <v>509.690207581227</v>
      </c>
      <c r="X514" s="79">
        <f t="shared" si="278"/>
        <v>9.52084837545126</v>
      </c>
      <c r="Y514" s="79"/>
      <c r="Z514" s="79"/>
      <c r="AA514" s="79">
        <f t="shared" si="273"/>
        <v>9.52084837545126</v>
      </c>
      <c r="AB514" s="90">
        <v>7.15</v>
      </c>
      <c r="AC514" s="76">
        <f t="shared" si="271"/>
        <v>68.0740658844765</v>
      </c>
      <c r="AD514" s="76">
        <f t="shared" si="272"/>
        <v>577.764273465704</v>
      </c>
      <c r="AE514" s="76">
        <f t="shared" si="270"/>
        <v>109.735726534296</v>
      </c>
    </row>
    <row r="515" customFormat="1" spans="1:31">
      <c r="A515" s="18"/>
      <c r="B515" s="19"/>
      <c r="C515" s="20">
        <v>240814000011</v>
      </c>
      <c r="D515" s="21">
        <v>45524</v>
      </c>
      <c r="E515" s="21" t="s">
        <v>51</v>
      </c>
      <c r="F515" s="19" t="s">
        <v>52</v>
      </c>
      <c r="G515" s="19" t="s">
        <v>113</v>
      </c>
      <c r="H515" s="19">
        <v>10</v>
      </c>
      <c r="I515" s="51">
        <v>576</v>
      </c>
      <c r="J515" s="52"/>
      <c r="K515" s="45"/>
      <c r="L515" s="19"/>
      <c r="M515" s="45"/>
      <c r="N515" s="48"/>
      <c r="O515" s="49">
        <f t="shared" si="274"/>
        <v>576</v>
      </c>
      <c r="P515" s="53"/>
      <c r="Q515" s="53"/>
      <c r="R515" s="76">
        <f t="shared" si="276"/>
        <v>407.01083032491</v>
      </c>
      <c r="S515" s="77"/>
      <c r="T515" s="77">
        <f t="shared" si="277"/>
        <v>0.741335740072202</v>
      </c>
      <c r="U515" s="76"/>
      <c r="V515" s="76"/>
      <c r="W515" s="78">
        <f t="shared" si="275"/>
        <v>407.752166064982</v>
      </c>
      <c r="X515" s="79">
        <f t="shared" si="278"/>
        <v>7.61667870036101</v>
      </c>
      <c r="Y515" s="79"/>
      <c r="Z515" s="79"/>
      <c r="AA515" s="79">
        <f t="shared" si="273"/>
        <v>7.61667870036101</v>
      </c>
      <c r="AB515" s="90">
        <v>7.15</v>
      </c>
      <c r="AC515" s="76">
        <f t="shared" si="271"/>
        <v>54.4592527075812</v>
      </c>
      <c r="AD515" s="76">
        <f t="shared" si="272"/>
        <v>462.211418772563</v>
      </c>
      <c r="AE515" s="76">
        <f t="shared" si="270"/>
        <v>113.788581227437</v>
      </c>
    </row>
    <row r="516" customFormat="1" spans="1:31">
      <c r="A516" s="18"/>
      <c r="B516" s="19"/>
      <c r="C516" s="20">
        <v>240814000012</v>
      </c>
      <c r="D516" s="21">
        <v>45524</v>
      </c>
      <c r="E516" s="21" t="s">
        <v>41</v>
      </c>
      <c r="F516" s="19" t="s">
        <v>42</v>
      </c>
      <c r="G516" s="19" t="s">
        <v>342</v>
      </c>
      <c r="H516" s="19">
        <v>5.5</v>
      </c>
      <c r="I516" s="51">
        <v>333</v>
      </c>
      <c r="J516" s="52"/>
      <c r="K516" s="45"/>
      <c r="L516" s="19"/>
      <c r="M516" s="45"/>
      <c r="N516" s="48"/>
      <c r="O516" s="49">
        <f t="shared" si="274"/>
        <v>333</v>
      </c>
      <c r="P516" s="53"/>
      <c r="Q516" s="53"/>
      <c r="R516" s="76">
        <f t="shared" si="276"/>
        <v>223.8559566787</v>
      </c>
      <c r="S516" s="77"/>
      <c r="T516" s="77">
        <f t="shared" si="277"/>
        <v>0.407734657039711</v>
      </c>
      <c r="U516" s="76"/>
      <c r="V516" s="76"/>
      <c r="W516" s="78">
        <f t="shared" si="275"/>
        <v>224.26369133574</v>
      </c>
      <c r="X516" s="79">
        <f t="shared" si="278"/>
        <v>4.18917328519856</v>
      </c>
      <c r="Y516" s="79"/>
      <c r="Z516" s="79"/>
      <c r="AA516" s="79">
        <f t="shared" si="273"/>
        <v>4.18917328519856</v>
      </c>
      <c r="AB516" s="90">
        <v>7.15</v>
      </c>
      <c r="AC516" s="76">
        <f t="shared" si="271"/>
        <v>29.9525889891697</v>
      </c>
      <c r="AD516" s="76">
        <f t="shared" si="272"/>
        <v>254.21628032491</v>
      </c>
      <c r="AE516" s="76">
        <f t="shared" si="270"/>
        <v>78.7837196750902</v>
      </c>
    </row>
    <row r="517" customFormat="1" spans="1:31">
      <c r="A517" s="18"/>
      <c r="B517" s="19"/>
      <c r="C517" s="20">
        <v>240814000013</v>
      </c>
      <c r="D517" s="21">
        <v>45524</v>
      </c>
      <c r="E517" s="21" t="s">
        <v>51</v>
      </c>
      <c r="F517" s="19" t="s">
        <v>52</v>
      </c>
      <c r="G517" s="19" t="s">
        <v>207</v>
      </c>
      <c r="H517" s="19">
        <v>3</v>
      </c>
      <c r="I517" s="49"/>
      <c r="J517" s="44">
        <v>41402</v>
      </c>
      <c r="K517" s="45"/>
      <c r="L517" s="46">
        <f>SUM(J517/M517)</f>
        <v>1630</v>
      </c>
      <c r="M517" s="47">
        <v>25.4</v>
      </c>
      <c r="N517" s="48">
        <v>7.15</v>
      </c>
      <c r="O517" s="49">
        <f t="shared" ref="O517:O521" si="279">SUM(M517*N517)</f>
        <v>181.61</v>
      </c>
      <c r="P517" s="53"/>
      <c r="Q517" s="53"/>
      <c r="R517" s="76">
        <f t="shared" si="276"/>
        <v>122.103249097473</v>
      </c>
      <c r="S517" s="77"/>
      <c r="T517" s="77">
        <f t="shared" si="277"/>
        <v>0.222400722021661</v>
      </c>
      <c r="U517" s="76"/>
      <c r="V517" s="76"/>
      <c r="W517" s="78">
        <f t="shared" si="275"/>
        <v>122.325649819495</v>
      </c>
      <c r="X517" s="79">
        <f t="shared" si="278"/>
        <v>2.2850036101083</v>
      </c>
      <c r="Y517" s="79"/>
      <c r="Z517" s="79"/>
      <c r="AA517" s="79">
        <f t="shared" si="273"/>
        <v>2.2850036101083</v>
      </c>
      <c r="AB517" s="90">
        <v>7.15</v>
      </c>
      <c r="AC517" s="76">
        <f t="shared" si="271"/>
        <v>16.3377758122744</v>
      </c>
      <c r="AD517" s="76">
        <f t="shared" si="272"/>
        <v>138.663425631769</v>
      </c>
      <c r="AE517" s="76">
        <f t="shared" si="270"/>
        <v>42.946574368231</v>
      </c>
    </row>
    <row r="518" customFormat="1" spans="1:31">
      <c r="A518" s="18"/>
      <c r="B518" s="19"/>
      <c r="C518" s="20">
        <v>240814000015</v>
      </c>
      <c r="D518" s="21">
        <v>45524</v>
      </c>
      <c r="E518" s="21" t="s">
        <v>41</v>
      </c>
      <c r="F518" s="19" t="s">
        <v>42</v>
      </c>
      <c r="G518" s="19" t="s">
        <v>374</v>
      </c>
      <c r="H518" s="19">
        <v>12.5</v>
      </c>
      <c r="I518" s="51">
        <v>718.5</v>
      </c>
      <c r="J518" s="52"/>
      <c r="K518" s="45"/>
      <c r="L518" s="19"/>
      <c r="M518" s="45"/>
      <c r="N518" s="48"/>
      <c r="O518" s="49">
        <f t="shared" ref="O518:O524" si="280">SUM(I518)</f>
        <v>718.5</v>
      </c>
      <c r="P518" s="53"/>
      <c r="Q518" s="53"/>
      <c r="R518" s="76">
        <f t="shared" si="276"/>
        <v>508.763537906137</v>
      </c>
      <c r="S518" s="77"/>
      <c r="T518" s="77">
        <f t="shared" si="277"/>
        <v>0.926669675090253</v>
      </c>
      <c r="U518" s="76"/>
      <c r="V518" s="76"/>
      <c r="W518" s="78">
        <f t="shared" si="275"/>
        <v>509.690207581227</v>
      </c>
      <c r="X518" s="79">
        <f t="shared" si="278"/>
        <v>9.52084837545126</v>
      </c>
      <c r="Y518" s="79"/>
      <c r="Z518" s="79"/>
      <c r="AA518" s="79">
        <f t="shared" si="273"/>
        <v>9.52084837545126</v>
      </c>
      <c r="AB518" s="90">
        <v>7.15</v>
      </c>
      <c r="AC518" s="76">
        <f t="shared" si="271"/>
        <v>68.0740658844765</v>
      </c>
      <c r="AD518" s="76">
        <f t="shared" si="272"/>
        <v>577.764273465704</v>
      </c>
      <c r="AE518" s="76">
        <f t="shared" si="270"/>
        <v>140.735726534296</v>
      </c>
    </row>
    <row r="519" customFormat="1" spans="1:31">
      <c r="A519" s="18"/>
      <c r="B519" s="19"/>
      <c r="C519" s="20">
        <v>240814000020</v>
      </c>
      <c r="D519" s="21">
        <v>45524</v>
      </c>
      <c r="E519" s="21" t="s">
        <v>41</v>
      </c>
      <c r="F519" s="19" t="s">
        <v>42</v>
      </c>
      <c r="G519" s="19" t="s">
        <v>375</v>
      </c>
      <c r="H519" s="19">
        <v>54.5</v>
      </c>
      <c r="I519" s="51">
        <v>2997</v>
      </c>
      <c r="J519" s="52"/>
      <c r="K519" s="45"/>
      <c r="L519" s="19"/>
      <c r="M519" s="45"/>
      <c r="N519" s="48"/>
      <c r="O519" s="49">
        <f t="shared" si="280"/>
        <v>2997</v>
      </c>
      <c r="P519" s="53"/>
      <c r="Q519" s="53"/>
      <c r="R519" s="76">
        <f t="shared" si="276"/>
        <v>2218.20902527076</v>
      </c>
      <c r="S519" s="77"/>
      <c r="T519" s="77">
        <f t="shared" si="277"/>
        <v>4.0402797833935</v>
      </c>
      <c r="U519" s="76"/>
      <c r="V519" s="76"/>
      <c r="W519" s="78">
        <f t="shared" si="275"/>
        <v>2222.24930505415</v>
      </c>
      <c r="X519" s="79">
        <f t="shared" si="278"/>
        <v>41.5108989169675</v>
      </c>
      <c r="Y519" s="79"/>
      <c r="Z519" s="79"/>
      <c r="AA519" s="79">
        <f t="shared" si="273"/>
        <v>41.5108989169675</v>
      </c>
      <c r="AB519" s="90">
        <v>7.15</v>
      </c>
      <c r="AC519" s="76">
        <f t="shared" si="271"/>
        <v>296.802927256318</v>
      </c>
      <c r="AD519" s="76">
        <f t="shared" si="272"/>
        <v>2519.05223231047</v>
      </c>
      <c r="AE519" s="76">
        <f t="shared" si="270"/>
        <v>477.94776768953</v>
      </c>
    </row>
    <row r="520" customFormat="1" spans="1:31">
      <c r="A520" s="18"/>
      <c r="B520" s="19"/>
      <c r="C520" s="20">
        <v>240814000021</v>
      </c>
      <c r="D520" s="21">
        <v>45524</v>
      </c>
      <c r="E520" s="21" t="s">
        <v>44</v>
      </c>
      <c r="F520" s="19" t="s">
        <v>45</v>
      </c>
      <c r="G520" s="19" t="s">
        <v>236</v>
      </c>
      <c r="H520" s="19">
        <v>1.5</v>
      </c>
      <c r="I520" s="49"/>
      <c r="J520" s="44">
        <v>21238</v>
      </c>
      <c r="K520" s="45"/>
      <c r="L520" s="46">
        <f t="shared" ref="L520:L525" si="281">SUM(J520/M520)</f>
        <v>1639.99987335908</v>
      </c>
      <c r="M520" s="47">
        <v>12.950001</v>
      </c>
      <c r="N520" s="48">
        <v>7.15</v>
      </c>
      <c r="O520" s="49">
        <f t="shared" si="279"/>
        <v>92.59250715</v>
      </c>
      <c r="P520" s="53"/>
      <c r="Q520" s="53"/>
      <c r="R520" s="76">
        <f t="shared" si="276"/>
        <v>61.0516245487365</v>
      </c>
      <c r="S520" s="77"/>
      <c r="T520" s="77">
        <f t="shared" si="277"/>
        <v>0.11120036101083</v>
      </c>
      <c r="U520" s="76"/>
      <c r="V520" s="76"/>
      <c r="W520" s="78">
        <f t="shared" si="275"/>
        <v>61.1628249097473</v>
      </c>
      <c r="X520" s="79">
        <f t="shared" si="278"/>
        <v>1.14250180505415</v>
      </c>
      <c r="Y520" s="79"/>
      <c r="Z520" s="79"/>
      <c r="AA520" s="79">
        <f t="shared" si="273"/>
        <v>1.14250180505415</v>
      </c>
      <c r="AB520" s="90">
        <v>7.15</v>
      </c>
      <c r="AC520" s="76">
        <f t="shared" si="271"/>
        <v>8.16888790613719</v>
      </c>
      <c r="AD520" s="76">
        <f t="shared" si="272"/>
        <v>69.3317128158845</v>
      </c>
      <c r="AE520" s="76">
        <f t="shared" si="270"/>
        <v>23.2607943341155</v>
      </c>
    </row>
    <row r="521" customFormat="1" spans="1:31">
      <c r="A521" s="18"/>
      <c r="B521" s="19"/>
      <c r="C521" s="20">
        <v>240814000026</v>
      </c>
      <c r="D521" s="21">
        <v>45524</v>
      </c>
      <c r="E521" s="21" t="s">
        <v>41</v>
      </c>
      <c r="F521" s="19" t="s">
        <v>42</v>
      </c>
      <c r="G521" s="19" t="s">
        <v>376</v>
      </c>
      <c r="H521" s="19">
        <v>261</v>
      </c>
      <c r="I521" s="49"/>
      <c r="J521" s="44">
        <v>3675436.8</v>
      </c>
      <c r="K521" s="45"/>
      <c r="L521" s="46">
        <f t="shared" si="281"/>
        <v>1640</v>
      </c>
      <c r="M521" s="47">
        <v>2241.12</v>
      </c>
      <c r="N521" s="48">
        <v>7.15</v>
      </c>
      <c r="O521" s="49">
        <f t="shared" si="279"/>
        <v>16024.008</v>
      </c>
      <c r="P521" s="53"/>
      <c r="Q521" s="53"/>
      <c r="R521" s="76">
        <f t="shared" si="276"/>
        <v>10622.9826714801</v>
      </c>
      <c r="S521" s="77"/>
      <c r="T521" s="77">
        <f t="shared" si="277"/>
        <v>19.3488628158845</v>
      </c>
      <c r="U521" s="76"/>
      <c r="V521" s="76"/>
      <c r="W521" s="78">
        <f t="shared" si="275"/>
        <v>10642.331534296</v>
      </c>
      <c r="X521" s="79">
        <f t="shared" si="278"/>
        <v>198.795314079422</v>
      </c>
      <c r="Y521" s="79"/>
      <c r="Z521" s="79"/>
      <c r="AA521" s="79">
        <f t="shared" si="273"/>
        <v>198.795314079422</v>
      </c>
      <c r="AB521" s="90">
        <v>7.15</v>
      </c>
      <c r="AC521" s="76">
        <f t="shared" si="271"/>
        <v>1421.38649566787</v>
      </c>
      <c r="AD521" s="76">
        <f t="shared" si="272"/>
        <v>12063.7180299639</v>
      </c>
      <c r="AE521" s="76">
        <f t="shared" si="270"/>
        <v>3960.2899700361</v>
      </c>
    </row>
    <row r="522" customFormat="1" spans="1:31">
      <c r="A522" s="18"/>
      <c r="B522" s="19"/>
      <c r="C522" s="20">
        <v>240814000027</v>
      </c>
      <c r="D522" s="21">
        <v>45524</v>
      </c>
      <c r="E522" s="21" t="s">
        <v>44</v>
      </c>
      <c r="F522" s="19" t="s">
        <v>45</v>
      </c>
      <c r="G522" s="19" t="s">
        <v>46</v>
      </c>
      <c r="H522" s="19">
        <v>2.5</v>
      </c>
      <c r="I522" s="51">
        <v>153</v>
      </c>
      <c r="J522" s="52"/>
      <c r="K522" s="45"/>
      <c r="L522" s="19"/>
      <c r="M522" s="45"/>
      <c r="N522" s="48"/>
      <c r="O522" s="49">
        <f t="shared" si="280"/>
        <v>153</v>
      </c>
      <c r="P522" s="53"/>
      <c r="Q522" s="53"/>
      <c r="R522" s="76">
        <f t="shared" si="276"/>
        <v>101.752707581227</v>
      </c>
      <c r="S522" s="77"/>
      <c r="T522" s="77">
        <f t="shared" si="277"/>
        <v>0.185333935018051</v>
      </c>
      <c r="U522" s="76"/>
      <c r="V522" s="76"/>
      <c r="W522" s="78">
        <f t="shared" si="275"/>
        <v>101.938041516245</v>
      </c>
      <c r="X522" s="79">
        <f t="shared" si="278"/>
        <v>1.90416967509025</v>
      </c>
      <c r="Y522" s="79"/>
      <c r="Z522" s="79"/>
      <c r="AA522" s="79">
        <f t="shared" si="273"/>
        <v>1.90416967509025</v>
      </c>
      <c r="AB522" s="90">
        <v>7.15</v>
      </c>
      <c r="AC522" s="76">
        <f t="shared" si="271"/>
        <v>13.6148131768953</v>
      </c>
      <c r="AD522" s="76">
        <f t="shared" si="272"/>
        <v>115.552854693141</v>
      </c>
      <c r="AE522" s="76">
        <f t="shared" si="270"/>
        <v>37.447145306859</v>
      </c>
    </row>
    <row r="523" customFormat="1" spans="1:31">
      <c r="A523" s="18"/>
      <c r="B523" s="19"/>
      <c r="C523" s="20">
        <v>240814000028</v>
      </c>
      <c r="D523" s="21">
        <v>45524</v>
      </c>
      <c r="E523" s="21" t="s">
        <v>44</v>
      </c>
      <c r="F523" s="19" t="s">
        <v>45</v>
      </c>
      <c r="G523" s="19" t="s">
        <v>377</v>
      </c>
      <c r="H523" s="19">
        <v>2</v>
      </c>
      <c r="I523" s="51">
        <v>123</v>
      </c>
      <c r="J523" s="52"/>
      <c r="K523" s="45"/>
      <c r="L523" s="19"/>
      <c r="M523" s="45"/>
      <c r="N523" s="48"/>
      <c r="O523" s="49">
        <f t="shared" si="280"/>
        <v>123</v>
      </c>
      <c r="P523" s="53"/>
      <c r="Q523" s="53"/>
      <c r="R523" s="76">
        <f t="shared" si="276"/>
        <v>81.402166064982</v>
      </c>
      <c r="S523" s="77"/>
      <c r="T523" s="77">
        <f t="shared" si="277"/>
        <v>0.14826714801444</v>
      </c>
      <c r="U523" s="76"/>
      <c r="V523" s="76"/>
      <c r="W523" s="78">
        <f t="shared" si="275"/>
        <v>81.5504332129964</v>
      </c>
      <c r="X523" s="79">
        <f t="shared" si="278"/>
        <v>1.5233357400722</v>
      </c>
      <c r="Y523" s="79"/>
      <c r="Z523" s="79"/>
      <c r="AA523" s="79">
        <f t="shared" si="273"/>
        <v>1.5233357400722</v>
      </c>
      <c r="AB523" s="90">
        <v>7.15</v>
      </c>
      <c r="AC523" s="76">
        <f t="shared" si="271"/>
        <v>10.8918505415162</v>
      </c>
      <c r="AD523" s="76">
        <f t="shared" si="272"/>
        <v>92.4422837545126</v>
      </c>
      <c r="AE523" s="76">
        <f t="shared" si="270"/>
        <v>30.5577162454874</v>
      </c>
    </row>
    <row r="524" customFormat="1" spans="1:31">
      <c r="A524" s="18"/>
      <c r="B524" s="19"/>
      <c r="C524" s="22">
        <v>240814000029</v>
      </c>
      <c r="D524" s="23">
        <v>45524</v>
      </c>
      <c r="E524" s="21" t="s">
        <v>41</v>
      </c>
      <c r="F524" s="24" t="s">
        <v>42</v>
      </c>
      <c r="G524" s="24" t="s">
        <v>282</v>
      </c>
      <c r="H524" s="24">
        <v>8</v>
      </c>
      <c r="I524" s="51">
        <v>572</v>
      </c>
      <c r="J524" s="52"/>
      <c r="K524" s="45"/>
      <c r="L524" s="19"/>
      <c r="M524" s="45"/>
      <c r="N524" s="48"/>
      <c r="O524" s="49">
        <f t="shared" si="280"/>
        <v>572</v>
      </c>
      <c r="P524" s="53"/>
      <c r="Q524" s="53"/>
      <c r="R524" s="76">
        <f t="shared" si="276"/>
        <v>325.608664259928</v>
      </c>
      <c r="S524" s="77"/>
      <c r="T524" s="77">
        <f t="shared" si="277"/>
        <v>0.593068592057762</v>
      </c>
      <c r="U524" s="76"/>
      <c r="V524" s="77">
        <v>110</v>
      </c>
      <c r="W524" s="78">
        <f t="shared" si="275"/>
        <v>436.201732851986</v>
      </c>
      <c r="X524" s="79">
        <f t="shared" si="278"/>
        <v>6.09334296028881</v>
      </c>
      <c r="Y524" s="79"/>
      <c r="Z524" s="79"/>
      <c r="AA524" s="79">
        <f t="shared" si="273"/>
        <v>6.09334296028881</v>
      </c>
      <c r="AB524" s="90">
        <v>7.15</v>
      </c>
      <c r="AC524" s="76">
        <f t="shared" si="271"/>
        <v>43.567402166065</v>
      </c>
      <c r="AD524" s="76">
        <f t="shared" si="272"/>
        <v>479.769135018051</v>
      </c>
      <c r="AE524" s="76">
        <f t="shared" si="270"/>
        <v>92.230864981949</v>
      </c>
    </row>
    <row r="525" customFormat="1" spans="1:31">
      <c r="A525" s="18"/>
      <c r="B525" s="19"/>
      <c r="C525" s="20">
        <v>240814000032</v>
      </c>
      <c r="D525" s="21">
        <v>45524</v>
      </c>
      <c r="E525" s="21" t="s">
        <v>127</v>
      </c>
      <c r="F525" s="19" t="s">
        <v>194</v>
      </c>
      <c r="G525" s="19" t="s">
        <v>207</v>
      </c>
      <c r="H525" s="19">
        <v>7</v>
      </c>
      <c r="I525" s="49"/>
      <c r="J525" s="44">
        <v>91606</v>
      </c>
      <c r="K525" s="45"/>
      <c r="L525" s="46">
        <f t="shared" si="281"/>
        <v>1630</v>
      </c>
      <c r="M525" s="47">
        <v>56.2</v>
      </c>
      <c r="N525" s="48">
        <v>7.15</v>
      </c>
      <c r="O525" s="49">
        <f>SUM(M525*N525)</f>
        <v>401.83</v>
      </c>
      <c r="P525" s="53"/>
      <c r="Q525" s="53"/>
      <c r="R525" s="76">
        <f t="shared" si="276"/>
        <v>284.907581227437</v>
      </c>
      <c r="S525" s="77"/>
      <c r="T525" s="77">
        <f t="shared" si="277"/>
        <v>0.518935018050542</v>
      </c>
      <c r="U525" s="76"/>
      <c r="V525" s="76"/>
      <c r="W525" s="78">
        <f t="shared" si="275"/>
        <v>285.426516245487</v>
      </c>
      <c r="X525" s="79">
        <f t="shared" si="278"/>
        <v>5.33167509025271</v>
      </c>
      <c r="Y525" s="79"/>
      <c r="Z525" s="79"/>
      <c r="AA525" s="79">
        <f t="shared" si="273"/>
        <v>5.33167509025271</v>
      </c>
      <c r="AB525" s="90">
        <v>7.15</v>
      </c>
      <c r="AC525" s="76">
        <f t="shared" si="271"/>
        <v>38.1214768953069</v>
      </c>
      <c r="AD525" s="76">
        <f t="shared" si="272"/>
        <v>323.547993140794</v>
      </c>
      <c r="AE525" s="76">
        <f t="shared" si="270"/>
        <v>78.2820068592058</v>
      </c>
    </row>
    <row r="526" customFormat="1" spans="1:31">
      <c r="A526" s="18"/>
      <c r="B526" s="19"/>
      <c r="C526" s="20">
        <v>240815000001</v>
      </c>
      <c r="D526" s="21">
        <v>45524</v>
      </c>
      <c r="E526" s="21" t="s">
        <v>41</v>
      </c>
      <c r="F526" s="19" t="s">
        <v>60</v>
      </c>
      <c r="G526" s="19" t="s">
        <v>61</v>
      </c>
      <c r="H526" s="19">
        <v>28</v>
      </c>
      <c r="I526" s="51">
        <v>1689</v>
      </c>
      <c r="J526" s="52"/>
      <c r="K526" s="45"/>
      <c r="L526" s="19"/>
      <c r="M526" s="45"/>
      <c r="N526" s="48"/>
      <c r="O526" s="49">
        <f t="shared" ref="O526:O529" si="282">SUM(I526)</f>
        <v>1689</v>
      </c>
      <c r="P526" s="53"/>
      <c r="Q526" s="53"/>
      <c r="R526" s="76">
        <f t="shared" si="276"/>
        <v>1139.63032490975</v>
      </c>
      <c r="S526" s="77"/>
      <c r="T526" s="77">
        <f t="shared" si="277"/>
        <v>2.07574007220217</v>
      </c>
      <c r="U526" s="76"/>
      <c r="V526" s="76"/>
      <c r="W526" s="78">
        <f t="shared" si="275"/>
        <v>1141.70606498195</v>
      </c>
      <c r="X526" s="79">
        <f t="shared" si="278"/>
        <v>21.3267003610108</v>
      </c>
      <c r="Y526" s="79"/>
      <c r="Z526" s="79"/>
      <c r="AA526" s="79">
        <f t="shared" si="273"/>
        <v>21.3267003610108</v>
      </c>
      <c r="AB526" s="90">
        <v>7.15</v>
      </c>
      <c r="AC526" s="76">
        <f t="shared" si="271"/>
        <v>152.485907581227</v>
      </c>
      <c r="AD526" s="76">
        <f t="shared" si="272"/>
        <v>1294.19197256318</v>
      </c>
      <c r="AE526" s="76">
        <f t="shared" si="270"/>
        <v>394.808027436823</v>
      </c>
    </row>
    <row r="527" customFormat="1" spans="1:31">
      <c r="A527" s="18"/>
      <c r="B527" s="19"/>
      <c r="C527" s="20">
        <v>240815000002</v>
      </c>
      <c r="D527" s="21">
        <v>45524</v>
      </c>
      <c r="E527" s="21" t="s">
        <v>57</v>
      </c>
      <c r="F527" s="19" t="s">
        <v>57</v>
      </c>
      <c r="G527" s="19" t="s">
        <v>154</v>
      </c>
      <c r="H527" s="19">
        <v>0.92</v>
      </c>
      <c r="I527" s="51">
        <v>63</v>
      </c>
      <c r="J527" s="52"/>
      <c r="K527" s="45"/>
      <c r="L527" s="19"/>
      <c r="M527" s="45"/>
      <c r="N527" s="48"/>
      <c r="O527" s="49">
        <f t="shared" si="282"/>
        <v>63</v>
      </c>
      <c r="P527" s="53"/>
      <c r="Q527" s="53"/>
      <c r="R527" s="76">
        <f t="shared" si="276"/>
        <v>37.4449963898917</v>
      </c>
      <c r="S527" s="77"/>
      <c r="T527" s="77">
        <f t="shared" si="277"/>
        <v>0.0682028880866426</v>
      </c>
      <c r="U527" s="76"/>
      <c r="V527" s="76"/>
      <c r="W527" s="78">
        <f t="shared" si="275"/>
        <v>37.5131992779783</v>
      </c>
      <c r="X527" s="79">
        <f t="shared" si="278"/>
        <v>0.700734440433213</v>
      </c>
      <c r="Y527" s="79"/>
      <c r="Z527" s="79"/>
      <c r="AA527" s="79">
        <f t="shared" si="273"/>
        <v>0.700734440433213</v>
      </c>
      <c r="AB527" s="90">
        <v>7.15</v>
      </c>
      <c r="AC527" s="76">
        <f t="shared" si="271"/>
        <v>5.01025124909747</v>
      </c>
      <c r="AD527" s="76">
        <f t="shared" si="272"/>
        <v>42.5234505270758</v>
      </c>
      <c r="AE527" s="76">
        <f t="shared" si="270"/>
        <v>20.4765494729242</v>
      </c>
    </row>
    <row r="528" customFormat="1" spans="1:31">
      <c r="A528" s="18"/>
      <c r="B528" s="19"/>
      <c r="C528" s="20">
        <v>240815000008</v>
      </c>
      <c r="D528" s="21">
        <v>45524</v>
      </c>
      <c r="E528" s="21" t="s">
        <v>51</v>
      </c>
      <c r="F528" s="19" t="s">
        <v>52</v>
      </c>
      <c r="G528" s="19" t="s">
        <v>327</v>
      </c>
      <c r="H528" s="19">
        <v>0.7</v>
      </c>
      <c r="I528" s="51">
        <v>69</v>
      </c>
      <c r="J528" s="52"/>
      <c r="K528" s="45"/>
      <c r="L528" s="19"/>
      <c r="M528" s="45"/>
      <c r="N528" s="48"/>
      <c r="O528" s="49">
        <f t="shared" si="282"/>
        <v>69</v>
      </c>
      <c r="P528" s="53"/>
      <c r="Q528" s="53"/>
      <c r="R528" s="76">
        <f t="shared" si="276"/>
        <v>28.4907581227437</v>
      </c>
      <c r="S528" s="77"/>
      <c r="T528" s="77">
        <f t="shared" si="277"/>
        <v>0.0518935018050541</v>
      </c>
      <c r="U528" s="76"/>
      <c r="V528" s="76"/>
      <c r="W528" s="78">
        <f t="shared" si="275"/>
        <v>28.5426516245487</v>
      </c>
      <c r="X528" s="79">
        <f t="shared" si="278"/>
        <v>0.533167509025271</v>
      </c>
      <c r="Y528" s="79"/>
      <c r="Z528" s="79"/>
      <c r="AA528" s="79">
        <f t="shared" si="273"/>
        <v>0.533167509025271</v>
      </c>
      <c r="AB528" s="90">
        <v>7.15</v>
      </c>
      <c r="AC528" s="76">
        <f t="shared" si="271"/>
        <v>3.81214768953069</v>
      </c>
      <c r="AD528" s="76">
        <f t="shared" si="272"/>
        <v>32.3547993140794</v>
      </c>
      <c r="AE528" s="76">
        <f t="shared" si="270"/>
        <v>36.6452006859206</v>
      </c>
    </row>
    <row r="529" customFormat="1" spans="1:31">
      <c r="A529" s="18"/>
      <c r="B529" s="19"/>
      <c r="C529" s="20">
        <v>240815000012</v>
      </c>
      <c r="D529" s="21">
        <v>45524</v>
      </c>
      <c r="E529" s="21" t="s">
        <v>41</v>
      </c>
      <c r="F529" s="19" t="s">
        <v>42</v>
      </c>
      <c r="G529" s="19" t="s">
        <v>43</v>
      </c>
      <c r="H529" s="19">
        <v>3</v>
      </c>
      <c r="I529" s="51">
        <v>159</v>
      </c>
      <c r="J529" s="52"/>
      <c r="K529" s="45"/>
      <c r="L529" s="19"/>
      <c r="M529" s="45"/>
      <c r="N529" s="48"/>
      <c r="O529" s="49">
        <f t="shared" si="282"/>
        <v>159</v>
      </c>
      <c r="P529" s="53"/>
      <c r="Q529" s="53"/>
      <c r="R529" s="76">
        <f t="shared" si="276"/>
        <v>122.103249097473</v>
      </c>
      <c r="S529" s="77"/>
      <c r="T529" s="77">
        <f t="shared" si="277"/>
        <v>0.222400722021661</v>
      </c>
      <c r="U529" s="76"/>
      <c r="V529" s="76"/>
      <c r="W529" s="78">
        <f t="shared" si="275"/>
        <v>122.325649819495</v>
      </c>
      <c r="X529" s="79">
        <f t="shared" si="278"/>
        <v>2.2850036101083</v>
      </c>
      <c r="Y529" s="79"/>
      <c r="Z529" s="79"/>
      <c r="AA529" s="79">
        <f t="shared" si="273"/>
        <v>2.2850036101083</v>
      </c>
      <c r="AB529" s="90">
        <v>7.15</v>
      </c>
      <c r="AC529" s="76">
        <f t="shared" si="271"/>
        <v>16.3377758122744</v>
      </c>
      <c r="AD529" s="76">
        <f t="shared" si="272"/>
        <v>138.663425631769</v>
      </c>
      <c r="AE529" s="76">
        <f t="shared" si="270"/>
        <v>20.336574368231</v>
      </c>
    </row>
    <row r="530" customFormat="1" spans="1:31">
      <c r="A530" s="18"/>
      <c r="B530" s="19"/>
      <c r="C530" s="20">
        <v>240815000014</v>
      </c>
      <c r="D530" s="21">
        <v>45524</v>
      </c>
      <c r="E530" s="21" t="s">
        <v>41</v>
      </c>
      <c r="F530" s="19" t="s">
        <v>42</v>
      </c>
      <c r="G530" s="19" t="s">
        <v>378</v>
      </c>
      <c r="H530" s="19">
        <v>3</v>
      </c>
      <c r="I530" s="43"/>
      <c r="J530" s="44">
        <v>41724</v>
      </c>
      <c r="K530" s="45"/>
      <c r="L530" s="46">
        <f>SUM(J530/M530)</f>
        <v>1630.48065650645</v>
      </c>
      <c r="M530" s="47">
        <v>25.59</v>
      </c>
      <c r="N530" s="48">
        <v>7.15</v>
      </c>
      <c r="O530" s="49">
        <f>SUM(M530*N530)</f>
        <v>182.9685</v>
      </c>
      <c r="P530" s="53"/>
      <c r="Q530" s="53"/>
      <c r="R530" s="76">
        <f t="shared" si="276"/>
        <v>122.103249097473</v>
      </c>
      <c r="S530" s="77"/>
      <c r="T530" s="77">
        <f t="shared" si="277"/>
        <v>0.222400722021661</v>
      </c>
      <c r="U530" s="76"/>
      <c r="V530" s="76"/>
      <c r="W530" s="78">
        <f t="shared" si="275"/>
        <v>122.325649819495</v>
      </c>
      <c r="X530" s="79">
        <f t="shared" si="278"/>
        <v>2.2850036101083</v>
      </c>
      <c r="Y530" s="79"/>
      <c r="Z530" s="79"/>
      <c r="AA530" s="79">
        <f t="shared" si="273"/>
        <v>2.2850036101083</v>
      </c>
      <c r="AB530" s="90">
        <v>7.15</v>
      </c>
      <c r="AC530" s="76">
        <f t="shared" si="271"/>
        <v>16.3377758122744</v>
      </c>
      <c r="AD530" s="76">
        <f t="shared" si="272"/>
        <v>138.663425631769</v>
      </c>
      <c r="AE530" s="76">
        <f t="shared" si="270"/>
        <v>44.305074368231</v>
      </c>
    </row>
    <row r="531" customFormat="1" spans="1:31">
      <c r="A531" s="18"/>
      <c r="B531" s="19"/>
      <c r="C531" s="20">
        <v>240815000016</v>
      </c>
      <c r="D531" s="21">
        <v>45524</v>
      </c>
      <c r="E531" s="21" t="s">
        <v>51</v>
      </c>
      <c r="F531" s="19" t="s">
        <v>52</v>
      </c>
      <c r="G531" s="19" t="s">
        <v>122</v>
      </c>
      <c r="H531" s="19">
        <v>3</v>
      </c>
      <c r="I531" s="51">
        <v>183</v>
      </c>
      <c r="J531" s="52"/>
      <c r="K531" s="45"/>
      <c r="L531" s="19"/>
      <c r="M531" s="45"/>
      <c r="N531" s="48"/>
      <c r="O531" s="49">
        <f t="shared" ref="O531:O535" si="283">SUM(I531)</f>
        <v>183</v>
      </c>
      <c r="P531" s="53"/>
      <c r="Q531" s="53"/>
      <c r="R531" s="76">
        <f t="shared" si="276"/>
        <v>122.103249097473</v>
      </c>
      <c r="S531" s="77"/>
      <c r="T531" s="77">
        <f t="shared" si="277"/>
        <v>0.222400722021661</v>
      </c>
      <c r="U531" s="76"/>
      <c r="V531" s="76"/>
      <c r="W531" s="78">
        <f t="shared" si="275"/>
        <v>122.325649819495</v>
      </c>
      <c r="X531" s="79">
        <f t="shared" si="278"/>
        <v>2.2850036101083</v>
      </c>
      <c r="Y531" s="79"/>
      <c r="Z531" s="79"/>
      <c r="AA531" s="79">
        <f t="shared" si="273"/>
        <v>2.2850036101083</v>
      </c>
      <c r="AB531" s="90">
        <v>7.15</v>
      </c>
      <c r="AC531" s="76">
        <f t="shared" si="271"/>
        <v>16.3377758122744</v>
      </c>
      <c r="AD531" s="76">
        <f t="shared" si="272"/>
        <v>138.663425631769</v>
      </c>
      <c r="AE531" s="76">
        <f t="shared" si="270"/>
        <v>44.336574368231</v>
      </c>
    </row>
    <row r="532" customFormat="1" spans="1:31">
      <c r="A532" s="18"/>
      <c r="B532" s="19"/>
      <c r="C532" s="20">
        <v>240815000019</v>
      </c>
      <c r="D532" s="21">
        <v>45524</v>
      </c>
      <c r="E532" s="21" t="s">
        <v>127</v>
      </c>
      <c r="F532" s="19" t="s">
        <v>194</v>
      </c>
      <c r="G532" s="19" t="s">
        <v>207</v>
      </c>
      <c r="H532" s="19">
        <v>3</v>
      </c>
      <c r="I532" s="49"/>
      <c r="J532" s="44">
        <v>41402</v>
      </c>
      <c r="K532" s="45"/>
      <c r="L532" s="46">
        <f>SUM(J532/M532)</f>
        <v>1630</v>
      </c>
      <c r="M532" s="47">
        <v>25.4</v>
      </c>
      <c r="N532" s="48">
        <v>7.15</v>
      </c>
      <c r="O532" s="49">
        <f>SUM(M532*N532)</f>
        <v>181.61</v>
      </c>
      <c r="P532" s="53"/>
      <c r="Q532" s="53"/>
      <c r="R532" s="76">
        <f t="shared" si="276"/>
        <v>122.103249097473</v>
      </c>
      <c r="S532" s="77"/>
      <c r="T532" s="77">
        <f t="shared" si="277"/>
        <v>0.222400722021661</v>
      </c>
      <c r="U532" s="76"/>
      <c r="V532" s="76"/>
      <c r="W532" s="78">
        <f t="shared" si="275"/>
        <v>122.325649819495</v>
      </c>
      <c r="X532" s="79">
        <f t="shared" si="278"/>
        <v>2.2850036101083</v>
      </c>
      <c r="Y532" s="79"/>
      <c r="Z532" s="79"/>
      <c r="AA532" s="79">
        <f t="shared" si="273"/>
        <v>2.2850036101083</v>
      </c>
      <c r="AB532" s="90">
        <v>7.15</v>
      </c>
      <c r="AC532" s="76">
        <f t="shared" si="271"/>
        <v>16.3377758122744</v>
      </c>
      <c r="AD532" s="76">
        <f t="shared" si="272"/>
        <v>138.663425631769</v>
      </c>
      <c r="AE532" s="76">
        <f t="shared" si="270"/>
        <v>42.946574368231</v>
      </c>
    </row>
    <row r="533" customFormat="1" spans="1:31">
      <c r="A533" s="18"/>
      <c r="B533" s="19"/>
      <c r="C533" s="20">
        <v>240815000020</v>
      </c>
      <c r="D533" s="21">
        <v>45524</v>
      </c>
      <c r="E533" s="21" t="s">
        <v>44</v>
      </c>
      <c r="F533" s="19" t="s">
        <v>45</v>
      </c>
      <c r="G533" s="19" t="s">
        <v>322</v>
      </c>
      <c r="H533" s="19">
        <v>1.5</v>
      </c>
      <c r="I533" s="51">
        <v>82.5</v>
      </c>
      <c r="J533" s="52"/>
      <c r="K533" s="45"/>
      <c r="L533" s="19"/>
      <c r="M533" s="45"/>
      <c r="N533" s="48"/>
      <c r="O533" s="49">
        <f t="shared" si="283"/>
        <v>82.5</v>
      </c>
      <c r="P533" s="53"/>
      <c r="Q533" s="53"/>
      <c r="R533" s="76">
        <f t="shared" si="276"/>
        <v>61.0516245487365</v>
      </c>
      <c r="S533" s="77"/>
      <c r="T533" s="77">
        <f t="shared" si="277"/>
        <v>0.11120036101083</v>
      </c>
      <c r="U533" s="76"/>
      <c r="V533" s="76"/>
      <c r="W533" s="78">
        <f t="shared" si="275"/>
        <v>61.1628249097473</v>
      </c>
      <c r="X533" s="79">
        <f t="shared" si="278"/>
        <v>1.14250180505415</v>
      </c>
      <c r="Y533" s="79"/>
      <c r="Z533" s="79"/>
      <c r="AA533" s="79">
        <f t="shared" si="273"/>
        <v>1.14250180505415</v>
      </c>
      <c r="AB533" s="90">
        <v>7.15</v>
      </c>
      <c r="AC533" s="76">
        <f t="shared" si="271"/>
        <v>8.16888790613719</v>
      </c>
      <c r="AD533" s="76">
        <f t="shared" si="272"/>
        <v>69.3317128158845</v>
      </c>
      <c r="AE533" s="76">
        <f t="shared" si="270"/>
        <v>13.1682871841155</v>
      </c>
    </row>
    <row r="534" customFormat="1" spans="1:31">
      <c r="A534" s="18"/>
      <c r="B534" s="19"/>
      <c r="C534" s="20">
        <v>240815000022</v>
      </c>
      <c r="D534" s="21">
        <v>45524</v>
      </c>
      <c r="E534" s="21" t="s">
        <v>57</v>
      </c>
      <c r="F534" s="19" t="s">
        <v>57</v>
      </c>
      <c r="G534" s="19" t="s">
        <v>260</v>
      </c>
      <c r="H534" s="19">
        <v>228.5</v>
      </c>
      <c r="I534" s="43">
        <v>12575.5</v>
      </c>
      <c r="J534" s="52"/>
      <c r="K534" s="45"/>
      <c r="L534" s="19"/>
      <c r="M534" s="45"/>
      <c r="N534" s="48"/>
      <c r="O534" s="49">
        <f t="shared" si="283"/>
        <v>12575.5</v>
      </c>
      <c r="P534" s="53"/>
      <c r="Q534" s="53"/>
      <c r="R534" s="76">
        <f t="shared" si="276"/>
        <v>9300.19747292419</v>
      </c>
      <c r="S534" s="77"/>
      <c r="T534" s="77">
        <f t="shared" si="277"/>
        <v>16.9395216606498</v>
      </c>
      <c r="U534" s="76"/>
      <c r="V534" s="76"/>
      <c r="W534" s="78">
        <f t="shared" si="275"/>
        <v>9317.13699458484</v>
      </c>
      <c r="X534" s="79">
        <f t="shared" si="278"/>
        <v>174.041108303249</v>
      </c>
      <c r="Y534" s="79"/>
      <c r="Z534" s="79"/>
      <c r="AA534" s="79">
        <f t="shared" si="273"/>
        <v>174.041108303249</v>
      </c>
      <c r="AB534" s="90">
        <v>7.15</v>
      </c>
      <c r="AC534" s="76">
        <f t="shared" si="271"/>
        <v>1244.39392436823</v>
      </c>
      <c r="AD534" s="76">
        <f t="shared" si="272"/>
        <v>10561.5309189531</v>
      </c>
      <c r="AE534" s="76">
        <f t="shared" si="270"/>
        <v>2013.96908104693</v>
      </c>
    </row>
    <row r="535" customFormat="1" spans="1:31">
      <c r="A535" s="18"/>
      <c r="B535" s="19"/>
      <c r="C535" s="20">
        <v>240815000023</v>
      </c>
      <c r="D535" s="21">
        <v>45524</v>
      </c>
      <c r="E535" s="21" t="s">
        <v>41</v>
      </c>
      <c r="F535" s="19" t="s">
        <v>42</v>
      </c>
      <c r="G535" s="19" t="s">
        <v>350</v>
      </c>
      <c r="H535" s="19">
        <v>291</v>
      </c>
      <c r="I535" s="51">
        <v>15700</v>
      </c>
      <c r="J535" s="52"/>
      <c r="K535" s="45"/>
      <c r="L535" s="19"/>
      <c r="M535" s="45"/>
      <c r="N535" s="48"/>
      <c r="O535" s="49">
        <f t="shared" si="283"/>
        <v>15700</v>
      </c>
      <c r="P535" s="53"/>
      <c r="Q535" s="53"/>
      <c r="R535" s="76">
        <f t="shared" si="276"/>
        <v>11844.0151624549</v>
      </c>
      <c r="S535" s="77"/>
      <c r="T535" s="77">
        <f t="shared" si="277"/>
        <v>21.5728700361011</v>
      </c>
      <c r="U535" s="77">
        <f>SUM(200+700)</f>
        <v>900</v>
      </c>
      <c r="V535" s="76"/>
      <c r="W535" s="78">
        <f t="shared" si="275"/>
        <v>12765.588032491</v>
      </c>
      <c r="X535" s="79">
        <f t="shared" si="278"/>
        <v>221.645350180505</v>
      </c>
      <c r="Y535" s="79"/>
      <c r="Z535" s="79"/>
      <c r="AA535" s="79">
        <f t="shared" si="273"/>
        <v>221.645350180505</v>
      </c>
      <c r="AB535" s="90">
        <v>7.15</v>
      </c>
      <c r="AC535" s="76">
        <f t="shared" si="271"/>
        <v>1584.76425379061</v>
      </c>
      <c r="AD535" s="76">
        <f t="shared" si="272"/>
        <v>14350.3522862816</v>
      </c>
      <c r="AE535" s="76">
        <f t="shared" si="270"/>
        <v>1349.64771371841</v>
      </c>
    </row>
    <row r="536" customFormat="1" spans="1:31">
      <c r="A536" s="18"/>
      <c r="B536" s="19"/>
      <c r="C536" s="20">
        <v>240815000025</v>
      </c>
      <c r="D536" s="21">
        <v>45524</v>
      </c>
      <c r="E536" s="21" t="s">
        <v>37</v>
      </c>
      <c r="F536" s="19" t="s">
        <v>38</v>
      </c>
      <c r="G536" s="19" t="s">
        <v>50</v>
      </c>
      <c r="H536" s="19">
        <v>36</v>
      </c>
      <c r="I536" s="43"/>
      <c r="J536" s="44">
        <v>435132</v>
      </c>
      <c r="K536" s="45"/>
      <c r="L536" s="46">
        <f t="shared" ref="L536:L540" si="284">SUM(J536/M536)</f>
        <v>1694.57122828881</v>
      </c>
      <c r="M536" s="47">
        <v>256.78</v>
      </c>
      <c r="N536" s="48">
        <v>7.15</v>
      </c>
      <c r="O536" s="49">
        <f t="shared" ref="O536:O540" si="285">SUM(M536*N536)</f>
        <v>1835.977</v>
      </c>
      <c r="P536" s="53"/>
      <c r="Q536" s="53"/>
      <c r="R536" s="76">
        <f t="shared" si="276"/>
        <v>1465.23898916968</v>
      </c>
      <c r="S536" s="77"/>
      <c r="T536" s="77">
        <f t="shared" si="277"/>
        <v>2.66880866425993</v>
      </c>
      <c r="U536" s="76"/>
      <c r="V536" s="76"/>
      <c r="W536" s="78">
        <f t="shared" si="275"/>
        <v>1467.90779783394</v>
      </c>
      <c r="X536" s="79">
        <f t="shared" si="278"/>
        <v>27.4200433212996</v>
      </c>
      <c r="Y536" s="79"/>
      <c r="Z536" s="79"/>
      <c r="AA536" s="79">
        <f t="shared" si="273"/>
        <v>27.4200433212996</v>
      </c>
      <c r="AB536" s="90">
        <v>7.15</v>
      </c>
      <c r="AC536" s="76">
        <f t="shared" si="271"/>
        <v>196.053309747292</v>
      </c>
      <c r="AD536" s="76">
        <f t="shared" si="272"/>
        <v>1663.96110758123</v>
      </c>
      <c r="AE536" s="76">
        <f t="shared" si="270"/>
        <v>172.015892418772</v>
      </c>
    </row>
    <row r="537" customFormat="1" spans="1:31">
      <c r="A537" s="18"/>
      <c r="B537" s="19"/>
      <c r="C537" s="20">
        <v>240815000028</v>
      </c>
      <c r="D537" s="21">
        <v>45524</v>
      </c>
      <c r="E537" s="21" t="s">
        <v>37</v>
      </c>
      <c r="F537" s="19" t="s">
        <v>38</v>
      </c>
      <c r="G537" s="19" t="s">
        <v>379</v>
      </c>
      <c r="H537" s="19">
        <v>2.5</v>
      </c>
      <c r="I537" s="51">
        <v>160</v>
      </c>
      <c r="J537" s="52"/>
      <c r="K537" s="45"/>
      <c r="L537" s="19"/>
      <c r="M537" s="45"/>
      <c r="N537" s="48"/>
      <c r="O537" s="49">
        <f t="shared" ref="O537:O542" si="286">SUM(I537)</f>
        <v>160</v>
      </c>
      <c r="P537" s="53"/>
      <c r="Q537" s="53"/>
      <c r="R537" s="76">
        <f t="shared" si="276"/>
        <v>101.752707581227</v>
      </c>
      <c r="S537" s="77"/>
      <c r="T537" s="77">
        <f t="shared" si="277"/>
        <v>0.185333935018051</v>
      </c>
      <c r="U537" s="76"/>
      <c r="V537" s="76"/>
      <c r="W537" s="78">
        <f t="shared" si="275"/>
        <v>101.938041516245</v>
      </c>
      <c r="X537" s="79">
        <f t="shared" si="278"/>
        <v>1.90416967509025</v>
      </c>
      <c r="Y537" s="79"/>
      <c r="Z537" s="79"/>
      <c r="AA537" s="79">
        <f t="shared" si="273"/>
        <v>1.90416967509025</v>
      </c>
      <c r="AB537" s="90">
        <v>7.15</v>
      </c>
      <c r="AC537" s="76">
        <f t="shared" si="271"/>
        <v>13.6148131768953</v>
      </c>
      <c r="AD537" s="76">
        <f t="shared" si="272"/>
        <v>115.552854693141</v>
      </c>
      <c r="AE537" s="76">
        <f t="shared" si="270"/>
        <v>44.4471453068592</v>
      </c>
    </row>
    <row r="538" customFormat="1" spans="1:31">
      <c r="A538" s="18"/>
      <c r="B538" s="19"/>
      <c r="C538" s="20">
        <v>240815000029</v>
      </c>
      <c r="D538" s="21">
        <v>45524</v>
      </c>
      <c r="E538" s="21" t="s">
        <v>37</v>
      </c>
      <c r="F538" s="19" t="s">
        <v>38</v>
      </c>
      <c r="G538" s="19" t="s">
        <v>64</v>
      </c>
      <c r="H538" s="19">
        <v>54.5</v>
      </c>
      <c r="I538" s="43"/>
      <c r="J538" s="44">
        <v>662592</v>
      </c>
      <c r="K538" s="45"/>
      <c r="L538" s="46">
        <f t="shared" si="284"/>
        <v>1658.80232325255</v>
      </c>
      <c r="M538" s="47">
        <v>399.44</v>
      </c>
      <c r="N538" s="48">
        <v>7.15</v>
      </c>
      <c r="O538" s="49">
        <f t="shared" si="285"/>
        <v>2855.996</v>
      </c>
      <c r="P538" s="53"/>
      <c r="Q538" s="53"/>
      <c r="R538" s="76">
        <f t="shared" si="276"/>
        <v>2218.20902527076</v>
      </c>
      <c r="S538" s="77"/>
      <c r="T538" s="77">
        <f t="shared" si="277"/>
        <v>4.0402797833935</v>
      </c>
      <c r="U538" s="76"/>
      <c r="V538" s="76"/>
      <c r="W538" s="78">
        <f t="shared" si="275"/>
        <v>2222.24930505415</v>
      </c>
      <c r="X538" s="79">
        <f t="shared" si="278"/>
        <v>41.5108989169675</v>
      </c>
      <c r="Y538" s="79"/>
      <c r="Z538" s="79"/>
      <c r="AA538" s="79">
        <f t="shared" si="273"/>
        <v>41.5108989169675</v>
      </c>
      <c r="AB538" s="90">
        <v>7.15</v>
      </c>
      <c r="AC538" s="76">
        <f t="shared" si="271"/>
        <v>296.802927256318</v>
      </c>
      <c r="AD538" s="76">
        <f t="shared" si="272"/>
        <v>2519.05223231047</v>
      </c>
      <c r="AE538" s="76">
        <f t="shared" si="270"/>
        <v>336.94376768953</v>
      </c>
    </row>
    <row r="539" customFormat="1" spans="1:31">
      <c r="A539" s="18"/>
      <c r="B539" s="19"/>
      <c r="C539" s="20">
        <v>240815000032</v>
      </c>
      <c r="D539" s="21">
        <v>45524</v>
      </c>
      <c r="E539" s="21" t="s">
        <v>37</v>
      </c>
      <c r="F539" s="19" t="s">
        <v>38</v>
      </c>
      <c r="G539" s="19" t="s">
        <v>380</v>
      </c>
      <c r="H539" s="19">
        <v>37.5</v>
      </c>
      <c r="I539" s="51">
        <v>1912.5</v>
      </c>
      <c r="J539" s="52"/>
      <c r="K539" s="45"/>
      <c r="L539" s="19"/>
      <c r="M539" s="45"/>
      <c r="N539" s="48"/>
      <c r="O539" s="49">
        <f t="shared" si="286"/>
        <v>1912.5</v>
      </c>
      <c r="P539" s="53"/>
      <c r="Q539" s="53"/>
      <c r="R539" s="76">
        <f t="shared" si="276"/>
        <v>1526.29061371841</v>
      </c>
      <c r="S539" s="77"/>
      <c r="T539" s="77">
        <f t="shared" si="277"/>
        <v>2.78000902527076</v>
      </c>
      <c r="U539" s="76"/>
      <c r="V539" s="76"/>
      <c r="W539" s="78">
        <f t="shared" si="275"/>
        <v>1529.07062274368</v>
      </c>
      <c r="X539" s="79">
        <f t="shared" si="278"/>
        <v>28.5625451263538</v>
      </c>
      <c r="Y539" s="79"/>
      <c r="Z539" s="79"/>
      <c r="AA539" s="79">
        <f t="shared" si="273"/>
        <v>28.5625451263538</v>
      </c>
      <c r="AB539" s="90">
        <v>7.15</v>
      </c>
      <c r="AC539" s="76">
        <f t="shared" si="271"/>
        <v>204.22219765343</v>
      </c>
      <c r="AD539" s="76">
        <f t="shared" si="272"/>
        <v>1733.29282039711</v>
      </c>
      <c r="AE539" s="76">
        <f t="shared" si="270"/>
        <v>179.207179602888</v>
      </c>
    </row>
    <row r="540" customFormat="1" spans="1:31">
      <c r="A540" s="18"/>
      <c r="B540" s="19"/>
      <c r="C540" s="20">
        <v>240815000034</v>
      </c>
      <c r="D540" s="21">
        <v>45524</v>
      </c>
      <c r="E540" s="21" t="s">
        <v>37</v>
      </c>
      <c r="F540" s="19" t="s">
        <v>38</v>
      </c>
      <c r="G540" s="19" t="s">
        <v>66</v>
      </c>
      <c r="H540" s="19">
        <v>34</v>
      </c>
      <c r="I540" s="43"/>
      <c r="J540" s="44">
        <v>460104</v>
      </c>
      <c r="K540" s="45"/>
      <c r="L540" s="46">
        <f t="shared" si="284"/>
        <v>1630.24483577224</v>
      </c>
      <c r="M540" s="47">
        <v>282.23</v>
      </c>
      <c r="N540" s="48">
        <v>7.15</v>
      </c>
      <c r="O540" s="49">
        <f t="shared" si="285"/>
        <v>2017.9445</v>
      </c>
      <c r="P540" s="53"/>
      <c r="Q540" s="53"/>
      <c r="R540" s="76">
        <f t="shared" si="276"/>
        <v>1383.83682310469</v>
      </c>
      <c r="S540" s="77"/>
      <c r="T540" s="77">
        <f t="shared" si="277"/>
        <v>2.52054151624549</v>
      </c>
      <c r="U540" s="76">
        <v>80</v>
      </c>
      <c r="V540" s="76"/>
      <c r="W540" s="78">
        <f t="shared" si="275"/>
        <v>1466.35736462094</v>
      </c>
      <c r="X540" s="79">
        <f t="shared" si="278"/>
        <v>25.8967075812274</v>
      </c>
      <c r="Y540" s="79"/>
      <c r="Z540" s="79"/>
      <c r="AA540" s="79">
        <f t="shared" si="273"/>
        <v>25.8967075812274</v>
      </c>
      <c r="AB540" s="90">
        <v>7.15</v>
      </c>
      <c r="AC540" s="76">
        <f t="shared" si="271"/>
        <v>185.161459205776</v>
      </c>
      <c r="AD540" s="76">
        <f t="shared" si="272"/>
        <v>1651.51882382671</v>
      </c>
      <c r="AE540" s="76">
        <f t="shared" si="270"/>
        <v>366.425676173285</v>
      </c>
    </row>
    <row r="541" customFormat="1" spans="1:31">
      <c r="A541" s="18"/>
      <c r="B541" s="19"/>
      <c r="C541" s="20">
        <v>240815000043</v>
      </c>
      <c r="D541" s="21">
        <v>45524</v>
      </c>
      <c r="E541" s="21" t="s">
        <v>41</v>
      </c>
      <c r="F541" s="19" t="s">
        <v>42</v>
      </c>
      <c r="G541" s="19" t="s">
        <v>211</v>
      </c>
      <c r="H541" s="19">
        <v>0.13</v>
      </c>
      <c r="I541" s="51">
        <v>213</v>
      </c>
      <c r="J541" s="52"/>
      <c r="K541" s="45"/>
      <c r="L541" s="19"/>
      <c r="M541" s="45"/>
      <c r="N541" s="48"/>
      <c r="O541" s="49">
        <f t="shared" si="286"/>
        <v>213</v>
      </c>
      <c r="P541" s="53"/>
      <c r="Q541" s="53"/>
      <c r="R541" s="76">
        <f t="shared" si="276"/>
        <v>5.29114079422383</v>
      </c>
      <c r="S541" s="77"/>
      <c r="T541" s="77">
        <f t="shared" si="277"/>
        <v>0.00963736462093863</v>
      </c>
      <c r="U541" s="76"/>
      <c r="V541" s="76"/>
      <c r="W541" s="78">
        <f t="shared" si="275"/>
        <v>5.30077815884477</v>
      </c>
      <c r="X541" s="79">
        <f t="shared" si="278"/>
        <v>0.0990168231046931</v>
      </c>
      <c r="Y541" s="79"/>
      <c r="Z541" s="79"/>
      <c r="AA541" s="79">
        <f t="shared" si="273"/>
        <v>0.0990168231046931</v>
      </c>
      <c r="AB541" s="90">
        <v>7.15</v>
      </c>
      <c r="AC541" s="76">
        <f t="shared" si="271"/>
        <v>0.707970285198556</v>
      </c>
      <c r="AD541" s="76">
        <f t="shared" si="272"/>
        <v>6.00874844404332</v>
      </c>
      <c r="AE541" s="76">
        <f t="shared" si="270"/>
        <v>206.991251555957</v>
      </c>
    </row>
    <row r="542" customFormat="1" spans="1:31">
      <c r="A542" s="18"/>
      <c r="B542" s="19"/>
      <c r="C542" s="20">
        <v>240816000005</v>
      </c>
      <c r="D542" s="21">
        <v>45524</v>
      </c>
      <c r="E542" s="21" t="s">
        <v>57</v>
      </c>
      <c r="F542" s="19" t="s">
        <v>57</v>
      </c>
      <c r="G542" s="19" t="s">
        <v>182</v>
      </c>
      <c r="H542" s="19">
        <v>99.5</v>
      </c>
      <c r="I542" s="51">
        <v>5387</v>
      </c>
      <c r="J542" s="52"/>
      <c r="K542" s="45"/>
      <c r="L542" s="19"/>
      <c r="M542" s="45"/>
      <c r="N542" s="48"/>
      <c r="O542" s="49">
        <f t="shared" si="286"/>
        <v>5387</v>
      </c>
      <c r="P542" s="53"/>
      <c r="Q542" s="53"/>
      <c r="R542" s="76">
        <f t="shared" si="276"/>
        <v>4049.75776173285</v>
      </c>
      <c r="S542" s="77"/>
      <c r="T542" s="77">
        <f t="shared" si="277"/>
        <v>7.37629061371841</v>
      </c>
      <c r="U542" s="76"/>
      <c r="V542" s="76"/>
      <c r="W542" s="78">
        <f t="shared" si="275"/>
        <v>4057.13405234657</v>
      </c>
      <c r="X542" s="79">
        <f t="shared" si="278"/>
        <v>75.7859530685921</v>
      </c>
      <c r="Y542" s="79"/>
      <c r="Z542" s="79"/>
      <c r="AA542" s="79">
        <f t="shared" si="273"/>
        <v>75.7859530685921</v>
      </c>
      <c r="AB542" s="90">
        <v>7.15</v>
      </c>
      <c r="AC542" s="76">
        <f t="shared" si="271"/>
        <v>541.869564440433</v>
      </c>
      <c r="AD542" s="76">
        <f t="shared" si="272"/>
        <v>4599.003616787</v>
      </c>
      <c r="AE542" s="76">
        <f t="shared" si="270"/>
        <v>787.996383212996</v>
      </c>
    </row>
    <row r="543" customFormat="1" spans="1:31">
      <c r="A543" s="18"/>
      <c r="B543" s="19"/>
      <c r="C543" s="20">
        <v>240816000006</v>
      </c>
      <c r="D543" s="21">
        <v>45524</v>
      </c>
      <c r="E543" s="21" t="s">
        <v>37</v>
      </c>
      <c r="F543" s="19" t="s">
        <v>38</v>
      </c>
      <c r="G543" s="19" t="s">
        <v>381</v>
      </c>
      <c r="H543" s="19">
        <v>1.5</v>
      </c>
      <c r="I543" s="43"/>
      <c r="J543" s="44">
        <v>21204</v>
      </c>
      <c r="K543" s="45"/>
      <c r="L543" s="46">
        <f>SUM(J543/M543)</f>
        <v>1631.07692307692</v>
      </c>
      <c r="M543" s="47">
        <v>13</v>
      </c>
      <c r="N543" s="48">
        <v>7.15</v>
      </c>
      <c r="O543" s="49">
        <f>SUM(M543*N543)</f>
        <v>92.95</v>
      </c>
      <c r="P543" s="53"/>
      <c r="Q543" s="53"/>
      <c r="R543" s="76">
        <f t="shared" si="276"/>
        <v>61.0516245487365</v>
      </c>
      <c r="S543" s="77"/>
      <c r="T543" s="77">
        <f t="shared" si="277"/>
        <v>0.11120036101083</v>
      </c>
      <c r="U543" s="76"/>
      <c r="V543" s="76"/>
      <c r="W543" s="78">
        <f t="shared" si="275"/>
        <v>61.1628249097473</v>
      </c>
      <c r="X543" s="79">
        <f t="shared" si="278"/>
        <v>1.14250180505415</v>
      </c>
      <c r="Y543" s="79"/>
      <c r="Z543" s="79"/>
      <c r="AA543" s="79">
        <f t="shared" si="273"/>
        <v>1.14250180505415</v>
      </c>
      <c r="AB543" s="90">
        <v>7.15</v>
      </c>
      <c r="AC543" s="76">
        <f t="shared" si="271"/>
        <v>8.16888790613719</v>
      </c>
      <c r="AD543" s="76">
        <f t="shared" si="272"/>
        <v>69.3317128158845</v>
      </c>
      <c r="AE543" s="76">
        <f t="shared" si="270"/>
        <v>23.6182871841155</v>
      </c>
    </row>
    <row r="544" customFormat="1" spans="1:31">
      <c r="A544" s="18"/>
      <c r="B544" s="19"/>
      <c r="C544" s="20">
        <v>240816000007</v>
      </c>
      <c r="D544" s="21">
        <v>45524</v>
      </c>
      <c r="E544" s="21" t="s">
        <v>51</v>
      </c>
      <c r="F544" s="19" t="s">
        <v>52</v>
      </c>
      <c r="G544" s="19" t="s">
        <v>269</v>
      </c>
      <c r="H544" s="19">
        <v>6.5</v>
      </c>
      <c r="I544" s="49"/>
      <c r="J544" s="44">
        <v>84214</v>
      </c>
      <c r="K544" s="45"/>
      <c r="L544" s="46">
        <f>SUM(J544/M544)</f>
        <v>1640</v>
      </c>
      <c r="M544" s="47">
        <v>51.35</v>
      </c>
      <c r="N544" s="48">
        <v>7.15</v>
      </c>
      <c r="O544" s="49">
        <f>SUM(M544*N544)</f>
        <v>367.1525</v>
      </c>
      <c r="P544" s="53"/>
      <c r="Q544" s="53"/>
      <c r="R544" s="76">
        <f t="shared" si="276"/>
        <v>264.557039711191</v>
      </c>
      <c r="S544" s="77"/>
      <c r="T544" s="77">
        <f t="shared" si="277"/>
        <v>0.481868231046931</v>
      </c>
      <c r="U544" s="76"/>
      <c r="V544" s="76"/>
      <c r="W544" s="78">
        <f t="shared" si="275"/>
        <v>265.038907942238</v>
      </c>
      <c r="X544" s="79">
        <f t="shared" si="278"/>
        <v>4.95084115523466</v>
      </c>
      <c r="Y544" s="79"/>
      <c r="Z544" s="79"/>
      <c r="AA544" s="79">
        <f t="shared" si="273"/>
        <v>4.95084115523466</v>
      </c>
      <c r="AB544" s="90">
        <v>7.15</v>
      </c>
      <c r="AC544" s="76">
        <f t="shared" si="271"/>
        <v>35.3985142599278</v>
      </c>
      <c r="AD544" s="76">
        <f t="shared" si="272"/>
        <v>300.437422202166</v>
      </c>
      <c r="AE544" s="76">
        <f t="shared" si="270"/>
        <v>66.7150777978339</v>
      </c>
    </row>
    <row r="545" customFormat="1" spans="1:31">
      <c r="A545" s="18"/>
      <c r="B545" s="19"/>
      <c r="C545" s="20">
        <v>240816000010</v>
      </c>
      <c r="D545" s="21">
        <v>45524</v>
      </c>
      <c r="E545" s="21" t="s">
        <v>37</v>
      </c>
      <c r="F545" s="19" t="s">
        <v>38</v>
      </c>
      <c r="G545" s="19" t="s">
        <v>48</v>
      </c>
      <c r="H545" s="19">
        <v>4.5</v>
      </c>
      <c r="I545" s="51">
        <v>300</v>
      </c>
      <c r="J545" s="52"/>
      <c r="K545" s="45"/>
      <c r="L545" s="19"/>
      <c r="M545" s="45"/>
      <c r="N545" s="48"/>
      <c r="O545" s="49">
        <f t="shared" ref="O545:O552" si="287">SUM(I545)</f>
        <v>300</v>
      </c>
      <c r="P545" s="53"/>
      <c r="Q545" s="53"/>
      <c r="R545" s="76">
        <f t="shared" si="276"/>
        <v>183.154873646209</v>
      </c>
      <c r="S545" s="77"/>
      <c r="T545" s="77">
        <f t="shared" si="277"/>
        <v>0.333601083032491</v>
      </c>
      <c r="U545" s="76"/>
      <c r="V545" s="76"/>
      <c r="W545" s="78">
        <f t="shared" si="275"/>
        <v>183.488474729242</v>
      </c>
      <c r="X545" s="79">
        <f t="shared" si="278"/>
        <v>3.42750541516245</v>
      </c>
      <c r="Y545" s="79"/>
      <c r="Z545" s="79"/>
      <c r="AA545" s="79">
        <f t="shared" si="273"/>
        <v>3.42750541516245</v>
      </c>
      <c r="AB545" s="90">
        <v>7.15</v>
      </c>
      <c r="AC545" s="76">
        <f t="shared" si="271"/>
        <v>24.5066637184116</v>
      </c>
      <c r="AD545" s="76">
        <f t="shared" si="272"/>
        <v>207.995138447653</v>
      </c>
      <c r="AE545" s="76">
        <f t="shared" si="270"/>
        <v>92.0048615523465</v>
      </c>
    </row>
    <row r="546" customFormat="1" spans="1:31">
      <c r="A546" s="18"/>
      <c r="B546" s="19"/>
      <c r="C546" s="20">
        <v>240816000030</v>
      </c>
      <c r="D546" s="21">
        <v>45524</v>
      </c>
      <c r="E546" s="21" t="s">
        <v>41</v>
      </c>
      <c r="F546" s="19" t="s">
        <v>42</v>
      </c>
      <c r="G546" s="19" t="s">
        <v>282</v>
      </c>
      <c r="H546" s="19">
        <v>39.5</v>
      </c>
      <c r="I546" s="51">
        <v>2180.5</v>
      </c>
      <c r="J546" s="52"/>
      <c r="K546" s="45"/>
      <c r="L546" s="19"/>
      <c r="M546" s="45"/>
      <c r="N546" s="48"/>
      <c r="O546" s="49">
        <f t="shared" si="287"/>
        <v>2180.5</v>
      </c>
      <c r="P546" s="53"/>
      <c r="Q546" s="53"/>
      <c r="R546" s="76">
        <f t="shared" si="276"/>
        <v>1607.69277978339</v>
      </c>
      <c r="S546" s="77"/>
      <c r="T546" s="77">
        <f t="shared" si="277"/>
        <v>2.9282761732852</v>
      </c>
      <c r="U546" s="76"/>
      <c r="V546" s="76"/>
      <c r="W546" s="78">
        <f t="shared" si="275"/>
        <v>1610.62105595668</v>
      </c>
      <c r="X546" s="79">
        <f t="shared" si="278"/>
        <v>30.085880866426</v>
      </c>
      <c r="Y546" s="79"/>
      <c r="Z546" s="79"/>
      <c r="AA546" s="79">
        <f t="shared" si="273"/>
        <v>30.085880866426</v>
      </c>
      <c r="AB546" s="90">
        <v>7.15</v>
      </c>
      <c r="AC546" s="76">
        <f t="shared" si="271"/>
        <v>215.114048194946</v>
      </c>
      <c r="AD546" s="76">
        <f t="shared" si="272"/>
        <v>1825.73510415162</v>
      </c>
      <c r="AE546" s="76">
        <f t="shared" si="270"/>
        <v>354.764895848375</v>
      </c>
    </row>
    <row r="547" customFormat="1" spans="1:31">
      <c r="A547" s="18"/>
      <c r="B547" s="19"/>
      <c r="C547" s="20">
        <v>240816000036</v>
      </c>
      <c r="D547" s="21">
        <v>45524</v>
      </c>
      <c r="E547" s="21" t="s">
        <v>37</v>
      </c>
      <c r="F547" s="19" t="s">
        <v>38</v>
      </c>
      <c r="G547" s="19" t="s">
        <v>274</v>
      </c>
      <c r="H547" s="19">
        <v>49</v>
      </c>
      <c r="I547" s="51">
        <v>3136</v>
      </c>
      <c r="J547" s="52"/>
      <c r="K547" s="45"/>
      <c r="L547" s="19"/>
      <c r="M547" s="45"/>
      <c r="N547" s="48"/>
      <c r="O547" s="49">
        <f t="shared" si="287"/>
        <v>3136</v>
      </c>
      <c r="P547" s="53"/>
      <c r="Q547" s="53"/>
      <c r="R547" s="76">
        <f t="shared" si="276"/>
        <v>1994.35306859206</v>
      </c>
      <c r="S547" s="77"/>
      <c r="T547" s="77">
        <f t="shared" si="277"/>
        <v>3.63254512635379</v>
      </c>
      <c r="U547" s="76"/>
      <c r="V547" s="76"/>
      <c r="W547" s="78">
        <f t="shared" si="275"/>
        <v>1997.98561371841</v>
      </c>
      <c r="X547" s="79">
        <f t="shared" si="278"/>
        <v>37.321725631769</v>
      </c>
      <c r="Y547" s="79">
        <v>7.69</v>
      </c>
      <c r="Z547" s="79"/>
      <c r="AA547" s="79">
        <f t="shared" si="273"/>
        <v>45.011725631769</v>
      </c>
      <c r="AB547" s="90">
        <v>7.15</v>
      </c>
      <c r="AC547" s="76">
        <f t="shared" ref="AC547:AC558" si="288">SUM(AA547*AB547)</f>
        <v>321.833838267148</v>
      </c>
      <c r="AD547" s="76">
        <f t="shared" ref="AD547:AD558" si="289">SUM(W547+AC547)</f>
        <v>2319.81945198556</v>
      </c>
      <c r="AE547" s="76">
        <f t="shared" ref="AE547:AE558" si="290">SUM(O547-AD547)</f>
        <v>816.18054801444</v>
      </c>
    </row>
    <row r="548" customFormat="1" spans="1:31">
      <c r="A548" s="18"/>
      <c r="B548" s="19"/>
      <c r="C548" s="20">
        <v>240816000041</v>
      </c>
      <c r="D548" s="21">
        <v>45524</v>
      </c>
      <c r="E548" s="21" t="s">
        <v>57</v>
      </c>
      <c r="F548" s="19" t="s">
        <v>57</v>
      </c>
      <c r="G548" s="19" t="s">
        <v>366</v>
      </c>
      <c r="H548" s="19">
        <v>61.5</v>
      </c>
      <c r="I548" s="51">
        <v>3198</v>
      </c>
      <c r="J548" s="52"/>
      <c r="K548" s="45"/>
      <c r="L548" s="19"/>
      <c r="M548" s="45"/>
      <c r="N548" s="48"/>
      <c r="O548" s="49">
        <f t="shared" si="287"/>
        <v>3198</v>
      </c>
      <c r="P548" s="54"/>
      <c r="Q548" s="54"/>
      <c r="R548" s="76">
        <f t="shared" si="276"/>
        <v>2503.1166064982</v>
      </c>
      <c r="S548" s="77"/>
      <c r="T548" s="77">
        <f t="shared" si="277"/>
        <v>4.55921480144404</v>
      </c>
      <c r="U548" s="76"/>
      <c r="V548" s="76"/>
      <c r="W548" s="78">
        <f t="shared" ref="W548:W558" si="291">SUM(R548:V548)</f>
        <v>2507.67582129964</v>
      </c>
      <c r="X548" s="79">
        <f t="shared" si="278"/>
        <v>46.8425740072202</v>
      </c>
      <c r="Y548" s="79"/>
      <c r="Z548" s="79"/>
      <c r="AA548" s="79">
        <f t="shared" si="273"/>
        <v>46.8425740072202</v>
      </c>
      <c r="AB548" s="90">
        <v>7.15</v>
      </c>
      <c r="AC548" s="76">
        <f t="shared" si="288"/>
        <v>334.924404151625</v>
      </c>
      <c r="AD548" s="76">
        <f t="shared" si="289"/>
        <v>2842.60022545126</v>
      </c>
      <c r="AE548" s="76">
        <f t="shared" si="290"/>
        <v>355.399774548736</v>
      </c>
    </row>
    <row r="549" customFormat="1" spans="1:31">
      <c r="A549" s="18" t="s">
        <v>382</v>
      </c>
      <c r="B549" s="19" t="s">
        <v>383</v>
      </c>
      <c r="C549" s="20">
        <v>240815000031</v>
      </c>
      <c r="D549" s="21">
        <v>45524</v>
      </c>
      <c r="E549" s="21" t="s">
        <v>37</v>
      </c>
      <c r="F549" s="19" t="s">
        <v>38</v>
      </c>
      <c r="G549" s="19" t="s">
        <v>75</v>
      </c>
      <c r="H549" s="19">
        <v>0.26</v>
      </c>
      <c r="I549" s="51">
        <v>115</v>
      </c>
      <c r="J549" s="109"/>
      <c r="K549" s="45"/>
      <c r="L549" s="49"/>
      <c r="M549" s="45"/>
      <c r="N549" s="48"/>
      <c r="O549" s="49">
        <f t="shared" si="287"/>
        <v>115</v>
      </c>
      <c r="P549" s="50">
        <f>SUM(O549:O558)</f>
        <v>4648.93</v>
      </c>
      <c r="Q549" s="50" t="s">
        <v>80</v>
      </c>
      <c r="R549" s="76">
        <f>SUM(2939/32)*H549</f>
        <v>23.879375</v>
      </c>
      <c r="S549" s="76"/>
      <c r="T549" s="77">
        <f>SUM(60.98/32)*H549</f>
        <v>0.4954625</v>
      </c>
      <c r="U549" s="76"/>
      <c r="V549" s="76"/>
      <c r="W549" s="78">
        <f t="shared" si="291"/>
        <v>24.3748375</v>
      </c>
      <c r="X549" s="79">
        <f>SUM(58.59/32)*H549</f>
        <v>0.47604375</v>
      </c>
      <c r="Y549" s="79"/>
      <c r="Z549" s="79"/>
      <c r="AA549" s="79">
        <f t="shared" ref="AA549:AA558" si="292">SUM(X549:Z549)</f>
        <v>0.47604375</v>
      </c>
      <c r="AB549" s="90">
        <v>7.15</v>
      </c>
      <c r="AC549" s="76">
        <f t="shared" si="288"/>
        <v>3.4037128125</v>
      </c>
      <c r="AD549" s="76">
        <f t="shared" si="289"/>
        <v>27.7785503125</v>
      </c>
      <c r="AE549" s="76">
        <f t="shared" si="290"/>
        <v>87.2214496875</v>
      </c>
    </row>
    <row r="550" customFormat="1" spans="1:31">
      <c r="A550" s="18"/>
      <c r="B550" s="19"/>
      <c r="C550" s="20">
        <v>240815000036</v>
      </c>
      <c r="D550" s="21">
        <v>45524</v>
      </c>
      <c r="E550" s="21" t="s">
        <v>37</v>
      </c>
      <c r="F550" s="19" t="s">
        <v>38</v>
      </c>
      <c r="G550" s="19" t="s">
        <v>384</v>
      </c>
      <c r="H550" s="19">
        <v>0.65</v>
      </c>
      <c r="I550" s="51">
        <v>170</v>
      </c>
      <c r="J550" s="109"/>
      <c r="K550" s="45"/>
      <c r="L550" s="49"/>
      <c r="M550" s="45"/>
      <c r="N550" s="48"/>
      <c r="O550" s="49">
        <f t="shared" si="287"/>
        <v>170</v>
      </c>
      <c r="P550" s="53"/>
      <c r="Q550" s="53"/>
      <c r="R550" s="76">
        <f t="shared" ref="R550:R558" si="293">SUM(2939/32)*H550</f>
        <v>59.6984375</v>
      </c>
      <c r="S550" s="76"/>
      <c r="T550" s="77">
        <f t="shared" ref="T550:T558" si="294">SUM(60.98/32)*H550</f>
        <v>1.23865625</v>
      </c>
      <c r="U550" s="76"/>
      <c r="V550" s="76"/>
      <c r="W550" s="78">
        <f t="shared" si="291"/>
        <v>60.93709375</v>
      </c>
      <c r="X550" s="79">
        <f t="shared" ref="X550:X558" si="295">SUM(58.59/32)*H550</f>
        <v>1.190109375</v>
      </c>
      <c r="Y550" s="79"/>
      <c r="Z550" s="79"/>
      <c r="AA550" s="79">
        <f t="shared" si="292"/>
        <v>1.190109375</v>
      </c>
      <c r="AB550" s="90">
        <v>7.15</v>
      </c>
      <c r="AC550" s="76">
        <f t="shared" si="288"/>
        <v>8.50928203125</v>
      </c>
      <c r="AD550" s="76">
        <f t="shared" si="289"/>
        <v>69.44637578125</v>
      </c>
      <c r="AE550" s="76">
        <f t="shared" si="290"/>
        <v>100.55362421875</v>
      </c>
    </row>
    <row r="551" customFormat="1" spans="1:31">
      <c r="A551" s="18"/>
      <c r="B551" s="19"/>
      <c r="C551" s="20">
        <v>240816000003</v>
      </c>
      <c r="D551" s="21">
        <v>45524</v>
      </c>
      <c r="E551" s="21" t="s">
        <v>44</v>
      </c>
      <c r="F551" s="19" t="s">
        <v>45</v>
      </c>
      <c r="G551" s="19" t="s">
        <v>385</v>
      </c>
      <c r="H551" s="19">
        <v>2</v>
      </c>
      <c r="I551" s="51">
        <v>240</v>
      </c>
      <c r="J551" s="109"/>
      <c r="K551" s="45"/>
      <c r="L551" s="49"/>
      <c r="M551" s="45"/>
      <c r="N551" s="48"/>
      <c r="O551" s="49">
        <f t="shared" si="287"/>
        <v>240</v>
      </c>
      <c r="P551" s="53"/>
      <c r="Q551" s="53"/>
      <c r="R551" s="76">
        <f t="shared" si="293"/>
        <v>183.6875</v>
      </c>
      <c r="S551" s="76"/>
      <c r="T551" s="77">
        <f t="shared" si="294"/>
        <v>3.81125</v>
      </c>
      <c r="U551" s="76"/>
      <c r="V551" s="76"/>
      <c r="W551" s="78">
        <f t="shared" si="291"/>
        <v>187.49875</v>
      </c>
      <c r="X551" s="79">
        <f t="shared" si="295"/>
        <v>3.661875</v>
      </c>
      <c r="Y551" s="79"/>
      <c r="Z551" s="79"/>
      <c r="AA551" s="79">
        <f t="shared" si="292"/>
        <v>3.661875</v>
      </c>
      <c r="AB551" s="90">
        <v>7.15</v>
      </c>
      <c r="AC551" s="76">
        <f t="shared" si="288"/>
        <v>26.18240625</v>
      </c>
      <c r="AD551" s="76">
        <f t="shared" si="289"/>
        <v>213.68115625</v>
      </c>
      <c r="AE551" s="76">
        <f t="shared" si="290"/>
        <v>26.31884375</v>
      </c>
    </row>
    <row r="552" customFormat="1" spans="1:31">
      <c r="A552" s="18"/>
      <c r="B552" s="19"/>
      <c r="C552" s="20">
        <v>240816000004</v>
      </c>
      <c r="D552" s="21">
        <v>45524</v>
      </c>
      <c r="E552" s="21" t="s">
        <v>57</v>
      </c>
      <c r="F552" s="19" t="s">
        <v>57</v>
      </c>
      <c r="G552" s="19" t="s">
        <v>357</v>
      </c>
      <c r="H552" s="19">
        <v>12</v>
      </c>
      <c r="I552" s="51">
        <v>1380</v>
      </c>
      <c r="J552" s="109"/>
      <c r="K552" s="45"/>
      <c r="L552" s="49"/>
      <c r="M552" s="45"/>
      <c r="N552" s="48"/>
      <c r="O552" s="49">
        <f t="shared" si="287"/>
        <v>1380</v>
      </c>
      <c r="P552" s="53"/>
      <c r="Q552" s="53"/>
      <c r="R552" s="76">
        <f t="shared" si="293"/>
        <v>1102.125</v>
      </c>
      <c r="S552" s="76"/>
      <c r="T552" s="77">
        <f t="shared" si="294"/>
        <v>22.8675</v>
      </c>
      <c r="U552" s="76"/>
      <c r="V552" s="76"/>
      <c r="W552" s="78">
        <f t="shared" si="291"/>
        <v>1124.9925</v>
      </c>
      <c r="X552" s="79">
        <f t="shared" si="295"/>
        <v>21.97125</v>
      </c>
      <c r="Y552" s="79"/>
      <c r="Z552" s="79"/>
      <c r="AA552" s="79">
        <f t="shared" si="292"/>
        <v>21.97125</v>
      </c>
      <c r="AB552" s="90">
        <v>7.15</v>
      </c>
      <c r="AC552" s="76">
        <f t="shared" si="288"/>
        <v>157.0944375</v>
      </c>
      <c r="AD552" s="76">
        <f t="shared" si="289"/>
        <v>1282.0869375</v>
      </c>
      <c r="AE552" s="76">
        <f t="shared" si="290"/>
        <v>97.9130624999998</v>
      </c>
    </row>
    <row r="553" customFormat="1" spans="1:31">
      <c r="A553" s="18"/>
      <c r="B553" s="19"/>
      <c r="C553" s="20">
        <v>240816000014</v>
      </c>
      <c r="D553" s="21">
        <v>45524</v>
      </c>
      <c r="E553" s="21" t="s">
        <v>41</v>
      </c>
      <c r="F553" s="19" t="s">
        <v>42</v>
      </c>
      <c r="G553" s="19" t="s">
        <v>178</v>
      </c>
      <c r="H553" s="19">
        <v>2.5</v>
      </c>
      <c r="I553" s="43"/>
      <c r="J553" s="110">
        <v>64687.5</v>
      </c>
      <c r="K553" s="45"/>
      <c r="L553" s="46">
        <f>SUM(J553/M553)</f>
        <v>1609.14179104478</v>
      </c>
      <c r="M553" s="47">
        <v>40.2</v>
      </c>
      <c r="N553" s="48">
        <v>7.15</v>
      </c>
      <c r="O553" s="100">
        <f>SUM(M553*N553)</f>
        <v>287.43</v>
      </c>
      <c r="P553" s="53"/>
      <c r="Q553" s="53"/>
      <c r="R553" s="76">
        <f t="shared" si="293"/>
        <v>229.609375</v>
      </c>
      <c r="S553" s="76"/>
      <c r="T553" s="77">
        <f t="shared" si="294"/>
        <v>4.7640625</v>
      </c>
      <c r="U553" s="76"/>
      <c r="V553" s="76"/>
      <c r="W553" s="78">
        <f t="shared" si="291"/>
        <v>234.3734375</v>
      </c>
      <c r="X553" s="79">
        <f t="shared" si="295"/>
        <v>4.57734375</v>
      </c>
      <c r="Y553" s="79"/>
      <c r="Z553" s="79"/>
      <c r="AA553" s="79">
        <f t="shared" si="292"/>
        <v>4.57734375</v>
      </c>
      <c r="AB553" s="90">
        <v>7.15</v>
      </c>
      <c r="AC553" s="76">
        <f t="shared" si="288"/>
        <v>32.7280078125</v>
      </c>
      <c r="AD553" s="76">
        <f t="shared" si="289"/>
        <v>267.1014453125</v>
      </c>
      <c r="AE553" s="76">
        <f t="shared" si="290"/>
        <v>20.3285546875</v>
      </c>
    </row>
    <row r="554" customFormat="1" spans="1:31">
      <c r="A554" s="18"/>
      <c r="B554" s="19"/>
      <c r="C554" s="20">
        <v>240816000045</v>
      </c>
      <c r="D554" s="21">
        <v>45524</v>
      </c>
      <c r="E554" s="21" t="s">
        <v>57</v>
      </c>
      <c r="F554" s="19" t="s">
        <v>386</v>
      </c>
      <c r="G554" s="19" t="s">
        <v>387</v>
      </c>
      <c r="H554" s="19">
        <v>6.5</v>
      </c>
      <c r="I554" s="51">
        <v>780</v>
      </c>
      <c r="J554" s="109"/>
      <c r="K554" s="45"/>
      <c r="L554" s="49"/>
      <c r="M554" s="45"/>
      <c r="N554" s="48"/>
      <c r="O554" s="49">
        <f t="shared" ref="O554:O568" si="296">SUM(I554)</f>
        <v>780</v>
      </c>
      <c r="P554" s="53"/>
      <c r="Q554" s="53"/>
      <c r="R554" s="76">
        <f t="shared" si="293"/>
        <v>596.984375</v>
      </c>
      <c r="S554" s="76"/>
      <c r="T554" s="77">
        <f t="shared" si="294"/>
        <v>12.3865625</v>
      </c>
      <c r="U554" s="76"/>
      <c r="V554" s="76"/>
      <c r="W554" s="78">
        <f t="shared" si="291"/>
        <v>609.3709375</v>
      </c>
      <c r="X554" s="79">
        <f t="shared" si="295"/>
        <v>11.90109375</v>
      </c>
      <c r="Y554" s="79"/>
      <c r="Z554" s="79"/>
      <c r="AA554" s="79">
        <f t="shared" si="292"/>
        <v>11.90109375</v>
      </c>
      <c r="AB554" s="90">
        <v>7.15</v>
      </c>
      <c r="AC554" s="76">
        <f t="shared" si="288"/>
        <v>85.0928203125</v>
      </c>
      <c r="AD554" s="76">
        <f t="shared" si="289"/>
        <v>694.4637578125</v>
      </c>
      <c r="AE554" s="76">
        <f t="shared" si="290"/>
        <v>85.5362421875</v>
      </c>
    </row>
    <row r="555" customFormat="1" spans="1:31">
      <c r="A555" s="18"/>
      <c r="B555" s="19"/>
      <c r="C555" s="20">
        <v>240818000002</v>
      </c>
      <c r="D555" s="21">
        <v>45524</v>
      </c>
      <c r="E555" s="21" t="s">
        <v>82</v>
      </c>
      <c r="F555" s="19" t="s">
        <v>83</v>
      </c>
      <c r="G555" s="19" t="s">
        <v>137</v>
      </c>
      <c r="H555" s="19">
        <v>1.5</v>
      </c>
      <c r="I555" s="51">
        <v>204.5</v>
      </c>
      <c r="J555" s="109"/>
      <c r="K555" s="45"/>
      <c r="L555" s="49"/>
      <c r="M555" s="45"/>
      <c r="N555" s="48"/>
      <c r="O555" s="49">
        <f t="shared" si="296"/>
        <v>204.5</v>
      </c>
      <c r="P555" s="53"/>
      <c r="Q555" s="53"/>
      <c r="R555" s="76">
        <f t="shared" si="293"/>
        <v>137.765625</v>
      </c>
      <c r="S555" s="76"/>
      <c r="T555" s="77">
        <f t="shared" si="294"/>
        <v>2.8584375</v>
      </c>
      <c r="U555" s="76"/>
      <c r="V555" s="76"/>
      <c r="W555" s="78">
        <f t="shared" si="291"/>
        <v>140.6240625</v>
      </c>
      <c r="X555" s="79">
        <f t="shared" si="295"/>
        <v>2.74640625</v>
      </c>
      <c r="Y555" s="79"/>
      <c r="Z555" s="79"/>
      <c r="AA555" s="79">
        <f t="shared" si="292"/>
        <v>2.74640625</v>
      </c>
      <c r="AB555" s="90">
        <v>7.15</v>
      </c>
      <c r="AC555" s="76">
        <f t="shared" si="288"/>
        <v>19.6368046875</v>
      </c>
      <c r="AD555" s="76">
        <f t="shared" si="289"/>
        <v>160.2608671875</v>
      </c>
      <c r="AE555" s="76">
        <f t="shared" si="290"/>
        <v>44.2391328125</v>
      </c>
    </row>
    <row r="556" customFormat="1" spans="1:31">
      <c r="A556" s="18"/>
      <c r="B556" s="19"/>
      <c r="C556" s="20">
        <v>240818000005</v>
      </c>
      <c r="D556" s="21">
        <v>45524</v>
      </c>
      <c r="E556" s="21" t="s">
        <v>44</v>
      </c>
      <c r="F556" s="19" t="s">
        <v>45</v>
      </c>
      <c r="G556" s="19" t="s">
        <v>388</v>
      </c>
      <c r="H556" s="19">
        <v>10.5</v>
      </c>
      <c r="I556" s="51">
        <v>1207</v>
      </c>
      <c r="J556" s="109"/>
      <c r="K556" s="45"/>
      <c r="L556" s="49"/>
      <c r="M556" s="45"/>
      <c r="N556" s="48"/>
      <c r="O556" s="49">
        <f t="shared" si="296"/>
        <v>1207</v>
      </c>
      <c r="P556" s="53"/>
      <c r="Q556" s="53"/>
      <c r="R556" s="76">
        <f t="shared" si="293"/>
        <v>964.359375</v>
      </c>
      <c r="S556" s="76"/>
      <c r="T556" s="77">
        <f t="shared" si="294"/>
        <v>20.0090625</v>
      </c>
      <c r="U556" s="76"/>
      <c r="V556" s="76"/>
      <c r="W556" s="78">
        <f t="shared" si="291"/>
        <v>984.3684375</v>
      </c>
      <c r="X556" s="79">
        <f t="shared" si="295"/>
        <v>19.22484375</v>
      </c>
      <c r="Y556" s="79"/>
      <c r="Z556" s="79"/>
      <c r="AA556" s="79">
        <f t="shared" si="292"/>
        <v>19.22484375</v>
      </c>
      <c r="AB556" s="90">
        <v>7.15</v>
      </c>
      <c r="AC556" s="76">
        <f t="shared" ref="AC556:AC570" si="297">SUM(AA556*AB556)</f>
        <v>137.4576328125</v>
      </c>
      <c r="AD556" s="76">
        <f t="shared" si="289"/>
        <v>1121.8260703125</v>
      </c>
      <c r="AE556" s="76">
        <f t="shared" ref="AE556:AE568" si="298">SUM(O556-AD556)</f>
        <v>85.1739296875</v>
      </c>
    </row>
    <row r="557" customFormat="1" spans="1:31">
      <c r="A557" s="18"/>
      <c r="B557" s="19"/>
      <c r="C557" s="20">
        <v>240818000026</v>
      </c>
      <c r="D557" s="21">
        <v>45524</v>
      </c>
      <c r="E557" s="21" t="s">
        <v>57</v>
      </c>
      <c r="F557" s="19" t="s">
        <v>57</v>
      </c>
      <c r="G557" s="19" t="s">
        <v>58</v>
      </c>
      <c r="H557" s="19">
        <v>1</v>
      </c>
      <c r="I557" s="51">
        <v>115</v>
      </c>
      <c r="J557" s="109"/>
      <c r="K557" s="45"/>
      <c r="L557" s="49"/>
      <c r="M557" s="45"/>
      <c r="N557" s="48"/>
      <c r="O557" s="49">
        <f t="shared" si="296"/>
        <v>115</v>
      </c>
      <c r="P557" s="53"/>
      <c r="Q557" s="53"/>
      <c r="R557" s="76">
        <f t="shared" si="293"/>
        <v>91.84375</v>
      </c>
      <c r="S557" s="76"/>
      <c r="T557" s="77">
        <f t="shared" si="294"/>
        <v>1.905625</v>
      </c>
      <c r="U557" s="76"/>
      <c r="V557" s="76"/>
      <c r="W557" s="78">
        <f t="shared" ref="W557:W568" si="299">SUM(R557:V557)</f>
        <v>93.749375</v>
      </c>
      <c r="X557" s="79">
        <f t="shared" si="295"/>
        <v>1.8309375</v>
      </c>
      <c r="Y557" s="79"/>
      <c r="Z557" s="79"/>
      <c r="AA557" s="79">
        <f t="shared" si="292"/>
        <v>1.8309375</v>
      </c>
      <c r="AB557" s="90">
        <v>7.15</v>
      </c>
      <c r="AC557" s="76">
        <f t="shared" si="297"/>
        <v>13.091203125</v>
      </c>
      <c r="AD557" s="76">
        <f t="shared" ref="AD557:AD568" si="300">SUM(W557+AC557)</f>
        <v>106.840578125</v>
      </c>
      <c r="AE557" s="76">
        <f t="shared" si="298"/>
        <v>8.15942187499999</v>
      </c>
    </row>
    <row r="558" customFormat="1" spans="1:31">
      <c r="A558" s="18"/>
      <c r="B558" s="19"/>
      <c r="C558" s="20">
        <v>240819000011</v>
      </c>
      <c r="D558" s="21">
        <v>45524</v>
      </c>
      <c r="E558" s="21" t="s">
        <v>41</v>
      </c>
      <c r="F558" s="19" t="s">
        <v>389</v>
      </c>
      <c r="G558" s="19" t="s">
        <v>390</v>
      </c>
      <c r="H558" s="19">
        <v>0.18</v>
      </c>
      <c r="I558" s="51">
        <v>150</v>
      </c>
      <c r="J558" s="109"/>
      <c r="K558" s="45"/>
      <c r="L558" s="49"/>
      <c r="M558" s="45"/>
      <c r="N558" s="48"/>
      <c r="O558" s="49">
        <f t="shared" si="296"/>
        <v>150</v>
      </c>
      <c r="P558" s="54"/>
      <c r="Q558" s="54"/>
      <c r="R558" s="76">
        <f t="shared" si="293"/>
        <v>16.531875</v>
      </c>
      <c r="S558" s="76"/>
      <c r="T558" s="77">
        <f t="shared" si="294"/>
        <v>0.3430125</v>
      </c>
      <c r="U558" s="76"/>
      <c r="V558" s="76"/>
      <c r="W558" s="78">
        <f t="shared" si="299"/>
        <v>16.8748875</v>
      </c>
      <c r="X558" s="79">
        <f t="shared" si="295"/>
        <v>0.32956875</v>
      </c>
      <c r="Y558" s="79"/>
      <c r="Z558" s="79"/>
      <c r="AA558" s="79">
        <f t="shared" ref="AA558:AA571" si="301">SUM(X558:Z558)</f>
        <v>0.32956875</v>
      </c>
      <c r="AB558" s="90">
        <v>7.15</v>
      </c>
      <c r="AC558" s="76">
        <f t="shared" si="297"/>
        <v>2.3564165625</v>
      </c>
      <c r="AD558" s="76">
        <f t="shared" si="300"/>
        <v>19.2313040625</v>
      </c>
      <c r="AE558" s="76">
        <f t="shared" si="298"/>
        <v>130.7686959375</v>
      </c>
    </row>
    <row r="559" customFormat="1" spans="1:31">
      <c r="A559" s="18" t="s">
        <v>391</v>
      </c>
      <c r="B559" s="19" t="s">
        <v>392</v>
      </c>
      <c r="C559" s="20">
        <v>240815000006</v>
      </c>
      <c r="D559" s="21">
        <v>45525</v>
      </c>
      <c r="E559" s="21" t="s">
        <v>51</v>
      </c>
      <c r="F559" s="19" t="s">
        <v>52</v>
      </c>
      <c r="G559" s="19" t="s">
        <v>185</v>
      </c>
      <c r="H559" s="19">
        <v>7.5</v>
      </c>
      <c r="I559" s="51">
        <v>900</v>
      </c>
      <c r="J559" s="109"/>
      <c r="K559" s="45"/>
      <c r="L559" s="49"/>
      <c r="M559" s="45"/>
      <c r="N559" s="48"/>
      <c r="O559" s="49">
        <f t="shared" si="296"/>
        <v>900</v>
      </c>
      <c r="P559" s="50">
        <f>SUM(O559:O568)</f>
        <v>4892</v>
      </c>
      <c r="Q559" s="50" t="s">
        <v>80</v>
      </c>
      <c r="R559" s="76">
        <f>SUM(2400/32)*H559</f>
        <v>562.5</v>
      </c>
      <c r="S559" s="76"/>
      <c r="T559" s="77">
        <f>SUM(59.98/32)*H549</f>
        <v>0.4873375</v>
      </c>
      <c r="U559" s="76"/>
      <c r="V559" s="76"/>
      <c r="W559" s="78">
        <f t="shared" si="299"/>
        <v>562.9873375</v>
      </c>
      <c r="X559" s="79">
        <f>SUM(74.21/32)*H559</f>
        <v>17.39296875</v>
      </c>
      <c r="Y559" s="79"/>
      <c r="Z559" s="79"/>
      <c r="AA559" s="79">
        <f t="shared" si="301"/>
        <v>17.39296875</v>
      </c>
      <c r="AB559" s="90">
        <v>7.15</v>
      </c>
      <c r="AC559" s="76">
        <f t="shared" si="297"/>
        <v>124.3597265625</v>
      </c>
      <c r="AD559" s="76">
        <f t="shared" si="300"/>
        <v>687.3470640625</v>
      </c>
      <c r="AE559" s="76">
        <f t="shared" si="298"/>
        <v>212.6529359375</v>
      </c>
    </row>
    <row r="560" customFormat="1" spans="1:31">
      <c r="A560" s="18"/>
      <c r="B560" s="19"/>
      <c r="C560" s="20">
        <v>240816000001</v>
      </c>
      <c r="D560" s="21">
        <v>45525</v>
      </c>
      <c r="E560" s="21" t="s">
        <v>44</v>
      </c>
      <c r="F560" s="19" t="s">
        <v>45</v>
      </c>
      <c r="G560" s="19" t="s">
        <v>120</v>
      </c>
      <c r="H560" s="19">
        <v>0.48</v>
      </c>
      <c r="I560" s="51">
        <v>115</v>
      </c>
      <c r="J560" s="109"/>
      <c r="K560" s="45"/>
      <c r="L560" s="49"/>
      <c r="M560" s="45"/>
      <c r="N560" s="48"/>
      <c r="O560" s="49">
        <f t="shared" si="296"/>
        <v>115</v>
      </c>
      <c r="P560" s="53"/>
      <c r="Q560" s="53"/>
      <c r="R560" s="76">
        <f t="shared" ref="R560:R572" si="302">SUM(2400/32)*H560</f>
        <v>36</v>
      </c>
      <c r="S560" s="76"/>
      <c r="T560" s="77">
        <f t="shared" ref="T560:T568" si="303">SUM(59.98/32)*H550</f>
        <v>1.21834375</v>
      </c>
      <c r="U560" s="76"/>
      <c r="V560" s="76"/>
      <c r="W560" s="78">
        <f t="shared" si="299"/>
        <v>37.21834375</v>
      </c>
      <c r="X560" s="79">
        <f t="shared" ref="X560:X568" si="304">SUM(74.21/32)*H560</f>
        <v>1.11315</v>
      </c>
      <c r="Y560" s="79"/>
      <c r="Z560" s="79"/>
      <c r="AA560" s="79">
        <f t="shared" si="301"/>
        <v>1.11315</v>
      </c>
      <c r="AB560" s="90">
        <v>7.15</v>
      </c>
      <c r="AC560" s="76">
        <f t="shared" si="297"/>
        <v>7.9590225</v>
      </c>
      <c r="AD560" s="76">
        <f t="shared" si="300"/>
        <v>45.17736625</v>
      </c>
      <c r="AE560" s="76">
        <f t="shared" si="298"/>
        <v>69.82263375</v>
      </c>
    </row>
    <row r="561" customFormat="1" spans="1:31">
      <c r="A561" s="18"/>
      <c r="B561" s="19"/>
      <c r="C561" s="20">
        <v>240818000014</v>
      </c>
      <c r="D561" s="21">
        <v>45525</v>
      </c>
      <c r="E561" s="21" t="s">
        <v>44</v>
      </c>
      <c r="F561" s="19" t="s">
        <v>45</v>
      </c>
      <c r="G561" s="19" t="s">
        <v>158</v>
      </c>
      <c r="H561" s="19">
        <v>5.5</v>
      </c>
      <c r="I561" s="51">
        <v>660</v>
      </c>
      <c r="J561" s="109"/>
      <c r="K561" s="45"/>
      <c r="L561" s="49"/>
      <c r="M561" s="45"/>
      <c r="N561" s="48"/>
      <c r="O561" s="49">
        <f t="shared" si="296"/>
        <v>660</v>
      </c>
      <c r="P561" s="53"/>
      <c r="Q561" s="53"/>
      <c r="R561" s="76">
        <f t="shared" si="302"/>
        <v>412.5</v>
      </c>
      <c r="S561" s="76"/>
      <c r="T561" s="77">
        <f t="shared" si="303"/>
        <v>3.74875</v>
      </c>
      <c r="U561" s="76"/>
      <c r="V561" s="76"/>
      <c r="W561" s="78">
        <f t="shared" si="299"/>
        <v>416.24875</v>
      </c>
      <c r="X561" s="79">
        <f t="shared" si="304"/>
        <v>12.75484375</v>
      </c>
      <c r="Y561" s="79"/>
      <c r="Z561" s="79"/>
      <c r="AA561" s="79">
        <f t="shared" si="301"/>
        <v>12.75484375</v>
      </c>
      <c r="AB561" s="90">
        <v>7.15</v>
      </c>
      <c r="AC561" s="76">
        <f t="shared" si="297"/>
        <v>91.1971328125</v>
      </c>
      <c r="AD561" s="76">
        <f t="shared" si="300"/>
        <v>507.4458828125</v>
      </c>
      <c r="AE561" s="76">
        <f t="shared" si="298"/>
        <v>152.5541171875</v>
      </c>
    </row>
    <row r="562" customFormat="1" spans="1:31">
      <c r="A562" s="18"/>
      <c r="B562" s="19"/>
      <c r="C562" s="20">
        <v>240818000015</v>
      </c>
      <c r="D562" s="21">
        <v>45525</v>
      </c>
      <c r="E562" s="21" t="s">
        <v>44</v>
      </c>
      <c r="F562" s="19" t="s">
        <v>45</v>
      </c>
      <c r="G562" s="19" t="s">
        <v>158</v>
      </c>
      <c r="H562" s="19">
        <v>7.5</v>
      </c>
      <c r="I562" s="51">
        <v>900</v>
      </c>
      <c r="J562" s="109"/>
      <c r="K562" s="45"/>
      <c r="L562" s="49"/>
      <c r="M562" s="45"/>
      <c r="N562" s="48"/>
      <c r="O562" s="49">
        <f t="shared" si="296"/>
        <v>900</v>
      </c>
      <c r="P562" s="53"/>
      <c r="Q562" s="53"/>
      <c r="R562" s="76">
        <f t="shared" si="302"/>
        <v>562.5</v>
      </c>
      <c r="S562" s="76"/>
      <c r="T562" s="77">
        <f t="shared" si="303"/>
        <v>22.4925</v>
      </c>
      <c r="U562" s="76"/>
      <c r="V562" s="76"/>
      <c r="W562" s="78">
        <f t="shared" si="299"/>
        <v>584.9925</v>
      </c>
      <c r="X562" s="79">
        <f t="shared" si="304"/>
        <v>17.39296875</v>
      </c>
      <c r="Y562" s="79"/>
      <c r="Z562" s="79"/>
      <c r="AA562" s="79">
        <f t="shared" si="301"/>
        <v>17.39296875</v>
      </c>
      <c r="AB562" s="90">
        <v>7.15</v>
      </c>
      <c r="AC562" s="76">
        <f t="shared" si="297"/>
        <v>124.3597265625</v>
      </c>
      <c r="AD562" s="76">
        <f t="shared" si="300"/>
        <v>709.3522265625</v>
      </c>
      <c r="AE562" s="76">
        <f t="shared" si="298"/>
        <v>190.6477734375</v>
      </c>
    </row>
    <row r="563" customFormat="1" spans="1:31">
      <c r="A563" s="18"/>
      <c r="B563" s="19"/>
      <c r="C563" s="20">
        <v>240818000032</v>
      </c>
      <c r="D563" s="21">
        <v>45525</v>
      </c>
      <c r="E563" s="21" t="s">
        <v>57</v>
      </c>
      <c r="F563" s="19" t="s">
        <v>57</v>
      </c>
      <c r="G563" s="19" t="s">
        <v>393</v>
      </c>
      <c r="H563" s="19">
        <v>5</v>
      </c>
      <c r="I563" s="51">
        <v>575</v>
      </c>
      <c r="J563" s="109"/>
      <c r="K563" s="45"/>
      <c r="L563" s="49"/>
      <c r="M563" s="45"/>
      <c r="N563" s="48"/>
      <c r="O563" s="49">
        <f t="shared" si="296"/>
        <v>575</v>
      </c>
      <c r="P563" s="53"/>
      <c r="Q563" s="53"/>
      <c r="R563" s="76">
        <f t="shared" si="302"/>
        <v>375</v>
      </c>
      <c r="S563" s="76"/>
      <c r="T563" s="77">
        <f t="shared" si="303"/>
        <v>4.6859375</v>
      </c>
      <c r="U563" s="76"/>
      <c r="V563" s="76"/>
      <c r="W563" s="78">
        <f t="shared" si="299"/>
        <v>379.6859375</v>
      </c>
      <c r="X563" s="79">
        <f t="shared" si="304"/>
        <v>11.5953125</v>
      </c>
      <c r="Y563" s="79"/>
      <c r="Z563" s="79"/>
      <c r="AA563" s="79">
        <f t="shared" si="301"/>
        <v>11.5953125</v>
      </c>
      <c r="AB563" s="90">
        <v>7.15</v>
      </c>
      <c r="AC563" s="76">
        <f t="shared" si="297"/>
        <v>82.906484375</v>
      </c>
      <c r="AD563" s="76">
        <f t="shared" si="300"/>
        <v>462.592421875</v>
      </c>
      <c r="AE563" s="76">
        <f t="shared" si="298"/>
        <v>112.407578125</v>
      </c>
    </row>
    <row r="564" customFormat="1" spans="1:31">
      <c r="A564" s="18"/>
      <c r="B564" s="19"/>
      <c r="C564" s="20">
        <v>240818000035</v>
      </c>
      <c r="D564" s="21">
        <v>45525</v>
      </c>
      <c r="E564" s="21" t="s">
        <v>57</v>
      </c>
      <c r="F564" s="19" t="s">
        <v>57</v>
      </c>
      <c r="G564" s="19" t="s">
        <v>394</v>
      </c>
      <c r="H564" s="19">
        <v>0.51</v>
      </c>
      <c r="I564" s="51">
        <v>150</v>
      </c>
      <c r="J564" s="109"/>
      <c r="K564" s="45"/>
      <c r="L564" s="49"/>
      <c r="M564" s="45"/>
      <c r="N564" s="48"/>
      <c r="O564" s="49">
        <f t="shared" si="296"/>
        <v>150</v>
      </c>
      <c r="P564" s="53"/>
      <c r="Q564" s="53"/>
      <c r="R564" s="76">
        <f t="shared" si="302"/>
        <v>38.25</v>
      </c>
      <c r="S564" s="76"/>
      <c r="T564" s="77">
        <f t="shared" si="303"/>
        <v>12.1834375</v>
      </c>
      <c r="U564" s="76"/>
      <c r="V564" s="76"/>
      <c r="W564" s="78">
        <f t="shared" si="299"/>
        <v>50.4334375</v>
      </c>
      <c r="X564" s="79">
        <f t="shared" si="304"/>
        <v>1.182721875</v>
      </c>
      <c r="Y564" s="79"/>
      <c r="Z564" s="79"/>
      <c r="AA564" s="79">
        <f t="shared" si="301"/>
        <v>1.182721875</v>
      </c>
      <c r="AB564" s="90">
        <v>7.15</v>
      </c>
      <c r="AC564" s="76">
        <f t="shared" si="297"/>
        <v>8.45646140625</v>
      </c>
      <c r="AD564" s="76">
        <f t="shared" si="300"/>
        <v>58.88989890625</v>
      </c>
      <c r="AE564" s="76">
        <f t="shared" si="298"/>
        <v>91.11010109375</v>
      </c>
    </row>
    <row r="565" customFormat="1" spans="1:31">
      <c r="A565" s="18"/>
      <c r="B565" s="19"/>
      <c r="C565" s="20">
        <v>240818000038</v>
      </c>
      <c r="D565" s="21">
        <v>45525</v>
      </c>
      <c r="E565" s="21" t="s">
        <v>37</v>
      </c>
      <c r="F565" s="19" t="s">
        <v>38</v>
      </c>
      <c r="G565" s="19" t="s">
        <v>395</v>
      </c>
      <c r="H565" s="19">
        <v>2</v>
      </c>
      <c r="I565" s="51">
        <v>480</v>
      </c>
      <c r="J565" s="109"/>
      <c r="K565" s="45"/>
      <c r="L565" s="49"/>
      <c r="M565" s="45"/>
      <c r="N565" s="48"/>
      <c r="O565" s="49">
        <f t="shared" si="296"/>
        <v>480</v>
      </c>
      <c r="P565" s="53"/>
      <c r="Q565" s="53"/>
      <c r="R565" s="76">
        <f t="shared" si="302"/>
        <v>150</v>
      </c>
      <c r="S565" s="76"/>
      <c r="T565" s="77">
        <f t="shared" si="303"/>
        <v>2.8115625</v>
      </c>
      <c r="U565" s="76"/>
      <c r="V565" s="76"/>
      <c r="W565" s="78">
        <f t="shared" si="299"/>
        <v>152.8115625</v>
      </c>
      <c r="X565" s="79">
        <f t="shared" si="304"/>
        <v>4.638125</v>
      </c>
      <c r="Y565" s="79"/>
      <c r="Z565" s="79"/>
      <c r="AA565" s="79">
        <f t="shared" si="301"/>
        <v>4.638125</v>
      </c>
      <c r="AB565" s="90">
        <v>7.15</v>
      </c>
      <c r="AC565" s="76">
        <f t="shared" si="297"/>
        <v>33.16259375</v>
      </c>
      <c r="AD565" s="76">
        <f t="shared" si="300"/>
        <v>185.97415625</v>
      </c>
      <c r="AE565" s="76">
        <f t="shared" si="298"/>
        <v>294.02584375</v>
      </c>
    </row>
    <row r="566" customFormat="1" spans="1:31">
      <c r="A566" s="18"/>
      <c r="B566" s="19"/>
      <c r="C566" s="20">
        <v>240818000039</v>
      </c>
      <c r="D566" s="21">
        <v>45525</v>
      </c>
      <c r="E566" s="21" t="s">
        <v>37</v>
      </c>
      <c r="F566" s="19" t="s">
        <v>38</v>
      </c>
      <c r="G566" s="19" t="s">
        <v>396</v>
      </c>
      <c r="H566" s="19">
        <v>0.24</v>
      </c>
      <c r="I566" s="51">
        <v>115</v>
      </c>
      <c r="J566" s="109"/>
      <c r="K566" s="45"/>
      <c r="L566" s="49"/>
      <c r="M566" s="45"/>
      <c r="N566" s="48"/>
      <c r="O566" s="49">
        <f t="shared" si="296"/>
        <v>115</v>
      </c>
      <c r="P566" s="53"/>
      <c r="Q566" s="53"/>
      <c r="R566" s="76">
        <f t="shared" si="302"/>
        <v>18</v>
      </c>
      <c r="S566" s="76"/>
      <c r="T566" s="77">
        <f t="shared" si="303"/>
        <v>19.6809375</v>
      </c>
      <c r="U566" s="76"/>
      <c r="V566" s="76"/>
      <c r="W566" s="78">
        <f t="shared" si="299"/>
        <v>37.6809375</v>
      </c>
      <c r="X566" s="79">
        <f t="shared" si="304"/>
        <v>0.556575</v>
      </c>
      <c r="Y566" s="79"/>
      <c r="Z566" s="79"/>
      <c r="AA566" s="79">
        <f t="shared" si="301"/>
        <v>0.556575</v>
      </c>
      <c r="AB566" s="90">
        <v>7.15</v>
      </c>
      <c r="AC566" s="76">
        <f t="shared" si="297"/>
        <v>3.97951125</v>
      </c>
      <c r="AD566" s="76">
        <f t="shared" si="300"/>
        <v>41.66044875</v>
      </c>
      <c r="AE566" s="76">
        <f t="shared" si="298"/>
        <v>73.33955125</v>
      </c>
    </row>
    <row r="567" customFormat="1" spans="1:31">
      <c r="A567" s="18"/>
      <c r="B567" s="19"/>
      <c r="C567" s="20">
        <v>240819000014</v>
      </c>
      <c r="D567" s="21">
        <v>45525</v>
      </c>
      <c r="E567" s="21" t="s">
        <v>51</v>
      </c>
      <c r="F567" s="19" t="s">
        <v>52</v>
      </c>
      <c r="G567" s="19" t="s">
        <v>397</v>
      </c>
      <c r="H567" s="19">
        <v>4.5</v>
      </c>
      <c r="I567" s="51">
        <v>517</v>
      </c>
      <c r="J567" s="109"/>
      <c r="K567" s="45"/>
      <c r="L567" s="49"/>
      <c r="M567" s="45"/>
      <c r="N567" s="48"/>
      <c r="O567" s="49">
        <f t="shared" si="296"/>
        <v>517</v>
      </c>
      <c r="P567" s="53"/>
      <c r="Q567" s="53"/>
      <c r="R567" s="76">
        <f t="shared" si="302"/>
        <v>337.5</v>
      </c>
      <c r="S567" s="76"/>
      <c r="T567" s="77">
        <f t="shared" si="303"/>
        <v>1.874375</v>
      </c>
      <c r="U567" s="76"/>
      <c r="V567" s="76"/>
      <c r="W567" s="78">
        <f t="shared" ref="W567:W572" si="305">SUM(R567:V567)</f>
        <v>339.374375</v>
      </c>
      <c r="X567" s="79">
        <f t="shared" si="304"/>
        <v>10.43578125</v>
      </c>
      <c r="Y567" s="79"/>
      <c r="Z567" s="79"/>
      <c r="AA567" s="79">
        <f t="shared" si="301"/>
        <v>10.43578125</v>
      </c>
      <c r="AB567" s="90">
        <v>7.15</v>
      </c>
      <c r="AC567" s="76">
        <f t="shared" si="297"/>
        <v>74.6158359375</v>
      </c>
      <c r="AD567" s="76">
        <f t="shared" si="300"/>
        <v>413.9902109375</v>
      </c>
      <c r="AE567" s="76">
        <f t="shared" ref="AE567:AE572" si="306">SUM(O567-AD567)</f>
        <v>103.0097890625</v>
      </c>
    </row>
    <row r="568" customFormat="1" spans="1:31">
      <c r="A568" s="18"/>
      <c r="B568" s="19"/>
      <c r="C568" s="20">
        <v>240819000037</v>
      </c>
      <c r="D568" s="21">
        <v>45525</v>
      </c>
      <c r="E568" s="21" t="s">
        <v>57</v>
      </c>
      <c r="F568" s="19" t="s">
        <v>57</v>
      </c>
      <c r="G568" s="19" t="s">
        <v>398</v>
      </c>
      <c r="H568" s="19">
        <v>4</v>
      </c>
      <c r="I568" s="51">
        <v>480</v>
      </c>
      <c r="J568" s="109"/>
      <c r="K568" s="45"/>
      <c r="L568" s="49"/>
      <c r="M568" s="45"/>
      <c r="N568" s="48"/>
      <c r="O568" s="49">
        <f t="shared" si="296"/>
        <v>480</v>
      </c>
      <c r="P568" s="54"/>
      <c r="Q568" s="54"/>
      <c r="R568" s="76">
        <f t="shared" si="302"/>
        <v>300</v>
      </c>
      <c r="S568" s="76"/>
      <c r="T568" s="77">
        <f t="shared" si="303"/>
        <v>0.3373875</v>
      </c>
      <c r="U568" s="76"/>
      <c r="V568" s="76"/>
      <c r="W568" s="78">
        <f t="shared" si="305"/>
        <v>300.3373875</v>
      </c>
      <c r="X568" s="79">
        <f t="shared" si="304"/>
        <v>9.27625</v>
      </c>
      <c r="Y568" s="79"/>
      <c r="Z568" s="79"/>
      <c r="AA568" s="79">
        <f t="shared" si="301"/>
        <v>9.27625</v>
      </c>
      <c r="AB568" s="90">
        <v>7.15</v>
      </c>
      <c r="AC568" s="76">
        <f t="shared" si="297"/>
        <v>66.3251875</v>
      </c>
      <c r="AD568" s="76">
        <f t="shared" si="300"/>
        <v>366.662575</v>
      </c>
      <c r="AE568" s="76">
        <f t="shared" si="306"/>
        <v>113.337425</v>
      </c>
    </row>
    <row r="569" customFormat="1" spans="1:31">
      <c r="A569" s="18" t="s">
        <v>399</v>
      </c>
      <c r="B569" s="19" t="s">
        <v>400</v>
      </c>
      <c r="C569" s="20">
        <v>240819000032</v>
      </c>
      <c r="D569" s="21">
        <v>45527</v>
      </c>
      <c r="E569" s="21" t="s">
        <v>37</v>
      </c>
      <c r="F569" s="19" t="s">
        <v>204</v>
      </c>
      <c r="G569" s="19" t="s">
        <v>401</v>
      </c>
      <c r="H569" s="19">
        <v>10</v>
      </c>
      <c r="I569" s="49"/>
      <c r="J569" s="44">
        <v>252346.8</v>
      </c>
      <c r="K569" s="45"/>
      <c r="L569" s="46">
        <f>SUM(J569/M569)</f>
        <v>1640</v>
      </c>
      <c r="M569" s="47">
        <v>153.87</v>
      </c>
      <c r="N569" s="48">
        <v>7.15</v>
      </c>
      <c r="O569" s="49">
        <f>SUM(M569*N569)</f>
        <v>1100.1705</v>
      </c>
      <c r="P569" s="50">
        <f>SUM(O569:O572)</f>
        <v>4326.5044857</v>
      </c>
      <c r="Q569" s="50" t="s">
        <v>80</v>
      </c>
      <c r="R569" s="76">
        <f t="shared" si="302"/>
        <v>750</v>
      </c>
      <c r="S569" s="76"/>
      <c r="T569" s="77">
        <f>SUM(60.98/32)*H569</f>
        <v>19.05625</v>
      </c>
      <c r="U569" s="76"/>
      <c r="V569" s="76"/>
      <c r="W569" s="78">
        <f t="shared" si="305"/>
        <v>769.05625</v>
      </c>
      <c r="X569" s="79">
        <f>SUM(82.32/32)*H569</f>
        <v>25.725</v>
      </c>
      <c r="Y569" s="79"/>
      <c r="Z569" s="79"/>
      <c r="AA569" s="79">
        <f t="shared" si="301"/>
        <v>25.725</v>
      </c>
      <c r="AB569" s="90">
        <v>7.15</v>
      </c>
      <c r="AC569" s="76">
        <f t="shared" si="297"/>
        <v>183.93375</v>
      </c>
      <c r="AD569" s="76">
        <f t="shared" ref="AD569:AD600" si="307">SUM(W569+AC569)</f>
        <v>952.99</v>
      </c>
      <c r="AE569" s="76">
        <f t="shared" si="306"/>
        <v>147.1805</v>
      </c>
    </row>
    <row r="570" customFormat="1" spans="1:31">
      <c r="A570" s="18"/>
      <c r="B570" s="19"/>
      <c r="C570" s="20">
        <v>240820000022</v>
      </c>
      <c r="D570" s="21">
        <v>45527</v>
      </c>
      <c r="E570" s="21" t="s">
        <v>41</v>
      </c>
      <c r="F570" s="19" t="s">
        <v>42</v>
      </c>
      <c r="G570" s="19" t="s">
        <v>229</v>
      </c>
      <c r="H570" s="19">
        <v>1.5</v>
      </c>
      <c r="I570" s="49"/>
      <c r="J570" s="44">
        <v>43886</v>
      </c>
      <c r="K570" s="45"/>
      <c r="L570" s="46">
        <f t="shared" ref="L570:L580" si="308">SUM(J570/M570)</f>
        <v>1639.98517488678</v>
      </c>
      <c r="M570" s="47">
        <v>26.759998</v>
      </c>
      <c r="N570" s="48">
        <v>7.15</v>
      </c>
      <c r="O570" s="49">
        <f t="shared" ref="O569:O580" si="309">SUM(M570*N570)</f>
        <v>191.3339857</v>
      </c>
      <c r="P570" s="53"/>
      <c r="Q570" s="53"/>
      <c r="R570" s="76">
        <f t="shared" si="302"/>
        <v>112.5</v>
      </c>
      <c r="S570" s="76"/>
      <c r="T570" s="77">
        <f>SUM(60.98/32)*H570</f>
        <v>2.8584375</v>
      </c>
      <c r="U570" s="76"/>
      <c r="V570" s="76"/>
      <c r="W570" s="78">
        <f t="shared" si="305"/>
        <v>115.3584375</v>
      </c>
      <c r="X570" s="79">
        <f>SUM(82.32/32)*H570</f>
        <v>3.85875</v>
      </c>
      <c r="Y570" s="79"/>
      <c r="Z570" s="79"/>
      <c r="AA570" s="79">
        <f t="shared" si="301"/>
        <v>3.85875</v>
      </c>
      <c r="AB570" s="90">
        <v>7.15</v>
      </c>
      <c r="AC570" s="76">
        <f t="shared" si="297"/>
        <v>27.5900625</v>
      </c>
      <c r="AD570" s="76">
        <f t="shared" si="307"/>
        <v>142.9485</v>
      </c>
      <c r="AE570" s="76">
        <f t="shared" si="306"/>
        <v>48.3854857</v>
      </c>
    </row>
    <row r="571" customFormat="1" spans="1:31">
      <c r="A571" s="18"/>
      <c r="B571" s="19"/>
      <c r="C571" s="20">
        <v>240820000024</v>
      </c>
      <c r="D571" s="21">
        <v>45527</v>
      </c>
      <c r="E571" s="21" t="s">
        <v>37</v>
      </c>
      <c r="F571" s="19" t="s">
        <v>38</v>
      </c>
      <c r="G571" s="19" t="s">
        <v>402</v>
      </c>
      <c r="H571" s="19">
        <v>19</v>
      </c>
      <c r="I571" s="51">
        <v>2185</v>
      </c>
      <c r="J571" s="52"/>
      <c r="K571" s="45"/>
      <c r="L571" s="19"/>
      <c r="M571" s="45"/>
      <c r="N571" s="48"/>
      <c r="O571" s="49">
        <f t="shared" ref="O571:O573" si="310">SUM(I571)</f>
        <v>2185</v>
      </c>
      <c r="P571" s="53"/>
      <c r="Q571" s="53"/>
      <c r="R571" s="76">
        <f t="shared" si="302"/>
        <v>1425</v>
      </c>
      <c r="S571" s="76"/>
      <c r="T571" s="77">
        <f>SUM(60.98/32)*H571</f>
        <v>36.206875</v>
      </c>
      <c r="U571" s="76"/>
      <c r="V571" s="76"/>
      <c r="W571" s="78">
        <f t="shared" ref="W571:W602" si="311">SUM(R571:V571)</f>
        <v>1461.206875</v>
      </c>
      <c r="X571" s="79">
        <f>SUM(82.32/32)*H571</f>
        <v>48.8775</v>
      </c>
      <c r="Y571" s="79"/>
      <c r="Z571" s="79"/>
      <c r="AA571" s="79">
        <f t="shared" si="301"/>
        <v>48.8775</v>
      </c>
      <c r="AB571" s="90">
        <v>7.15</v>
      </c>
      <c r="AC571" s="76">
        <f t="shared" ref="AC571:AC602" si="312">SUM(AA571*AB571)</f>
        <v>349.474125</v>
      </c>
      <c r="AD571" s="76">
        <f t="shared" si="307"/>
        <v>1810.681</v>
      </c>
      <c r="AE571" s="76">
        <f t="shared" ref="AE571:AE602" si="313">SUM(O571-AD571)</f>
        <v>374.319</v>
      </c>
    </row>
    <row r="572" customFormat="1" spans="1:31">
      <c r="A572" s="18"/>
      <c r="B572" s="19"/>
      <c r="C572" s="20">
        <v>240820000042</v>
      </c>
      <c r="D572" s="21">
        <v>45527</v>
      </c>
      <c r="E572" s="21" t="s">
        <v>57</v>
      </c>
      <c r="F572" s="19" t="s">
        <v>57</v>
      </c>
      <c r="G572" s="19" t="s">
        <v>224</v>
      </c>
      <c r="H572" s="19">
        <v>3</v>
      </c>
      <c r="I572" s="51">
        <v>850</v>
      </c>
      <c r="J572" s="52"/>
      <c r="K572" s="45"/>
      <c r="L572" s="19"/>
      <c r="M572" s="45"/>
      <c r="N572" s="48"/>
      <c r="O572" s="49">
        <f t="shared" si="310"/>
        <v>850</v>
      </c>
      <c r="P572" s="54"/>
      <c r="Q572" s="54"/>
      <c r="R572" s="76">
        <f t="shared" si="302"/>
        <v>225</v>
      </c>
      <c r="S572" s="76"/>
      <c r="T572" s="77">
        <f>SUM(60.98/32)*H572</f>
        <v>5.716875</v>
      </c>
      <c r="U572" s="76"/>
      <c r="V572" s="76"/>
      <c r="W572" s="78">
        <f t="shared" si="311"/>
        <v>230.716875</v>
      </c>
      <c r="X572" s="79">
        <f>SUM(82.32/32)*H572</f>
        <v>7.7175</v>
      </c>
      <c r="Y572" s="79"/>
      <c r="Z572" s="79"/>
      <c r="AA572" s="79">
        <f t="shared" ref="AA572:AA603" si="314">SUM(X572:Z572)</f>
        <v>7.7175</v>
      </c>
      <c r="AB572" s="90">
        <v>7.15</v>
      </c>
      <c r="AC572" s="76">
        <f t="shared" si="312"/>
        <v>55.180125</v>
      </c>
      <c r="AD572" s="76">
        <f t="shared" si="307"/>
        <v>285.897</v>
      </c>
      <c r="AE572" s="76">
        <f t="shared" si="313"/>
        <v>564.103</v>
      </c>
    </row>
    <row r="573" customFormat="1" spans="1:31">
      <c r="A573" s="18" t="s">
        <v>403</v>
      </c>
      <c r="B573" s="19" t="s">
        <v>404</v>
      </c>
      <c r="C573" s="20">
        <v>240815000037</v>
      </c>
      <c r="D573" s="21">
        <v>45528</v>
      </c>
      <c r="E573" s="21" t="s">
        <v>41</v>
      </c>
      <c r="F573" s="19" t="s">
        <v>42</v>
      </c>
      <c r="G573" s="19" t="s">
        <v>405</v>
      </c>
      <c r="H573" s="19">
        <v>35</v>
      </c>
      <c r="I573" s="51">
        <v>1973</v>
      </c>
      <c r="J573" s="52"/>
      <c r="K573" s="45"/>
      <c r="L573" s="19"/>
      <c r="M573" s="45"/>
      <c r="N573" s="48"/>
      <c r="O573" s="49">
        <f t="shared" si="310"/>
        <v>1973</v>
      </c>
      <c r="P573" s="50">
        <f>SUM(O573:O623)</f>
        <v>135436.7475143</v>
      </c>
      <c r="Q573" s="50" t="s">
        <v>40</v>
      </c>
      <c r="R573" s="76">
        <f>SUM(95702/2344)*H573</f>
        <v>1428.99744027304</v>
      </c>
      <c r="S573" s="76"/>
      <c r="T573" s="77">
        <f>SUM(192.25/2344)*H573</f>
        <v>2.8706271331058</v>
      </c>
      <c r="U573" s="76"/>
      <c r="V573" s="76"/>
      <c r="W573" s="78">
        <f t="shared" si="311"/>
        <v>1431.86806740614</v>
      </c>
      <c r="X573" s="79">
        <f>SUM(1807.21/2344)*H573</f>
        <v>26.9847909556314</v>
      </c>
      <c r="Y573" s="79">
        <v>5.59</v>
      </c>
      <c r="Z573" s="79"/>
      <c r="AA573" s="79">
        <f t="shared" si="314"/>
        <v>32.5747909556314</v>
      </c>
      <c r="AB573" s="90">
        <v>7.15</v>
      </c>
      <c r="AC573" s="76">
        <f t="shared" si="312"/>
        <v>232.909755332765</v>
      </c>
      <c r="AD573" s="76">
        <f t="shared" si="307"/>
        <v>1664.77782273891</v>
      </c>
      <c r="AE573" s="76">
        <f t="shared" si="313"/>
        <v>308.222177261092</v>
      </c>
    </row>
    <row r="574" customFormat="1" spans="1:31">
      <c r="A574" s="18"/>
      <c r="B574" s="19"/>
      <c r="C574" s="20">
        <v>240816000015</v>
      </c>
      <c r="D574" s="21">
        <v>45528</v>
      </c>
      <c r="E574" s="21" t="s">
        <v>37</v>
      </c>
      <c r="F574" s="19" t="s">
        <v>38</v>
      </c>
      <c r="G574" s="19" t="s">
        <v>406</v>
      </c>
      <c r="H574" s="19">
        <v>16.5</v>
      </c>
      <c r="I574" s="43"/>
      <c r="J574" s="44">
        <v>222337</v>
      </c>
      <c r="K574" s="45"/>
      <c r="L574" s="46">
        <f t="shared" si="308"/>
        <v>1751.78852820674</v>
      </c>
      <c r="M574" s="47">
        <v>126.92</v>
      </c>
      <c r="N574" s="48">
        <v>7.15</v>
      </c>
      <c r="O574" s="49">
        <f t="shared" si="309"/>
        <v>907.478</v>
      </c>
      <c r="P574" s="53"/>
      <c r="Q574" s="53"/>
      <c r="R574" s="76">
        <f t="shared" ref="R574:R605" si="315">SUM(95702/2344)*H574</f>
        <v>673.670221843003</v>
      </c>
      <c r="S574" s="76"/>
      <c r="T574" s="77">
        <f t="shared" ref="T574:T605" si="316">SUM(192.25/2344)*H574</f>
        <v>1.35329564846416</v>
      </c>
      <c r="U574" s="76"/>
      <c r="V574" s="76"/>
      <c r="W574" s="78">
        <f t="shared" si="311"/>
        <v>675.023517491468</v>
      </c>
      <c r="X574" s="79">
        <f t="shared" ref="X574:X605" si="317">SUM(1807.21/2344)*H574</f>
        <v>12.7214014505119</v>
      </c>
      <c r="Y574" s="79"/>
      <c r="Z574" s="79"/>
      <c r="AA574" s="79">
        <f t="shared" si="314"/>
        <v>12.7214014505119</v>
      </c>
      <c r="AB574" s="90">
        <v>7.15</v>
      </c>
      <c r="AC574" s="76">
        <f t="shared" si="312"/>
        <v>90.9580203711604</v>
      </c>
      <c r="AD574" s="76">
        <f t="shared" si="307"/>
        <v>765.981537862628</v>
      </c>
      <c r="AE574" s="76">
        <f t="shared" si="313"/>
        <v>141.496462137372</v>
      </c>
    </row>
    <row r="575" customFormat="1" spans="1:31">
      <c r="A575" s="18"/>
      <c r="B575" s="19"/>
      <c r="C575" s="20">
        <v>240816000019</v>
      </c>
      <c r="D575" s="21">
        <v>45528</v>
      </c>
      <c r="E575" s="21" t="s">
        <v>57</v>
      </c>
      <c r="F575" s="19" t="s">
        <v>57</v>
      </c>
      <c r="G575" s="19" t="s">
        <v>407</v>
      </c>
      <c r="H575" s="19">
        <v>27.5</v>
      </c>
      <c r="I575" s="43"/>
      <c r="J575" s="44">
        <v>340392</v>
      </c>
      <c r="K575" s="45"/>
      <c r="L575" s="46">
        <f t="shared" si="308"/>
        <v>1600.71478956031</v>
      </c>
      <c r="M575" s="47">
        <v>212.65</v>
      </c>
      <c r="N575" s="48">
        <v>7.15</v>
      </c>
      <c r="O575" s="49">
        <f t="shared" si="309"/>
        <v>1520.4475</v>
      </c>
      <c r="P575" s="53"/>
      <c r="Q575" s="53"/>
      <c r="R575" s="76">
        <f t="shared" si="315"/>
        <v>1122.78370307167</v>
      </c>
      <c r="S575" s="76"/>
      <c r="T575" s="77">
        <f t="shared" si="316"/>
        <v>2.25549274744027</v>
      </c>
      <c r="U575" s="76"/>
      <c r="V575" s="76"/>
      <c r="W575" s="78">
        <f t="shared" si="311"/>
        <v>1125.03919581911</v>
      </c>
      <c r="X575" s="79">
        <f t="shared" si="317"/>
        <v>21.2023357508532</v>
      </c>
      <c r="Y575" s="79"/>
      <c r="Z575" s="79"/>
      <c r="AA575" s="79">
        <f t="shared" si="314"/>
        <v>21.2023357508532</v>
      </c>
      <c r="AB575" s="90">
        <v>7.15</v>
      </c>
      <c r="AC575" s="76">
        <f t="shared" si="312"/>
        <v>151.596700618601</v>
      </c>
      <c r="AD575" s="76">
        <f t="shared" si="307"/>
        <v>1276.63589643771</v>
      </c>
      <c r="AE575" s="76">
        <f t="shared" si="313"/>
        <v>243.81160356229</v>
      </c>
    </row>
    <row r="576" customFormat="1" spans="1:31">
      <c r="A576" s="18"/>
      <c r="B576" s="19"/>
      <c r="C576" s="20">
        <v>240816000033</v>
      </c>
      <c r="D576" s="21">
        <v>45528</v>
      </c>
      <c r="E576" s="21" t="s">
        <v>37</v>
      </c>
      <c r="F576" s="19" t="s">
        <v>38</v>
      </c>
      <c r="G576" s="19" t="s">
        <v>64</v>
      </c>
      <c r="H576" s="19">
        <v>35.5</v>
      </c>
      <c r="I576" s="43"/>
      <c r="J576" s="44">
        <v>420036</v>
      </c>
      <c r="K576" s="45"/>
      <c r="L576" s="46">
        <f t="shared" si="308"/>
        <v>1659.30315240578</v>
      </c>
      <c r="M576" s="47">
        <v>253.14</v>
      </c>
      <c r="N576" s="48">
        <v>7.15</v>
      </c>
      <c r="O576" s="49">
        <f t="shared" si="309"/>
        <v>1809.951</v>
      </c>
      <c r="P576" s="53"/>
      <c r="Q576" s="53"/>
      <c r="R576" s="76">
        <f t="shared" si="315"/>
        <v>1449.4116894198</v>
      </c>
      <c r="S576" s="76"/>
      <c r="T576" s="77">
        <f t="shared" si="316"/>
        <v>2.91163609215017</v>
      </c>
      <c r="U576" s="76"/>
      <c r="V576" s="76"/>
      <c r="W576" s="78">
        <f t="shared" si="311"/>
        <v>1452.32332551195</v>
      </c>
      <c r="X576" s="79">
        <f t="shared" si="317"/>
        <v>27.3702879692833</v>
      </c>
      <c r="Y576" s="79"/>
      <c r="Z576" s="79"/>
      <c r="AA576" s="79">
        <f t="shared" si="314"/>
        <v>27.3702879692833</v>
      </c>
      <c r="AB576" s="90">
        <v>7.15</v>
      </c>
      <c r="AC576" s="76">
        <f t="shared" si="312"/>
        <v>195.697558980375</v>
      </c>
      <c r="AD576" s="76">
        <f t="shared" si="307"/>
        <v>1648.02088449232</v>
      </c>
      <c r="AE576" s="76">
        <f t="shared" si="313"/>
        <v>161.93011550768</v>
      </c>
    </row>
    <row r="577" customFormat="1" spans="1:31">
      <c r="A577" s="18"/>
      <c r="B577" s="19"/>
      <c r="C577" s="20">
        <v>240816000034</v>
      </c>
      <c r="D577" s="21">
        <v>45528</v>
      </c>
      <c r="E577" s="21" t="s">
        <v>51</v>
      </c>
      <c r="F577" s="19" t="s">
        <v>52</v>
      </c>
      <c r="G577" s="19" t="s">
        <v>270</v>
      </c>
      <c r="H577" s="19">
        <v>64</v>
      </c>
      <c r="I577" s="49"/>
      <c r="J577" s="44">
        <v>799647.6</v>
      </c>
      <c r="K577" s="45"/>
      <c r="L577" s="46">
        <f t="shared" si="308"/>
        <v>1640</v>
      </c>
      <c r="M577" s="47">
        <v>487.59</v>
      </c>
      <c r="N577" s="48">
        <v>7.15</v>
      </c>
      <c r="O577" s="49">
        <f t="shared" si="309"/>
        <v>3486.2685</v>
      </c>
      <c r="P577" s="53"/>
      <c r="Q577" s="53"/>
      <c r="R577" s="76">
        <f t="shared" si="315"/>
        <v>2613.02389078498</v>
      </c>
      <c r="S577" s="76"/>
      <c r="T577" s="77">
        <f t="shared" si="316"/>
        <v>5.24914675767918</v>
      </c>
      <c r="U577" s="76"/>
      <c r="V577" s="76"/>
      <c r="W577" s="78">
        <f t="shared" si="311"/>
        <v>2618.27303754266</v>
      </c>
      <c r="X577" s="79">
        <f t="shared" si="317"/>
        <v>49.3436177474403</v>
      </c>
      <c r="Y577" s="79"/>
      <c r="Z577" s="79"/>
      <c r="AA577" s="79">
        <f t="shared" si="314"/>
        <v>49.3436177474403</v>
      </c>
      <c r="AB577" s="90">
        <v>7.15</v>
      </c>
      <c r="AC577" s="76">
        <f t="shared" si="312"/>
        <v>352.806866894198</v>
      </c>
      <c r="AD577" s="76">
        <f t="shared" si="307"/>
        <v>2971.07990443686</v>
      </c>
      <c r="AE577" s="76">
        <f t="shared" si="313"/>
        <v>515.18859556314</v>
      </c>
    </row>
    <row r="578" customFormat="1" spans="1:31">
      <c r="A578" s="18"/>
      <c r="B578" s="19"/>
      <c r="C578" s="20">
        <v>240816000039</v>
      </c>
      <c r="D578" s="21">
        <v>45528</v>
      </c>
      <c r="E578" s="21" t="s">
        <v>41</v>
      </c>
      <c r="F578" s="19" t="s">
        <v>42</v>
      </c>
      <c r="G578" s="19" t="s">
        <v>378</v>
      </c>
      <c r="H578" s="19">
        <v>1.5</v>
      </c>
      <c r="I578" s="43"/>
      <c r="J578" s="44">
        <v>22088</v>
      </c>
      <c r="K578" s="45"/>
      <c r="L578" s="46">
        <f t="shared" si="308"/>
        <v>1697.7709454266</v>
      </c>
      <c r="M578" s="47">
        <v>13.01</v>
      </c>
      <c r="N578" s="48">
        <v>7.15</v>
      </c>
      <c r="O578" s="49">
        <f t="shared" si="309"/>
        <v>93.0215</v>
      </c>
      <c r="P578" s="53"/>
      <c r="Q578" s="53"/>
      <c r="R578" s="76">
        <f t="shared" si="315"/>
        <v>61.242747440273</v>
      </c>
      <c r="S578" s="76"/>
      <c r="T578" s="77">
        <f t="shared" si="316"/>
        <v>0.123026877133106</v>
      </c>
      <c r="U578" s="76"/>
      <c r="V578" s="76"/>
      <c r="W578" s="78">
        <f t="shared" si="311"/>
        <v>61.3657743174061</v>
      </c>
      <c r="X578" s="79">
        <f t="shared" si="317"/>
        <v>1.15649104095563</v>
      </c>
      <c r="Y578" s="79"/>
      <c r="Z578" s="79"/>
      <c r="AA578" s="79">
        <f t="shared" si="314"/>
        <v>1.15649104095563</v>
      </c>
      <c r="AB578" s="90">
        <v>7.15</v>
      </c>
      <c r="AC578" s="76">
        <f t="shared" si="312"/>
        <v>8.26891094283276</v>
      </c>
      <c r="AD578" s="76">
        <f t="shared" si="307"/>
        <v>69.6346852602389</v>
      </c>
      <c r="AE578" s="76">
        <f t="shared" si="313"/>
        <v>23.3868147397611</v>
      </c>
    </row>
    <row r="579" customFormat="1" spans="1:31">
      <c r="A579" s="18"/>
      <c r="B579" s="19"/>
      <c r="C579" s="20">
        <v>240817000002</v>
      </c>
      <c r="D579" s="21">
        <v>45528</v>
      </c>
      <c r="E579" s="21" t="s">
        <v>127</v>
      </c>
      <c r="F579" s="19" t="s">
        <v>128</v>
      </c>
      <c r="G579" s="19" t="s">
        <v>408</v>
      </c>
      <c r="H579" s="19">
        <v>1.5</v>
      </c>
      <c r="I579" s="49"/>
      <c r="J579" s="44">
        <v>21238</v>
      </c>
      <c r="K579" s="45"/>
      <c r="L579" s="46">
        <f t="shared" si="308"/>
        <v>1639.99987335908</v>
      </c>
      <c r="M579" s="47">
        <v>12.950001</v>
      </c>
      <c r="N579" s="48">
        <v>7.15</v>
      </c>
      <c r="O579" s="49">
        <f t="shared" si="309"/>
        <v>92.59250715</v>
      </c>
      <c r="P579" s="53"/>
      <c r="Q579" s="53"/>
      <c r="R579" s="76">
        <f t="shared" si="315"/>
        <v>61.242747440273</v>
      </c>
      <c r="S579" s="76"/>
      <c r="T579" s="77">
        <f t="shared" si="316"/>
        <v>0.123026877133106</v>
      </c>
      <c r="U579" s="76"/>
      <c r="V579" s="76"/>
      <c r="W579" s="78">
        <f t="shared" si="311"/>
        <v>61.3657743174061</v>
      </c>
      <c r="X579" s="79">
        <f t="shared" si="317"/>
        <v>1.15649104095563</v>
      </c>
      <c r="Y579" s="79"/>
      <c r="Z579" s="79"/>
      <c r="AA579" s="79">
        <f t="shared" si="314"/>
        <v>1.15649104095563</v>
      </c>
      <c r="AB579" s="90">
        <v>7.15</v>
      </c>
      <c r="AC579" s="76">
        <f t="shared" si="312"/>
        <v>8.26891094283276</v>
      </c>
      <c r="AD579" s="76">
        <f t="shared" si="307"/>
        <v>69.6346852602389</v>
      </c>
      <c r="AE579" s="76">
        <f t="shared" si="313"/>
        <v>22.9578218897611</v>
      </c>
    </row>
    <row r="580" customFormat="1" spans="1:31">
      <c r="A580" s="18"/>
      <c r="B580" s="19"/>
      <c r="C580" s="20">
        <v>240817000004</v>
      </c>
      <c r="D580" s="21">
        <v>45528</v>
      </c>
      <c r="E580" s="21" t="s">
        <v>41</v>
      </c>
      <c r="F580" s="19" t="s">
        <v>42</v>
      </c>
      <c r="G580" s="19" t="s">
        <v>409</v>
      </c>
      <c r="H580" s="19">
        <v>26.5</v>
      </c>
      <c r="I580" s="43"/>
      <c r="J580" s="44">
        <v>345534</v>
      </c>
      <c r="K580" s="45"/>
      <c r="L580" s="46">
        <f t="shared" si="308"/>
        <v>1630.2618542109</v>
      </c>
      <c r="M580" s="47">
        <v>211.95</v>
      </c>
      <c r="N580" s="48">
        <v>7.15</v>
      </c>
      <c r="O580" s="49">
        <f t="shared" si="309"/>
        <v>1515.4425</v>
      </c>
      <c r="P580" s="53"/>
      <c r="Q580" s="53"/>
      <c r="R580" s="76">
        <f t="shared" si="315"/>
        <v>1081.95520477816</v>
      </c>
      <c r="S580" s="76"/>
      <c r="T580" s="77">
        <f t="shared" si="316"/>
        <v>2.17347482935154</v>
      </c>
      <c r="U580" s="76">
        <v>50</v>
      </c>
      <c r="V580" s="76"/>
      <c r="W580" s="78">
        <f t="shared" si="311"/>
        <v>1134.12867960751</v>
      </c>
      <c r="X580" s="79">
        <f t="shared" si="317"/>
        <v>20.4313417235495</v>
      </c>
      <c r="Y580" s="79"/>
      <c r="Z580" s="79"/>
      <c r="AA580" s="79">
        <f t="shared" si="314"/>
        <v>20.4313417235495</v>
      </c>
      <c r="AB580" s="90">
        <v>7.15</v>
      </c>
      <c r="AC580" s="76">
        <f t="shared" si="312"/>
        <v>146.084093323379</v>
      </c>
      <c r="AD580" s="76">
        <f t="shared" si="307"/>
        <v>1280.21277293089</v>
      </c>
      <c r="AE580" s="76">
        <f t="shared" si="313"/>
        <v>235.22972706911</v>
      </c>
    </row>
    <row r="581" customFormat="1" spans="1:31">
      <c r="A581" s="18"/>
      <c r="B581" s="19"/>
      <c r="C581" s="20">
        <v>240818000003</v>
      </c>
      <c r="D581" s="21">
        <v>45528</v>
      </c>
      <c r="E581" s="21" t="s">
        <v>44</v>
      </c>
      <c r="F581" s="19" t="s">
        <v>45</v>
      </c>
      <c r="G581" s="19" t="s">
        <v>410</v>
      </c>
      <c r="H581" s="19">
        <v>16.5</v>
      </c>
      <c r="I581" s="51">
        <v>1212</v>
      </c>
      <c r="J581" s="52"/>
      <c r="K581" s="45"/>
      <c r="L581" s="19"/>
      <c r="M581" s="45"/>
      <c r="N581" s="48"/>
      <c r="O581" s="49">
        <f t="shared" ref="O581:O586" si="318">SUM(I581)</f>
        <v>1212</v>
      </c>
      <c r="P581" s="53"/>
      <c r="Q581" s="53"/>
      <c r="R581" s="76">
        <f t="shared" si="315"/>
        <v>673.670221843003</v>
      </c>
      <c r="S581" s="76"/>
      <c r="T581" s="77">
        <f t="shared" si="316"/>
        <v>1.35329564846416</v>
      </c>
      <c r="U581" s="76"/>
      <c r="V581" s="77">
        <v>162</v>
      </c>
      <c r="W581" s="78">
        <f t="shared" si="311"/>
        <v>837.023517491468</v>
      </c>
      <c r="X581" s="79">
        <f t="shared" si="317"/>
        <v>12.7214014505119</v>
      </c>
      <c r="Y581" s="79"/>
      <c r="Z581" s="79"/>
      <c r="AA581" s="79">
        <f t="shared" si="314"/>
        <v>12.7214014505119</v>
      </c>
      <c r="AB581" s="90">
        <v>7.15</v>
      </c>
      <c r="AC581" s="76">
        <f t="shared" si="312"/>
        <v>90.9580203711604</v>
      </c>
      <c r="AD581" s="76">
        <f t="shared" si="307"/>
        <v>927.981537862628</v>
      </c>
      <c r="AE581" s="76">
        <f t="shared" si="313"/>
        <v>284.018462137372</v>
      </c>
    </row>
    <row r="582" customFormat="1" spans="1:31">
      <c r="A582" s="18"/>
      <c r="B582" s="19"/>
      <c r="C582" s="20">
        <v>240818000006</v>
      </c>
      <c r="D582" s="21">
        <v>45528</v>
      </c>
      <c r="E582" s="21" t="s">
        <v>44</v>
      </c>
      <c r="F582" s="19" t="s">
        <v>45</v>
      </c>
      <c r="G582" s="19" t="s">
        <v>411</v>
      </c>
      <c r="H582" s="19">
        <v>1.5</v>
      </c>
      <c r="I582" s="51">
        <v>93</v>
      </c>
      <c r="J582" s="52"/>
      <c r="K582" s="45"/>
      <c r="L582" s="19"/>
      <c r="M582" s="45"/>
      <c r="N582" s="48"/>
      <c r="O582" s="49">
        <f t="shared" si="318"/>
        <v>93</v>
      </c>
      <c r="P582" s="53"/>
      <c r="Q582" s="53"/>
      <c r="R582" s="76">
        <f t="shared" si="315"/>
        <v>61.242747440273</v>
      </c>
      <c r="S582" s="76"/>
      <c r="T582" s="77">
        <f t="shared" si="316"/>
        <v>0.123026877133106</v>
      </c>
      <c r="U582" s="76"/>
      <c r="V582" s="76"/>
      <c r="W582" s="78">
        <f t="shared" si="311"/>
        <v>61.3657743174061</v>
      </c>
      <c r="X582" s="79">
        <f t="shared" si="317"/>
        <v>1.15649104095563</v>
      </c>
      <c r="Y582" s="79"/>
      <c r="Z582" s="79"/>
      <c r="AA582" s="79">
        <f t="shared" si="314"/>
        <v>1.15649104095563</v>
      </c>
      <c r="AB582" s="90">
        <v>7.15</v>
      </c>
      <c r="AC582" s="76">
        <f t="shared" si="312"/>
        <v>8.26891094283276</v>
      </c>
      <c r="AD582" s="76">
        <f t="shared" si="307"/>
        <v>69.6346852602389</v>
      </c>
      <c r="AE582" s="76">
        <f t="shared" si="313"/>
        <v>23.3653147397611</v>
      </c>
    </row>
    <row r="583" customFormat="1" spans="1:31">
      <c r="A583" s="18"/>
      <c r="B583" s="19"/>
      <c r="C583" s="20">
        <v>240818000007</v>
      </c>
      <c r="D583" s="21">
        <v>45528</v>
      </c>
      <c r="E583" s="21" t="s">
        <v>44</v>
      </c>
      <c r="F583" s="19" t="s">
        <v>45</v>
      </c>
      <c r="G583" s="19" t="s">
        <v>412</v>
      </c>
      <c r="H583" s="19">
        <v>0.74</v>
      </c>
      <c r="I583" s="51">
        <v>63</v>
      </c>
      <c r="J583" s="52"/>
      <c r="K583" s="45"/>
      <c r="L583" s="19"/>
      <c r="M583" s="45"/>
      <c r="N583" s="48"/>
      <c r="O583" s="49">
        <f t="shared" si="318"/>
        <v>63</v>
      </c>
      <c r="P583" s="53"/>
      <c r="Q583" s="53"/>
      <c r="R583" s="76">
        <f t="shared" si="315"/>
        <v>30.2130887372014</v>
      </c>
      <c r="S583" s="76"/>
      <c r="T583" s="77">
        <f t="shared" si="316"/>
        <v>0.0606932593856655</v>
      </c>
      <c r="U583" s="76"/>
      <c r="V583" s="76"/>
      <c r="W583" s="78">
        <f t="shared" si="311"/>
        <v>30.273781996587</v>
      </c>
      <c r="X583" s="79">
        <f t="shared" si="317"/>
        <v>0.570535580204778</v>
      </c>
      <c r="Y583" s="79"/>
      <c r="Z583" s="79"/>
      <c r="AA583" s="79">
        <f t="shared" si="314"/>
        <v>0.570535580204778</v>
      </c>
      <c r="AB583" s="90">
        <v>7.15</v>
      </c>
      <c r="AC583" s="76">
        <f t="shared" si="312"/>
        <v>4.07932939846416</v>
      </c>
      <c r="AD583" s="76">
        <f t="shared" si="307"/>
        <v>34.3531113950512</v>
      </c>
      <c r="AE583" s="76">
        <f t="shared" si="313"/>
        <v>28.6468886049488</v>
      </c>
    </row>
    <row r="584" customFormat="1" spans="1:31">
      <c r="A584" s="18"/>
      <c r="B584" s="19"/>
      <c r="C584" s="20">
        <v>240818000008</v>
      </c>
      <c r="D584" s="21">
        <v>45528</v>
      </c>
      <c r="E584" s="21" t="s">
        <v>44</v>
      </c>
      <c r="F584" s="19" t="s">
        <v>45</v>
      </c>
      <c r="G584" s="19" t="s">
        <v>46</v>
      </c>
      <c r="H584" s="19">
        <v>0.28</v>
      </c>
      <c r="I584" s="51">
        <v>63</v>
      </c>
      <c r="J584" s="52"/>
      <c r="K584" s="45"/>
      <c r="L584" s="19"/>
      <c r="M584" s="45"/>
      <c r="N584" s="48"/>
      <c r="O584" s="49">
        <f t="shared" si="318"/>
        <v>63</v>
      </c>
      <c r="P584" s="53"/>
      <c r="Q584" s="53"/>
      <c r="R584" s="76">
        <f t="shared" si="315"/>
        <v>11.4319795221843</v>
      </c>
      <c r="S584" s="76"/>
      <c r="T584" s="77">
        <f t="shared" si="316"/>
        <v>0.0229650170648464</v>
      </c>
      <c r="U584" s="76"/>
      <c r="V584" s="76"/>
      <c r="W584" s="78">
        <f t="shared" si="311"/>
        <v>11.4549445392491</v>
      </c>
      <c r="X584" s="79">
        <f t="shared" si="317"/>
        <v>0.215878327645051</v>
      </c>
      <c r="Y584" s="79"/>
      <c r="Z584" s="79"/>
      <c r="AA584" s="79">
        <f t="shared" si="314"/>
        <v>0.215878327645051</v>
      </c>
      <c r="AB584" s="90">
        <v>7.15</v>
      </c>
      <c r="AC584" s="76">
        <f t="shared" si="312"/>
        <v>1.54353004266212</v>
      </c>
      <c r="AD584" s="76">
        <f t="shared" si="307"/>
        <v>12.9984745819113</v>
      </c>
      <c r="AE584" s="76">
        <f t="shared" si="313"/>
        <v>50.0015254180887</v>
      </c>
    </row>
    <row r="585" customFormat="1" spans="1:31">
      <c r="A585" s="18"/>
      <c r="B585" s="19"/>
      <c r="C585" s="20">
        <v>240818000010</v>
      </c>
      <c r="D585" s="21">
        <v>45528</v>
      </c>
      <c r="E585" s="21" t="s">
        <v>44</v>
      </c>
      <c r="F585" s="19" t="s">
        <v>45</v>
      </c>
      <c r="G585" s="19" t="s">
        <v>92</v>
      </c>
      <c r="H585" s="19">
        <v>2</v>
      </c>
      <c r="I585" s="51">
        <v>137.4</v>
      </c>
      <c r="J585" s="52"/>
      <c r="K585" s="45"/>
      <c r="L585" s="19"/>
      <c r="M585" s="45"/>
      <c r="N585" s="48"/>
      <c r="O585" s="49">
        <f t="shared" si="318"/>
        <v>137.4</v>
      </c>
      <c r="P585" s="53"/>
      <c r="Q585" s="53"/>
      <c r="R585" s="76">
        <f t="shared" si="315"/>
        <v>81.6569965870307</v>
      </c>
      <c r="S585" s="76"/>
      <c r="T585" s="77">
        <f t="shared" si="316"/>
        <v>0.164035836177474</v>
      </c>
      <c r="U585" s="76"/>
      <c r="V585" s="76"/>
      <c r="W585" s="78">
        <f t="shared" si="311"/>
        <v>81.8210324232082</v>
      </c>
      <c r="X585" s="79">
        <f t="shared" si="317"/>
        <v>1.54198805460751</v>
      </c>
      <c r="Y585" s="79"/>
      <c r="Z585" s="79"/>
      <c r="AA585" s="79">
        <f t="shared" si="314"/>
        <v>1.54198805460751</v>
      </c>
      <c r="AB585" s="90">
        <v>7.15</v>
      </c>
      <c r="AC585" s="76">
        <f t="shared" si="312"/>
        <v>11.0252145904437</v>
      </c>
      <c r="AD585" s="76">
        <f t="shared" si="307"/>
        <v>92.8462470136519</v>
      </c>
      <c r="AE585" s="76">
        <f t="shared" si="313"/>
        <v>44.5537529863481</v>
      </c>
    </row>
    <row r="586" customFormat="1" spans="1:31">
      <c r="A586" s="18"/>
      <c r="B586" s="19"/>
      <c r="C586" s="20">
        <v>240818000011</v>
      </c>
      <c r="D586" s="21">
        <v>45528</v>
      </c>
      <c r="E586" s="21" t="s">
        <v>44</v>
      </c>
      <c r="F586" s="19" t="s">
        <v>45</v>
      </c>
      <c r="G586" s="19" t="s">
        <v>413</v>
      </c>
      <c r="H586" s="19">
        <v>27</v>
      </c>
      <c r="I586" s="51">
        <v>1828</v>
      </c>
      <c r="J586" s="52"/>
      <c r="K586" s="45"/>
      <c r="L586" s="19"/>
      <c r="M586" s="45"/>
      <c r="N586" s="48"/>
      <c r="O586" s="49">
        <f t="shared" si="318"/>
        <v>1828</v>
      </c>
      <c r="P586" s="53"/>
      <c r="Q586" s="53"/>
      <c r="R586" s="76">
        <f t="shared" si="315"/>
        <v>1102.36945392491</v>
      </c>
      <c r="S586" s="76"/>
      <c r="T586" s="77">
        <f t="shared" si="316"/>
        <v>2.2144837883959</v>
      </c>
      <c r="U586" s="76"/>
      <c r="V586" s="76"/>
      <c r="W586" s="78">
        <f t="shared" si="311"/>
        <v>1104.58393771331</v>
      </c>
      <c r="X586" s="79">
        <f t="shared" si="317"/>
        <v>20.8168387372014</v>
      </c>
      <c r="Y586" s="79"/>
      <c r="Z586" s="79"/>
      <c r="AA586" s="79">
        <f t="shared" si="314"/>
        <v>20.8168387372014</v>
      </c>
      <c r="AB586" s="90">
        <v>7.15</v>
      </c>
      <c r="AC586" s="76">
        <f t="shared" si="312"/>
        <v>148.84039697099</v>
      </c>
      <c r="AD586" s="76">
        <f t="shared" si="307"/>
        <v>1253.4243346843</v>
      </c>
      <c r="AE586" s="76">
        <f t="shared" si="313"/>
        <v>574.5756653157</v>
      </c>
    </row>
    <row r="587" customFormat="1" spans="1:31">
      <c r="A587" s="18"/>
      <c r="B587" s="19"/>
      <c r="C587" s="20">
        <v>240818000012</v>
      </c>
      <c r="D587" s="21">
        <v>45528</v>
      </c>
      <c r="E587" s="21" t="s">
        <v>44</v>
      </c>
      <c r="F587" s="19" t="s">
        <v>45</v>
      </c>
      <c r="G587" s="19" t="s">
        <v>414</v>
      </c>
      <c r="H587" s="19">
        <v>0.86</v>
      </c>
      <c r="I587" s="49"/>
      <c r="J587" s="44">
        <v>14268</v>
      </c>
      <c r="K587" s="45"/>
      <c r="L587" s="46">
        <f>SUM(J587/M587)</f>
        <v>1639.99981149427</v>
      </c>
      <c r="M587" s="47">
        <v>8.700001</v>
      </c>
      <c r="N587" s="48">
        <v>7.15</v>
      </c>
      <c r="O587" s="49">
        <f>SUM(M587*N587)</f>
        <v>62.20500715</v>
      </c>
      <c r="P587" s="53"/>
      <c r="Q587" s="53"/>
      <c r="R587" s="76">
        <f t="shared" si="315"/>
        <v>35.1125085324232</v>
      </c>
      <c r="S587" s="76"/>
      <c r="T587" s="77">
        <f t="shared" si="316"/>
        <v>0.070535409556314</v>
      </c>
      <c r="U587" s="76"/>
      <c r="V587" s="76"/>
      <c r="W587" s="78">
        <f t="shared" si="311"/>
        <v>35.1830439419795</v>
      </c>
      <c r="X587" s="79">
        <f t="shared" si="317"/>
        <v>0.663054863481229</v>
      </c>
      <c r="Y587" s="79"/>
      <c r="Z587" s="79"/>
      <c r="AA587" s="79">
        <f t="shared" si="314"/>
        <v>0.663054863481229</v>
      </c>
      <c r="AB587" s="90">
        <v>7.15</v>
      </c>
      <c r="AC587" s="76">
        <f t="shared" si="312"/>
        <v>4.74084227389079</v>
      </c>
      <c r="AD587" s="76">
        <f t="shared" si="307"/>
        <v>39.9238862158703</v>
      </c>
      <c r="AE587" s="76">
        <f t="shared" si="313"/>
        <v>22.2811209341297</v>
      </c>
    </row>
    <row r="588" customFormat="1" spans="1:31">
      <c r="A588" s="18"/>
      <c r="B588" s="19"/>
      <c r="C588" s="20">
        <v>240818000016</v>
      </c>
      <c r="D588" s="21">
        <v>45528</v>
      </c>
      <c r="E588" s="21" t="s">
        <v>51</v>
      </c>
      <c r="F588" s="19" t="s">
        <v>52</v>
      </c>
      <c r="G588" s="19" t="s">
        <v>122</v>
      </c>
      <c r="H588" s="19">
        <v>8</v>
      </c>
      <c r="I588" s="51">
        <v>462</v>
      </c>
      <c r="J588" s="52"/>
      <c r="K588" s="45"/>
      <c r="L588" s="19"/>
      <c r="M588" s="45"/>
      <c r="N588" s="48"/>
      <c r="O588" s="49">
        <f t="shared" ref="O588:O594" si="319">SUM(I588)</f>
        <v>462</v>
      </c>
      <c r="P588" s="53"/>
      <c r="Q588" s="53"/>
      <c r="R588" s="76">
        <f t="shared" si="315"/>
        <v>326.627986348123</v>
      </c>
      <c r="S588" s="76"/>
      <c r="T588" s="77">
        <f t="shared" si="316"/>
        <v>0.656143344709898</v>
      </c>
      <c r="U588" s="76"/>
      <c r="V588" s="76"/>
      <c r="W588" s="78">
        <f t="shared" si="311"/>
        <v>327.284129692833</v>
      </c>
      <c r="X588" s="79">
        <f t="shared" si="317"/>
        <v>6.16795221843003</v>
      </c>
      <c r="Y588" s="79"/>
      <c r="Z588" s="79"/>
      <c r="AA588" s="79">
        <f t="shared" si="314"/>
        <v>6.16795221843003</v>
      </c>
      <c r="AB588" s="90">
        <v>7.15</v>
      </c>
      <c r="AC588" s="76">
        <f t="shared" si="312"/>
        <v>44.1008583617747</v>
      </c>
      <c r="AD588" s="76">
        <f t="shared" si="307"/>
        <v>371.384988054608</v>
      </c>
      <c r="AE588" s="76">
        <f t="shared" si="313"/>
        <v>90.6150119453925</v>
      </c>
    </row>
    <row r="589" customFormat="1" spans="1:31">
      <c r="A589" s="18"/>
      <c r="B589" s="19"/>
      <c r="C589" s="20">
        <v>240818000017</v>
      </c>
      <c r="D589" s="21">
        <v>45528</v>
      </c>
      <c r="E589" s="21" t="s">
        <v>51</v>
      </c>
      <c r="F589" s="19" t="s">
        <v>52</v>
      </c>
      <c r="G589" s="19" t="s">
        <v>238</v>
      </c>
      <c r="H589" s="19">
        <v>1.5</v>
      </c>
      <c r="I589" s="51">
        <v>69</v>
      </c>
      <c r="J589" s="52"/>
      <c r="K589" s="45"/>
      <c r="L589" s="19"/>
      <c r="M589" s="45"/>
      <c r="N589" s="48"/>
      <c r="O589" s="49">
        <f t="shared" si="319"/>
        <v>69</v>
      </c>
      <c r="P589" s="53"/>
      <c r="Q589" s="53"/>
      <c r="R589" s="76">
        <f t="shared" si="315"/>
        <v>61.242747440273</v>
      </c>
      <c r="S589" s="76"/>
      <c r="T589" s="77">
        <f t="shared" si="316"/>
        <v>0.123026877133106</v>
      </c>
      <c r="U589" s="76"/>
      <c r="V589" s="76"/>
      <c r="W589" s="78">
        <f t="shared" si="311"/>
        <v>61.3657743174061</v>
      </c>
      <c r="X589" s="79">
        <f t="shared" si="317"/>
        <v>1.15649104095563</v>
      </c>
      <c r="Y589" s="79"/>
      <c r="Z589" s="79"/>
      <c r="AA589" s="79">
        <f t="shared" si="314"/>
        <v>1.15649104095563</v>
      </c>
      <c r="AB589" s="90">
        <v>7.15</v>
      </c>
      <c r="AC589" s="76">
        <f t="shared" si="312"/>
        <v>8.26891094283276</v>
      </c>
      <c r="AD589" s="76">
        <f t="shared" si="307"/>
        <v>69.6346852602389</v>
      </c>
      <c r="AE589" s="76">
        <f t="shared" si="313"/>
        <v>-0.634685260238911</v>
      </c>
    </row>
    <row r="590" customFormat="1" spans="1:31">
      <c r="A590" s="18"/>
      <c r="B590" s="19"/>
      <c r="C590" s="20">
        <v>240818000019</v>
      </c>
      <c r="D590" s="21">
        <v>45528</v>
      </c>
      <c r="E590" s="21" t="s">
        <v>51</v>
      </c>
      <c r="F590" s="19" t="s">
        <v>52</v>
      </c>
      <c r="G590" s="19" t="s">
        <v>281</v>
      </c>
      <c r="H590" s="19">
        <v>16</v>
      </c>
      <c r="I590" s="51">
        <v>918</v>
      </c>
      <c r="J590" s="52"/>
      <c r="K590" s="45"/>
      <c r="L590" s="19"/>
      <c r="M590" s="45"/>
      <c r="N590" s="48"/>
      <c r="O590" s="49">
        <f t="shared" si="319"/>
        <v>918</v>
      </c>
      <c r="P590" s="53"/>
      <c r="Q590" s="53"/>
      <c r="R590" s="76">
        <f t="shared" si="315"/>
        <v>653.255972696246</v>
      </c>
      <c r="S590" s="76"/>
      <c r="T590" s="77">
        <f t="shared" si="316"/>
        <v>1.3122866894198</v>
      </c>
      <c r="U590" s="76"/>
      <c r="V590" s="76"/>
      <c r="W590" s="78">
        <f t="shared" si="311"/>
        <v>654.568259385666</v>
      </c>
      <c r="X590" s="79">
        <f t="shared" si="317"/>
        <v>12.3359044368601</v>
      </c>
      <c r="Y590" s="79"/>
      <c r="Z590" s="79"/>
      <c r="AA590" s="79">
        <f t="shared" si="314"/>
        <v>12.3359044368601</v>
      </c>
      <c r="AB590" s="90">
        <v>7.15</v>
      </c>
      <c r="AC590" s="76">
        <f t="shared" si="312"/>
        <v>88.2017167235495</v>
      </c>
      <c r="AD590" s="76">
        <f t="shared" si="307"/>
        <v>742.769976109215</v>
      </c>
      <c r="AE590" s="76">
        <f t="shared" si="313"/>
        <v>175.230023890785</v>
      </c>
    </row>
    <row r="591" customFormat="1" spans="1:31">
      <c r="A591" s="18"/>
      <c r="B591" s="19"/>
      <c r="C591" s="20">
        <v>240818000021</v>
      </c>
      <c r="D591" s="21">
        <v>45528</v>
      </c>
      <c r="E591" s="21" t="s">
        <v>51</v>
      </c>
      <c r="F591" s="19" t="s">
        <v>52</v>
      </c>
      <c r="G591" s="19" t="s">
        <v>415</v>
      </c>
      <c r="H591" s="19">
        <v>78</v>
      </c>
      <c r="I591" s="51">
        <v>4340</v>
      </c>
      <c r="J591" s="52"/>
      <c r="K591" s="45"/>
      <c r="L591" s="19"/>
      <c r="M591" s="45"/>
      <c r="N591" s="48"/>
      <c r="O591" s="49">
        <f t="shared" si="319"/>
        <v>4340</v>
      </c>
      <c r="P591" s="53"/>
      <c r="Q591" s="53"/>
      <c r="R591" s="76">
        <f t="shared" si="315"/>
        <v>3184.6228668942</v>
      </c>
      <c r="S591" s="76"/>
      <c r="T591" s="77">
        <f t="shared" si="316"/>
        <v>6.3973976109215</v>
      </c>
      <c r="U591" s="77">
        <v>50</v>
      </c>
      <c r="V591" s="76"/>
      <c r="W591" s="78">
        <f t="shared" si="311"/>
        <v>3241.02026450512</v>
      </c>
      <c r="X591" s="79">
        <f t="shared" si="317"/>
        <v>60.1375341296928</v>
      </c>
      <c r="Y591" s="79"/>
      <c r="Z591" s="79"/>
      <c r="AA591" s="79">
        <f t="shared" si="314"/>
        <v>60.1375341296928</v>
      </c>
      <c r="AB591" s="90">
        <v>7.15</v>
      </c>
      <c r="AC591" s="76">
        <f t="shared" si="312"/>
        <v>429.983369027304</v>
      </c>
      <c r="AD591" s="76">
        <f t="shared" si="307"/>
        <v>3671.00363353242</v>
      </c>
      <c r="AE591" s="76">
        <f t="shared" si="313"/>
        <v>668.996366467577</v>
      </c>
    </row>
    <row r="592" customFormat="1" spans="1:31">
      <c r="A592" s="18"/>
      <c r="B592" s="19"/>
      <c r="C592" s="20">
        <v>240818000023</v>
      </c>
      <c r="D592" s="21">
        <v>45528</v>
      </c>
      <c r="E592" s="21" t="s">
        <v>51</v>
      </c>
      <c r="F592" s="19" t="s">
        <v>52</v>
      </c>
      <c r="G592" s="19" t="s">
        <v>416</v>
      </c>
      <c r="H592" s="19">
        <v>73.5</v>
      </c>
      <c r="I592" s="51">
        <v>4860.9</v>
      </c>
      <c r="J592" s="52"/>
      <c r="K592" s="45"/>
      <c r="L592" s="19"/>
      <c r="M592" s="45"/>
      <c r="N592" s="48"/>
      <c r="O592" s="49">
        <f t="shared" si="319"/>
        <v>4860.9</v>
      </c>
      <c r="P592" s="53"/>
      <c r="Q592" s="53"/>
      <c r="R592" s="76">
        <f t="shared" si="315"/>
        <v>3000.89462457338</v>
      </c>
      <c r="S592" s="76"/>
      <c r="T592" s="77">
        <f t="shared" si="316"/>
        <v>6.02831697952218</v>
      </c>
      <c r="U592" s="76"/>
      <c r="V592" s="76"/>
      <c r="W592" s="78">
        <f t="shared" si="311"/>
        <v>3006.9229415529</v>
      </c>
      <c r="X592" s="79">
        <f t="shared" si="317"/>
        <v>56.6680610068259</v>
      </c>
      <c r="Y592" s="79"/>
      <c r="Z592" s="79"/>
      <c r="AA592" s="79">
        <f t="shared" si="314"/>
        <v>56.6680610068259</v>
      </c>
      <c r="AB592" s="90">
        <v>7.15</v>
      </c>
      <c r="AC592" s="76">
        <f t="shared" si="312"/>
        <v>405.176636198806</v>
      </c>
      <c r="AD592" s="76">
        <f t="shared" si="307"/>
        <v>3412.09957775171</v>
      </c>
      <c r="AE592" s="76">
        <f t="shared" si="313"/>
        <v>1448.80042224829</v>
      </c>
    </row>
    <row r="593" customFormat="1" spans="1:31">
      <c r="A593" s="18"/>
      <c r="B593" s="19"/>
      <c r="C593" s="20">
        <v>240818000025</v>
      </c>
      <c r="D593" s="21">
        <v>45528</v>
      </c>
      <c r="E593" s="21" t="s">
        <v>57</v>
      </c>
      <c r="F593" s="19" t="s">
        <v>57</v>
      </c>
      <c r="G593" s="19" t="s">
        <v>224</v>
      </c>
      <c r="H593" s="19">
        <v>72.5</v>
      </c>
      <c r="I593" s="51">
        <v>4195.5</v>
      </c>
      <c r="J593" s="52"/>
      <c r="K593" s="45"/>
      <c r="L593" s="19"/>
      <c r="M593" s="45"/>
      <c r="N593" s="48"/>
      <c r="O593" s="49">
        <f t="shared" si="319"/>
        <v>4195.5</v>
      </c>
      <c r="P593" s="53"/>
      <c r="Q593" s="53"/>
      <c r="R593" s="76">
        <f t="shared" si="315"/>
        <v>2960.06612627986</v>
      </c>
      <c r="S593" s="76"/>
      <c r="T593" s="77">
        <f t="shared" si="316"/>
        <v>5.94629906143345</v>
      </c>
      <c r="U593" s="77">
        <f>SUM(40+80)</f>
        <v>120</v>
      </c>
      <c r="V593" s="76"/>
      <c r="W593" s="78">
        <f t="shared" si="311"/>
        <v>3086.0124253413</v>
      </c>
      <c r="X593" s="79">
        <f t="shared" si="317"/>
        <v>55.8970669795222</v>
      </c>
      <c r="Y593" s="79"/>
      <c r="Z593" s="79"/>
      <c r="AA593" s="79">
        <f t="shared" si="314"/>
        <v>55.8970669795222</v>
      </c>
      <c r="AB593" s="90">
        <v>7.15</v>
      </c>
      <c r="AC593" s="76">
        <f t="shared" si="312"/>
        <v>399.664028903584</v>
      </c>
      <c r="AD593" s="76">
        <f t="shared" si="307"/>
        <v>3485.67645424488</v>
      </c>
      <c r="AE593" s="76">
        <f t="shared" si="313"/>
        <v>709.82354575512</v>
      </c>
    </row>
    <row r="594" customFormat="1" spans="1:31">
      <c r="A594" s="18"/>
      <c r="B594" s="19"/>
      <c r="C594" s="22">
        <v>240818000027</v>
      </c>
      <c r="D594" s="23">
        <v>45528</v>
      </c>
      <c r="E594" s="21" t="s">
        <v>57</v>
      </c>
      <c r="F594" s="24" t="s">
        <v>57</v>
      </c>
      <c r="G594" s="24" t="s">
        <v>58</v>
      </c>
      <c r="H594" s="24">
        <v>7.5</v>
      </c>
      <c r="I594" s="51">
        <v>433.5</v>
      </c>
      <c r="J594" s="52"/>
      <c r="K594" s="45"/>
      <c r="L594" s="19"/>
      <c r="M594" s="45"/>
      <c r="N594" s="48"/>
      <c r="O594" s="49">
        <f t="shared" si="319"/>
        <v>433.5</v>
      </c>
      <c r="P594" s="53"/>
      <c r="Q594" s="53"/>
      <c r="R594" s="76">
        <f t="shared" si="315"/>
        <v>306.213737201365</v>
      </c>
      <c r="S594" s="76"/>
      <c r="T594" s="77">
        <f t="shared" si="316"/>
        <v>0.615134385665529</v>
      </c>
      <c r="U594" s="76"/>
      <c r="V594" s="76"/>
      <c r="W594" s="78">
        <f t="shared" si="311"/>
        <v>306.828871587031</v>
      </c>
      <c r="X594" s="79">
        <f t="shared" si="317"/>
        <v>5.78245520477816</v>
      </c>
      <c r="Y594" s="79"/>
      <c r="Z594" s="79"/>
      <c r="AA594" s="79">
        <f t="shared" si="314"/>
        <v>5.78245520477816</v>
      </c>
      <c r="AB594" s="90">
        <v>7.15</v>
      </c>
      <c r="AC594" s="76">
        <f t="shared" si="312"/>
        <v>41.3445547141638</v>
      </c>
      <c r="AD594" s="76">
        <f t="shared" si="307"/>
        <v>348.173426301195</v>
      </c>
      <c r="AE594" s="76">
        <f t="shared" si="313"/>
        <v>85.3265736988054</v>
      </c>
    </row>
    <row r="595" customFormat="1" spans="1:31">
      <c r="A595" s="18"/>
      <c r="B595" s="19"/>
      <c r="C595" s="20">
        <v>240818000030</v>
      </c>
      <c r="D595" s="21">
        <v>45528</v>
      </c>
      <c r="E595" s="21" t="s">
        <v>37</v>
      </c>
      <c r="F595" s="19" t="s">
        <v>38</v>
      </c>
      <c r="G595" s="19" t="s">
        <v>216</v>
      </c>
      <c r="H595" s="19">
        <v>20.5</v>
      </c>
      <c r="I595" s="43"/>
      <c r="J595" s="44">
        <v>316417.5</v>
      </c>
      <c r="K595" s="45"/>
      <c r="L595" s="46">
        <f t="shared" ref="L595:L600" si="320">SUM(J595/M595)</f>
        <v>1751.84088140848</v>
      </c>
      <c r="M595" s="47">
        <v>180.62</v>
      </c>
      <c r="N595" s="48">
        <v>7.15</v>
      </c>
      <c r="O595" s="49">
        <f t="shared" ref="O595:O600" si="321">SUM(M595*N595)</f>
        <v>1291.433</v>
      </c>
      <c r="P595" s="53"/>
      <c r="Q595" s="53"/>
      <c r="R595" s="76">
        <f t="shared" si="315"/>
        <v>836.984215017065</v>
      </c>
      <c r="S595" s="76"/>
      <c r="T595" s="77">
        <f t="shared" si="316"/>
        <v>1.68136732081911</v>
      </c>
      <c r="U595" s="76"/>
      <c r="V595" s="76"/>
      <c r="W595" s="78">
        <f t="shared" si="311"/>
        <v>838.665582337884</v>
      </c>
      <c r="X595" s="79">
        <f t="shared" si="317"/>
        <v>15.805377559727</v>
      </c>
      <c r="Y595" s="79"/>
      <c r="Z595" s="79"/>
      <c r="AA595" s="79">
        <f t="shared" si="314"/>
        <v>15.805377559727</v>
      </c>
      <c r="AB595" s="90">
        <v>7.15</v>
      </c>
      <c r="AC595" s="76">
        <f t="shared" si="312"/>
        <v>113.008449552048</v>
      </c>
      <c r="AD595" s="76">
        <f t="shared" si="307"/>
        <v>951.674031889932</v>
      </c>
      <c r="AE595" s="76">
        <f t="shared" si="313"/>
        <v>339.758968110068</v>
      </c>
    </row>
    <row r="596" customFormat="1" spans="1:31">
      <c r="A596" s="18"/>
      <c r="B596" s="19"/>
      <c r="C596" s="20">
        <v>240818000034</v>
      </c>
      <c r="D596" s="21">
        <v>45528</v>
      </c>
      <c r="E596" s="21" t="s">
        <v>37</v>
      </c>
      <c r="F596" s="19" t="s">
        <v>38</v>
      </c>
      <c r="G596" s="19" t="s">
        <v>64</v>
      </c>
      <c r="H596" s="19">
        <v>16</v>
      </c>
      <c r="I596" s="43"/>
      <c r="J596" s="44">
        <v>189312</v>
      </c>
      <c r="K596" s="45"/>
      <c r="L596" s="46">
        <f t="shared" si="320"/>
        <v>1658.88538380652</v>
      </c>
      <c r="M596" s="47">
        <v>114.12</v>
      </c>
      <c r="N596" s="48">
        <v>7.15</v>
      </c>
      <c r="O596" s="49">
        <f t="shared" si="321"/>
        <v>815.958</v>
      </c>
      <c r="P596" s="53"/>
      <c r="Q596" s="53"/>
      <c r="R596" s="76">
        <f t="shared" si="315"/>
        <v>653.255972696246</v>
      </c>
      <c r="S596" s="76"/>
      <c r="T596" s="77">
        <f t="shared" si="316"/>
        <v>1.3122866894198</v>
      </c>
      <c r="U596" s="76"/>
      <c r="V596" s="76"/>
      <c r="W596" s="78">
        <f t="shared" si="311"/>
        <v>654.568259385666</v>
      </c>
      <c r="X596" s="79">
        <f t="shared" si="317"/>
        <v>12.3359044368601</v>
      </c>
      <c r="Y596" s="79"/>
      <c r="Z596" s="79"/>
      <c r="AA596" s="79">
        <f t="shared" si="314"/>
        <v>12.3359044368601</v>
      </c>
      <c r="AB596" s="90">
        <v>7.15</v>
      </c>
      <c r="AC596" s="76">
        <f t="shared" si="312"/>
        <v>88.2017167235495</v>
      </c>
      <c r="AD596" s="76">
        <f t="shared" si="307"/>
        <v>742.769976109215</v>
      </c>
      <c r="AE596" s="76">
        <f t="shared" si="313"/>
        <v>73.188023890785</v>
      </c>
    </row>
    <row r="597" customFormat="1" spans="1:31">
      <c r="A597" s="18"/>
      <c r="B597" s="19"/>
      <c r="C597" s="20">
        <v>240818000036</v>
      </c>
      <c r="D597" s="21">
        <v>45528</v>
      </c>
      <c r="E597" s="21" t="s">
        <v>37</v>
      </c>
      <c r="F597" s="19" t="s">
        <v>38</v>
      </c>
      <c r="G597" s="19" t="s">
        <v>198</v>
      </c>
      <c r="H597" s="19">
        <v>3.5</v>
      </c>
      <c r="I597" s="51">
        <v>234</v>
      </c>
      <c r="J597" s="52"/>
      <c r="K597" s="45"/>
      <c r="L597" s="19"/>
      <c r="M597" s="45"/>
      <c r="N597" s="48"/>
      <c r="O597" s="49">
        <f>SUM(I597)</f>
        <v>234</v>
      </c>
      <c r="P597" s="53"/>
      <c r="Q597" s="53"/>
      <c r="R597" s="76">
        <f t="shared" si="315"/>
        <v>142.899744027304</v>
      </c>
      <c r="S597" s="76"/>
      <c r="T597" s="77">
        <f t="shared" si="316"/>
        <v>0.28706271331058</v>
      </c>
      <c r="U597" s="76"/>
      <c r="V597" s="76"/>
      <c r="W597" s="78">
        <f t="shared" si="311"/>
        <v>143.186806740614</v>
      </c>
      <c r="X597" s="79">
        <f t="shared" si="317"/>
        <v>2.69847909556314</v>
      </c>
      <c r="Y597" s="79"/>
      <c r="Z597" s="79"/>
      <c r="AA597" s="79">
        <f t="shared" si="314"/>
        <v>2.69847909556314</v>
      </c>
      <c r="AB597" s="90">
        <v>7.15</v>
      </c>
      <c r="AC597" s="76">
        <f t="shared" si="312"/>
        <v>19.2941255332765</v>
      </c>
      <c r="AD597" s="76">
        <f t="shared" si="307"/>
        <v>162.480932273891</v>
      </c>
      <c r="AE597" s="76">
        <f t="shared" si="313"/>
        <v>71.5190677261092</v>
      </c>
    </row>
    <row r="598" customFormat="1" spans="1:31">
      <c r="A598" s="18"/>
      <c r="B598" s="19"/>
      <c r="C598" s="20">
        <v>240818000040</v>
      </c>
      <c r="D598" s="21">
        <v>45528</v>
      </c>
      <c r="E598" s="21" t="s">
        <v>37</v>
      </c>
      <c r="F598" s="19" t="s">
        <v>38</v>
      </c>
      <c r="G598" s="19" t="s">
        <v>54</v>
      </c>
      <c r="H598" s="19">
        <v>98</v>
      </c>
      <c r="I598" s="43"/>
      <c r="J598" s="44">
        <v>1333584</v>
      </c>
      <c r="K598" s="45"/>
      <c r="L598" s="46">
        <f t="shared" si="320"/>
        <v>1737.45554035568</v>
      </c>
      <c r="M598" s="47">
        <v>767.55</v>
      </c>
      <c r="N598" s="48">
        <v>7.15</v>
      </c>
      <c r="O598" s="49">
        <f t="shared" si="321"/>
        <v>5487.9825</v>
      </c>
      <c r="P598" s="53"/>
      <c r="Q598" s="53"/>
      <c r="R598" s="76">
        <f t="shared" si="315"/>
        <v>4001.19283276451</v>
      </c>
      <c r="S598" s="76"/>
      <c r="T598" s="77">
        <f t="shared" si="316"/>
        <v>8.03775597269625</v>
      </c>
      <c r="U598" s="76"/>
      <c r="V598" s="76"/>
      <c r="W598" s="78">
        <f t="shared" si="311"/>
        <v>4009.2305887372</v>
      </c>
      <c r="X598" s="79">
        <f t="shared" si="317"/>
        <v>75.5574146757679</v>
      </c>
      <c r="Y598" s="79"/>
      <c r="Z598" s="79"/>
      <c r="AA598" s="79">
        <f t="shared" si="314"/>
        <v>75.5574146757679</v>
      </c>
      <c r="AB598" s="90">
        <v>7.15</v>
      </c>
      <c r="AC598" s="76">
        <f t="shared" si="312"/>
        <v>540.235514931741</v>
      </c>
      <c r="AD598" s="76">
        <f t="shared" si="307"/>
        <v>4549.46610366894</v>
      </c>
      <c r="AE598" s="76">
        <f t="shared" si="313"/>
        <v>938.516396331058</v>
      </c>
    </row>
    <row r="599" customFormat="1" spans="1:31">
      <c r="A599" s="18"/>
      <c r="B599" s="19"/>
      <c r="C599" s="20">
        <v>240818000041</v>
      </c>
      <c r="D599" s="21">
        <v>45528</v>
      </c>
      <c r="E599" s="21" t="s">
        <v>37</v>
      </c>
      <c r="F599" s="19" t="s">
        <v>38</v>
      </c>
      <c r="G599" s="19" t="s">
        <v>54</v>
      </c>
      <c r="H599" s="19">
        <v>58</v>
      </c>
      <c r="I599" s="43"/>
      <c r="J599" s="44">
        <v>789264</v>
      </c>
      <c r="K599" s="45"/>
      <c r="L599" s="46">
        <f t="shared" si="320"/>
        <v>1737.47193237353</v>
      </c>
      <c r="M599" s="47">
        <v>454.26</v>
      </c>
      <c r="N599" s="48">
        <v>7.15</v>
      </c>
      <c r="O599" s="49">
        <f t="shared" si="321"/>
        <v>3247.959</v>
      </c>
      <c r="P599" s="53"/>
      <c r="Q599" s="53"/>
      <c r="R599" s="76">
        <f t="shared" si="315"/>
        <v>2368.05290102389</v>
      </c>
      <c r="S599" s="76"/>
      <c r="T599" s="77">
        <f t="shared" si="316"/>
        <v>4.75703924914676</v>
      </c>
      <c r="U599" s="76"/>
      <c r="V599" s="76"/>
      <c r="W599" s="78">
        <f t="shared" si="311"/>
        <v>2372.80994027304</v>
      </c>
      <c r="X599" s="79">
        <f t="shared" si="317"/>
        <v>44.7176535836178</v>
      </c>
      <c r="Y599" s="79"/>
      <c r="Z599" s="79"/>
      <c r="AA599" s="79">
        <f t="shared" si="314"/>
        <v>44.7176535836178</v>
      </c>
      <c r="AB599" s="90">
        <v>7.15</v>
      </c>
      <c r="AC599" s="76">
        <f t="shared" si="312"/>
        <v>319.731223122867</v>
      </c>
      <c r="AD599" s="76">
        <f t="shared" si="307"/>
        <v>2692.5411633959</v>
      </c>
      <c r="AE599" s="76">
        <f t="shared" si="313"/>
        <v>555.417836604096</v>
      </c>
    </row>
    <row r="600" customFormat="1" spans="1:31">
      <c r="A600" s="18"/>
      <c r="B600" s="19"/>
      <c r="C600" s="20">
        <v>240819000001</v>
      </c>
      <c r="D600" s="21">
        <v>45528</v>
      </c>
      <c r="E600" s="21" t="s">
        <v>127</v>
      </c>
      <c r="F600" s="19" t="s">
        <v>325</v>
      </c>
      <c r="G600" s="19" t="s">
        <v>326</v>
      </c>
      <c r="H600" s="19">
        <v>2</v>
      </c>
      <c r="I600" s="49"/>
      <c r="J600" s="44">
        <v>28044</v>
      </c>
      <c r="K600" s="45"/>
      <c r="L600" s="46">
        <f t="shared" si="320"/>
        <v>1640</v>
      </c>
      <c r="M600" s="47">
        <v>17.1</v>
      </c>
      <c r="N600" s="48">
        <v>7.15</v>
      </c>
      <c r="O600" s="49">
        <f t="shared" si="321"/>
        <v>122.265</v>
      </c>
      <c r="P600" s="53"/>
      <c r="Q600" s="53"/>
      <c r="R600" s="76">
        <f t="shared" si="315"/>
        <v>81.6569965870307</v>
      </c>
      <c r="S600" s="76"/>
      <c r="T600" s="77">
        <f t="shared" si="316"/>
        <v>0.164035836177474</v>
      </c>
      <c r="U600" s="76"/>
      <c r="V600" s="76"/>
      <c r="W600" s="78">
        <f t="shared" si="311"/>
        <v>81.8210324232082</v>
      </c>
      <c r="X600" s="79">
        <f t="shared" si="317"/>
        <v>1.54198805460751</v>
      </c>
      <c r="Y600" s="79"/>
      <c r="Z600" s="79"/>
      <c r="AA600" s="79">
        <f t="shared" si="314"/>
        <v>1.54198805460751</v>
      </c>
      <c r="AB600" s="90">
        <v>7.15</v>
      </c>
      <c r="AC600" s="76">
        <f t="shared" si="312"/>
        <v>11.0252145904437</v>
      </c>
      <c r="AD600" s="76">
        <f t="shared" si="307"/>
        <v>92.8462470136519</v>
      </c>
      <c r="AE600" s="76">
        <f t="shared" si="313"/>
        <v>29.4187529863481</v>
      </c>
    </row>
    <row r="601" customFormat="1" spans="1:31">
      <c r="A601" s="18"/>
      <c r="B601" s="19"/>
      <c r="C601" s="20">
        <v>240819000002</v>
      </c>
      <c r="D601" s="21">
        <v>45528</v>
      </c>
      <c r="E601" s="21" t="s">
        <v>44</v>
      </c>
      <c r="F601" s="19" t="s">
        <v>45</v>
      </c>
      <c r="G601" s="19" t="s">
        <v>262</v>
      </c>
      <c r="H601" s="19">
        <v>145</v>
      </c>
      <c r="I601" s="51">
        <v>7395</v>
      </c>
      <c r="J601" s="52"/>
      <c r="K601" s="45"/>
      <c r="L601" s="19"/>
      <c r="M601" s="45"/>
      <c r="N601" s="48"/>
      <c r="O601" s="49">
        <f t="shared" ref="O601:O606" si="322">SUM(I601)</f>
        <v>7395</v>
      </c>
      <c r="P601" s="53"/>
      <c r="Q601" s="53"/>
      <c r="R601" s="76">
        <f t="shared" si="315"/>
        <v>5920.13225255973</v>
      </c>
      <c r="S601" s="76"/>
      <c r="T601" s="77">
        <f t="shared" si="316"/>
        <v>11.8925981228669</v>
      </c>
      <c r="U601" s="76"/>
      <c r="V601" s="76"/>
      <c r="W601" s="78">
        <f t="shared" si="311"/>
        <v>5932.02485068259</v>
      </c>
      <c r="X601" s="79">
        <f t="shared" si="317"/>
        <v>111.794133959044</v>
      </c>
      <c r="Y601" s="79"/>
      <c r="Z601" s="79"/>
      <c r="AA601" s="79">
        <f t="shared" si="314"/>
        <v>111.794133959044</v>
      </c>
      <c r="AB601" s="90">
        <v>7.15</v>
      </c>
      <c r="AC601" s="76">
        <f t="shared" si="312"/>
        <v>799.328057807167</v>
      </c>
      <c r="AD601" s="76">
        <f t="shared" ref="AD601:AD623" si="323">SUM(W601+AC601)</f>
        <v>6731.35290848976</v>
      </c>
      <c r="AE601" s="76">
        <f t="shared" si="313"/>
        <v>663.647091510239</v>
      </c>
    </row>
    <row r="602" customFormat="1" spans="1:31">
      <c r="A602" s="18"/>
      <c r="B602" s="19"/>
      <c r="C602" s="20">
        <v>240819000003</v>
      </c>
      <c r="D602" s="21">
        <v>45528</v>
      </c>
      <c r="E602" s="21" t="s">
        <v>44</v>
      </c>
      <c r="F602" s="19" t="s">
        <v>45</v>
      </c>
      <c r="G602" s="19" t="s">
        <v>359</v>
      </c>
      <c r="H602" s="19">
        <v>4</v>
      </c>
      <c r="I602" s="57">
        <v>280</v>
      </c>
      <c r="J602" s="52"/>
      <c r="K602" s="45"/>
      <c r="L602" s="19"/>
      <c r="M602" s="45"/>
      <c r="N602" s="48"/>
      <c r="O602" s="49">
        <f>SUBTOTAL(9,I602)</f>
        <v>280</v>
      </c>
      <c r="P602" s="53"/>
      <c r="Q602" s="53"/>
      <c r="R602" s="76">
        <f t="shared" si="315"/>
        <v>163.313993174061</v>
      </c>
      <c r="S602" s="76"/>
      <c r="T602" s="77">
        <f t="shared" si="316"/>
        <v>0.328071672354949</v>
      </c>
      <c r="U602" s="76"/>
      <c r="V602" s="77">
        <v>46</v>
      </c>
      <c r="W602" s="78">
        <f t="shared" si="311"/>
        <v>209.642064846416</v>
      </c>
      <c r="X602" s="79">
        <f t="shared" si="317"/>
        <v>3.08397610921502</v>
      </c>
      <c r="Y602" s="79"/>
      <c r="Z602" s="79"/>
      <c r="AA602" s="79">
        <f t="shared" si="314"/>
        <v>3.08397610921502</v>
      </c>
      <c r="AB602" s="90">
        <v>7.15</v>
      </c>
      <c r="AC602" s="76">
        <f t="shared" si="312"/>
        <v>22.0504291808874</v>
      </c>
      <c r="AD602" s="76">
        <f t="shared" si="323"/>
        <v>231.692494027304</v>
      </c>
      <c r="AE602" s="76">
        <f t="shared" si="313"/>
        <v>48.307505972696</v>
      </c>
    </row>
    <row r="603" customFormat="1" spans="1:31">
      <c r="A603" s="18"/>
      <c r="B603" s="19"/>
      <c r="C603" s="20">
        <v>240819000008</v>
      </c>
      <c r="D603" s="21">
        <v>45528</v>
      </c>
      <c r="E603" s="21" t="s">
        <v>44</v>
      </c>
      <c r="F603" s="19" t="s">
        <v>45</v>
      </c>
      <c r="G603" s="19" t="s">
        <v>92</v>
      </c>
      <c r="H603" s="19">
        <v>166.5</v>
      </c>
      <c r="I603" s="51">
        <v>9373.95</v>
      </c>
      <c r="J603" s="52"/>
      <c r="K603" s="45"/>
      <c r="L603" s="19"/>
      <c r="M603" s="45"/>
      <c r="N603" s="48"/>
      <c r="O603" s="49">
        <f t="shared" si="322"/>
        <v>9373.95</v>
      </c>
      <c r="P603" s="53"/>
      <c r="Q603" s="53"/>
      <c r="R603" s="76">
        <f t="shared" si="315"/>
        <v>6797.94496587031</v>
      </c>
      <c r="S603" s="76"/>
      <c r="T603" s="77">
        <f t="shared" si="316"/>
        <v>13.6559833617747</v>
      </c>
      <c r="U603" s="76"/>
      <c r="V603" s="76"/>
      <c r="W603" s="78">
        <f t="shared" ref="W603:W623" si="324">SUM(R603:V603)</f>
        <v>6811.60094923208</v>
      </c>
      <c r="X603" s="79">
        <f t="shared" si="317"/>
        <v>128.370505546075</v>
      </c>
      <c r="Y603" s="79"/>
      <c r="Z603" s="79"/>
      <c r="AA603" s="79">
        <f t="shared" si="314"/>
        <v>128.370505546075</v>
      </c>
      <c r="AB603" s="90">
        <v>7.15</v>
      </c>
      <c r="AC603" s="76">
        <f t="shared" ref="AC603:AC623" si="325">SUM(AA603*AB603)</f>
        <v>917.849114654437</v>
      </c>
      <c r="AD603" s="76">
        <f t="shared" si="323"/>
        <v>7729.45006388652</v>
      </c>
      <c r="AE603" s="76">
        <f t="shared" ref="AE603:AE623" si="326">SUM(O603-AD603)</f>
        <v>1644.49993611348</v>
      </c>
    </row>
    <row r="604" customFormat="1" spans="1:31">
      <c r="A604" s="18"/>
      <c r="B604" s="19"/>
      <c r="C604" s="20">
        <v>240819000009</v>
      </c>
      <c r="D604" s="21">
        <v>45528</v>
      </c>
      <c r="E604" s="21" t="s">
        <v>41</v>
      </c>
      <c r="F604" s="19" t="s">
        <v>42</v>
      </c>
      <c r="G604" s="19" t="s">
        <v>417</v>
      </c>
      <c r="H604" s="19">
        <v>2.5</v>
      </c>
      <c r="I604" s="51">
        <v>153</v>
      </c>
      <c r="J604" s="52"/>
      <c r="K604" s="45"/>
      <c r="L604" s="19"/>
      <c r="M604" s="45"/>
      <c r="N604" s="48"/>
      <c r="O604" s="49">
        <f t="shared" si="322"/>
        <v>153</v>
      </c>
      <c r="P604" s="53"/>
      <c r="Q604" s="53"/>
      <c r="R604" s="76">
        <f t="shared" si="315"/>
        <v>102.071245733788</v>
      </c>
      <c r="S604" s="76"/>
      <c r="T604" s="77">
        <f t="shared" si="316"/>
        <v>0.205044795221843</v>
      </c>
      <c r="U604" s="76"/>
      <c r="V604" s="76"/>
      <c r="W604" s="78">
        <f t="shared" si="324"/>
        <v>102.27629052901</v>
      </c>
      <c r="X604" s="79">
        <f t="shared" si="317"/>
        <v>1.92748506825939</v>
      </c>
      <c r="Y604" s="79"/>
      <c r="Z604" s="79"/>
      <c r="AA604" s="79">
        <f t="shared" ref="AA604:AA623" si="327">SUM(X604:Z604)</f>
        <v>1.92748506825939</v>
      </c>
      <c r="AB604" s="90">
        <v>7.15</v>
      </c>
      <c r="AC604" s="76">
        <f t="shared" si="325"/>
        <v>13.7815182380546</v>
      </c>
      <c r="AD604" s="76">
        <f t="shared" si="323"/>
        <v>116.057808767065</v>
      </c>
      <c r="AE604" s="76">
        <f t="shared" si="326"/>
        <v>36.942191232935</v>
      </c>
    </row>
    <row r="605" customFormat="1" spans="1:31">
      <c r="A605" s="18"/>
      <c r="B605" s="19"/>
      <c r="C605" s="20">
        <v>240819000015</v>
      </c>
      <c r="D605" s="21">
        <v>45528</v>
      </c>
      <c r="E605" s="21" t="s">
        <v>51</v>
      </c>
      <c r="F605" s="19" t="s">
        <v>52</v>
      </c>
      <c r="G605" s="19" t="s">
        <v>122</v>
      </c>
      <c r="H605" s="19">
        <v>1.5</v>
      </c>
      <c r="I605" s="51">
        <v>93</v>
      </c>
      <c r="J605" s="52"/>
      <c r="K605" s="45"/>
      <c r="L605" s="19"/>
      <c r="M605" s="45"/>
      <c r="N605" s="48"/>
      <c r="O605" s="49">
        <f t="shared" si="322"/>
        <v>93</v>
      </c>
      <c r="P605" s="53"/>
      <c r="Q605" s="53"/>
      <c r="R605" s="76">
        <f t="shared" si="315"/>
        <v>61.242747440273</v>
      </c>
      <c r="S605" s="76"/>
      <c r="T605" s="77">
        <f t="shared" si="316"/>
        <v>0.123026877133106</v>
      </c>
      <c r="U605" s="76"/>
      <c r="V605" s="76"/>
      <c r="W605" s="78">
        <f t="shared" si="324"/>
        <v>61.3657743174061</v>
      </c>
      <c r="X605" s="79">
        <f t="shared" si="317"/>
        <v>1.15649104095563</v>
      </c>
      <c r="Y605" s="79"/>
      <c r="Z605" s="79"/>
      <c r="AA605" s="79">
        <f t="shared" si="327"/>
        <v>1.15649104095563</v>
      </c>
      <c r="AB605" s="90">
        <v>7.15</v>
      </c>
      <c r="AC605" s="76">
        <f t="shared" si="325"/>
        <v>8.26891094283276</v>
      </c>
      <c r="AD605" s="76">
        <f t="shared" si="323"/>
        <v>69.6346852602389</v>
      </c>
      <c r="AE605" s="76">
        <f t="shared" si="326"/>
        <v>23.3653147397611</v>
      </c>
    </row>
    <row r="606" customFormat="1" spans="1:31">
      <c r="A606" s="18"/>
      <c r="B606" s="19"/>
      <c r="C606" s="20">
        <v>240819000027</v>
      </c>
      <c r="D606" s="21">
        <v>45528</v>
      </c>
      <c r="E606" s="21" t="s">
        <v>51</v>
      </c>
      <c r="F606" s="19" t="s">
        <v>52</v>
      </c>
      <c r="G606" s="19" t="s">
        <v>418</v>
      </c>
      <c r="H606" s="19">
        <v>378.5</v>
      </c>
      <c r="I606" s="51">
        <v>22710</v>
      </c>
      <c r="J606" s="52"/>
      <c r="K606" s="45"/>
      <c r="L606" s="19"/>
      <c r="M606" s="45"/>
      <c r="N606" s="48"/>
      <c r="O606" s="49">
        <f t="shared" si="322"/>
        <v>22710</v>
      </c>
      <c r="P606" s="53"/>
      <c r="Q606" s="53"/>
      <c r="R606" s="76">
        <f t="shared" ref="R606:R623" si="328">SUM(95702/2344)*H606</f>
        <v>15453.5866040956</v>
      </c>
      <c r="S606" s="76"/>
      <c r="T606" s="77">
        <f t="shared" ref="T606:T623" si="329">SUM(192.25/2344)*H606</f>
        <v>31.043781996587</v>
      </c>
      <c r="U606" s="76"/>
      <c r="V606" s="76"/>
      <c r="W606" s="78">
        <f t="shared" si="324"/>
        <v>15484.6303860922</v>
      </c>
      <c r="X606" s="79">
        <f t="shared" ref="X606:X623" si="330">SUM(1807.21/2344)*H606</f>
        <v>291.821239334471</v>
      </c>
      <c r="Y606" s="79"/>
      <c r="Z606" s="79"/>
      <c r="AA606" s="79">
        <f t="shared" si="327"/>
        <v>291.821239334471</v>
      </c>
      <c r="AB606" s="90">
        <v>7.15</v>
      </c>
      <c r="AC606" s="76">
        <f t="shared" si="325"/>
        <v>2086.52186124147</v>
      </c>
      <c r="AD606" s="76">
        <f t="shared" si="323"/>
        <v>17571.1522473336</v>
      </c>
      <c r="AE606" s="76">
        <f t="shared" si="326"/>
        <v>5138.8477526664</v>
      </c>
    </row>
    <row r="607" customFormat="1" spans="1:31">
      <c r="A607" s="18"/>
      <c r="B607" s="19"/>
      <c r="C607" s="20">
        <v>240819000030</v>
      </c>
      <c r="D607" s="21">
        <v>45528</v>
      </c>
      <c r="E607" s="21" t="s">
        <v>41</v>
      </c>
      <c r="F607" s="19" t="s">
        <v>121</v>
      </c>
      <c r="G607" s="19" t="s">
        <v>121</v>
      </c>
      <c r="H607" s="19">
        <v>0.97</v>
      </c>
      <c r="I607" s="49"/>
      <c r="J607" s="44">
        <v>14432</v>
      </c>
      <c r="K607" s="45"/>
      <c r="L607" s="46">
        <f t="shared" ref="L607:L617" si="331">SUM(J607/M607)</f>
        <v>1640</v>
      </c>
      <c r="M607" s="47">
        <v>8.8</v>
      </c>
      <c r="N607" s="48">
        <v>7.15</v>
      </c>
      <c r="O607" s="49">
        <f t="shared" ref="O607:O617" si="332">SUM(M607*N607)</f>
        <v>62.92</v>
      </c>
      <c r="P607" s="53"/>
      <c r="Q607" s="53"/>
      <c r="R607" s="76">
        <f t="shared" si="328"/>
        <v>39.6036433447099</v>
      </c>
      <c r="S607" s="76"/>
      <c r="T607" s="77">
        <f t="shared" si="329"/>
        <v>0.0795573805460751</v>
      </c>
      <c r="U607" s="76"/>
      <c r="V607" s="76"/>
      <c r="W607" s="78">
        <f t="shared" si="324"/>
        <v>39.683200725256</v>
      </c>
      <c r="X607" s="79">
        <f t="shared" si="330"/>
        <v>0.747864206484642</v>
      </c>
      <c r="Y607" s="79"/>
      <c r="Z607" s="79"/>
      <c r="AA607" s="79">
        <f t="shared" si="327"/>
        <v>0.747864206484642</v>
      </c>
      <c r="AB607" s="90">
        <v>7.15</v>
      </c>
      <c r="AC607" s="76">
        <f t="shared" si="325"/>
        <v>5.34722907636519</v>
      </c>
      <c r="AD607" s="76">
        <f t="shared" si="323"/>
        <v>45.0304298016212</v>
      </c>
      <c r="AE607" s="76">
        <f t="shared" si="326"/>
        <v>17.8895701983788</v>
      </c>
    </row>
    <row r="608" customFormat="1" spans="1:31">
      <c r="A608" s="18"/>
      <c r="B608" s="19"/>
      <c r="C608" s="20">
        <v>240819000034</v>
      </c>
      <c r="D608" s="21">
        <v>45528</v>
      </c>
      <c r="E608" s="21" t="s">
        <v>51</v>
      </c>
      <c r="F608" s="19" t="s">
        <v>52</v>
      </c>
      <c r="G608" s="19" t="s">
        <v>418</v>
      </c>
      <c r="H608" s="19">
        <v>66</v>
      </c>
      <c r="I608" s="51">
        <v>3960</v>
      </c>
      <c r="J608" s="52"/>
      <c r="K608" s="45"/>
      <c r="L608" s="19"/>
      <c r="M608" s="45"/>
      <c r="N608" s="48"/>
      <c r="O608" s="49">
        <f t="shared" ref="O608:O610" si="333">SUM(I608)</f>
        <v>3960</v>
      </c>
      <c r="P608" s="53"/>
      <c r="Q608" s="53"/>
      <c r="R608" s="76">
        <f t="shared" si="328"/>
        <v>2694.68088737201</v>
      </c>
      <c r="S608" s="76"/>
      <c r="T608" s="77">
        <f t="shared" si="329"/>
        <v>5.41318259385666</v>
      </c>
      <c r="U608" s="76"/>
      <c r="V608" s="76"/>
      <c r="W608" s="78">
        <f t="shared" si="324"/>
        <v>2700.09406996587</v>
      </c>
      <c r="X608" s="79">
        <f t="shared" si="330"/>
        <v>50.8856058020478</v>
      </c>
      <c r="Y608" s="79"/>
      <c r="Z608" s="79"/>
      <c r="AA608" s="79">
        <f t="shared" si="327"/>
        <v>50.8856058020478</v>
      </c>
      <c r="AB608" s="90">
        <v>7.15</v>
      </c>
      <c r="AC608" s="76">
        <f t="shared" si="325"/>
        <v>363.832081484642</v>
      </c>
      <c r="AD608" s="76">
        <f t="shared" si="323"/>
        <v>3063.92615145051</v>
      </c>
      <c r="AE608" s="76">
        <f t="shared" si="326"/>
        <v>896.07384854949</v>
      </c>
    </row>
    <row r="609" customFormat="1" spans="1:31">
      <c r="A609" s="18"/>
      <c r="B609" s="19"/>
      <c r="C609" s="20">
        <v>240819000035</v>
      </c>
      <c r="D609" s="21">
        <v>45528</v>
      </c>
      <c r="E609" s="21" t="s">
        <v>44</v>
      </c>
      <c r="F609" s="19" t="s">
        <v>45</v>
      </c>
      <c r="G609" s="19" t="s">
        <v>262</v>
      </c>
      <c r="H609" s="19">
        <v>322</v>
      </c>
      <c r="I609" s="51">
        <v>16422</v>
      </c>
      <c r="J609" s="52"/>
      <c r="K609" s="45"/>
      <c r="L609" s="19"/>
      <c r="M609" s="45"/>
      <c r="N609" s="48"/>
      <c r="O609" s="49">
        <f t="shared" si="333"/>
        <v>16422</v>
      </c>
      <c r="P609" s="53"/>
      <c r="Q609" s="53"/>
      <c r="R609" s="76">
        <f t="shared" si="328"/>
        <v>13146.7764505119</v>
      </c>
      <c r="S609" s="76"/>
      <c r="T609" s="77">
        <f t="shared" si="329"/>
        <v>26.4097696245734</v>
      </c>
      <c r="U609" s="76"/>
      <c r="V609" s="76"/>
      <c r="W609" s="78">
        <f t="shared" si="324"/>
        <v>13173.1862201365</v>
      </c>
      <c r="X609" s="79">
        <f t="shared" si="330"/>
        <v>248.260076791809</v>
      </c>
      <c r="Y609" s="79"/>
      <c r="Z609" s="79"/>
      <c r="AA609" s="79">
        <f t="shared" si="327"/>
        <v>248.260076791809</v>
      </c>
      <c r="AB609" s="90">
        <v>7.15</v>
      </c>
      <c r="AC609" s="76">
        <f t="shared" si="325"/>
        <v>1775.05954906143</v>
      </c>
      <c r="AD609" s="76">
        <f t="shared" si="323"/>
        <v>14948.245769198</v>
      </c>
      <c r="AE609" s="76">
        <f t="shared" si="326"/>
        <v>1473.754230802</v>
      </c>
    </row>
    <row r="610" customFormat="1" spans="1:31">
      <c r="A610" s="18"/>
      <c r="B610" s="19"/>
      <c r="C610" s="20">
        <v>240819000041</v>
      </c>
      <c r="D610" s="21">
        <v>45528</v>
      </c>
      <c r="E610" s="21" t="s">
        <v>44</v>
      </c>
      <c r="F610" s="19" t="s">
        <v>45</v>
      </c>
      <c r="G610" s="19" t="s">
        <v>419</v>
      </c>
      <c r="H610" s="19">
        <v>3.5</v>
      </c>
      <c r="I610" s="51">
        <v>213</v>
      </c>
      <c r="J610" s="52"/>
      <c r="K610" s="45"/>
      <c r="L610" s="19"/>
      <c r="M610" s="45"/>
      <c r="N610" s="48"/>
      <c r="O610" s="49">
        <f t="shared" si="333"/>
        <v>213</v>
      </c>
      <c r="P610" s="53"/>
      <c r="Q610" s="53"/>
      <c r="R610" s="76">
        <f t="shared" si="328"/>
        <v>142.899744027304</v>
      </c>
      <c r="S610" s="76"/>
      <c r="T610" s="77">
        <f t="shared" si="329"/>
        <v>0.28706271331058</v>
      </c>
      <c r="U610" s="76"/>
      <c r="V610" s="76"/>
      <c r="W610" s="78">
        <f t="shared" si="324"/>
        <v>143.186806740614</v>
      </c>
      <c r="X610" s="79">
        <f t="shared" si="330"/>
        <v>2.69847909556314</v>
      </c>
      <c r="Y610" s="79"/>
      <c r="Z610" s="79"/>
      <c r="AA610" s="79">
        <f t="shared" si="327"/>
        <v>2.69847909556314</v>
      </c>
      <c r="AB610" s="90">
        <v>7.15</v>
      </c>
      <c r="AC610" s="76">
        <f t="shared" si="325"/>
        <v>19.2941255332765</v>
      </c>
      <c r="AD610" s="76">
        <f t="shared" si="323"/>
        <v>162.480932273891</v>
      </c>
      <c r="AE610" s="76">
        <f t="shared" si="326"/>
        <v>50.519067726109</v>
      </c>
    </row>
    <row r="611" customFormat="1" spans="1:31">
      <c r="A611" s="18"/>
      <c r="B611" s="19"/>
      <c r="C611" s="20">
        <v>240819000043</v>
      </c>
      <c r="D611" s="21">
        <v>45528</v>
      </c>
      <c r="E611" s="21" t="s">
        <v>44</v>
      </c>
      <c r="F611" s="19" t="s">
        <v>45</v>
      </c>
      <c r="G611" s="19" t="s">
        <v>236</v>
      </c>
      <c r="H611" s="19">
        <v>3.5</v>
      </c>
      <c r="I611" s="49"/>
      <c r="J611" s="44">
        <v>48462</v>
      </c>
      <c r="K611" s="45"/>
      <c r="L611" s="46">
        <f t="shared" si="331"/>
        <v>1640</v>
      </c>
      <c r="M611" s="47">
        <v>29.55</v>
      </c>
      <c r="N611" s="48">
        <v>7.15</v>
      </c>
      <c r="O611" s="49">
        <f t="shared" si="332"/>
        <v>211.2825</v>
      </c>
      <c r="P611" s="53"/>
      <c r="Q611" s="53"/>
      <c r="R611" s="76">
        <f t="shared" si="328"/>
        <v>142.899744027304</v>
      </c>
      <c r="S611" s="76"/>
      <c r="T611" s="77">
        <f t="shared" si="329"/>
        <v>0.28706271331058</v>
      </c>
      <c r="U611" s="76"/>
      <c r="V611" s="76"/>
      <c r="W611" s="78">
        <f t="shared" si="324"/>
        <v>143.186806740614</v>
      </c>
      <c r="X611" s="79">
        <f t="shared" si="330"/>
        <v>2.69847909556314</v>
      </c>
      <c r="Y611" s="79"/>
      <c r="Z611" s="79"/>
      <c r="AA611" s="79">
        <f t="shared" si="327"/>
        <v>2.69847909556314</v>
      </c>
      <c r="AB611" s="90">
        <v>7.15</v>
      </c>
      <c r="AC611" s="76">
        <f t="shared" si="325"/>
        <v>19.2941255332765</v>
      </c>
      <c r="AD611" s="76">
        <f t="shared" si="323"/>
        <v>162.480932273891</v>
      </c>
      <c r="AE611" s="76">
        <f t="shared" si="326"/>
        <v>48.801567726109</v>
      </c>
    </row>
    <row r="612" customFormat="1" spans="1:31">
      <c r="A612" s="18"/>
      <c r="B612" s="19"/>
      <c r="C612" s="20">
        <v>240819000044</v>
      </c>
      <c r="D612" s="21">
        <v>45528</v>
      </c>
      <c r="E612" s="21" t="s">
        <v>37</v>
      </c>
      <c r="F612" s="19" t="s">
        <v>38</v>
      </c>
      <c r="G612" s="19" t="s">
        <v>50</v>
      </c>
      <c r="H612" s="19">
        <v>11.5</v>
      </c>
      <c r="I612" s="43"/>
      <c r="J612" s="44">
        <v>135392</v>
      </c>
      <c r="K612" s="45"/>
      <c r="L612" s="46">
        <f t="shared" si="331"/>
        <v>1694.73025409939</v>
      </c>
      <c r="M612" s="47">
        <v>79.89</v>
      </c>
      <c r="N612" s="48">
        <v>7.15</v>
      </c>
      <c r="O612" s="49">
        <f t="shared" si="332"/>
        <v>571.2135</v>
      </c>
      <c r="P612" s="53"/>
      <c r="Q612" s="53"/>
      <c r="R612" s="76">
        <f t="shared" si="328"/>
        <v>469.527730375427</v>
      </c>
      <c r="S612" s="76"/>
      <c r="T612" s="77">
        <f t="shared" si="329"/>
        <v>0.943206058020478</v>
      </c>
      <c r="U612" s="76"/>
      <c r="V612" s="76"/>
      <c r="W612" s="78">
        <f t="shared" si="324"/>
        <v>470.470936433447</v>
      </c>
      <c r="X612" s="79">
        <f t="shared" si="330"/>
        <v>8.86643131399317</v>
      </c>
      <c r="Y612" s="79"/>
      <c r="Z612" s="79"/>
      <c r="AA612" s="79">
        <f t="shared" si="327"/>
        <v>8.86643131399317</v>
      </c>
      <c r="AB612" s="90">
        <v>7.15</v>
      </c>
      <c r="AC612" s="76">
        <f t="shared" si="325"/>
        <v>63.3949838950512</v>
      </c>
      <c r="AD612" s="76">
        <f t="shared" si="323"/>
        <v>533.865920328498</v>
      </c>
      <c r="AE612" s="76">
        <f t="shared" si="326"/>
        <v>37.347579671502</v>
      </c>
    </row>
    <row r="613" customFormat="1" spans="1:31">
      <c r="A613" s="18"/>
      <c r="B613" s="19"/>
      <c r="C613" s="20">
        <v>240820000006</v>
      </c>
      <c r="D613" s="21">
        <v>45528</v>
      </c>
      <c r="E613" s="21" t="s">
        <v>37</v>
      </c>
      <c r="F613" s="19" t="s">
        <v>38</v>
      </c>
      <c r="G613" s="19" t="s">
        <v>50</v>
      </c>
      <c r="H613" s="19">
        <v>58.5</v>
      </c>
      <c r="I613" s="43"/>
      <c r="J613" s="44">
        <v>712540.5</v>
      </c>
      <c r="K613" s="45"/>
      <c r="L613" s="46">
        <f t="shared" si="331"/>
        <v>1694.58832762557</v>
      </c>
      <c r="M613" s="47">
        <v>420.48</v>
      </c>
      <c r="N613" s="48">
        <v>7.15</v>
      </c>
      <c r="O613" s="49">
        <f t="shared" si="332"/>
        <v>3006.432</v>
      </c>
      <c r="P613" s="53"/>
      <c r="Q613" s="53"/>
      <c r="R613" s="76">
        <f t="shared" si="328"/>
        <v>2388.46715017065</v>
      </c>
      <c r="S613" s="76"/>
      <c r="T613" s="77">
        <f t="shared" si="329"/>
        <v>4.79804820819113</v>
      </c>
      <c r="U613" s="77">
        <v>140</v>
      </c>
      <c r="V613" s="76"/>
      <c r="W613" s="78">
        <f t="shared" si="324"/>
        <v>2533.26519837884</v>
      </c>
      <c r="X613" s="79">
        <f t="shared" si="330"/>
        <v>45.1031505972696</v>
      </c>
      <c r="Y613" s="79"/>
      <c r="Z613" s="79"/>
      <c r="AA613" s="79">
        <f t="shared" si="327"/>
        <v>45.1031505972696</v>
      </c>
      <c r="AB613" s="90">
        <v>7.15</v>
      </c>
      <c r="AC613" s="76">
        <f t="shared" si="325"/>
        <v>322.487526770478</v>
      </c>
      <c r="AD613" s="76">
        <f t="shared" si="323"/>
        <v>2855.75272514932</v>
      </c>
      <c r="AE613" s="76">
        <f t="shared" si="326"/>
        <v>150.67927485068</v>
      </c>
    </row>
    <row r="614" customFormat="1" spans="1:31">
      <c r="A614" s="18"/>
      <c r="B614" s="19"/>
      <c r="C614" s="20">
        <v>240820000008</v>
      </c>
      <c r="D614" s="21">
        <v>45528</v>
      </c>
      <c r="E614" s="21" t="s">
        <v>37</v>
      </c>
      <c r="F614" s="19" t="s">
        <v>38</v>
      </c>
      <c r="G614" s="19" t="s">
        <v>54</v>
      </c>
      <c r="H614" s="19">
        <v>44</v>
      </c>
      <c r="I614" s="43"/>
      <c r="J614" s="44">
        <v>598752</v>
      </c>
      <c r="K614" s="45"/>
      <c r="L614" s="46">
        <f t="shared" si="331"/>
        <v>1737.47714808044</v>
      </c>
      <c r="M614" s="47">
        <v>344.61</v>
      </c>
      <c r="N614" s="48">
        <v>7.15</v>
      </c>
      <c r="O614" s="49">
        <f t="shared" si="332"/>
        <v>2463.9615</v>
      </c>
      <c r="P614" s="53"/>
      <c r="Q614" s="53"/>
      <c r="R614" s="76">
        <f t="shared" si="328"/>
        <v>1796.45392491468</v>
      </c>
      <c r="S614" s="76"/>
      <c r="T614" s="77">
        <f t="shared" si="329"/>
        <v>3.60878839590444</v>
      </c>
      <c r="U614" s="76"/>
      <c r="V614" s="76"/>
      <c r="W614" s="78">
        <f t="shared" si="324"/>
        <v>1800.06271331058</v>
      </c>
      <c r="X614" s="79">
        <f t="shared" si="330"/>
        <v>33.9237372013652</v>
      </c>
      <c r="Y614" s="79"/>
      <c r="Z614" s="79"/>
      <c r="AA614" s="79">
        <f t="shared" si="327"/>
        <v>33.9237372013652</v>
      </c>
      <c r="AB614" s="90">
        <v>7.15</v>
      </c>
      <c r="AC614" s="76">
        <f t="shared" si="325"/>
        <v>242.554720989761</v>
      </c>
      <c r="AD614" s="76">
        <f t="shared" si="323"/>
        <v>2042.61743430034</v>
      </c>
      <c r="AE614" s="76">
        <f t="shared" si="326"/>
        <v>421.34406569966</v>
      </c>
    </row>
    <row r="615" customFormat="1" spans="1:31">
      <c r="A615" s="18"/>
      <c r="B615" s="19"/>
      <c r="C615" s="20">
        <v>240820000011</v>
      </c>
      <c r="D615" s="21">
        <v>45528</v>
      </c>
      <c r="E615" s="21" t="s">
        <v>41</v>
      </c>
      <c r="F615" s="19" t="s">
        <v>42</v>
      </c>
      <c r="G615" s="19" t="s">
        <v>191</v>
      </c>
      <c r="H615" s="19">
        <v>69.5</v>
      </c>
      <c r="I615" s="43"/>
      <c r="J615" s="44">
        <v>975612</v>
      </c>
      <c r="K615" s="45"/>
      <c r="L615" s="46">
        <f t="shared" si="331"/>
        <v>1630.20419075627</v>
      </c>
      <c r="M615" s="47">
        <v>598.46</v>
      </c>
      <c r="N615" s="48">
        <v>7.15</v>
      </c>
      <c r="O615" s="49">
        <f t="shared" si="332"/>
        <v>4278.989</v>
      </c>
      <c r="P615" s="53"/>
      <c r="Q615" s="53"/>
      <c r="R615" s="76">
        <f t="shared" si="328"/>
        <v>2837.58063139932</v>
      </c>
      <c r="S615" s="76"/>
      <c r="T615" s="77">
        <f t="shared" si="329"/>
        <v>5.70024530716724</v>
      </c>
      <c r="U615" s="77">
        <v>100</v>
      </c>
      <c r="V615" s="76"/>
      <c r="W615" s="78">
        <f t="shared" si="324"/>
        <v>2943.28087670648</v>
      </c>
      <c r="X615" s="79">
        <f t="shared" si="330"/>
        <v>53.5840848976109</v>
      </c>
      <c r="Y615" s="79"/>
      <c r="Z615" s="79"/>
      <c r="AA615" s="79">
        <f t="shared" si="327"/>
        <v>53.5840848976109</v>
      </c>
      <c r="AB615" s="90">
        <v>7.15</v>
      </c>
      <c r="AC615" s="76">
        <f t="shared" si="325"/>
        <v>383.126207017918</v>
      </c>
      <c r="AD615" s="76">
        <f t="shared" si="323"/>
        <v>3326.4070837244</v>
      </c>
      <c r="AE615" s="76">
        <f t="shared" si="326"/>
        <v>952.5819162756</v>
      </c>
    </row>
    <row r="616" customFormat="1" spans="1:31">
      <c r="A616" s="18"/>
      <c r="B616" s="19"/>
      <c r="C616" s="22">
        <v>240820000012</v>
      </c>
      <c r="D616" s="23">
        <v>45528</v>
      </c>
      <c r="E616" s="21" t="s">
        <v>41</v>
      </c>
      <c r="F616" s="24" t="s">
        <v>42</v>
      </c>
      <c r="G616" s="24" t="s">
        <v>148</v>
      </c>
      <c r="H616" s="24">
        <v>69.5</v>
      </c>
      <c r="I616" s="43"/>
      <c r="J616" s="44">
        <v>892223</v>
      </c>
      <c r="K616" s="45"/>
      <c r="L616" s="46">
        <f t="shared" si="331"/>
        <v>1623.04991632104</v>
      </c>
      <c r="M616" s="47">
        <v>549.72</v>
      </c>
      <c r="N616" s="48">
        <v>7.15</v>
      </c>
      <c r="O616" s="49">
        <f t="shared" si="332"/>
        <v>3930.498</v>
      </c>
      <c r="P616" s="53"/>
      <c r="Q616" s="53"/>
      <c r="R616" s="76">
        <f t="shared" si="328"/>
        <v>2837.58063139932</v>
      </c>
      <c r="S616" s="76"/>
      <c r="T616" s="77">
        <f t="shared" si="329"/>
        <v>5.70024530716724</v>
      </c>
      <c r="U616" s="77">
        <v>100</v>
      </c>
      <c r="V616" s="76"/>
      <c r="W616" s="78">
        <f t="shared" si="324"/>
        <v>2943.28087670648</v>
      </c>
      <c r="X616" s="79">
        <f t="shared" si="330"/>
        <v>53.5840848976109</v>
      </c>
      <c r="Y616" s="79"/>
      <c r="Z616" s="79"/>
      <c r="AA616" s="79">
        <f t="shared" si="327"/>
        <v>53.5840848976109</v>
      </c>
      <c r="AB616" s="90">
        <v>7.15</v>
      </c>
      <c r="AC616" s="76">
        <f t="shared" si="325"/>
        <v>383.126207017918</v>
      </c>
      <c r="AD616" s="76">
        <f t="shared" si="323"/>
        <v>3326.4070837244</v>
      </c>
      <c r="AE616" s="76">
        <f t="shared" si="326"/>
        <v>604.0909162756</v>
      </c>
    </row>
    <row r="617" customFormat="1" spans="1:31">
      <c r="A617" s="18"/>
      <c r="B617" s="19"/>
      <c r="C617" s="20">
        <v>240820000017</v>
      </c>
      <c r="D617" s="21">
        <v>45528</v>
      </c>
      <c r="E617" s="21" t="s">
        <v>37</v>
      </c>
      <c r="F617" s="19" t="s">
        <v>38</v>
      </c>
      <c r="G617" s="19" t="s">
        <v>66</v>
      </c>
      <c r="H617" s="19">
        <v>9</v>
      </c>
      <c r="I617" s="43"/>
      <c r="J617" s="44">
        <v>114912</v>
      </c>
      <c r="K617" s="45"/>
      <c r="L617" s="46">
        <f t="shared" si="331"/>
        <v>1630.41997729852</v>
      </c>
      <c r="M617" s="47">
        <v>70.48</v>
      </c>
      <c r="N617" s="48">
        <v>7.15</v>
      </c>
      <c r="O617" s="49">
        <f t="shared" si="332"/>
        <v>503.932</v>
      </c>
      <c r="P617" s="53"/>
      <c r="Q617" s="53"/>
      <c r="R617" s="76">
        <f t="shared" si="328"/>
        <v>367.456484641638</v>
      </c>
      <c r="S617" s="76"/>
      <c r="T617" s="77">
        <f t="shared" si="329"/>
        <v>0.738161262798635</v>
      </c>
      <c r="U617" s="76"/>
      <c r="V617" s="76"/>
      <c r="W617" s="78">
        <f t="shared" si="324"/>
        <v>368.194645904437</v>
      </c>
      <c r="X617" s="79">
        <f t="shared" si="330"/>
        <v>6.93894624573379</v>
      </c>
      <c r="Y617" s="79"/>
      <c r="Z617" s="79"/>
      <c r="AA617" s="79">
        <f t="shared" si="327"/>
        <v>6.93894624573379</v>
      </c>
      <c r="AB617" s="90">
        <v>7.15</v>
      </c>
      <c r="AC617" s="76">
        <f t="shared" si="325"/>
        <v>49.6134656569966</v>
      </c>
      <c r="AD617" s="76">
        <f t="shared" si="323"/>
        <v>417.808111561433</v>
      </c>
      <c r="AE617" s="76">
        <f t="shared" si="326"/>
        <v>86.123888438567</v>
      </c>
    </row>
    <row r="618" customFormat="1" spans="1:31">
      <c r="A618" s="18"/>
      <c r="B618" s="19"/>
      <c r="C618" s="20">
        <v>240820000018</v>
      </c>
      <c r="D618" s="21">
        <v>45528</v>
      </c>
      <c r="E618" s="21" t="s">
        <v>37</v>
      </c>
      <c r="F618" s="19" t="s">
        <v>38</v>
      </c>
      <c r="G618" s="19" t="s">
        <v>274</v>
      </c>
      <c r="H618" s="19">
        <v>15</v>
      </c>
      <c r="I618" s="51">
        <v>1008</v>
      </c>
      <c r="J618" s="52"/>
      <c r="K618" s="45"/>
      <c r="L618" s="19"/>
      <c r="M618" s="45"/>
      <c r="N618" s="48"/>
      <c r="O618" s="49">
        <f t="shared" ref="O618:O622" si="334">SUM(I618)</f>
        <v>1008</v>
      </c>
      <c r="P618" s="53"/>
      <c r="Q618" s="53"/>
      <c r="R618" s="76">
        <f t="shared" si="328"/>
        <v>612.42747440273</v>
      </c>
      <c r="S618" s="76"/>
      <c r="T618" s="77">
        <f t="shared" si="329"/>
        <v>1.23026877133106</v>
      </c>
      <c r="U618" s="76"/>
      <c r="V618" s="76"/>
      <c r="W618" s="78">
        <f t="shared" si="324"/>
        <v>613.657743174061</v>
      </c>
      <c r="X618" s="79">
        <f t="shared" si="330"/>
        <v>11.5649104095563</v>
      </c>
      <c r="Y618" s="79">
        <v>8.04</v>
      </c>
      <c r="Z618" s="79"/>
      <c r="AA618" s="79">
        <f t="shared" si="327"/>
        <v>19.6049104095563</v>
      </c>
      <c r="AB618" s="90">
        <v>7.15</v>
      </c>
      <c r="AC618" s="76">
        <f t="shared" si="325"/>
        <v>140.175109428328</v>
      </c>
      <c r="AD618" s="76">
        <f t="shared" si="323"/>
        <v>753.832852602389</v>
      </c>
      <c r="AE618" s="76">
        <f t="shared" si="326"/>
        <v>254.167147397611</v>
      </c>
    </row>
    <row r="619" customFormat="1" spans="1:31">
      <c r="A619" s="18"/>
      <c r="B619" s="19"/>
      <c r="C619" s="20">
        <v>240820000023</v>
      </c>
      <c r="D619" s="21">
        <v>45528</v>
      </c>
      <c r="E619" s="21" t="s">
        <v>44</v>
      </c>
      <c r="F619" s="19" t="s">
        <v>45</v>
      </c>
      <c r="G619" s="19" t="s">
        <v>420</v>
      </c>
      <c r="H619" s="19">
        <v>1.5</v>
      </c>
      <c r="I619" s="51">
        <v>102</v>
      </c>
      <c r="J619" s="52"/>
      <c r="K619" s="45"/>
      <c r="L619" s="19"/>
      <c r="M619" s="45"/>
      <c r="N619" s="48"/>
      <c r="O619" s="49">
        <f t="shared" si="334"/>
        <v>102</v>
      </c>
      <c r="P619" s="53"/>
      <c r="Q619" s="53"/>
      <c r="R619" s="76">
        <f t="shared" si="328"/>
        <v>61.242747440273</v>
      </c>
      <c r="S619" s="76"/>
      <c r="T619" s="77">
        <f t="shared" si="329"/>
        <v>0.123026877133106</v>
      </c>
      <c r="U619" s="76"/>
      <c r="V619" s="76"/>
      <c r="W619" s="78">
        <f t="shared" si="324"/>
        <v>61.3657743174061</v>
      </c>
      <c r="X619" s="79">
        <f t="shared" si="330"/>
        <v>1.15649104095563</v>
      </c>
      <c r="Y619" s="79"/>
      <c r="Z619" s="79"/>
      <c r="AA619" s="79">
        <f t="shared" si="327"/>
        <v>1.15649104095563</v>
      </c>
      <c r="AB619" s="90">
        <v>7.15</v>
      </c>
      <c r="AC619" s="76">
        <f t="shared" si="325"/>
        <v>8.26891094283276</v>
      </c>
      <c r="AD619" s="76">
        <f t="shared" si="323"/>
        <v>69.6346852602389</v>
      </c>
      <c r="AE619" s="76">
        <f t="shared" si="326"/>
        <v>32.3653147397611</v>
      </c>
    </row>
    <row r="620" customFormat="1" spans="1:31">
      <c r="A620" s="18"/>
      <c r="B620" s="19"/>
      <c r="C620" s="20">
        <v>240820000025</v>
      </c>
      <c r="D620" s="21">
        <v>45528</v>
      </c>
      <c r="E620" s="21" t="s">
        <v>57</v>
      </c>
      <c r="F620" s="19" t="s">
        <v>57</v>
      </c>
      <c r="G620" s="19" t="s">
        <v>138</v>
      </c>
      <c r="H620" s="19">
        <v>298</v>
      </c>
      <c r="I620" s="51">
        <v>15398</v>
      </c>
      <c r="J620" s="52"/>
      <c r="K620" s="45"/>
      <c r="L620" s="19"/>
      <c r="M620" s="45"/>
      <c r="N620" s="48"/>
      <c r="O620" s="49">
        <f t="shared" si="334"/>
        <v>15398</v>
      </c>
      <c r="P620" s="53"/>
      <c r="Q620" s="53"/>
      <c r="R620" s="76">
        <f t="shared" si="328"/>
        <v>12166.8924914676</v>
      </c>
      <c r="S620" s="76"/>
      <c r="T620" s="77">
        <f t="shared" si="329"/>
        <v>24.4413395904437</v>
      </c>
      <c r="U620" s="77">
        <v>110</v>
      </c>
      <c r="V620" s="76"/>
      <c r="W620" s="78">
        <f t="shared" si="324"/>
        <v>12301.333831058</v>
      </c>
      <c r="X620" s="79">
        <f t="shared" si="330"/>
        <v>229.756220136519</v>
      </c>
      <c r="Y620" s="79"/>
      <c r="Z620" s="79"/>
      <c r="AA620" s="79">
        <f t="shared" si="327"/>
        <v>229.756220136519</v>
      </c>
      <c r="AB620" s="90">
        <v>7.15</v>
      </c>
      <c r="AC620" s="76">
        <f t="shared" si="325"/>
        <v>1642.75697397611</v>
      </c>
      <c r="AD620" s="76">
        <f t="shared" si="323"/>
        <v>13944.0908050341</v>
      </c>
      <c r="AE620" s="76">
        <f t="shared" si="326"/>
        <v>1453.9091949659</v>
      </c>
    </row>
    <row r="621" customFormat="1" spans="1:31">
      <c r="A621" s="18"/>
      <c r="B621" s="19"/>
      <c r="C621" s="20">
        <v>240820000036</v>
      </c>
      <c r="D621" s="21">
        <v>45528</v>
      </c>
      <c r="E621" s="21" t="s">
        <v>51</v>
      </c>
      <c r="F621" s="19" t="s">
        <v>52</v>
      </c>
      <c r="G621" s="19" t="s">
        <v>421</v>
      </c>
      <c r="H621" s="19">
        <v>5.5</v>
      </c>
      <c r="I621" s="51">
        <v>267</v>
      </c>
      <c r="J621" s="52"/>
      <c r="K621" s="45"/>
      <c r="L621" s="19"/>
      <c r="M621" s="45"/>
      <c r="N621" s="48"/>
      <c r="O621" s="49">
        <f t="shared" si="334"/>
        <v>267</v>
      </c>
      <c r="P621" s="53"/>
      <c r="Q621" s="53"/>
      <c r="R621" s="76">
        <f t="shared" si="328"/>
        <v>224.556740614334</v>
      </c>
      <c r="S621" s="76"/>
      <c r="T621" s="77">
        <f t="shared" si="329"/>
        <v>0.451098549488055</v>
      </c>
      <c r="U621" s="76"/>
      <c r="V621" s="76"/>
      <c r="W621" s="78">
        <f t="shared" si="324"/>
        <v>225.007839163823</v>
      </c>
      <c r="X621" s="79">
        <f t="shared" si="330"/>
        <v>4.24046715017065</v>
      </c>
      <c r="Y621" s="79"/>
      <c r="Z621" s="79"/>
      <c r="AA621" s="79">
        <f t="shared" si="327"/>
        <v>4.24046715017065</v>
      </c>
      <c r="AB621" s="90">
        <v>7.15</v>
      </c>
      <c r="AC621" s="76">
        <f t="shared" si="325"/>
        <v>30.3193401237201</v>
      </c>
      <c r="AD621" s="76">
        <f t="shared" si="323"/>
        <v>255.327179287543</v>
      </c>
      <c r="AE621" s="76">
        <f t="shared" si="326"/>
        <v>11.672820712457</v>
      </c>
    </row>
    <row r="622" customFormat="1" spans="1:31">
      <c r="A622" s="18"/>
      <c r="B622" s="19"/>
      <c r="C622" s="20">
        <v>240820000037</v>
      </c>
      <c r="D622" s="21">
        <v>45528</v>
      </c>
      <c r="E622" s="21" t="s">
        <v>37</v>
      </c>
      <c r="F622" s="19" t="s">
        <v>38</v>
      </c>
      <c r="G622" s="19" t="s">
        <v>75</v>
      </c>
      <c r="H622" s="19">
        <v>31.5</v>
      </c>
      <c r="I622" s="51">
        <v>1575</v>
      </c>
      <c r="J622" s="52"/>
      <c r="K622" s="45"/>
      <c r="L622" s="19"/>
      <c r="M622" s="45"/>
      <c r="N622" s="48"/>
      <c r="O622" s="49">
        <f t="shared" si="334"/>
        <v>1575</v>
      </c>
      <c r="P622" s="53"/>
      <c r="Q622" s="53"/>
      <c r="R622" s="76">
        <f t="shared" si="328"/>
        <v>1286.09769624573</v>
      </c>
      <c r="S622" s="76"/>
      <c r="T622" s="77">
        <f t="shared" si="329"/>
        <v>2.58356441979522</v>
      </c>
      <c r="U622" s="76"/>
      <c r="V622" s="76"/>
      <c r="W622" s="78">
        <f t="shared" si="324"/>
        <v>1288.68126066553</v>
      </c>
      <c r="X622" s="79">
        <f t="shared" si="330"/>
        <v>24.2863118600683</v>
      </c>
      <c r="Y622" s="79"/>
      <c r="Z622" s="79"/>
      <c r="AA622" s="79">
        <f t="shared" si="327"/>
        <v>24.2863118600683</v>
      </c>
      <c r="AB622" s="90">
        <v>7.15</v>
      </c>
      <c r="AC622" s="76">
        <f t="shared" si="325"/>
        <v>173.647129799488</v>
      </c>
      <c r="AD622" s="76">
        <f t="shared" ref="AD622:AD631" si="335">SUM(W622+AC622)</f>
        <v>1462.32839046502</v>
      </c>
      <c r="AE622" s="76">
        <f t="shared" ref="AE622:AE631" si="336">SUM(O622-AD622)</f>
        <v>112.67160953498</v>
      </c>
    </row>
    <row r="623" customFormat="1" spans="1:31">
      <c r="A623" s="18"/>
      <c r="B623" s="19"/>
      <c r="C623" s="20">
        <v>240820000040</v>
      </c>
      <c r="D623" s="21">
        <v>45528</v>
      </c>
      <c r="E623" s="21" t="s">
        <v>44</v>
      </c>
      <c r="F623" s="19" t="s">
        <v>45</v>
      </c>
      <c r="G623" s="19" t="s">
        <v>264</v>
      </c>
      <c r="H623" s="19">
        <v>2</v>
      </c>
      <c r="I623" s="49"/>
      <c r="J623" s="44">
        <v>28044</v>
      </c>
      <c r="K623" s="45"/>
      <c r="L623" s="46">
        <f>SUM(J623/M623)</f>
        <v>1640</v>
      </c>
      <c r="M623" s="47">
        <v>17.1</v>
      </c>
      <c r="N623" s="48">
        <v>7.15</v>
      </c>
      <c r="O623" s="49">
        <f>SUM(M623*N623)</f>
        <v>122.265</v>
      </c>
      <c r="P623" s="54"/>
      <c r="Q623" s="54"/>
      <c r="R623" s="76">
        <f t="shared" si="328"/>
        <v>81.6569965870307</v>
      </c>
      <c r="S623" s="76"/>
      <c r="T623" s="77">
        <f t="shared" si="329"/>
        <v>0.164035836177474</v>
      </c>
      <c r="U623" s="76"/>
      <c r="V623" s="76"/>
      <c r="W623" s="78">
        <f t="shared" ref="W623:W631" si="337">SUM(R623:V623)</f>
        <v>81.8210324232082</v>
      </c>
      <c r="X623" s="79">
        <f t="shared" si="330"/>
        <v>1.54198805460751</v>
      </c>
      <c r="Y623" s="79"/>
      <c r="Z623" s="79"/>
      <c r="AA623" s="79">
        <f t="shared" ref="AA623:AA631" si="338">SUM(X623:Z623)</f>
        <v>1.54198805460751</v>
      </c>
      <c r="AB623" s="90">
        <v>7.15</v>
      </c>
      <c r="AC623" s="76">
        <f t="shared" ref="AC623:AC631" si="339">SUM(AA623*AB623)</f>
        <v>11.0252145904437</v>
      </c>
      <c r="AD623" s="76">
        <f t="shared" si="335"/>
        <v>92.8462470136519</v>
      </c>
      <c r="AE623" s="76">
        <f t="shared" si="336"/>
        <v>29.4187529863481</v>
      </c>
    </row>
    <row r="624" customFormat="1" spans="1:31">
      <c r="A624" s="18" t="s">
        <v>422</v>
      </c>
      <c r="B624" s="19" t="s">
        <v>423</v>
      </c>
      <c r="C624" s="20">
        <v>240812000002</v>
      </c>
      <c r="D624" s="21">
        <v>45529</v>
      </c>
      <c r="E624" s="21" t="s">
        <v>37</v>
      </c>
      <c r="F624" s="19" t="s">
        <v>38</v>
      </c>
      <c r="G624" s="19" t="s">
        <v>424</v>
      </c>
      <c r="H624" s="19">
        <v>0.58</v>
      </c>
      <c r="I624" s="51">
        <v>120</v>
      </c>
      <c r="J624" s="52"/>
      <c r="K624" s="45"/>
      <c r="L624" s="19"/>
      <c r="M624" s="45"/>
      <c r="N624" s="48"/>
      <c r="O624" s="49">
        <f t="shared" ref="O624:O628" si="340">SUM(I624)</f>
        <v>120</v>
      </c>
      <c r="P624" s="50">
        <f>SUM(O624:O631)</f>
        <v>11467.484</v>
      </c>
      <c r="Q624" s="50" t="s">
        <v>80</v>
      </c>
      <c r="R624" s="76">
        <f>SUM(7200/96)*H624</f>
        <v>43.5</v>
      </c>
      <c r="S624" s="76"/>
      <c r="T624" s="77">
        <f>SUM(112.98/96)*H624</f>
        <v>0.6825875</v>
      </c>
      <c r="U624" s="76"/>
      <c r="V624" s="76"/>
      <c r="W624" s="78">
        <f t="shared" si="337"/>
        <v>44.1825875</v>
      </c>
      <c r="X624" s="79">
        <f>SUM(118.52/96)*H624</f>
        <v>0.716058333333333</v>
      </c>
      <c r="Y624" s="79"/>
      <c r="Z624" s="79"/>
      <c r="AA624" s="79">
        <f t="shared" si="338"/>
        <v>0.716058333333333</v>
      </c>
      <c r="AB624" s="90">
        <v>7.15</v>
      </c>
      <c r="AC624" s="76">
        <f t="shared" si="339"/>
        <v>5.11981708333333</v>
      </c>
      <c r="AD624" s="76">
        <f t="shared" si="335"/>
        <v>49.3024045833333</v>
      </c>
      <c r="AE624" s="76">
        <f t="shared" si="336"/>
        <v>70.6975954166667</v>
      </c>
    </row>
    <row r="625" customFormat="1" spans="1:31">
      <c r="A625" s="18"/>
      <c r="B625" s="19"/>
      <c r="C625" s="20">
        <v>240820000021</v>
      </c>
      <c r="D625" s="21">
        <v>45529</v>
      </c>
      <c r="E625" s="21" t="s">
        <v>41</v>
      </c>
      <c r="F625" s="19" t="s">
        <v>42</v>
      </c>
      <c r="G625" s="19" t="s">
        <v>81</v>
      </c>
      <c r="H625" s="19">
        <v>0.46</v>
      </c>
      <c r="I625" s="51">
        <v>145</v>
      </c>
      <c r="J625" s="52"/>
      <c r="K625" s="45"/>
      <c r="L625" s="19"/>
      <c r="M625" s="45"/>
      <c r="N625" s="48"/>
      <c r="O625" s="49">
        <f t="shared" si="340"/>
        <v>145</v>
      </c>
      <c r="P625" s="53"/>
      <c r="Q625" s="53"/>
      <c r="R625" s="76">
        <f t="shared" ref="R625:R631" si="341">SUM(7200/96)*H625</f>
        <v>34.5</v>
      </c>
      <c r="S625" s="76"/>
      <c r="T625" s="77">
        <f t="shared" ref="T625:T631" si="342">SUM(112.98/96)*H625</f>
        <v>0.5413625</v>
      </c>
      <c r="U625" s="76"/>
      <c r="V625" s="76"/>
      <c r="W625" s="78">
        <f t="shared" si="337"/>
        <v>35.0413625</v>
      </c>
      <c r="X625" s="79">
        <f t="shared" ref="X625:X631" si="343">SUM(118.52/96)*H625</f>
        <v>0.567908333333333</v>
      </c>
      <c r="Y625" s="79"/>
      <c r="Z625" s="79"/>
      <c r="AA625" s="79">
        <f t="shared" si="338"/>
        <v>0.567908333333333</v>
      </c>
      <c r="AB625" s="90">
        <v>7.15</v>
      </c>
      <c r="AC625" s="76">
        <f t="shared" si="339"/>
        <v>4.06054458333333</v>
      </c>
      <c r="AD625" s="76">
        <f t="shared" si="335"/>
        <v>39.1019070833333</v>
      </c>
      <c r="AE625" s="76">
        <f t="shared" si="336"/>
        <v>105.898092916667</v>
      </c>
    </row>
    <row r="626" customFormat="1" spans="1:31">
      <c r="A626" s="18"/>
      <c r="B626" s="19"/>
      <c r="C626" s="20">
        <v>240821000004</v>
      </c>
      <c r="D626" s="21">
        <v>45529</v>
      </c>
      <c r="E626" s="21" t="s">
        <v>57</v>
      </c>
      <c r="F626" s="19" t="s">
        <v>386</v>
      </c>
      <c r="G626" s="19" t="s">
        <v>387</v>
      </c>
      <c r="H626" s="19">
        <v>7</v>
      </c>
      <c r="I626" s="51">
        <v>840</v>
      </c>
      <c r="J626" s="52"/>
      <c r="K626" s="45"/>
      <c r="L626" s="19"/>
      <c r="M626" s="45"/>
      <c r="N626" s="48"/>
      <c r="O626" s="49">
        <f t="shared" si="340"/>
        <v>840</v>
      </c>
      <c r="P626" s="53"/>
      <c r="Q626" s="53"/>
      <c r="R626" s="76">
        <f t="shared" si="341"/>
        <v>525</v>
      </c>
      <c r="S626" s="76"/>
      <c r="T626" s="77">
        <f t="shared" si="342"/>
        <v>8.238125</v>
      </c>
      <c r="U626" s="76"/>
      <c r="V626" s="76"/>
      <c r="W626" s="78">
        <f t="shared" si="337"/>
        <v>533.238125</v>
      </c>
      <c r="X626" s="79">
        <f t="shared" si="343"/>
        <v>8.64208333333333</v>
      </c>
      <c r="Y626" s="79"/>
      <c r="Z626" s="79"/>
      <c r="AA626" s="79">
        <f t="shared" si="338"/>
        <v>8.64208333333333</v>
      </c>
      <c r="AB626" s="90">
        <v>7.15</v>
      </c>
      <c r="AC626" s="76">
        <f t="shared" si="339"/>
        <v>61.7908958333333</v>
      </c>
      <c r="AD626" s="76">
        <f t="shared" si="335"/>
        <v>595.029020833333</v>
      </c>
      <c r="AE626" s="76">
        <f t="shared" si="336"/>
        <v>244.970979166667</v>
      </c>
    </row>
    <row r="627" customFormat="1" spans="1:31">
      <c r="A627" s="18"/>
      <c r="B627" s="19"/>
      <c r="C627" s="20">
        <v>240821000008</v>
      </c>
      <c r="D627" s="21">
        <v>45529</v>
      </c>
      <c r="E627" s="21" t="s">
        <v>37</v>
      </c>
      <c r="F627" s="19" t="s">
        <v>38</v>
      </c>
      <c r="G627" s="19" t="s">
        <v>86</v>
      </c>
      <c r="H627" s="19">
        <v>5.5</v>
      </c>
      <c r="I627" s="51">
        <v>797.5</v>
      </c>
      <c r="J627" s="52"/>
      <c r="K627" s="45"/>
      <c r="L627" s="19"/>
      <c r="M627" s="45"/>
      <c r="N627" s="48"/>
      <c r="O627" s="49">
        <f t="shared" si="340"/>
        <v>797.5</v>
      </c>
      <c r="P627" s="53"/>
      <c r="Q627" s="53"/>
      <c r="R627" s="76">
        <f t="shared" si="341"/>
        <v>412.5</v>
      </c>
      <c r="S627" s="76"/>
      <c r="T627" s="77">
        <f t="shared" si="342"/>
        <v>6.4728125</v>
      </c>
      <c r="U627" s="76"/>
      <c r="V627" s="76"/>
      <c r="W627" s="78">
        <f t="shared" si="337"/>
        <v>418.9728125</v>
      </c>
      <c r="X627" s="79">
        <f t="shared" si="343"/>
        <v>6.79020833333333</v>
      </c>
      <c r="Y627" s="79"/>
      <c r="Z627" s="79"/>
      <c r="AA627" s="79">
        <f t="shared" si="338"/>
        <v>6.79020833333333</v>
      </c>
      <c r="AB627" s="90">
        <v>7.15</v>
      </c>
      <c r="AC627" s="76">
        <f t="shared" si="339"/>
        <v>48.5499895833333</v>
      </c>
      <c r="AD627" s="76">
        <f t="shared" si="335"/>
        <v>467.522802083333</v>
      </c>
      <c r="AE627" s="76">
        <f t="shared" si="336"/>
        <v>329.977197916667</v>
      </c>
    </row>
    <row r="628" customFormat="1" spans="1:31">
      <c r="A628" s="18"/>
      <c r="B628" s="19"/>
      <c r="C628" s="20">
        <v>240822000014</v>
      </c>
      <c r="D628" s="21">
        <v>45529</v>
      </c>
      <c r="E628" s="21" t="s">
        <v>41</v>
      </c>
      <c r="F628" s="19" t="s">
        <v>42</v>
      </c>
      <c r="G628" s="19" t="s">
        <v>425</v>
      </c>
      <c r="H628" s="19">
        <v>9</v>
      </c>
      <c r="I628" s="51">
        <v>1035</v>
      </c>
      <c r="J628" s="52"/>
      <c r="K628" s="45"/>
      <c r="L628" s="19"/>
      <c r="M628" s="45"/>
      <c r="N628" s="48"/>
      <c r="O628" s="49">
        <f t="shared" si="340"/>
        <v>1035</v>
      </c>
      <c r="P628" s="53"/>
      <c r="Q628" s="53"/>
      <c r="R628" s="76">
        <f t="shared" si="341"/>
        <v>675</v>
      </c>
      <c r="S628" s="76"/>
      <c r="T628" s="77">
        <f t="shared" si="342"/>
        <v>10.591875</v>
      </c>
      <c r="U628" s="76"/>
      <c r="V628" s="76"/>
      <c r="W628" s="78">
        <f t="shared" si="337"/>
        <v>685.591875</v>
      </c>
      <c r="X628" s="79">
        <f t="shared" si="343"/>
        <v>11.11125</v>
      </c>
      <c r="Y628" s="79"/>
      <c r="Z628" s="79"/>
      <c r="AA628" s="79">
        <f t="shared" si="338"/>
        <v>11.11125</v>
      </c>
      <c r="AB628" s="90">
        <v>7.15</v>
      </c>
      <c r="AC628" s="76">
        <f t="shared" si="339"/>
        <v>79.4454375</v>
      </c>
      <c r="AD628" s="76">
        <f t="shared" si="335"/>
        <v>765.0373125</v>
      </c>
      <c r="AE628" s="76">
        <f t="shared" si="336"/>
        <v>269.9626875</v>
      </c>
    </row>
    <row r="629" customFormat="1" spans="1:31">
      <c r="A629" s="18"/>
      <c r="B629" s="19"/>
      <c r="C629" s="20">
        <v>240823000001</v>
      </c>
      <c r="D629" s="21">
        <v>45529</v>
      </c>
      <c r="E629" s="21" t="s">
        <v>57</v>
      </c>
      <c r="F629" s="19" t="s">
        <v>57</v>
      </c>
      <c r="G629" s="19" t="s">
        <v>393</v>
      </c>
      <c r="H629" s="19">
        <v>3.5</v>
      </c>
      <c r="I629" s="43"/>
      <c r="J629" s="44">
        <v>91770</v>
      </c>
      <c r="K629" s="45"/>
      <c r="L629" s="46">
        <f>SUM(J629/M629)</f>
        <v>1630.3073370048</v>
      </c>
      <c r="M629" s="47">
        <v>56.29</v>
      </c>
      <c r="N629" s="48">
        <v>7.15</v>
      </c>
      <c r="O629" s="49">
        <f>SUM(M629*N629)</f>
        <v>402.4735</v>
      </c>
      <c r="P629" s="53"/>
      <c r="Q629" s="53"/>
      <c r="R629" s="76">
        <f t="shared" si="341"/>
        <v>262.5</v>
      </c>
      <c r="S629" s="76"/>
      <c r="T629" s="77">
        <f t="shared" si="342"/>
        <v>4.1190625</v>
      </c>
      <c r="U629" s="76"/>
      <c r="V629" s="76"/>
      <c r="W629" s="78">
        <f t="shared" si="337"/>
        <v>266.6190625</v>
      </c>
      <c r="X629" s="79">
        <f t="shared" si="343"/>
        <v>4.32104166666667</v>
      </c>
      <c r="Y629" s="79"/>
      <c r="Z629" s="79"/>
      <c r="AA629" s="79">
        <f t="shared" si="338"/>
        <v>4.32104166666667</v>
      </c>
      <c r="AB629" s="90">
        <v>7.15</v>
      </c>
      <c r="AC629" s="76">
        <f t="shared" ref="AC629:AC645" si="344">SUM(AA629*AB629)</f>
        <v>30.8954479166667</v>
      </c>
      <c r="AD629" s="76">
        <f t="shared" si="335"/>
        <v>297.514510416667</v>
      </c>
      <c r="AE629" s="76">
        <f t="shared" si="336"/>
        <v>104.958989583333</v>
      </c>
    </row>
    <row r="630" customFormat="1" spans="1:31">
      <c r="A630" s="18"/>
      <c r="B630" s="19"/>
      <c r="C630" s="20">
        <v>240823000006</v>
      </c>
      <c r="D630" s="21">
        <v>45529</v>
      </c>
      <c r="E630" s="21" t="s">
        <v>41</v>
      </c>
      <c r="F630" s="19" t="s">
        <v>42</v>
      </c>
      <c r="G630" s="19" t="s">
        <v>426</v>
      </c>
      <c r="H630" s="19">
        <v>9</v>
      </c>
      <c r="I630" s="51">
        <v>1110</v>
      </c>
      <c r="J630" s="52"/>
      <c r="K630" s="45"/>
      <c r="L630" s="19"/>
      <c r="M630" s="45"/>
      <c r="N630" s="48"/>
      <c r="O630" s="49">
        <f t="shared" ref="O630:O637" si="345">SUM(I630)</f>
        <v>1110</v>
      </c>
      <c r="P630" s="53"/>
      <c r="Q630" s="53"/>
      <c r="R630" s="76">
        <f t="shared" si="341"/>
        <v>675</v>
      </c>
      <c r="S630" s="76"/>
      <c r="T630" s="77">
        <f t="shared" si="342"/>
        <v>10.591875</v>
      </c>
      <c r="U630" s="76"/>
      <c r="V630" s="76"/>
      <c r="W630" s="78">
        <f t="shared" ref="W630:W645" si="346">SUM(R630:V630)</f>
        <v>685.591875</v>
      </c>
      <c r="X630" s="79">
        <f t="shared" si="343"/>
        <v>11.11125</v>
      </c>
      <c r="Y630" s="79">
        <v>10.48</v>
      </c>
      <c r="Z630" s="79"/>
      <c r="AA630" s="79">
        <f t="shared" si="338"/>
        <v>21.59125</v>
      </c>
      <c r="AB630" s="90">
        <v>7.15</v>
      </c>
      <c r="AC630" s="76">
        <f t="shared" si="344"/>
        <v>154.3774375</v>
      </c>
      <c r="AD630" s="76">
        <f t="shared" ref="AD630:AD645" si="347">SUM(W630+AC630)</f>
        <v>839.9693125</v>
      </c>
      <c r="AE630" s="76">
        <f t="shared" ref="AE630:AE645" si="348">SUM(O630-AD630)</f>
        <v>270.0306875</v>
      </c>
    </row>
    <row r="631" customFormat="1" spans="1:31">
      <c r="A631" s="18"/>
      <c r="B631" s="19"/>
      <c r="C631" s="20">
        <v>240824000019</v>
      </c>
      <c r="D631" s="21">
        <v>45529</v>
      </c>
      <c r="E631" s="21" t="s">
        <v>57</v>
      </c>
      <c r="F631" s="19" t="s">
        <v>57</v>
      </c>
      <c r="G631" s="19" t="s">
        <v>427</v>
      </c>
      <c r="H631" s="19">
        <v>63</v>
      </c>
      <c r="I631" s="43"/>
      <c r="J631" s="44">
        <v>1600000</v>
      </c>
      <c r="K631" s="45"/>
      <c r="L631" s="46">
        <f>SUM(J631/M631)</f>
        <v>1630.20774960009</v>
      </c>
      <c r="M631" s="47">
        <v>981.47</v>
      </c>
      <c r="N631" s="48">
        <v>7.15</v>
      </c>
      <c r="O631" s="49">
        <f>SUM(M631*N631)</f>
        <v>7017.5105</v>
      </c>
      <c r="P631" s="54"/>
      <c r="Q631" s="54"/>
      <c r="R631" s="76">
        <f t="shared" si="341"/>
        <v>4725</v>
      </c>
      <c r="S631" s="76"/>
      <c r="T631" s="77">
        <f t="shared" si="342"/>
        <v>74.143125</v>
      </c>
      <c r="U631" s="76"/>
      <c r="V631" s="76"/>
      <c r="W631" s="78">
        <f t="shared" si="346"/>
        <v>4799.143125</v>
      </c>
      <c r="X631" s="79">
        <f t="shared" si="343"/>
        <v>77.77875</v>
      </c>
      <c r="Y631" s="79"/>
      <c r="Z631" s="79"/>
      <c r="AA631" s="79">
        <f t="shared" ref="AA631:AA645" si="349">SUM(X631:Z631)</f>
        <v>77.77875</v>
      </c>
      <c r="AB631" s="90">
        <v>7.15</v>
      </c>
      <c r="AC631" s="76">
        <f t="shared" si="344"/>
        <v>556.1180625</v>
      </c>
      <c r="AD631" s="76">
        <f t="shared" si="347"/>
        <v>5355.2611875</v>
      </c>
      <c r="AE631" s="76">
        <f t="shared" si="348"/>
        <v>1662.2493125</v>
      </c>
    </row>
    <row r="632" customFormat="1" spans="1:31">
      <c r="A632" s="18" t="s">
        <v>428</v>
      </c>
      <c r="B632" s="19" t="s">
        <v>429</v>
      </c>
      <c r="C632" s="20">
        <v>240820000019</v>
      </c>
      <c r="D632" s="21">
        <v>45530</v>
      </c>
      <c r="E632" s="21" t="s">
        <v>57</v>
      </c>
      <c r="F632" s="19" t="s">
        <v>57</v>
      </c>
      <c r="G632" s="19" t="s">
        <v>430</v>
      </c>
      <c r="H632" s="19">
        <v>0.56333333</v>
      </c>
      <c r="I632" s="51">
        <v>63</v>
      </c>
      <c r="J632" s="52"/>
      <c r="K632" s="45"/>
      <c r="L632" s="19"/>
      <c r="M632" s="45"/>
      <c r="N632" s="48"/>
      <c r="O632" s="49">
        <f t="shared" si="345"/>
        <v>63</v>
      </c>
      <c r="P632" s="50">
        <f>SUM(O632:O645)</f>
        <v>12194.436</v>
      </c>
      <c r="Q632" s="50" t="s">
        <v>80</v>
      </c>
      <c r="R632" s="76">
        <f>SUM(7500/96)*H632</f>
        <v>44.01041640625</v>
      </c>
      <c r="S632" s="76"/>
      <c r="T632" s="77">
        <f>SUM(71.08/96)*H632</f>
        <v>0.417101386420833</v>
      </c>
      <c r="U632" s="76"/>
      <c r="V632" s="76"/>
      <c r="W632" s="78">
        <f t="shared" si="346"/>
        <v>44.4275177926708</v>
      </c>
      <c r="X632" s="79">
        <f>SUM(132.03/96)*H632</f>
        <v>0.774759370415625</v>
      </c>
      <c r="Y632" s="79"/>
      <c r="Z632" s="79"/>
      <c r="AA632" s="79">
        <f t="shared" si="349"/>
        <v>0.774759370415625</v>
      </c>
      <c r="AB632" s="90">
        <v>7.15</v>
      </c>
      <c r="AC632" s="76">
        <f t="shared" si="344"/>
        <v>5.53952949847172</v>
      </c>
      <c r="AD632" s="76">
        <f t="shared" si="347"/>
        <v>49.9670472911425</v>
      </c>
      <c r="AE632" s="76">
        <f t="shared" si="348"/>
        <v>13.0329527088575</v>
      </c>
    </row>
    <row r="633" customFormat="1" spans="1:31">
      <c r="A633" s="18"/>
      <c r="B633" s="19"/>
      <c r="C633" s="20">
        <v>240820000034</v>
      </c>
      <c r="D633" s="21">
        <v>45530</v>
      </c>
      <c r="E633" s="21" t="s">
        <v>37</v>
      </c>
      <c r="F633" s="19" t="s">
        <v>38</v>
      </c>
      <c r="G633" s="19" t="s">
        <v>87</v>
      </c>
      <c r="H633" s="19">
        <v>0.95</v>
      </c>
      <c r="I633" s="51">
        <v>170</v>
      </c>
      <c r="J633" s="52"/>
      <c r="K633" s="45"/>
      <c r="L633" s="19"/>
      <c r="M633" s="45"/>
      <c r="N633" s="48"/>
      <c r="O633" s="49">
        <f t="shared" si="345"/>
        <v>170</v>
      </c>
      <c r="P633" s="53"/>
      <c r="Q633" s="53"/>
      <c r="R633" s="76">
        <f t="shared" ref="R633:R645" si="350">SUM(7500/96)*H633</f>
        <v>74.21875</v>
      </c>
      <c r="S633" s="76"/>
      <c r="T633" s="77">
        <f t="shared" ref="T633:T645" si="351">SUM(71.08/96)*H633</f>
        <v>0.703395833333333</v>
      </c>
      <c r="U633" s="76"/>
      <c r="V633" s="76"/>
      <c r="W633" s="78">
        <f t="shared" si="346"/>
        <v>74.9221458333333</v>
      </c>
      <c r="X633" s="79">
        <f t="shared" ref="X633:X645" si="352">SUM(132.03/96)*H633</f>
        <v>1.306546875</v>
      </c>
      <c r="Y633" s="79"/>
      <c r="Z633" s="79"/>
      <c r="AA633" s="79">
        <f t="shared" si="349"/>
        <v>1.306546875</v>
      </c>
      <c r="AB633" s="90">
        <v>7.15</v>
      </c>
      <c r="AC633" s="76">
        <f t="shared" si="344"/>
        <v>9.34181015625</v>
      </c>
      <c r="AD633" s="76">
        <f t="shared" si="347"/>
        <v>84.2639559895833</v>
      </c>
      <c r="AE633" s="76">
        <f t="shared" si="348"/>
        <v>85.7360440104167</v>
      </c>
    </row>
    <row r="634" customFormat="1" spans="1:31">
      <c r="A634" s="18"/>
      <c r="B634" s="19"/>
      <c r="C634" s="20">
        <v>240821000026</v>
      </c>
      <c r="D634" s="21">
        <v>45530</v>
      </c>
      <c r="E634" s="21" t="s">
        <v>44</v>
      </c>
      <c r="F634" s="19" t="s">
        <v>45</v>
      </c>
      <c r="G634" s="19" t="s">
        <v>431</v>
      </c>
      <c r="H634" s="19">
        <v>2</v>
      </c>
      <c r="I634" s="51">
        <v>270</v>
      </c>
      <c r="J634" s="52"/>
      <c r="K634" s="45"/>
      <c r="L634" s="19"/>
      <c r="M634" s="45"/>
      <c r="N634" s="48"/>
      <c r="O634" s="49">
        <f t="shared" si="345"/>
        <v>270</v>
      </c>
      <c r="P634" s="53"/>
      <c r="Q634" s="53"/>
      <c r="R634" s="76">
        <f t="shared" si="350"/>
        <v>156.25</v>
      </c>
      <c r="S634" s="76"/>
      <c r="T634" s="77">
        <f t="shared" si="351"/>
        <v>1.48083333333333</v>
      </c>
      <c r="U634" s="76"/>
      <c r="V634" s="76"/>
      <c r="W634" s="78">
        <f t="shared" si="346"/>
        <v>157.730833333333</v>
      </c>
      <c r="X634" s="79">
        <f t="shared" si="352"/>
        <v>2.750625</v>
      </c>
      <c r="Y634" s="79"/>
      <c r="Z634" s="79"/>
      <c r="AA634" s="79">
        <f t="shared" si="349"/>
        <v>2.750625</v>
      </c>
      <c r="AB634" s="90">
        <v>7.15</v>
      </c>
      <c r="AC634" s="76">
        <f t="shared" si="344"/>
        <v>19.66696875</v>
      </c>
      <c r="AD634" s="76">
        <f t="shared" si="347"/>
        <v>177.397802083333</v>
      </c>
      <c r="AE634" s="76">
        <f t="shared" si="348"/>
        <v>92.6021979166667</v>
      </c>
    </row>
    <row r="635" customFormat="1" spans="1:31">
      <c r="A635" s="18"/>
      <c r="B635" s="19"/>
      <c r="C635" s="20">
        <v>240821000027</v>
      </c>
      <c r="D635" s="21">
        <v>45530</v>
      </c>
      <c r="E635" s="21" t="s">
        <v>41</v>
      </c>
      <c r="F635" s="19" t="s">
        <v>432</v>
      </c>
      <c r="G635" s="19" t="s">
        <v>433</v>
      </c>
      <c r="H635" s="19">
        <v>1.5</v>
      </c>
      <c r="I635" s="51">
        <v>172.5</v>
      </c>
      <c r="J635" s="52"/>
      <c r="K635" s="45"/>
      <c r="L635" s="19"/>
      <c r="M635" s="45"/>
      <c r="N635" s="48"/>
      <c r="O635" s="49">
        <f t="shared" si="345"/>
        <v>172.5</v>
      </c>
      <c r="P635" s="53"/>
      <c r="Q635" s="53"/>
      <c r="R635" s="76">
        <f t="shared" si="350"/>
        <v>117.1875</v>
      </c>
      <c r="S635" s="76"/>
      <c r="T635" s="77">
        <f t="shared" si="351"/>
        <v>1.110625</v>
      </c>
      <c r="U635" s="76"/>
      <c r="V635" s="76"/>
      <c r="W635" s="78">
        <f t="shared" si="346"/>
        <v>118.298125</v>
      </c>
      <c r="X635" s="79">
        <f t="shared" si="352"/>
        <v>2.06296875</v>
      </c>
      <c r="Y635" s="79"/>
      <c r="Z635" s="79"/>
      <c r="AA635" s="79">
        <f t="shared" si="349"/>
        <v>2.06296875</v>
      </c>
      <c r="AB635" s="90">
        <v>7.15</v>
      </c>
      <c r="AC635" s="76">
        <f t="shared" si="344"/>
        <v>14.7502265625</v>
      </c>
      <c r="AD635" s="76">
        <f t="shared" si="347"/>
        <v>133.0483515625</v>
      </c>
      <c r="AE635" s="76">
        <f t="shared" si="348"/>
        <v>39.4516484375</v>
      </c>
    </row>
    <row r="636" customFormat="1" spans="1:31">
      <c r="A636" s="18"/>
      <c r="B636" s="19"/>
      <c r="C636" s="20">
        <v>240821000039</v>
      </c>
      <c r="D636" s="21">
        <v>45530</v>
      </c>
      <c r="E636" s="21" t="s">
        <v>44</v>
      </c>
      <c r="F636" s="19" t="s">
        <v>45</v>
      </c>
      <c r="G636" s="19" t="s">
        <v>388</v>
      </c>
      <c r="H636" s="19">
        <v>0.23</v>
      </c>
      <c r="I636" s="51">
        <v>115</v>
      </c>
      <c r="J636" s="52"/>
      <c r="K636" s="45"/>
      <c r="L636" s="19"/>
      <c r="M636" s="45"/>
      <c r="N636" s="48"/>
      <c r="O636" s="49">
        <f t="shared" si="345"/>
        <v>115</v>
      </c>
      <c r="P636" s="53"/>
      <c r="Q636" s="53"/>
      <c r="R636" s="76">
        <f t="shared" si="350"/>
        <v>17.96875</v>
      </c>
      <c r="S636" s="76"/>
      <c r="T636" s="77">
        <f t="shared" si="351"/>
        <v>0.170295833333333</v>
      </c>
      <c r="U636" s="76"/>
      <c r="V636" s="76"/>
      <c r="W636" s="78">
        <f t="shared" si="346"/>
        <v>18.1390458333333</v>
      </c>
      <c r="X636" s="79">
        <f t="shared" si="352"/>
        <v>0.316321875</v>
      </c>
      <c r="Y636" s="79"/>
      <c r="Z636" s="79"/>
      <c r="AA636" s="79">
        <f t="shared" si="349"/>
        <v>0.316321875</v>
      </c>
      <c r="AB636" s="90">
        <v>7.15</v>
      </c>
      <c r="AC636" s="76">
        <f t="shared" si="344"/>
        <v>2.26170140625</v>
      </c>
      <c r="AD636" s="76">
        <f t="shared" si="347"/>
        <v>20.4007472395833</v>
      </c>
      <c r="AE636" s="76">
        <f t="shared" si="348"/>
        <v>94.5992527604167</v>
      </c>
    </row>
    <row r="637" customFormat="1" spans="1:31">
      <c r="A637" s="18"/>
      <c r="B637" s="19"/>
      <c r="C637" s="20">
        <v>240822000008</v>
      </c>
      <c r="D637" s="21">
        <v>45530</v>
      </c>
      <c r="E637" s="21" t="s">
        <v>51</v>
      </c>
      <c r="F637" s="19" t="s">
        <v>52</v>
      </c>
      <c r="G637" s="19" t="s">
        <v>113</v>
      </c>
      <c r="H637" s="19">
        <v>0.26</v>
      </c>
      <c r="I637" s="51">
        <v>128</v>
      </c>
      <c r="J637" s="52"/>
      <c r="K637" s="45"/>
      <c r="L637" s="19"/>
      <c r="M637" s="45"/>
      <c r="N637" s="48"/>
      <c r="O637" s="49">
        <f t="shared" si="345"/>
        <v>128</v>
      </c>
      <c r="P637" s="53"/>
      <c r="Q637" s="53"/>
      <c r="R637" s="76">
        <f t="shared" si="350"/>
        <v>20.3125</v>
      </c>
      <c r="S637" s="76"/>
      <c r="T637" s="77">
        <f t="shared" si="351"/>
        <v>0.192508333333333</v>
      </c>
      <c r="U637" s="76"/>
      <c r="V637" s="76">
        <v>13</v>
      </c>
      <c r="W637" s="78">
        <f t="shared" si="346"/>
        <v>33.5050083333333</v>
      </c>
      <c r="X637" s="79">
        <f t="shared" si="352"/>
        <v>0.35758125</v>
      </c>
      <c r="Y637" s="79"/>
      <c r="Z637" s="79"/>
      <c r="AA637" s="79">
        <f t="shared" si="349"/>
        <v>0.35758125</v>
      </c>
      <c r="AB637" s="90">
        <v>7.15</v>
      </c>
      <c r="AC637" s="76">
        <f t="shared" si="344"/>
        <v>2.5567059375</v>
      </c>
      <c r="AD637" s="76">
        <f t="shared" si="347"/>
        <v>36.0617142708333</v>
      </c>
      <c r="AE637" s="76">
        <f t="shared" si="348"/>
        <v>91.9382857291667</v>
      </c>
    </row>
    <row r="638" customFormat="1" spans="1:31">
      <c r="A638" s="18"/>
      <c r="B638" s="19"/>
      <c r="C638" s="20">
        <v>240822000013</v>
      </c>
      <c r="D638" s="21">
        <v>45530</v>
      </c>
      <c r="E638" s="21" t="s">
        <v>37</v>
      </c>
      <c r="F638" s="19" t="s">
        <v>38</v>
      </c>
      <c r="G638" s="19" t="s">
        <v>54</v>
      </c>
      <c r="H638" s="19">
        <v>9</v>
      </c>
      <c r="I638" s="43"/>
      <c r="J638" s="44">
        <v>262440</v>
      </c>
      <c r="K638" s="45"/>
      <c r="L638" s="46">
        <f>SUM(J638/M638)</f>
        <v>1737.5529661017</v>
      </c>
      <c r="M638" s="47">
        <v>151.04</v>
      </c>
      <c r="N638" s="48">
        <v>7.15</v>
      </c>
      <c r="O638" s="49">
        <f>SUM(M638*N638)</f>
        <v>1079.936</v>
      </c>
      <c r="P638" s="53"/>
      <c r="Q638" s="53"/>
      <c r="R638" s="76">
        <f t="shared" si="350"/>
        <v>703.125</v>
      </c>
      <c r="S638" s="76"/>
      <c r="T638" s="77">
        <f t="shared" si="351"/>
        <v>6.66375</v>
      </c>
      <c r="U638" s="76"/>
      <c r="V638" s="76"/>
      <c r="W638" s="78">
        <f t="shared" si="346"/>
        <v>709.78875</v>
      </c>
      <c r="X638" s="79">
        <f t="shared" si="352"/>
        <v>12.3778125</v>
      </c>
      <c r="Y638" s="79"/>
      <c r="Z638" s="79"/>
      <c r="AA638" s="79">
        <f t="shared" si="349"/>
        <v>12.3778125</v>
      </c>
      <c r="AB638" s="90">
        <v>7.15</v>
      </c>
      <c r="AC638" s="76">
        <f t="shared" si="344"/>
        <v>88.501359375</v>
      </c>
      <c r="AD638" s="76">
        <f t="shared" si="347"/>
        <v>798.290109375</v>
      </c>
      <c r="AE638" s="76">
        <f t="shared" si="348"/>
        <v>281.645890625</v>
      </c>
    </row>
    <row r="639" customFormat="1" spans="1:31">
      <c r="A639" s="18"/>
      <c r="B639" s="19"/>
      <c r="C639" s="20">
        <v>240822000017</v>
      </c>
      <c r="D639" s="21">
        <v>45530</v>
      </c>
      <c r="E639" s="21" t="s">
        <v>41</v>
      </c>
      <c r="F639" s="19" t="s">
        <v>42</v>
      </c>
      <c r="G639" s="19" t="s">
        <v>434</v>
      </c>
      <c r="H639" s="19">
        <v>13</v>
      </c>
      <c r="I639" s="51">
        <v>1495</v>
      </c>
      <c r="J639" s="52"/>
      <c r="K639" s="45"/>
      <c r="L639" s="19"/>
      <c r="M639" s="45"/>
      <c r="N639" s="48"/>
      <c r="O639" s="49">
        <f t="shared" ref="O639:O651" si="353">SUM(I639)</f>
        <v>1495</v>
      </c>
      <c r="P639" s="53"/>
      <c r="Q639" s="53"/>
      <c r="R639" s="76">
        <f t="shared" si="350"/>
        <v>1015.625</v>
      </c>
      <c r="S639" s="76"/>
      <c r="T639" s="77">
        <f t="shared" si="351"/>
        <v>9.62541666666667</v>
      </c>
      <c r="U639" s="76"/>
      <c r="V639" s="76"/>
      <c r="W639" s="78">
        <f t="shared" si="346"/>
        <v>1025.25041666667</v>
      </c>
      <c r="X639" s="79">
        <f t="shared" si="352"/>
        <v>17.8790625</v>
      </c>
      <c r="Y639" s="79"/>
      <c r="Z639" s="79"/>
      <c r="AA639" s="79">
        <f t="shared" si="349"/>
        <v>17.8790625</v>
      </c>
      <c r="AB639" s="90">
        <v>7.15</v>
      </c>
      <c r="AC639" s="76">
        <f t="shared" si="344"/>
        <v>127.835296875</v>
      </c>
      <c r="AD639" s="76">
        <f t="shared" si="347"/>
        <v>1153.08571354167</v>
      </c>
      <c r="AE639" s="76">
        <f t="shared" si="348"/>
        <v>341.914286458333</v>
      </c>
    </row>
    <row r="640" customFormat="1" spans="1:31">
      <c r="A640" s="18"/>
      <c r="B640" s="19"/>
      <c r="C640" s="20">
        <v>240822000022</v>
      </c>
      <c r="D640" s="21">
        <v>45530</v>
      </c>
      <c r="E640" s="21" t="s">
        <v>41</v>
      </c>
      <c r="F640" s="19" t="s">
        <v>42</v>
      </c>
      <c r="G640" s="19" t="s">
        <v>435</v>
      </c>
      <c r="H640" s="19">
        <v>0.27</v>
      </c>
      <c r="I640" s="51">
        <v>95</v>
      </c>
      <c r="J640" s="52"/>
      <c r="K640" s="45"/>
      <c r="L640" s="19"/>
      <c r="M640" s="45"/>
      <c r="N640" s="48"/>
      <c r="O640" s="49">
        <f t="shared" si="353"/>
        <v>95</v>
      </c>
      <c r="P640" s="53"/>
      <c r="Q640" s="53"/>
      <c r="R640" s="76">
        <f t="shared" si="350"/>
        <v>21.09375</v>
      </c>
      <c r="S640" s="76"/>
      <c r="T640" s="77">
        <f t="shared" si="351"/>
        <v>0.1999125</v>
      </c>
      <c r="U640" s="76"/>
      <c r="V640" s="76"/>
      <c r="W640" s="78">
        <f t="shared" si="346"/>
        <v>21.2936625</v>
      </c>
      <c r="X640" s="79">
        <f t="shared" si="352"/>
        <v>0.371334375</v>
      </c>
      <c r="Y640" s="79"/>
      <c r="Z640" s="79"/>
      <c r="AA640" s="79">
        <f t="shared" si="349"/>
        <v>0.371334375</v>
      </c>
      <c r="AB640" s="90">
        <v>7.15</v>
      </c>
      <c r="AC640" s="76">
        <f t="shared" si="344"/>
        <v>2.65504078125</v>
      </c>
      <c r="AD640" s="76">
        <f t="shared" si="347"/>
        <v>23.94870328125</v>
      </c>
      <c r="AE640" s="76">
        <f t="shared" ref="AE640:AE671" si="354">SUM(O640-AD640)</f>
        <v>71.05129671875</v>
      </c>
    </row>
    <row r="641" customFormat="1" spans="1:31">
      <c r="A641" s="18"/>
      <c r="B641" s="19"/>
      <c r="C641" s="20">
        <v>240823000003</v>
      </c>
      <c r="D641" s="21">
        <v>45530</v>
      </c>
      <c r="E641" s="21" t="s">
        <v>51</v>
      </c>
      <c r="F641" s="19" t="s">
        <v>52</v>
      </c>
      <c r="G641" s="19" t="s">
        <v>133</v>
      </c>
      <c r="H641" s="19">
        <v>3</v>
      </c>
      <c r="I641" s="51">
        <v>540</v>
      </c>
      <c r="J641" s="52"/>
      <c r="K641" s="45"/>
      <c r="L641" s="19"/>
      <c r="M641" s="45"/>
      <c r="N641" s="48"/>
      <c r="O641" s="49">
        <f t="shared" si="353"/>
        <v>540</v>
      </c>
      <c r="P641" s="53"/>
      <c r="Q641" s="53"/>
      <c r="R641" s="76">
        <f t="shared" si="350"/>
        <v>234.375</v>
      </c>
      <c r="S641" s="76"/>
      <c r="T641" s="77">
        <f t="shared" si="351"/>
        <v>2.22125</v>
      </c>
      <c r="U641" s="76"/>
      <c r="V641" s="76"/>
      <c r="W641" s="78">
        <f t="shared" si="346"/>
        <v>236.59625</v>
      </c>
      <c r="X641" s="79">
        <f t="shared" si="352"/>
        <v>4.1259375</v>
      </c>
      <c r="Y641" s="79"/>
      <c r="Z641" s="79"/>
      <c r="AA641" s="79">
        <f t="shared" si="349"/>
        <v>4.1259375</v>
      </c>
      <c r="AB641" s="90">
        <v>7.15</v>
      </c>
      <c r="AC641" s="76">
        <f t="shared" si="344"/>
        <v>29.500453125</v>
      </c>
      <c r="AD641" s="76">
        <f t="shared" ref="AD641:AD672" si="355">SUM(W641+AC641)</f>
        <v>266.096703125</v>
      </c>
      <c r="AE641" s="76">
        <f t="shared" si="354"/>
        <v>273.903296875</v>
      </c>
    </row>
    <row r="642" customFormat="1" spans="1:31">
      <c r="A642" s="18"/>
      <c r="B642" s="19"/>
      <c r="C642" s="20">
        <v>240823000031</v>
      </c>
      <c r="D642" s="21">
        <v>45530</v>
      </c>
      <c r="E642" s="21" t="s">
        <v>44</v>
      </c>
      <c r="F642" s="19" t="s">
        <v>45</v>
      </c>
      <c r="G642" s="19" t="s">
        <v>262</v>
      </c>
      <c r="H642" s="19">
        <v>24</v>
      </c>
      <c r="I642" s="51">
        <v>2760</v>
      </c>
      <c r="J642" s="52"/>
      <c r="K642" s="45"/>
      <c r="L642" s="19"/>
      <c r="M642" s="45"/>
      <c r="N642" s="48"/>
      <c r="O642" s="49">
        <f t="shared" si="353"/>
        <v>2760</v>
      </c>
      <c r="P642" s="53"/>
      <c r="Q642" s="53"/>
      <c r="R642" s="76">
        <f t="shared" si="350"/>
        <v>1875</v>
      </c>
      <c r="S642" s="76"/>
      <c r="T642" s="77">
        <f t="shared" si="351"/>
        <v>17.77</v>
      </c>
      <c r="U642" s="76"/>
      <c r="V642" s="76"/>
      <c r="W642" s="78">
        <f t="shared" ref="W642:W673" si="356">SUM(R642:V642)</f>
        <v>1892.77</v>
      </c>
      <c r="X642" s="79">
        <f t="shared" si="352"/>
        <v>33.0075</v>
      </c>
      <c r="Y642" s="79"/>
      <c r="Z642" s="79"/>
      <c r="AA642" s="79">
        <f t="shared" si="349"/>
        <v>33.0075</v>
      </c>
      <c r="AB642" s="90">
        <v>7.15</v>
      </c>
      <c r="AC642" s="76">
        <f t="shared" si="344"/>
        <v>236.003625</v>
      </c>
      <c r="AD642" s="76">
        <f t="shared" si="355"/>
        <v>2128.773625</v>
      </c>
      <c r="AE642" s="76">
        <f t="shared" si="354"/>
        <v>631.226375</v>
      </c>
    </row>
    <row r="643" customFormat="1" spans="1:31">
      <c r="A643" s="18"/>
      <c r="B643" s="19"/>
      <c r="C643" s="20">
        <v>240823000035</v>
      </c>
      <c r="D643" s="21">
        <v>45530</v>
      </c>
      <c r="E643" s="21" t="s">
        <v>51</v>
      </c>
      <c r="F643" s="19" t="s">
        <v>52</v>
      </c>
      <c r="G643" s="19" t="s">
        <v>186</v>
      </c>
      <c r="H643" s="19">
        <v>20.5</v>
      </c>
      <c r="I643" s="51">
        <v>2526</v>
      </c>
      <c r="J643" s="52"/>
      <c r="K643" s="45"/>
      <c r="L643" s="19"/>
      <c r="M643" s="45"/>
      <c r="N643" s="48"/>
      <c r="O643" s="49">
        <f t="shared" si="353"/>
        <v>2526</v>
      </c>
      <c r="P643" s="53"/>
      <c r="Q643" s="53"/>
      <c r="R643" s="76">
        <f t="shared" si="350"/>
        <v>1601.5625</v>
      </c>
      <c r="S643" s="76"/>
      <c r="T643" s="77">
        <f t="shared" si="351"/>
        <v>15.1785416666667</v>
      </c>
      <c r="U643" s="76"/>
      <c r="V643" s="77">
        <f>SUM(29+140)</f>
        <v>169</v>
      </c>
      <c r="W643" s="78">
        <f t="shared" si="356"/>
        <v>1785.74104166667</v>
      </c>
      <c r="X643" s="79">
        <f t="shared" si="352"/>
        <v>28.19390625</v>
      </c>
      <c r="Y643" s="79"/>
      <c r="Z643" s="79"/>
      <c r="AA643" s="79">
        <f t="shared" si="349"/>
        <v>28.19390625</v>
      </c>
      <c r="AB643" s="90">
        <v>7.15</v>
      </c>
      <c r="AC643" s="76">
        <f t="shared" ref="AC643:AC674" si="357">SUM(AA643*AB643)</f>
        <v>201.5864296875</v>
      </c>
      <c r="AD643" s="76">
        <f t="shared" si="355"/>
        <v>1987.32747135417</v>
      </c>
      <c r="AE643" s="76">
        <f t="shared" si="354"/>
        <v>538.672528645833</v>
      </c>
    </row>
    <row r="644" customFormat="1" spans="1:31">
      <c r="A644" s="18"/>
      <c r="B644" s="19"/>
      <c r="C644" s="20">
        <v>240823000041</v>
      </c>
      <c r="D644" s="21">
        <v>45530</v>
      </c>
      <c r="E644" s="21" t="s">
        <v>37</v>
      </c>
      <c r="F644" s="19" t="s">
        <v>38</v>
      </c>
      <c r="G644" s="19" t="s">
        <v>227</v>
      </c>
      <c r="H644" s="19">
        <v>3.5</v>
      </c>
      <c r="I644" s="51">
        <v>360</v>
      </c>
      <c r="J644" s="52"/>
      <c r="K644" s="45"/>
      <c r="L644" s="19"/>
      <c r="M644" s="45"/>
      <c r="N644" s="48"/>
      <c r="O644" s="49">
        <f t="shared" si="353"/>
        <v>360</v>
      </c>
      <c r="P644" s="53"/>
      <c r="Q644" s="53"/>
      <c r="R644" s="76">
        <f t="shared" si="350"/>
        <v>273.4375</v>
      </c>
      <c r="S644" s="76"/>
      <c r="T644" s="77">
        <f t="shared" si="351"/>
        <v>2.59145833333333</v>
      </c>
      <c r="U644" s="76"/>
      <c r="V644" s="76"/>
      <c r="W644" s="78">
        <f t="shared" si="356"/>
        <v>276.028958333333</v>
      </c>
      <c r="X644" s="79">
        <f t="shared" si="352"/>
        <v>4.81359375</v>
      </c>
      <c r="Y644" s="79"/>
      <c r="Z644" s="79"/>
      <c r="AA644" s="79">
        <f t="shared" si="349"/>
        <v>4.81359375</v>
      </c>
      <c r="AB644" s="90">
        <v>7.15</v>
      </c>
      <c r="AC644" s="76">
        <f t="shared" si="357"/>
        <v>34.4171953125</v>
      </c>
      <c r="AD644" s="76">
        <f t="shared" si="355"/>
        <v>310.446153645833</v>
      </c>
      <c r="AE644" s="76">
        <f t="shared" si="354"/>
        <v>49.5538463541667</v>
      </c>
    </row>
    <row r="645" customFormat="1" spans="1:31">
      <c r="A645" s="18"/>
      <c r="B645" s="19"/>
      <c r="C645" s="20">
        <v>240823000053</v>
      </c>
      <c r="D645" s="21">
        <v>45530</v>
      </c>
      <c r="E645" s="21" t="s">
        <v>41</v>
      </c>
      <c r="F645" s="19" t="s">
        <v>42</v>
      </c>
      <c r="G645" s="19" t="s">
        <v>258</v>
      </c>
      <c r="H645" s="19">
        <v>21</v>
      </c>
      <c r="I645" s="51">
        <v>2420</v>
      </c>
      <c r="J645" s="52"/>
      <c r="K645" s="45"/>
      <c r="L645" s="19"/>
      <c r="M645" s="45"/>
      <c r="N645" s="48"/>
      <c r="O645" s="49">
        <f t="shared" si="353"/>
        <v>2420</v>
      </c>
      <c r="P645" s="54"/>
      <c r="Q645" s="54"/>
      <c r="R645" s="76">
        <f t="shared" si="350"/>
        <v>1640.625</v>
      </c>
      <c r="S645" s="76"/>
      <c r="T645" s="77">
        <f t="shared" si="351"/>
        <v>15.54875</v>
      </c>
      <c r="U645" s="76"/>
      <c r="V645" s="76"/>
      <c r="W645" s="78">
        <f t="shared" si="356"/>
        <v>1656.17375</v>
      </c>
      <c r="X645" s="79">
        <f t="shared" si="352"/>
        <v>28.8815625</v>
      </c>
      <c r="Y645" s="79"/>
      <c r="Z645" s="79"/>
      <c r="AA645" s="79">
        <f t="shared" ref="AA645:AA691" si="358">SUM(X645:Z645)</f>
        <v>28.8815625</v>
      </c>
      <c r="AB645" s="90">
        <v>7.15</v>
      </c>
      <c r="AC645" s="76">
        <f t="shared" si="357"/>
        <v>206.503171875</v>
      </c>
      <c r="AD645" s="76">
        <f t="shared" si="355"/>
        <v>1862.676921875</v>
      </c>
      <c r="AE645" s="76">
        <f t="shared" si="354"/>
        <v>557.323078125</v>
      </c>
    </row>
    <row r="646" customFormat="1" spans="1:31">
      <c r="A646" s="18" t="s">
        <v>436</v>
      </c>
      <c r="B646" s="19" t="s">
        <v>437</v>
      </c>
      <c r="C646" s="20">
        <v>240816000017</v>
      </c>
      <c r="D646" s="21">
        <v>45531</v>
      </c>
      <c r="E646" s="21" t="s">
        <v>37</v>
      </c>
      <c r="F646" s="19" t="s">
        <v>38</v>
      </c>
      <c r="G646" s="19" t="s">
        <v>340</v>
      </c>
      <c r="H646" s="19">
        <v>22</v>
      </c>
      <c r="I646" s="51">
        <v>1276</v>
      </c>
      <c r="J646" s="52"/>
      <c r="K646" s="45"/>
      <c r="L646" s="19"/>
      <c r="M646" s="45"/>
      <c r="N646" s="48"/>
      <c r="O646" s="49">
        <f t="shared" si="353"/>
        <v>1276</v>
      </c>
      <c r="P646" s="50">
        <f>SUM(O646:O691)</f>
        <v>120953.483</v>
      </c>
      <c r="Q646" s="50" t="s">
        <v>40</v>
      </c>
      <c r="R646" s="76">
        <f>SUM(87862/2148)*H646</f>
        <v>899.890130353817</v>
      </c>
      <c r="S646" s="76"/>
      <c r="T646" s="77">
        <f>SUM(176.75/2148)*H646</f>
        <v>1.8102886405959</v>
      </c>
      <c r="U646" s="76"/>
      <c r="V646" s="76"/>
      <c r="W646" s="78">
        <f t="shared" si="356"/>
        <v>901.700418994413</v>
      </c>
      <c r="X646" s="79">
        <f>SUM(1847.55/2148)*H646</f>
        <v>18.9227653631285</v>
      </c>
      <c r="Y646" s="79"/>
      <c r="Z646" s="79"/>
      <c r="AA646" s="79">
        <f t="shared" si="358"/>
        <v>18.9227653631285</v>
      </c>
      <c r="AB646" s="90">
        <v>7.15</v>
      </c>
      <c r="AC646" s="76">
        <f t="shared" si="357"/>
        <v>135.297772346369</v>
      </c>
      <c r="AD646" s="76">
        <f t="shared" si="355"/>
        <v>1036.99819134078</v>
      </c>
      <c r="AE646" s="76">
        <f t="shared" si="354"/>
        <v>239.001808659218</v>
      </c>
    </row>
    <row r="647" customFormat="1" spans="1:31">
      <c r="A647" s="18"/>
      <c r="B647" s="19"/>
      <c r="C647" s="20">
        <v>240817000003</v>
      </c>
      <c r="D647" s="21">
        <v>45531</v>
      </c>
      <c r="E647" s="21" t="s">
        <v>41</v>
      </c>
      <c r="F647" s="19" t="s">
        <v>42</v>
      </c>
      <c r="G647" s="19" t="s">
        <v>417</v>
      </c>
      <c r="H647" s="19">
        <v>15</v>
      </c>
      <c r="I647" s="51">
        <v>861</v>
      </c>
      <c r="J647" s="52"/>
      <c r="K647" s="45"/>
      <c r="L647" s="19"/>
      <c r="M647" s="45"/>
      <c r="N647" s="48"/>
      <c r="O647" s="49">
        <f t="shared" si="353"/>
        <v>861</v>
      </c>
      <c r="P647" s="53"/>
      <c r="Q647" s="53"/>
      <c r="R647" s="76">
        <f t="shared" ref="R647:R691" si="359">SUM(87862/2148)*H647</f>
        <v>613.561452513966</v>
      </c>
      <c r="S647" s="76"/>
      <c r="T647" s="77">
        <f t="shared" ref="T647:T691" si="360">SUM(176.75/2148)*H647</f>
        <v>1.23428770949721</v>
      </c>
      <c r="U647" s="76"/>
      <c r="V647" s="76"/>
      <c r="W647" s="78">
        <f t="shared" si="356"/>
        <v>614.795740223464</v>
      </c>
      <c r="X647" s="79">
        <f t="shared" ref="X647:X691" si="361">SUM(1847.55/2148)*H647</f>
        <v>12.9018854748603</v>
      </c>
      <c r="Y647" s="79"/>
      <c r="Z647" s="79"/>
      <c r="AA647" s="79">
        <f t="shared" si="358"/>
        <v>12.9018854748603</v>
      </c>
      <c r="AB647" s="90">
        <v>7.15</v>
      </c>
      <c r="AC647" s="76">
        <f t="shared" si="357"/>
        <v>92.2484811452514</v>
      </c>
      <c r="AD647" s="76">
        <f t="shared" si="355"/>
        <v>707.044221368715</v>
      </c>
      <c r="AE647" s="76">
        <f t="shared" si="354"/>
        <v>153.955778631285</v>
      </c>
    </row>
    <row r="648" customFormat="1" spans="1:31">
      <c r="A648" s="18"/>
      <c r="B648" s="19"/>
      <c r="C648" s="20">
        <v>240817000005</v>
      </c>
      <c r="D648" s="21">
        <v>45531</v>
      </c>
      <c r="E648" s="21" t="s">
        <v>41</v>
      </c>
      <c r="F648" s="19" t="s">
        <v>42</v>
      </c>
      <c r="G648" s="19" t="s">
        <v>43</v>
      </c>
      <c r="H648" s="19">
        <v>4</v>
      </c>
      <c r="I648" s="51">
        <v>654</v>
      </c>
      <c r="J648" s="52"/>
      <c r="K648" s="45"/>
      <c r="L648" s="19"/>
      <c r="M648" s="45"/>
      <c r="N648" s="48"/>
      <c r="O648" s="49">
        <f t="shared" si="353"/>
        <v>654</v>
      </c>
      <c r="P648" s="53"/>
      <c r="Q648" s="53"/>
      <c r="R648" s="76">
        <f t="shared" si="359"/>
        <v>163.616387337058</v>
      </c>
      <c r="S648" s="76"/>
      <c r="T648" s="77">
        <f t="shared" si="360"/>
        <v>0.329143389199255</v>
      </c>
      <c r="U648" s="76"/>
      <c r="V648" s="76"/>
      <c r="W648" s="78">
        <f t="shared" si="356"/>
        <v>163.945530726257</v>
      </c>
      <c r="X648" s="79">
        <f t="shared" si="361"/>
        <v>3.44050279329609</v>
      </c>
      <c r="Y648" s="79">
        <v>62.93</v>
      </c>
      <c r="Z648" s="79"/>
      <c r="AA648" s="79">
        <f t="shared" si="358"/>
        <v>66.3705027932961</v>
      </c>
      <c r="AB648" s="90">
        <v>7.15</v>
      </c>
      <c r="AC648" s="76">
        <f t="shared" si="357"/>
        <v>474.549094972067</v>
      </c>
      <c r="AD648" s="76">
        <f t="shared" si="355"/>
        <v>638.494625698324</v>
      </c>
      <c r="AE648" s="76">
        <f t="shared" si="354"/>
        <v>15.5053743016761</v>
      </c>
    </row>
    <row r="649" customFormat="1" spans="1:31">
      <c r="A649" s="18"/>
      <c r="B649" s="19"/>
      <c r="C649" s="20">
        <v>240818000001</v>
      </c>
      <c r="D649" s="21">
        <v>45531</v>
      </c>
      <c r="E649" s="21" t="s">
        <v>82</v>
      </c>
      <c r="F649" s="19" t="s">
        <v>83</v>
      </c>
      <c r="G649" s="19" t="s">
        <v>94</v>
      </c>
      <c r="H649" s="19">
        <v>66.5</v>
      </c>
      <c r="I649" s="51">
        <v>4339.5</v>
      </c>
      <c r="J649" s="52"/>
      <c r="K649" s="45"/>
      <c r="L649" s="19"/>
      <c r="M649" s="45"/>
      <c r="N649" s="48"/>
      <c r="O649" s="49">
        <f t="shared" si="353"/>
        <v>4339.5</v>
      </c>
      <c r="P649" s="53"/>
      <c r="Q649" s="53"/>
      <c r="R649" s="76">
        <f t="shared" si="359"/>
        <v>2720.12243947858</v>
      </c>
      <c r="S649" s="76"/>
      <c r="T649" s="77">
        <f t="shared" si="360"/>
        <v>5.47200884543762</v>
      </c>
      <c r="U649" s="76"/>
      <c r="V649" s="76"/>
      <c r="W649" s="78">
        <f t="shared" si="356"/>
        <v>2725.59444832402</v>
      </c>
      <c r="X649" s="79">
        <f t="shared" si="361"/>
        <v>57.1983589385475</v>
      </c>
      <c r="Y649" s="79"/>
      <c r="Z649" s="79"/>
      <c r="AA649" s="79">
        <f t="shared" si="358"/>
        <v>57.1983589385475</v>
      </c>
      <c r="AB649" s="90">
        <v>7.15</v>
      </c>
      <c r="AC649" s="76">
        <f t="shared" si="357"/>
        <v>408.968266410615</v>
      </c>
      <c r="AD649" s="76">
        <f t="shared" si="355"/>
        <v>3134.56271473464</v>
      </c>
      <c r="AE649" s="76">
        <f t="shared" si="354"/>
        <v>1204.93728526536</v>
      </c>
    </row>
    <row r="650" customFormat="1" spans="1:31">
      <c r="A650" s="18"/>
      <c r="B650" s="19"/>
      <c r="C650" s="20">
        <v>240818000028</v>
      </c>
      <c r="D650" s="21">
        <v>45531</v>
      </c>
      <c r="E650" s="21" t="s">
        <v>37</v>
      </c>
      <c r="F650" s="19" t="s">
        <v>38</v>
      </c>
      <c r="G650" s="19" t="s">
        <v>438</v>
      </c>
      <c r="H650" s="19">
        <v>3.5</v>
      </c>
      <c r="I650" s="51">
        <v>234</v>
      </c>
      <c r="J650" s="52"/>
      <c r="K650" s="45"/>
      <c r="L650" s="19"/>
      <c r="M650" s="45"/>
      <c r="N650" s="48"/>
      <c r="O650" s="49">
        <f t="shared" si="353"/>
        <v>234</v>
      </c>
      <c r="P650" s="53"/>
      <c r="Q650" s="53"/>
      <c r="R650" s="76">
        <f t="shared" si="359"/>
        <v>143.164338919926</v>
      </c>
      <c r="S650" s="76"/>
      <c r="T650" s="77">
        <f t="shared" si="360"/>
        <v>0.288000465549348</v>
      </c>
      <c r="U650" s="76"/>
      <c r="V650" s="76"/>
      <c r="W650" s="78">
        <f t="shared" si="356"/>
        <v>143.452339385475</v>
      </c>
      <c r="X650" s="79">
        <f t="shared" si="361"/>
        <v>3.01043994413408</v>
      </c>
      <c r="Y650" s="79"/>
      <c r="Z650" s="79"/>
      <c r="AA650" s="79">
        <f t="shared" si="358"/>
        <v>3.01043994413408</v>
      </c>
      <c r="AB650" s="90">
        <v>7.15</v>
      </c>
      <c r="AC650" s="76">
        <f t="shared" si="357"/>
        <v>21.5246456005587</v>
      </c>
      <c r="AD650" s="76">
        <f t="shared" si="355"/>
        <v>164.976984986034</v>
      </c>
      <c r="AE650" s="76">
        <f t="shared" si="354"/>
        <v>69.0230150139665</v>
      </c>
    </row>
    <row r="651" customFormat="1" spans="1:31">
      <c r="A651" s="18"/>
      <c r="B651" s="19"/>
      <c r="C651" s="20">
        <v>240819000005</v>
      </c>
      <c r="D651" s="21">
        <v>45531</v>
      </c>
      <c r="E651" s="21" t="s">
        <v>44</v>
      </c>
      <c r="F651" s="19" t="s">
        <v>45</v>
      </c>
      <c r="G651" s="19" t="s">
        <v>411</v>
      </c>
      <c r="H651" s="19">
        <v>3.5</v>
      </c>
      <c r="I651" s="51">
        <v>213</v>
      </c>
      <c r="J651" s="52"/>
      <c r="K651" s="45"/>
      <c r="L651" s="19"/>
      <c r="M651" s="45"/>
      <c r="N651" s="48"/>
      <c r="O651" s="49">
        <f t="shared" si="353"/>
        <v>213</v>
      </c>
      <c r="P651" s="53"/>
      <c r="Q651" s="53"/>
      <c r="R651" s="76">
        <f t="shared" si="359"/>
        <v>143.164338919926</v>
      </c>
      <c r="S651" s="76"/>
      <c r="T651" s="77">
        <f t="shared" si="360"/>
        <v>0.288000465549348</v>
      </c>
      <c r="U651" s="76"/>
      <c r="V651" s="76"/>
      <c r="W651" s="78">
        <f t="shared" si="356"/>
        <v>143.452339385475</v>
      </c>
      <c r="X651" s="79">
        <f t="shared" si="361"/>
        <v>3.01043994413408</v>
      </c>
      <c r="Y651" s="79"/>
      <c r="Z651" s="79"/>
      <c r="AA651" s="79">
        <f t="shared" si="358"/>
        <v>3.01043994413408</v>
      </c>
      <c r="AB651" s="90">
        <v>7.15</v>
      </c>
      <c r="AC651" s="76">
        <f t="shared" si="357"/>
        <v>21.5246456005587</v>
      </c>
      <c r="AD651" s="76">
        <f t="shared" si="355"/>
        <v>164.976984986034</v>
      </c>
      <c r="AE651" s="76">
        <f t="shared" si="354"/>
        <v>48.0230150139665</v>
      </c>
    </row>
    <row r="652" customFormat="1" spans="1:31">
      <c r="A652" s="18"/>
      <c r="B652" s="19"/>
      <c r="C652" s="20">
        <v>240819000006</v>
      </c>
      <c r="D652" s="21">
        <v>45531</v>
      </c>
      <c r="E652" s="21" t="s">
        <v>44</v>
      </c>
      <c r="F652" s="19" t="s">
        <v>45</v>
      </c>
      <c r="G652" s="19" t="s">
        <v>439</v>
      </c>
      <c r="H652" s="19">
        <v>8.5</v>
      </c>
      <c r="I652" s="49"/>
      <c r="J652" s="44">
        <v>104550</v>
      </c>
      <c r="K652" s="45"/>
      <c r="L652" s="46">
        <f t="shared" ref="L652:L655" si="362">SUM(J652/M652)</f>
        <v>1640</v>
      </c>
      <c r="M652" s="47">
        <v>63.75</v>
      </c>
      <c r="N652" s="48">
        <v>7.15</v>
      </c>
      <c r="O652" s="49">
        <f t="shared" ref="O652:O655" si="363">SUM(M652*N652)</f>
        <v>455.8125</v>
      </c>
      <c r="P652" s="53"/>
      <c r="Q652" s="53"/>
      <c r="R652" s="76">
        <f t="shared" si="359"/>
        <v>347.684823091248</v>
      </c>
      <c r="S652" s="76"/>
      <c r="T652" s="77">
        <f t="shared" si="360"/>
        <v>0.699429702048417</v>
      </c>
      <c r="U652" s="76"/>
      <c r="V652" s="76"/>
      <c r="W652" s="78">
        <f t="shared" si="356"/>
        <v>348.384252793296</v>
      </c>
      <c r="X652" s="79">
        <f t="shared" si="361"/>
        <v>7.31106843575419</v>
      </c>
      <c r="Y652" s="79"/>
      <c r="Z652" s="79"/>
      <c r="AA652" s="79">
        <f t="shared" si="358"/>
        <v>7.31106843575419</v>
      </c>
      <c r="AB652" s="90">
        <v>7.15</v>
      </c>
      <c r="AC652" s="76">
        <f t="shared" si="357"/>
        <v>52.2741393156425</v>
      </c>
      <c r="AD652" s="76">
        <f t="shared" si="355"/>
        <v>400.658392108939</v>
      </c>
      <c r="AE652" s="76">
        <f t="shared" si="354"/>
        <v>55.1541078910615</v>
      </c>
    </row>
    <row r="653" customFormat="1" spans="1:31">
      <c r="A653" s="18"/>
      <c r="B653" s="19"/>
      <c r="C653" s="20">
        <v>240819000018</v>
      </c>
      <c r="D653" s="21">
        <v>45531</v>
      </c>
      <c r="E653" s="21" t="s">
        <v>41</v>
      </c>
      <c r="F653" s="19" t="s">
        <v>42</v>
      </c>
      <c r="G653" s="19" t="s">
        <v>440</v>
      </c>
      <c r="H653" s="19">
        <v>32</v>
      </c>
      <c r="I653" s="51">
        <v>1843</v>
      </c>
      <c r="J653" s="52"/>
      <c r="K653" s="45"/>
      <c r="L653" s="19"/>
      <c r="M653" s="45"/>
      <c r="N653" s="48"/>
      <c r="O653" s="49">
        <f t="shared" ref="O653:O658" si="364">SUM(I653)</f>
        <v>1843</v>
      </c>
      <c r="P653" s="53"/>
      <c r="Q653" s="53"/>
      <c r="R653" s="76">
        <f t="shared" si="359"/>
        <v>1308.93109869646</v>
      </c>
      <c r="S653" s="76"/>
      <c r="T653" s="77">
        <f t="shared" si="360"/>
        <v>2.63314711359404</v>
      </c>
      <c r="U653" s="76"/>
      <c r="V653" s="76"/>
      <c r="W653" s="78">
        <f t="shared" si="356"/>
        <v>1311.56424581006</v>
      </c>
      <c r="X653" s="79">
        <f t="shared" si="361"/>
        <v>27.5240223463687</v>
      </c>
      <c r="Y653" s="79"/>
      <c r="Z653" s="79"/>
      <c r="AA653" s="79">
        <f t="shared" si="358"/>
        <v>27.5240223463687</v>
      </c>
      <c r="AB653" s="90">
        <v>7.15</v>
      </c>
      <c r="AC653" s="76">
        <f t="shared" si="357"/>
        <v>196.796759776536</v>
      </c>
      <c r="AD653" s="76">
        <f t="shared" si="355"/>
        <v>1508.36100558659</v>
      </c>
      <c r="AE653" s="76">
        <f t="shared" si="354"/>
        <v>334.638994413408</v>
      </c>
    </row>
    <row r="654" customFormat="1" spans="1:31">
      <c r="A654" s="18"/>
      <c r="B654" s="19"/>
      <c r="C654" s="20">
        <v>240820000013</v>
      </c>
      <c r="D654" s="21">
        <v>45531</v>
      </c>
      <c r="E654" s="21" t="s">
        <v>37</v>
      </c>
      <c r="F654" s="19" t="s">
        <v>38</v>
      </c>
      <c r="G654" s="19" t="s">
        <v>441</v>
      </c>
      <c r="H654" s="19">
        <v>21</v>
      </c>
      <c r="I654" s="43"/>
      <c r="J654" s="44">
        <v>258398</v>
      </c>
      <c r="K654" s="45"/>
      <c r="L654" s="46">
        <f t="shared" si="362"/>
        <v>1744.635743704</v>
      </c>
      <c r="M654" s="47">
        <v>148.11</v>
      </c>
      <c r="N654" s="48">
        <v>7.15</v>
      </c>
      <c r="O654" s="49">
        <f t="shared" si="363"/>
        <v>1058.9865</v>
      </c>
      <c r="P654" s="53"/>
      <c r="Q654" s="53"/>
      <c r="R654" s="76">
        <f t="shared" si="359"/>
        <v>858.986033519553</v>
      </c>
      <c r="S654" s="76"/>
      <c r="T654" s="77">
        <f t="shared" si="360"/>
        <v>1.72800279329609</v>
      </c>
      <c r="U654" s="76"/>
      <c r="V654" s="76"/>
      <c r="W654" s="78">
        <f t="shared" si="356"/>
        <v>860.714036312849</v>
      </c>
      <c r="X654" s="79">
        <f t="shared" si="361"/>
        <v>18.0626396648045</v>
      </c>
      <c r="Y654" s="79"/>
      <c r="Z654" s="79"/>
      <c r="AA654" s="79">
        <f t="shared" si="358"/>
        <v>18.0626396648045</v>
      </c>
      <c r="AB654" s="90">
        <v>7.15</v>
      </c>
      <c r="AC654" s="76">
        <f t="shared" si="357"/>
        <v>129.147873603352</v>
      </c>
      <c r="AD654" s="76">
        <f t="shared" si="355"/>
        <v>989.861909916201</v>
      </c>
      <c r="AE654" s="76">
        <f t="shared" si="354"/>
        <v>69.1245900837989</v>
      </c>
    </row>
    <row r="655" customFormat="1" spans="1:31">
      <c r="A655" s="18"/>
      <c r="B655" s="19"/>
      <c r="C655" s="20">
        <v>240820000016</v>
      </c>
      <c r="D655" s="21">
        <v>45531</v>
      </c>
      <c r="E655" s="21" t="s">
        <v>44</v>
      </c>
      <c r="F655" s="19" t="s">
        <v>45</v>
      </c>
      <c r="G655" s="19" t="s">
        <v>63</v>
      </c>
      <c r="H655" s="19">
        <v>127</v>
      </c>
      <c r="I655" s="49"/>
      <c r="J655" s="44">
        <v>1729544</v>
      </c>
      <c r="K655" s="45"/>
      <c r="L655" s="46">
        <f t="shared" si="362"/>
        <v>1815.79422572178</v>
      </c>
      <c r="M655" s="47">
        <v>952.5</v>
      </c>
      <c r="N655" s="48">
        <v>7.15</v>
      </c>
      <c r="O655" s="49">
        <f t="shared" si="363"/>
        <v>6810.375</v>
      </c>
      <c r="P655" s="53"/>
      <c r="Q655" s="53"/>
      <c r="R655" s="76">
        <f t="shared" si="359"/>
        <v>5194.82029795158</v>
      </c>
      <c r="S655" s="76"/>
      <c r="T655" s="77">
        <f t="shared" si="360"/>
        <v>10.4503026070764</v>
      </c>
      <c r="U655" s="76"/>
      <c r="V655" s="76"/>
      <c r="W655" s="78">
        <f t="shared" si="356"/>
        <v>5205.27060055866</v>
      </c>
      <c r="X655" s="79">
        <f t="shared" si="361"/>
        <v>109.235963687151</v>
      </c>
      <c r="Y655" s="79"/>
      <c r="Z655" s="79"/>
      <c r="AA655" s="79">
        <f t="shared" si="358"/>
        <v>109.235963687151</v>
      </c>
      <c r="AB655" s="90">
        <v>7.15</v>
      </c>
      <c r="AC655" s="76">
        <f t="shared" si="357"/>
        <v>781.037140363129</v>
      </c>
      <c r="AD655" s="76">
        <f t="shared" si="355"/>
        <v>5986.30774092179</v>
      </c>
      <c r="AE655" s="76">
        <f t="shared" si="354"/>
        <v>824.067259078212</v>
      </c>
    </row>
    <row r="656" customFormat="1" spans="1:31">
      <c r="A656" s="18"/>
      <c r="B656" s="19"/>
      <c r="C656" s="20">
        <v>240820000026</v>
      </c>
      <c r="D656" s="21">
        <v>45531</v>
      </c>
      <c r="E656" s="21" t="s">
        <v>41</v>
      </c>
      <c r="F656" s="19" t="s">
        <v>42</v>
      </c>
      <c r="G656" s="19" t="s">
        <v>442</v>
      </c>
      <c r="H656" s="19">
        <v>187</v>
      </c>
      <c r="I656" s="51">
        <v>11974</v>
      </c>
      <c r="J656" s="52"/>
      <c r="K656" s="45"/>
      <c r="L656" s="19"/>
      <c r="M656" s="45"/>
      <c r="N656" s="48"/>
      <c r="O656" s="49">
        <f t="shared" si="364"/>
        <v>11974</v>
      </c>
      <c r="P656" s="53"/>
      <c r="Q656" s="53"/>
      <c r="R656" s="76">
        <f t="shared" si="359"/>
        <v>7649.06610800745</v>
      </c>
      <c r="S656" s="76"/>
      <c r="T656" s="77">
        <f t="shared" si="360"/>
        <v>15.3874534450652</v>
      </c>
      <c r="U656" s="76">
        <v>40</v>
      </c>
      <c r="V656" s="77">
        <v>340</v>
      </c>
      <c r="W656" s="78">
        <f t="shared" si="356"/>
        <v>8044.45356145251</v>
      </c>
      <c r="X656" s="79">
        <f t="shared" si="361"/>
        <v>160.843505586592</v>
      </c>
      <c r="Y656" s="79"/>
      <c r="Z656" s="79"/>
      <c r="AA656" s="79">
        <f t="shared" si="358"/>
        <v>160.843505586592</v>
      </c>
      <c r="AB656" s="90">
        <v>7.15</v>
      </c>
      <c r="AC656" s="76">
        <f t="shared" si="357"/>
        <v>1150.03106494413</v>
      </c>
      <c r="AD656" s="76">
        <f t="shared" si="355"/>
        <v>9194.48462639665</v>
      </c>
      <c r="AE656" s="76">
        <f t="shared" si="354"/>
        <v>2779.51537360335</v>
      </c>
    </row>
    <row r="657" customFormat="1" spans="1:31">
      <c r="A657" s="18"/>
      <c r="B657" s="19"/>
      <c r="C657" s="20">
        <v>240820000029</v>
      </c>
      <c r="D657" s="21">
        <v>45531</v>
      </c>
      <c r="E657" s="21" t="s">
        <v>41</v>
      </c>
      <c r="F657" s="19" t="s">
        <v>42</v>
      </c>
      <c r="G657" s="19" t="s">
        <v>443</v>
      </c>
      <c r="H657" s="19">
        <v>7.5</v>
      </c>
      <c r="I657" s="51">
        <v>478.5</v>
      </c>
      <c r="J657" s="52"/>
      <c r="K657" s="45"/>
      <c r="L657" s="19"/>
      <c r="M657" s="45"/>
      <c r="N657" s="48"/>
      <c r="O657" s="49">
        <f t="shared" si="364"/>
        <v>478.5</v>
      </c>
      <c r="P657" s="53"/>
      <c r="Q657" s="53"/>
      <c r="R657" s="76">
        <f t="shared" si="359"/>
        <v>306.780726256983</v>
      </c>
      <c r="S657" s="76"/>
      <c r="T657" s="77">
        <f t="shared" si="360"/>
        <v>0.617143854748603</v>
      </c>
      <c r="U657" s="76"/>
      <c r="V657" s="76"/>
      <c r="W657" s="78">
        <f t="shared" si="356"/>
        <v>307.397870111732</v>
      </c>
      <c r="X657" s="79">
        <f t="shared" si="361"/>
        <v>6.45094273743017</v>
      </c>
      <c r="Y657" s="79"/>
      <c r="Z657" s="79"/>
      <c r="AA657" s="79">
        <f t="shared" si="358"/>
        <v>6.45094273743017</v>
      </c>
      <c r="AB657" s="90">
        <v>7.15</v>
      </c>
      <c r="AC657" s="76">
        <f t="shared" si="357"/>
        <v>46.1242405726257</v>
      </c>
      <c r="AD657" s="76">
        <f t="shared" si="355"/>
        <v>353.522110684357</v>
      </c>
      <c r="AE657" s="76">
        <f t="shared" si="354"/>
        <v>124.977889315643</v>
      </c>
    </row>
    <row r="658" customFormat="1" spans="1:31">
      <c r="A658" s="18"/>
      <c r="B658" s="19"/>
      <c r="C658" s="20">
        <v>240820000031</v>
      </c>
      <c r="D658" s="21">
        <v>45531</v>
      </c>
      <c r="E658" s="21" t="s">
        <v>82</v>
      </c>
      <c r="F658" s="19" t="s">
        <v>83</v>
      </c>
      <c r="G658" s="19" t="s">
        <v>444</v>
      </c>
      <c r="H658" s="19">
        <v>13.5</v>
      </c>
      <c r="I658" s="51">
        <v>775.5</v>
      </c>
      <c r="J658" s="52"/>
      <c r="K658" s="45"/>
      <c r="L658" s="19"/>
      <c r="M658" s="45"/>
      <c r="N658" s="48"/>
      <c r="O658" s="49">
        <f t="shared" si="364"/>
        <v>775.5</v>
      </c>
      <c r="P658" s="53"/>
      <c r="Q658" s="53"/>
      <c r="R658" s="76">
        <f t="shared" si="359"/>
        <v>552.20530726257</v>
      </c>
      <c r="S658" s="76"/>
      <c r="T658" s="77">
        <f t="shared" si="360"/>
        <v>1.11085893854749</v>
      </c>
      <c r="U658" s="76"/>
      <c r="V658" s="76"/>
      <c r="W658" s="78">
        <f t="shared" si="356"/>
        <v>553.316166201117</v>
      </c>
      <c r="X658" s="79">
        <f t="shared" si="361"/>
        <v>11.6116969273743</v>
      </c>
      <c r="Y658" s="79"/>
      <c r="Z658" s="79"/>
      <c r="AA658" s="79">
        <f t="shared" si="358"/>
        <v>11.6116969273743</v>
      </c>
      <c r="AB658" s="90">
        <v>7.15</v>
      </c>
      <c r="AC658" s="76">
        <f t="shared" si="357"/>
        <v>83.0236330307262</v>
      </c>
      <c r="AD658" s="76">
        <f t="shared" si="355"/>
        <v>636.339799231844</v>
      </c>
      <c r="AE658" s="76">
        <f t="shared" si="354"/>
        <v>139.160200768156</v>
      </c>
    </row>
    <row r="659" customFormat="1" spans="1:31">
      <c r="A659" s="18"/>
      <c r="B659" s="19"/>
      <c r="C659" s="20">
        <v>240820000033</v>
      </c>
      <c r="D659" s="21">
        <v>45531</v>
      </c>
      <c r="E659" s="21" t="s">
        <v>44</v>
      </c>
      <c r="F659" s="19" t="s">
        <v>45</v>
      </c>
      <c r="G659" s="19" t="s">
        <v>236</v>
      </c>
      <c r="H659" s="19">
        <v>23</v>
      </c>
      <c r="I659" s="49"/>
      <c r="J659" s="44">
        <v>288640</v>
      </c>
      <c r="K659" s="45"/>
      <c r="L659" s="46">
        <f>SUM(J659/M659)</f>
        <v>1640</v>
      </c>
      <c r="M659" s="47">
        <v>176</v>
      </c>
      <c r="N659" s="48">
        <v>7.15</v>
      </c>
      <c r="O659" s="49">
        <f>SUM(M659*N659)</f>
        <v>1258.4</v>
      </c>
      <c r="P659" s="53"/>
      <c r="Q659" s="53"/>
      <c r="R659" s="76">
        <f t="shared" si="359"/>
        <v>940.794227188082</v>
      </c>
      <c r="S659" s="76"/>
      <c r="T659" s="77">
        <f t="shared" si="360"/>
        <v>1.89257448789572</v>
      </c>
      <c r="U659" s="76"/>
      <c r="V659" s="76"/>
      <c r="W659" s="78">
        <f t="shared" si="356"/>
        <v>942.686801675978</v>
      </c>
      <c r="X659" s="79">
        <f t="shared" si="361"/>
        <v>19.7828910614525</v>
      </c>
      <c r="Y659" s="79"/>
      <c r="Z659" s="79"/>
      <c r="AA659" s="79">
        <f t="shared" si="358"/>
        <v>19.7828910614525</v>
      </c>
      <c r="AB659" s="90">
        <v>7.15</v>
      </c>
      <c r="AC659" s="76">
        <f t="shared" si="357"/>
        <v>141.447671089385</v>
      </c>
      <c r="AD659" s="76">
        <f t="shared" si="355"/>
        <v>1084.13447276536</v>
      </c>
      <c r="AE659" s="76">
        <f t="shared" si="354"/>
        <v>174.265527234637</v>
      </c>
    </row>
    <row r="660" customFormat="1" spans="1:31">
      <c r="A660" s="18"/>
      <c r="B660" s="19"/>
      <c r="C660" s="20">
        <v>240820000043</v>
      </c>
      <c r="D660" s="21">
        <v>45531</v>
      </c>
      <c r="E660" s="21" t="s">
        <v>41</v>
      </c>
      <c r="F660" s="19" t="s">
        <v>60</v>
      </c>
      <c r="G660" s="19" t="s">
        <v>61</v>
      </c>
      <c r="H660" s="19">
        <v>15</v>
      </c>
      <c r="I660" s="51">
        <v>951</v>
      </c>
      <c r="J660" s="52"/>
      <c r="K660" s="45"/>
      <c r="L660" s="19"/>
      <c r="M660" s="45"/>
      <c r="N660" s="48"/>
      <c r="O660" s="49">
        <f t="shared" ref="O660:O663" si="365">SUM(I660)</f>
        <v>951</v>
      </c>
      <c r="P660" s="53"/>
      <c r="Q660" s="53"/>
      <c r="R660" s="76">
        <f t="shared" si="359"/>
        <v>613.561452513966</v>
      </c>
      <c r="S660" s="76"/>
      <c r="T660" s="77">
        <f t="shared" si="360"/>
        <v>1.23428770949721</v>
      </c>
      <c r="U660" s="76"/>
      <c r="V660" s="76"/>
      <c r="W660" s="78">
        <f t="shared" si="356"/>
        <v>614.795740223464</v>
      </c>
      <c r="X660" s="79">
        <f t="shared" si="361"/>
        <v>12.9018854748603</v>
      </c>
      <c r="Y660" s="79"/>
      <c r="Z660" s="79"/>
      <c r="AA660" s="79">
        <f t="shared" si="358"/>
        <v>12.9018854748603</v>
      </c>
      <c r="AB660" s="90">
        <v>7.15</v>
      </c>
      <c r="AC660" s="76">
        <f t="shared" si="357"/>
        <v>92.2484811452514</v>
      </c>
      <c r="AD660" s="76">
        <f t="shared" si="355"/>
        <v>707.044221368715</v>
      </c>
      <c r="AE660" s="76">
        <f t="shared" si="354"/>
        <v>243.955778631285</v>
      </c>
    </row>
    <row r="661" customFormat="1" spans="1:31">
      <c r="A661" s="18"/>
      <c r="B661" s="19"/>
      <c r="C661" s="20">
        <v>240821000006</v>
      </c>
      <c r="D661" s="21">
        <v>45531</v>
      </c>
      <c r="E661" s="21" t="s">
        <v>41</v>
      </c>
      <c r="F661" s="19" t="s">
        <v>42</v>
      </c>
      <c r="G661" s="19" t="s">
        <v>445</v>
      </c>
      <c r="H661" s="19">
        <v>4</v>
      </c>
      <c r="I661" s="51">
        <v>243</v>
      </c>
      <c r="J661" s="52"/>
      <c r="K661" s="45"/>
      <c r="L661" s="19"/>
      <c r="M661" s="45"/>
      <c r="N661" s="48"/>
      <c r="O661" s="49">
        <f t="shared" si="365"/>
        <v>243</v>
      </c>
      <c r="P661" s="53"/>
      <c r="Q661" s="53"/>
      <c r="R661" s="76">
        <f t="shared" si="359"/>
        <v>163.616387337058</v>
      </c>
      <c r="S661" s="76"/>
      <c r="T661" s="77">
        <f t="shared" si="360"/>
        <v>0.329143389199255</v>
      </c>
      <c r="U661" s="76"/>
      <c r="V661" s="76"/>
      <c r="W661" s="78">
        <f t="shared" si="356"/>
        <v>163.945530726257</v>
      </c>
      <c r="X661" s="79">
        <f t="shared" si="361"/>
        <v>3.44050279329609</v>
      </c>
      <c r="Y661" s="79"/>
      <c r="Z661" s="79"/>
      <c r="AA661" s="79">
        <f t="shared" si="358"/>
        <v>3.44050279329609</v>
      </c>
      <c r="AB661" s="90">
        <v>7.15</v>
      </c>
      <c r="AC661" s="76">
        <f t="shared" si="357"/>
        <v>24.599594972067</v>
      </c>
      <c r="AD661" s="76">
        <f t="shared" si="355"/>
        <v>188.545125698324</v>
      </c>
      <c r="AE661" s="76">
        <f t="shared" si="354"/>
        <v>54.454874301676</v>
      </c>
    </row>
    <row r="662" customFormat="1" spans="1:31">
      <c r="A662" s="18"/>
      <c r="B662" s="19"/>
      <c r="C662" s="20">
        <v>240821000007</v>
      </c>
      <c r="D662" s="21">
        <v>45531</v>
      </c>
      <c r="E662" s="21" t="s">
        <v>37</v>
      </c>
      <c r="F662" s="19" t="s">
        <v>38</v>
      </c>
      <c r="G662" s="19" t="s">
        <v>119</v>
      </c>
      <c r="H662" s="19">
        <v>0.85</v>
      </c>
      <c r="I662" s="51">
        <v>75</v>
      </c>
      <c r="J662" s="52"/>
      <c r="K662" s="45"/>
      <c r="L662" s="19"/>
      <c r="M662" s="45"/>
      <c r="N662" s="48"/>
      <c r="O662" s="49">
        <f t="shared" si="365"/>
        <v>75</v>
      </c>
      <c r="P662" s="53"/>
      <c r="Q662" s="53"/>
      <c r="R662" s="76">
        <f t="shared" si="359"/>
        <v>34.7684823091248</v>
      </c>
      <c r="S662" s="76"/>
      <c r="T662" s="77">
        <f t="shared" si="360"/>
        <v>0.0699429702048417</v>
      </c>
      <c r="U662" s="76"/>
      <c r="V662" s="77">
        <v>15</v>
      </c>
      <c r="W662" s="78">
        <f t="shared" si="356"/>
        <v>49.8384252793296</v>
      </c>
      <c r="X662" s="79">
        <f t="shared" si="361"/>
        <v>0.731106843575419</v>
      </c>
      <c r="Y662" s="79"/>
      <c r="Z662" s="79"/>
      <c r="AA662" s="79">
        <f t="shared" si="358"/>
        <v>0.731106843575419</v>
      </c>
      <c r="AB662" s="90">
        <v>7.15</v>
      </c>
      <c r="AC662" s="76">
        <f t="shared" si="357"/>
        <v>5.22741393156425</v>
      </c>
      <c r="AD662" s="76">
        <f t="shared" si="355"/>
        <v>55.0658392108938</v>
      </c>
      <c r="AE662" s="76">
        <f t="shared" si="354"/>
        <v>19.9341607891062</v>
      </c>
    </row>
    <row r="663" customFormat="1" spans="1:31">
      <c r="A663" s="18"/>
      <c r="B663" s="19"/>
      <c r="C663" s="20">
        <v>240821000010</v>
      </c>
      <c r="D663" s="21">
        <v>45531</v>
      </c>
      <c r="E663" s="21" t="s">
        <v>37</v>
      </c>
      <c r="F663" s="19" t="s">
        <v>38</v>
      </c>
      <c r="G663" s="19" t="s">
        <v>446</v>
      </c>
      <c r="H663" s="19">
        <v>2.5</v>
      </c>
      <c r="I663" s="51">
        <v>168</v>
      </c>
      <c r="J663" s="52"/>
      <c r="K663" s="45"/>
      <c r="L663" s="19"/>
      <c r="M663" s="45"/>
      <c r="N663" s="48"/>
      <c r="O663" s="49">
        <f t="shared" si="365"/>
        <v>168</v>
      </c>
      <c r="P663" s="53"/>
      <c r="Q663" s="53"/>
      <c r="R663" s="76">
        <f t="shared" si="359"/>
        <v>102.260242085661</v>
      </c>
      <c r="S663" s="76"/>
      <c r="T663" s="77">
        <f t="shared" si="360"/>
        <v>0.205714618249534</v>
      </c>
      <c r="U663" s="76"/>
      <c r="V663" s="76"/>
      <c r="W663" s="78">
        <f t="shared" si="356"/>
        <v>102.465956703911</v>
      </c>
      <c r="X663" s="79">
        <f t="shared" si="361"/>
        <v>2.15031424581006</v>
      </c>
      <c r="Y663" s="79"/>
      <c r="Z663" s="79"/>
      <c r="AA663" s="79">
        <f t="shared" si="358"/>
        <v>2.15031424581006</v>
      </c>
      <c r="AB663" s="90">
        <v>7.15</v>
      </c>
      <c r="AC663" s="76">
        <f t="shared" si="357"/>
        <v>15.3747468575419</v>
      </c>
      <c r="AD663" s="76">
        <f t="shared" si="355"/>
        <v>117.840703561452</v>
      </c>
      <c r="AE663" s="76">
        <f t="shared" si="354"/>
        <v>50.1592964385475</v>
      </c>
    </row>
    <row r="664" customFormat="1" spans="1:31">
      <c r="A664" s="18"/>
      <c r="B664" s="19"/>
      <c r="C664" s="20">
        <v>240821000011</v>
      </c>
      <c r="D664" s="21">
        <v>45531</v>
      </c>
      <c r="E664" s="21" t="s">
        <v>37</v>
      </c>
      <c r="F664" s="19" t="s">
        <v>38</v>
      </c>
      <c r="G664" s="19" t="s">
        <v>76</v>
      </c>
      <c r="H664" s="19">
        <v>9.5</v>
      </c>
      <c r="I664" s="43"/>
      <c r="J664" s="44">
        <v>187425</v>
      </c>
      <c r="K664" s="45"/>
      <c r="L664" s="46">
        <f t="shared" ref="L664:L670" si="366">SUM(J664/M664)</f>
        <v>1751.79923357323</v>
      </c>
      <c r="M664" s="47">
        <v>106.99</v>
      </c>
      <c r="N664" s="48">
        <v>7.15</v>
      </c>
      <c r="O664" s="49">
        <f t="shared" ref="O664:O670" si="367">SUM(M664*N664)</f>
        <v>764.9785</v>
      </c>
      <c r="P664" s="53"/>
      <c r="Q664" s="53"/>
      <c r="R664" s="76">
        <f t="shared" si="359"/>
        <v>388.588919925512</v>
      </c>
      <c r="S664" s="76"/>
      <c r="T664" s="77">
        <f t="shared" si="360"/>
        <v>0.781715549348231</v>
      </c>
      <c r="U664" s="76"/>
      <c r="V664" s="76"/>
      <c r="W664" s="78">
        <f t="shared" si="356"/>
        <v>389.37063547486</v>
      </c>
      <c r="X664" s="79">
        <f t="shared" si="361"/>
        <v>8.17119413407821</v>
      </c>
      <c r="Y664" s="79"/>
      <c r="Z664" s="79"/>
      <c r="AA664" s="79">
        <f t="shared" si="358"/>
        <v>8.17119413407821</v>
      </c>
      <c r="AB664" s="90">
        <v>7.15</v>
      </c>
      <c r="AC664" s="76">
        <f t="shared" si="357"/>
        <v>58.4240380586592</v>
      </c>
      <c r="AD664" s="76">
        <f t="shared" si="355"/>
        <v>447.79467353352</v>
      </c>
      <c r="AE664" s="76">
        <f t="shared" si="354"/>
        <v>317.183826466481</v>
      </c>
    </row>
    <row r="665" customFormat="1" spans="1:31">
      <c r="A665" s="18"/>
      <c r="B665" s="19"/>
      <c r="C665" s="20">
        <v>240821000012</v>
      </c>
      <c r="D665" s="21">
        <v>45531</v>
      </c>
      <c r="E665" s="21" t="s">
        <v>51</v>
      </c>
      <c r="F665" s="19" t="s">
        <v>52</v>
      </c>
      <c r="G665" s="19" t="s">
        <v>122</v>
      </c>
      <c r="H665" s="19">
        <v>17.5</v>
      </c>
      <c r="I665" s="51">
        <v>1003.5</v>
      </c>
      <c r="J665" s="52"/>
      <c r="K665" s="45"/>
      <c r="L665" s="19"/>
      <c r="M665" s="45"/>
      <c r="N665" s="48"/>
      <c r="O665" s="49">
        <f>SUM(I665)</f>
        <v>1003.5</v>
      </c>
      <c r="P665" s="53"/>
      <c r="Q665" s="53"/>
      <c r="R665" s="76">
        <f t="shared" si="359"/>
        <v>715.821694599628</v>
      </c>
      <c r="S665" s="76"/>
      <c r="T665" s="77">
        <f t="shared" si="360"/>
        <v>1.44000232774674</v>
      </c>
      <c r="U665" s="76"/>
      <c r="V665" s="76"/>
      <c r="W665" s="78">
        <f t="shared" si="356"/>
        <v>717.261696927374</v>
      </c>
      <c r="X665" s="79">
        <f t="shared" si="361"/>
        <v>15.0521997206704</v>
      </c>
      <c r="Y665" s="79"/>
      <c r="Z665" s="79"/>
      <c r="AA665" s="79">
        <f t="shared" si="358"/>
        <v>15.0521997206704</v>
      </c>
      <c r="AB665" s="90">
        <v>7.15</v>
      </c>
      <c r="AC665" s="76">
        <f t="shared" si="357"/>
        <v>107.623228002793</v>
      </c>
      <c r="AD665" s="76">
        <f t="shared" si="355"/>
        <v>824.884924930168</v>
      </c>
      <c r="AE665" s="76">
        <f t="shared" si="354"/>
        <v>178.615075069832</v>
      </c>
    </row>
    <row r="666" customFormat="1" spans="1:31">
      <c r="A666" s="18"/>
      <c r="B666" s="19"/>
      <c r="C666" s="20">
        <v>240821000015</v>
      </c>
      <c r="D666" s="21">
        <v>45531</v>
      </c>
      <c r="E666" s="21" t="s">
        <v>37</v>
      </c>
      <c r="F666" s="19" t="s">
        <v>38</v>
      </c>
      <c r="G666" s="19" t="s">
        <v>71</v>
      </c>
      <c r="H666" s="19">
        <v>3</v>
      </c>
      <c r="I666" s="49"/>
      <c r="J666" s="44">
        <v>41656</v>
      </c>
      <c r="K666" s="45"/>
      <c r="L666" s="46">
        <f t="shared" si="366"/>
        <v>1640</v>
      </c>
      <c r="M666" s="47">
        <v>25.4</v>
      </c>
      <c r="N666" s="48">
        <v>7.15</v>
      </c>
      <c r="O666" s="49">
        <f t="shared" si="367"/>
        <v>181.61</v>
      </c>
      <c r="P666" s="53"/>
      <c r="Q666" s="53"/>
      <c r="R666" s="76">
        <f t="shared" si="359"/>
        <v>122.712290502793</v>
      </c>
      <c r="S666" s="76"/>
      <c r="T666" s="77">
        <f t="shared" si="360"/>
        <v>0.246857541899441</v>
      </c>
      <c r="U666" s="76"/>
      <c r="V666" s="76"/>
      <c r="W666" s="78">
        <f t="shared" si="356"/>
        <v>122.959148044693</v>
      </c>
      <c r="X666" s="79">
        <f t="shared" si="361"/>
        <v>2.58037709497207</v>
      </c>
      <c r="Y666" s="79"/>
      <c r="Z666" s="79"/>
      <c r="AA666" s="79">
        <f t="shared" si="358"/>
        <v>2.58037709497207</v>
      </c>
      <c r="AB666" s="90">
        <v>7.15</v>
      </c>
      <c r="AC666" s="76">
        <f t="shared" si="357"/>
        <v>18.4496962290503</v>
      </c>
      <c r="AD666" s="76">
        <f t="shared" si="355"/>
        <v>141.408844273743</v>
      </c>
      <c r="AE666" s="76">
        <f t="shared" si="354"/>
        <v>40.201155726257</v>
      </c>
    </row>
    <row r="667" customFormat="1" spans="1:31">
      <c r="A667" s="18"/>
      <c r="B667" s="19"/>
      <c r="C667" s="22">
        <v>240821000017</v>
      </c>
      <c r="D667" s="23">
        <v>45531</v>
      </c>
      <c r="E667" s="21" t="s">
        <v>82</v>
      </c>
      <c r="F667" s="24" t="s">
        <v>83</v>
      </c>
      <c r="G667" s="24" t="s">
        <v>447</v>
      </c>
      <c r="H667" s="24">
        <v>25.5</v>
      </c>
      <c r="I667" s="56">
        <v>1710</v>
      </c>
      <c r="J667" s="52"/>
      <c r="K667" s="45"/>
      <c r="L667" s="19"/>
      <c r="M667" s="45"/>
      <c r="N667" s="48"/>
      <c r="O667" s="49">
        <f t="shared" ref="O667:O672" si="368">SUM(I667)</f>
        <v>1710</v>
      </c>
      <c r="P667" s="53"/>
      <c r="Q667" s="53"/>
      <c r="R667" s="76">
        <f t="shared" si="359"/>
        <v>1043.05446927374</v>
      </c>
      <c r="S667" s="76"/>
      <c r="T667" s="77">
        <f t="shared" si="360"/>
        <v>2.09828910614525</v>
      </c>
      <c r="U667" s="77">
        <v>60</v>
      </c>
      <c r="V667" s="76"/>
      <c r="W667" s="78">
        <f t="shared" si="356"/>
        <v>1105.15275837989</v>
      </c>
      <c r="X667" s="79">
        <f t="shared" si="361"/>
        <v>21.9332053072626</v>
      </c>
      <c r="Y667" s="79"/>
      <c r="Z667" s="79"/>
      <c r="AA667" s="79">
        <f t="shared" si="358"/>
        <v>21.9332053072626</v>
      </c>
      <c r="AB667" s="90">
        <v>7.15</v>
      </c>
      <c r="AC667" s="76">
        <f t="shared" si="357"/>
        <v>156.822417946927</v>
      </c>
      <c r="AD667" s="76">
        <f t="shared" si="355"/>
        <v>1261.97517632682</v>
      </c>
      <c r="AE667" s="76">
        <f t="shared" si="354"/>
        <v>448.024823673184</v>
      </c>
    </row>
    <row r="668" customFormat="1" spans="1:31">
      <c r="A668" s="18"/>
      <c r="B668" s="19"/>
      <c r="C668" s="20">
        <v>240821000019</v>
      </c>
      <c r="D668" s="21">
        <v>45531</v>
      </c>
      <c r="E668" s="21" t="s">
        <v>57</v>
      </c>
      <c r="F668" s="19" t="s">
        <v>57</v>
      </c>
      <c r="G668" s="19" t="s">
        <v>448</v>
      </c>
      <c r="H668" s="19">
        <v>3.5</v>
      </c>
      <c r="I668" s="49"/>
      <c r="J668" s="44">
        <v>56464</v>
      </c>
      <c r="K668" s="45"/>
      <c r="L668" s="46">
        <f t="shared" si="366"/>
        <v>1732.0245398773</v>
      </c>
      <c r="M668" s="47">
        <v>32.6</v>
      </c>
      <c r="N668" s="48">
        <v>7.15</v>
      </c>
      <c r="O668" s="49">
        <f t="shared" si="367"/>
        <v>233.09</v>
      </c>
      <c r="P668" s="53"/>
      <c r="Q668" s="53"/>
      <c r="R668" s="76">
        <f t="shared" si="359"/>
        <v>143.164338919926</v>
      </c>
      <c r="S668" s="76"/>
      <c r="T668" s="77">
        <f t="shared" si="360"/>
        <v>0.288000465549348</v>
      </c>
      <c r="U668" s="76"/>
      <c r="V668" s="76"/>
      <c r="W668" s="78">
        <f t="shared" si="356"/>
        <v>143.452339385475</v>
      </c>
      <c r="X668" s="79">
        <f t="shared" si="361"/>
        <v>3.01043994413408</v>
      </c>
      <c r="Y668" s="79"/>
      <c r="Z668" s="79"/>
      <c r="AA668" s="79">
        <f t="shared" si="358"/>
        <v>3.01043994413408</v>
      </c>
      <c r="AB668" s="90">
        <v>7.15</v>
      </c>
      <c r="AC668" s="76">
        <f t="shared" si="357"/>
        <v>21.5246456005587</v>
      </c>
      <c r="AD668" s="76">
        <f t="shared" si="355"/>
        <v>164.976984986034</v>
      </c>
      <c r="AE668" s="76">
        <f t="shared" si="354"/>
        <v>68.1130150139665</v>
      </c>
    </row>
    <row r="669" customFormat="1" spans="1:31">
      <c r="A669" s="18"/>
      <c r="B669" s="19"/>
      <c r="C669" s="20">
        <v>240821000021</v>
      </c>
      <c r="D669" s="21">
        <v>45531</v>
      </c>
      <c r="E669" s="21" t="s">
        <v>37</v>
      </c>
      <c r="F669" s="19" t="s">
        <v>38</v>
      </c>
      <c r="G669" s="19" t="s">
        <v>71</v>
      </c>
      <c r="H669" s="19">
        <v>8</v>
      </c>
      <c r="I669" s="49"/>
      <c r="J669" s="44">
        <v>105124</v>
      </c>
      <c r="K669" s="45"/>
      <c r="L669" s="46">
        <f t="shared" si="366"/>
        <v>1640</v>
      </c>
      <c r="M669" s="47">
        <v>64.1</v>
      </c>
      <c r="N669" s="48">
        <v>7.15</v>
      </c>
      <c r="O669" s="49">
        <f t="shared" si="367"/>
        <v>458.315</v>
      </c>
      <c r="P669" s="53"/>
      <c r="Q669" s="53"/>
      <c r="R669" s="76">
        <f t="shared" si="359"/>
        <v>327.232774674115</v>
      </c>
      <c r="S669" s="76"/>
      <c r="T669" s="77">
        <f t="shared" si="360"/>
        <v>0.65828677839851</v>
      </c>
      <c r="U669" s="76"/>
      <c r="V669" s="76"/>
      <c r="W669" s="78">
        <f t="shared" si="356"/>
        <v>327.891061452514</v>
      </c>
      <c r="X669" s="79">
        <f t="shared" si="361"/>
        <v>6.88100558659218</v>
      </c>
      <c r="Y669" s="79"/>
      <c r="Z669" s="79"/>
      <c r="AA669" s="79">
        <f t="shared" si="358"/>
        <v>6.88100558659218</v>
      </c>
      <c r="AB669" s="90">
        <v>7.15</v>
      </c>
      <c r="AC669" s="76">
        <f t="shared" si="357"/>
        <v>49.1991899441341</v>
      </c>
      <c r="AD669" s="76">
        <f t="shared" si="355"/>
        <v>377.090251396648</v>
      </c>
      <c r="AE669" s="76">
        <f t="shared" si="354"/>
        <v>81.224748603352</v>
      </c>
    </row>
    <row r="670" customFormat="1" spans="1:31">
      <c r="A670" s="18"/>
      <c r="B670" s="19"/>
      <c r="C670" s="20">
        <v>240821000031</v>
      </c>
      <c r="D670" s="21">
        <v>45531</v>
      </c>
      <c r="E670" s="21" t="s">
        <v>127</v>
      </c>
      <c r="F670" s="19" t="s">
        <v>194</v>
      </c>
      <c r="G670" s="19" t="s">
        <v>207</v>
      </c>
      <c r="H670" s="19">
        <v>0.24</v>
      </c>
      <c r="I670" s="49"/>
      <c r="J670" s="44">
        <v>15744</v>
      </c>
      <c r="K670" s="45"/>
      <c r="L670" s="46">
        <f t="shared" si="366"/>
        <v>1640</v>
      </c>
      <c r="M670" s="47">
        <v>9.6</v>
      </c>
      <c r="N670" s="48">
        <v>7.15</v>
      </c>
      <c r="O670" s="49">
        <f t="shared" si="367"/>
        <v>68.64</v>
      </c>
      <c r="P670" s="53"/>
      <c r="Q670" s="53"/>
      <c r="R670" s="76">
        <f t="shared" si="359"/>
        <v>9.81698324022346</v>
      </c>
      <c r="S670" s="76"/>
      <c r="T670" s="77">
        <f t="shared" si="360"/>
        <v>0.0197486033519553</v>
      </c>
      <c r="U670" s="76"/>
      <c r="V670" s="76"/>
      <c r="W670" s="78">
        <f t="shared" si="356"/>
        <v>9.83673184357542</v>
      </c>
      <c r="X670" s="79">
        <f t="shared" si="361"/>
        <v>0.206430167597765</v>
      </c>
      <c r="Y670" s="79"/>
      <c r="Z670" s="79"/>
      <c r="AA670" s="79">
        <f t="shared" si="358"/>
        <v>0.206430167597765</v>
      </c>
      <c r="AB670" s="90">
        <v>7.15</v>
      </c>
      <c r="AC670" s="76">
        <f t="shared" si="357"/>
        <v>1.47597569832402</v>
      </c>
      <c r="AD670" s="76">
        <f t="shared" si="355"/>
        <v>11.3127075418994</v>
      </c>
      <c r="AE670" s="76">
        <f t="shared" si="354"/>
        <v>57.3272924581006</v>
      </c>
    </row>
    <row r="671" customFormat="1" spans="1:31">
      <c r="A671" s="18"/>
      <c r="B671" s="19"/>
      <c r="C671" s="20">
        <v>240821000032</v>
      </c>
      <c r="D671" s="21">
        <v>45531</v>
      </c>
      <c r="E671" s="21" t="s">
        <v>51</v>
      </c>
      <c r="F671" s="19" t="s">
        <v>52</v>
      </c>
      <c r="G671" s="19" t="s">
        <v>122</v>
      </c>
      <c r="H671" s="19">
        <v>6</v>
      </c>
      <c r="I671" s="51">
        <v>348</v>
      </c>
      <c r="J671" s="52"/>
      <c r="K671" s="45"/>
      <c r="L671" s="19"/>
      <c r="M671" s="45"/>
      <c r="N671" s="48"/>
      <c r="O671" s="49">
        <f t="shared" si="368"/>
        <v>348</v>
      </c>
      <c r="P671" s="53"/>
      <c r="Q671" s="53"/>
      <c r="R671" s="76">
        <f t="shared" si="359"/>
        <v>245.424581005587</v>
      </c>
      <c r="S671" s="76"/>
      <c r="T671" s="77">
        <f t="shared" si="360"/>
        <v>0.493715083798883</v>
      </c>
      <c r="U671" s="76"/>
      <c r="V671" s="76"/>
      <c r="W671" s="78">
        <f t="shared" si="356"/>
        <v>245.918296089385</v>
      </c>
      <c r="X671" s="79">
        <f t="shared" si="361"/>
        <v>5.16075418994413</v>
      </c>
      <c r="Y671" s="79"/>
      <c r="Z671" s="79"/>
      <c r="AA671" s="79">
        <f t="shared" si="358"/>
        <v>5.16075418994413</v>
      </c>
      <c r="AB671" s="90">
        <v>7.15</v>
      </c>
      <c r="AC671" s="76">
        <f t="shared" si="357"/>
        <v>36.8993924581006</v>
      </c>
      <c r="AD671" s="76">
        <f t="shared" si="355"/>
        <v>282.817688547486</v>
      </c>
      <c r="AE671" s="76">
        <f t="shared" si="354"/>
        <v>65.182311452514</v>
      </c>
    </row>
    <row r="672" customFormat="1" spans="1:31">
      <c r="A672" s="18"/>
      <c r="B672" s="19"/>
      <c r="C672" s="20">
        <v>240821000035</v>
      </c>
      <c r="D672" s="21">
        <v>45531</v>
      </c>
      <c r="E672" s="21" t="s">
        <v>51</v>
      </c>
      <c r="F672" s="19" t="s">
        <v>52</v>
      </c>
      <c r="G672" s="19" t="s">
        <v>449</v>
      </c>
      <c r="H672" s="19">
        <v>82</v>
      </c>
      <c r="I672" s="51">
        <v>4920</v>
      </c>
      <c r="J672" s="52"/>
      <c r="K672" s="45"/>
      <c r="L672" s="19"/>
      <c r="M672" s="45"/>
      <c r="N672" s="48"/>
      <c r="O672" s="49">
        <f t="shared" si="368"/>
        <v>4920</v>
      </c>
      <c r="P672" s="53"/>
      <c r="Q672" s="53"/>
      <c r="R672" s="76">
        <f t="shared" si="359"/>
        <v>3354.13594040968</v>
      </c>
      <c r="S672" s="76"/>
      <c r="T672" s="77">
        <f t="shared" si="360"/>
        <v>6.74743947858473</v>
      </c>
      <c r="U672" s="76"/>
      <c r="V672" s="76"/>
      <c r="W672" s="78">
        <f t="shared" si="356"/>
        <v>3360.88337988827</v>
      </c>
      <c r="X672" s="79">
        <f t="shared" si="361"/>
        <v>70.5303072625698</v>
      </c>
      <c r="Y672" s="79"/>
      <c r="Z672" s="79"/>
      <c r="AA672" s="79">
        <f t="shared" si="358"/>
        <v>70.5303072625698</v>
      </c>
      <c r="AB672" s="90">
        <v>7.15</v>
      </c>
      <c r="AC672" s="76">
        <f t="shared" si="357"/>
        <v>504.291696927374</v>
      </c>
      <c r="AD672" s="76">
        <f t="shared" si="355"/>
        <v>3865.17507681564</v>
      </c>
      <c r="AE672" s="76">
        <f t="shared" ref="AE672:AE691" si="369">SUM(O672-AD672)</f>
        <v>1054.82492318436</v>
      </c>
    </row>
    <row r="673" customFormat="1" spans="1:31">
      <c r="A673" s="18"/>
      <c r="B673" s="19"/>
      <c r="C673" s="20">
        <v>240821000042</v>
      </c>
      <c r="D673" s="21">
        <v>45531</v>
      </c>
      <c r="E673" s="21" t="s">
        <v>44</v>
      </c>
      <c r="F673" s="19" t="s">
        <v>45</v>
      </c>
      <c r="G673" s="19" t="s">
        <v>236</v>
      </c>
      <c r="H673" s="19">
        <v>12</v>
      </c>
      <c r="I673" s="49"/>
      <c r="J673" s="44">
        <v>156948</v>
      </c>
      <c r="K673" s="45"/>
      <c r="L673" s="46">
        <f t="shared" ref="L673:L677" si="370">SUM(J673/M673)</f>
        <v>1640</v>
      </c>
      <c r="M673" s="47">
        <v>95.7</v>
      </c>
      <c r="N673" s="48">
        <v>7.15</v>
      </c>
      <c r="O673" s="49">
        <f t="shared" ref="O673:O677" si="371">SUM(M673*N673)</f>
        <v>684.255</v>
      </c>
      <c r="P673" s="53"/>
      <c r="Q673" s="53"/>
      <c r="R673" s="76">
        <f t="shared" si="359"/>
        <v>490.849162011173</v>
      </c>
      <c r="S673" s="76"/>
      <c r="T673" s="77">
        <f t="shared" si="360"/>
        <v>0.987430167597765</v>
      </c>
      <c r="U673" s="76"/>
      <c r="V673" s="76"/>
      <c r="W673" s="78">
        <f t="shared" si="356"/>
        <v>491.836592178771</v>
      </c>
      <c r="X673" s="79">
        <f t="shared" si="361"/>
        <v>10.3215083798883</v>
      </c>
      <c r="Y673" s="79"/>
      <c r="Z673" s="79"/>
      <c r="AA673" s="79">
        <f t="shared" si="358"/>
        <v>10.3215083798883</v>
      </c>
      <c r="AB673" s="90">
        <v>7.15</v>
      </c>
      <c r="AC673" s="76">
        <f t="shared" si="357"/>
        <v>73.7987849162011</v>
      </c>
      <c r="AD673" s="76">
        <f t="shared" ref="AD673:AD691" si="372">SUM(W673+AC673)</f>
        <v>565.635377094972</v>
      </c>
      <c r="AE673" s="76">
        <f t="shared" si="369"/>
        <v>118.619622905028</v>
      </c>
    </row>
    <row r="674" customFormat="1" spans="1:31">
      <c r="A674" s="18"/>
      <c r="B674" s="19"/>
      <c r="C674" s="20">
        <v>240822000009</v>
      </c>
      <c r="D674" s="21">
        <v>45531</v>
      </c>
      <c r="E674" s="21" t="s">
        <v>51</v>
      </c>
      <c r="F674" s="19" t="s">
        <v>52</v>
      </c>
      <c r="G674" s="19" t="s">
        <v>122</v>
      </c>
      <c r="H674" s="19">
        <v>2</v>
      </c>
      <c r="I674" s="51">
        <v>123</v>
      </c>
      <c r="J674" s="52"/>
      <c r="K674" s="45"/>
      <c r="L674" s="19"/>
      <c r="M674" s="45"/>
      <c r="N674" s="48"/>
      <c r="O674" s="49">
        <f t="shared" ref="O674:O680" si="373">SUM(I674)</f>
        <v>123</v>
      </c>
      <c r="P674" s="53"/>
      <c r="Q674" s="53"/>
      <c r="R674" s="76">
        <f t="shared" si="359"/>
        <v>81.8081936685289</v>
      </c>
      <c r="S674" s="76"/>
      <c r="T674" s="77">
        <f t="shared" si="360"/>
        <v>0.164571694599628</v>
      </c>
      <c r="U674" s="76"/>
      <c r="V674" s="76"/>
      <c r="W674" s="78">
        <f t="shared" ref="W674:W691" si="374">SUM(R674:V674)</f>
        <v>81.9727653631285</v>
      </c>
      <c r="X674" s="79">
        <f t="shared" si="361"/>
        <v>1.72025139664804</v>
      </c>
      <c r="Y674" s="79"/>
      <c r="Z674" s="79"/>
      <c r="AA674" s="79">
        <f t="shared" si="358"/>
        <v>1.72025139664804</v>
      </c>
      <c r="AB674" s="90">
        <v>7.15</v>
      </c>
      <c r="AC674" s="76">
        <f t="shared" si="357"/>
        <v>12.2997974860335</v>
      </c>
      <c r="AD674" s="76">
        <f t="shared" si="372"/>
        <v>94.272562849162</v>
      </c>
      <c r="AE674" s="76">
        <f t="shared" si="369"/>
        <v>28.727437150838</v>
      </c>
    </row>
    <row r="675" customFormat="1" spans="1:31">
      <c r="A675" s="18"/>
      <c r="B675" s="19"/>
      <c r="C675" s="20">
        <v>240822000010</v>
      </c>
      <c r="D675" s="21">
        <v>45531</v>
      </c>
      <c r="E675" s="21" t="s">
        <v>51</v>
      </c>
      <c r="F675" s="19" t="s">
        <v>52</v>
      </c>
      <c r="G675" s="19" t="s">
        <v>450</v>
      </c>
      <c r="H675" s="19">
        <v>399</v>
      </c>
      <c r="I675" s="51">
        <v>20349</v>
      </c>
      <c r="J675" s="52"/>
      <c r="K675" s="45"/>
      <c r="L675" s="19"/>
      <c r="M675" s="45"/>
      <c r="N675" s="48"/>
      <c r="O675" s="49">
        <f t="shared" si="373"/>
        <v>20349</v>
      </c>
      <c r="P675" s="53"/>
      <c r="Q675" s="53"/>
      <c r="R675" s="76">
        <f t="shared" si="359"/>
        <v>16320.7346368715</v>
      </c>
      <c r="S675" s="76"/>
      <c r="T675" s="77">
        <f t="shared" si="360"/>
        <v>32.8320530726257</v>
      </c>
      <c r="U675" s="76"/>
      <c r="V675" s="76"/>
      <c r="W675" s="78">
        <f t="shared" si="374"/>
        <v>16353.5666899441</v>
      </c>
      <c r="X675" s="79">
        <f t="shared" si="361"/>
        <v>343.190153631285</v>
      </c>
      <c r="Y675" s="79"/>
      <c r="Z675" s="79"/>
      <c r="AA675" s="79">
        <f t="shared" si="358"/>
        <v>343.190153631285</v>
      </c>
      <c r="AB675" s="90">
        <v>7.15</v>
      </c>
      <c r="AC675" s="76">
        <f t="shared" ref="AC675:AC691" si="375">SUM(AA675*AB675)</f>
        <v>2453.80959846369</v>
      </c>
      <c r="AD675" s="76">
        <f t="shared" si="372"/>
        <v>18807.3762884078</v>
      </c>
      <c r="AE675" s="76">
        <f t="shared" si="369"/>
        <v>1541.62371159218</v>
      </c>
    </row>
    <row r="676" customFormat="1" spans="1:31">
      <c r="A676" s="18"/>
      <c r="B676" s="19"/>
      <c r="C676" s="20">
        <v>240822000012</v>
      </c>
      <c r="D676" s="21">
        <v>45531</v>
      </c>
      <c r="E676" s="21" t="s">
        <v>51</v>
      </c>
      <c r="F676" s="19" t="s">
        <v>52</v>
      </c>
      <c r="G676" s="19" t="s">
        <v>451</v>
      </c>
      <c r="H676" s="19">
        <v>38.5</v>
      </c>
      <c r="I676" s="49"/>
      <c r="J676" s="44">
        <v>526194</v>
      </c>
      <c r="K676" s="45"/>
      <c r="L676" s="46">
        <f t="shared" si="370"/>
        <v>1640</v>
      </c>
      <c r="M676" s="47">
        <v>320.85</v>
      </c>
      <c r="N676" s="48">
        <v>7.15</v>
      </c>
      <c r="O676" s="49">
        <f t="shared" si="371"/>
        <v>2294.0775</v>
      </c>
      <c r="P676" s="53"/>
      <c r="Q676" s="53"/>
      <c r="R676" s="76">
        <f t="shared" si="359"/>
        <v>1574.80772811918</v>
      </c>
      <c r="S676" s="76"/>
      <c r="T676" s="77">
        <f t="shared" si="360"/>
        <v>3.16800512104283</v>
      </c>
      <c r="U676" s="76"/>
      <c r="V676" s="76"/>
      <c r="W676" s="78">
        <f t="shared" si="374"/>
        <v>1577.97573324022</v>
      </c>
      <c r="X676" s="79">
        <f t="shared" si="361"/>
        <v>33.1148393854749</v>
      </c>
      <c r="Y676" s="79"/>
      <c r="Z676" s="79"/>
      <c r="AA676" s="79">
        <f t="shared" si="358"/>
        <v>33.1148393854749</v>
      </c>
      <c r="AB676" s="90">
        <v>7.15</v>
      </c>
      <c r="AC676" s="76">
        <f t="shared" si="375"/>
        <v>236.771101606145</v>
      </c>
      <c r="AD676" s="76">
        <f t="shared" si="372"/>
        <v>1814.74683484637</v>
      </c>
      <c r="AE676" s="76">
        <f t="shared" si="369"/>
        <v>479.330665153631</v>
      </c>
    </row>
    <row r="677" customFormat="1" spans="1:31">
      <c r="A677" s="18"/>
      <c r="B677" s="19"/>
      <c r="C677" s="20">
        <v>240822000016</v>
      </c>
      <c r="D677" s="21">
        <v>45531</v>
      </c>
      <c r="E677" s="21" t="s">
        <v>41</v>
      </c>
      <c r="F677" s="19" t="s">
        <v>42</v>
      </c>
      <c r="G677" s="19" t="s">
        <v>452</v>
      </c>
      <c r="H677" s="19">
        <v>10.5</v>
      </c>
      <c r="I677" s="43"/>
      <c r="J677" s="44">
        <v>152190</v>
      </c>
      <c r="K677" s="45"/>
      <c r="L677" s="46">
        <f t="shared" si="370"/>
        <v>1630.31601499732</v>
      </c>
      <c r="M677" s="47">
        <v>93.35</v>
      </c>
      <c r="N677" s="48">
        <v>7.15</v>
      </c>
      <c r="O677" s="49">
        <f t="shared" si="371"/>
        <v>667.4525</v>
      </c>
      <c r="P677" s="53"/>
      <c r="Q677" s="53"/>
      <c r="R677" s="76">
        <f t="shared" si="359"/>
        <v>429.493016759776</v>
      </c>
      <c r="S677" s="76"/>
      <c r="T677" s="77">
        <f t="shared" si="360"/>
        <v>0.864001396648045</v>
      </c>
      <c r="U677" s="76"/>
      <c r="V677" s="76"/>
      <c r="W677" s="78">
        <f t="shared" si="374"/>
        <v>430.357018156425</v>
      </c>
      <c r="X677" s="79">
        <f t="shared" si="361"/>
        <v>9.03131983240223</v>
      </c>
      <c r="Y677" s="79"/>
      <c r="Z677" s="79"/>
      <c r="AA677" s="79">
        <f t="shared" si="358"/>
        <v>9.03131983240223</v>
      </c>
      <c r="AB677" s="90">
        <v>7.15</v>
      </c>
      <c r="AC677" s="76">
        <f t="shared" si="375"/>
        <v>64.573936801676</v>
      </c>
      <c r="AD677" s="76">
        <f t="shared" si="372"/>
        <v>494.930954958101</v>
      </c>
      <c r="AE677" s="76">
        <f t="shared" si="369"/>
        <v>172.521545041899</v>
      </c>
    </row>
    <row r="678" customFormat="1" spans="1:31">
      <c r="A678" s="18"/>
      <c r="B678" s="19"/>
      <c r="C678" s="20">
        <v>240822000023</v>
      </c>
      <c r="D678" s="21">
        <v>45531</v>
      </c>
      <c r="E678" s="21" t="s">
        <v>57</v>
      </c>
      <c r="F678" s="19" t="s">
        <v>57</v>
      </c>
      <c r="G678" s="19" t="s">
        <v>181</v>
      </c>
      <c r="H678" s="19">
        <v>261</v>
      </c>
      <c r="I678" s="43">
        <v>14433</v>
      </c>
      <c r="J678" s="52"/>
      <c r="K678" s="45"/>
      <c r="L678" s="19"/>
      <c r="M678" s="45"/>
      <c r="N678" s="48"/>
      <c r="O678" s="49">
        <f t="shared" si="373"/>
        <v>14433</v>
      </c>
      <c r="P678" s="53"/>
      <c r="Q678" s="53"/>
      <c r="R678" s="76">
        <f t="shared" si="359"/>
        <v>10675.969273743</v>
      </c>
      <c r="S678" s="76"/>
      <c r="T678" s="77">
        <f t="shared" si="360"/>
        <v>21.4766061452514</v>
      </c>
      <c r="U678" s="76">
        <v>70</v>
      </c>
      <c r="V678" s="76"/>
      <c r="W678" s="78">
        <f t="shared" si="374"/>
        <v>10767.4458798883</v>
      </c>
      <c r="X678" s="79">
        <f t="shared" si="361"/>
        <v>224.49280726257</v>
      </c>
      <c r="Y678" s="79"/>
      <c r="Z678" s="79"/>
      <c r="AA678" s="79">
        <f t="shared" si="358"/>
        <v>224.49280726257</v>
      </c>
      <c r="AB678" s="90">
        <v>7.15</v>
      </c>
      <c r="AC678" s="76">
        <f t="shared" si="375"/>
        <v>1605.12357192737</v>
      </c>
      <c r="AD678" s="76">
        <f t="shared" si="372"/>
        <v>12372.5694518156</v>
      </c>
      <c r="AE678" s="76">
        <f t="shared" si="369"/>
        <v>2060.43054818436</v>
      </c>
    </row>
    <row r="679" customFormat="1" spans="1:31">
      <c r="A679" s="18"/>
      <c r="B679" s="19"/>
      <c r="C679" s="20">
        <v>240823000007</v>
      </c>
      <c r="D679" s="21">
        <v>45531</v>
      </c>
      <c r="E679" s="21" t="s">
        <v>41</v>
      </c>
      <c r="F679" s="19" t="s">
        <v>42</v>
      </c>
      <c r="G679" s="19" t="s">
        <v>453</v>
      </c>
      <c r="H679" s="19">
        <v>46</v>
      </c>
      <c r="I679" s="51">
        <v>2300</v>
      </c>
      <c r="J679" s="52"/>
      <c r="K679" s="45"/>
      <c r="L679" s="19"/>
      <c r="M679" s="45"/>
      <c r="N679" s="48"/>
      <c r="O679" s="49">
        <f t="shared" si="373"/>
        <v>2300</v>
      </c>
      <c r="P679" s="53"/>
      <c r="Q679" s="53"/>
      <c r="R679" s="76">
        <f t="shared" si="359"/>
        <v>1881.58845437616</v>
      </c>
      <c r="S679" s="76"/>
      <c r="T679" s="77">
        <f t="shared" si="360"/>
        <v>3.78514897579143</v>
      </c>
      <c r="U679" s="76"/>
      <c r="V679" s="76"/>
      <c r="W679" s="78">
        <f t="shared" si="374"/>
        <v>1885.37360335196</v>
      </c>
      <c r="X679" s="79">
        <f t="shared" si="361"/>
        <v>39.565782122905</v>
      </c>
      <c r="Y679" s="79"/>
      <c r="Z679" s="79"/>
      <c r="AA679" s="79">
        <f t="shared" si="358"/>
        <v>39.565782122905</v>
      </c>
      <c r="AB679" s="90">
        <v>7.15</v>
      </c>
      <c r="AC679" s="76">
        <f t="shared" si="375"/>
        <v>282.895342178771</v>
      </c>
      <c r="AD679" s="76">
        <f t="shared" si="372"/>
        <v>2168.26894553073</v>
      </c>
      <c r="AE679" s="76">
        <f t="shared" si="369"/>
        <v>131.731054469274</v>
      </c>
    </row>
    <row r="680" customFormat="1" spans="1:31">
      <c r="A680" s="18"/>
      <c r="B680" s="19"/>
      <c r="C680" s="20">
        <v>240823000008</v>
      </c>
      <c r="D680" s="21">
        <v>45531</v>
      </c>
      <c r="E680" s="21" t="s">
        <v>37</v>
      </c>
      <c r="F680" s="19" t="s">
        <v>38</v>
      </c>
      <c r="G680" s="19" t="s">
        <v>454</v>
      </c>
      <c r="H680" s="19">
        <v>6</v>
      </c>
      <c r="I680" s="51">
        <v>384</v>
      </c>
      <c r="J680" s="52"/>
      <c r="K680" s="45"/>
      <c r="L680" s="19"/>
      <c r="M680" s="45"/>
      <c r="N680" s="48"/>
      <c r="O680" s="49">
        <f t="shared" si="373"/>
        <v>384</v>
      </c>
      <c r="P680" s="53"/>
      <c r="Q680" s="53"/>
      <c r="R680" s="76">
        <f t="shared" si="359"/>
        <v>245.424581005587</v>
      </c>
      <c r="S680" s="76"/>
      <c r="T680" s="77">
        <f t="shared" si="360"/>
        <v>0.493715083798883</v>
      </c>
      <c r="U680" s="76"/>
      <c r="V680" s="76"/>
      <c r="W680" s="78">
        <f t="shared" si="374"/>
        <v>245.918296089385</v>
      </c>
      <c r="X680" s="79">
        <f t="shared" si="361"/>
        <v>5.16075418994413</v>
      </c>
      <c r="Y680" s="79"/>
      <c r="Z680" s="79"/>
      <c r="AA680" s="79">
        <f t="shared" si="358"/>
        <v>5.16075418994413</v>
      </c>
      <c r="AB680" s="90">
        <v>7.15</v>
      </c>
      <c r="AC680" s="76">
        <f t="shared" si="375"/>
        <v>36.8993924581006</v>
      </c>
      <c r="AD680" s="76">
        <f t="shared" si="372"/>
        <v>282.817688547486</v>
      </c>
      <c r="AE680" s="76">
        <f t="shared" si="369"/>
        <v>101.182311452514</v>
      </c>
    </row>
    <row r="681" customFormat="1" spans="1:31">
      <c r="A681" s="18"/>
      <c r="B681" s="19"/>
      <c r="C681" s="20">
        <v>240823000012</v>
      </c>
      <c r="D681" s="21">
        <v>45531</v>
      </c>
      <c r="E681" s="21" t="s">
        <v>37</v>
      </c>
      <c r="F681" s="19" t="s">
        <v>38</v>
      </c>
      <c r="G681" s="19" t="s">
        <v>207</v>
      </c>
      <c r="H681" s="19">
        <v>49</v>
      </c>
      <c r="I681" s="49"/>
      <c r="J681" s="44">
        <v>577230.8</v>
      </c>
      <c r="K681" s="45"/>
      <c r="L681" s="46">
        <f t="shared" ref="L681:L684" si="376">SUM(J681/M681)</f>
        <v>1640</v>
      </c>
      <c r="M681" s="47">
        <v>351.97</v>
      </c>
      <c r="N681" s="48">
        <v>7.15</v>
      </c>
      <c r="O681" s="49">
        <f t="shared" ref="O681:O684" si="377">SUM(M681*N681)</f>
        <v>2516.5855</v>
      </c>
      <c r="P681" s="53"/>
      <c r="Q681" s="53"/>
      <c r="R681" s="76">
        <f t="shared" si="359"/>
        <v>2004.30074487896</v>
      </c>
      <c r="S681" s="76"/>
      <c r="T681" s="77">
        <f t="shared" si="360"/>
        <v>4.03200651769088</v>
      </c>
      <c r="U681" s="76"/>
      <c r="V681" s="76"/>
      <c r="W681" s="78">
        <f t="shared" si="374"/>
        <v>2008.33275139665</v>
      </c>
      <c r="X681" s="79">
        <f t="shared" si="361"/>
        <v>42.1461592178771</v>
      </c>
      <c r="Y681" s="79"/>
      <c r="Z681" s="79"/>
      <c r="AA681" s="79">
        <f t="shared" si="358"/>
        <v>42.1461592178771</v>
      </c>
      <c r="AB681" s="90">
        <v>7.15</v>
      </c>
      <c r="AC681" s="76">
        <f t="shared" si="375"/>
        <v>301.345038407821</v>
      </c>
      <c r="AD681" s="76">
        <f t="shared" si="372"/>
        <v>2309.67778980447</v>
      </c>
      <c r="AE681" s="76">
        <f t="shared" si="369"/>
        <v>206.907710195531</v>
      </c>
    </row>
    <row r="682" customFormat="1" spans="1:31">
      <c r="A682" s="18"/>
      <c r="B682" s="19"/>
      <c r="C682" s="20">
        <v>240823000013</v>
      </c>
      <c r="D682" s="21">
        <v>45531</v>
      </c>
      <c r="E682" s="21" t="s">
        <v>37</v>
      </c>
      <c r="F682" s="19" t="s">
        <v>38</v>
      </c>
      <c r="G682" s="19" t="s">
        <v>364</v>
      </c>
      <c r="H682" s="19">
        <v>34.5</v>
      </c>
      <c r="I682" s="51">
        <v>1759.5</v>
      </c>
      <c r="J682" s="52"/>
      <c r="K682" s="45"/>
      <c r="L682" s="19"/>
      <c r="M682" s="45"/>
      <c r="N682" s="48"/>
      <c r="O682" s="49">
        <f t="shared" ref="O682:O699" si="378">SUM(I682)</f>
        <v>1759.5</v>
      </c>
      <c r="P682" s="53"/>
      <c r="Q682" s="53"/>
      <c r="R682" s="76">
        <f t="shared" si="359"/>
        <v>1411.19134078212</v>
      </c>
      <c r="S682" s="76"/>
      <c r="T682" s="77">
        <f t="shared" si="360"/>
        <v>2.83886173184358</v>
      </c>
      <c r="U682" s="76"/>
      <c r="V682" s="76"/>
      <c r="W682" s="78">
        <f t="shared" si="374"/>
        <v>1414.03020251397</v>
      </c>
      <c r="X682" s="79">
        <f t="shared" si="361"/>
        <v>29.6743365921788</v>
      </c>
      <c r="Y682" s="79"/>
      <c r="Z682" s="79"/>
      <c r="AA682" s="79">
        <f t="shared" si="358"/>
        <v>29.6743365921788</v>
      </c>
      <c r="AB682" s="90">
        <v>7.15</v>
      </c>
      <c r="AC682" s="76">
        <f t="shared" si="375"/>
        <v>212.171506634078</v>
      </c>
      <c r="AD682" s="76">
        <f t="shared" si="372"/>
        <v>1626.20170914804</v>
      </c>
      <c r="AE682" s="76">
        <f t="shared" si="369"/>
        <v>133.298290851955</v>
      </c>
    </row>
    <row r="683" customFormat="1" spans="1:31">
      <c r="A683" s="18"/>
      <c r="B683" s="19"/>
      <c r="C683" s="20">
        <v>240823000016</v>
      </c>
      <c r="D683" s="21">
        <v>45531</v>
      </c>
      <c r="E683" s="21" t="s">
        <v>37</v>
      </c>
      <c r="F683" s="19" t="s">
        <v>38</v>
      </c>
      <c r="G683" s="19" t="s">
        <v>50</v>
      </c>
      <c r="H683" s="19">
        <v>12.5</v>
      </c>
      <c r="I683" s="56"/>
      <c r="J683" s="44">
        <v>156187.5</v>
      </c>
      <c r="K683" s="45"/>
      <c r="L683" s="46">
        <f t="shared" si="376"/>
        <v>1751.766487214</v>
      </c>
      <c r="M683" s="47">
        <v>89.16</v>
      </c>
      <c r="N683" s="48">
        <v>7.15</v>
      </c>
      <c r="O683" s="49">
        <f t="shared" si="377"/>
        <v>637.494</v>
      </c>
      <c r="P683" s="53"/>
      <c r="Q683" s="53"/>
      <c r="R683" s="76">
        <f t="shared" si="359"/>
        <v>511.301210428305</v>
      </c>
      <c r="S683" s="76"/>
      <c r="T683" s="77">
        <f t="shared" si="360"/>
        <v>1.02857309124767</v>
      </c>
      <c r="U683" s="76"/>
      <c r="V683" s="77">
        <v>35</v>
      </c>
      <c r="W683" s="78">
        <f t="shared" si="374"/>
        <v>547.329783519553</v>
      </c>
      <c r="X683" s="79">
        <f t="shared" si="361"/>
        <v>10.7515712290503</v>
      </c>
      <c r="Y683" s="79"/>
      <c r="Z683" s="79"/>
      <c r="AA683" s="79">
        <f t="shared" si="358"/>
        <v>10.7515712290503</v>
      </c>
      <c r="AB683" s="90">
        <v>7.15</v>
      </c>
      <c r="AC683" s="76">
        <f t="shared" si="375"/>
        <v>76.8737342877095</v>
      </c>
      <c r="AD683" s="76">
        <f t="shared" si="372"/>
        <v>624.203517807263</v>
      </c>
      <c r="AE683" s="76">
        <f t="shared" si="369"/>
        <v>13.2904821927375</v>
      </c>
    </row>
    <row r="684" customFormat="1" spans="1:31">
      <c r="A684" s="18"/>
      <c r="B684" s="19"/>
      <c r="C684" s="20">
        <v>240823000017</v>
      </c>
      <c r="D684" s="21">
        <v>45531</v>
      </c>
      <c r="E684" s="21" t="s">
        <v>37</v>
      </c>
      <c r="F684" s="19" t="s">
        <v>38</v>
      </c>
      <c r="G684" s="19" t="s">
        <v>50</v>
      </c>
      <c r="H684" s="19">
        <v>59</v>
      </c>
      <c r="I684" s="56"/>
      <c r="J684" s="44">
        <v>774690</v>
      </c>
      <c r="K684" s="45"/>
      <c r="L684" s="46">
        <f t="shared" si="376"/>
        <v>1751.78074757479</v>
      </c>
      <c r="M684" s="47">
        <v>442.23</v>
      </c>
      <c r="N684" s="48">
        <v>7.15</v>
      </c>
      <c r="O684" s="49">
        <f t="shared" si="377"/>
        <v>3161.9445</v>
      </c>
      <c r="P684" s="53"/>
      <c r="Q684" s="53"/>
      <c r="R684" s="76">
        <f t="shared" si="359"/>
        <v>2413.3417132216</v>
      </c>
      <c r="S684" s="76"/>
      <c r="T684" s="77">
        <f t="shared" si="360"/>
        <v>4.85486499068901</v>
      </c>
      <c r="U684" s="77">
        <f>SUM(60+70)</f>
        <v>130</v>
      </c>
      <c r="V684" s="76"/>
      <c r="W684" s="78">
        <f t="shared" si="374"/>
        <v>2548.19657821229</v>
      </c>
      <c r="X684" s="79">
        <f t="shared" si="361"/>
        <v>50.7474162011173</v>
      </c>
      <c r="Y684" s="79"/>
      <c r="Z684" s="79"/>
      <c r="AA684" s="79">
        <f t="shared" si="358"/>
        <v>50.7474162011173</v>
      </c>
      <c r="AB684" s="90">
        <v>7.15</v>
      </c>
      <c r="AC684" s="76">
        <f t="shared" si="375"/>
        <v>362.844025837989</v>
      </c>
      <c r="AD684" s="76">
        <f t="shared" si="372"/>
        <v>2911.04060405028</v>
      </c>
      <c r="AE684" s="76">
        <f t="shared" si="369"/>
        <v>250.903895949721</v>
      </c>
    </row>
    <row r="685" customFormat="1" spans="1:31">
      <c r="A685" s="18"/>
      <c r="B685" s="19"/>
      <c r="C685" s="20">
        <v>240823000018</v>
      </c>
      <c r="D685" s="21">
        <v>45531</v>
      </c>
      <c r="E685" s="21" t="s">
        <v>44</v>
      </c>
      <c r="F685" s="19" t="s">
        <v>45</v>
      </c>
      <c r="G685" s="19" t="s">
        <v>322</v>
      </c>
      <c r="H685" s="19">
        <v>4</v>
      </c>
      <c r="I685" s="51">
        <v>243</v>
      </c>
      <c r="J685" s="52"/>
      <c r="K685" s="45"/>
      <c r="L685" s="19"/>
      <c r="M685" s="45"/>
      <c r="N685" s="48"/>
      <c r="O685" s="49">
        <f t="shared" si="378"/>
        <v>243</v>
      </c>
      <c r="P685" s="53"/>
      <c r="Q685" s="53"/>
      <c r="R685" s="76">
        <f t="shared" si="359"/>
        <v>163.616387337058</v>
      </c>
      <c r="S685" s="76"/>
      <c r="T685" s="77">
        <f t="shared" si="360"/>
        <v>0.329143389199255</v>
      </c>
      <c r="U685" s="76"/>
      <c r="V685" s="76"/>
      <c r="W685" s="78">
        <f t="shared" si="374"/>
        <v>163.945530726257</v>
      </c>
      <c r="X685" s="79">
        <f t="shared" si="361"/>
        <v>3.44050279329609</v>
      </c>
      <c r="Y685" s="79"/>
      <c r="Z685" s="79"/>
      <c r="AA685" s="79">
        <f t="shared" si="358"/>
        <v>3.44050279329609</v>
      </c>
      <c r="AB685" s="90">
        <v>7.15</v>
      </c>
      <c r="AC685" s="76">
        <f t="shared" si="375"/>
        <v>24.599594972067</v>
      </c>
      <c r="AD685" s="76">
        <f t="shared" si="372"/>
        <v>188.545125698324</v>
      </c>
      <c r="AE685" s="76">
        <f t="shared" si="369"/>
        <v>54.454874301676</v>
      </c>
    </row>
    <row r="686" customFormat="1" spans="1:31">
      <c r="A686" s="18"/>
      <c r="B686" s="19"/>
      <c r="C686" s="20">
        <v>240823000027</v>
      </c>
      <c r="D686" s="21">
        <v>45531</v>
      </c>
      <c r="E686" s="21" t="s">
        <v>57</v>
      </c>
      <c r="F686" s="19" t="s">
        <v>57</v>
      </c>
      <c r="G686" s="19" t="s">
        <v>455</v>
      </c>
      <c r="H686" s="19">
        <v>457.5</v>
      </c>
      <c r="I686" s="43"/>
      <c r="J686" s="44">
        <v>5088772</v>
      </c>
      <c r="K686" s="45"/>
      <c r="L686" s="46">
        <f>SUM(J686/M686)</f>
        <v>1623.05226596413</v>
      </c>
      <c r="M686" s="47">
        <v>3135.31</v>
      </c>
      <c r="N686" s="48">
        <v>7.15</v>
      </c>
      <c r="O686" s="49">
        <f>SUM(M686*N686)</f>
        <v>22417.4665</v>
      </c>
      <c r="P686" s="53"/>
      <c r="Q686" s="53"/>
      <c r="R686" s="76">
        <f t="shared" si="359"/>
        <v>18713.624301676</v>
      </c>
      <c r="S686" s="76"/>
      <c r="T686" s="77">
        <f t="shared" si="360"/>
        <v>37.6457751396648</v>
      </c>
      <c r="U686" s="76"/>
      <c r="V686" s="76"/>
      <c r="W686" s="78">
        <f t="shared" si="374"/>
        <v>18751.2700768156</v>
      </c>
      <c r="X686" s="79">
        <f t="shared" si="361"/>
        <v>393.50750698324</v>
      </c>
      <c r="Y686" s="79"/>
      <c r="Z686" s="79"/>
      <c r="AA686" s="79">
        <f t="shared" si="358"/>
        <v>393.50750698324</v>
      </c>
      <c r="AB686" s="90">
        <v>7.15</v>
      </c>
      <c r="AC686" s="76">
        <f t="shared" si="375"/>
        <v>2813.57867493017</v>
      </c>
      <c r="AD686" s="76">
        <f t="shared" si="372"/>
        <v>21564.8487517458</v>
      </c>
      <c r="AE686" s="76">
        <f t="shared" si="369"/>
        <v>852.61774825419</v>
      </c>
    </row>
    <row r="687" customFormat="1" spans="1:31">
      <c r="A687" s="18"/>
      <c r="B687" s="19"/>
      <c r="C687" s="20">
        <v>240823000028</v>
      </c>
      <c r="D687" s="21">
        <v>45531</v>
      </c>
      <c r="E687" s="21" t="s">
        <v>57</v>
      </c>
      <c r="F687" s="19" t="s">
        <v>57</v>
      </c>
      <c r="G687" s="19" t="s">
        <v>456</v>
      </c>
      <c r="H687" s="19">
        <v>8</v>
      </c>
      <c r="I687" s="51">
        <v>462</v>
      </c>
      <c r="J687" s="52"/>
      <c r="K687" s="45"/>
      <c r="L687" s="19"/>
      <c r="M687" s="45"/>
      <c r="N687" s="48"/>
      <c r="O687" s="49">
        <f t="shared" si="378"/>
        <v>462</v>
      </c>
      <c r="P687" s="53"/>
      <c r="Q687" s="53"/>
      <c r="R687" s="76">
        <f t="shared" si="359"/>
        <v>327.232774674115</v>
      </c>
      <c r="S687" s="76"/>
      <c r="T687" s="77">
        <f t="shared" si="360"/>
        <v>0.65828677839851</v>
      </c>
      <c r="U687" s="76"/>
      <c r="V687" s="76"/>
      <c r="W687" s="78">
        <f t="shared" si="374"/>
        <v>327.891061452514</v>
      </c>
      <c r="X687" s="79">
        <f t="shared" si="361"/>
        <v>6.88100558659218</v>
      </c>
      <c r="Y687" s="79"/>
      <c r="Z687" s="79"/>
      <c r="AA687" s="79">
        <f t="shared" si="358"/>
        <v>6.88100558659218</v>
      </c>
      <c r="AB687" s="90">
        <v>7.15</v>
      </c>
      <c r="AC687" s="76">
        <f t="shared" si="375"/>
        <v>49.1991899441341</v>
      </c>
      <c r="AD687" s="76">
        <f t="shared" si="372"/>
        <v>377.090251396648</v>
      </c>
      <c r="AE687" s="76">
        <f t="shared" si="369"/>
        <v>84.909748603352</v>
      </c>
    </row>
    <row r="688" customFormat="1" spans="1:31">
      <c r="A688" s="18"/>
      <c r="B688" s="19"/>
      <c r="C688" s="20">
        <v>240823000030</v>
      </c>
      <c r="D688" s="21">
        <v>45531</v>
      </c>
      <c r="E688" s="21" t="s">
        <v>41</v>
      </c>
      <c r="F688" s="19" t="s">
        <v>42</v>
      </c>
      <c r="G688" s="19" t="s">
        <v>178</v>
      </c>
      <c r="H688" s="19">
        <v>0.94</v>
      </c>
      <c r="I688" s="51">
        <v>63</v>
      </c>
      <c r="J688" s="52"/>
      <c r="K688" s="45"/>
      <c r="L688" s="19"/>
      <c r="M688" s="45"/>
      <c r="N688" s="48"/>
      <c r="O688" s="49">
        <f t="shared" si="378"/>
        <v>63</v>
      </c>
      <c r="P688" s="53"/>
      <c r="Q688" s="53"/>
      <c r="R688" s="76">
        <f t="shared" si="359"/>
        <v>38.4498510242086</v>
      </c>
      <c r="S688" s="76"/>
      <c r="T688" s="77">
        <f t="shared" si="360"/>
        <v>0.0773486964618249</v>
      </c>
      <c r="U688" s="76"/>
      <c r="V688" s="76"/>
      <c r="W688" s="78">
        <f t="shared" si="374"/>
        <v>38.5271997206704</v>
      </c>
      <c r="X688" s="79">
        <f t="shared" si="361"/>
        <v>0.808518156424581</v>
      </c>
      <c r="Y688" s="79"/>
      <c r="Z688" s="79"/>
      <c r="AA688" s="79">
        <f t="shared" si="358"/>
        <v>0.808518156424581</v>
      </c>
      <c r="AB688" s="90">
        <v>7.15</v>
      </c>
      <c r="AC688" s="76">
        <f t="shared" si="375"/>
        <v>5.78090481843575</v>
      </c>
      <c r="AD688" s="76">
        <f t="shared" si="372"/>
        <v>44.3081045391061</v>
      </c>
      <c r="AE688" s="76">
        <f t="shared" si="369"/>
        <v>18.6918954608939</v>
      </c>
    </row>
    <row r="689" customFormat="1" spans="1:31">
      <c r="A689" s="18"/>
      <c r="B689" s="19"/>
      <c r="C689" s="20">
        <v>240823000038</v>
      </c>
      <c r="D689" s="21">
        <v>45531</v>
      </c>
      <c r="E689" s="21" t="s">
        <v>37</v>
      </c>
      <c r="F689" s="19" t="s">
        <v>38</v>
      </c>
      <c r="G689" s="19" t="s">
        <v>39</v>
      </c>
      <c r="H689" s="19">
        <v>1.5</v>
      </c>
      <c r="I689" s="51">
        <v>76.5</v>
      </c>
      <c r="J689" s="52"/>
      <c r="K689" s="45"/>
      <c r="L689" s="19"/>
      <c r="M689" s="45"/>
      <c r="N689" s="48"/>
      <c r="O689" s="49">
        <f t="shared" si="378"/>
        <v>76.5</v>
      </c>
      <c r="P689" s="53"/>
      <c r="Q689" s="53"/>
      <c r="R689" s="76">
        <f t="shared" si="359"/>
        <v>61.3561452513966</v>
      </c>
      <c r="S689" s="76"/>
      <c r="T689" s="77">
        <f t="shared" si="360"/>
        <v>0.123428770949721</v>
      </c>
      <c r="U689" s="76"/>
      <c r="V689" s="76"/>
      <c r="W689" s="78">
        <f t="shared" si="374"/>
        <v>61.4795740223464</v>
      </c>
      <c r="X689" s="79">
        <f t="shared" si="361"/>
        <v>1.29018854748603</v>
      </c>
      <c r="Y689" s="79"/>
      <c r="Z689" s="79"/>
      <c r="AA689" s="79">
        <f t="shared" si="358"/>
        <v>1.29018854748603</v>
      </c>
      <c r="AB689" s="90">
        <v>7.15</v>
      </c>
      <c r="AC689" s="76">
        <f t="shared" si="375"/>
        <v>9.22484811452514</v>
      </c>
      <c r="AD689" s="76">
        <f t="shared" ref="AD689:AD720" si="379">SUM(W689+AC689)</f>
        <v>70.7044221368715</v>
      </c>
      <c r="AE689" s="76">
        <f t="shared" si="369"/>
        <v>5.7955778631285</v>
      </c>
    </row>
    <row r="690" customFormat="1" spans="1:31">
      <c r="A690" s="18"/>
      <c r="B690" s="19"/>
      <c r="C690" s="20">
        <v>240823000045</v>
      </c>
      <c r="D690" s="21">
        <v>45531</v>
      </c>
      <c r="E690" s="21" t="s">
        <v>57</v>
      </c>
      <c r="F690" s="19" t="s">
        <v>57</v>
      </c>
      <c r="G690" s="19" t="s">
        <v>457</v>
      </c>
      <c r="H690" s="19">
        <v>78</v>
      </c>
      <c r="I690" s="51">
        <v>4811</v>
      </c>
      <c r="J690" s="52"/>
      <c r="K690" s="45"/>
      <c r="L690" s="19"/>
      <c r="M690" s="45"/>
      <c r="N690" s="48"/>
      <c r="O690" s="49">
        <f t="shared" si="378"/>
        <v>4811</v>
      </c>
      <c r="P690" s="53"/>
      <c r="Q690" s="53"/>
      <c r="R690" s="76">
        <f t="shared" si="359"/>
        <v>3190.51955307263</v>
      </c>
      <c r="S690" s="76"/>
      <c r="T690" s="77">
        <f t="shared" si="360"/>
        <v>6.41829608938547</v>
      </c>
      <c r="U690" s="76"/>
      <c r="V690" s="76"/>
      <c r="W690" s="78">
        <f t="shared" ref="W690:W721" si="380">SUM(R690:V690)</f>
        <v>3196.93784916201</v>
      </c>
      <c r="X690" s="79">
        <f t="shared" si="361"/>
        <v>67.0898044692737</v>
      </c>
      <c r="Y690" s="79"/>
      <c r="Z690" s="79"/>
      <c r="AA690" s="79">
        <f t="shared" ref="AA690:AA721" si="381">SUM(X690:Z690)</f>
        <v>67.0898044692737</v>
      </c>
      <c r="AB690" s="90">
        <v>7.15</v>
      </c>
      <c r="AC690" s="76">
        <f t="shared" ref="AC690:AC721" si="382">SUM(AA690*AB690)</f>
        <v>479.692101955307</v>
      </c>
      <c r="AD690" s="76">
        <f t="shared" si="379"/>
        <v>3676.62995111732</v>
      </c>
      <c r="AE690" s="76">
        <f t="shared" si="369"/>
        <v>1134.37004888268</v>
      </c>
    </row>
    <row r="691" customFormat="1" spans="1:31">
      <c r="A691" s="18"/>
      <c r="B691" s="19"/>
      <c r="C691" s="20">
        <v>240823000050</v>
      </c>
      <c r="D691" s="21">
        <v>45531</v>
      </c>
      <c r="E691" s="21" t="s">
        <v>44</v>
      </c>
      <c r="F691" s="19" t="s">
        <v>45</v>
      </c>
      <c r="G691" s="19" t="s">
        <v>337</v>
      </c>
      <c r="H691" s="19">
        <v>3.5</v>
      </c>
      <c r="I691" s="51">
        <v>213</v>
      </c>
      <c r="J691" s="52"/>
      <c r="K691" s="45"/>
      <c r="L691" s="19"/>
      <c r="M691" s="45"/>
      <c r="N691" s="48"/>
      <c r="O691" s="49">
        <f t="shared" si="378"/>
        <v>213</v>
      </c>
      <c r="P691" s="54"/>
      <c r="Q691" s="54"/>
      <c r="R691" s="76">
        <f t="shared" si="359"/>
        <v>143.164338919926</v>
      </c>
      <c r="S691" s="76"/>
      <c r="T691" s="77">
        <f t="shared" si="360"/>
        <v>0.288000465549348</v>
      </c>
      <c r="U691" s="76"/>
      <c r="V691" s="76"/>
      <c r="W691" s="78">
        <f t="shared" si="380"/>
        <v>143.452339385475</v>
      </c>
      <c r="X691" s="79">
        <f t="shared" si="361"/>
        <v>3.01043994413408</v>
      </c>
      <c r="Y691" s="79"/>
      <c r="Z691" s="79"/>
      <c r="AA691" s="79">
        <f t="shared" si="381"/>
        <v>3.01043994413408</v>
      </c>
      <c r="AB691" s="90">
        <v>7.15</v>
      </c>
      <c r="AC691" s="76">
        <f t="shared" si="382"/>
        <v>21.5246456005587</v>
      </c>
      <c r="AD691" s="76">
        <f t="shared" si="379"/>
        <v>164.976984986034</v>
      </c>
      <c r="AE691" s="76">
        <f t="shared" ref="AE691:AE722" si="383">SUM(O691-AD691)</f>
        <v>48.0230150139665</v>
      </c>
    </row>
    <row r="692" customFormat="1" spans="1:31">
      <c r="A692" s="18" t="s">
        <v>458</v>
      </c>
      <c r="B692" s="19" t="s">
        <v>459</v>
      </c>
      <c r="C692" s="20">
        <v>240815000021</v>
      </c>
      <c r="D692" s="21">
        <v>45531</v>
      </c>
      <c r="E692" s="21" t="s">
        <v>82</v>
      </c>
      <c r="F692" s="19" t="s">
        <v>83</v>
      </c>
      <c r="G692" s="19" t="s">
        <v>460</v>
      </c>
      <c r="H692" s="19">
        <v>6</v>
      </c>
      <c r="I692" s="51">
        <v>487.2</v>
      </c>
      <c r="J692" s="52"/>
      <c r="K692" s="45"/>
      <c r="L692" s="19"/>
      <c r="M692" s="45"/>
      <c r="N692" s="48"/>
      <c r="O692" s="49">
        <f t="shared" si="378"/>
        <v>487.2</v>
      </c>
      <c r="P692" s="50">
        <f>SUM(O692:O765)</f>
        <v>204155.4306</v>
      </c>
      <c r="Q692" s="50" t="s">
        <v>40</v>
      </c>
      <c r="R692" s="76">
        <f>SUM(161708/3415)*H692</f>
        <v>284.113616398243</v>
      </c>
      <c r="S692" s="76"/>
      <c r="T692" s="77">
        <f>SUM(212.2/3415)*H692</f>
        <v>0.372825768667643</v>
      </c>
      <c r="U692" s="76"/>
      <c r="V692" s="76"/>
      <c r="W692" s="78">
        <f t="shared" si="380"/>
        <v>284.486442166911</v>
      </c>
      <c r="X692" s="79">
        <f>SUM(2587.47/3415)*H692</f>
        <v>4.54606734992679</v>
      </c>
      <c r="Y692" s="79"/>
      <c r="Z692" s="79"/>
      <c r="AA692" s="79">
        <f t="shared" si="381"/>
        <v>4.54606734992679</v>
      </c>
      <c r="AB692" s="90">
        <v>7.15</v>
      </c>
      <c r="AC692" s="76">
        <f t="shared" si="382"/>
        <v>32.5043815519766</v>
      </c>
      <c r="AD692" s="76">
        <f t="shared" si="379"/>
        <v>316.990823718887</v>
      </c>
      <c r="AE692" s="76">
        <f t="shared" si="383"/>
        <v>170.209176281113</v>
      </c>
    </row>
    <row r="693" customFormat="1" spans="1:31">
      <c r="A693" s="18"/>
      <c r="B693" s="19"/>
      <c r="C693" s="20">
        <v>240815000042</v>
      </c>
      <c r="D693" s="21">
        <v>45531</v>
      </c>
      <c r="E693" s="21" t="s">
        <v>41</v>
      </c>
      <c r="F693" s="19" t="s">
        <v>42</v>
      </c>
      <c r="G693" s="19" t="s">
        <v>169</v>
      </c>
      <c r="H693" s="19">
        <v>7.5</v>
      </c>
      <c r="I693" s="51">
        <v>526.35</v>
      </c>
      <c r="J693" s="52"/>
      <c r="K693" s="45"/>
      <c r="L693" s="19"/>
      <c r="M693" s="45"/>
      <c r="N693" s="48"/>
      <c r="O693" s="49">
        <f t="shared" si="378"/>
        <v>526.35</v>
      </c>
      <c r="P693" s="53"/>
      <c r="Q693" s="53"/>
      <c r="R693" s="76">
        <f t="shared" ref="R693:R724" si="384">SUM(161708/3415)*H693</f>
        <v>355.142020497804</v>
      </c>
      <c r="S693" s="76"/>
      <c r="T693" s="77">
        <f t="shared" ref="T693:T724" si="385">SUM(212.2/3415)*H693</f>
        <v>0.466032210834553</v>
      </c>
      <c r="U693" s="76"/>
      <c r="V693" s="76"/>
      <c r="W693" s="78">
        <f t="shared" si="380"/>
        <v>355.608052708638</v>
      </c>
      <c r="X693" s="79">
        <f t="shared" ref="X693:X724" si="386">SUM(2587.47/3415)*H693</f>
        <v>5.68258418740849</v>
      </c>
      <c r="Y693" s="79"/>
      <c r="Z693" s="79"/>
      <c r="AA693" s="79">
        <f t="shared" si="381"/>
        <v>5.68258418740849</v>
      </c>
      <c r="AB693" s="90">
        <v>7.15</v>
      </c>
      <c r="AC693" s="76">
        <f t="shared" si="382"/>
        <v>40.6304769399707</v>
      </c>
      <c r="AD693" s="76">
        <f t="shared" si="379"/>
        <v>396.238529648609</v>
      </c>
      <c r="AE693" s="76">
        <f t="shared" si="383"/>
        <v>130.111470351391</v>
      </c>
    </row>
    <row r="694" customFormat="1" spans="1:31">
      <c r="A694" s="18"/>
      <c r="B694" s="19"/>
      <c r="C694" s="20">
        <v>240816000009</v>
      </c>
      <c r="D694" s="21">
        <v>45531</v>
      </c>
      <c r="E694" s="21" t="s">
        <v>51</v>
      </c>
      <c r="F694" s="19" t="s">
        <v>52</v>
      </c>
      <c r="G694" s="19" t="s">
        <v>144</v>
      </c>
      <c r="H694" s="19">
        <v>28</v>
      </c>
      <c r="I694" s="51">
        <v>1848.0001</v>
      </c>
      <c r="J694" s="52"/>
      <c r="K694" s="45"/>
      <c r="L694" s="19"/>
      <c r="M694" s="45"/>
      <c r="N694" s="48"/>
      <c r="O694" s="49">
        <f t="shared" si="378"/>
        <v>1848.0001</v>
      </c>
      <c r="P694" s="53"/>
      <c r="Q694" s="53"/>
      <c r="R694" s="76">
        <f t="shared" si="384"/>
        <v>1325.8635431918</v>
      </c>
      <c r="S694" s="76"/>
      <c r="T694" s="77">
        <f t="shared" si="385"/>
        <v>1.73985358711567</v>
      </c>
      <c r="U694" s="76"/>
      <c r="V694" s="76"/>
      <c r="W694" s="78">
        <f t="shared" si="380"/>
        <v>1327.60339677892</v>
      </c>
      <c r="X694" s="79">
        <f t="shared" si="386"/>
        <v>21.214980966325</v>
      </c>
      <c r="Y694" s="79"/>
      <c r="Z694" s="79"/>
      <c r="AA694" s="79">
        <f t="shared" si="381"/>
        <v>21.214980966325</v>
      </c>
      <c r="AB694" s="90">
        <v>7.15</v>
      </c>
      <c r="AC694" s="76">
        <f t="shared" si="382"/>
        <v>151.687113909224</v>
      </c>
      <c r="AD694" s="76">
        <f t="shared" si="379"/>
        <v>1479.29051068814</v>
      </c>
      <c r="AE694" s="76">
        <f t="shared" si="383"/>
        <v>368.709589311859</v>
      </c>
    </row>
    <row r="695" customFormat="1" spans="1:31">
      <c r="A695" s="18"/>
      <c r="B695" s="19"/>
      <c r="C695" s="20">
        <v>240816000013</v>
      </c>
      <c r="D695" s="21">
        <v>45531</v>
      </c>
      <c r="E695" s="21" t="s">
        <v>51</v>
      </c>
      <c r="F695" s="19" t="s">
        <v>52</v>
      </c>
      <c r="G695" s="19" t="s">
        <v>327</v>
      </c>
      <c r="H695" s="19">
        <v>11</v>
      </c>
      <c r="I695" s="51">
        <v>759</v>
      </c>
      <c r="J695" s="52"/>
      <c r="K695" s="45"/>
      <c r="L695" s="19"/>
      <c r="M695" s="45"/>
      <c r="N695" s="48"/>
      <c r="O695" s="49">
        <f t="shared" si="378"/>
        <v>759</v>
      </c>
      <c r="P695" s="53"/>
      <c r="Q695" s="53"/>
      <c r="R695" s="76">
        <f t="shared" si="384"/>
        <v>520.874963396779</v>
      </c>
      <c r="S695" s="76"/>
      <c r="T695" s="77">
        <f t="shared" si="385"/>
        <v>0.683513909224012</v>
      </c>
      <c r="U695" s="76"/>
      <c r="V695" s="76"/>
      <c r="W695" s="78">
        <f t="shared" si="380"/>
        <v>521.558477306003</v>
      </c>
      <c r="X695" s="79">
        <f t="shared" si="386"/>
        <v>8.33445680819912</v>
      </c>
      <c r="Y695" s="79"/>
      <c r="Z695" s="79"/>
      <c r="AA695" s="79">
        <f t="shared" si="381"/>
        <v>8.33445680819912</v>
      </c>
      <c r="AB695" s="90">
        <v>7.15</v>
      </c>
      <c r="AC695" s="76">
        <f t="shared" si="382"/>
        <v>59.5913661786237</v>
      </c>
      <c r="AD695" s="76">
        <f t="shared" si="379"/>
        <v>581.149843484627</v>
      </c>
      <c r="AE695" s="76">
        <f t="shared" si="383"/>
        <v>177.850156515373</v>
      </c>
    </row>
    <row r="696" customFormat="1" spans="1:31">
      <c r="A696" s="18"/>
      <c r="B696" s="19"/>
      <c r="C696" s="20">
        <v>240816000029</v>
      </c>
      <c r="D696" s="21">
        <v>45531</v>
      </c>
      <c r="E696" s="21" t="s">
        <v>82</v>
      </c>
      <c r="F696" s="19" t="s">
        <v>83</v>
      </c>
      <c r="G696" s="19" t="s">
        <v>461</v>
      </c>
      <c r="H696" s="19">
        <v>8.5</v>
      </c>
      <c r="I696" s="51">
        <v>539.55</v>
      </c>
      <c r="J696" s="52"/>
      <c r="K696" s="45"/>
      <c r="L696" s="19"/>
      <c r="M696" s="45"/>
      <c r="N696" s="48"/>
      <c r="O696" s="49">
        <f t="shared" si="378"/>
        <v>539.55</v>
      </c>
      <c r="P696" s="53"/>
      <c r="Q696" s="53"/>
      <c r="R696" s="76">
        <f t="shared" si="384"/>
        <v>402.494289897511</v>
      </c>
      <c r="S696" s="76"/>
      <c r="T696" s="77">
        <f t="shared" si="385"/>
        <v>0.528169838945827</v>
      </c>
      <c r="U696" s="76"/>
      <c r="V696" s="76"/>
      <c r="W696" s="78">
        <f t="shared" si="380"/>
        <v>403.022459736457</v>
      </c>
      <c r="X696" s="79">
        <f t="shared" si="386"/>
        <v>6.44026207906296</v>
      </c>
      <c r="Y696" s="79">
        <v>4.86</v>
      </c>
      <c r="Z696" s="79"/>
      <c r="AA696" s="79">
        <f t="shared" si="381"/>
        <v>11.300262079063</v>
      </c>
      <c r="AB696" s="90">
        <v>7.15</v>
      </c>
      <c r="AC696" s="76">
        <f t="shared" si="382"/>
        <v>80.7968738653001</v>
      </c>
      <c r="AD696" s="76">
        <f t="shared" si="379"/>
        <v>483.819333601757</v>
      </c>
      <c r="AE696" s="76">
        <f t="shared" si="383"/>
        <v>55.730666398243</v>
      </c>
    </row>
    <row r="697" customFormat="1" spans="1:31">
      <c r="A697" s="18"/>
      <c r="B697" s="19"/>
      <c r="C697" s="20">
        <v>240816000032</v>
      </c>
      <c r="D697" s="21">
        <v>45531</v>
      </c>
      <c r="E697" s="21" t="s">
        <v>41</v>
      </c>
      <c r="F697" s="19" t="s">
        <v>42</v>
      </c>
      <c r="G697" s="19" t="s">
        <v>462</v>
      </c>
      <c r="H697" s="19">
        <v>50</v>
      </c>
      <c r="I697" s="51">
        <v>3105</v>
      </c>
      <c r="J697" s="52"/>
      <c r="K697" s="45"/>
      <c r="L697" s="19"/>
      <c r="M697" s="45"/>
      <c r="N697" s="48"/>
      <c r="O697" s="49">
        <f t="shared" si="378"/>
        <v>3105</v>
      </c>
      <c r="P697" s="53"/>
      <c r="Q697" s="53"/>
      <c r="R697" s="76">
        <f t="shared" si="384"/>
        <v>2367.61346998536</v>
      </c>
      <c r="S697" s="76"/>
      <c r="T697" s="77">
        <f t="shared" si="385"/>
        <v>3.10688140556369</v>
      </c>
      <c r="U697" s="76">
        <v>80</v>
      </c>
      <c r="V697" s="76"/>
      <c r="W697" s="78">
        <f t="shared" si="380"/>
        <v>2450.72035139092</v>
      </c>
      <c r="X697" s="79">
        <f t="shared" si="386"/>
        <v>37.8838945827233</v>
      </c>
      <c r="Y697" s="79"/>
      <c r="Z697" s="79"/>
      <c r="AA697" s="79">
        <f t="shared" si="381"/>
        <v>37.8838945827233</v>
      </c>
      <c r="AB697" s="90">
        <v>7.15</v>
      </c>
      <c r="AC697" s="76">
        <f t="shared" si="382"/>
        <v>270.869846266471</v>
      </c>
      <c r="AD697" s="76">
        <f t="shared" si="379"/>
        <v>2721.59019765739</v>
      </c>
      <c r="AE697" s="76">
        <f t="shared" si="383"/>
        <v>383.409802342606</v>
      </c>
    </row>
    <row r="698" customFormat="1" spans="1:31">
      <c r="A698" s="18"/>
      <c r="B698" s="19"/>
      <c r="C698" s="20">
        <v>240817000001</v>
      </c>
      <c r="D698" s="21">
        <v>45531</v>
      </c>
      <c r="E698" s="21" t="s">
        <v>41</v>
      </c>
      <c r="F698" s="19" t="s">
        <v>60</v>
      </c>
      <c r="G698" s="19" t="s">
        <v>61</v>
      </c>
      <c r="H698" s="19">
        <v>5</v>
      </c>
      <c r="I698" s="51">
        <v>366.3</v>
      </c>
      <c r="J698" s="52"/>
      <c r="K698" s="45"/>
      <c r="L698" s="19"/>
      <c r="M698" s="45"/>
      <c r="N698" s="48"/>
      <c r="O698" s="49">
        <f t="shared" si="378"/>
        <v>366.3</v>
      </c>
      <c r="P698" s="53"/>
      <c r="Q698" s="53"/>
      <c r="R698" s="76">
        <f t="shared" si="384"/>
        <v>236.761346998536</v>
      </c>
      <c r="S698" s="76"/>
      <c r="T698" s="77">
        <f t="shared" si="385"/>
        <v>0.310688140556369</v>
      </c>
      <c r="U698" s="76"/>
      <c r="V698" s="76"/>
      <c r="W698" s="78">
        <f t="shared" si="380"/>
        <v>237.072035139092</v>
      </c>
      <c r="X698" s="79">
        <f t="shared" si="386"/>
        <v>3.78838945827233</v>
      </c>
      <c r="Y698" s="79"/>
      <c r="Z698" s="79"/>
      <c r="AA698" s="79">
        <f t="shared" si="381"/>
        <v>3.78838945827233</v>
      </c>
      <c r="AB698" s="90">
        <v>7.15</v>
      </c>
      <c r="AC698" s="76">
        <f t="shared" si="382"/>
        <v>27.0869846266471</v>
      </c>
      <c r="AD698" s="76">
        <f t="shared" si="379"/>
        <v>264.159019765739</v>
      </c>
      <c r="AE698" s="76">
        <f t="shared" si="383"/>
        <v>102.140980234261</v>
      </c>
    </row>
    <row r="699" customFormat="1" spans="1:31">
      <c r="A699" s="18"/>
      <c r="B699" s="19"/>
      <c r="C699" s="20">
        <v>240818000004</v>
      </c>
      <c r="D699" s="21">
        <v>45531</v>
      </c>
      <c r="E699" s="21" t="s">
        <v>44</v>
      </c>
      <c r="F699" s="19" t="s">
        <v>45</v>
      </c>
      <c r="G699" s="19" t="s">
        <v>463</v>
      </c>
      <c r="H699" s="19">
        <v>8</v>
      </c>
      <c r="I699" s="43"/>
      <c r="J699" s="44">
        <v>114912</v>
      </c>
      <c r="K699" s="45"/>
      <c r="L699" s="46">
        <f>SUM(J699/M699)</f>
        <v>1630.41997729852</v>
      </c>
      <c r="M699" s="47">
        <v>70.48</v>
      </c>
      <c r="N699" s="48">
        <v>7.15</v>
      </c>
      <c r="O699" s="49">
        <f>SUM(M699*N699)</f>
        <v>503.932</v>
      </c>
      <c r="P699" s="53"/>
      <c r="Q699" s="53"/>
      <c r="R699" s="76">
        <f t="shared" si="384"/>
        <v>378.818155197657</v>
      </c>
      <c r="S699" s="76"/>
      <c r="T699" s="77">
        <f t="shared" si="385"/>
        <v>0.49710102489019</v>
      </c>
      <c r="U699" s="76"/>
      <c r="V699" s="76"/>
      <c r="W699" s="78">
        <f t="shared" si="380"/>
        <v>379.315256222548</v>
      </c>
      <c r="X699" s="79">
        <f t="shared" si="386"/>
        <v>6.06142313323572</v>
      </c>
      <c r="Y699" s="79"/>
      <c r="Z699" s="79"/>
      <c r="AA699" s="79">
        <f t="shared" si="381"/>
        <v>6.06142313323572</v>
      </c>
      <c r="AB699" s="90">
        <v>7.15</v>
      </c>
      <c r="AC699" s="76">
        <f t="shared" si="382"/>
        <v>43.3391754026354</v>
      </c>
      <c r="AD699" s="76">
        <f t="shared" si="379"/>
        <v>422.654431625183</v>
      </c>
      <c r="AE699" s="76">
        <f t="shared" si="383"/>
        <v>81.277568374817</v>
      </c>
    </row>
    <row r="700" customFormat="1" spans="1:31">
      <c r="A700" s="18"/>
      <c r="B700" s="19"/>
      <c r="C700" s="20">
        <v>240818000018</v>
      </c>
      <c r="D700" s="21">
        <v>45531</v>
      </c>
      <c r="E700" s="21" t="s">
        <v>51</v>
      </c>
      <c r="F700" s="19" t="s">
        <v>52</v>
      </c>
      <c r="G700" s="19" t="s">
        <v>464</v>
      </c>
      <c r="H700" s="19">
        <v>2.5</v>
      </c>
      <c r="I700" s="49"/>
      <c r="J700" s="52"/>
      <c r="K700" s="47">
        <v>27</v>
      </c>
      <c r="L700" s="19"/>
      <c r="M700" s="47">
        <v>27</v>
      </c>
      <c r="N700" s="48">
        <v>7.15</v>
      </c>
      <c r="O700" s="49">
        <f>SUM(M700*N700)</f>
        <v>193.05</v>
      </c>
      <c r="P700" s="53"/>
      <c r="Q700" s="53"/>
      <c r="R700" s="76">
        <f t="shared" si="384"/>
        <v>118.380673499268</v>
      </c>
      <c r="S700" s="76"/>
      <c r="T700" s="77">
        <f t="shared" si="385"/>
        <v>0.155344070278184</v>
      </c>
      <c r="U700" s="76"/>
      <c r="V700" s="76"/>
      <c r="W700" s="78">
        <f t="shared" si="380"/>
        <v>118.536017569546</v>
      </c>
      <c r="X700" s="79">
        <f t="shared" si="386"/>
        <v>1.89419472913616</v>
      </c>
      <c r="Y700" s="79"/>
      <c r="Z700" s="79"/>
      <c r="AA700" s="79">
        <f t="shared" si="381"/>
        <v>1.89419472913616</v>
      </c>
      <c r="AB700" s="90">
        <v>7.15</v>
      </c>
      <c r="AC700" s="76">
        <f t="shared" si="382"/>
        <v>13.5434923133236</v>
      </c>
      <c r="AD700" s="76">
        <f t="shared" si="379"/>
        <v>132.07950988287</v>
      </c>
      <c r="AE700" s="76">
        <f t="shared" si="383"/>
        <v>60.9704901171303</v>
      </c>
    </row>
    <row r="701" customFormat="1" spans="1:31">
      <c r="A701" s="18"/>
      <c r="B701" s="19"/>
      <c r="C701" s="20">
        <v>240818000020</v>
      </c>
      <c r="D701" s="21">
        <v>45531</v>
      </c>
      <c r="E701" s="21" t="s">
        <v>51</v>
      </c>
      <c r="F701" s="19" t="s">
        <v>52</v>
      </c>
      <c r="G701" s="19" t="s">
        <v>465</v>
      </c>
      <c r="H701" s="19">
        <v>0.96</v>
      </c>
      <c r="I701" s="51">
        <v>76</v>
      </c>
      <c r="J701" s="52"/>
      <c r="K701" s="45"/>
      <c r="L701" s="19"/>
      <c r="M701" s="45"/>
      <c r="N701" s="48"/>
      <c r="O701" s="49">
        <f t="shared" ref="O701:O704" si="387">SUM(I701)</f>
        <v>76</v>
      </c>
      <c r="P701" s="53"/>
      <c r="Q701" s="53"/>
      <c r="R701" s="76">
        <f t="shared" si="384"/>
        <v>45.4581786237189</v>
      </c>
      <c r="S701" s="76"/>
      <c r="T701" s="77">
        <f t="shared" si="385"/>
        <v>0.0596521229868228</v>
      </c>
      <c r="U701" s="76"/>
      <c r="V701" s="76"/>
      <c r="W701" s="78">
        <f t="shared" si="380"/>
        <v>45.5178307467057</v>
      </c>
      <c r="X701" s="79">
        <f t="shared" si="386"/>
        <v>0.727370775988287</v>
      </c>
      <c r="Y701" s="79"/>
      <c r="Z701" s="79"/>
      <c r="AA701" s="79">
        <f t="shared" si="381"/>
        <v>0.727370775988287</v>
      </c>
      <c r="AB701" s="90">
        <v>7.15</v>
      </c>
      <c r="AC701" s="76">
        <f t="shared" si="382"/>
        <v>5.20070104831625</v>
      </c>
      <c r="AD701" s="76">
        <f t="shared" si="379"/>
        <v>50.718531795022</v>
      </c>
      <c r="AE701" s="76">
        <f t="shared" si="383"/>
        <v>25.281468204978</v>
      </c>
    </row>
    <row r="702" customFormat="1" spans="1:31">
      <c r="A702" s="18"/>
      <c r="B702" s="19"/>
      <c r="C702" s="20">
        <v>240818000022</v>
      </c>
      <c r="D702" s="21">
        <v>45531</v>
      </c>
      <c r="E702" s="21" t="s">
        <v>51</v>
      </c>
      <c r="F702" s="19" t="s">
        <v>52</v>
      </c>
      <c r="G702" s="19" t="s">
        <v>466</v>
      </c>
      <c r="H702" s="19">
        <v>15</v>
      </c>
      <c r="I702" s="51">
        <v>1046</v>
      </c>
      <c r="J702" s="52"/>
      <c r="K702" s="45"/>
      <c r="L702" s="19"/>
      <c r="M702" s="45"/>
      <c r="N702" s="48"/>
      <c r="O702" s="49">
        <f t="shared" si="387"/>
        <v>1046</v>
      </c>
      <c r="P702" s="53"/>
      <c r="Q702" s="53"/>
      <c r="R702" s="76">
        <f t="shared" si="384"/>
        <v>710.284040995608</v>
      </c>
      <c r="S702" s="76"/>
      <c r="T702" s="77">
        <f t="shared" si="385"/>
        <v>0.932064421669107</v>
      </c>
      <c r="U702" s="76"/>
      <c r="V702" s="76"/>
      <c r="W702" s="78">
        <f t="shared" si="380"/>
        <v>711.216105417277</v>
      </c>
      <c r="X702" s="79">
        <f t="shared" si="386"/>
        <v>11.365168374817</v>
      </c>
      <c r="Y702" s="79"/>
      <c r="Z702" s="79"/>
      <c r="AA702" s="79">
        <f t="shared" si="381"/>
        <v>11.365168374817</v>
      </c>
      <c r="AB702" s="90">
        <v>7.15</v>
      </c>
      <c r="AC702" s="76">
        <f t="shared" si="382"/>
        <v>81.2609538799414</v>
      </c>
      <c r="AD702" s="76">
        <f t="shared" si="379"/>
        <v>792.477059297218</v>
      </c>
      <c r="AE702" s="76">
        <f t="shared" si="383"/>
        <v>253.522940702782</v>
      </c>
    </row>
    <row r="703" customFormat="1" spans="1:31">
      <c r="A703" s="18"/>
      <c r="B703" s="19"/>
      <c r="C703" s="20">
        <v>240818000024</v>
      </c>
      <c r="D703" s="21">
        <v>45531</v>
      </c>
      <c r="E703" s="21" t="s">
        <v>51</v>
      </c>
      <c r="F703" s="19" t="s">
        <v>467</v>
      </c>
      <c r="G703" s="19" t="s">
        <v>468</v>
      </c>
      <c r="H703" s="19">
        <v>0.70933336</v>
      </c>
      <c r="I703" s="51">
        <v>88.2</v>
      </c>
      <c r="J703" s="52"/>
      <c r="K703" s="45"/>
      <c r="L703" s="19"/>
      <c r="M703" s="45"/>
      <c r="N703" s="48"/>
      <c r="O703" s="49">
        <f t="shared" si="387"/>
        <v>88.2</v>
      </c>
      <c r="P703" s="53"/>
      <c r="Q703" s="53"/>
      <c r="R703" s="76">
        <f t="shared" si="384"/>
        <v>33.5885443569195</v>
      </c>
      <c r="S703" s="76"/>
      <c r="T703" s="77">
        <f t="shared" si="385"/>
        <v>0.0440762925306003</v>
      </c>
      <c r="U703" s="76"/>
      <c r="V703" s="76"/>
      <c r="W703" s="78">
        <f t="shared" si="380"/>
        <v>33.6326206494501</v>
      </c>
      <c r="X703" s="79">
        <f t="shared" si="386"/>
        <v>0.537446204684978</v>
      </c>
      <c r="Y703" s="79"/>
      <c r="Z703" s="79"/>
      <c r="AA703" s="79">
        <f t="shared" si="381"/>
        <v>0.537446204684978</v>
      </c>
      <c r="AB703" s="90">
        <v>7.15</v>
      </c>
      <c r="AC703" s="76">
        <f t="shared" si="382"/>
        <v>3.84274036349759</v>
      </c>
      <c r="AD703" s="76">
        <f t="shared" si="379"/>
        <v>37.4753610129477</v>
      </c>
      <c r="AE703" s="76">
        <f t="shared" si="383"/>
        <v>50.7246389870523</v>
      </c>
    </row>
    <row r="704" customFormat="1" spans="1:31">
      <c r="A704" s="18"/>
      <c r="B704" s="19"/>
      <c r="C704" s="20">
        <v>240818000029</v>
      </c>
      <c r="D704" s="21">
        <v>45531</v>
      </c>
      <c r="E704" s="21" t="s">
        <v>37</v>
      </c>
      <c r="F704" s="19" t="s">
        <v>38</v>
      </c>
      <c r="G704" s="19" t="s">
        <v>469</v>
      </c>
      <c r="H704" s="19">
        <v>0.45</v>
      </c>
      <c r="I704" s="51">
        <v>75.9</v>
      </c>
      <c r="J704" s="52"/>
      <c r="K704" s="45"/>
      <c r="L704" s="19"/>
      <c r="M704" s="45"/>
      <c r="N704" s="48"/>
      <c r="O704" s="49">
        <f t="shared" si="387"/>
        <v>75.9</v>
      </c>
      <c r="P704" s="53"/>
      <c r="Q704" s="53"/>
      <c r="R704" s="76">
        <f t="shared" si="384"/>
        <v>21.3085212298682</v>
      </c>
      <c r="S704" s="76"/>
      <c r="T704" s="77">
        <f t="shared" si="385"/>
        <v>0.0279619326500732</v>
      </c>
      <c r="U704" s="76"/>
      <c r="V704" s="76"/>
      <c r="W704" s="78">
        <f t="shared" si="380"/>
        <v>21.3364831625183</v>
      </c>
      <c r="X704" s="79">
        <f t="shared" si="386"/>
        <v>0.340955051244509</v>
      </c>
      <c r="Y704" s="79"/>
      <c r="Z704" s="79"/>
      <c r="AA704" s="79">
        <f t="shared" si="381"/>
        <v>0.340955051244509</v>
      </c>
      <c r="AB704" s="90">
        <v>7.15</v>
      </c>
      <c r="AC704" s="76">
        <f t="shared" si="382"/>
        <v>2.43782861639824</v>
      </c>
      <c r="AD704" s="76">
        <f t="shared" si="379"/>
        <v>23.7743117789165</v>
      </c>
      <c r="AE704" s="76">
        <f t="shared" si="383"/>
        <v>52.1256882210835</v>
      </c>
    </row>
    <row r="705" customFormat="1" spans="1:31">
      <c r="A705" s="18"/>
      <c r="B705" s="19"/>
      <c r="C705" s="20">
        <v>240818000031</v>
      </c>
      <c r="D705" s="21">
        <v>45531</v>
      </c>
      <c r="E705" s="21" t="s">
        <v>37</v>
      </c>
      <c r="F705" s="19" t="s">
        <v>38</v>
      </c>
      <c r="G705" s="19" t="s">
        <v>216</v>
      </c>
      <c r="H705" s="19">
        <v>162</v>
      </c>
      <c r="I705" s="43"/>
      <c r="J705" s="44">
        <v>2698920</v>
      </c>
      <c r="K705" s="45"/>
      <c r="L705" s="46">
        <f t="shared" ref="L705:L709" si="388">SUM(J705/M705)</f>
        <v>1751.76057480739</v>
      </c>
      <c r="M705" s="47">
        <v>1540.69</v>
      </c>
      <c r="N705" s="48">
        <v>7.15</v>
      </c>
      <c r="O705" s="49">
        <f t="shared" ref="O705:O709" si="389">SUM(M705*N705)</f>
        <v>11015.9335</v>
      </c>
      <c r="P705" s="53"/>
      <c r="Q705" s="53"/>
      <c r="R705" s="76">
        <f t="shared" si="384"/>
        <v>7671.06764275256</v>
      </c>
      <c r="S705" s="76"/>
      <c r="T705" s="77">
        <f t="shared" si="385"/>
        <v>10.0662957540264</v>
      </c>
      <c r="U705" s="76"/>
      <c r="V705" s="76"/>
      <c r="W705" s="78">
        <f t="shared" si="380"/>
        <v>7681.13393850659</v>
      </c>
      <c r="X705" s="79">
        <f t="shared" si="386"/>
        <v>122.743818448023</v>
      </c>
      <c r="Y705" s="79"/>
      <c r="Z705" s="79"/>
      <c r="AA705" s="79">
        <f t="shared" si="381"/>
        <v>122.743818448023</v>
      </c>
      <c r="AB705" s="90">
        <v>7.15</v>
      </c>
      <c r="AC705" s="76">
        <f t="shared" si="382"/>
        <v>877.618301903368</v>
      </c>
      <c r="AD705" s="76">
        <f t="shared" si="379"/>
        <v>8558.75224040996</v>
      </c>
      <c r="AE705" s="76">
        <f t="shared" si="383"/>
        <v>2457.18125959004</v>
      </c>
    </row>
    <row r="706" customFormat="1" spans="1:31">
      <c r="A706" s="18"/>
      <c r="B706" s="19"/>
      <c r="C706" s="20">
        <v>240818000033</v>
      </c>
      <c r="D706" s="21">
        <v>45531</v>
      </c>
      <c r="E706" s="21" t="s">
        <v>37</v>
      </c>
      <c r="F706" s="19" t="s">
        <v>38</v>
      </c>
      <c r="G706" s="19" t="s">
        <v>470</v>
      </c>
      <c r="H706" s="19">
        <v>3.5</v>
      </c>
      <c r="I706" s="51">
        <v>197.5</v>
      </c>
      <c r="J706" s="52"/>
      <c r="K706" s="45"/>
      <c r="L706" s="19"/>
      <c r="M706" s="45"/>
      <c r="N706" s="48"/>
      <c r="O706" s="49">
        <f t="shared" ref="O706:O720" si="390">SUM(I706)</f>
        <v>197.5</v>
      </c>
      <c r="P706" s="53"/>
      <c r="Q706" s="53"/>
      <c r="R706" s="76">
        <f t="shared" si="384"/>
        <v>165.732942898975</v>
      </c>
      <c r="S706" s="76"/>
      <c r="T706" s="77">
        <f t="shared" si="385"/>
        <v>0.217481698389458</v>
      </c>
      <c r="U706" s="76"/>
      <c r="V706" s="76"/>
      <c r="W706" s="78">
        <f t="shared" si="380"/>
        <v>165.950424597365</v>
      </c>
      <c r="X706" s="79">
        <f t="shared" si="386"/>
        <v>2.65187262079063</v>
      </c>
      <c r="Y706" s="79"/>
      <c r="Z706" s="79"/>
      <c r="AA706" s="79">
        <f t="shared" si="381"/>
        <v>2.65187262079063</v>
      </c>
      <c r="AB706" s="90">
        <v>7.15</v>
      </c>
      <c r="AC706" s="76">
        <f t="shared" si="382"/>
        <v>18.960889238653</v>
      </c>
      <c r="AD706" s="76">
        <f t="shared" si="379"/>
        <v>184.911313836018</v>
      </c>
      <c r="AE706" s="76">
        <f t="shared" si="383"/>
        <v>12.5886861639824</v>
      </c>
    </row>
    <row r="707" customFormat="1" spans="1:31">
      <c r="A707" s="18"/>
      <c r="B707" s="19"/>
      <c r="C707" s="20">
        <v>240819000007</v>
      </c>
      <c r="D707" s="21">
        <v>45531</v>
      </c>
      <c r="E707" s="21" t="s">
        <v>41</v>
      </c>
      <c r="F707" s="19" t="s">
        <v>42</v>
      </c>
      <c r="G707" s="19" t="s">
        <v>81</v>
      </c>
      <c r="H707" s="19">
        <v>0.22</v>
      </c>
      <c r="I707" s="43"/>
      <c r="J707" s="44">
        <v>15800.4</v>
      </c>
      <c r="K707" s="45"/>
      <c r="L707" s="46">
        <f t="shared" si="388"/>
        <v>1630.58823529412</v>
      </c>
      <c r="M707" s="47">
        <v>9.69</v>
      </c>
      <c r="N707" s="48">
        <v>7.15</v>
      </c>
      <c r="O707" s="49">
        <f t="shared" si="389"/>
        <v>69.2835</v>
      </c>
      <c r="P707" s="53"/>
      <c r="Q707" s="53"/>
      <c r="R707" s="76">
        <f t="shared" si="384"/>
        <v>10.4174992679356</v>
      </c>
      <c r="S707" s="76"/>
      <c r="T707" s="77">
        <f t="shared" si="385"/>
        <v>0.0136702781844802</v>
      </c>
      <c r="U707" s="76"/>
      <c r="V707" s="76"/>
      <c r="W707" s="78">
        <f t="shared" si="380"/>
        <v>10.4311695461201</v>
      </c>
      <c r="X707" s="79">
        <f t="shared" si="386"/>
        <v>0.166689136163982</v>
      </c>
      <c r="Y707" s="79"/>
      <c r="Z707" s="79"/>
      <c r="AA707" s="79">
        <f t="shared" si="381"/>
        <v>0.166689136163982</v>
      </c>
      <c r="AB707" s="90">
        <v>7.15</v>
      </c>
      <c r="AC707" s="76">
        <f t="shared" si="382"/>
        <v>1.19182732357247</v>
      </c>
      <c r="AD707" s="76">
        <f t="shared" si="379"/>
        <v>11.6229968696925</v>
      </c>
      <c r="AE707" s="76">
        <f t="shared" si="383"/>
        <v>57.6605031303075</v>
      </c>
    </row>
    <row r="708" customFormat="1" spans="1:31">
      <c r="A708" s="18"/>
      <c r="B708" s="19"/>
      <c r="C708" s="20">
        <v>240819000012</v>
      </c>
      <c r="D708" s="21">
        <v>45531</v>
      </c>
      <c r="E708" s="21" t="s">
        <v>41</v>
      </c>
      <c r="F708" s="19" t="s">
        <v>42</v>
      </c>
      <c r="G708" s="19" t="s">
        <v>471</v>
      </c>
      <c r="H708" s="19">
        <v>0.64</v>
      </c>
      <c r="I708" s="51">
        <v>69.3</v>
      </c>
      <c r="J708" s="52"/>
      <c r="K708" s="45"/>
      <c r="L708" s="19"/>
      <c r="M708" s="45"/>
      <c r="N708" s="48"/>
      <c r="O708" s="49">
        <f t="shared" si="390"/>
        <v>69.3</v>
      </c>
      <c r="P708" s="53"/>
      <c r="Q708" s="53"/>
      <c r="R708" s="76">
        <f t="shared" si="384"/>
        <v>30.3054524158126</v>
      </c>
      <c r="S708" s="76"/>
      <c r="T708" s="77">
        <f t="shared" si="385"/>
        <v>0.0397680819912152</v>
      </c>
      <c r="U708" s="76"/>
      <c r="V708" s="76"/>
      <c r="W708" s="78">
        <f t="shared" si="380"/>
        <v>30.3452204978038</v>
      </c>
      <c r="X708" s="79">
        <f t="shared" si="386"/>
        <v>0.484913850658858</v>
      </c>
      <c r="Y708" s="79"/>
      <c r="Z708" s="79"/>
      <c r="AA708" s="79">
        <f t="shared" si="381"/>
        <v>0.484913850658858</v>
      </c>
      <c r="AB708" s="90">
        <v>7.15</v>
      </c>
      <c r="AC708" s="76">
        <f t="shared" si="382"/>
        <v>3.46713403221083</v>
      </c>
      <c r="AD708" s="76">
        <f t="shared" si="379"/>
        <v>33.8123545300146</v>
      </c>
      <c r="AE708" s="76">
        <f t="shared" si="383"/>
        <v>35.4876454699854</v>
      </c>
    </row>
    <row r="709" customFormat="1" spans="1:31">
      <c r="A709" s="18"/>
      <c r="B709" s="19"/>
      <c r="C709" s="20">
        <v>240819000013</v>
      </c>
      <c r="D709" s="21">
        <v>45531</v>
      </c>
      <c r="E709" s="21" t="s">
        <v>41</v>
      </c>
      <c r="F709" s="19" t="s">
        <v>42</v>
      </c>
      <c r="G709" s="19" t="s">
        <v>472</v>
      </c>
      <c r="H709" s="19">
        <v>45</v>
      </c>
      <c r="I709" s="43"/>
      <c r="J709" s="44">
        <v>685377</v>
      </c>
      <c r="K709" s="45"/>
      <c r="L709" s="46">
        <f t="shared" si="388"/>
        <v>1644.53642384106</v>
      </c>
      <c r="M709" s="47">
        <v>416.76</v>
      </c>
      <c r="N709" s="48">
        <v>7.15</v>
      </c>
      <c r="O709" s="49">
        <f t="shared" si="389"/>
        <v>2979.834</v>
      </c>
      <c r="P709" s="53"/>
      <c r="Q709" s="53"/>
      <c r="R709" s="76">
        <f t="shared" si="384"/>
        <v>2130.85212298682</v>
      </c>
      <c r="S709" s="76"/>
      <c r="T709" s="77">
        <f t="shared" si="385"/>
        <v>2.79619326500732</v>
      </c>
      <c r="U709" s="76"/>
      <c r="V709" s="76"/>
      <c r="W709" s="78">
        <f t="shared" si="380"/>
        <v>2133.64831625183</v>
      </c>
      <c r="X709" s="79">
        <f t="shared" si="386"/>
        <v>34.095505124451</v>
      </c>
      <c r="Y709" s="79"/>
      <c r="Z709" s="79"/>
      <c r="AA709" s="79">
        <f t="shared" si="381"/>
        <v>34.095505124451</v>
      </c>
      <c r="AB709" s="90">
        <v>7.15</v>
      </c>
      <c r="AC709" s="76">
        <f t="shared" si="382"/>
        <v>243.782861639824</v>
      </c>
      <c r="AD709" s="76">
        <f t="shared" si="379"/>
        <v>2377.43117789165</v>
      </c>
      <c r="AE709" s="76">
        <f t="shared" si="383"/>
        <v>602.402822108345</v>
      </c>
    </row>
    <row r="710" customFormat="1" spans="1:31">
      <c r="A710" s="18"/>
      <c r="B710" s="19"/>
      <c r="C710" s="20">
        <v>240819000020</v>
      </c>
      <c r="D710" s="21">
        <v>45531</v>
      </c>
      <c r="E710" s="21" t="s">
        <v>41</v>
      </c>
      <c r="F710" s="19" t="s">
        <v>42</v>
      </c>
      <c r="G710" s="19" t="s">
        <v>148</v>
      </c>
      <c r="H710" s="19">
        <v>1.5</v>
      </c>
      <c r="I710" s="51">
        <v>177.3</v>
      </c>
      <c r="J710" s="52"/>
      <c r="K710" s="45"/>
      <c r="L710" s="19"/>
      <c r="M710" s="45"/>
      <c r="N710" s="48"/>
      <c r="O710" s="49">
        <f t="shared" si="390"/>
        <v>177.3</v>
      </c>
      <c r="P710" s="53"/>
      <c r="Q710" s="53"/>
      <c r="R710" s="76">
        <f t="shared" si="384"/>
        <v>71.0284040995608</v>
      </c>
      <c r="S710" s="76"/>
      <c r="T710" s="77">
        <f t="shared" si="385"/>
        <v>0.0932064421669107</v>
      </c>
      <c r="U710" s="76"/>
      <c r="V710" s="76"/>
      <c r="W710" s="78">
        <f t="shared" si="380"/>
        <v>71.1216105417277</v>
      </c>
      <c r="X710" s="79">
        <f t="shared" si="386"/>
        <v>1.1365168374817</v>
      </c>
      <c r="Y710" s="79"/>
      <c r="Z710" s="79"/>
      <c r="AA710" s="79">
        <f t="shared" si="381"/>
        <v>1.1365168374817</v>
      </c>
      <c r="AB710" s="90">
        <v>7.15</v>
      </c>
      <c r="AC710" s="76">
        <f t="shared" si="382"/>
        <v>8.12609538799414</v>
      </c>
      <c r="AD710" s="76">
        <f t="shared" si="379"/>
        <v>79.2477059297218</v>
      </c>
      <c r="AE710" s="76">
        <f t="shared" si="383"/>
        <v>98.0522940702782</v>
      </c>
    </row>
    <row r="711" customFormat="1" spans="1:31">
      <c r="A711" s="18"/>
      <c r="B711" s="19"/>
      <c r="C711" s="20">
        <v>240819000021</v>
      </c>
      <c r="D711" s="21">
        <v>45531</v>
      </c>
      <c r="E711" s="21" t="s">
        <v>41</v>
      </c>
      <c r="F711" s="19" t="s">
        <v>42</v>
      </c>
      <c r="G711" s="19" t="s">
        <v>148</v>
      </c>
      <c r="H711" s="19">
        <v>1.5</v>
      </c>
      <c r="I711" s="51">
        <v>162.2</v>
      </c>
      <c r="J711" s="52"/>
      <c r="K711" s="45"/>
      <c r="L711" s="19"/>
      <c r="M711" s="45"/>
      <c r="N711" s="48"/>
      <c r="O711" s="49">
        <f t="shared" si="390"/>
        <v>162.2</v>
      </c>
      <c r="P711" s="53"/>
      <c r="Q711" s="53"/>
      <c r="R711" s="76">
        <f t="shared" si="384"/>
        <v>71.0284040995608</v>
      </c>
      <c r="S711" s="76"/>
      <c r="T711" s="77">
        <f t="shared" si="385"/>
        <v>0.0932064421669107</v>
      </c>
      <c r="U711" s="76"/>
      <c r="V711" s="76"/>
      <c r="W711" s="78">
        <f t="shared" si="380"/>
        <v>71.1216105417277</v>
      </c>
      <c r="X711" s="79">
        <f t="shared" si="386"/>
        <v>1.1365168374817</v>
      </c>
      <c r="Y711" s="79">
        <v>6.99</v>
      </c>
      <c r="Z711" s="79"/>
      <c r="AA711" s="79">
        <f t="shared" si="381"/>
        <v>8.1265168374817</v>
      </c>
      <c r="AB711" s="90">
        <v>7.15</v>
      </c>
      <c r="AC711" s="76">
        <f t="shared" si="382"/>
        <v>58.1045953879942</v>
      </c>
      <c r="AD711" s="76">
        <f t="shared" si="379"/>
        <v>129.226205929722</v>
      </c>
      <c r="AE711" s="76">
        <f t="shared" si="383"/>
        <v>32.9737940702782</v>
      </c>
    </row>
    <row r="712" customFormat="1" spans="1:31">
      <c r="A712" s="18"/>
      <c r="B712" s="19"/>
      <c r="C712" s="20">
        <v>240819000023</v>
      </c>
      <c r="D712" s="21">
        <v>45531</v>
      </c>
      <c r="E712" s="21" t="s">
        <v>51</v>
      </c>
      <c r="F712" s="19" t="s">
        <v>52</v>
      </c>
      <c r="G712" s="19" t="s">
        <v>416</v>
      </c>
      <c r="H712" s="19">
        <v>2</v>
      </c>
      <c r="I712" s="51">
        <v>148.5</v>
      </c>
      <c r="J712" s="52"/>
      <c r="K712" s="45"/>
      <c r="L712" s="19"/>
      <c r="M712" s="45"/>
      <c r="N712" s="48"/>
      <c r="O712" s="49">
        <f t="shared" si="390"/>
        <v>148.5</v>
      </c>
      <c r="P712" s="53"/>
      <c r="Q712" s="53"/>
      <c r="R712" s="76">
        <f t="shared" si="384"/>
        <v>94.7045387994144</v>
      </c>
      <c r="S712" s="76"/>
      <c r="T712" s="77">
        <f t="shared" si="385"/>
        <v>0.124275256222548</v>
      </c>
      <c r="U712" s="76"/>
      <c r="V712" s="76"/>
      <c r="W712" s="78">
        <f t="shared" si="380"/>
        <v>94.8288140556369</v>
      </c>
      <c r="X712" s="79">
        <f t="shared" si="386"/>
        <v>1.51535578330893</v>
      </c>
      <c r="Y712" s="79"/>
      <c r="Z712" s="79"/>
      <c r="AA712" s="79">
        <f t="shared" si="381"/>
        <v>1.51535578330893</v>
      </c>
      <c r="AB712" s="90">
        <v>7.15</v>
      </c>
      <c r="AC712" s="76">
        <f t="shared" si="382"/>
        <v>10.8347938506589</v>
      </c>
      <c r="AD712" s="76">
        <f t="shared" si="379"/>
        <v>105.663607906296</v>
      </c>
      <c r="AE712" s="76">
        <f t="shared" si="383"/>
        <v>42.8363920937042</v>
      </c>
    </row>
    <row r="713" customFormat="1" spans="1:31">
      <c r="A713" s="18"/>
      <c r="B713" s="19"/>
      <c r="C713" s="22">
        <v>240819000024</v>
      </c>
      <c r="D713" s="23">
        <v>45531</v>
      </c>
      <c r="E713" s="21" t="s">
        <v>51</v>
      </c>
      <c r="F713" s="24" t="s">
        <v>52</v>
      </c>
      <c r="G713" s="24" t="s">
        <v>416</v>
      </c>
      <c r="H713" s="24">
        <v>3</v>
      </c>
      <c r="I713" s="51">
        <v>281.4</v>
      </c>
      <c r="J713" s="52"/>
      <c r="K713" s="45"/>
      <c r="L713" s="19"/>
      <c r="M713" s="45"/>
      <c r="N713" s="48"/>
      <c r="O713" s="49">
        <f t="shared" si="390"/>
        <v>281.4</v>
      </c>
      <c r="P713" s="53"/>
      <c r="Q713" s="53"/>
      <c r="R713" s="76">
        <f t="shared" si="384"/>
        <v>142.056808199122</v>
      </c>
      <c r="S713" s="76"/>
      <c r="T713" s="77">
        <f t="shared" si="385"/>
        <v>0.186412884333821</v>
      </c>
      <c r="U713" s="76"/>
      <c r="V713" s="76"/>
      <c r="W713" s="78">
        <f t="shared" si="380"/>
        <v>142.243221083455</v>
      </c>
      <c r="X713" s="79">
        <f t="shared" si="386"/>
        <v>2.2730336749634</v>
      </c>
      <c r="Y713" s="79"/>
      <c r="Z713" s="79"/>
      <c r="AA713" s="79">
        <f t="shared" si="381"/>
        <v>2.2730336749634</v>
      </c>
      <c r="AB713" s="90">
        <v>7.15</v>
      </c>
      <c r="AC713" s="76">
        <f t="shared" si="382"/>
        <v>16.2521907759883</v>
      </c>
      <c r="AD713" s="76">
        <f t="shared" si="379"/>
        <v>158.495411859444</v>
      </c>
      <c r="AE713" s="76">
        <f t="shared" si="383"/>
        <v>122.904588140556</v>
      </c>
    </row>
    <row r="714" customFormat="1" spans="1:31">
      <c r="A714" s="18"/>
      <c r="B714" s="19"/>
      <c r="C714" s="20">
        <v>240819000025</v>
      </c>
      <c r="D714" s="21">
        <v>45531</v>
      </c>
      <c r="E714" s="21" t="s">
        <v>51</v>
      </c>
      <c r="F714" s="19" t="s">
        <v>52</v>
      </c>
      <c r="G714" s="19" t="s">
        <v>473</v>
      </c>
      <c r="H714" s="19">
        <v>0.6</v>
      </c>
      <c r="I714" s="51">
        <v>76</v>
      </c>
      <c r="J714" s="52"/>
      <c r="K714" s="45"/>
      <c r="L714" s="19"/>
      <c r="M714" s="45"/>
      <c r="N714" s="48"/>
      <c r="O714" s="49">
        <f t="shared" si="390"/>
        <v>76</v>
      </c>
      <c r="P714" s="53"/>
      <c r="Q714" s="53"/>
      <c r="R714" s="76">
        <f t="shared" si="384"/>
        <v>28.4113616398243</v>
      </c>
      <c r="S714" s="76"/>
      <c r="T714" s="77">
        <f t="shared" si="385"/>
        <v>0.0372825768667643</v>
      </c>
      <c r="U714" s="76"/>
      <c r="V714" s="76"/>
      <c r="W714" s="78">
        <f t="shared" si="380"/>
        <v>28.4486442166911</v>
      </c>
      <c r="X714" s="79">
        <f t="shared" si="386"/>
        <v>0.454606734992679</v>
      </c>
      <c r="Y714" s="79"/>
      <c r="Z714" s="79"/>
      <c r="AA714" s="79">
        <f t="shared" si="381"/>
        <v>0.454606734992679</v>
      </c>
      <c r="AB714" s="90">
        <v>7.15</v>
      </c>
      <c r="AC714" s="76">
        <f t="shared" si="382"/>
        <v>3.25043815519766</v>
      </c>
      <c r="AD714" s="76">
        <f t="shared" si="379"/>
        <v>31.6990823718887</v>
      </c>
      <c r="AE714" s="76">
        <f t="shared" si="383"/>
        <v>44.3009176281113</v>
      </c>
    </row>
    <row r="715" customFormat="1" spans="1:31">
      <c r="A715" s="18"/>
      <c r="B715" s="19"/>
      <c r="C715" s="20">
        <v>240819000026</v>
      </c>
      <c r="D715" s="21">
        <v>45531</v>
      </c>
      <c r="E715" s="21" t="s">
        <v>51</v>
      </c>
      <c r="F715" s="19" t="s">
        <v>52</v>
      </c>
      <c r="G715" s="19" t="s">
        <v>418</v>
      </c>
      <c r="H715" s="19">
        <v>53.5</v>
      </c>
      <c r="I715" s="51">
        <v>3531</v>
      </c>
      <c r="J715" s="52"/>
      <c r="K715" s="45"/>
      <c r="L715" s="19"/>
      <c r="M715" s="45"/>
      <c r="N715" s="48"/>
      <c r="O715" s="49">
        <f t="shared" si="390"/>
        <v>3531</v>
      </c>
      <c r="P715" s="53"/>
      <c r="Q715" s="53"/>
      <c r="R715" s="76">
        <f t="shared" si="384"/>
        <v>2533.34641288433</v>
      </c>
      <c r="S715" s="76"/>
      <c r="T715" s="77">
        <f t="shared" si="385"/>
        <v>3.32436310395315</v>
      </c>
      <c r="U715" s="76"/>
      <c r="V715" s="76"/>
      <c r="W715" s="78">
        <f t="shared" si="380"/>
        <v>2536.67077598829</v>
      </c>
      <c r="X715" s="79">
        <f t="shared" si="386"/>
        <v>40.5357672035139</v>
      </c>
      <c r="Y715" s="79"/>
      <c r="Z715" s="79"/>
      <c r="AA715" s="79">
        <f t="shared" si="381"/>
        <v>40.5357672035139</v>
      </c>
      <c r="AB715" s="90">
        <v>7.15</v>
      </c>
      <c r="AC715" s="76">
        <f t="shared" si="382"/>
        <v>289.830735505124</v>
      </c>
      <c r="AD715" s="76">
        <f t="shared" si="379"/>
        <v>2826.50151149341</v>
      </c>
      <c r="AE715" s="76">
        <f t="shared" si="383"/>
        <v>704.498488506589</v>
      </c>
    </row>
    <row r="716" customFormat="1" spans="1:31">
      <c r="A716" s="18"/>
      <c r="B716" s="19"/>
      <c r="C716" s="20">
        <v>240819000028</v>
      </c>
      <c r="D716" s="21">
        <v>45531</v>
      </c>
      <c r="E716" s="21" t="s">
        <v>44</v>
      </c>
      <c r="F716" s="19" t="s">
        <v>45</v>
      </c>
      <c r="G716" s="19" t="s">
        <v>388</v>
      </c>
      <c r="H716" s="19">
        <v>0.32</v>
      </c>
      <c r="I716" s="51">
        <v>69</v>
      </c>
      <c r="J716" s="52"/>
      <c r="K716" s="45"/>
      <c r="L716" s="19"/>
      <c r="M716" s="45"/>
      <c r="N716" s="48"/>
      <c r="O716" s="49">
        <f t="shared" si="390"/>
        <v>69</v>
      </c>
      <c r="P716" s="53"/>
      <c r="Q716" s="53"/>
      <c r="R716" s="76">
        <f t="shared" si="384"/>
        <v>15.1527262079063</v>
      </c>
      <c r="S716" s="76"/>
      <c r="T716" s="77">
        <f t="shared" si="385"/>
        <v>0.0198840409956076</v>
      </c>
      <c r="U716" s="76"/>
      <c r="V716" s="76"/>
      <c r="W716" s="78">
        <f t="shared" si="380"/>
        <v>15.1726102489019</v>
      </c>
      <c r="X716" s="79">
        <f t="shared" si="386"/>
        <v>0.242456925329429</v>
      </c>
      <c r="Y716" s="79"/>
      <c r="Z716" s="79"/>
      <c r="AA716" s="79">
        <f t="shared" si="381"/>
        <v>0.242456925329429</v>
      </c>
      <c r="AB716" s="90">
        <v>7.15</v>
      </c>
      <c r="AC716" s="76">
        <f t="shared" si="382"/>
        <v>1.73356701610542</v>
      </c>
      <c r="AD716" s="76">
        <f t="shared" si="379"/>
        <v>16.9061772650073</v>
      </c>
      <c r="AE716" s="76">
        <f t="shared" si="383"/>
        <v>52.0938227349927</v>
      </c>
    </row>
    <row r="717" customFormat="1" spans="1:31">
      <c r="A717" s="18"/>
      <c r="B717" s="19"/>
      <c r="C717" s="20">
        <v>240819000029</v>
      </c>
      <c r="D717" s="21">
        <v>45531</v>
      </c>
      <c r="E717" s="21" t="s">
        <v>51</v>
      </c>
      <c r="F717" s="19" t="s">
        <v>52</v>
      </c>
      <c r="G717" s="19" t="s">
        <v>474</v>
      </c>
      <c r="H717" s="19">
        <v>3</v>
      </c>
      <c r="I717" s="51">
        <v>201</v>
      </c>
      <c r="J717" s="52"/>
      <c r="K717" s="45"/>
      <c r="L717" s="19"/>
      <c r="M717" s="45"/>
      <c r="N717" s="48"/>
      <c r="O717" s="49">
        <f t="shared" si="390"/>
        <v>201</v>
      </c>
      <c r="P717" s="53"/>
      <c r="Q717" s="53"/>
      <c r="R717" s="76">
        <f t="shared" si="384"/>
        <v>142.056808199122</v>
      </c>
      <c r="S717" s="76"/>
      <c r="T717" s="77">
        <f t="shared" si="385"/>
        <v>0.186412884333821</v>
      </c>
      <c r="U717" s="76"/>
      <c r="V717" s="76"/>
      <c r="W717" s="78">
        <f t="shared" si="380"/>
        <v>142.243221083455</v>
      </c>
      <c r="X717" s="79">
        <f t="shared" si="386"/>
        <v>2.2730336749634</v>
      </c>
      <c r="Y717" s="79"/>
      <c r="Z717" s="79"/>
      <c r="AA717" s="79">
        <f t="shared" si="381"/>
        <v>2.2730336749634</v>
      </c>
      <c r="AB717" s="90">
        <v>7.15</v>
      </c>
      <c r="AC717" s="76">
        <f t="shared" si="382"/>
        <v>16.2521907759883</v>
      </c>
      <c r="AD717" s="76">
        <f t="shared" si="379"/>
        <v>158.495411859444</v>
      </c>
      <c r="AE717" s="76">
        <f t="shared" si="383"/>
        <v>42.5045881405564</v>
      </c>
    </row>
    <row r="718" customFormat="1" spans="1:31">
      <c r="A718" s="18"/>
      <c r="B718" s="19"/>
      <c r="C718" s="20">
        <v>240819000031</v>
      </c>
      <c r="D718" s="21">
        <v>45531</v>
      </c>
      <c r="E718" s="21" t="s">
        <v>41</v>
      </c>
      <c r="F718" s="19" t="s">
        <v>42</v>
      </c>
      <c r="G718" s="19" t="s">
        <v>475</v>
      </c>
      <c r="H718" s="19">
        <v>6</v>
      </c>
      <c r="I718" s="51">
        <v>1177</v>
      </c>
      <c r="J718" s="52"/>
      <c r="K718" s="45"/>
      <c r="L718" s="19"/>
      <c r="M718" s="45"/>
      <c r="N718" s="48"/>
      <c r="O718" s="49">
        <f t="shared" si="390"/>
        <v>1177</v>
      </c>
      <c r="P718" s="53"/>
      <c r="Q718" s="53"/>
      <c r="R718" s="76">
        <f t="shared" si="384"/>
        <v>284.113616398243</v>
      </c>
      <c r="S718" s="76"/>
      <c r="T718" s="77">
        <f t="shared" si="385"/>
        <v>0.372825768667643</v>
      </c>
      <c r="U718" s="76"/>
      <c r="V718" s="76"/>
      <c r="W718" s="78">
        <f t="shared" si="380"/>
        <v>284.486442166911</v>
      </c>
      <c r="X718" s="79">
        <f t="shared" si="386"/>
        <v>4.54606734992679</v>
      </c>
      <c r="Y718" s="79"/>
      <c r="Z718" s="79"/>
      <c r="AA718" s="79">
        <f t="shared" si="381"/>
        <v>4.54606734992679</v>
      </c>
      <c r="AB718" s="90">
        <v>7.15</v>
      </c>
      <c r="AC718" s="76">
        <f t="shared" si="382"/>
        <v>32.5043815519766</v>
      </c>
      <c r="AD718" s="76">
        <f t="shared" si="379"/>
        <v>316.990823718887</v>
      </c>
      <c r="AE718" s="76">
        <f t="shared" si="383"/>
        <v>860.009176281113</v>
      </c>
    </row>
    <row r="719" customFormat="1" spans="1:31">
      <c r="A719" s="18"/>
      <c r="B719" s="19"/>
      <c r="C719" s="20">
        <v>240819000038</v>
      </c>
      <c r="D719" s="21">
        <v>45531</v>
      </c>
      <c r="E719" s="21" t="s">
        <v>51</v>
      </c>
      <c r="F719" s="19" t="s">
        <v>52</v>
      </c>
      <c r="G719" s="19" t="s">
        <v>132</v>
      </c>
      <c r="H719" s="19">
        <v>3.5</v>
      </c>
      <c r="I719" s="51">
        <v>257</v>
      </c>
      <c r="J719" s="52"/>
      <c r="K719" s="45"/>
      <c r="L719" s="19"/>
      <c r="M719" s="45"/>
      <c r="N719" s="48"/>
      <c r="O719" s="49">
        <f t="shared" si="390"/>
        <v>257</v>
      </c>
      <c r="P719" s="53"/>
      <c r="Q719" s="53"/>
      <c r="R719" s="76">
        <f t="shared" si="384"/>
        <v>165.732942898975</v>
      </c>
      <c r="S719" s="76"/>
      <c r="T719" s="77">
        <f t="shared" si="385"/>
        <v>0.217481698389458</v>
      </c>
      <c r="U719" s="76"/>
      <c r="V719" s="76"/>
      <c r="W719" s="78">
        <f t="shared" si="380"/>
        <v>165.950424597365</v>
      </c>
      <c r="X719" s="79">
        <f t="shared" si="386"/>
        <v>2.65187262079063</v>
      </c>
      <c r="Y719" s="79"/>
      <c r="Z719" s="79"/>
      <c r="AA719" s="79">
        <f t="shared" si="381"/>
        <v>2.65187262079063</v>
      </c>
      <c r="AB719" s="90">
        <v>7.15</v>
      </c>
      <c r="AC719" s="76">
        <f t="shared" si="382"/>
        <v>18.960889238653</v>
      </c>
      <c r="AD719" s="76">
        <f t="shared" si="379"/>
        <v>184.911313836018</v>
      </c>
      <c r="AE719" s="76">
        <f t="shared" si="383"/>
        <v>72.0886861639824</v>
      </c>
    </row>
    <row r="720" customFormat="1" spans="1:31">
      <c r="A720" s="18"/>
      <c r="B720" s="19"/>
      <c r="C720" s="20">
        <v>240819000039</v>
      </c>
      <c r="D720" s="21">
        <v>45531</v>
      </c>
      <c r="E720" s="21" t="s">
        <v>51</v>
      </c>
      <c r="F720" s="19" t="s">
        <v>52</v>
      </c>
      <c r="G720" s="19" t="s">
        <v>111</v>
      </c>
      <c r="H720" s="19">
        <v>2</v>
      </c>
      <c r="I720" s="51">
        <v>148</v>
      </c>
      <c r="J720" s="52"/>
      <c r="K720" s="45"/>
      <c r="L720" s="19"/>
      <c r="M720" s="45"/>
      <c r="N720" s="48"/>
      <c r="O720" s="49">
        <f t="shared" si="390"/>
        <v>148</v>
      </c>
      <c r="P720" s="53"/>
      <c r="Q720" s="53"/>
      <c r="R720" s="76">
        <f t="shared" si="384"/>
        <v>94.7045387994144</v>
      </c>
      <c r="S720" s="76"/>
      <c r="T720" s="77">
        <f t="shared" si="385"/>
        <v>0.124275256222548</v>
      </c>
      <c r="U720" s="76"/>
      <c r="V720" s="76"/>
      <c r="W720" s="78">
        <f t="shared" si="380"/>
        <v>94.8288140556369</v>
      </c>
      <c r="X720" s="79">
        <f t="shared" si="386"/>
        <v>1.51535578330893</v>
      </c>
      <c r="Y720" s="79"/>
      <c r="Z720" s="79"/>
      <c r="AA720" s="79">
        <f t="shared" si="381"/>
        <v>1.51535578330893</v>
      </c>
      <c r="AB720" s="90">
        <v>7.15</v>
      </c>
      <c r="AC720" s="76">
        <f t="shared" si="382"/>
        <v>10.8347938506589</v>
      </c>
      <c r="AD720" s="76">
        <f t="shared" si="379"/>
        <v>105.663607906296</v>
      </c>
      <c r="AE720" s="76">
        <f t="shared" si="383"/>
        <v>42.3363920937042</v>
      </c>
    </row>
    <row r="721" customFormat="1" spans="1:31">
      <c r="A721" s="18"/>
      <c r="B721" s="19"/>
      <c r="C721" s="20">
        <v>240819000040</v>
      </c>
      <c r="D721" s="21">
        <v>45531</v>
      </c>
      <c r="E721" s="21" t="s">
        <v>51</v>
      </c>
      <c r="F721" s="19" t="s">
        <v>52</v>
      </c>
      <c r="G721" s="19" t="s">
        <v>251</v>
      </c>
      <c r="H721" s="19">
        <v>2</v>
      </c>
      <c r="I721" s="49"/>
      <c r="J721" s="44">
        <v>39262</v>
      </c>
      <c r="K721" s="45"/>
      <c r="L721" s="46">
        <f>SUM(J721/M721)</f>
        <v>1640.01670843776</v>
      </c>
      <c r="M721" s="47">
        <v>23.94</v>
      </c>
      <c r="N721" s="48">
        <v>7.15</v>
      </c>
      <c r="O721" s="49">
        <f>SUM(M721*N721)</f>
        <v>171.171</v>
      </c>
      <c r="P721" s="53"/>
      <c r="Q721" s="53"/>
      <c r="R721" s="76">
        <f t="shared" si="384"/>
        <v>94.7045387994144</v>
      </c>
      <c r="S721" s="76"/>
      <c r="T721" s="77">
        <f t="shared" si="385"/>
        <v>0.124275256222548</v>
      </c>
      <c r="U721" s="76"/>
      <c r="V721" s="76"/>
      <c r="W721" s="78">
        <f t="shared" si="380"/>
        <v>94.8288140556369</v>
      </c>
      <c r="X721" s="79">
        <f t="shared" si="386"/>
        <v>1.51535578330893</v>
      </c>
      <c r="Y721" s="79"/>
      <c r="Z721" s="79"/>
      <c r="AA721" s="79">
        <f t="shared" si="381"/>
        <v>1.51535578330893</v>
      </c>
      <c r="AB721" s="90">
        <v>7.15</v>
      </c>
      <c r="AC721" s="76">
        <f t="shared" si="382"/>
        <v>10.8347938506589</v>
      </c>
      <c r="AD721" s="76">
        <f t="shared" ref="AD721:AD762" si="391">SUM(W721+AC721)</f>
        <v>105.663607906296</v>
      </c>
      <c r="AE721" s="76">
        <f t="shared" si="383"/>
        <v>65.5073920937042</v>
      </c>
    </row>
    <row r="722" customFormat="1" spans="1:31">
      <c r="A722" s="18"/>
      <c r="B722" s="19"/>
      <c r="C722" s="20">
        <v>240819000042</v>
      </c>
      <c r="D722" s="21">
        <v>45531</v>
      </c>
      <c r="E722" s="21" t="s">
        <v>44</v>
      </c>
      <c r="F722" s="19" t="s">
        <v>45</v>
      </c>
      <c r="G722" s="19" t="s">
        <v>309</v>
      </c>
      <c r="H722" s="19">
        <v>27</v>
      </c>
      <c r="I722" s="51">
        <v>1782</v>
      </c>
      <c r="J722" s="52"/>
      <c r="K722" s="45"/>
      <c r="L722" s="19"/>
      <c r="M722" s="45"/>
      <c r="N722" s="48"/>
      <c r="O722" s="49">
        <f t="shared" ref="O722:O725" si="392">SUM(I722)</f>
        <v>1782</v>
      </c>
      <c r="P722" s="53"/>
      <c r="Q722" s="53"/>
      <c r="R722" s="76">
        <f t="shared" si="384"/>
        <v>1278.51127379209</v>
      </c>
      <c r="S722" s="76"/>
      <c r="T722" s="77">
        <f t="shared" si="385"/>
        <v>1.67771595900439</v>
      </c>
      <c r="U722" s="76"/>
      <c r="V722" s="76"/>
      <c r="W722" s="78">
        <f t="shared" ref="W722:W764" si="393">SUM(R722:V722)</f>
        <v>1280.1889897511</v>
      </c>
      <c r="X722" s="79">
        <f t="shared" si="386"/>
        <v>20.4573030746706</v>
      </c>
      <c r="Y722" s="79"/>
      <c r="Z722" s="79"/>
      <c r="AA722" s="79">
        <f t="shared" ref="AA722:AA764" si="394">SUM(X722:Z722)</f>
        <v>20.4573030746706</v>
      </c>
      <c r="AB722" s="90">
        <v>7.15</v>
      </c>
      <c r="AC722" s="76">
        <f t="shared" ref="AC722:AC763" si="395">SUM(AA722*AB722)</f>
        <v>146.269716983895</v>
      </c>
      <c r="AD722" s="76">
        <f t="shared" si="391"/>
        <v>1426.45870673499</v>
      </c>
      <c r="AE722" s="76">
        <f t="shared" si="383"/>
        <v>355.541293265007</v>
      </c>
    </row>
    <row r="723" customFormat="1" spans="1:31">
      <c r="A723" s="18"/>
      <c r="B723" s="19"/>
      <c r="C723" s="20">
        <v>240820000002</v>
      </c>
      <c r="D723" s="21">
        <v>45531</v>
      </c>
      <c r="E723" s="21" t="s">
        <v>37</v>
      </c>
      <c r="F723" s="19" t="s">
        <v>38</v>
      </c>
      <c r="G723" s="19" t="s">
        <v>438</v>
      </c>
      <c r="H723" s="19">
        <v>8</v>
      </c>
      <c r="I723" s="51">
        <v>510</v>
      </c>
      <c r="J723" s="52"/>
      <c r="K723" s="45"/>
      <c r="L723" s="19"/>
      <c r="M723" s="45"/>
      <c r="N723" s="48"/>
      <c r="O723" s="49">
        <f t="shared" si="392"/>
        <v>510</v>
      </c>
      <c r="P723" s="53"/>
      <c r="Q723" s="53"/>
      <c r="R723" s="76">
        <f t="shared" si="384"/>
        <v>378.818155197657</v>
      </c>
      <c r="S723" s="76"/>
      <c r="T723" s="77">
        <f t="shared" si="385"/>
        <v>0.49710102489019</v>
      </c>
      <c r="U723" s="76"/>
      <c r="V723" s="76"/>
      <c r="W723" s="78">
        <f t="shared" si="393"/>
        <v>379.315256222548</v>
      </c>
      <c r="X723" s="79">
        <f t="shared" si="386"/>
        <v>6.06142313323572</v>
      </c>
      <c r="Y723" s="79"/>
      <c r="Z723" s="79"/>
      <c r="AA723" s="79">
        <f t="shared" si="394"/>
        <v>6.06142313323572</v>
      </c>
      <c r="AB723" s="90">
        <v>7.15</v>
      </c>
      <c r="AC723" s="76">
        <f t="shared" si="395"/>
        <v>43.3391754026354</v>
      </c>
      <c r="AD723" s="76">
        <f t="shared" si="391"/>
        <v>422.654431625183</v>
      </c>
      <c r="AE723" s="76">
        <f t="shared" ref="AE723:AE764" si="396">SUM(O723-AD723)</f>
        <v>87.345568374817</v>
      </c>
    </row>
    <row r="724" customFormat="1" spans="1:31">
      <c r="A724" s="18"/>
      <c r="B724" s="19"/>
      <c r="C724" s="20">
        <v>240820000003</v>
      </c>
      <c r="D724" s="21">
        <v>45531</v>
      </c>
      <c r="E724" s="21" t="s">
        <v>82</v>
      </c>
      <c r="F724" s="19" t="s">
        <v>83</v>
      </c>
      <c r="G724" s="19" t="s">
        <v>153</v>
      </c>
      <c r="H724" s="19">
        <v>8</v>
      </c>
      <c r="I724" s="51">
        <v>537</v>
      </c>
      <c r="J724" s="52"/>
      <c r="K724" s="45"/>
      <c r="L724" s="19"/>
      <c r="M724" s="45"/>
      <c r="N724" s="48"/>
      <c r="O724" s="49">
        <f t="shared" si="392"/>
        <v>537</v>
      </c>
      <c r="P724" s="53"/>
      <c r="Q724" s="53"/>
      <c r="R724" s="76">
        <f t="shared" si="384"/>
        <v>378.818155197657</v>
      </c>
      <c r="S724" s="76"/>
      <c r="T724" s="77">
        <f t="shared" si="385"/>
        <v>0.49710102489019</v>
      </c>
      <c r="U724" s="76"/>
      <c r="V724" s="76"/>
      <c r="W724" s="78">
        <f t="shared" si="393"/>
        <v>379.315256222548</v>
      </c>
      <c r="X724" s="79">
        <f t="shared" si="386"/>
        <v>6.06142313323572</v>
      </c>
      <c r="Y724" s="79"/>
      <c r="Z724" s="79"/>
      <c r="AA724" s="79">
        <f t="shared" si="394"/>
        <v>6.06142313323572</v>
      </c>
      <c r="AB724" s="90">
        <v>7.15</v>
      </c>
      <c r="AC724" s="76">
        <f t="shared" si="395"/>
        <v>43.3391754026354</v>
      </c>
      <c r="AD724" s="76">
        <f t="shared" si="391"/>
        <v>422.654431625183</v>
      </c>
      <c r="AE724" s="76">
        <f t="shared" si="396"/>
        <v>114.345568374817</v>
      </c>
    </row>
    <row r="725" customFormat="1" spans="1:31">
      <c r="A725" s="18"/>
      <c r="B725" s="19"/>
      <c r="C725" s="20">
        <v>240820000004</v>
      </c>
      <c r="D725" s="21">
        <v>45531</v>
      </c>
      <c r="E725" s="21" t="s">
        <v>37</v>
      </c>
      <c r="F725" s="19" t="s">
        <v>38</v>
      </c>
      <c r="G725" s="19" t="s">
        <v>268</v>
      </c>
      <c r="H725" s="19">
        <v>42</v>
      </c>
      <c r="I725" s="51">
        <v>2706</v>
      </c>
      <c r="J725" s="52"/>
      <c r="K725" s="45"/>
      <c r="L725" s="19"/>
      <c r="M725" s="45"/>
      <c r="N725" s="48"/>
      <c r="O725" s="49">
        <f t="shared" si="392"/>
        <v>2706</v>
      </c>
      <c r="P725" s="53"/>
      <c r="Q725" s="53"/>
      <c r="R725" s="76">
        <f t="shared" ref="R725:R765" si="397">SUM(161708/3415)*H725</f>
        <v>1988.7953147877</v>
      </c>
      <c r="S725" s="76"/>
      <c r="T725" s="77">
        <f t="shared" ref="T725:T765" si="398">SUM(212.2/3415)*H725</f>
        <v>2.6097803806735</v>
      </c>
      <c r="U725" s="77">
        <v>60</v>
      </c>
      <c r="V725" s="76"/>
      <c r="W725" s="78">
        <f t="shared" si="393"/>
        <v>2051.40509516837</v>
      </c>
      <c r="X725" s="79">
        <f t="shared" ref="X725:X765" si="399">SUM(2587.47/3415)*H725</f>
        <v>31.8224714494876</v>
      </c>
      <c r="Y725" s="79"/>
      <c r="Z725" s="79"/>
      <c r="AA725" s="79">
        <f t="shared" si="394"/>
        <v>31.8224714494876</v>
      </c>
      <c r="AB725" s="90">
        <v>7.15</v>
      </c>
      <c r="AC725" s="76">
        <f t="shared" si="395"/>
        <v>227.530670863836</v>
      </c>
      <c r="AD725" s="76">
        <f t="shared" si="391"/>
        <v>2278.93576603221</v>
      </c>
      <c r="AE725" s="76">
        <f t="shared" si="396"/>
        <v>427.064233967789</v>
      </c>
    </row>
    <row r="726" customFormat="1" spans="1:31">
      <c r="A726" s="18"/>
      <c r="B726" s="19"/>
      <c r="C726" s="20">
        <v>240820000009</v>
      </c>
      <c r="D726" s="21">
        <v>45531</v>
      </c>
      <c r="E726" s="21" t="s">
        <v>41</v>
      </c>
      <c r="F726" s="19" t="s">
        <v>42</v>
      </c>
      <c r="G726" s="19" t="s">
        <v>368</v>
      </c>
      <c r="H726" s="19">
        <v>10</v>
      </c>
      <c r="I726" s="43"/>
      <c r="J726" s="44">
        <v>151728</v>
      </c>
      <c r="K726" s="45"/>
      <c r="L726" s="46">
        <f>SUM(J726/M726)</f>
        <v>1712.31238009254</v>
      </c>
      <c r="M726" s="47">
        <v>88.61</v>
      </c>
      <c r="N726" s="48">
        <v>7.15</v>
      </c>
      <c r="O726" s="49">
        <f>SUM(M726*N726)</f>
        <v>633.5615</v>
      </c>
      <c r="P726" s="53"/>
      <c r="Q726" s="53"/>
      <c r="R726" s="76">
        <f t="shared" si="397"/>
        <v>473.522693997072</v>
      </c>
      <c r="S726" s="76"/>
      <c r="T726" s="77">
        <f t="shared" si="398"/>
        <v>0.621376281112738</v>
      </c>
      <c r="U726" s="76"/>
      <c r="V726" s="76"/>
      <c r="W726" s="78">
        <f t="shared" si="393"/>
        <v>474.144070278185</v>
      </c>
      <c r="X726" s="79">
        <f t="shared" si="399"/>
        <v>7.57677891654466</v>
      </c>
      <c r="Y726" s="79"/>
      <c r="Z726" s="79"/>
      <c r="AA726" s="79">
        <f t="shared" si="394"/>
        <v>7.57677891654466</v>
      </c>
      <c r="AB726" s="90">
        <v>7.15</v>
      </c>
      <c r="AC726" s="76">
        <f t="shared" si="395"/>
        <v>54.1739692532943</v>
      </c>
      <c r="AD726" s="76">
        <f t="shared" si="391"/>
        <v>528.318039531479</v>
      </c>
      <c r="AE726" s="76">
        <f t="shared" si="396"/>
        <v>105.243460468521</v>
      </c>
    </row>
    <row r="727" customFormat="1" spans="1:31">
      <c r="A727" s="18"/>
      <c r="B727" s="19"/>
      <c r="C727" s="20">
        <v>240820000010</v>
      </c>
      <c r="D727" s="21">
        <v>45531</v>
      </c>
      <c r="E727" s="21" t="s">
        <v>37</v>
      </c>
      <c r="F727" s="19" t="s">
        <v>38</v>
      </c>
      <c r="G727" s="19" t="s">
        <v>87</v>
      </c>
      <c r="H727" s="19">
        <v>3.5</v>
      </c>
      <c r="I727" s="51">
        <v>257.4</v>
      </c>
      <c r="J727" s="52"/>
      <c r="K727" s="45"/>
      <c r="L727" s="19"/>
      <c r="M727" s="45"/>
      <c r="N727" s="48"/>
      <c r="O727" s="49">
        <f t="shared" ref="O727:O731" si="400">SUM(I727)</f>
        <v>257.4</v>
      </c>
      <c r="P727" s="53"/>
      <c r="Q727" s="53"/>
      <c r="R727" s="76">
        <f t="shared" si="397"/>
        <v>165.732942898975</v>
      </c>
      <c r="S727" s="76"/>
      <c r="T727" s="77">
        <f t="shared" si="398"/>
        <v>0.217481698389458</v>
      </c>
      <c r="U727" s="76"/>
      <c r="V727" s="76"/>
      <c r="W727" s="78">
        <f t="shared" si="393"/>
        <v>165.950424597365</v>
      </c>
      <c r="X727" s="79">
        <f t="shared" si="399"/>
        <v>2.65187262079063</v>
      </c>
      <c r="Y727" s="79"/>
      <c r="Z727" s="79"/>
      <c r="AA727" s="79">
        <f t="shared" si="394"/>
        <v>2.65187262079063</v>
      </c>
      <c r="AB727" s="90">
        <v>7.15</v>
      </c>
      <c r="AC727" s="76">
        <f t="shared" si="395"/>
        <v>18.960889238653</v>
      </c>
      <c r="AD727" s="76">
        <f t="shared" si="391"/>
        <v>184.911313836018</v>
      </c>
      <c r="AE727" s="76">
        <f t="shared" si="396"/>
        <v>72.4886861639824</v>
      </c>
    </row>
    <row r="728" customFormat="1" spans="1:31">
      <c r="A728" s="18"/>
      <c r="B728" s="19"/>
      <c r="C728" s="20">
        <v>240820000014</v>
      </c>
      <c r="D728" s="21">
        <v>45531</v>
      </c>
      <c r="E728" s="21" t="s">
        <v>37</v>
      </c>
      <c r="F728" s="19" t="s">
        <v>38</v>
      </c>
      <c r="G728" s="19" t="s">
        <v>476</v>
      </c>
      <c r="H728" s="19">
        <v>2</v>
      </c>
      <c r="I728" s="51">
        <v>130</v>
      </c>
      <c r="J728" s="52"/>
      <c r="K728" s="45"/>
      <c r="L728" s="19"/>
      <c r="M728" s="45"/>
      <c r="N728" s="48"/>
      <c r="O728" s="49">
        <f t="shared" si="400"/>
        <v>130</v>
      </c>
      <c r="P728" s="53"/>
      <c r="Q728" s="53"/>
      <c r="R728" s="76">
        <f t="shared" si="397"/>
        <v>94.7045387994144</v>
      </c>
      <c r="S728" s="76"/>
      <c r="T728" s="77">
        <f t="shared" si="398"/>
        <v>0.124275256222548</v>
      </c>
      <c r="U728" s="76"/>
      <c r="V728" s="76"/>
      <c r="W728" s="78">
        <f t="shared" si="393"/>
        <v>94.8288140556369</v>
      </c>
      <c r="X728" s="79">
        <f t="shared" si="399"/>
        <v>1.51535578330893</v>
      </c>
      <c r="Y728" s="79"/>
      <c r="Z728" s="79"/>
      <c r="AA728" s="79">
        <f t="shared" si="394"/>
        <v>1.51535578330893</v>
      </c>
      <c r="AB728" s="90">
        <v>7.15</v>
      </c>
      <c r="AC728" s="76">
        <f t="shared" si="395"/>
        <v>10.8347938506589</v>
      </c>
      <c r="AD728" s="76">
        <f t="shared" si="391"/>
        <v>105.663607906296</v>
      </c>
      <c r="AE728" s="76">
        <f t="shared" si="396"/>
        <v>24.3363920937042</v>
      </c>
    </row>
    <row r="729" customFormat="1" spans="1:31">
      <c r="A729" s="18"/>
      <c r="B729" s="19"/>
      <c r="C729" s="20">
        <v>240820000020</v>
      </c>
      <c r="D729" s="21">
        <v>45531</v>
      </c>
      <c r="E729" s="21" t="s">
        <v>57</v>
      </c>
      <c r="F729" s="19" t="s">
        <v>57</v>
      </c>
      <c r="G729" s="19" t="s">
        <v>150</v>
      </c>
      <c r="H729" s="19">
        <v>172</v>
      </c>
      <c r="I729" s="51">
        <v>9242</v>
      </c>
      <c r="J729" s="52"/>
      <c r="K729" s="45"/>
      <c r="L729" s="19"/>
      <c r="M729" s="45"/>
      <c r="N729" s="48"/>
      <c r="O729" s="49">
        <f t="shared" si="400"/>
        <v>9242</v>
      </c>
      <c r="P729" s="53"/>
      <c r="Q729" s="53"/>
      <c r="R729" s="76">
        <f t="shared" si="397"/>
        <v>8144.59033674963</v>
      </c>
      <c r="S729" s="76"/>
      <c r="T729" s="77">
        <f t="shared" si="398"/>
        <v>10.6876720351391</v>
      </c>
      <c r="U729" s="76"/>
      <c r="V729" s="76"/>
      <c r="W729" s="78">
        <f t="shared" si="393"/>
        <v>8155.27800878477</v>
      </c>
      <c r="X729" s="79">
        <f t="shared" si="399"/>
        <v>130.320597364568</v>
      </c>
      <c r="Y729" s="79"/>
      <c r="Z729" s="79"/>
      <c r="AA729" s="79">
        <f t="shared" si="394"/>
        <v>130.320597364568</v>
      </c>
      <c r="AB729" s="90">
        <v>7.15</v>
      </c>
      <c r="AC729" s="76">
        <f t="shared" si="395"/>
        <v>931.792271156662</v>
      </c>
      <c r="AD729" s="76">
        <f t="shared" si="391"/>
        <v>9087.07027994144</v>
      </c>
      <c r="AE729" s="76">
        <f t="shared" si="396"/>
        <v>154.929720058564</v>
      </c>
    </row>
    <row r="730" customFormat="1" spans="1:31">
      <c r="A730" s="18"/>
      <c r="B730" s="19"/>
      <c r="C730" s="20">
        <v>240820000027</v>
      </c>
      <c r="D730" s="21">
        <v>45531</v>
      </c>
      <c r="E730" s="21" t="s">
        <v>37</v>
      </c>
      <c r="F730" s="19" t="s">
        <v>38</v>
      </c>
      <c r="G730" s="19" t="s">
        <v>477</v>
      </c>
      <c r="H730" s="19">
        <v>63.5</v>
      </c>
      <c r="I730" s="51">
        <v>3654</v>
      </c>
      <c r="J730" s="52"/>
      <c r="K730" s="45"/>
      <c r="L730" s="19"/>
      <c r="M730" s="45"/>
      <c r="N730" s="48"/>
      <c r="O730" s="49">
        <f t="shared" si="400"/>
        <v>3654</v>
      </c>
      <c r="P730" s="53"/>
      <c r="Q730" s="53"/>
      <c r="R730" s="76">
        <f t="shared" si="397"/>
        <v>3006.86910688141</v>
      </c>
      <c r="S730" s="76"/>
      <c r="T730" s="77">
        <f t="shared" si="398"/>
        <v>3.94573938506589</v>
      </c>
      <c r="U730" s="76"/>
      <c r="V730" s="76"/>
      <c r="W730" s="78">
        <f t="shared" si="393"/>
        <v>3010.81484626647</v>
      </c>
      <c r="X730" s="79">
        <f t="shared" si="399"/>
        <v>48.1125461200586</v>
      </c>
      <c r="Y730" s="79"/>
      <c r="Z730" s="79"/>
      <c r="AA730" s="79">
        <f t="shared" si="394"/>
        <v>48.1125461200586</v>
      </c>
      <c r="AB730" s="90">
        <v>7.15</v>
      </c>
      <c r="AC730" s="76">
        <f t="shared" si="395"/>
        <v>344.004704758419</v>
      </c>
      <c r="AD730" s="76">
        <f t="shared" si="391"/>
        <v>3354.81955102489</v>
      </c>
      <c r="AE730" s="76">
        <f t="shared" si="396"/>
        <v>299.18044897511</v>
      </c>
    </row>
    <row r="731" customFormat="1" spans="1:31">
      <c r="A731" s="18"/>
      <c r="B731" s="19"/>
      <c r="C731" s="20">
        <v>240820000028</v>
      </c>
      <c r="D731" s="21">
        <v>45531</v>
      </c>
      <c r="E731" s="21" t="s">
        <v>41</v>
      </c>
      <c r="F731" s="19" t="s">
        <v>42</v>
      </c>
      <c r="G731" s="19" t="s">
        <v>478</v>
      </c>
      <c r="H731" s="19">
        <v>10</v>
      </c>
      <c r="I731" s="51">
        <v>633.6</v>
      </c>
      <c r="J731" s="52"/>
      <c r="K731" s="45"/>
      <c r="L731" s="19"/>
      <c r="M731" s="45"/>
      <c r="N731" s="48"/>
      <c r="O731" s="49">
        <f t="shared" si="400"/>
        <v>633.6</v>
      </c>
      <c r="P731" s="53"/>
      <c r="Q731" s="53"/>
      <c r="R731" s="76">
        <f t="shared" si="397"/>
        <v>473.522693997072</v>
      </c>
      <c r="S731" s="76"/>
      <c r="T731" s="77">
        <f t="shared" si="398"/>
        <v>0.621376281112738</v>
      </c>
      <c r="U731" s="76"/>
      <c r="V731" s="76"/>
      <c r="W731" s="78">
        <f t="shared" si="393"/>
        <v>474.144070278185</v>
      </c>
      <c r="X731" s="79">
        <f t="shared" si="399"/>
        <v>7.57677891654466</v>
      </c>
      <c r="Y731" s="79"/>
      <c r="Z731" s="79"/>
      <c r="AA731" s="79">
        <f t="shared" si="394"/>
        <v>7.57677891654466</v>
      </c>
      <c r="AB731" s="90">
        <v>7.15</v>
      </c>
      <c r="AC731" s="76">
        <f t="shared" si="395"/>
        <v>54.1739692532943</v>
      </c>
      <c r="AD731" s="76">
        <f t="shared" si="391"/>
        <v>528.318039531479</v>
      </c>
      <c r="AE731" s="76">
        <f t="shared" si="396"/>
        <v>105.281960468521</v>
      </c>
    </row>
    <row r="732" customFormat="1" spans="1:31">
      <c r="A732" s="18"/>
      <c r="B732" s="19"/>
      <c r="C732" s="20">
        <v>240820000030</v>
      </c>
      <c r="D732" s="21">
        <v>45531</v>
      </c>
      <c r="E732" s="21" t="s">
        <v>44</v>
      </c>
      <c r="F732" s="19" t="s">
        <v>45</v>
      </c>
      <c r="G732" s="19" t="s">
        <v>63</v>
      </c>
      <c r="H732" s="19">
        <v>7</v>
      </c>
      <c r="I732" s="49"/>
      <c r="J732" s="44">
        <v>101385</v>
      </c>
      <c r="K732" s="45"/>
      <c r="L732" s="46">
        <f t="shared" ref="L732:L737" si="401">SUM(J732/M732)</f>
        <v>1804.00355871886</v>
      </c>
      <c r="M732" s="47">
        <v>56.2</v>
      </c>
      <c r="N732" s="48">
        <v>7.15</v>
      </c>
      <c r="O732" s="49">
        <f t="shared" ref="O732:O737" si="402">SUM(M732*N732)</f>
        <v>401.83</v>
      </c>
      <c r="P732" s="53"/>
      <c r="Q732" s="53"/>
      <c r="R732" s="76">
        <f t="shared" si="397"/>
        <v>331.46588579795</v>
      </c>
      <c r="S732" s="76"/>
      <c r="T732" s="77">
        <f t="shared" si="398"/>
        <v>0.434963396778917</v>
      </c>
      <c r="U732" s="76"/>
      <c r="V732" s="76"/>
      <c r="W732" s="78">
        <f t="shared" si="393"/>
        <v>331.900849194729</v>
      </c>
      <c r="X732" s="79">
        <f t="shared" si="399"/>
        <v>5.30374524158126</v>
      </c>
      <c r="Y732" s="79"/>
      <c r="Z732" s="79"/>
      <c r="AA732" s="79">
        <f t="shared" si="394"/>
        <v>5.30374524158126</v>
      </c>
      <c r="AB732" s="90">
        <v>7.15</v>
      </c>
      <c r="AC732" s="76">
        <f t="shared" si="395"/>
        <v>37.921778477306</v>
      </c>
      <c r="AD732" s="76">
        <f t="shared" si="391"/>
        <v>369.822627672035</v>
      </c>
      <c r="AE732" s="76">
        <f t="shared" si="396"/>
        <v>32.0073723279648</v>
      </c>
    </row>
    <row r="733" customFormat="1" spans="1:31">
      <c r="A733" s="18"/>
      <c r="B733" s="19"/>
      <c r="C733" s="20">
        <v>240820000035</v>
      </c>
      <c r="D733" s="21">
        <v>45531</v>
      </c>
      <c r="E733" s="21" t="s">
        <v>51</v>
      </c>
      <c r="F733" s="19" t="s">
        <v>52</v>
      </c>
      <c r="G733" s="19" t="s">
        <v>415</v>
      </c>
      <c r="H733" s="19">
        <v>0.32</v>
      </c>
      <c r="I733" s="51">
        <v>69</v>
      </c>
      <c r="J733" s="52"/>
      <c r="K733" s="45"/>
      <c r="L733" s="19"/>
      <c r="M733" s="45"/>
      <c r="N733" s="48"/>
      <c r="O733" s="49">
        <f t="shared" ref="O733:O735" si="403">SUM(I733)</f>
        <v>69</v>
      </c>
      <c r="P733" s="53"/>
      <c r="Q733" s="53"/>
      <c r="R733" s="76">
        <f t="shared" si="397"/>
        <v>15.1527262079063</v>
      </c>
      <c r="S733" s="76"/>
      <c r="T733" s="77">
        <f t="shared" si="398"/>
        <v>0.0198840409956076</v>
      </c>
      <c r="U733" s="76"/>
      <c r="V733" s="76"/>
      <c r="W733" s="78">
        <f t="shared" si="393"/>
        <v>15.1726102489019</v>
      </c>
      <c r="X733" s="79">
        <f t="shared" si="399"/>
        <v>0.242456925329429</v>
      </c>
      <c r="Y733" s="79"/>
      <c r="Z733" s="79"/>
      <c r="AA733" s="79">
        <f t="shared" si="394"/>
        <v>0.242456925329429</v>
      </c>
      <c r="AB733" s="90">
        <v>7.15</v>
      </c>
      <c r="AC733" s="76">
        <f t="shared" si="395"/>
        <v>1.73356701610542</v>
      </c>
      <c r="AD733" s="76">
        <f t="shared" si="391"/>
        <v>16.9061772650073</v>
      </c>
      <c r="AE733" s="76">
        <f t="shared" si="396"/>
        <v>52.0938227349927</v>
      </c>
    </row>
    <row r="734" customFormat="1" spans="1:31">
      <c r="A734" s="18"/>
      <c r="B734" s="19"/>
      <c r="C734" s="20">
        <v>240820000038</v>
      </c>
      <c r="D734" s="21">
        <v>45531</v>
      </c>
      <c r="E734" s="21" t="s">
        <v>37</v>
      </c>
      <c r="F734" s="19" t="s">
        <v>38</v>
      </c>
      <c r="G734" s="19" t="s">
        <v>75</v>
      </c>
      <c r="H734" s="19">
        <v>21</v>
      </c>
      <c r="I734" s="51">
        <v>1305</v>
      </c>
      <c r="J734" s="52"/>
      <c r="K734" s="45"/>
      <c r="L734" s="19"/>
      <c r="M734" s="45"/>
      <c r="N734" s="48"/>
      <c r="O734" s="49">
        <f t="shared" si="403"/>
        <v>1305</v>
      </c>
      <c r="P734" s="53"/>
      <c r="Q734" s="53"/>
      <c r="R734" s="76">
        <f t="shared" si="397"/>
        <v>994.397657393851</v>
      </c>
      <c r="S734" s="76"/>
      <c r="T734" s="77">
        <f t="shared" si="398"/>
        <v>1.30489019033675</v>
      </c>
      <c r="U734" s="76"/>
      <c r="V734" s="76"/>
      <c r="W734" s="78">
        <f t="shared" si="393"/>
        <v>995.702547584187</v>
      </c>
      <c r="X734" s="79">
        <f t="shared" si="399"/>
        <v>15.9112357247438</v>
      </c>
      <c r="Y734" s="79"/>
      <c r="Z734" s="79"/>
      <c r="AA734" s="79">
        <f t="shared" si="394"/>
        <v>15.9112357247438</v>
      </c>
      <c r="AB734" s="90">
        <v>7.15</v>
      </c>
      <c r="AC734" s="76">
        <f t="shared" si="395"/>
        <v>113.765335431918</v>
      </c>
      <c r="AD734" s="76">
        <f t="shared" si="391"/>
        <v>1109.46788301611</v>
      </c>
      <c r="AE734" s="76">
        <f t="shared" si="396"/>
        <v>195.532116983895</v>
      </c>
    </row>
    <row r="735" customFormat="1" spans="1:31">
      <c r="A735" s="18"/>
      <c r="B735" s="19"/>
      <c r="C735" s="20">
        <v>240821000001</v>
      </c>
      <c r="D735" s="21">
        <v>45531</v>
      </c>
      <c r="E735" s="21" t="s">
        <v>57</v>
      </c>
      <c r="F735" s="19" t="s">
        <v>57</v>
      </c>
      <c r="G735" s="19" t="s">
        <v>155</v>
      </c>
      <c r="H735" s="19">
        <v>565</v>
      </c>
      <c r="I735" s="51">
        <v>29380</v>
      </c>
      <c r="J735" s="52"/>
      <c r="K735" s="45"/>
      <c r="L735" s="19"/>
      <c r="M735" s="45"/>
      <c r="N735" s="48"/>
      <c r="O735" s="49">
        <f t="shared" si="403"/>
        <v>29380</v>
      </c>
      <c r="P735" s="53"/>
      <c r="Q735" s="53"/>
      <c r="R735" s="76">
        <f t="shared" si="397"/>
        <v>26754.0322108346</v>
      </c>
      <c r="S735" s="76"/>
      <c r="T735" s="77">
        <f t="shared" si="398"/>
        <v>35.1077598828697</v>
      </c>
      <c r="U735" s="76"/>
      <c r="V735" s="76"/>
      <c r="W735" s="78">
        <f t="shared" si="393"/>
        <v>26789.1399707174</v>
      </c>
      <c r="X735" s="79">
        <f t="shared" si="399"/>
        <v>428.088008784773</v>
      </c>
      <c r="Y735" s="79"/>
      <c r="Z735" s="79"/>
      <c r="AA735" s="79">
        <f t="shared" si="394"/>
        <v>428.088008784773</v>
      </c>
      <c r="AB735" s="90">
        <v>7.15</v>
      </c>
      <c r="AC735" s="76">
        <f t="shared" si="395"/>
        <v>3060.82926281113</v>
      </c>
      <c r="AD735" s="76">
        <f t="shared" si="391"/>
        <v>29849.9692335286</v>
      </c>
      <c r="AE735" s="76">
        <f t="shared" si="396"/>
        <v>-469.969233528551</v>
      </c>
    </row>
    <row r="736" customFormat="1" spans="1:31">
      <c r="A736" s="18"/>
      <c r="B736" s="19"/>
      <c r="C736" s="20">
        <v>240821000002</v>
      </c>
      <c r="D736" s="21">
        <v>45531</v>
      </c>
      <c r="E736" s="21" t="s">
        <v>127</v>
      </c>
      <c r="F736" s="19" t="s">
        <v>128</v>
      </c>
      <c r="G736" s="19" t="s">
        <v>408</v>
      </c>
      <c r="H736" s="19">
        <v>4.5</v>
      </c>
      <c r="I736" s="49"/>
      <c r="J736" s="44">
        <v>70580</v>
      </c>
      <c r="K736" s="45"/>
      <c r="L736" s="46">
        <f t="shared" si="401"/>
        <v>1695.00480307397</v>
      </c>
      <c r="M736" s="47">
        <v>41.64</v>
      </c>
      <c r="N736" s="48">
        <v>7.15</v>
      </c>
      <c r="O736" s="49">
        <f t="shared" si="402"/>
        <v>297.726</v>
      </c>
      <c r="P736" s="53"/>
      <c r="Q736" s="53"/>
      <c r="R736" s="76">
        <f t="shared" si="397"/>
        <v>213.085212298682</v>
      </c>
      <c r="S736" s="76"/>
      <c r="T736" s="77">
        <f t="shared" si="398"/>
        <v>0.279619326500732</v>
      </c>
      <c r="U736" s="76"/>
      <c r="V736" s="76"/>
      <c r="W736" s="78">
        <f t="shared" si="393"/>
        <v>213.364831625183</v>
      </c>
      <c r="X736" s="79">
        <f t="shared" si="399"/>
        <v>3.40955051244509</v>
      </c>
      <c r="Y736" s="79"/>
      <c r="Z736" s="79"/>
      <c r="AA736" s="79">
        <f t="shared" si="394"/>
        <v>3.40955051244509</v>
      </c>
      <c r="AB736" s="90">
        <v>7.15</v>
      </c>
      <c r="AC736" s="76">
        <f t="shared" si="395"/>
        <v>24.3782861639824</v>
      </c>
      <c r="AD736" s="76">
        <f t="shared" si="391"/>
        <v>237.743117789165</v>
      </c>
      <c r="AE736" s="76">
        <f t="shared" si="396"/>
        <v>59.9828822108346</v>
      </c>
    </row>
    <row r="737" customFormat="1" spans="1:31">
      <c r="A737" s="18"/>
      <c r="B737" s="19"/>
      <c r="C737" s="20">
        <v>240821000003</v>
      </c>
      <c r="D737" s="21">
        <v>45531</v>
      </c>
      <c r="E737" s="21" t="s">
        <v>37</v>
      </c>
      <c r="F737" s="19" t="s">
        <v>214</v>
      </c>
      <c r="G737" s="19" t="s">
        <v>214</v>
      </c>
      <c r="H737" s="19">
        <v>10</v>
      </c>
      <c r="I737" s="49"/>
      <c r="J737" s="44">
        <v>160196</v>
      </c>
      <c r="K737" s="45"/>
      <c r="L737" s="46">
        <f t="shared" si="401"/>
        <v>1640.00819000819</v>
      </c>
      <c r="M737" s="47">
        <v>97.68</v>
      </c>
      <c r="N737" s="48">
        <v>7.15</v>
      </c>
      <c r="O737" s="49">
        <f t="shared" si="402"/>
        <v>698.412</v>
      </c>
      <c r="P737" s="53"/>
      <c r="Q737" s="53"/>
      <c r="R737" s="76">
        <f t="shared" si="397"/>
        <v>473.522693997072</v>
      </c>
      <c r="S737" s="76"/>
      <c r="T737" s="77">
        <f t="shared" si="398"/>
        <v>0.621376281112738</v>
      </c>
      <c r="U737" s="76"/>
      <c r="V737" s="76"/>
      <c r="W737" s="78">
        <f t="shared" si="393"/>
        <v>474.144070278185</v>
      </c>
      <c r="X737" s="79">
        <f t="shared" si="399"/>
        <v>7.57677891654466</v>
      </c>
      <c r="Y737" s="79"/>
      <c r="Z737" s="79"/>
      <c r="AA737" s="79">
        <f t="shared" si="394"/>
        <v>7.57677891654466</v>
      </c>
      <c r="AB737" s="90">
        <v>7.15</v>
      </c>
      <c r="AC737" s="76">
        <f t="shared" si="395"/>
        <v>54.1739692532943</v>
      </c>
      <c r="AD737" s="76">
        <f t="shared" si="391"/>
        <v>528.318039531479</v>
      </c>
      <c r="AE737" s="76">
        <f t="shared" si="396"/>
        <v>170.093960468521</v>
      </c>
    </row>
    <row r="738" customFormat="1" spans="1:31">
      <c r="A738" s="18"/>
      <c r="B738" s="19"/>
      <c r="C738" s="22">
        <v>240821000005</v>
      </c>
      <c r="D738" s="23">
        <v>45531</v>
      </c>
      <c r="E738" s="21" t="s">
        <v>57</v>
      </c>
      <c r="F738" s="24" t="s">
        <v>386</v>
      </c>
      <c r="G738" s="24" t="s">
        <v>387</v>
      </c>
      <c r="H738" s="24">
        <v>6</v>
      </c>
      <c r="I738" s="56">
        <v>422.4</v>
      </c>
      <c r="J738" s="52"/>
      <c r="K738" s="45"/>
      <c r="L738" s="19"/>
      <c r="M738" s="45"/>
      <c r="N738" s="48"/>
      <c r="O738" s="49">
        <f t="shared" ref="O738:O743" si="404">SUM(I738)</f>
        <v>422.4</v>
      </c>
      <c r="P738" s="53"/>
      <c r="Q738" s="53"/>
      <c r="R738" s="76">
        <f t="shared" si="397"/>
        <v>284.113616398243</v>
      </c>
      <c r="S738" s="76"/>
      <c r="T738" s="77">
        <f t="shared" si="398"/>
        <v>0.372825768667643</v>
      </c>
      <c r="U738" s="76"/>
      <c r="V738" s="76"/>
      <c r="W738" s="78">
        <f t="shared" si="393"/>
        <v>284.486442166911</v>
      </c>
      <c r="X738" s="79">
        <f t="shared" si="399"/>
        <v>4.54606734992679</v>
      </c>
      <c r="Y738" s="79"/>
      <c r="Z738" s="79"/>
      <c r="AA738" s="79">
        <f t="shared" si="394"/>
        <v>4.54606734992679</v>
      </c>
      <c r="AB738" s="90">
        <v>7.15</v>
      </c>
      <c r="AC738" s="76">
        <f t="shared" si="395"/>
        <v>32.5043815519766</v>
      </c>
      <c r="AD738" s="76">
        <f t="shared" si="391"/>
        <v>316.990823718887</v>
      </c>
      <c r="AE738" s="76">
        <f t="shared" si="396"/>
        <v>105.409176281113</v>
      </c>
    </row>
    <row r="739" customFormat="1" spans="1:31">
      <c r="A739" s="18"/>
      <c r="B739" s="19"/>
      <c r="C739" s="20">
        <v>240821000009</v>
      </c>
      <c r="D739" s="21">
        <v>45531</v>
      </c>
      <c r="E739" s="21" t="s">
        <v>37</v>
      </c>
      <c r="F739" s="19" t="s">
        <v>38</v>
      </c>
      <c r="G739" s="19" t="s">
        <v>212</v>
      </c>
      <c r="H739" s="19">
        <v>1.5</v>
      </c>
      <c r="I739" s="43"/>
      <c r="J739" s="44">
        <v>23324</v>
      </c>
      <c r="K739" s="45"/>
      <c r="L739" s="46">
        <f t="shared" ref="L739:L744" si="405">SUM(J739/M739)</f>
        <v>1631.04895104895</v>
      </c>
      <c r="M739" s="47">
        <v>14.3</v>
      </c>
      <c r="N739" s="48">
        <v>7.15</v>
      </c>
      <c r="O739" s="49">
        <f t="shared" ref="O739:O744" si="406">SUM(M739*N739)</f>
        <v>102.245</v>
      </c>
      <c r="P739" s="53"/>
      <c r="Q739" s="53"/>
      <c r="R739" s="76">
        <f t="shared" si="397"/>
        <v>71.0284040995608</v>
      </c>
      <c r="S739" s="76"/>
      <c r="T739" s="77">
        <f t="shared" si="398"/>
        <v>0.0932064421669107</v>
      </c>
      <c r="U739" s="76"/>
      <c r="V739" s="76"/>
      <c r="W739" s="78">
        <f t="shared" si="393"/>
        <v>71.1216105417277</v>
      </c>
      <c r="X739" s="79">
        <f t="shared" si="399"/>
        <v>1.1365168374817</v>
      </c>
      <c r="Y739" s="79"/>
      <c r="Z739" s="79"/>
      <c r="AA739" s="79">
        <f t="shared" si="394"/>
        <v>1.1365168374817</v>
      </c>
      <c r="AB739" s="90">
        <v>7.15</v>
      </c>
      <c r="AC739" s="76">
        <f t="shared" si="395"/>
        <v>8.12609538799414</v>
      </c>
      <c r="AD739" s="76">
        <f t="shared" si="391"/>
        <v>79.2477059297218</v>
      </c>
      <c r="AE739" s="76">
        <f t="shared" si="396"/>
        <v>22.9972940702782</v>
      </c>
    </row>
    <row r="740" customFormat="1" spans="1:31">
      <c r="A740" s="18"/>
      <c r="B740" s="19"/>
      <c r="C740" s="20">
        <v>240821000018</v>
      </c>
      <c r="D740" s="21">
        <v>45531</v>
      </c>
      <c r="E740" s="21" t="s">
        <v>57</v>
      </c>
      <c r="F740" s="19" t="s">
        <v>57</v>
      </c>
      <c r="G740" s="19" t="s">
        <v>407</v>
      </c>
      <c r="H740" s="19">
        <v>4</v>
      </c>
      <c r="I740" s="43"/>
      <c r="J740" s="44">
        <v>59608</v>
      </c>
      <c r="K740" s="45"/>
      <c r="L740" s="46">
        <f t="shared" si="405"/>
        <v>1594.64954521134</v>
      </c>
      <c r="M740" s="47">
        <v>37.38</v>
      </c>
      <c r="N740" s="48">
        <v>7.15</v>
      </c>
      <c r="O740" s="49">
        <f t="shared" si="406"/>
        <v>267.267</v>
      </c>
      <c r="P740" s="53"/>
      <c r="Q740" s="53"/>
      <c r="R740" s="76">
        <f t="shared" si="397"/>
        <v>189.409077598829</v>
      </c>
      <c r="S740" s="76"/>
      <c r="T740" s="77">
        <f t="shared" si="398"/>
        <v>0.248550512445095</v>
      </c>
      <c r="U740" s="76"/>
      <c r="V740" s="76"/>
      <c r="W740" s="78">
        <f t="shared" si="393"/>
        <v>189.657628111274</v>
      </c>
      <c r="X740" s="79">
        <f t="shared" si="399"/>
        <v>3.03071156661786</v>
      </c>
      <c r="Y740" s="79"/>
      <c r="Z740" s="79"/>
      <c r="AA740" s="79">
        <f t="shared" si="394"/>
        <v>3.03071156661786</v>
      </c>
      <c r="AB740" s="90">
        <v>7.15</v>
      </c>
      <c r="AC740" s="76">
        <f t="shared" si="395"/>
        <v>21.6695877013177</v>
      </c>
      <c r="AD740" s="76">
        <f t="shared" si="391"/>
        <v>211.327215812592</v>
      </c>
      <c r="AE740" s="76">
        <f t="shared" si="396"/>
        <v>55.9397841874085</v>
      </c>
    </row>
    <row r="741" customFormat="1" spans="1:31">
      <c r="A741" s="18"/>
      <c r="B741" s="19"/>
      <c r="C741" s="20">
        <v>240821000020</v>
      </c>
      <c r="D741" s="21">
        <v>45531</v>
      </c>
      <c r="E741" s="21" t="s">
        <v>37</v>
      </c>
      <c r="F741" s="19" t="s">
        <v>38</v>
      </c>
      <c r="G741" s="19" t="s">
        <v>438</v>
      </c>
      <c r="H741" s="19">
        <v>0.22</v>
      </c>
      <c r="I741" s="51">
        <v>80</v>
      </c>
      <c r="J741" s="52"/>
      <c r="K741" s="45"/>
      <c r="L741" s="19"/>
      <c r="M741" s="45"/>
      <c r="N741" s="48"/>
      <c r="O741" s="49">
        <f t="shared" si="404"/>
        <v>80</v>
      </c>
      <c r="P741" s="53"/>
      <c r="Q741" s="53"/>
      <c r="R741" s="76">
        <f t="shared" si="397"/>
        <v>10.4174992679356</v>
      </c>
      <c r="S741" s="76"/>
      <c r="T741" s="77">
        <f t="shared" si="398"/>
        <v>0.0136702781844802</v>
      </c>
      <c r="U741" s="76"/>
      <c r="V741" s="76"/>
      <c r="W741" s="78">
        <f t="shared" si="393"/>
        <v>10.4311695461201</v>
      </c>
      <c r="X741" s="79">
        <f t="shared" si="399"/>
        <v>0.166689136163982</v>
      </c>
      <c r="Y741" s="79"/>
      <c r="Z741" s="79"/>
      <c r="AA741" s="79">
        <f t="shared" si="394"/>
        <v>0.166689136163982</v>
      </c>
      <c r="AB741" s="90">
        <v>7.15</v>
      </c>
      <c r="AC741" s="76">
        <f t="shared" si="395"/>
        <v>1.19182732357247</v>
      </c>
      <c r="AD741" s="76">
        <f t="shared" si="391"/>
        <v>11.6229968696925</v>
      </c>
      <c r="AE741" s="76">
        <f t="shared" si="396"/>
        <v>68.3770031303075</v>
      </c>
    </row>
    <row r="742" customFormat="1" spans="1:31">
      <c r="A742" s="18"/>
      <c r="B742" s="19"/>
      <c r="C742" s="20">
        <v>240821000022</v>
      </c>
      <c r="D742" s="21">
        <v>45531</v>
      </c>
      <c r="E742" s="21" t="s">
        <v>37</v>
      </c>
      <c r="F742" s="19" t="s">
        <v>38</v>
      </c>
      <c r="G742" s="19" t="s">
        <v>340</v>
      </c>
      <c r="H742" s="19">
        <v>3.5</v>
      </c>
      <c r="I742" s="51">
        <v>249</v>
      </c>
      <c r="J742" s="52"/>
      <c r="K742" s="45"/>
      <c r="L742" s="19"/>
      <c r="M742" s="45"/>
      <c r="N742" s="48"/>
      <c r="O742" s="49">
        <f t="shared" si="404"/>
        <v>249</v>
      </c>
      <c r="P742" s="53"/>
      <c r="Q742" s="53"/>
      <c r="R742" s="76">
        <f t="shared" si="397"/>
        <v>165.732942898975</v>
      </c>
      <c r="S742" s="76"/>
      <c r="T742" s="77">
        <f t="shared" si="398"/>
        <v>0.217481698389458</v>
      </c>
      <c r="U742" s="76"/>
      <c r="V742" s="76"/>
      <c r="W742" s="78">
        <f t="shared" si="393"/>
        <v>165.950424597365</v>
      </c>
      <c r="X742" s="79">
        <f t="shared" si="399"/>
        <v>2.65187262079063</v>
      </c>
      <c r="Y742" s="79"/>
      <c r="Z742" s="79"/>
      <c r="AA742" s="79">
        <f t="shared" si="394"/>
        <v>2.65187262079063</v>
      </c>
      <c r="AB742" s="90">
        <v>7.15</v>
      </c>
      <c r="AC742" s="76">
        <f t="shared" si="395"/>
        <v>18.960889238653</v>
      </c>
      <c r="AD742" s="76">
        <f t="shared" si="391"/>
        <v>184.911313836018</v>
      </c>
      <c r="AE742" s="76">
        <f t="shared" si="396"/>
        <v>64.0886861639824</v>
      </c>
    </row>
    <row r="743" customFormat="1" spans="1:31">
      <c r="A743" s="18"/>
      <c r="B743" s="19"/>
      <c r="C743" s="20">
        <v>240821000023</v>
      </c>
      <c r="D743" s="21">
        <v>45531</v>
      </c>
      <c r="E743" s="21" t="s">
        <v>44</v>
      </c>
      <c r="F743" s="19" t="s">
        <v>45</v>
      </c>
      <c r="G743" s="19" t="s">
        <v>479</v>
      </c>
      <c r="H743" s="19">
        <v>2.5</v>
      </c>
      <c r="I743" s="51">
        <v>242</v>
      </c>
      <c r="J743" s="52"/>
      <c r="K743" s="45"/>
      <c r="L743" s="19"/>
      <c r="M743" s="45"/>
      <c r="N743" s="48"/>
      <c r="O743" s="49">
        <f t="shared" si="404"/>
        <v>242</v>
      </c>
      <c r="P743" s="53"/>
      <c r="Q743" s="53"/>
      <c r="R743" s="76">
        <f t="shared" si="397"/>
        <v>118.380673499268</v>
      </c>
      <c r="S743" s="76"/>
      <c r="T743" s="77">
        <f t="shared" si="398"/>
        <v>0.155344070278184</v>
      </c>
      <c r="U743" s="76"/>
      <c r="V743" s="76"/>
      <c r="W743" s="78">
        <f t="shared" si="393"/>
        <v>118.536017569546</v>
      </c>
      <c r="X743" s="79">
        <f t="shared" si="399"/>
        <v>1.89419472913616</v>
      </c>
      <c r="Y743" s="79"/>
      <c r="Z743" s="79"/>
      <c r="AA743" s="79">
        <f t="shared" si="394"/>
        <v>1.89419472913616</v>
      </c>
      <c r="AB743" s="90">
        <v>7.15</v>
      </c>
      <c r="AC743" s="76">
        <f t="shared" si="395"/>
        <v>13.5434923133236</v>
      </c>
      <c r="AD743" s="76">
        <f t="shared" si="391"/>
        <v>132.07950988287</v>
      </c>
      <c r="AE743" s="76">
        <f t="shared" si="396"/>
        <v>109.92049011713</v>
      </c>
    </row>
    <row r="744" customFormat="1" spans="1:31">
      <c r="A744" s="18"/>
      <c r="B744" s="19"/>
      <c r="C744" s="20">
        <v>240821000024</v>
      </c>
      <c r="D744" s="21">
        <v>45531</v>
      </c>
      <c r="E744" s="21" t="s">
        <v>37</v>
      </c>
      <c r="F744" s="19" t="s">
        <v>38</v>
      </c>
      <c r="G744" s="19" t="s">
        <v>216</v>
      </c>
      <c r="H744" s="19">
        <v>1.5</v>
      </c>
      <c r="I744" s="43"/>
      <c r="J744" s="44">
        <v>24174</v>
      </c>
      <c r="K744" s="45"/>
      <c r="L744" s="46">
        <f t="shared" si="405"/>
        <v>1695.23141654979</v>
      </c>
      <c r="M744" s="47">
        <v>14.26</v>
      </c>
      <c r="N744" s="48">
        <v>7.15</v>
      </c>
      <c r="O744" s="49">
        <f t="shared" si="406"/>
        <v>101.959</v>
      </c>
      <c r="P744" s="53"/>
      <c r="Q744" s="53"/>
      <c r="R744" s="76">
        <f t="shared" si="397"/>
        <v>71.0284040995608</v>
      </c>
      <c r="S744" s="76"/>
      <c r="T744" s="77">
        <f t="shared" si="398"/>
        <v>0.0932064421669107</v>
      </c>
      <c r="U744" s="76"/>
      <c r="V744" s="76"/>
      <c r="W744" s="78">
        <f t="shared" si="393"/>
        <v>71.1216105417277</v>
      </c>
      <c r="X744" s="79">
        <f t="shared" si="399"/>
        <v>1.1365168374817</v>
      </c>
      <c r="Y744" s="79"/>
      <c r="Z744" s="79"/>
      <c r="AA744" s="79">
        <f t="shared" si="394"/>
        <v>1.1365168374817</v>
      </c>
      <c r="AB744" s="90">
        <v>7.15</v>
      </c>
      <c r="AC744" s="76">
        <f t="shared" si="395"/>
        <v>8.12609538799414</v>
      </c>
      <c r="AD744" s="76">
        <f t="shared" si="391"/>
        <v>79.2477059297218</v>
      </c>
      <c r="AE744" s="76">
        <f t="shared" si="396"/>
        <v>22.7112940702782</v>
      </c>
    </row>
    <row r="745" customFormat="1" spans="1:31">
      <c r="A745" s="18"/>
      <c r="B745" s="19"/>
      <c r="C745" s="20">
        <v>240821000025</v>
      </c>
      <c r="D745" s="21">
        <v>45531</v>
      </c>
      <c r="E745" s="21" t="s">
        <v>44</v>
      </c>
      <c r="F745" s="19" t="s">
        <v>45</v>
      </c>
      <c r="G745" s="19" t="s">
        <v>70</v>
      </c>
      <c r="H745" s="19">
        <v>0.58</v>
      </c>
      <c r="I745" s="51">
        <v>96</v>
      </c>
      <c r="J745" s="52"/>
      <c r="K745" s="45"/>
      <c r="L745" s="19"/>
      <c r="M745" s="45"/>
      <c r="N745" s="48"/>
      <c r="O745" s="49">
        <f t="shared" ref="O745:O751" si="407">SUM(I745)</f>
        <v>96</v>
      </c>
      <c r="P745" s="53"/>
      <c r="Q745" s="53"/>
      <c r="R745" s="76">
        <f t="shared" si="397"/>
        <v>27.4643162518302</v>
      </c>
      <c r="S745" s="76"/>
      <c r="T745" s="77">
        <f t="shared" si="398"/>
        <v>0.0360398243045388</v>
      </c>
      <c r="U745" s="76"/>
      <c r="V745" s="76"/>
      <c r="W745" s="78">
        <f t="shared" si="393"/>
        <v>27.5003560761347</v>
      </c>
      <c r="X745" s="79">
        <f t="shared" si="399"/>
        <v>0.43945317715959</v>
      </c>
      <c r="Y745" s="79"/>
      <c r="Z745" s="79"/>
      <c r="AA745" s="79">
        <f t="shared" si="394"/>
        <v>0.43945317715959</v>
      </c>
      <c r="AB745" s="90">
        <v>7.15</v>
      </c>
      <c r="AC745" s="76">
        <f t="shared" si="395"/>
        <v>3.14209021669107</v>
      </c>
      <c r="AD745" s="76">
        <f t="shared" si="391"/>
        <v>30.6424462928258</v>
      </c>
      <c r="AE745" s="76">
        <f t="shared" si="396"/>
        <v>65.3575537071742</v>
      </c>
    </row>
    <row r="746" customFormat="1" spans="1:31">
      <c r="A746" s="18"/>
      <c r="B746" s="19"/>
      <c r="C746" s="20">
        <v>240821000028</v>
      </c>
      <c r="D746" s="21">
        <v>45531</v>
      </c>
      <c r="E746" s="21" t="s">
        <v>41</v>
      </c>
      <c r="F746" s="19" t="s">
        <v>42</v>
      </c>
      <c r="G746" s="19" t="s">
        <v>148</v>
      </c>
      <c r="H746" s="19">
        <v>79</v>
      </c>
      <c r="I746" s="51">
        <v>5527.9</v>
      </c>
      <c r="J746" s="52"/>
      <c r="K746" s="45"/>
      <c r="L746" s="19"/>
      <c r="M746" s="45"/>
      <c r="N746" s="48"/>
      <c r="O746" s="49">
        <f t="shared" si="407"/>
        <v>5527.9</v>
      </c>
      <c r="P746" s="53"/>
      <c r="Q746" s="53"/>
      <c r="R746" s="76">
        <f t="shared" si="397"/>
        <v>3740.82928257687</v>
      </c>
      <c r="S746" s="76"/>
      <c r="T746" s="77">
        <f t="shared" si="398"/>
        <v>4.90887262079063</v>
      </c>
      <c r="U746" s="76">
        <v>180</v>
      </c>
      <c r="V746" s="77">
        <v>124</v>
      </c>
      <c r="W746" s="78">
        <f t="shared" si="393"/>
        <v>4049.73815519766</v>
      </c>
      <c r="X746" s="79">
        <f t="shared" si="399"/>
        <v>59.8565534407028</v>
      </c>
      <c r="Y746" s="79"/>
      <c r="Z746" s="79"/>
      <c r="AA746" s="79">
        <f t="shared" si="394"/>
        <v>59.8565534407028</v>
      </c>
      <c r="AB746" s="90">
        <v>7.15</v>
      </c>
      <c r="AC746" s="76">
        <f t="shared" si="395"/>
        <v>427.974357101025</v>
      </c>
      <c r="AD746" s="76">
        <f t="shared" si="391"/>
        <v>4477.71251229868</v>
      </c>
      <c r="AE746" s="76">
        <f t="shared" si="396"/>
        <v>1050.18748770132</v>
      </c>
    </row>
    <row r="747" customFormat="1" spans="1:31">
      <c r="A747" s="18"/>
      <c r="B747" s="19"/>
      <c r="C747" s="20">
        <v>240821000029</v>
      </c>
      <c r="D747" s="21">
        <v>45531</v>
      </c>
      <c r="E747" s="21" t="s">
        <v>41</v>
      </c>
      <c r="F747" s="19" t="s">
        <v>42</v>
      </c>
      <c r="G747" s="19" t="s">
        <v>169</v>
      </c>
      <c r="H747" s="19">
        <v>0.16</v>
      </c>
      <c r="I747" s="51">
        <v>75.9</v>
      </c>
      <c r="J747" s="52"/>
      <c r="K747" s="45"/>
      <c r="L747" s="19"/>
      <c r="M747" s="45"/>
      <c r="N747" s="48"/>
      <c r="O747" s="49">
        <f t="shared" si="407"/>
        <v>75.9</v>
      </c>
      <c r="P747" s="53"/>
      <c r="Q747" s="53"/>
      <c r="R747" s="76">
        <f t="shared" si="397"/>
        <v>7.57636310395315</v>
      </c>
      <c r="S747" s="76"/>
      <c r="T747" s="77">
        <f t="shared" si="398"/>
        <v>0.00994202049780381</v>
      </c>
      <c r="U747" s="76"/>
      <c r="V747" s="76"/>
      <c r="W747" s="78">
        <f t="shared" si="393"/>
        <v>7.58630512445095</v>
      </c>
      <c r="X747" s="79">
        <f t="shared" si="399"/>
        <v>0.121228462664714</v>
      </c>
      <c r="Y747" s="79"/>
      <c r="Z747" s="79"/>
      <c r="AA747" s="79">
        <f t="shared" si="394"/>
        <v>0.121228462664714</v>
      </c>
      <c r="AB747" s="90">
        <v>7.15</v>
      </c>
      <c r="AC747" s="76">
        <f t="shared" si="395"/>
        <v>0.866783508052709</v>
      </c>
      <c r="AD747" s="76">
        <f t="shared" si="391"/>
        <v>8.45308863250366</v>
      </c>
      <c r="AE747" s="76">
        <f t="shared" si="396"/>
        <v>67.4469113674963</v>
      </c>
    </row>
    <row r="748" customFormat="1" spans="1:31">
      <c r="A748" s="18"/>
      <c r="B748" s="19"/>
      <c r="C748" s="20">
        <v>240821000030</v>
      </c>
      <c r="D748" s="21">
        <v>45531</v>
      </c>
      <c r="E748" s="21" t="s">
        <v>41</v>
      </c>
      <c r="F748" s="19" t="s">
        <v>42</v>
      </c>
      <c r="G748" s="19" t="s">
        <v>480</v>
      </c>
      <c r="H748" s="19">
        <v>6.5</v>
      </c>
      <c r="I748" s="51">
        <v>414.15</v>
      </c>
      <c r="J748" s="52"/>
      <c r="K748" s="45"/>
      <c r="L748" s="19"/>
      <c r="M748" s="45"/>
      <c r="N748" s="48"/>
      <c r="O748" s="49">
        <f t="shared" si="407"/>
        <v>414.15</v>
      </c>
      <c r="P748" s="53"/>
      <c r="Q748" s="53"/>
      <c r="R748" s="76">
        <f t="shared" si="397"/>
        <v>307.789751098097</v>
      </c>
      <c r="S748" s="76"/>
      <c r="T748" s="77">
        <f t="shared" si="398"/>
        <v>0.40389458272328</v>
      </c>
      <c r="U748" s="76"/>
      <c r="V748" s="76"/>
      <c r="W748" s="78">
        <f t="shared" si="393"/>
        <v>308.19364568082</v>
      </c>
      <c r="X748" s="79">
        <f t="shared" si="399"/>
        <v>4.92490629575403</v>
      </c>
      <c r="Y748" s="79"/>
      <c r="Z748" s="79"/>
      <c r="AA748" s="79">
        <f t="shared" si="394"/>
        <v>4.92490629575403</v>
      </c>
      <c r="AB748" s="90">
        <v>7.15</v>
      </c>
      <c r="AC748" s="76">
        <f t="shared" si="395"/>
        <v>35.2130800146413</v>
      </c>
      <c r="AD748" s="76">
        <f t="shared" si="391"/>
        <v>343.406725695461</v>
      </c>
      <c r="AE748" s="76">
        <f t="shared" si="396"/>
        <v>70.7432743045388</v>
      </c>
    </row>
    <row r="749" customFormat="1" spans="1:31">
      <c r="A749" s="18"/>
      <c r="B749" s="19"/>
      <c r="C749" s="20">
        <v>240821000034</v>
      </c>
      <c r="D749" s="21">
        <v>45531</v>
      </c>
      <c r="E749" s="21" t="s">
        <v>51</v>
      </c>
      <c r="F749" s="19" t="s">
        <v>52</v>
      </c>
      <c r="G749" s="19" t="s">
        <v>481</v>
      </c>
      <c r="H749" s="19">
        <v>5.5</v>
      </c>
      <c r="I749" s="51">
        <v>366.3</v>
      </c>
      <c r="J749" s="52"/>
      <c r="K749" s="45"/>
      <c r="L749" s="19"/>
      <c r="M749" s="45"/>
      <c r="N749" s="48"/>
      <c r="O749" s="49">
        <f t="shared" si="407"/>
        <v>366.3</v>
      </c>
      <c r="P749" s="53"/>
      <c r="Q749" s="53"/>
      <c r="R749" s="76">
        <f t="shared" si="397"/>
        <v>260.437481698389</v>
      </c>
      <c r="S749" s="76"/>
      <c r="T749" s="77">
        <f t="shared" si="398"/>
        <v>0.341756954612006</v>
      </c>
      <c r="U749" s="76"/>
      <c r="V749" s="76"/>
      <c r="W749" s="78">
        <f t="shared" si="393"/>
        <v>260.779238653001</v>
      </c>
      <c r="X749" s="79">
        <f t="shared" si="399"/>
        <v>4.16722840409956</v>
      </c>
      <c r="Y749" s="79"/>
      <c r="Z749" s="79"/>
      <c r="AA749" s="79">
        <f t="shared" si="394"/>
        <v>4.16722840409956</v>
      </c>
      <c r="AB749" s="90">
        <v>7.15</v>
      </c>
      <c r="AC749" s="76">
        <f t="shared" si="395"/>
        <v>29.7956830893119</v>
      </c>
      <c r="AD749" s="76">
        <f t="shared" si="391"/>
        <v>290.574921742313</v>
      </c>
      <c r="AE749" s="76">
        <f t="shared" si="396"/>
        <v>75.7250782576867</v>
      </c>
    </row>
    <row r="750" customFormat="1" spans="1:31">
      <c r="A750" s="18"/>
      <c r="B750" s="19"/>
      <c r="C750" s="20">
        <v>240821000036</v>
      </c>
      <c r="D750" s="21">
        <v>45531</v>
      </c>
      <c r="E750" s="21" t="s">
        <v>44</v>
      </c>
      <c r="F750" s="19" t="s">
        <v>45</v>
      </c>
      <c r="G750" s="19" t="s">
        <v>262</v>
      </c>
      <c r="H750" s="19">
        <v>49.5</v>
      </c>
      <c r="I750" s="51">
        <v>3060</v>
      </c>
      <c r="J750" s="52"/>
      <c r="K750" s="45"/>
      <c r="L750" s="19"/>
      <c r="M750" s="45"/>
      <c r="N750" s="48"/>
      <c r="O750" s="49">
        <f t="shared" si="407"/>
        <v>3060</v>
      </c>
      <c r="P750" s="53"/>
      <c r="Q750" s="53"/>
      <c r="R750" s="76">
        <f t="shared" si="397"/>
        <v>2343.93733528551</v>
      </c>
      <c r="S750" s="76"/>
      <c r="T750" s="77">
        <f t="shared" si="398"/>
        <v>3.07581259150805</v>
      </c>
      <c r="U750" s="77">
        <v>90</v>
      </c>
      <c r="V750" s="76"/>
      <c r="W750" s="78">
        <f t="shared" si="393"/>
        <v>2437.01314787701</v>
      </c>
      <c r="X750" s="79">
        <f t="shared" si="399"/>
        <v>37.505055636896</v>
      </c>
      <c r="Y750" s="79"/>
      <c r="Z750" s="79"/>
      <c r="AA750" s="79">
        <f t="shared" si="394"/>
        <v>37.505055636896</v>
      </c>
      <c r="AB750" s="90">
        <v>7.15</v>
      </c>
      <c r="AC750" s="76">
        <f t="shared" si="395"/>
        <v>268.161147803807</v>
      </c>
      <c r="AD750" s="76">
        <f t="shared" si="391"/>
        <v>2705.17429568082</v>
      </c>
      <c r="AE750" s="76">
        <f t="shared" si="396"/>
        <v>354.82570431918</v>
      </c>
    </row>
    <row r="751" customFormat="1" spans="1:31">
      <c r="A751" s="18"/>
      <c r="B751" s="19"/>
      <c r="C751" s="20">
        <v>240821000037</v>
      </c>
      <c r="D751" s="21">
        <v>45531</v>
      </c>
      <c r="E751" s="21" t="s">
        <v>44</v>
      </c>
      <c r="F751" s="19" t="s">
        <v>45</v>
      </c>
      <c r="G751" s="19" t="s">
        <v>262</v>
      </c>
      <c r="H751" s="19">
        <v>27</v>
      </c>
      <c r="I751" s="51">
        <v>1690</v>
      </c>
      <c r="J751" s="52"/>
      <c r="K751" s="45"/>
      <c r="L751" s="19"/>
      <c r="M751" s="45"/>
      <c r="N751" s="48"/>
      <c r="O751" s="49">
        <f t="shared" si="407"/>
        <v>1690</v>
      </c>
      <c r="P751" s="53"/>
      <c r="Q751" s="53"/>
      <c r="R751" s="76">
        <f t="shared" si="397"/>
        <v>1278.51127379209</v>
      </c>
      <c r="S751" s="76"/>
      <c r="T751" s="77">
        <f t="shared" si="398"/>
        <v>1.67771595900439</v>
      </c>
      <c r="U751" s="77">
        <v>70</v>
      </c>
      <c r="V751" s="76"/>
      <c r="W751" s="78">
        <f t="shared" si="393"/>
        <v>1350.1889897511</v>
      </c>
      <c r="X751" s="79">
        <f t="shared" si="399"/>
        <v>20.4573030746706</v>
      </c>
      <c r="Y751" s="79"/>
      <c r="Z751" s="79"/>
      <c r="AA751" s="79">
        <f t="shared" si="394"/>
        <v>20.4573030746706</v>
      </c>
      <c r="AB751" s="90">
        <v>7.15</v>
      </c>
      <c r="AC751" s="76">
        <f t="shared" si="395"/>
        <v>146.269716983895</v>
      </c>
      <c r="AD751" s="76">
        <f t="shared" si="391"/>
        <v>1496.45870673499</v>
      </c>
      <c r="AE751" s="76">
        <f t="shared" si="396"/>
        <v>193.541293265007</v>
      </c>
    </row>
    <row r="752" customFormat="1" spans="1:31">
      <c r="A752" s="18"/>
      <c r="B752" s="19"/>
      <c r="C752" s="20">
        <v>240821000038</v>
      </c>
      <c r="D752" s="21">
        <v>45531</v>
      </c>
      <c r="E752" s="21" t="s">
        <v>44</v>
      </c>
      <c r="F752" s="19" t="s">
        <v>45</v>
      </c>
      <c r="G752" s="19" t="s">
        <v>482</v>
      </c>
      <c r="H752" s="19">
        <v>32</v>
      </c>
      <c r="I752" s="43"/>
      <c r="J752" s="44">
        <v>485760</v>
      </c>
      <c r="K752" s="45"/>
      <c r="L752" s="46">
        <f>SUM(J752/M752)</f>
        <v>1644.525695714</v>
      </c>
      <c r="M752" s="47">
        <v>295.38</v>
      </c>
      <c r="N752" s="48">
        <v>7.15</v>
      </c>
      <c r="O752" s="49">
        <f>SUM(M752*N752)</f>
        <v>2111.967</v>
      </c>
      <c r="P752" s="53"/>
      <c r="Q752" s="53"/>
      <c r="R752" s="76">
        <f t="shared" si="397"/>
        <v>1515.27262079063</v>
      </c>
      <c r="S752" s="76"/>
      <c r="T752" s="77">
        <f t="shared" si="398"/>
        <v>1.98840409956076</v>
      </c>
      <c r="U752" s="76"/>
      <c r="V752" s="76"/>
      <c r="W752" s="78">
        <f t="shared" si="393"/>
        <v>1517.26102489019</v>
      </c>
      <c r="X752" s="79">
        <f t="shared" si="399"/>
        <v>24.2456925329429</v>
      </c>
      <c r="Y752" s="79"/>
      <c r="Z752" s="79"/>
      <c r="AA752" s="79">
        <f t="shared" si="394"/>
        <v>24.2456925329429</v>
      </c>
      <c r="AB752" s="90">
        <v>7.15</v>
      </c>
      <c r="AC752" s="76">
        <f t="shared" si="395"/>
        <v>173.356701610542</v>
      </c>
      <c r="AD752" s="76">
        <f t="shared" si="391"/>
        <v>1690.61772650073</v>
      </c>
      <c r="AE752" s="76">
        <f t="shared" si="396"/>
        <v>421.349273499268</v>
      </c>
    </row>
    <row r="753" customFormat="1" spans="1:31">
      <c r="A753" s="18"/>
      <c r="B753" s="19"/>
      <c r="C753" s="20">
        <v>240821000041</v>
      </c>
      <c r="D753" s="21">
        <v>45531</v>
      </c>
      <c r="E753" s="21" t="s">
        <v>44</v>
      </c>
      <c r="F753" s="19" t="s">
        <v>45</v>
      </c>
      <c r="G753" s="19" t="s">
        <v>483</v>
      </c>
      <c r="H753" s="19">
        <v>5</v>
      </c>
      <c r="I753" s="51">
        <v>345</v>
      </c>
      <c r="J753" s="52"/>
      <c r="K753" s="45"/>
      <c r="L753" s="19"/>
      <c r="M753" s="45"/>
      <c r="N753" s="48"/>
      <c r="O753" s="49">
        <f t="shared" ref="O753:O764" si="408">SUM(I753)</f>
        <v>345</v>
      </c>
      <c r="P753" s="53"/>
      <c r="Q753" s="53"/>
      <c r="R753" s="76">
        <f t="shared" si="397"/>
        <v>236.761346998536</v>
      </c>
      <c r="S753" s="76"/>
      <c r="T753" s="77">
        <f t="shared" si="398"/>
        <v>0.310688140556369</v>
      </c>
      <c r="U753" s="76"/>
      <c r="V753" s="76"/>
      <c r="W753" s="78">
        <f t="shared" si="393"/>
        <v>237.072035139092</v>
      </c>
      <c r="X753" s="79">
        <f t="shared" si="399"/>
        <v>3.78838945827233</v>
      </c>
      <c r="Y753" s="79"/>
      <c r="Z753" s="79"/>
      <c r="AA753" s="79">
        <f t="shared" si="394"/>
        <v>3.78838945827233</v>
      </c>
      <c r="AB753" s="90">
        <v>7.15</v>
      </c>
      <c r="AC753" s="76">
        <f t="shared" si="395"/>
        <v>27.0869846266471</v>
      </c>
      <c r="AD753" s="76">
        <f t="shared" si="391"/>
        <v>264.159019765739</v>
      </c>
      <c r="AE753" s="76">
        <f t="shared" si="396"/>
        <v>80.8409802342606</v>
      </c>
    </row>
    <row r="754" customFormat="1" spans="1:31">
      <c r="A754" s="18"/>
      <c r="B754" s="19"/>
      <c r="C754" s="20">
        <v>240822000001</v>
      </c>
      <c r="D754" s="21">
        <v>45531</v>
      </c>
      <c r="E754" s="21" t="s">
        <v>41</v>
      </c>
      <c r="F754" s="19" t="s">
        <v>42</v>
      </c>
      <c r="G754" s="19" t="s">
        <v>81</v>
      </c>
      <c r="H754" s="19">
        <v>10.5</v>
      </c>
      <c r="I754" s="43"/>
      <c r="J754" s="44">
        <v>137826</v>
      </c>
      <c r="K754" s="45"/>
      <c r="L754" s="46">
        <f>SUM(J754/M754)</f>
        <v>1630.30518097942</v>
      </c>
      <c r="M754" s="47">
        <v>84.54</v>
      </c>
      <c r="N754" s="48">
        <v>7.15</v>
      </c>
      <c r="O754" s="49">
        <f>SUM(M754*N754)</f>
        <v>604.461</v>
      </c>
      <c r="P754" s="53"/>
      <c r="Q754" s="53"/>
      <c r="R754" s="76">
        <f t="shared" si="397"/>
        <v>497.198828696925</v>
      </c>
      <c r="S754" s="76"/>
      <c r="T754" s="77">
        <f t="shared" si="398"/>
        <v>0.652445095168375</v>
      </c>
      <c r="U754" s="76"/>
      <c r="V754" s="76"/>
      <c r="W754" s="78">
        <f t="shared" si="393"/>
        <v>497.851273792094</v>
      </c>
      <c r="X754" s="79">
        <f t="shared" si="399"/>
        <v>7.95561786237189</v>
      </c>
      <c r="Y754" s="79"/>
      <c r="Z754" s="79"/>
      <c r="AA754" s="79">
        <f t="shared" si="394"/>
        <v>7.95561786237189</v>
      </c>
      <c r="AB754" s="90">
        <v>7.15</v>
      </c>
      <c r="AC754" s="76">
        <f t="shared" si="395"/>
        <v>56.882667715959</v>
      </c>
      <c r="AD754" s="76">
        <f t="shared" si="391"/>
        <v>554.733941508053</v>
      </c>
      <c r="AE754" s="76">
        <f t="shared" si="396"/>
        <v>49.7270584919473</v>
      </c>
    </row>
    <row r="755" customFormat="1" spans="1:31">
      <c r="A755" s="18"/>
      <c r="B755" s="19"/>
      <c r="C755" s="20">
        <v>240822000002</v>
      </c>
      <c r="D755" s="21">
        <v>45531</v>
      </c>
      <c r="E755" s="21" t="s">
        <v>41</v>
      </c>
      <c r="F755" s="19" t="s">
        <v>42</v>
      </c>
      <c r="G755" s="19" t="s">
        <v>484</v>
      </c>
      <c r="H755" s="19">
        <v>0.18</v>
      </c>
      <c r="I755" s="51">
        <v>93</v>
      </c>
      <c r="J755" s="52"/>
      <c r="K755" s="45"/>
      <c r="L755" s="19"/>
      <c r="M755" s="45"/>
      <c r="N755" s="48"/>
      <c r="O755" s="49">
        <f t="shared" si="408"/>
        <v>93</v>
      </c>
      <c r="P755" s="53"/>
      <c r="Q755" s="53"/>
      <c r="R755" s="76">
        <f t="shared" si="397"/>
        <v>8.52340849194729</v>
      </c>
      <c r="S755" s="76"/>
      <c r="T755" s="77">
        <f t="shared" si="398"/>
        <v>0.0111847730600293</v>
      </c>
      <c r="U755" s="76"/>
      <c r="V755" s="76"/>
      <c r="W755" s="78">
        <f t="shared" si="393"/>
        <v>8.53459326500732</v>
      </c>
      <c r="X755" s="79">
        <f t="shared" si="399"/>
        <v>0.136382020497804</v>
      </c>
      <c r="Y755" s="79">
        <v>4.1</v>
      </c>
      <c r="Z755" s="79"/>
      <c r="AA755" s="79">
        <f t="shared" si="394"/>
        <v>4.2363820204978</v>
      </c>
      <c r="AB755" s="90">
        <v>7.15</v>
      </c>
      <c r="AC755" s="76">
        <f t="shared" si="395"/>
        <v>30.2901314465593</v>
      </c>
      <c r="AD755" s="76">
        <f t="shared" si="391"/>
        <v>38.8247247115666</v>
      </c>
      <c r="AE755" s="76">
        <f t="shared" si="396"/>
        <v>54.1752752884334</v>
      </c>
    </row>
    <row r="756" customFormat="1" spans="1:31">
      <c r="A756" s="18"/>
      <c r="B756" s="19"/>
      <c r="C756" s="20">
        <v>240822000003</v>
      </c>
      <c r="D756" s="21">
        <v>45531</v>
      </c>
      <c r="E756" s="21" t="s">
        <v>41</v>
      </c>
      <c r="F756" s="19" t="s">
        <v>42</v>
      </c>
      <c r="G756" s="19" t="s">
        <v>485</v>
      </c>
      <c r="H756" s="19">
        <v>11</v>
      </c>
      <c r="I756" s="51">
        <v>770</v>
      </c>
      <c r="J756" s="52"/>
      <c r="K756" s="45"/>
      <c r="L756" s="19"/>
      <c r="M756" s="45"/>
      <c r="N756" s="48"/>
      <c r="O756" s="49">
        <f t="shared" si="408"/>
        <v>770</v>
      </c>
      <c r="P756" s="53"/>
      <c r="Q756" s="53"/>
      <c r="R756" s="76">
        <f t="shared" si="397"/>
        <v>520.874963396779</v>
      </c>
      <c r="S756" s="76"/>
      <c r="T756" s="77">
        <f t="shared" si="398"/>
        <v>0.683513909224012</v>
      </c>
      <c r="U756" s="76"/>
      <c r="V756" s="76"/>
      <c r="W756" s="78">
        <f t="shared" si="393"/>
        <v>521.558477306003</v>
      </c>
      <c r="X756" s="79">
        <f t="shared" si="399"/>
        <v>8.33445680819912</v>
      </c>
      <c r="Y756" s="79"/>
      <c r="Z756" s="79"/>
      <c r="AA756" s="79">
        <f t="shared" si="394"/>
        <v>8.33445680819912</v>
      </c>
      <c r="AB756" s="90">
        <v>7.15</v>
      </c>
      <c r="AC756" s="76">
        <f t="shared" si="395"/>
        <v>59.5913661786237</v>
      </c>
      <c r="AD756" s="76">
        <f t="shared" si="391"/>
        <v>581.149843484627</v>
      </c>
      <c r="AE756" s="76">
        <f t="shared" si="396"/>
        <v>188.850156515373</v>
      </c>
    </row>
    <row r="757" customFormat="1" spans="1:31">
      <c r="A757" s="18"/>
      <c r="B757" s="19"/>
      <c r="C757" s="20">
        <v>240822000004</v>
      </c>
      <c r="D757" s="21">
        <v>45531</v>
      </c>
      <c r="E757" s="21" t="s">
        <v>37</v>
      </c>
      <c r="F757" s="19" t="s">
        <v>38</v>
      </c>
      <c r="G757" s="19" t="s">
        <v>227</v>
      </c>
      <c r="H757" s="19">
        <v>3</v>
      </c>
      <c r="I757" s="51">
        <v>195</v>
      </c>
      <c r="J757" s="52"/>
      <c r="K757" s="45"/>
      <c r="L757" s="19"/>
      <c r="M757" s="45"/>
      <c r="N757" s="48"/>
      <c r="O757" s="49">
        <f t="shared" si="408"/>
        <v>195</v>
      </c>
      <c r="P757" s="53"/>
      <c r="Q757" s="53"/>
      <c r="R757" s="76">
        <f t="shared" si="397"/>
        <v>142.056808199122</v>
      </c>
      <c r="S757" s="76"/>
      <c r="T757" s="77">
        <f t="shared" si="398"/>
        <v>0.186412884333821</v>
      </c>
      <c r="U757" s="76"/>
      <c r="V757" s="76"/>
      <c r="W757" s="78">
        <f t="shared" si="393"/>
        <v>142.243221083455</v>
      </c>
      <c r="X757" s="79">
        <f t="shared" si="399"/>
        <v>2.2730336749634</v>
      </c>
      <c r="Y757" s="79"/>
      <c r="Z757" s="79"/>
      <c r="AA757" s="79">
        <f t="shared" si="394"/>
        <v>2.2730336749634</v>
      </c>
      <c r="AB757" s="90">
        <v>7.15</v>
      </c>
      <c r="AC757" s="76">
        <f t="shared" si="395"/>
        <v>16.2521907759883</v>
      </c>
      <c r="AD757" s="76">
        <f t="shared" si="391"/>
        <v>158.495411859444</v>
      </c>
      <c r="AE757" s="76">
        <f t="shared" si="396"/>
        <v>36.5045881405564</v>
      </c>
    </row>
    <row r="758" customFormat="1" spans="1:31">
      <c r="A758" s="18"/>
      <c r="B758" s="19"/>
      <c r="C758" s="20">
        <v>240822000006</v>
      </c>
      <c r="D758" s="21">
        <v>45531</v>
      </c>
      <c r="E758" s="21" t="s">
        <v>37</v>
      </c>
      <c r="F758" s="19" t="s">
        <v>38</v>
      </c>
      <c r="G758" s="19" t="s">
        <v>380</v>
      </c>
      <c r="H758" s="19">
        <v>24</v>
      </c>
      <c r="I758" s="51">
        <v>1392</v>
      </c>
      <c r="J758" s="52"/>
      <c r="K758" s="45"/>
      <c r="L758" s="19"/>
      <c r="M758" s="45"/>
      <c r="N758" s="48"/>
      <c r="O758" s="49">
        <f t="shared" si="408"/>
        <v>1392</v>
      </c>
      <c r="P758" s="53"/>
      <c r="Q758" s="53"/>
      <c r="R758" s="76">
        <f t="shared" si="397"/>
        <v>1136.45446559297</v>
      </c>
      <c r="S758" s="76"/>
      <c r="T758" s="77">
        <f t="shared" si="398"/>
        <v>1.49130307467057</v>
      </c>
      <c r="U758" s="76"/>
      <c r="V758" s="76"/>
      <c r="W758" s="78">
        <f t="shared" si="393"/>
        <v>1137.94576866764</v>
      </c>
      <c r="X758" s="79">
        <f t="shared" si="399"/>
        <v>18.1842693997072</v>
      </c>
      <c r="Y758" s="79"/>
      <c r="Z758" s="79"/>
      <c r="AA758" s="79">
        <f t="shared" si="394"/>
        <v>18.1842693997072</v>
      </c>
      <c r="AB758" s="90">
        <v>7.15</v>
      </c>
      <c r="AC758" s="76">
        <f t="shared" si="395"/>
        <v>130.017526207906</v>
      </c>
      <c r="AD758" s="76">
        <f t="shared" si="391"/>
        <v>1267.96329487555</v>
      </c>
      <c r="AE758" s="76">
        <f t="shared" si="396"/>
        <v>124.036705124451</v>
      </c>
    </row>
    <row r="759" customFormat="1" spans="1:31">
      <c r="A759" s="18"/>
      <c r="B759" s="19"/>
      <c r="C759" s="20">
        <v>240822000015</v>
      </c>
      <c r="D759" s="21">
        <v>45531</v>
      </c>
      <c r="E759" s="21" t="s">
        <v>57</v>
      </c>
      <c r="F759" s="19" t="s">
        <v>57</v>
      </c>
      <c r="G759" s="19" t="s">
        <v>398</v>
      </c>
      <c r="H759" s="19">
        <v>291.5</v>
      </c>
      <c r="I759" s="51">
        <v>24718.6</v>
      </c>
      <c r="J759" s="52"/>
      <c r="K759" s="45"/>
      <c r="L759" s="19"/>
      <c r="M759" s="45"/>
      <c r="N759" s="48"/>
      <c r="O759" s="49">
        <f t="shared" si="408"/>
        <v>24718.6</v>
      </c>
      <c r="P759" s="53"/>
      <c r="Q759" s="53"/>
      <c r="R759" s="76">
        <f t="shared" si="397"/>
        <v>13803.1865300146</v>
      </c>
      <c r="S759" s="76"/>
      <c r="T759" s="77">
        <f t="shared" si="398"/>
        <v>18.1131185944363</v>
      </c>
      <c r="U759" s="76">
        <f>SUM(100+120)</f>
        <v>220</v>
      </c>
      <c r="V759" s="76"/>
      <c r="W759" s="78">
        <f t="shared" si="393"/>
        <v>14041.2996486091</v>
      </c>
      <c r="X759" s="79">
        <f t="shared" si="399"/>
        <v>220.863105417277</v>
      </c>
      <c r="Y759" s="79"/>
      <c r="Z759" s="79"/>
      <c r="AA759" s="79">
        <f t="shared" si="394"/>
        <v>220.863105417277</v>
      </c>
      <c r="AB759" s="90">
        <v>7.15</v>
      </c>
      <c r="AC759" s="76">
        <f t="shared" si="395"/>
        <v>1579.17120373353</v>
      </c>
      <c r="AD759" s="76">
        <f t="shared" si="391"/>
        <v>15620.4708523426</v>
      </c>
      <c r="AE759" s="76">
        <f t="shared" si="396"/>
        <v>9098.12914765739</v>
      </c>
    </row>
    <row r="760" customFormat="1" spans="1:31">
      <c r="A760" s="18"/>
      <c r="B760" s="19"/>
      <c r="C760" s="22">
        <v>240823000019</v>
      </c>
      <c r="D760" s="23">
        <v>45531</v>
      </c>
      <c r="E760" s="21" t="s">
        <v>82</v>
      </c>
      <c r="F760" s="24" t="s">
        <v>83</v>
      </c>
      <c r="G760" s="24" t="s">
        <v>94</v>
      </c>
      <c r="H760" s="24">
        <v>19</v>
      </c>
      <c r="I760" s="51">
        <v>1242.9</v>
      </c>
      <c r="J760" s="52"/>
      <c r="K760" s="45"/>
      <c r="L760" s="19"/>
      <c r="M760" s="45"/>
      <c r="N760" s="48"/>
      <c r="O760" s="49">
        <f t="shared" si="408"/>
        <v>1242.9</v>
      </c>
      <c r="P760" s="53"/>
      <c r="Q760" s="53"/>
      <c r="R760" s="76">
        <f t="shared" si="397"/>
        <v>899.693118594436</v>
      </c>
      <c r="S760" s="76"/>
      <c r="T760" s="77">
        <f t="shared" si="398"/>
        <v>1.1806149341142</v>
      </c>
      <c r="U760" s="76"/>
      <c r="V760" s="76"/>
      <c r="W760" s="78">
        <f t="shared" si="393"/>
        <v>900.87373352855</v>
      </c>
      <c r="X760" s="79">
        <f t="shared" si="399"/>
        <v>14.3958799414348</v>
      </c>
      <c r="Y760" s="79"/>
      <c r="Z760" s="79"/>
      <c r="AA760" s="79">
        <f t="shared" si="394"/>
        <v>14.3958799414348</v>
      </c>
      <c r="AB760" s="90">
        <v>7.15</v>
      </c>
      <c r="AC760" s="76">
        <f t="shared" si="395"/>
        <v>102.930541581259</v>
      </c>
      <c r="AD760" s="76">
        <f t="shared" si="391"/>
        <v>1003.80427510981</v>
      </c>
      <c r="AE760" s="76">
        <f t="shared" si="396"/>
        <v>239.09572489019</v>
      </c>
    </row>
    <row r="761" customFormat="1" spans="1:31">
      <c r="A761" s="18"/>
      <c r="B761" s="19"/>
      <c r="C761" s="20">
        <v>240823000020</v>
      </c>
      <c r="D761" s="21">
        <v>45531</v>
      </c>
      <c r="E761" s="21" t="s">
        <v>37</v>
      </c>
      <c r="F761" s="19" t="s">
        <v>38</v>
      </c>
      <c r="G761" s="19" t="s">
        <v>424</v>
      </c>
      <c r="H761" s="19">
        <v>2</v>
      </c>
      <c r="I761" s="51">
        <v>135</v>
      </c>
      <c r="J761" s="52"/>
      <c r="K761" s="45"/>
      <c r="L761" s="19"/>
      <c r="M761" s="45"/>
      <c r="N761" s="48"/>
      <c r="O761" s="49">
        <f t="shared" si="408"/>
        <v>135</v>
      </c>
      <c r="P761" s="53"/>
      <c r="Q761" s="53"/>
      <c r="R761" s="76">
        <f t="shared" si="397"/>
        <v>94.7045387994144</v>
      </c>
      <c r="S761" s="76"/>
      <c r="T761" s="77">
        <f t="shared" si="398"/>
        <v>0.124275256222548</v>
      </c>
      <c r="U761" s="76"/>
      <c r="V761" s="76"/>
      <c r="W761" s="78">
        <f t="shared" si="393"/>
        <v>94.8288140556369</v>
      </c>
      <c r="X761" s="79">
        <f t="shared" si="399"/>
        <v>1.51535578330893</v>
      </c>
      <c r="Y761" s="79"/>
      <c r="Z761" s="79"/>
      <c r="AA761" s="79">
        <f t="shared" si="394"/>
        <v>1.51535578330893</v>
      </c>
      <c r="AB761" s="90">
        <v>7.15</v>
      </c>
      <c r="AC761" s="76">
        <f t="shared" si="395"/>
        <v>10.8347938506589</v>
      </c>
      <c r="AD761" s="76">
        <f t="shared" si="391"/>
        <v>105.663607906296</v>
      </c>
      <c r="AE761" s="76">
        <f t="shared" si="396"/>
        <v>29.3363920937042</v>
      </c>
    </row>
    <row r="762" customFormat="1" spans="1:31">
      <c r="A762" s="18"/>
      <c r="B762" s="19"/>
      <c r="C762" s="20">
        <v>240823000032</v>
      </c>
      <c r="D762" s="21">
        <v>45531</v>
      </c>
      <c r="E762" s="21" t="s">
        <v>37</v>
      </c>
      <c r="F762" s="19" t="s">
        <v>38</v>
      </c>
      <c r="G762" s="19" t="s">
        <v>477</v>
      </c>
      <c r="H762" s="19">
        <v>28.5</v>
      </c>
      <c r="I762" s="51">
        <v>1653</v>
      </c>
      <c r="J762" s="52"/>
      <c r="K762" s="45"/>
      <c r="L762" s="19"/>
      <c r="M762" s="45"/>
      <c r="N762" s="48"/>
      <c r="O762" s="49">
        <f t="shared" si="408"/>
        <v>1653</v>
      </c>
      <c r="P762" s="53"/>
      <c r="Q762" s="53"/>
      <c r="R762" s="76">
        <f t="shared" si="397"/>
        <v>1349.53967789165</v>
      </c>
      <c r="S762" s="76"/>
      <c r="T762" s="77">
        <f t="shared" si="398"/>
        <v>1.7709224011713</v>
      </c>
      <c r="U762" s="76">
        <v>20</v>
      </c>
      <c r="V762" s="76"/>
      <c r="W762" s="78">
        <f t="shared" si="393"/>
        <v>1371.31060029283</v>
      </c>
      <c r="X762" s="79">
        <f t="shared" si="399"/>
        <v>21.5938199121523</v>
      </c>
      <c r="Y762" s="79"/>
      <c r="Z762" s="79"/>
      <c r="AA762" s="79">
        <f t="shared" si="394"/>
        <v>21.5938199121523</v>
      </c>
      <c r="AB762" s="90">
        <v>7.15</v>
      </c>
      <c r="AC762" s="76">
        <f t="shared" si="395"/>
        <v>154.395812371889</v>
      </c>
      <c r="AD762" s="76">
        <f t="shared" si="391"/>
        <v>1525.70641266471</v>
      </c>
      <c r="AE762" s="76">
        <f t="shared" si="396"/>
        <v>127.293587335286</v>
      </c>
    </row>
    <row r="763" customFormat="1" spans="1:31">
      <c r="A763" s="18"/>
      <c r="B763" s="19"/>
      <c r="C763" s="20">
        <v>240823000046</v>
      </c>
      <c r="D763" s="21">
        <v>45531</v>
      </c>
      <c r="E763" s="21" t="s">
        <v>57</v>
      </c>
      <c r="F763" s="19" t="s">
        <v>57</v>
      </c>
      <c r="G763" s="19" t="s">
        <v>150</v>
      </c>
      <c r="H763" s="19">
        <v>471</v>
      </c>
      <c r="I763" s="51">
        <v>25516</v>
      </c>
      <c r="J763" s="52"/>
      <c r="K763" s="45"/>
      <c r="L763" s="19"/>
      <c r="M763" s="45"/>
      <c r="N763" s="48"/>
      <c r="O763" s="49">
        <f t="shared" si="408"/>
        <v>25516</v>
      </c>
      <c r="P763" s="53"/>
      <c r="Q763" s="53"/>
      <c r="R763" s="76">
        <f t="shared" si="397"/>
        <v>22302.9188872621</v>
      </c>
      <c r="S763" s="76"/>
      <c r="T763" s="77">
        <f t="shared" si="398"/>
        <v>29.26682284041</v>
      </c>
      <c r="U763" s="76"/>
      <c r="V763" s="76"/>
      <c r="W763" s="78">
        <f t="shared" si="393"/>
        <v>22332.1857101025</v>
      </c>
      <c r="X763" s="79">
        <f t="shared" si="399"/>
        <v>356.866286969253</v>
      </c>
      <c r="Y763" s="79"/>
      <c r="Z763" s="79"/>
      <c r="AA763" s="79">
        <f t="shared" si="394"/>
        <v>356.866286969253</v>
      </c>
      <c r="AB763" s="90">
        <v>7.15</v>
      </c>
      <c r="AC763" s="76">
        <f t="shared" si="395"/>
        <v>2551.59395183016</v>
      </c>
      <c r="AD763" s="76">
        <f t="shared" ref="AD763:AD803" si="409">SUM(W763+AC763)</f>
        <v>24883.7796619327</v>
      </c>
      <c r="AE763" s="76">
        <f t="shared" si="396"/>
        <v>632.220338067349</v>
      </c>
    </row>
    <row r="764" customFormat="1" spans="1:31">
      <c r="A764" s="18"/>
      <c r="B764" s="19"/>
      <c r="C764" s="20">
        <v>240823000048</v>
      </c>
      <c r="D764" s="21">
        <v>45531</v>
      </c>
      <c r="E764" s="21" t="s">
        <v>51</v>
      </c>
      <c r="F764" s="19" t="s">
        <v>52</v>
      </c>
      <c r="G764" s="19" t="s">
        <v>450</v>
      </c>
      <c r="H764" s="19">
        <v>1.5</v>
      </c>
      <c r="I764" s="51">
        <v>102</v>
      </c>
      <c r="J764" s="52"/>
      <c r="K764" s="45"/>
      <c r="L764" s="19"/>
      <c r="M764" s="45"/>
      <c r="N764" s="48"/>
      <c r="O764" s="49">
        <f t="shared" si="408"/>
        <v>102</v>
      </c>
      <c r="P764" s="53"/>
      <c r="Q764" s="53"/>
      <c r="R764" s="76">
        <f t="shared" si="397"/>
        <v>71.0284040995608</v>
      </c>
      <c r="S764" s="76"/>
      <c r="T764" s="77">
        <f t="shared" si="398"/>
        <v>0.0932064421669107</v>
      </c>
      <c r="U764" s="76"/>
      <c r="V764" s="76"/>
      <c r="W764" s="78">
        <f t="shared" si="393"/>
        <v>71.1216105417277</v>
      </c>
      <c r="X764" s="79">
        <f t="shared" si="399"/>
        <v>1.1365168374817</v>
      </c>
      <c r="Y764" s="79"/>
      <c r="Z764" s="79"/>
      <c r="AA764" s="79">
        <f t="shared" si="394"/>
        <v>1.1365168374817</v>
      </c>
      <c r="AB764" s="90">
        <v>7.15</v>
      </c>
      <c r="AC764" s="76">
        <f t="shared" ref="AC764:AC803" si="410">SUM(AA764*AB764)</f>
        <v>8.12609538799414</v>
      </c>
      <c r="AD764" s="76">
        <f t="shared" si="409"/>
        <v>79.2477059297218</v>
      </c>
      <c r="AE764" s="76">
        <f t="shared" si="396"/>
        <v>22.7522940702782</v>
      </c>
    </row>
    <row r="765" customFormat="1" spans="1:31">
      <c r="A765" s="18"/>
      <c r="B765" s="19"/>
      <c r="C765" s="20">
        <v>240823000054</v>
      </c>
      <c r="D765" s="21">
        <v>45531</v>
      </c>
      <c r="E765" s="21" t="s">
        <v>57</v>
      </c>
      <c r="F765" s="19" t="s">
        <v>57</v>
      </c>
      <c r="G765" s="19" t="s">
        <v>155</v>
      </c>
      <c r="H765" s="19">
        <v>961.5</v>
      </c>
      <c r="I765" s="43"/>
      <c r="J765" s="44">
        <v>11889524.4</v>
      </c>
      <c r="K765" s="45"/>
      <c r="L765" s="46">
        <f t="shared" ref="L765:L769" si="411">SUM(J765/M765)</f>
        <v>1700.27176835337</v>
      </c>
      <c r="M765" s="47">
        <v>6992.72</v>
      </c>
      <c r="N765" s="48">
        <v>7.15</v>
      </c>
      <c r="O765" s="49">
        <f t="shared" ref="O765:O769" si="412">SUM(M765*N765)</f>
        <v>49997.948</v>
      </c>
      <c r="P765" s="54"/>
      <c r="Q765" s="54"/>
      <c r="R765" s="76">
        <f t="shared" si="397"/>
        <v>45529.2070278184</v>
      </c>
      <c r="S765" s="76"/>
      <c r="T765" s="77">
        <f t="shared" si="398"/>
        <v>59.7453294289897</v>
      </c>
      <c r="U765" s="76"/>
      <c r="V765" s="76"/>
      <c r="W765" s="78">
        <f t="shared" ref="W765:W803" si="413">SUM(R765:V765)</f>
        <v>45588.9523572474</v>
      </c>
      <c r="X765" s="79">
        <f t="shared" si="399"/>
        <v>728.507292825769</v>
      </c>
      <c r="Y765" s="79"/>
      <c r="Z765" s="79"/>
      <c r="AA765" s="79">
        <f t="shared" ref="AA765:AA803" si="414">SUM(X765:Z765)</f>
        <v>728.507292825769</v>
      </c>
      <c r="AB765" s="90">
        <v>7.15</v>
      </c>
      <c r="AC765" s="76">
        <f t="shared" si="410"/>
        <v>5208.82714370425</v>
      </c>
      <c r="AD765" s="76">
        <f t="shared" si="409"/>
        <v>50797.7795009517</v>
      </c>
      <c r="AE765" s="76">
        <f t="shared" ref="AE765:AE803" si="415">SUM(O765-AD765)</f>
        <v>-799.831500951688</v>
      </c>
    </row>
    <row r="766" customFormat="1" spans="1:31">
      <c r="A766" s="18" t="s">
        <v>486</v>
      </c>
      <c r="B766" s="19" t="s">
        <v>487</v>
      </c>
      <c r="C766" s="20">
        <v>240821000014</v>
      </c>
      <c r="D766" s="21">
        <v>45533</v>
      </c>
      <c r="E766" s="21" t="s">
        <v>37</v>
      </c>
      <c r="F766" s="19" t="s">
        <v>38</v>
      </c>
      <c r="G766" s="19" t="s">
        <v>254</v>
      </c>
      <c r="H766" s="19">
        <v>67.5</v>
      </c>
      <c r="I766" s="51">
        <v>3405</v>
      </c>
      <c r="J766" s="52"/>
      <c r="K766" s="45"/>
      <c r="L766" s="19"/>
      <c r="M766" s="45"/>
      <c r="N766" s="48"/>
      <c r="O766" s="49">
        <f t="shared" ref="O766:O771" si="416">SUM(I766)</f>
        <v>3405</v>
      </c>
      <c r="P766" s="50">
        <f>SUM(O766:O803)</f>
        <v>106920.42536415</v>
      </c>
      <c r="Q766" s="50" t="s">
        <v>40</v>
      </c>
      <c r="R766" s="76">
        <f>SUM(79302/1934)*H766</f>
        <v>2767.77921406412</v>
      </c>
      <c r="S766" s="76"/>
      <c r="T766" s="77">
        <f>SUM(209.35/1934)*H766</f>
        <v>7.30668304033092</v>
      </c>
      <c r="U766" s="76">
        <v>30</v>
      </c>
      <c r="V766" s="76"/>
      <c r="W766" s="78">
        <f t="shared" si="413"/>
        <v>2805.08589710445</v>
      </c>
      <c r="X766" s="79">
        <f>SUM(1596.2/1934)*H766</f>
        <v>55.7101861427094</v>
      </c>
      <c r="Y766" s="79"/>
      <c r="Z766" s="79"/>
      <c r="AA766" s="79">
        <f t="shared" si="414"/>
        <v>55.7101861427094</v>
      </c>
      <c r="AB766" s="90">
        <v>7.15</v>
      </c>
      <c r="AC766" s="76">
        <f t="shared" si="410"/>
        <v>398.327830920372</v>
      </c>
      <c r="AD766" s="76">
        <f t="shared" si="409"/>
        <v>3203.41372802482</v>
      </c>
      <c r="AE766" s="76">
        <f t="shared" si="415"/>
        <v>201.58627197518</v>
      </c>
    </row>
    <row r="767" customFormat="1" spans="1:31">
      <c r="A767" s="18"/>
      <c r="B767" s="19"/>
      <c r="C767" s="20">
        <v>240821000016</v>
      </c>
      <c r="D767" s="21">
        <v>45533</v>
      </c>
      <c r="E767" s="21" t="s">
        <v>41</v>
      </c>
      <c r="F767" s="19" t="s">
        <v>42</v>
      </c>
      <c r="G767" s="19" t="s">
        <v>229</v>
      </c>
      <c r="H767" s="19">
        <v>73.5</v>
      </c>
      <c r="I767" s="49"/>
      <c r="J767" s="44">
        <v>918072</v>
      </c>
      <c r="K767" s="45"/>
      <c r="L767" s="46">
        <f t="shared" si="411"/>
        <v>1640</v>
      </c>
      <c r="M767" s="47">
        <v>559.8</v>
      </c>
      <c r="N767" s="48">
        <v>7.15</v>
      </c>
      <c r="O767" s="49">
        <f t="shared" si="412"/>
        <v>4002.57</v>
      </c>
      <c r="P767" s="53"/>
      <c r="Q767" s="53"/>
      <c r="R767" s="76">
        <f t="shared" ref="R767:R803" si="417">SUM(79302/1934)*H767</f>
        <v>3013.80403309204</v>
      </c>
      <c r="S767" s="76"/>
      <c r="T767" s="77">
        <f t="shared" ref="T767:T803" si="418">SUM(209.35/1934)*H767</f>
        <v>7.95616597724922</v>
      </c>
      <c r="U767" s="76"/>
      <c r="V767" s="76"/>
      <c r="W767" s="78">
        <f t="shared" si="413"/>
        <v>3021.76019906929</v>
      </c>
      <c r="X767" s="79">
        <f t="shared" ref="X767:X803" si="419">SUM(1596.2/1934)*H767</f>
        <v>60.662202688728</v>
      </c>
      <c r="Y767" s="79"/>
      <c r="Z767" s="79"/>
      <c r="AA767" s="79">
        <f t="shared" si="414"/>
        <v>60.662202688728</v>
      </c>
      <c r="AB767" s="90">
        <v>7.15</v>
      </c>
      <c r="AC767" s="76">
        <f t="shared" si="410"/>
        <v>433.734749224405</v>
      </c>
      <c r="AD767" s="76">
        <f t="shared" si="409"/>
        <v>3455.49494829369</v>
      </c>
      <c r="AE767" s="76">
        <f t="shared" si="415"/>
        <v>547.075051706308</v>
      </c>
    </row>
    <row r="768" customFormat="1" spans="1:31">
      <c r="A768" s="18"/>
      <c r="B768" s="19"/>
      <c r="C768" s="20">
        <v>240822000005</v>
      </c>
      <c r="D768" s="21">
        <v>45533</v>
      </c>
      <c r="E768" s="21" t="s">
        <v>41</v>
      </c>
      <c r="F768" s="19" t="s">
        <v>42</v>
      </c>
      <c r="G768" s="19" t="s">
        <v>229</v>
      </c>
      <c r="H768" s="19">
        <v>35</v>
      </c>
      <c r="I768" s="49"/>
      <c r="J768" s="44">
        <v>438191.6</v>
      </c>
      <c r="K768" s="45"/>
      <c r="L768" s="46">
        <f t="shared" si="411"/>
        <v>1640</v>
      </c>
      <c r="M768" s="47">
        <v>267.19</v>
      </c>
      <c r="N768" s="48">
        <v>7.15</v>
      </c>
      <c r="O768" s="49">
        <f t="shared" si="412"/>
        <v>1910.4085</v>
      </c>
      <c r="P768" s="53"/>
      <c r="Q768" s="53"/>
      <c r="R768" s="76">
        <f t="shared" si="417"/>
        <v>1435.14477766287</v>
      </c>
      <c r="S768" s="76"/>
      <c r="T768" s="77">
        <f t="shared" si="418"/>
        <v>3.78865046535677</v>
      </c>
      <c r="U768" s="76"/>
      <c r="V768" s="76"/>
      <c r="W768" s="78">
        <f t="shared" si="413"/>
        <v>1438.93342812823</v>
      </c>
      <c r="X768" s="79">
        <f t="shared" si="419"/>
        <v>28.8867631851086</v>
      </c>
      <c r="Y768" s="79"/>
      <c r="Z768" s="79"/>
      <c r="AA768" s="79">
        <f t="shared" si="414"/>
        <v>28.8867631851086</v>
      </c>
      <c r="AB768" s="90">
        <v>7.15</v>
      </c>
      <c r="AC768" s="76">
        <f t="shared" si="410"/>
        <v>206.540356773526</v>
      </c>
      <c r="AD768" s="76">
        <f t="shared" si="409"/>
        <v>1645.47378490176</v>
      </c>
      <c r="AE768" s="76">
        <f t="shared" si="415"/>
        <v>264.934715098242</v>
      </c>
    </row>
    <row r="769" customFormat="1" spans="1:31">
      <c r="A769" s="18"/>
      <c r="B769" s="19"/>
      <c r="C769" s="20">
        <v>240822000021</v>
      </c>
      <c r="D769" s="21">
        <v>45533</v>
      </c>
      <c r="E769" s="21" t="s">
        <v>127</v>
      </c>
      <c r="F769" s="19" t="s">
        <v>128</v>
      </c>
      <c r="G769" s="19" t="s">
        <v>488</v>
      </c>
      <c r="H769" s="19">
        <v>7.5</v>
      </c>
      <c r="I769" s="49"/>
      <c r="J769" s="44">
        <v>98646</v>
      </c>
      <c r="K769" s="45"/>
      <c r="L769" s="46">
        <f t="shared" si="411"/>
        <v>1640</v>
      </c>
      <c r="M769" s="47">
        <v>60.15</v>
      </c>
      <c r="N769" s="48">
        <v>7.15</v>
      </c>
      <c r="O769" s="49">
        <f t="shared" si="412"/>
        <v>430.0725</v>
      </c>
      <c r="P769" s="53"/>
      <c r="Q769" s="53"/>
      <c r="R769" s="76">
        <f t="shared" si="417"/>
        <v>307.531023784902</v>
      </c>
      <c r="S769" s="76"/>
      <c r="T769" s="77">
        <f t="shared" si="418"/>
        <v>0.81185367114788</v>
      </c>
      <c r="U769" s="76"/>
      <c r="V769" s="76"/>
      <c r="W769" s="78">
        <f t="shared" si="413"/>
        <v>308.34287745605</v>
      </c>
      <c r="X769" s="79">
        <f t="shared" si="419"/>
        <v>6.19002068252327</v>
      </c>
      <c r="Y769" s="79"/>
      <c r="Z769" s="79"/>
      <c r="AA769" s="79">
        <f t="shared" si="414"/>
        <v>6.19002068252327</v>
      </c>
      <c r="AB769" s="90">
        <v>7.15</v>
      </c>
      <c r="AC769" s="76">
        <f t="shared" si="410"/>
        <v>44.2586478800414</v>
      </c>
      <c r="AD769" s="76">
        <f t="shared" si="409"/>
        <v>352.601525336091</v>
      </c>
      <c r="AE769" s="76">
        <f t="shared" si="415"/>
        <v>77.470974663909</v>
      </c>
    </row>
    <row r="770" customFormat="1" spans="1:31">
      <c r="A770" s="18"/>
      <c r="B770" s="19"/>
      <c r="C770" s="20">
        <v>240822000024</v>
      </c>
      <c r="D770" s="21">
        <v>45533</v>
      </c>
      <c r="E770" s="21" t="s">
        <v>41</v>
      </c>
      <c r="F770" s="19" t="s">
        <v>42</v>
      </c>
      <c r="G770" s="19" t="s">
        <v>43</v>
      </c>
      <c r="H770" s="19">
        <v>0.2</v>
      </c>
      <c r="I770" s="51">
        <v>53</v>
      </c>
      <c r="J770" s="52"/>
      <c r="K770" s="45"/>
      <c r="L770" s="19"/>
      <c r="M770" s="45"/>
      <c r="N770" s="48"/>
      <c r="O770" s="49">
        <f t="shared" si="416"/>
        <v>53</v>
      </c>
      <c r="P770" s="53"/>
      <c r="Q770" s="53"/>
      <c r="R770" s="76">
        <f t="shared" si="417"/>
        <v>8.20082730093071</v>
      </c>
      <c r="S770" s="76"/>
      <c r="T770" s="77">
        <f t="shared" si="418"/>
        <v>0.0216494312306101</v>
      </c>
      <c r="U770" s="76"/>
      <c r="V770" s="76"/>
      <c r="W770" s="78">
        <f t="shared" si="413"/>
        <v>8.22247673216132</v>
      </c>
      <c r="X770" s="79">
        <f t="shared" si="419"/>
        <v>0.165067218200621</v>
      </c>
      <c r="Y770" s="79"/>
      <c r="Z770" s="79"/>
      <c r="AA770" s="79">
        <f t="shared" si="414"/>
        <v>0.165067218200621</v>
      </c>
      <c r="AB770" s="90">
        <v>7.15</v>
      </c>
      <c r="AC770" s="76">
        <f t="shared" si="410"/>
        <v>1.18023061013444</v>
      </c>
      <c r="AD770" s="76">
        <f t="shared" si="409"/>
        <v>9.40270734229576</v>
      </c>
      <c r="AE770" s="76">
        <f t="shared" si="415"/>
        <v>43.5972926577042</v>
      </c>
    </row>
    <row r="771" customFormat="1" spans="1:31">
      <c r="A771" s="18"/>
      <c r="B771" s="19"/>
      <c r="C771" s="20">
        <v>240822000027</v>
      </c>
      <c r="D771" s="21">
        <v>45533</v>
      </c>
      <c r="E771" s="21" t="s">
        <v>44</v>
      </c>
      <c r="F771" s="19" t="s">
        <v>45</v>
      </c>
      <c r="G771" s="19" t="s">
        <v>46</v>
      </c>
      <c r="H771" s="19">
        <v>1</v>
      </c>
      <c r="I771" s="51">
        <v>63</v>
      </c>
      <c r="J771" s="52"/>
      <c r="K771" s="45"/>
      <c r="L771" s="19"/>
      <c r="M771" s="45"/>
      <c r="N771" s="48"/>
      <c r="O771" s="49">
        <f t="shared" si="416"/>
        <v>63</v>
      </c>
      <c r="P771" s="53"/>
      <c r="Q771" s="53"/>
      <c r="R771" s="76">
        <f t="shared" si="417"/>
        <v>41.0041365046536</v>
      </c>
      <c r="S771" s="76"/>
      <c r="T771" s="77">
        <f t="shared" si="418"/>
        <v>0.108247156153051</v>
      </c>
      <c r="U771" s="76"/>
      <c r="V771" s="76"/>
      <c r="W771" s="78">
        <f t="shared" si="413"/>
        <v>41.1123836608066</v>
      </c>
      <c r="X771" s="79">
        <f t="shared" si="419"/>
        <v>0.825336091003102</v>
      </c>
      <c r="Y771" s="79"/>
      <c r="Z771" s="79"/>
      <c r="AA771" s="79">
        <f t="shared" si="414"/>
        <v>0.825336091003102</v>
      </c>
      <c r="AB771" s="90">
        <v>7.15</v>
      </c>
      <c r="AC771" s="76">
        <f t="shared" si="410"/>
        <v>5.90115305067218</v>
      </c>
      <c r="AD771" s="76">
        <f t="shared" si="409"/>
        <v>47.0135367114788</v>
      </c>
      <c r="AE771" s="76">
        <f t="shared" si="415"/>
        <v>15.9864632885212</v>
      </c>
    </row>
    <row r="772" customFormat="1" spans="1:31">
      <c r="A772" s="18"/>
      <c r="B772" s="19"/>
      <c r="C772" s="20">
        <v>240823000009</v>
      </c>
      <c r="D772" s="21">
        <v>45533</v>
      </c>
      <c r="E772" s="21" t="s">
        <v>37</v>
      </c>
      <c r="F772" s="19" t="s">
        <v>38</v>
      </c>
      <c r="G772" s="19" t="s">
        <v>71</v>
      </c>
      <c r="H772" s="19">
        <v>7.5</v>
      </c>
      <c r="I772" s="49"/>
      <c r="J772" s="44">
        <v>98646</v>
      </c>
      <c r="K772" s="45"/>
      <c r="L772" s="46">
        <f>SUM(J772/M772)</f>
        <v>1640</v>
      </c>
      <c r="M772" s="47">
        <v>60.15</v>
      </c>
      <c r="N772" s="48">
        <v>7.15</v>
      </c>
      <c r="O772" s="49">
        <f>SUM(M772*N772)</f>
        <v>430.0725</v>
      </c>
      <c r="P772" s="53"/>
      <c r="Q772" s="53"/>
      <c r="R772" s="76">
        <f t="shared" si="417"/>
        <v>307.531023784902</v>
      </c>
      <c r="S772" s="76"/>
      <c r="T772" s="77">
        <f t="shared" si="418"/>
        <v>0.81185367114788</v>
      </c>
      <c r="U772" s="76"/>
      <c r="V772" s="76"/>
      <c r="W772" s="78">
        <f t="shared" si="413"/>
        <v>308.34287745605</v>
      </c>
      <c r="X772" s="79">
        <f t="shared" si="419"/>
        <v>6.19002068252327</v>
      </c>
      <c r="Y772" s="79"/>
      <c r="Z772" s="79"/>
      <c r="AA772" s="79">
        <f t="shared" si="414"/>
        <v>6.19002068252327</v>
      </c>
      <c r="AB772" s="90">
        <v>7.15</v>
      </c>
      <c r="AC772" s="76">
        <f t="shared" si="410"/>
        <v>44.2586478800414</v>
      </c>
      <c r="AD772" s="76">
        <f t="shared" si="409"/>
        <v>352.601525336091</v>
      </c>
      <c r="AE772" s="76">
        <f t="shared" si="415"/>
        <v>77.470974663909</v>
      </c>
    </row>
    <row r="773" customFormat="1" spans="1:31">
      <c r="A773" s="18"/>
      <c r="B773" s="19"/>
      <c r="C773" s="20">
        <v>240823000022</v>
      </c>
      <c r="D773" s="21">
        <v>45533</v>
      </c>
      <c r="E773" s="21" t="s">
        <v>37</v>
      </c>
      <c r="F773" s="19" t="s">
        <v>38</v>
      </c>
      <c r="G773" s="19" t="s">
        <v>489</v>
      </c>
      <c r="H773" s="19">
        <v>96.5</v>
      </c>
      <c r="I773" s="43"/>
      <c r="J773" s="44">
        <v>1179230</v>
      </c>
      <c r="K773" s="45"/>
      <c r="L773" s="46">
        <f>SUM(J773/M773)</f>
        <v>1680.2695886351</v>
      </c>
      <c r="M773" s="47">
        <v>701.81</v>
      </c>
      <c r="N773" s="48">
        <v>7.15</v>
      </c>
      <c r="O773" s="49">
        <f>SUM(M773*N773)</f>
        <v>5017.9415</v>
      </c>
      <c r="P773" s="53"/>
      <c r="Q773" s="53"/>
      <c r="R773" s="76">
        <f t="shared" si="417"/>
        <v>3956.89917269907</v>
      </c>
      <c r="S773" s="76"/>
      <c r="T773" s="77">
        <f t="shared" si="418"/>
        <v>10.4458505687694</v>
      </c>
      <c r="U773" s="76"/>
      <c r="V773" s="76"/>
      <c r="W773" s="78">
        <f t="shared" si="413"/>
        <v>3967.34502326784</v>
      </c>
      <c r="X773" s="79">
        <f t="shared" si="419"/>
        <v>79.6449327817994</v>
      </c>
      <c r="Y773" s="79"/>
      <c r="Z773" s="79"/>
      <c r="AA773" s="79">
        <f t="shared" si="414"/>
        <v>79.6449327817994</v>
      </c>
      <c r="AB773" s="90">
        <v>7.15</v>
      </c>
      <c r="AC773" s="76">
        <f t="shared" si="410"/>
        <v>569.461269389866</v>
      </c>
      <c r="AD773" s="76">
        <f t="shared" si="409"/>
        <v>4536.8062926577</v>
      </c>
      <c r="AE773" s="76">
        <f t="shared" si="415"/>
        <v>481.135207342296</v>
      </c>
    </row>
    <row r="774" customFormat="1" spans="1:31">
      <c r="A774" s="18"/>
      <c r="B774" s="19"/>
      <c r="C774" s="20">
        <v>240823000025</v>
      </c>
      <c r="D774" s="21">
        <v>45533</v>
      </c>
      <c r="E774" s="21" t="s">
        <v>37</v>
      </c>
      <c r="F774" s="19" t="s">
        <v>38</v>
      </c>
      <c r="G774" s="19" t="s">
        <v>490</v>
      </c>
      <c r="H774" s="19">
        <v>0.9</v>
      </c>
      <c r="I774" s="51">
        <v>69</v>
      </c>
      <c r="J774" s="52"/>
      <c r="K774" s="45"/>
      <c r="L774" s="19"/>
      <c r="M774" s="45"/>
      <c r="N774" s="48"/>
      <c r="O774" s="49">
        <f t="shared" ref="O774:O778" si="420">SUM(I774)</f>
        <v>69</v>
      </c>
      <c r="P774" s="53"/>
      <c r="Q774" s="53"/>
      <c r="R774" s="76">
        <f t="shared" si="417"/>
        <v>36.9037228541882</v>
      </c>
      <c r="S774" s="76"/>
      <c r="T774" s="77">
        <f t="shared" si="418"/>
        <v>0.0974224405377456</v>
      </c>
      <c r="U774" s="76"/>
      <c r="V774" s="76"/>
      <c r="W774" s="78">
        <f t="shared" si="413"/>
        <v>37.001145294726</v>
      </c>
      <c r="X774" s="79">
        <f t="shared" si="419"/>
        <v>0.742802481902792</v>
      </c>
      <c r="Y774" s="79"/>
      <c r="Z774" s="79"/>
      <c r="AA774" s="79">
        <f t="shared" si="414"/>
        <v>0.742802481902792</v>
      </c>
      <c r="AB774" s="90">
        <v>7.15</v>
      </c>
      <c r="AC774" s="76">
        <f t="shared" si="410"/>
        <v>5.31103774560496</v>
      </c>
      <c r="AD774" s="76">
        <f t="shared" si="409"/>
        <v>42.3121830403309</v>
      </c>
      <c r="AE774" s="76">
        <f t="shared" si="415"/>
        <v>26.6878169596691</v>
      </c>
    </row>
    <row r="775" customFormat="1" spans="1:31">
      <c r="A775" s="18"/>
      <c r="B775" s="19"/>
      <c r="C775" s="20">
        <v>240823000029</v>
      </c>
      <c r="D775" s="21">
        <v>45533</v>
      </c>
      <c r="E775" s="21" t="s">
        <v>41</v>
      </c>
      <c r="F775" s="19" t="s">
        <v>42</v>
      </c>
      <c r="G775" s="19" t="s">
        <v>443</v>
      </c>
      <c r="H775" s="19">
        <v>4</v>
      </c>
      <c r="I775" s="51">
        <v>267</v>
      </c>
      <c r="J775" s="52"/>
      <c r="K775" s="45"/>
      <c r="L775" s="19"/>
      <c r="M775" s="45"/>
      <c r="N775" s="48"/>
      <c r="O775" s="49">
        <f t="shared" si="420"/>
        <v>267</v>
      </c>
      <c r="P775" s="53"/>
      <c r="Q775" s="53"/>
      <c r="R775" s="76">
        <f t="shared" si="417"/>
        <v>164.016546018614</v>
      </c>
      <c r="S775" s="76"/>
      <c r="T775" s="77">
        <f t="shared" si="418"/>
        <v>0.432988624612203</v>
      </c>
      <c r="U775" s="76"/>
      <c r="V775" s="76"/>
      <c r="W775" s="78">
        <f t="shared" si="413"/>
        <v>164.449534643226</v>
      </c>
      <c r="X775" s="79">
        <f t="shared" si="419"/>
        <v>3.30134436401241</v>
      </c>
      <c r="Y775" s="79"/>
      <c r="Z775" s="79"/>
      <c r="AA775" s="79">
        <f t="shared" si="414"/>
        <v>3.30134436401241</v>
      </c>
      <c r="AB775" s="90">
        <v>7.15</v>
      </c>
      <c r="AC775" s="76">
        <f t="shared" si="410"/>
        <v>23.6046122026887</v>
      </c>
      <c r="AD775" s="76">
        <f t="shared" si="409"/>
        <v>188.054146845915</v>
      </c>
      <c r="AE775" s="76">
        <f t="shared" si="415"/>
        <v>78.9458531540848</v>
      </c>
    </row>
    <row r="776" customFormat="1" spans="1:31">
      <c r="A776" s="18"/>
      <c r="B776" s="19"/>
      <c r="C776" s="20">
        <v>240823000033</v>
      </c>
      <c r="D776" s="21">
        <v>45533</v>
      </c>
      <c r="E776" s="21" t="s">
        <v>51</v>
      </c>
      <c r="F776" s="19" t="s">
        <v>52</v>
      </c>
      <c r="G776" s="19" t="s">
        <v>53</v>
      </c>
      <c r="H776" s="19">
        <v>0.5</v>
      </c>
      <c r="I776" s="51">
        <v>63</v>
      </c>
      <c r="J776" s="52"/>
      <c r="K776" s="45"/>
      <c r="L776" s="19"/>
      <c r="M776" s="45"/>
      <c r="N776" s="48"/>
      <c r="O776" s="49">
        <f t="shared" si="420"/>
        <v>63</v>
      </c>
      <c r="P776" s="53"/>
      <c r="Q776" s="53"/>
      <c r="R776" s="76">
        <f t="shared" si="417"/>
        <v>20.5020682523268</v>
      </c>
      <c r="S776" s="76"/>
      <c r="T776" s="77">
        <f t="shared" si="418"/>
        <v>0.0541235780765253</v>
      </c>
      <c r="U776" s="76"/>
      <c r="V776" s="76"/>
      <c r="W776" s="78">
        <f t="shared" si="413"/>
        <v>20.5561918304033</v>
      </c>
      <c r="X776" s="79">
        <f t="shared" si="419"/>
        <v>0.412668045501551</v>
      </c>
      <c r="Y776" s="79"/>
      <c r="Z776" s="79"/>
      <c r="AA776" s="79">
        <f t="shared" si="414"/>
        <v>0.412668045501551</v>
      </c>
      <c r="AB776" s="90">
        <v>7.15</v>
      </c>
      <c r="AC776" s="76">
        <f t="shared" si="410"/>
        <v>2.95057652533609</v>
      </c>
      <c r="AD776" s="76">
        <f t="shared" si="409"/>
        <v>23.5067683557394</v>
      </c>
      <c r="AE776" s="76">
        <f t="shared" si="415"/>
        <v>39.4932316442606</v>
      </c>
    </row>
    <row r="777" customFormat="1" spans="1:31">
      <c r="A777" s="18"/>
      <c r="B777" s="19"/>
      <c r="C777" s="20">
        <v>240823000042</v>
      </c>
      <c r="D777" s="21">
        <v>45533</v>
      </c>
      <c r="E777" s="21" t="s">
        <v>44</v>
      </c>
      <c r="F777" s="19" t="s">
        <v>45</v>
      </c>
      <c r="G777" s="19" t="s">
        <v>491</v>
      </c>
      <c r="H777" s="19">
        <v>23.5</v>
      </c>
      <c r="I777" s="51">
        <v>1245.5</v>
      </c>
      <c r="J777" s="52"/>
      <c r="K777" s="45"/>
      <c r="L777" s="19"/>
      <c r="M777" s="45"/>
      <c r="N777" s="48"/>
      <c r="O777" s="49">
        <f t="shared" si="420"/>
        <v>1245.5</v>
      </c>
      <c r="P777" s="53"/>
      <c r="Q777" s="53"/>
      <c r="R777" s="76">
        <f t="shared" si="417"/>
        <v>963.597207859359</v>
      </c>
      <c r="S777" s="76"/>
      <c r="T777" s="77">
        <f t="shared" si="418"/>
        <v>2.54380816959669</v>
      </c>
      <c r="U777" s="76"/>
      <c r="V777" s="76"/>
      <c r="W777" s="78">
        <f t="shared" si="413"/>
        <v>966.141016028956</v>
      </c>
      <c r="X777" s="79">
        <f t="shared" si="419"/>
        <v>19.3953981385729</v>
      </c>
      <c r="Y777" s="79"/>
      <c r="Z777" s="79"/>
      <c r="AA777" s="79">
        <f t="shared" si="414"/>
        <v>19.3953981385729</v>
      </c>
      <c r="AB777" s="90">
        <v>7.15</v>
      </c>
      <c r="AC777" s="76">
        <f t="shared" si="410"/>
        <v>138.677096690796</v>
      </c>
      <c r="AD777" s="76">
        <f t="shared" si="409"/>
        <v>1104.81811271975</v>
      </c>
      <c r="AE777" s="76">
        <f t="shared" si="415"/>
        <v>140.681887280248</v>
      </c>
    </row>
    <row r="778" customFormat="1" spans="1:31">
      <c r="A778" s="18"/>
      <c r="B778" s="19"/>
      <c r="C778" s="20">
        <v>240823000043</v>
      </c>
      <c r="D778" s="21">
        <v>45533</v>
      </c>
      <c r="E778" s="21" t="s">
        <v>37</v>
      </c>
      <c r="F778" s="19" t="s">
        <v>38</v>
      </c>
      <c r="G778" s="19" t="s">
        <v>75</v>
      </c>
      <c r="H778" s="19">
        <v>2.5</v>
      </c>
      <c r="I778" s="51">
        <v>132.5</v>
      </c>
      <c r="J778" s="52"/>
      <c r="K778" s="45"/>
      <c r="L778" s="19"/>
      <c r="M778" s="45"/>
      <c r="N778" s="48"/>
      <c r="O778" s="49">
        <f t="shared" si="420"/>
        <v>132.5</v>
      </c>
      <c r="P778" s="53"/>
      <c r="Q778" s="53"/>
      <c r="R778" s="76">
        <f t="shared" si="417"/>
        <v>102.510341261634</v>
      </c>
      <c r="S778" s="76"/>
      <c r="T778" s="77">
        <f t="shared" si="418"/>
        <v>0.270617890382627</v>
      </c>
      <c r="U778" s="76"/>
      <c r="V778" s="76"/>
      <c r="W778" s="78">
        <f t="shared" si="413"/>
        <v>102.780959152017</v>
      </c>
      <c r="X778" s="79">
        <f t="shared" si="419"/>
        <v>2.06334022750776</v>
      </c>
      <c r="Y778" s="79"/>
      <c r="Z778" s="79"/>
      <c r="AA778" s="79">
        <f t="shared" si="414"/>
        <v>2.06334022750776</v>
      </c>
      <c r="AB778" s="90">
        <v>7.15</v>
      </c>
      <c r="AC778" s="76">
        <f t="shared" si="410"/>
        <v>14.7528826266805</v>
      </c>
      <c r="AD778" s="76">
        <f t="shared" si="409"/>
        <v>117.533841778697</v>
      </c>
      <c r="AE778" s="76">
        <f t="shared" si="415"/>
        <v>14.966158221303</v>
      </c>
    </row>
    <row r="779" customFormat="1" spans="1:31">
      <c r="A779" s="18"/>
      <c r="B779" s="19"/>
      <c r="C779" s="20">
        <v>240823000047</v>
      </c>
      <c r="D779" s="21">
        <v>45533</v>
      </c>
      <c r="E779" s="21" t="s">
        <v>44</v>
      </c>
      <c r="F779" s="19" t="s">
        <v>45</v>
      </c>
      <c r="G779" s="19" t="s">
        <v>492</v>
      </c>
      <c r="H779" s="19">
        <v>19</v>
      </c>
      <c r="I779" s="49"/>
      <c r="J779" s="44">
        <v>247640</v>
      </c>
      <c r="K779" s="45"/>
      <c r="L779" s="46">
        <f t="shared" ref="L779:L782" si="421">SUM(J779/M779)</f>
        <v>1640</v>
      </c>
      <c r="M779" s="47">
        <v>151</v>
      </c>
      <c r="N779" s="48">
        <v>7.15</v>
      </c>
      <c r="O779" s="49">
        <f t="shared" ref="O779:O782" si="422">SUM(M779*N779)</f>
        <v>1079.65</v>
      </c>
      <c r="P779" s="53"/>
      <c r="Q779" s="53"/>
      <c r="R779" s="76">
        <f t="shared" si="417"/>
        <v>779.078593588418</v>
      </c>
      <c r="S779" s="76"/>
      <c r="T779" s="77">
        <f t="shared" si="418"/>
        <v>2.05669596690796</v>
      </c>
      <c r="U779" s="76"/>
      <c r="V779" s="76"/>
      <c r="W779" s="78">
        <f t="shared" si="413"/>
        <v>781.135289555326</v>
      </c>
      <c r="X779" s="79">
        <f t="shared" si="419"/>
        <v>15.6813857290589</v>
      </c>
      <c r="Y779" s="79"/>
      <c r="Z779" s="79"/>
      <c r="AA779" s="79">
        <f t="shared" si="414"/>
        <v>15.6813857290589</v>
      </c>
      <c r="AB779" s="90">
        <v>7.15</v>
      </c>
      <c r="AC779" s="76">
        <f t="shared" si="410"/>
        <v>112.121907962771</v>
      </c>
      <c r="AD779" s="76">
        <f t="shared" si="409"/>
        <v>893.257197518097</v>
      </c>
      <c r="AE779" s="76">
        <f t="shared" si="415"/>
        <v>186.392802481903</v>
      </c>
    </row>
    <row r="780" customFormat="1" spans="1:31">
      <c r="A780" s="18"/>
      <c r="B780" s="19"/>
      <c r="C780" s="20">
        <v>240824000001</v>
      </c>
      <c r="D780" s="21">
        <v>45533</v>
      </c>
      <c r="E780" s="21" t="s">
        <v>127</v>
      </c>
      <c r="F780" s="19" t="s">
        <v>493</v>
      </c>
      <c r="G780" s="19" t="s">
        <v>494</v>
      </c>
      <c r="H780" s="19">
        <v>2.5</v>
      </c>
      <c r="I780" s="51">
        <v>168</v>
      </c>
      <c r="J780" s="52"/>
      <c r="K780" s="45"/>
      <c r="L780" s="19"/>
      <c r="M780" s="45"/>
      <c r="N780" s="48"/>
      <c r="O780" s="49">
        <f t="shared" ref="O780:O785" si="423">SUM(I780)</f>
        <v>168</v>
      </c>
      <c r="P780" s="53"/>
      <c r="Q780" s="53"/>
      <c r="R780" s="76">
        <f t="shared" si="417"/>
        <v>102.510341261634</v>
      </c>
      <c r="S780" s="76"/>
      <c r="T780" s="77">
        <f t="shared" si="418"/>
        <v>0.270617890382627</v>
      </c>
      <c r="U780" s="76"/>
      <c r="V780" s="76"/>
      <c r="W780" s="78">
        <f t="shared" si="413"/>
        <v>102.780959152017</v>
      </c>
      <c r="X780" s="79">
        <f t="shared" si="419"/>
        <v>2.06334022750776</v>
      </c>
      <c r="Y780" s="79"/>
      <c r="Z780" s="79"/>
      <c r="AA780" s="79">
        <f t="shared" si="414"/>
        <v>2.06334022750776</v>
      </c>
      <c r="AB780" s="90">
        <v>7.15</v>
      </c>
      <c r="AC780" s="76">
        <f t="shared" si="410"/>
        <v>14.7528826266805</v>
      </c>
      <c r="AD780" s="76">
        <f t="shared" si="409"/>
        <v>117.533841778697</v>
      </c>
      <c r="AE780" s="76">
        <f t="shared" si="415"/>
        <v>50.466158221303</v>
      </c>
    </row>
    <row r="781" customFormat="1" spans="1:31">
      <c r="A781" s="18"/>
      <c r="B781" s="19"/>
      <c r="C781" s="20">
        <v>240824000003</v>
      </c>
      <c r="D781" s="21">
        <v>45533</v>
      </c>
      <c r="E781" s="21" t="s">
        <v>41</v>
      </c>
      <c r="F781" s="19" t="s">
        <v>121</v>
      </c>
      <c r="G781" s="19" t="s">
        <v>121</v>
      </c>
      <c r="H781" s="19">
        <v>28</v>
      </c>
      <c r="I781" s="49"/>
      <c r="J781" s="44">
        <v>367130.4</v>
      </c>
      <c r="K781" s="45"/>
      <c r="L781" s="46">
        <f t="shared" si="421"/>
        <v>1640</v>
      </c>
      <c r="M781" s="47">
        <v>223.86</v>
      </c>
      <c r="N781" s="48">
        <v>7.15</v>
      </c>
      <c r="O781" s="49">
        <f t="shared" si="422"/>
        <v>1600.599</v>
      </c>
      <c r="P781" s="53"/>
      <c r="Q781" s="53"/>
      <c r="R781" s="76">
        <f t="shared" si="417"/>
        <v>1148.1158221303</v>
      </c>
      <c r="S781" s="76"/>
      <c r="T781" s="77">
        <f t="shared" si="418"/>
        <v>3.03092037228542</v>
      </c>
      <c r="U781" s="76">
        <v>70</v>
      </c>
      <c r="V781" s="76"/>
      <c r="W781" s="78">
        <f t="shared" si="413"/>
        <v>1221.14674250259</v>
      </c>
      <c r="X781" s="79">
        <f t="shared" si="419"/>
        <v>23.1094105480869</v>
      </c>
      <c r="Y781" s="79"/>
      <c r="Z781" s="79"/>
      <c r="AA781" s="79">
        <f t="shared" si="414"/>
        <v>23.1094105480869</v>
      </c>
      <c r="AB781" s="90">
        <v>7.15</v>
      </c>
      <c r="AC781" s="76">
        <f t="shared" si="410"/>
        <v>165.232285418821</v>
      </c>
      <c r="AD781" s="76">
        <f t="shared" si="409"/>
        <v>1386.37902792141</v>
      </c>
      <c r="AE781" s="76">
        <f t="shared" si="415"/>
        <v>214.219972078593</v>
      </c>
    </row>
    <row r="782" customFormat="1" spans="1:31">
      <c r="A782" s="18"/>
      <c r="B782" s="19"/>
      <c r="C782" s="20">
        <v>240824000004</v>
      </c>
      <c r="D782" s="21">
        <v>45533</v>
      </c>
      <c r="E782" s="21" t="s">
        <v>37</v>
      </c>
      <c r="F782" s="19" t="s">
        <v>204</v>
      </c>
      <c r="G782" s="19" t="s">
        <v>401</v>
      </c>
      <c r="H782" s="19">
        <v>2</v>
      </c>
      <c r="I782" s="49"/>
      <c r="J782" s="44">
        <v>23566.8</v>
      </c>
      <c r="K782" s="45"/>
      <c r="L782" s="46">
        <f t="shared" si="421"/>
        <v>1639.99988587336</v>
      </c>
      <c r="M782" s="47">
        <v>14.370001</v>
      </c>
      <c r="N782" s="48">
        <v>7.15</v>
      </c>
      <c r="O782" s="49">
        <f t="shared" si="422"/>
        <v>102.74550715</v>
      </c>
      <c r="P782" s="53"/>
      <c r="Q782" s="53"/>
      <c r="R782" s="76">
        <f t="shared" si="417"/>
        <v>82.0082730093071</v>
      </c>
      <c r="S782" s="76"/>
      <c r="T782" s="77">
        <f t="shared" si="418"/>
        <v>0.216494312306101</v>
      </c>
      <c r="U782" s="76"/>
      <c r="V782" s="76"/>
      <c r="W782" s="78">
        <f t="shared" si="413"/>
        <v>82.2247673216132</v>
      </c>
      <c r="X782" s="79">
        <f t="shared" si="419"/>
        <v>1.6506721820062</v>
      </c>
      <c r="Y782" s="79"/>
      <c r="Z782" s="79"/>
      <c r="AA782" s="79">
        <f t="shared" si="414"/>
        <v>1.6506721820062</v>
      </c>
      <c r="AB782" s="90">
        <v>7.15</v>
      </c>
      <c r="AC782" s="76">
        <f t="shared" si="410"/>
        <v>11.8023061013444</v>
      </c>
      <c r="AD782" s="76">
        <f t="shared" si="409"/>
        <v>94.0270734229576</v>
      </c>
      <c r="AE782" s="76">
        <f t="shared" si="415"/>
        <v>8.7184337270424</v>
      </c>
    </row>
    <row r="783" customFormat="1" spans="1:31">
      <c r="A783" s="18"/>
      <c r="B783" s="19"/>
      <c r="C783" s="20">
        <v>240824000006</v>
      </c>
      <c r="D783" s="21">
        <v>45533</v>
      </c>
      <c r="E783" s="21" t="s">
        <v>41</v>
      </c>
      <c r="F783" s="19" t="s">
        <v>42</v>
      </c>
      <c r="G783" s="19" t="s">
        <v>43</v>
      </c>
      <c r="H783" s="19">
        <v>1.5</v>
      </c>
      <c r="I783" s="51">
        <v>100.5</v>
      </c>
      <c r="J783" s="52"/>
      <c r="K783" s="45"/>
      <c r="L783" s="19"/>
      <c r="M783" s="45"/>
      <c r="N783" s="48"/>
      <c r="O783" s="49">
        <f t="shared" si="423"/>
        <v>100.5</v>
      </c>
      <c r="P783" s="53"/>
      <c r="Q783" s="53"/>
      <c r="R783" s="76">
        <f t="shared" si="417"/>
        <v>61.5062047569804</v>
      </c>
      <c r="S783" s="76"/>
      <c r="T783" s="77">
        <f t="shared" si="418"/>
        <v>0.162370734229576</v>
      </c>
      <c r="U783" s="76"/>
      <c r="V783" s="76"/>
      <c r="W783" s="78">
        <f t="shared" si="413"/>
        <v>61.6685754912099</v>
      </c>
      <c r="X783" s="79">
        <f t="shared" si="419"/>
        <v>1.23800413650465</v>
      </c>
      <c r="Y783" s="79"/>
      <c r="Z783" s="79"/>
      <c r="AA783" s="79">
        <f t="shared" si="414"/>
        <v>1.23800413650465</v>
      </c>
      <c r="AB783" s="90">
        <v>7.15</v>
      </c>
      <c r="AC783" s="76">
        <f t="shared" si="410"/>
        <v>8.85172957600827</v>
      </c>
      <c r="AD783" s="76">
        <f t="shared" si="409"/>
        <v>70.5203050672182</v>
      </c>
      <c r="AE783" s="76">
        <f t="shared" si="415"/>
        <v>29.9796949327818</v>
      </c>
    </row>
    <row r="784" customFormat="1" spans="1:31">
      <c r="A784" s="18"/>
      <c r="B784" s="19"/>
      <c r="C784" s="20">
        <v>240824000007</v>
      </c>
      <c r="D784" s="21">
        <v>45533</v>
      </c>
      <c r="E784" s="21" t="s">
        <v>41</v>
      </c>
      <c r="F784" s="19" t="s">
        <v>42</v>
      </c>
      <c r="G784" s="19" t="s">
        <v>495</v>
      </c>
      <c r="H784" s="19">
        <v>19</v>
      </c>
      <c r="I784" s="51">
        <v>1134</v>
      </c>
      <c r="J784" s="52"/>
      <c r="K784" s="45"/>
      <c r="L784" s="19"/>
      <c r="M784" s="45"/>
      <c r="N784" s="48"/>
      <c r="O784" s="49">
        <f t="shared" si="423"/>
        <v>1134</v>
      </c>
      <c r="P784" s="53"/>
      <c r="Q784" s="53"/>
      <c r="R784" s="76">
        <f t="shared" si="417"/>
        <v>779.078593588418</v>
      </c>
      <c r="S784" s="76"/>
      <c r="T784" s="77">
        <f t="shared" si="418"/>
        <v>2.05669596690796</v>
      </c>
      <c r="U784" s="76">
        <v>45</v>
      </c>
      <c r="V784" s="76"/>
      <c r="W784" s="78">
        <f t="shared" si="413"/>
        <v>826.135289555326</v>
      </c>
      <c r="X784" s="79">
        <f t="shared" si="419"/>
        <v>15.6813857290589</v>
      </c>
      <c r="Y784" s="79"/>
      <c r="Z784" s="79"/>
      <c r="AA784" s="79">
        <f t="shared" si="414"/>
        <v>15.6813857290589</v>
      </c>
      <c r="AB784" s="90">
        <v>7.15</v>
      </c>
      <c r="AC784" s="76">
        <f t="shared" si="410"/>
        <v>112.121907962771</v>
      </c>
      <c r="AD784" s="76">
        <f t="shared" si="409"/>
        <v>938.257197518097</v>
      </c>
      <c r="AE784" s="76">
        <f t="shared" si="415"/>
        <v>195.742802481903</v>
      </c>
    </row>
    <row r="785" customFormat="1" spans="1:31">
      <c r="A785" s="18"/>
      <c r="B785" s="19"/>
      <c r="C785" s="20">
        <v>240824000008</v>
      </c>
      <c r="D785" s="21">
        <v>45533</v>
      </c>
      <c r="E785" s="21" t="s">
        <v>41</v>
      </c>
      <c r="F785" s="19" t="s">
        <v>42</v>
      </c>
      <c r="G785" s="19" t="s">
        <v>453</v>
      </c>
      <c r="H785" s="19">
        <v>131.5</v>
      </c>
      <c r="I785" s="51">
        <v>6575.5</v>
      </c>
      <c r="J785" s="52"/>
      <c r="K785" s="45"/>
      <c r="L785" s="19"/>
      <c r="M785" s="45"/>
      <c r="N785" s="48"/>
      <c r="O785" s="49">
        <f t="shared" si="423"/>
        <v>6575.5</v>
      </c>
      <c r="P785" s="53"/>
      <c r="Q785" s="53"/>
      <c r="R785" s="76">
        <f t="shared" si="417"/>
        <v>5392.04395036194</v>
      </c>
      <c r="S785" s="76"/>
      <c r="T785" s="77">
        <f t="shared" si="418"/>
        <v>14.2345010341262</v>
      </c>
      <c r="U785" s="76"/>
      <c r="V785" s="76"/>
      <c r="W785" s="78">
        <f t="shared" si="413"/>
        <v>5406.27845139607</v>
      </c>
      <c r="X785" s="79">
        <f t="shared" si="419"/>
        <v>108.531695966908</v>
      </c>
      <c r="Y785" s="79"/>
      <c r="Z785" s="79"/>
      <c r="AA785" s="79">
        <f t="shared" si="414"/>
        <v>108.531695966908</v>
      </c>
      <c r="AB785" s="90">
        <v>7.15</v>
      </c>
      <c r="AC785" s="76">
        <f t="shared" si="410"/>
        <v>776.001626163392</v>
      </c>
      <c r="AD785" s="76">
        <f t="shared" si="409"/>
        <v>6182.28007755946</v>
      </c>
      <c r="AE785" s="76">
        <f t="shared" si="415"/>
        <v>393.219922440539</v>
      </c>
    </row>
    <row r="786" customFormat="1" spans="1:31">
      <c r="A786" s="18"/>
      <c r="B786" s="19"/>
      <c r="C786" s="20">
        <v>240824000010</v>
      </c>
      <c r="D786" s="21">
        <v>45533</v>
      </c>
      <c r="E786" s="21" t="s">
        <v>37</v>
      </c>
      <c r="F786" s="19" t="s">
        <v>38</v>
      </c>
      <c r="G786" s="19" t="s">
        <v>54</v>
      </c>
      <c r="H786" s="19">
        <v>175</v>
      </c>
      <c r="I786" s="43"/>
      <c r="J786" s="44">
        <v>2405700</v>
      </c>
      <c r="K786" s="45"/>
      <c r="L786" s="46">
        <f t="shared" ref="L786:L788" si="424">SUM(J786/M786)</f>
        <v>1737.45675677628</v>
      </c>
      <c r="M786" s="47">
        <v>1384.61</v>
      </c>
      <c r="N786" s="48">
        <v>7.15</v>
      </c>
      <c r="O786" s="49">
        <f t="shared" ref="O786:O788" si="425">SUM(M786*N786)</f>
        <v>9899.9615</v>
      </c>
      <c r="P786" s="53"/>
      <c r="Q786" s="53"/>
      <c r="R786" s="76">
        <f t="shared" si="417"/>
        <v>7175.72388831437</v>
      </c>
      <c r="S786" s="76"/>
      <c r="T786" s="77">
        <f t="shared" si="418"/>
        <v>18.9432523267839</v>
      </c>
      <c r="U786" s="77">
        <v>100</v>
      </c>
      <c r="V786" s="76"/>
      <c r="W786" s="78">
        <f t="shared" si="413"/>
        <v>7294.66714064116</v>
      </c>
      <c r="X786" s="79">
        <f t="shared" si="419"/>
        <v>144.433815925543</v>
      </c>
      <c r="Y786" s="79"/>
      <c r="Z786" s="79"/>
      <c r="AA786" s="79">
        <f t="shared" si="414"/>
        <v>144.433815925543</v>
      </c>
      <c r="AB786" s="90">
        <v>7.15</v>
      </c>
      <c r="AC786" s="76">
        <f t="shared" si="410"/>
        <v>1032.70178386763</v>
      </c>
      <c r="AD786" s="76">
        <f t="shared" si="409"/>
        <v>8327.36892450879</v>
      </c>
      <c r="AE786" s="76">
        <f t="shared" si="415"/>
        <v>1572.59257549121</v>
      </c>
    </row>
    <row r="787" customFormat="1" spans="1:31">
      <c r="A787" s="18"/>
      <c r="B787" s="19"/>
      <c r="C787" s="22">
        <v>240824000011</v>
      </c>
      <c r="D787" s="23">
        <v>45533</v>
      </c>
      <c r="E787" s="21" t="s">
        <v>37</v>
      </c>
      <c r="F787" s="24" t="s">
        <v>38</v>
      </c>
      <c r="G787" s="24" t="s">
        <v>496</v>
      </c>
      <c r="H787" s="24">
        <v>32.5</v>
      </c>
      <c r="I787" s="43"/>
      <c r="J787" s="44">
        <v>431340</v>
      </c>
      <c r="K787" s="45"/>
      <c r="L787" s="46">
        <f t="shared" si="424"/>
        <v>1694.58631256384</v>
      </c>
      <c r="M787" s="47">
        <v>254.54</v>
      </c>
      <c r="N787" s="48">
        <v>7.15</v>
      </c>
      <c r="O787" s="49">
        <f t="shared" si="425"/>
        <v>1819.961</v>
      </c>
      <c r="P787" s="53"/>
      <c r="Q787" s="53"/>
      <c r="R787" s="76">
        <f t="shared" si="417"/>
        <v>1332.63443640124</v>
      </c>
      <c r="S787" s="76"/>
      <c r="T787" s="77">
        <f t="shared" si="418"/>
        <v>3.51803257497415</v>
      </c>
      <c r="U787" s="76"/>
      <c r="V787" s="76"/>
      <c r="W787" s="78">
        <f t="shared" si="413"/>
        <v>1336.15246897622</v>
      </c>
      <c r="X787" s="79">
        <f t="shared" si="419"/>
        <v>26.8234229576008</v>
      </c>
      <c r="Y787" s="79"/>
      <c r="Z787" s="79"/>
      <c r="AA787" s="79">
        <f t="shared" si="414"/>
        <v>26.8234229576008</v>
      </c>
      <c r="AB787" s="90">
        <v>7.15</v>
      </c>
      <c r="AC787" s="76">
        <f t="shared" si="410"/>
        <v>191.787474146846</v>
      </c>
      <c r="AD787" s="76">
        <f t="shared" si="409"/>
        <v>1527.93994312306</v>
      </c>
      <c r="AE787" s="76">
        <f t="shared" si="415"/>
        <v>292.021056876939</v>
      </c>
    </row>
    <row r="788" customFormat="1" spans="1:31">
      <c r="A788" s="18"/>
      <c r="B788" s="19"/>
      <c r="C788" s="20">
        <v>240824000012</v>
      </c>
      <c r="D788" s="21">
        <v>45533</v>
      </c>
      <c r="E788" s="21" t="s">
        <v>37</v>
      </c>
      <c r="F788" s="19" t="s">
        <v>38</v>
      </c>
      <c r="G788" s="19" t="s">
        <v>497</v>
      </c>
      <c r="H788" s="19">
        <v>3</v>
      </c>
      <c r="I788" s="43"/>
      <c r="J788" s="44">
        <v>51520</v>
      </c>
      <c r="K788" s="45"/>
      <c r="L788" s="46">
        <f t="shared" si="424"/>
        <v>1644.95530012771</v>
      </c>
      <c r="M788" s="47">
        <v>31.32</v>
      </c>
      <c r="N788" s="48">
        <v>7.15</v>
      </c>
      <c r="O788" s="49">
        <f t="shared" si="425"/>
        <v>223.938</v>
      </c>
      <c r="P788" s="53"/>
      <c r="Q788" s="53"/>
      <c r="R788" s="76">
        <f t="shared" si="417"/>
        <v>123.012409513961</v>
      </c>
      <c r="S788" s="76"/>
      <c r="T788" s="77">
        <f t="shared" si="418"/>
        <v>0.324741468459152</v>
      </c>
      <c r="U788" s="76"/>
      <c r="V788" s="76"/>
      <c r="W788" s="78">
        <f t="shared" si="413"/>
        <v>123.33715098242</v>
      </c>
      <c r="X788" s="79">
        <f t="shared" si="419"/>
        <v>2.47600827300931</v>
      </c>
      <c r="Y788" s="79"/>
      <c r="Z788" s="79"/>
      <c r="AA788" s="79">
        <f t="shared" si="414"/>
        <v>2.47600827300931</v>
      </c>
      <c r="AB788" s="90">
        <v>7.15</v>
      </c>
      <c r="AC788" s="76">
        <f t="shared" si="410"/>
        <v>17.7034591520165</v>
      </c>
      <c r="AD788" s="76">
        <f t="shared" si="409"/>
        <v>141.040610134436</v>
      </c>
      <c r="AE788" s="76">
        <f t="shared" si="415"/>
        <v>82.8973898655636</v>
      </c>
    </row>
    <row r="789" customFormat="1" spans="1:31">
      <c r="A789" s="18"/>
      <c r="B789" s="19"/>
      <c r="C789" s="20">
        <v>240824000015</v>
      </c>
      <c r="D789" s="21">
        <v>45533</v>
      </c>
      <c r="E789" s="21" t="s">
        <v>44</v>
      </c>
      <c r="F789" s="19" t="s">
        <v>45</v>
      </c>
      <c r="G789" s="19" t="s">
        <v>46</v>
      </c>
      <c r="H789" s="19">
        <v>1.5</v>
      </c>
      <c r="I789" s="51">
        <v>93</v>
      </c>
      <c r="J789" s="52"/>
      <c r="K789" s="45"/>
      <c r="L789" s="19"/>
      <c r="M789" s="45"/>
      <c r="N789" s="48"/>
      <c r="O789" s="49">
        <f t="shared" ref="O789:O791" si="426">SUM(I789)</f>
        <v>93</v>
      </c>
      <c r="P789" s="53"/>
      <c r="Q789" s="53"/>
      <c r="R789" s="76">
        <f t="shared" si="417"/>
        <v>61.5062047569804</v>
      </c>
      <c r="S789" s="76"/>
      <c r="T789" s="77">
        <f t="shared" si="418"/>
        <v>0.162370734229576</v>
      </c>
      <c r="U789" s="76"/>
      <c r="V789" s="76"/>
      <c r="W789" s="78">
        <f t="shared" si="413"/>
        <v>61.6685754912099</v>
      </c>
      <c r="X789" s="79">
        <f t="shared" si="419"/>
        <v>1.23800413650465</v>
      </c>
      <c r="Y789" s="79"/>
      <c r="Z789" s="79"/>
      <c r="AA789" s="79">
        <f t="shared" si="414"/>
        <v>1.23800413650465</v>
      </c>
      <c r="AB789" s="90">
        <v>7.15</v>
      </c>
      <c r="AC789" s="76">
        <f t="shared" si="410"/>
        <v>8.85172957600827</v>
      </c>
      <c r="AD789" s="76">
        <f t="shared" si="409"/>
        <v>70.5203050672182</v>
      </c>
      <c r="AE789" s="76">
        <f t="shared" si="415"/>
        <v>22.4796949327818</v>
      </c>
    </row>
    <row r="790" customFormat="1" spans="1:31">
      <c r="A790" s="18"/>
      <c r="B790" s="19"/>
      <c r="C790" s="20">
        <v>240824000016</v>
      </c>
      <c r="D790" s="21">
        <v>45533</v>
      </c>
      <c r="E790" s="21" t="s">
        <v>44</v>
      </c>
      <c r="F790" s="19" t="s">
        <v>45</v>
      </c>
      <c r="G790" s="19" t="s">
        <v>322</v>
      </c>
      <c r="H790" s="19">
        <v>0.2</v>
      </c>
      <c r="I790" s="51">
        <v>63</v>
      </c>
      <c r="J790" s="52"/>
      <c r="K790" s="45"/>
      <c r="L790" s="19"/>
      <c r="M790" s="45"/>
      <c r="N790" s="48"/>
      <c r="O790" s="49">
        <f t="shared" si="426"/>
        <v>63</v>
      </c>
      <c r="P790" s="53"/>
      <c r="Q790" s="53"/>
      <c r="R790" s="76">
        <f t="shared" si="417"/>
        <v>8.20082730093071</v>
      </c>
      <c r="S790" s="76"/>
      <c r="T790" s="77">
        <f t="shared" si="418"/>
        <v>0.0216494312306101</v>
      </c>
      <c r="U790" s="76"/>
      <c r="V790" s="76"/>
      <c r="W790" s="78">
        <f t="shared" si="413"/>
        <v>8.22247673216132</v>
      </c>
      <c r="X790" s="79">
        <f t="shared" si="419"/>
        <v>0.165067218200621</v>
      </c>
      <c r="Y790" s="79"/>
      <c r="Z790" s="79"/>
      <c r="AA790" s="79">
        <f t="shared" si="414"/>
        <v>0.165067218200621</v>
      </c>
      <c r="AB790" s="90">
        <v>7.15</v>
      </c>
      <c r="AC790" s="76">
        <f t="shared" si="410"/>
        <v>1.18023061013444</v>
      </c>
      <c r="AD790" s="76">
        <f t="shared" si="409"/>
        <v>9.40270734229576</v>
      </c>
      <c r="AE790" s="76">
        <f t="shared" si="415"/>
        <v>53.5972926577042</v>
      </c>
    </row>
    <row r="791" customFormat="1" spans="1:31">
      <c r="A791" s="18"/>
      <c r="B791" s="19"/>
      <c r="C791" s="20">
        <v>240824000020</v>
      </c>
      <c r="D791" s="21">
        <v>45533</v>
      </c>
      <c r="E791" s="21" t="s">
        <v>57</v>
      </c>
      <c r="F791" s="19" t="s">
        <v>57</v>
      </c>
      <c r="G791" s="19" t="s">
        <v>181</v>
      </c>
      <c r="H791" s="19">
        <v>9.5</v>
      </c>
      <c r="I791" s="43">
        <v>547.5</v>
      </c>
      <c r="J791" s="52"/>
      <c r="K791" s="45"/>
      <c r="L791" s="19"/>
      <c r="M791" s="45"/>
      <c r="N791" s="48"/>
      <c r="O791" s="49">
        <f t="shared" si="426"/>
        <v>547.5</v>
      </c>
      <c r="P791" s="53"/>
      <c r="Q791" s="53"/>
      <c r="R791" s="76">
        <f t="shared" si="417"/>
        <v>389.539296794209</v>
      </c>
      <c r="S791" s="76"/>
      <c r="T791" s="77">
        <f t="shared" si="418"/>
        <v>1.02834798345398</v>
      </c>
      <c r="U791" s="76"/>
      <c r="V791" s="76"/>
      <c r="W791" s="78">
        <f t="shared" si="413"/>
        <v>390.567644777663</v>
      </c>
      <c r="X791" s="79">
        <f t="shared" si="419"/>
        <v>7.84069286452947</v>
      </c>
      <c r="Y791" s="79"/>
      <c r="Z791" s="79"/>
      <c r="AA791" s="79">
        <f t="shared" si="414"/>
        <v>7.84069286452947</v>
      </c>
      <c r="AB791" s="90">
        <v>7.15</v>
      </c>
      <c r="AC791" s="76">
        <f t="shared" si="410"/>
        <v>56.0609539813857</v>
      </c>
      <c r="AD791" s="76">
        <f t="shared" si="409"/>
        <v>446.628598759049</v>
      </c>
      <c r="AE791" s="76">
        <f t="shared" si="415"/>
        <v>100.871401240951</v>
      </c>
    </row>
    <row r="792" customFormat="1" spans="1:31">
      <c r="A792" s="18"/>
      <c r="B792" s="19"/>
      <c r="C792" s="20">
        <v>240825000001</v>
      </c>
      <c r="D792" s="21">
        <v>45533</v>
      </c>
      <c r="E792" s="21" t="s">
        <v>127</v>
      </c>
      <c r="F792" s="19" t="s">
        <v>194</v>
      </c>
      <c r="G792" s="19" t="s">
        <v>207</v>
      </c>
      <c r="H792" s="19">
        <v>9.5</v>
      </c>
      <c r="I792" s="49"/>
      <c r="J792" s="44">
        <v>124558</v>
      </c>
      <c r="K792" s="45"/>
      <c r="L792" s="46">
        <f t="shared" ref="L792:L796" si="427">SUM(J792/M792)</f>
        <v>1640</v>
      </c>
      <c r="M792" s="47">
        <v>75.95</v>
      </c>
      <c r="N792" s="48">
        <v>7.15</v>
      </c>
      <c r="O792" s="49">
        <f t="shared" ref="O792:O796" si="428">SUM(M792*N792)</f>
        <v>543.0425</v>
      </c>
      <c r="P792" s="53"/>
      <c r="Q792" s="53"/>
      <c r="R792" s="76">
        <f t="shared" si="417"/>
        <v>389.539296794209</v>
      </c>
      <c r="S792" s="76"/>
      <c r="T792" s="77">
        <f t="shared" si="418"/>
        <v>1.02834798345398</v>
      </c>
      <c r="U792" s="76"/>
      <c r="V792" s="76"/>
      <c r="W792" s="78">
        <f t="shared" si="413"/>
        <v>390.567644777663</v>
      </c>
      <c r="X792" s="79">
        <f t="shared" si="419"/>
        <v>7.84069286452947</v>
      </c>
      <c r="Y792" s="79"/>
      <c r="Z792" s="79"/>
      <c r="AA792" s="79">
        <f t="shared" si="414"/>
        <v>7.84069286452947</v>
      </c>
      <c r="AB792" s="90">
        <v>7.15</v>
      </c>
      <c r="AC792" s="76">
        <f t="shared" si="410"/>
        <v>56.0609539813857</v>
      </c>
      <c r="AD792" s="76">
        <f t="shared" si="409"/>
        <v>446.628598759049</v>
      </c>
      <c r="AE792" s="76">
        <f t="shared" si="415"/>
        <v>96.4139012409514</v>
      </c>
    </row>
    <row r="793" customFormat="1" spans="1:31">
      <c r="A793" s="18"/>
      <c r="B793" s="19"/>
      <c r="C793" s="20">
        <v>240825000003</v>
      </c>
      <c r="D793" s="21">
        <v>45533</v>
      </c>
      <c r="E793" s="21" t="s">
        <v>37</v>
      </c>
      <c r="F793" s="19" t="s">
        <v>38</v>
      </c>
      <c r="G793" s="19" t="s">
        <v>64</v>
      </c>
      <c r="H793" s="19">
        <v>44</v>
      </c>
      <c r="I793" s="43"/>
      <c r="J793" s="44">
        <v>599025</v>
      </c>
      <c r="K793" s="45"/>
      <c r="L793" s="46">
        <f t="shared" si="427"/>
        <v>1751.7911975435</v>
      </c>
      <c r="M793" s="47">
        <v>341.95</v>
      </c>
      <c r="N793" s="48">
        <v>7.15</v>
      </c>
      <c r="O793" s="49">
        <f t="shared" si="428"/>
        <v>2444.9425</v>
      </c>
      <c r="P793" s="53"/>
      <c r="Q793" s="53"/>
      <c r="R793" s="76">
        <f t="shared" si="417"/>
        <v>1804.18200620476</v>
      </c>
      <c r="S793" s="76"/>
      <c r="T793" s="77">
        <f t="shared" si="418"/>
        <v>4.76287487073423</v>
      </c>
      <c r="U793" s="77">
        <f>SUM(130+40)</f>
        <v>170</v>
      </c>
      <c r="V793" s="77">
        <v>31</v>
      </c>
      <c r="W793" s="78">
        <f t="shared" si="413"/>
        <v>2009.94488107549</v>
      </c>
      <c r="X793" s="79">
        <f t="shared" si="419"/>
        <v>36.3147880041365</v>
      </c>
      <c r="Y793" s="79"/>
      <c r="Z793" s="79"/>
      <c r="AA793" s="79">
        <f t="shared" si="414"/>
        <v>36.3147880041365</v>
      </c>
      <c r="AB793" s="90">
        <v>7.15</v>
      </c>
      <c r="AC793" s="76">
        <f t="shared" si="410"/>
        <v>259.650734229576</v>
      </c>
      <c r="AD793" s="76">
        <f t="shared" si="409"/>
        <v>2269.59561530507</v>
      </c>
      <c r="AE793" s="76">
        <f t="shared" si="415"/>
        <v>175.346884694933</v>
      </c>
    </row>
    <row r="794" customFormat="1" spans="1:31">
      <c r="A794" s="18"/>
      <c r="B794" s="19"/>
      <c r="C794" s="20">
        <v>240825000004</v>
      </c>
      <c r="D794" s="21">
        <v>45533</v>
      </c>
      <c r="E794" s="21" t="s">
        <v>37</v>
      </c>
      <c r="F794" s="19" t="s">
        <v>38</v>
      </c>
      <c r="G794" s="19" t="s">
        <v>220</v>
      </c>
      <c r="H794" s="19">
        <v>8</v>
      </c>
      <c r="I794" s="51">
        <v>510</v>
      </c>
      <c r="J794" s="52"/>
      <c r="K794" s="45"/>
      <c r="L794" s="19"/>
      <c r="M794" s="45"/>
      <c r="N794" s="48"/>
      <c r="O794" s="49">
        <f t="shared" ref="O794:O797" si="429">SUM(I794)</f>
        <v>510</v>
      </c>
      <c r="P794" s="53"/>
      <c r="Q794" s="53"/>
      <c r="R794" s="76">
        <f t="shared" si="417"/>
        <v>328.033092037229</v>
      </c>
      <c r="S794" s="76"/>
      <c r="T794" s="77">
        <f t="shared" si="418"/>
        <v>0.865977249224405</v>
      </c>
      <c r="U794" s="76"/>
      <c r="V794" s="76"/>
      <c r="W794" s="78">
        <f t="shared" si="413"/>
        <v>328.899069286453</v>
      </c>
      <c r="X794" s="79">
        <f t="shared" si="419"/>
        <v>6.60268872802482</v>
      </c>
      <c r="Y794" s="79"/>
      <c r="Z794" s="79"/>
      <c r="AA794" s="79">
        <f t="shared" si="414"/>
        <v>6.60268872802482</v>
      </c>
      <c r="AB794" s="90">
        <v>7.15</v>
      </c>
      <c r="AC794" s="76">
        <f t="shared" si="410"/>
        <v>47.2092244053775</v>
      </c>
      <c r="AD794" s="76">
        <f t="shared" si="409"/>
        <v>376.10829369183</v>
      </c>
      <c r="AE794" s="76">
        <f t="shared" si="415"/>
        <v>133.89170630817</v>
      </c>
    </row>
    <row r="795" customFormat="1" spans="1:31">
      <c r="A795" s="18"/>
      <c r="B795" s="19"/>
      <c r="C795" s="20">
        <v>240825000006</v>
      </c>
      <c r="D795" s="21">
        <v>45533</v>
      </c>
      <c r="E795" s="21" t="s">
        <v>37</v>
      </c>
      <c r="F795" s="19" t="s">
        <v>38</v>
      </c>
      <c r="G795" s="19" t="s">
        <v>498</v>
      </c>
      <c r="H795" s="19">
        <v>1.5</v>
      </c>
      <c r="I795" s="51">
        <v>87</v>
      </c>
      <c r="J795" s="52"/>
      <c r="K795" s="45"/>
      <c r="L795" s="19"/>
      <c r="M795" s="45"/>
      <c r="N795" s="48"/>
      <c r="O795" s="49">
        <f t="shared" si="429"/>
        <v>87</v>
      </c>
      <c r="P795" s="53"/>
      <c r="Q795" s="53"/>
      <c r="R795" s="76">
        <f t="shared" si="417"/>
        <v>61.5062047569804</v>
      </c>
      <c r="S795" s="76"/>
      <c r="T795" s="77">
        <f t="shared" si="418"/>
        <v>0.162370734229576</v>
      </c>
      <c r="U795" s="76"/>
      <c r="V795" s="76"/>
      <c r="W795" s="78">
        <f t="shared" si="413"/>
        <v>61.6685754912099</v>
      </c>
      <c r="X795" s="79">
        <f t="shared" si="419"/>
        <v>1.23800413650465</v>
      </c>
      <c r="Y795" s="79"/>
      <c r="Z795" s="79"/>
      <c r="AA795" s="79">
        <f t="shared" si="414"/>
        <v>1.23800413650465</v>
      </c>
      <c r="AB795" s="90">
        <v>7.15</v>
      </c>
      <c r="AC795" s="76">
        <f t="shared" si="410"/>
        <v>8.85172957600827</v>
      </c>
      <c r="AD795" s="76">
        <f t="shared" si="409"/>
        <v>70.5203050672182</v>
      </c>
      <c r="AE795" s="76">
        <f t="shared" si="415"/>
        <v>16.4796949327818</v>
      </c>
    </row>
    <row r="796" customFormat="1" spans="1:31">
      <c r="A796" s="18"/>
      <c r="B796" s="19"/>
      <c r="C796" s="20">
        <v>240826000003</v>
      </c>
      <c r="D796" s="21">
        <v>45533</v>
      </c>
      <c r="E796" s="21" t="s">
        <v>44</v>
      </c>
      <c r="F796" s="19" t="s">
        <v>45</v>
      </c>
      <c r="G796" s="19" t="s">
        <v>499</v>
      </c>
      <c r="H796" s="19">
        <v>2</v>
      </c>
      <c r="I796" s="43"/>
      <c r="J796" s="44">
        <v>31740</v>
      </c>
      <c r="K796" s="45"/>
      <c r="L796" s="46">
        <f t="shared" si="427"/>
        <v>1644.55958549223</v>
      </c>
      <c r="M796" s="47">
        <v>19.3</v>
      </c>
      <c r="N796" s="48">
        <v>7.15</v>
      </c>
      <c r="O796" s="49">
        <f t="shared" si="428"/>
        <v>137.995</v>
      </c>
      <c r="P796" s="53"/>
      <c r="Q796" s="53"/>
      <c r="R796" s="76">
        <f t="shared" si="417"/>
        <v>82.0082730093071</v>
      </c>
      <c r="S796" s="76"/>
      <c r="T796" s="77">
        <f t="shared" si="418"/>
        <v>0.216494312306101</v>
      </c>
      <c r="U796" s="76"/>
      <c r="V796" s="76"/>
      <c r="W796" s="78">
        <f t="shared" si="413"/>
        <v>82.2247673216132</v>
      </c>
      <c r="X796" s="79">
        <f t="shared" si="419"/>
        <v>1.6506721820062</v>
      </c>
      <c r="Y796" s="79"/>
      <c r="Z796" s="79"/>
      <c r="AA796" s="79">
        <f t="shared" si="414"/>
        <v>1.6506721820062</v>
      </c>
      <c r="AB796" s="90">
        <v>7.15</v>
      </c>
      <c r="AC796" s="76">
        <f t="shared" si="410"/>
        <v>11.8023061013444</v>
      </c>
      <c r="AD796" s="76">
        <f t="shared" si="409"/>
        <v>94.0270734229576</v>
      </c>
      <c r="AE796" s="76">
        <f t="shared" si="415"/>
        <v>43.9679265770424</v>
      </c>
    </row>
    <row r="797" customFormat="1" spans="1:31">
      <c r="A797" s="18"/>
      <c r="B797" s="19"/>
      <c r="C797" s="20">
        <v>240826000005</v>
      </c>
      <c r="D797" s="21">
        <v>45533</v>
      </c>
      <c r="E797" s="21" t="s">
        <v>57</v>
      </c>
      <c r="F797" s="19" t="s">
        <v>57</v>
      </c>
      <c r="G797" s="19" t="s">
        <v>181</v>
      </c>
      <c r="H797" s="19">
        <v>88.5</v>
      </c>
      <c r="I797" s="51">
        <v>4690.5</v>
      </c>
      <c r="J797" s="52"/>
      <c r="K797" s="45"/>
      <c r="L797" s="19"/>
      <c r="M797" s="45"/>
      <c r="N797" s="48"/>
      <c r="O797" s="49">
        <f t="shared" si="429"/>
        <v>4690.5</v>
      </c>
      <c r="P797" s="53"/>
      <c r="Q797" s="53"/>
      <c r="R797" s="76">
        <f t="shared" si="417"/>
        <v>3628.86608066184</v>
      </c>
      <c r="S797" s="76"/>
      <c r="T797" s="77">
        <f t="shared" si="418"/>
        <v>9.57987331954498</v>
      </c>
      <c r="U797" s="76"/>
      <c r="V797" s="76"/>
      <c r="W797" s="78">
        <f t="shared" si="413"/>
        <v>3638.44595398139</v>
      </c>
      <c r="X797" s="79">
        <f t="shared" si="419"/>
        <v>73.0422440537746</v>
      </c>
      <c r="Y797" s="79"/>
      <c r="Z797" s="79"/>
      <c r="AA797" s="79">
        <f t="shared" si="414"/>
        <v>73.0422440537746</v>
      </c>
      <c r="AB797" s="90">
        <v>7.15</v>
      </c>
      <c r="AC797" s="76">
        <f t="shared" si="410"/>
        <v>522.252044984488</v>
      </c>
      <c r="AD797" s="76">
        <f t="shared" si="409"/>
        <v>4160.69799896587</v>
      </c>
      <c r="AE797" s="76">
        <f t="shared" si="415"/>
        <v>529.802001034126</v>
      </c>
    </row>
    <row r="798" customFormat="1" spans="1:31">
      <c r="A798" s="18"/>
      <c r="B798" s="19"/>
      <c r="C798" s="20">
        <v>240826000006</v>
      </c>
      <c r="D798" s="21">
        <v>45533</v>
      </c>
      <c r="E798" s="21" t="s">
        <v>51</v>
      </c>
      <c r="F798" s="19" t="s">
        <v>52</v>
      </c>
      <c r="G798" s="19" t="s">
        <v>72</v>
      </c>
      <c r="H798" s="19">
        <v>38.5</v>
      </c>
      <c r="I798" s="49"/>
      <c r="J798" s="44">
        <v>471319.6</v>
      </c>
      <c r="K798" s="45"/>
      <c r="L798" s="46">
        <f t="shared" ref="L798:L801" si="430">SUM(J798/M798)</f>
        <v>1640.00011413063</v>
      </c>
      <c r="M798" s="47">
        <v>287.38998</v>
      </c>
      <c r="N798" s="48">
        <v>7.15</v>
      </c>
      <c r="O798" s="49">
        <f t="shared" ref="O798:O801" si="431">SUM(M798*N798)</f>
        <v>2054.838357</v>
      </c>
      <c r="P798" s="53"/>
      <c r="Q798" s="53"/>
      <c r="R798" s="76">
        <f t="shared" si="417"/>
        <v>1578.65925542916</v>
      </c>
      <c r="S798" s="76"/>
      <c r="T798" s="77">
        <f t="shared" si="418"/>
        <v>4.16751551189245</v>
      </c>
      <c r="U798" s="76"/>
      <c r="V798" s="76"/>
      <c r="W798" s="78">
        <f t="shared" si="413"/>
        <v>1582.82677094105</v>
      </c>
      <c r="X798" s="79">
        <f t="shared" si="419"/>
        <v>31.7754395036194</v>
      </c>
      <c r="Y798" s="79"/>
      <c r="Z798" s="79"/>
      <c r="AA798" s="79">
        <f t="shared" si="414"/>
        <v>31.7754395036194</v>
      </c>
      <c r="AB798" s="90">
        <v>7.15</v>
      </c>
      <c r="AC798" s="76">
        <f t="shared" si="410"/>
        <v>227.194392450879</v>
      </c>
      <c r="AD798" s="76">
        <f t="shared" si="409"/>
        <v>1810.02116339193</v>
      </c>
      <c r="AE798" s="76">
        <f t="shared" si="415"/>
        <v>244.817193608066</v>
      </c>
    </row>
    <row r="799" customFormat="1" spans="1:31">
      <c r="A799" s="18"/>
      <c r="B799" s="19"/>
      <c r="C799" s="20">
        <v>240826000008</v>
      </c>
      <c r="D799" s="21">
        <v>45533</v>
      </c>
      <c r="E799" s="21" t="s">
        <v>51</v>
      </c>
      <c r="F799" s="19" t="s">
        <v>52</v>
      </c>
      <c r="G799" s="19" t="s">
        <v>122</v>
      </c>
      <c r="H799" s="19">
        <v>2</v>
      </c>
      <c r="I799" s="51">
        <v>123</v>
      </c>
      <c r="J799" s="52"/>
      <c r="K799" s="45"/>
      <c r="L799" s="46"/>
      <c r="M799" s="45"/>
      <c r="N799" s="48"/>
      <c r="O799" s="49">
        <f t="shared" ref="O799:O804" si="432">SUM(I799)</f>
        <v>123</v>
      </c>
      <c r="P799" s="53"/>
      <c r="Q799" s="53"/>
      <c r="R799" s="76">
        <f t="shared" si="417"/>
        <v>82.0082730093071</v>
      </c>
      <c r="S799" s="76"/>
      <c r="T799" s="77">
        <f t="shared" si="418"/>
        <v>0.216494312306101</v>
      </c>
      <c r="U799" s="76"/>
      <c r="V799" s="76"/>
      <c r="W799" s="78">
        <f t="shared" si="413"/>
        <v>82.2247673216132</v>
      </c>
      <c r="X799" s="79">
        <f t="shared" si="419"/>
        <v>1.6506721820062</v>
      </c>
      <c r="Y799" s="79"/>
      <c r="Z799" s="79"/>
      <c r="AA799" s="79">
        <f t="shared" si="414"/>
        <v>1.6506721820062</v>
      </c>
      <c r="AB799" s="90">
        <v>7.15</v>
      </c>
      <c r="AC799" s="76">
        <f t="shared" si="410"/>
        <v>11.8023061013444</v>
      </c>
      <c r="AD799" s="76">
        <f t="shared" si="409"/>
        <v>94.0270734229576</v>
      </c>
      <c r="AE799" s="76">
        <f t="shared" si="415"/>
        <v>28.9729265770424</v>
      </c>
    </row>
    <row r="800" customFormat="1" spans="1:31">
      <c r="A800" s="18"/>
      <c r="B800" s="19"/>
      <c r="C800" s="20">
        <v>240826000021</v>
      </c>
      <c r="D800" s="21">
        <v>45533</v>
      </c>
      <c r="E800" s="21" t="s">
        <v>51</v>
      </c>
      <c r="F800" s="19" t="s">
        <v>52</v>
      </c>
      <c r="G800" s="19" t="s">
        <v>269</v>
      </c>
      <c r="H800" s="19">
        <v>2.5</v>
      </c>
      <c r="I800" s="49"/>
      <c r="J800" s="44">
        <v>34030</v>
      </c>
      <c r="K800" s="45"/>
      <c r="L800" s="46">
        <f t="shared" si="430"/>
        <v>1640</v>
      </c>
      <c r="M800" s="47">
        <v>20.75</v>
      </c>
      <c r="N800" s="48">
        <v>7.15</v>
      </c>
      <c r="O800" s="49">
        <f t="shared" si="431"/>
        <v>148.3625</v>
      </c>
      <c r="P800" s="53"/>
      <c r="Q800" s="53"/>
      <c r="R800" s="76">
        <f t="shared" si="417"/>
        <v>102.510341261634</v>
      </c>
      <c r="S800" s="76"/>
      <c r="T800" s="77">
        <f t="shared" si="418"/>
        <v>0.270617890382627</v>
      </c>
      <c r="U800" s="76"/>
      <c r="V800" s="76"/>
      <c r="W800" s="78">
        <f t="shared" si="413"/>
        <v>102.780959152017</v>
      </c>
      <c r="X800" s="79">
        <f t="shared" si="419"/>
        <v>2.06334022750776</v>
      </c>
      <c r="Y800" s="79"/>
      <c r="Z800" s="79"/>
      <c r="AA800" s="79">
        <f t="shared" si="414"/>
        <v>2.06334022750776</v>
      </c>
      <c r="AB800" s="90">
        <v>7.15</v>
      </c>
      <c r="AC800" s="76">
        <f t="shared" si="410"/>
        <v>14.7528826266805</v>
      </c>
      <c r="AD800" s="76">
        <f t="shared" ref="AD800:AD831" si="433">SUM(W800+AC800)</f>
        <v>117.533841778697</v>
      </c>
      <c r="AE800" s="76">
        <f t="shared" si="415"/>
        <v>30.828658221303</v>
      </c>
    </row>
    <row r="801" customFormat="1" spans="1:31">
      <c r="A801" s="18"/>
      <c r="B801" s="19"/>
      <c r="C801" s="20">
        <v>240826000025</v>
      </c>
      <c r="D801" s="21">
        <v>45533</v>
      </c>
      <c r="E801" s="21" t="s">
        <v>37</v>
      </c>
      <c r="F801" s="19" t="s">
        <v>38</v>
      </c>
      <c r="G801" s="19" t="s">
        <v>64</v>
      </c>
      <c r="H801" s="19">
        <v>132.5</v>
      </c>
      <c r="I801" s="43"/>
      <c r="J801" s="44">
        <v>1720512.5</v>
      </c>
      <c r="K801" s="45"/>
      <c r="L801" s="46">
        <f t="shared" si="430"/>
        <v>1751.76396921072</v>
      </c>
      <c r="M801" s="47">
        <v>982.16</v>
      </c>
      <c r="N801" s="48">
        <v>7.15</v>
      </c>
      <c r="O801" s="49">
        <f t="shared" si="431"/>
        <v>7022.444</v>
      </c>
      <c r="P801" s="53"/>
      <c r="Q801" s="53"/>
      <c r="R801" s="76">
        <f t="shared" si="417"/>
        <v>5433.0480868666</v>
      </c>
      <c r="S801" s="76"/>
      <c r="T801" s="77">
        <f t="shared" si="418"/>
        <v>14.3427481902792</v>
      </c>
      <c r="U801" s="76"/>
      <c r="V801" s="76"/>
      <c r="W801" s="78">
        <f t="shared" si="413"/>
        <v>5447.39083505688</v>
      </c>
      <c r="X801" s="79">
        <f t="shared" si="419"/>
        <v>109.357032057911</v>
      </c>
      <c r="Y801" s="79"/>
      <c r="Z801" s="79"/>
      <c r="AA801" s="79">
        <f t="shared" si="414"/>
        <v>109.357032057911</v>
      </c>
      <c r="AB801" s="90">
        <v>7.15</v>
      </c>
      <c r="AC801" s="76">
        <f t="shared" si="410"/>
        <v>781.902779214064</v>
      </c>
      <c r="AD801" s="76">
        <f t="shared" si="433"/>
        <v>6229.29361427094</v>
      </c>
      <c r="AE801" s="76">
        <f t="shared" ref="AE801:AE832" si="434">SUM(O801-AD801)</f>
        <v>793.15038572906</v>
      </c>
    </row>
    <row r="802" customFormat="1" spans="1:31">
      <c r="A802" s="18"/>
      <c r="B802" s="19"/>
      <c r="C802" s="20">
        <v>240826000035</v>
      </c>
      <c r="D802" s="21">
        <v>45533</v>
      </c>
      <c r="E802" s="21" t="s">
        <v>44</v>
      </c>
      <c r="F802" s="19" t="s">
        <v>45</v>
      </c>
      <c r="G802" s="19" t="s">
        <v>262</v>
      </c>
      <c r="H802" s="19">
        <v>132.5</v>
      </c>
      <c r="I802" s="51">
        <v>6810</v>
      </c>
      <c r="J802" s="52"/>
      <c r="K802" s="45"/>
      <c r="L802" s="19"/>
      <c r="M802" s="45"/>
      <c r="N802" s="48"/>
      <c r="O802" s="49">
        <f t="shared" si="432"/>
        <v>6810</v>
      </c>
      <c r="P802" s="53"/>
      <c r="Q802" s="53"/>
      <c r="R802" s="76">
        <f t="shared" si="417"/>
        <v>5433.0480868666</v>
      </c>
      <c r="S802" s="76"/>
      <c r="T802" s="77">
        <f t="shared" si="418"/>
        <v>14.3427481902792</v>
      </c>
      <c r="U802" s="76"/>
      <c r="V802" s="76"/>
      <c r="W802" s="78">
        <f t="shared" si="413"/>
        <v>5447.39083505688</v>
      </c>
      <c r="X802" s="79">
        <f t="shared" si="419"/>
        <v>109.357032057911</v>
      </c>
      <c r="Y802" s="79"/>
      <c r="Z802" s="79"/>
      <c r="AA802" s="79">
        <f t="shared" si="414"/>
        <v>109.357032057911</v>
      </c>
      <c r="AB802" s="90">
        <v>7.15</v>
      </c>
      <c r="AC802" s="76">
        <f t="shared" ref="AC802:AC849" si="435">SUM(AA802*AB802)</f>
        <v>781.902779214064</v>
      </c>
      <c r="AD802" s="76">
        <f t="shared" si="433"/>
        <v>6229.29361427094</v>
      </c>
      <c r="AE802" s="76">
        <f t="shared" si="434"/>
        <v>580.70638572906</v>
      </c>
    </row>
    <row r="803" customFormat="1" spans="1:31">
      <c r="A803" s="18"/>
      <c r="B803" s="19"/>
      <c r="C803" s="20">
        <v>240826000044</v>
      </c>
      <c r="D803" s="21">
        <v>45533</v>
      </c>
      <c r="E803" s="21" t="s">
        <v>57</v>
      </c>
      <c r="F803" s="19" t="s">
        <v>222</v>
      </c>
      <c r="G803" s="19" t="s">
        <v>223</v>
      </c>
      <c r="H803" s="19">
        <v>766</v>
      </c>
      <c r="I803" s="49"/>
      <c r="J803" s="44">
        <v>9599363</v>
      </c>
      <c r="K803" s="45"/>
      <c r="L803" s="46">
        <f t="shared" ref="L803:L807" si="436">SUM(J803/M803)</f>
        <v>1640.00003416893</v>
      </c>
      <c r="M803" s="47">
        <v>5853.27</v>
      </c>
      <c r="N803" s="48">
        <v>7.15</v>
      </c>
      <c r="O803" s="49">
        <f t="shared" ref="O803:O807" si="437">SUM(M803*N803)</f>
        <v>41850.8805</v>
      </c>
      <c r="P803" s="54"/>
      <c r="Q803" s="54"/>
      <c r="R803" s="76">
        <f t="shared" si="417"/>
        <v>31409.1685625646</v>
      </c>
      <c r="S803" s="76"/>
      <c r="T803" s="77">
        <f t="shared" si="418"/>
        <v>82.9173216132368</v>
      </c>
      <c r="U803" s="77">
        <f>SUM(260+200)</f>
        <v>460</v>
      </c>
      <c r="V803" s="76"/>
      <c r="W803" s="78">
        <f t="shared" ref="W803:W849" si="438">SUM(R803:V803)</f>
        <v>31952.0858841779</v>
      </c>
      <c r="X803" s="79">
        <f t="shared" si="419"/>
        <v>632.207445708376</v>
      </c>
      <c r="Y803" s="79"/>
      <c r="Z803" s="79"/>
      <c r="AA803" s="79">
        <f t="shared" ref="AA803:AA849" si="439">SUM(X803:Z803)</f>
        <v>632.207445708376</v>
      </c>
      <c r="AB803" s="90">
        <v>7.15</v>
      </c>
      <c r="AC803" s="76">
        <f t="shared" si="435"/>
        <v>4520.28323681489</v>
      </c>
      <c r="AD803" s="76">
        <f t="shared" si="433"/>
        <v>36472.3691209928</v>
      </c>
      <c r="AE803" s="76">
        <f t="shared" si="434"/>
        <v>5378.51137900724</v>
      </c>
    </row>
    <row r="804" customFormat="1" spans="1:31">
      <c r="A804" s="18" t="s">
        <v>500</v>
      </c>
      <c r="B804" s="19" t="s">
        <v>501</v>
      </c>
      <c r="C804" s="20">
        <v>240822000011</v>
      </c>
      <c r="D804" s="21">
        <v>45534</v>
      </c>
      <c r="E804" s="21" t="s">
        <v>41</v>
      </c>
      <c r="F804" s="19" t="s">
        <v>42</v>
      </c>
      <c r="G804" s="19" t="s">
        <v>166</v>
      </c>
      <c r="H804" s="19">
        <v>44</v>
      </c>
      <c r="I804" s="51">
        <v>3300</v>
      </c>
      <c r="J804" s="52"/>
      <c r="K804" s="45"/>
      <c r="L804" s="19"/>
      <c r="M804" s="45"/>
      <c r="N804" s="48"/>
      <c r="O804" s="49">
        <f t="shared" si="432"/>
        <v>3300</v>
      </c>
      <c r="P804" s="50">
        <f>SUM(O804:O849)</f>
        <v>79574.3715429</v>
      </c>
      <c r="Q804" s="50" t="s">
        <v>40</v>
      </c>
      <c r="R804" s="76">
        <f>SUM(62795.2/1293)*H804</f>
        <v>2136.88228924981</v>
      </c>
      <c r="S804" s="76"/>
      <c r="T804" s="77">
        <f>SUM(120/1293)*H804</f>
        <v>4.08352668213457</v>
      </c>
      <c r="U804" s="76"/>
      <c r="V804" s="76"/>
      <c r="W804" s="78">
        <f t="shared" si="438"/>
        <v>2140.96581593194</v>
      </c>
      <c r="X804" s="79">
        <f>SUM(1052.79/1293)*H804</f>
        <v>35.8258004640371</v>
      </c>
      <c r="Y804" s="79"/>
      <c r="Z804" s="79"/>
      <c r="AA804" s="79">
        <f t="shared" si="439"/>
        <v>35.8258004640371</v>
      </c>
      <c r="AB804" s="90">
        <v>7.15</v>
      </c>
      <c r="AC804" s="76">
        <f t="shared" si="435"/>
        <v>256.154473317865</v>
      </c>
      <c r="AD804" s="76">
        <f t="shared" si="433"/>
        <v>2397.12028924981</v>
      </c>
      <c r="AE804" s="76">
        <f t="shared" si="434"/>
        <v>902.879710750194</v>
      </c>
    </row>
    <row r="805" customFormat="1" spans="1:31">
      <c r="A805" s="18"/>
      <c r="B805" s="19"/>
      <c r="C805" s="20">
        <v>240822000019</v>
      </c>
      <c r="D805" s="21">
        <v>45534</v>
      </c>
      <c r="E805" s="21" t="s">
        <v>44</v>
      </c>
      <c r="F805" s="19" t="s">
        <v>45</v>
      </c>
      <c r="G805" s="19" t="s">
        <v>502</v>
      </c>
      <c r="H805" s="19">
        <v>16.5</v>
      </c>
      <c r="I805" s="43"/>
      <c r="J805" s="44">
        <v>340879</v>
      </c>
      <c r="K805" s="45"/>
      <c r="L805" s="46">
        <f t="shared" si="436"/>
        <v>1665.18001074691</v>
      </c>
      <c r="M805" s="47">
        <v>204.71</v>
      </c>
      <c r="N805" s="48">
        <v>7.15</v>
      </c>
      <c r="O805" s="49">
        <f t="shared" si="437"/>
        <v>1463.6765</v>
      </c>
      <c r="P805" s="53"/>
      <c r="Q805" s="53"/>
      <c r="R805" s="76">
        <f t="shared" ref="R805:R849" si="440">SUM(62795.2/1293)*H805</f>
        <v>801.330858468677</v>
      </c>
      <c r="S805" s="76"/>
      <c r="T805" s="77">
        <f t="shared" ref="T805:T849" si="441">SUM(120/1293)*H805</f>
        <v>1.53132250580046</v>
      </c>
      <c r="U805" s="76"/>
      <c r="V805" s="76"/>
      <c r="W805" s="78">
        <f t="shared" si="438"/>
        <v>802.862180974478</v>
      </c>
      <c r="X805" s="79">
        <f t="shared" ref="X805:X849" si="442">SUM(1052.79/1293)*H805</f>
        <v>13.4346751740139</v>
      </c>
      <c r="Y805" s="79"/>
      <c r="Z805" s="79"/>
      <c r="AA805" s="79">
        <f t="shared" si="439"/>
        <v>13.4346751740139</v>
      </c>
      <c r="AB805" s="90">
        <v>7.15</v>
      </c>
      <c r="AC805" s="76">
        <f t="shared" si="435"/>
        <v>96.0579274941995</v>
      </c>
      <c r="AD805" s="76">
        <f t="shared" si="433"/>
        <v>898.920108468678</v>
      </c>
      <c r="AE805" s="76">
        <f t="shared" si="434"/>
        <v>564.756391531322</v>
      </c>
    </row>
    <row r="806" customFormat="1" spans="1:31">
      <c r="A806" s="18"/>
      <c r="B806" s="19"/>
      <c r="C806" s="20">
        <v>240822000026</v>
      </c>
      <c r="D806" s="21">
        <v>45534</v>
      </c>
      <c r="E806" s="21" t="s">
        <v>127</v>
      </c>
      <c r="F806" s="19" t="s">
        <v>325</v>
      </c>
      <c r="G806" s="19" t="s">
        <v>326</v>
      </c>
      <c r="H806" s="19">
        <v>4</v>
      </c>
      <c r="I806" s="49"/>
      <c r="J806" s="44">
        <v>68761</v>
      </c>
      <c r="K806" s="45"/>
      <c r="L806" s="46">
        <f t="shared" si="436"/>
        <v>1854.89614243323</v>
      </c>
      <c r="M806" s="47">
        <v>37.07</v>
      </c>
      <c r="N806" s="48">
        <v>7.15</v>
      </c>
      <c r="O806" s="49">
        <f t="shared" si="437"/>
        <v>265.0505</v>
      </c>
      <c r="P806" s="53"/>
      <c r="Q806" s="53"/>
      <c r="R806" s="76">
        <f t="shared" si="440"/>
        <v>194.262026295437</v>
      </c>
      <c r="S806" s="76"/>
      <c r="T806" s="77">
        <f t="shared" si="441"/>
        <v>0.37122969837587</v>
      </c>
      <c r="U806" s="76"/>
      <c r="V806" s="76"/>
      <c r="W806" s="78">
        <f t="shared" si="438"/>
        <v>194.633255993813</v>
      </c>
      <c r="X806" s="79">
        <f t="shared" si="442"/>
        <v>3.2568909512761</v>
      </c>
      <c r="Y806" s="79"/>
      <c r="Z806" s="79"/>
      <c r="AA806" s="79">
        <f t="shared" si="439"/>
        <v>3.2568909512761</v>
      </c>
      <c r="AB806" s="90">
        <v>7.15</v>
      </c>
      <c r="AC806" s="76">
        <f t="shared" si="435"/>
        <v>23.2867703016241</v>
      </c>
      <c r="AD806" s="76">
        <f t="shared" si="433"/>
        <v>217.920026295437</v>
      </c>
      <c r="AE806" s="76">
        <f t="shared" si="434"/>
        <v>47.1304737045631</v>
      </c>
    </row>
    <row r="807" customFormat="1" spans="1:31">
      <c r="A807" s="18"/>
      <c r="B807" s="19"/>
      <c r="C807" s="20">
        <v>240822000028</v>
      </c>
      <c r="D807" s="21">
        <v>45534</v>
      </c>
      <c r="E807" s="21" t="s">
        <v>44</v>
      </c>
      <c r="F807" s="19" t="s">
        <v>45</v>
      </c>
      <c r="G807" s="19" t="s">
        <v>503</v>
      </c>
      <c r="H807" s="19">
        <v>3.5</v>
      </c>
      <c r="I807" s="43"/>
      <c r="J807" s="44">
        <v>76191</v>
      </c>
      <c r="K807" s="45"/>
      <c r="L807" s="46">
        <f t="shared" si="436"/>
        <v>1663.19580877538</v>
      </c>
      <c r="M807" s="47">
        <v>45.81</v>
      </c>
      <c r="N807" s="48">
        <v>7.15</v>
      </c>
      <c r="O807" s="49">
        <f t="shared" si="437"/>
        <v>327.5415</v>
      </c>
      <c r="P807" s="53"/>
      <c r="Q807" s="53"/>
      <c r="R807" s="76">
        <f t="shared" si="440"/>
        <v>169.979273008507</v>
      </c>
      <c r="S807" s="76"/>
      <c r="T807" s="77">
        <f t="shared" si="441"/>
        <v>0.324825986078886</v>
      </c>
      <c r="U807" s="76"/>
      <c r="V807" s="76"/>
      <c r="W807" s="78">
        <f t="shared" si="438"/>
        <v>170.304098994586</v>
      </c>
      <c r="X807" s="79">
        <f t="shared" si="442"/>
        <v>2.84977958236659</v>
      </c>
      <c r="Y807" s="79"/>
      <c r="Z807" s="79"/>
      <c r="AA807" s="79">
        <f t="shared" si="439"/>
        <v>2.84977958236659</v>
      </c>
      <c r="AB807" s="90">
        <v>7.15</v>
      </c>
      <c r="AC807" s="76">
        <f t="shared" si="435"/>
        <v>20.3759240139211</v>
      </c>
      <c r="AD807" s="76">
        <f t="shared" si="433"/>
        <v>190.680023008507</v>
      </c>
      <c r="AE807" s="76">
        <f t="shared" si="434"/>
        <v>136.861476991493</v>
      </c>
    </row>
    <row r="808" customFormat="1" spans="1:31">
      <c r="A808" s="18"/>
      <c r="B808" s="19"/>
      <c r="C808" s="20">
        <v>240823000002</v>
      </c>
      <c r="D808" s="21">
        <v>45534</v>
      </c>
      <c r="E808" s="21" t="s">
        <v>51</v>
      </c>
      <c r="F808" s="19" t="s">
        <v>52</v>
      </c>
      <c r="G808" s="19" t="s">
        <v>122</v>
      </c>
      <c r="H808" s="19">
        <v>14.5</v>
      </c>
      <c r="I808" s="51">
        <v>915.75</v>
      </c>
      <c r="J808" s="52"/>
      <c r="K808" s="45"/>
      <c r="L808" s="19"/>
      <c r="M808" s="45"/>
      <c r="N808" s="48"/>
      <c r="O808" s="49">
        <f t="shared" ref="O808:O813" si="443">SUM(I808)</f>
        <v>915.75</v>
      </c>
      <c r="P808" s="53"/>
      <c r="Q808" s="53"/>
      <c r="R808" s="76">
        <f t="shared" si="440"/>
        <v>704.199845320959</v>
      </c>
      <c r="S808" s="76"/>
      <c r="T808" s="77">
        <f t="shared" si="441"/>
        <v>1.34570765661253</v>
      </c>
      <c r="U808" s="76"/>
      <c r="V808" s="76"/>
      <c r="W808" s="78">
        <f t="shared" si="438"/>
        <v>705.545552977571</v>
      </c>
      <c r="X808" s="79">
        <f t="shared" si="442"/>
        <v>11.8062296983759</v>
      </c>
      <c r="Y808" s="79"/>
      <c r="Z808" s="79"/>
      <c r="AA808" s="79">
        <f t="shared" si="439"/>
        <v>11.8062296983759</v>
      </c>
      <c r="AB808" s="90">
        <v>7.15</v>
      </c>
      <c r="AC808" s="76">
        <f t="shared" si="435"/>
        <v>84.4145423433875</v>
      </c>
      <c r="AD808" s="76">
        <f t="shared" si="433"/>
        <v>789.960095320959</v>
      </c>
      <c r="AE808" s="76">
        <f t="shared" si="434"/>
        <v>125.789904679041</v>
      </c>
    </row>
    <row r="809" customFormat="1" spans="1:31">
      <c r="A809" s="18"/>
      <c r="B809" s="19"/>
      <c r="C809" s="20">
        <v>240823000005</v>
      </c>
      <c r="D809" s="21">
        <v>45534</v>
      </c>
      <c r="E809" s="21" t="s">
        <v>41</v>
      </c>
      <c r="F809" s="19" t="s">
        <v>42</v>
      </c>
      <c r="G809" s="19" t="s">
        <v>504</v>
      </c>
      <c r="H809" s="19">
        <v>30</v>
      </c>
      <c r="I809" s="51">
        <v>2321.2</v>
      </c>
      <c r="J809" s="52"/>
      <c r="K809" s="45"/>
      <c r="L809" s="19"/>
      <c r="M809" s="45"/>
      <c r="N809" s="48"/>
      <c r="O809" s="49">
        <f t="shared" si="443"/>
        <v>2321.2</v>
      </c>
      <c r="P809" s="53"/>
      <c r="Q809" s="53"/>
      <c r="R809" s="76">
        <f t="shared" si="440"/>
        <v>1456.96519721578</v>
      </c>
      <c r="S809" s="76"/>
      <c r="T809" s="77">
        <f t="shared" si="441"/>
        <v>2.78422273781903</v>
      </c>
      <c r="U809" s="76"/>
      <c r="V809" s="76"/>
      <c r="W809" s="78">
        <f t="shared" si="438"/>
        <v>1459.7494199536</v>
      </c>
      <c r="X809" s="79">
        <f t="shared" si="442"/>
        <v>24.4266821345708</v>
      </c>
      <c r="Y809" s="79"/>
      <c r="Z809" s="79"/>
      <c r="AA809" s="79">
        <f t="shared" si="439"/>
        <v>24.4266821345708</v>
      </c>
      <c r="AB809" s="90">
        <v>7.15</v>
      </c>
      <c r="AC809" s="76">
        <f t="shared" si="435"/>
        <v>174.650777262181</v>
      </c>
      <c r="AD809" s="76">
        <f t="shared" si="433"/>
        <v>1634.40019721578</v>
      </c>
      <c r="AE809" s="76">
        <f t="shared" si="434"/>
        <v>686.799802784223</v>
      </c>
    </row>
    <row r="810" customFormat="1" spans="1:31">
      <c r="A810" s="18"/>
      <c r="B810" s="19"/>
      <c r="C810" s="20">
        <v>240823000011</v>
      </c>
      <c r="D810" s="21">
        <v>45534</v>
      </c>
      <c r="E810" s="21" t="s">
        <v>37</v>
      </c>
      <c r="F810" s="19" t="s">
        <v>38</v>
      </c>
      <c r="G810" s="19" t="s">
        <v>207</v>
      </c>
      <c r="H810" s="19">
        <v>26</v>
      </c>
      <c r="I810" s="49"/>
      <c r="J810" s="44">
        <v>357475.5</v>
      </c>
      <c r="K810" s="45"/>
      <c r="L810" s="46">
        <f>SUM(J810/M810)</f>
        <v>1694.99991963016</v>
      </c>
      <c r="M810" s="47">
        <v>210.90001</v>
      </c>
      <c r="N810" s="48">
        <v>7.15</v>
      </c>
      <c r="O810" s="49">
        <f>SUM(M810*N810)</f>
        <v>1507.9350715</v>
      </c>
      <c r="P810" s="53"/>
      <c r="Q810" s="53"/>
      <c r="R810" s="76">
        <f t="shared" si="440"/>
        <v>1262.70317092034</v>
      </c>
      <c r="S810" s="76"/>
      <c r="T810" s="77">
        <f t="shared" si="441"/>
        <v>2.41299303944316</v>
      </c>
      <c r="U810" s="76"/>
      <c r="V810" s="76"/>
      <c r="W810" s="78">
        <f t="shared" si="438"/>
        <v>1265.11616395978</v>
      </c>
      <c r="X810" s="79">
        <f t="shared" si="442"/>
        <v>21.1697911832947</v>
      </c>
      <c r="Y810" s="79"/>
      <c r="Z810" s="79"/>
      <c r="AA810" s="79">
        <f t="shared" si="439"/>
        <v>21.1697911832947</v>
      </c>
      <c r="AB810" s="90">
        <v>7.15</v>
      </c>
      <c r="AC810" s="76">
        <f t="shared" si="435"/>
        <v>151.364006960557</v>
      </c>
      <c r="AD810" s="76">
        <f t="shared" si="433"/>
        <v>1416.48017092034</v>
      </c>
      <c r="AE810" s="76">
        <f t="shared" si="434"/>
        <v>91.4549005796598</v>
      </c>
    </row>
    <row r="811" customFormat="1" spans="1:31">
      <c r="A811" s="18"/>
      <c r="B811" s="19"/>
      <c r="C811" s="20">
        <v>240823000014</v>
      </c>
      <c r="D811" s="21">
        <v>45534</v>
      </c>
      <c r="E811" s="21" t="s">
        <v>37</v>
      </c>
      <c r="F811" s="19" t="s">
        <v>38</v>
      </c>
      <c r="G811" s="19" t="s">
        <v>505</v>
      </c>
      <c r="H811" s="19">
        <v>5.5</v>
      </c>
      <c r="I811" s="51">
        <v>385</v>
      </c>
      <c r="J811" s="52"/>
      <c r="K811" s="45"/>
      <c r="L811" s="19"/>
      <c r="M811" s="45"/>
      <c r="N811" s="48"/>
      <c r="O811" s="49">
        <f t="shared" si="443"/>
        <v>385</v>
      </c>
      <c r="P811" s="53"/>
      <c r="Q811" s="53"/>
      <c r="R811" s="76">
        <f t="shared" si="440"/>
        <v>267.110286156226</v>
      </c>
      <c r="S811" s="76"/>
      <c r="T811" s="77">
        <f t="shared" si="441"/>
        <v>0.510440835266821</v>
      </c>
      <c r="U811" s="76"/>
      <c r="V811" s="76"/>
      <c r="W811" s="78">
        <f t="shared" si="438"/>
        <v>267.620726991493</v>
      </c>
      <c r="X811" s="79">
        <f t="shared" si="442"/>
        <v>4.47822505800464</v>
      </c>
      <c r="Y811" s="79"/>
      <c r="Z811" s="79"/>
      <c r="AA811" s="79">
        <f t="shared" si="439"/>
        <v>4.47822505800464</v>
      </c>
      <c r="AB811" s="90">
        <v>7.15</v>
      </c>
      <c r="AC811" s="76">
        <f t="shared" si="435"/>
        <v>32.0193091647332</v>
      </c>
      <c r="AD811" s="76">
        <f t="shared" si="433"/>
        <v>299.640036156226</v>
      </c>
      <c r="AE811" s="76">
        <f t="shared" si="434"/>
        <v>85.3599638437742</v>
      </c>
    </row>
    <row r="812" customFormat="1" spans="1:31">
      <c r="A812" s="18"/>
      <c r="B812" s="19"/>
      <c r="C812" s="20">
        <v>240823000024</v>
      </c>
      <c r="D812" s="21">
        <v>45534</v>
      </c>
      <c r="E812" s="21" t="s">
        <v>82</v>
      </c>
      <c r="F812" s="19" t="s">
        <v>83</v>
      </c>
      <c r="G812" s="19" t="s">
        <v>506</v>
      </c>
      <c r="H812" s="19">
        <v>48</v>
      </c>
      <c r="I812" s="51">
        <v>3257.9</v>
      </c>
      <c r="J812" s="52"/>
      <c r="K812" s="45"/>
      <c r="L812" s="19"/>
      <c r="M812" s="45"/>
      <c r="N812" s="48"/>
      <c r="O812" s="49">
        <f t="shared" si="443"/>
        <v>3257.9</v>
      </c>
      <c r="P812" s="53"/>
      <c r="Q812" s="53"/>
      <c r="R812" s="76">
        <f t="shared" si="440"/>
        <v>2331.14431554524</v>
      </c>
      <c r="S812" s="76"/>
      <c r="T812" s="77">
        <f t="shared" si="441"/>
        <v>4.45475638051044</v>
      </c>
      <c r="U812" s="76"/>
      <c r="V812" s="76"/>
      <c r="W812" s="78">
        <f t="shared" si="438"/>
        <v>2335.59907192575</v>
      </c>
      <c r="X812" s="79">
        <f t="shared" si="442"/>
        <v>39.0826914153132</v>
      </c>
      <c r="Y812" s="79">
        <v>11.18</v>
      </c>
      <c r="Z812" s="79"/>
      <c r="AA812" s="79">
        <f t="shared" si="439"/>
        <v>50.2626914153132</v>
      </c>
      <c r="AB812" s="90">
        <v>7.15</v>
      </c>
      <c r="AC812" s="76">
        <f t="shared" si="435"/>
        <v>359.37824361949</v>
      </c>
      <c r="AD812" s="76">
        <f t="shared" si="433"/>
        <v>2694.97731554524</v>
      </c>
      <c r="AE812" s="76">
        <f t="shared" si="434"/>
        <v>562.922684454757</v>
      </c>
    </row>
    <row r="813" customFormat="1" spans="1:31">
      <c r="A813" s="18"/>
      <c r="B813" s="19"/>
      <c r="C813" s="20">
        <v>240823000037</v>
      </c>
      <c r="D813" s="21">
        <v>45534</v>
      </c>
      <c r="E813" s="21" t="s">
        <v>41</v>
      </c>
      <c r="F813" s="19" t="s">
        <v>42</v>
      </c>
      <c r="G813" s="19" t="s">
        <v>206</v>
      </c>
      <c r="H813" s="19">
        <v>4</v>
      </c>
      <c r="I813" s="51">
        <v>267.3</v>
      </c>
      <c r="J813" s="52"/>
      <c r="K813" s="45"/>
      <c r="L813" s="19"/>
      <c r="M813" s="45"/>
      <c r="N813" s="48"/>
      <c r="O813" s="49">
        <f t="shared" si="443"/>
        <v>267.3</v>
      </c>
      <c r="P813" s="53"/>
      <c r="Q813" s="53"/>
      <c r="R813" s="76">
        <f t="shared" si="440"/>
        <v>194.262026295437</v>
      </c>
      <c r="S813" s="76"/>
      <c r="T813" s="77">
        <f t="shared" si="441"/>
        <v>0.37122969837587</v>
      </c>
      <c r="U813" s="76"/>
      <c r="V813" s="76"/>
      <c r="W813" s="78">
        <f t="shared" si="438"/>
        <v>194.633255993813</v>
      </c>
      <c r="X813" s="79">
        <f t="shared" si="442"/>
        <v>3.2568909512761</v>
      </c>
      <c r="Y813" s="79"/>
      <c r="Z813" s="79"/>
      <c r="AA813" s="79">
        <f t="shared" si="439"/>
        <v>3.2568909512761</v>
      </c>
      <c r="AB813" s="90">
        <v>7.15</v>
      </c>
      <c r="AC813" s="76">
        <f t="shared" si="435"/>
        <v>23.2867703016241</v>
      </c>
      <c r="AD813" s="76">
        <f t="shared" si="433"/>
        <v>217.920026295437</v>
      </c>
      <c r="AE813" s="76">
        <f t="shared" si="434"/>
        <v>49.3799737045631</v>
      </c>
    </row>
    <row r="814" customFormat="1" spans="1:31">
      <c r="A814" s="18"/>
      <c r="B814" s="19"/>
      <c r="C814" s="20">
        <v>240823000039</v>
      </c>
      <c r="D814" s="21">
        <v>45534</v>
      </c>
      <c r="E814" s="21" t="s">
        <v>37</v>
      </c>
      <c r="F814" s="19" t="s">
        <v>38</v>
      </c>
      <c r="G814" s="19" t="s">
        <v>470</v>
      </c>
      <c r="H814" s="19">
        <v>10</v>
      </c>
      <c r="I814" s="43"/>
      <c r="J814" s="44">
        <v>144780</v>
      </c>
      <c r="K814" s="45"/>
      <c r="L814" s="46">
        <f t="shared" ref="L814:L817" si="444">SUM(J814/M814)</f>
        <v>1630.22182186691</v>
      </c>
      <c r="M814" s="47">
        <v>88.81</v>
      </c>
      <c r="N814" s="48">
        <v>7.15</v>
      </c>
      <c r="O814" s="49">
        <f t="shared" ref="O814:O817" si="445">SUM(M814*N814)</f>
        <v>634.9915</v>
      </c>
      <c r="P814" s="53"/>
      <c r="Q814" s="53"/>
      <c r="R814" s="76">
        <f t="shared" si="440"/>
        <v>485.655065738592</v>
      </c>
      <c r="S814" s="76"/>
      <c r="T814" s="77">
        <f t="shared" si="441"/>
        <v>0.928074245939675</v>
      </c>
      <c r="U814" s="76"/>
      <c r="V814" s="76"/>
      <c r="W814" s="78">
        <f t="shared" si="438"/>
        <v>486.583139984532</v>
      </c>
      <c r="X814" s="79">
        <f t="shared" si="442"/>
        <v>8.14222737819026</v>
      </c>
      <c r="Y814" s="79"/>
      <c r="Z814" s="79"/>
      <c r="AA814" s="79">
        <f t="shared" si="439"/>
        <v>8.14222737819026</v>
      </c>
      <c r="AB814" s="90">
        <v>7.15</v>
      </c>
      <c r="AC814" s="76">
        <f t="shared" si="435"/>
        <v>58.2169257540603</v>
      </c>
      <c r="AD814" s="76">
        <f t="shared" si="433"/>
        <v>544.800065738592</v>
      </c>
      <c r="AE814" s="76">
        <f t="shared" si="434"/>
        <v>90.1914342614076</v>
      </c>
    </row>
    <row r="815" customFormat="1" spans="1:31">
      <c r="A815" s="18"/>
      <c r="B815" s="19"/>
      <c r="C815" s="20">
        <v>240823000040</v>
      </c>
      <c r="D815" s="21">
        <v>45534</v>
      </c>
      <c r="E815" s="21" t="s">
        <v>37</v>
      </c>
      <c r="F815" s="19" t="s">
        <v>38</v>
      </c>
      <c r="G815" s="19" t="s">
        <v>470</v>
      </c>
      <c r="H815" s="19">
        <v>20</v>
      </c>
      <c r="I815" s="51">
        <v>1100</v>
      </c>
      <c r="J815" s="52"/>
      <c r="K815" s="45"/>
      <c r="L815" s="19"/>
      <c r="M815" s="45"/>
      <c r="N815" s="48"/>
      <c r="O815" s="49">
        <f t="shared" ref="O815:O822" si="446">SUM(I815)</f>
        <v>1100</v>
      </c>
      <c r="P815" s="53"/>
      <c r="Q815" s="53"/>
      <c r="R815" s="76">
        <f t="shared" si="440"/>
        <v>971.310131477185</v>
      </c>
      <c r="S815" s="76"/>
      <c r="T815" s="77">
        <f t="shared" si="441"/>
        <v>1.85614849187935</v>
      </c>
      <c r="U815" s="76"/>
      <c r="V815" s="76"/>
      <c r="W815" s="78">
        <f t="shared" si="438"/>
        <v>973.166279969064</v>
      </c>
      <c r="X815" s="79">
        <f t="shared" si="442"/>
        <v>16.2844547563805</v>
      </c>
      <c r="Y815" s="79"/>
      <c r="Z815" s="79"/>
      <c r="AA815" s="79">
        <f t="shared" si="439"/>
        <v>16.2844547563805</v>
      </c>
      <c r="AB815" s="90">
        <v>7.15</v>
      </c>
      <c r="AC815" s="76">
        <f t="shared" si="435"/>
        <v>116.433851508121</v>
      </c>
      <c r="AD815" s="76">
        <f t="shared" si="433"/>
        <v>1089.60013147718</v>
      </c>
      <c r="AE815" s="76">
        <f t="shared" si="434"/>
        <v>10.3998685228153</v>
      </c>
    </row>
    <row r="816" customFormat="1" spans="1:31">
      <c r="A816" s="18"/>
      <c r="B816" s="19"/>
      <c r="C816" s="20">
        <v>240823000049</v>
      </c>
      <c r="D816" s="21">
        <v>45534</v>
      </c>
      <c r="E816" s="21" t="s">
        <v>44</v>
      </c>
      <c r="F816" s="19" t="s">
        <v>45</v>
      </c>
      <c r="G816" s="19" t="s">
        <v>507</v>
      </c>
      <c r="H816" s="19">
        <v>3</v>
      </c>
      <c r="I816" s="49"/>
      <c r="J816" s="44">
        <v>48788</v>
      </c>
      <c r="K816" s="45"/>
      <c r="L816" s="46">
        <f t="shared" si="444"/>
        <v>1827.26598603992</v>
      </c>
      <c r="M816" s="47">
        <v>26.699999</v>
      </c>
      <c r="N816" s="48">
        <v>7.15</v>
      </c>
      <c r="O816" s="49">
        <f t="shared" si="445"/>
        <v>190.90499285</v>
      </c>
      <c r="P816" s="53"/>
      <c r="Q816" s="53"/>
      <c r="R816" s="76">
        <f t="shared" si="440"/>
        <v>145.696519721578</v>
      </c>
      <c r="S816" s="76"/>
      <c r="T816" s="77">
        <f t="shared" si="441"/>
        <v>0.278422273781903</v>
      </c>
      <c r="U816" s="76"/>
      <c r="V816" s="76"/>
      <c r="W816" s="78">
        <f t="shared" si="438"/>
        <v>145.97494199536</v>
      </c>
      <c r="X816" s="79">
        <f t="shared" si="442"/>
        <v>2.44266821345708</v>
      </c>
      <c r="Y816" s="79"/>
      <c r="Z816" s="79"/>
      <c r="AA816" s="79">
        <f t="shared" si="439"/>
        <v>2.44266821345708</v>
      </c>
      <c r="AB816" s="90">
        <v>7.15</v>
      </c>
      <c r="AC816" s="76">
        <f t="shared" si="435"/>
        <v>17.4650777262181</v>
      </c>
      <c r="AD816" s="76">
        <f t="shared" si="433"/>
        <v>163.440019721578</v>
      </c>
      <c r="AE816" s="76">
        <f t="shared" si="434"/>
        <v>27.4649731284223</v>
      </c>
    </row>
    <row r="817" customFormat="1" spans="1:31">
      <c r="A817" s="18"/>
      <c r="B817" s="19"/>
      <c r="C817" s="20">
        <v>240823000051</v>
      </c>
      <c r="D817" s="21">
        <v>45534</v>
      </c>
      <c r="E817" s="21" t="s">
        <v>37</v>
      </c>
      <c r="F817" s="19" t="s">
        <v>214</v>
      </c>
      <c r="G817" s="19" t="s">
        <v>214</v>
      </c>
      <c r="H817" s="19">
        <v>3.5</v>
      </c>
      <c r="I817" s="49"/>
      <c r="J817" s="44">
        <v>60783</v>
      </c>
      <c r="K817" s="45"/>
      <c r="L817" s="46">
        <f t="shared" si="444"/>
        <v>1695.00850766942</v>
      </c>
      <c r="M817" s="47">
        <v>35.859997</v>
      </c>
      <c r="N817" s="48">
        <v>7.15</v>
      </c>
      <c r="O817" s="49">
        <f t="shared" si="445"/>
        <v>256.39897855</v>
      </c>
      <c r="P817" s="53"/>
      <c r="Q817" s="53"/>
      <c r="R817" s="76">
        <f t="shared" si="440"/>
        <v>169.979273008507</v>
      </c>
      <c r="S817" s="76"/>
      <c r="T817" s="77">
        <f t="shared" si="441"/>
        <v>0.324825986078886</v>
      </c>
      <c r="U817" s="76"/>
      <c r="V817" s="76"/>
      <c r="W817" s="78">
        <f t="shared" si="438"/>
        <v>170.304098994586</v>
      </c>
      <c r="X817" s="79">
        <f t="shared" si="442"/>
        <v>2.84977958236659</v>
      </c>
      <c r="Y817" s="79"/>
      <c r="Z817" s="79"/>
      <c r="AA817" s="79">
        <f t="shared" si="439"/>
        <v>2.84977958236659</v>
      </c>
      <c r="AB817" s="90">
        <v>7.15</v>
      </c>
      <c r="AC817" s="76">
        <f t="shared" si="435"/>
        <v>20.3759240139211</v>
      </c>
      <c r="AD817" s="76">
        <f t="shared" si="433"/>
        <v>190.680023008507</v>
      </c>
      <c r="AE817" s="76">
        <f t="shared" si="434"/>
        <v>65.7189555414926</v>
      </c>
    </row>
    <row r="818" customFormat="1" spans="1:31">
      <c r="A818" s="18"/>
      <c r="B818" s="19"/>
      <c r="C818" s="20">
        <v>240823000052</v>
      </c>
      <c r="D818" s="21">
        <v>45534</v>
      </c>
      <c r="E818" s="21" t="s">
        <v>51</v>
      </c>
      <c r="F818" s="19" t="s">
        <v>52</v>
      </c>
      <c r="G818" s="19" t="s">
        <v>397</v>
      </c>
      <c r="H818" s="19">
        <v>22</v>
      </c>
      <c r="I818" s="51">
        <v>1320</v>
      </c>
      <c r="J818" s="52"/>
      <c r="K818" s="45"/>
      <c r="L818" s="19"/>
      <c r="M818" s="45"/>
      <c r="N818" s="48"/>
      <c r="O818" s="49">
        <f t="shared" si="446"/>
        <v>1320</v>
      </c>
      <c r="P818" s="53"/>
      <c r="Q818" s="53"/>
      <c r="R818" s="76">
        <f t="shared" si="440"/>
        <v>1068.4411446249</v>
      </c>
      <c r="S818" s="76"/>
      <c r="T818" s="77">
        <f t="shared" si="441"/>
        <v>2.04176334106728</v>
      </c>
      <c r="U818" s="76"/>
      <c r="V818" s="76"/>
      <c r="W818" s="78">
        <f t="shared" si="438"/>
        <v>1070.48290796597</v>
      </c>
      <c r="X818" s="79">
        <f t="shared" si="442"/>
        <v>17.9129002320186</v>
      </c>
      <c r="Y818" s="79"/>
      <c r="Z818" s="79"/>
      <c r="AA818" s="79">
        <f t="shared" si="439"/>
        <v>17.9129002320186</v>
      </c>
      <c r="AB818" s="90">
        <v>7.15</v>
      </c>
      <c r="AC818" s="76">
        <f t="shared" si="435"/>
        <v>128.077236658933</v>
      </c>
      <c r="AD818" s="76">
        <f t="shared" si="433"/>
        <v>1198.5601446249</v>
      </c>
      <c r="AE818" s="76">
        <f t="shared" si="434"/>
        <v>121.439855375097</v>
      </c>
    </row>
    <row r="819" customFormat="1" spans="1:31">
      <c r="A819" s="18"/>
      <c r="B819" s="19"/>
      <c r="C819" s="20">
        <v>240824000002</v>
      </c>
      <c r="D819" s="21">
        <v>45534</v>
      </c>
      <c r="E819" s="21" t="s">
        <v>127</v>
      </c>
      <c r="F819" s="19" t="s">
        <v>128</v>
      </c>
      <c r="G819" s="19" t="s">
        <v>508</v>
      </c>
      <c r="H819" s="19">
        <v>8</v>
      </c>
      <c r="I819" s="49"/>
      <c r="J819" s="44">
        <v>178000</v>
      </c>
      <c r="K819" s="45"/>
      <c r="L819" s="46">
        <f t="shared" ref="L819:L825" si="447">SUM(J819/M819)</f>
        <v>1735.56942277691</v>
      </c>
      <c r="M819" s="47">
        <v>102.56</v>
      </c>
      <c r="N819" s="48">
        <v>7.15</v>
      </c>
      <c r="O819" s="49">
        <f t="shared" ref="O819:O825" si="448">SUM(M819*N819)</f>
        <v>733.304</v>
      </c>
      <c r="P819" s="53"/>
      <c r="Q819" s="53"/>
      <c r="R819" s="76">
        <f t="shared" si="440"/>
        <v>388.524052590874</v>
      </c>
      <c r="S819" s="76"/>
      <c r="T819" s="77">
        <f t="shared" si="441"/>
        <v>0.74245939675174</v>
      </c>
      <c r="U819" s="76"/>
      <c r="V819" s="76"/>
      <c r="W819" s="78">
        <f t="shared" si="438"/>
        <v>389.266511987626</v>
      </c>
      <c r="X819" s="79">
        <f t="shared" si="442"/>
        <v>6.5137819025522</v>
      </c>
      <c r="Y819" s="79"/>
      <c r="Z819" s="79"/>
      <c r="AA819" s="79">
        <f t="shared" si="439"/>
        <v>6.5137819025522</v>
      </c>
      <c r="AB819" s="90">
        <v>7.15</v>
      </c>
      <c r="AC819" s="76">
        <f t="shared" si="435"/>
        <v>46.5735406032483</v>
      </c>
      <c r="AD819" s="76">
        <f t="shared" si="433"/>
        <v>435.840052590874</v>
      </c>
      <c r="AE819" s="76">
        <f t="shared" si="434"/>
        <v>297.463947409126</v>
      </c>
    </row>
    <row r="820" customFormat="1" spans="1:31">
      <c r="A820" s="18"/>
      <c r="B820" s="19"/>
      <c r="C820" s="20">
        <v>240824000009</v>
      </c>
      <c r="D820" s="21">
        <v>45534</v>
      </c>
      <c r="E820" s="21" t="s">
        <v>37</v>
      </c>
      <c r="F820" s="19" t="s">
        <v>38</v>
      </c>
      <c r="G820" s="19" t="s">
        <v>490</v>
      </c>
      <c r="H820" s="19">
        <v>14.5</v>
      </c>
      <c r="I820" s="51">
        <v>986</v>
      </c>
      <c r="J820" s="52"/>
      <c r="K820" s="45"/>
      <c r="L820" s="19"/>
      <c r="M820" s="45"/>
      <c r="N820" s="48"/>
      <c r="O820" s="49">
        <f t="shared" si="446"/>
        <v>986</v>
      </c>
      <c r="P820" s="53"/>
      <c r="Q820" s="53"/>
      <c r="R820" s="76">
        <f t="shared" si="440"/>
        <v>704.199845320959</v>
      </c>
      <c r="S820" s="76"/>
      <c r="T820" s="77">
        <f t="shared" si="441"/>
        <v>1.34570765661253</v>
      </c>
      <c r="U820" s="76"/>
      <c r="V820" s="76"/>
      <c r="W820" s="78">
        <f t="shared" si="438"/>
        <v>705.545552977571</v>
      </c>
      <c r="X820" s="79">
        <f t="shared" si="442"/>
        <v>11.8062296983759</v>
      </c>
      <c r="Y820" s="79"/>
      <c r="Z820" s="79"/>
      <c r="AA820" s="79">
        <f t="shared" si="439"/>
        <v>11.8062296983759</v>
      </c>
      <c r="AB820" s="90">
        <v>7.15</v>
      </c>
      <c r="AC820" s="76">
        <f t="shared" si="435"/>
        <v>84.4145423433875</v>
      </c>
      <c r="AD820" s="76">
        <f t="shared" si="433"/>
        <v>789.960095320959</v>
      </c>
      <c r="AE820" s="76">
        <f t="shared" si="434"/>
        <v>196.039904679041</v>
      </c>
    </row>
    <row r="821" customFormat="1" spans="1:31">
      <c r="A821" s="18"/>
      <c r="B821" s="19"/>
      <c r="C821" s="20">
        <v>240824000013</v>
      </c>
      <c r="D821" s="21">
        <v>45534</v>
      </c>
      <c r="E821" s="21" t="s">
        <v>37</v>
      </c>
      <c r="F821" s="19" t="s">
        <v>38</v>
      </c>
      <c r="G821" s="19" t="s">
        <v>256</v>
      </c>
      <c r="H821" s="19">
        <v>2</v>
      </c>
      <c r="I821" s="51">
        <v>148.5</v>
      </c>
      <c r="J821" s="52"/>
      <c r="K821" s="45"/>
      <c r="L821" s="19"/>
      <c r="M821" s="45"/>
      <c r="N821" s="48"/>
      <c r="O821" s="49">
        <f t="shared" si="446"/>
        <v>148.5</v>
      </c>
      <c r="P821" s="53"/>
      <c r="Q821" s="53"/>
      <c r="R821" s="76">
        <f t="shared" si="440"/>
        <v>97.1310131477185</v>
      </c>
      <c r="S821" s="76"/>
      <c r="T821" s="77">
        <f t="shared" si="441"/>
        <v>0.185614849187935</v>
      </c>
      <c r="U821" s="76"/>
      <c r="V821" s="76"/>
      <c r="W821" s="78">
        <f t="shared" si="438"/>
        <v>97.3166279969064</v>
      </c>
      <c r="X821" s="79">
        <f t="shared" si="442"/>
        <v>1.62844547563805</v>
      </c>
      <c r="Y821" s="79"/>
      <c r="Z821" s="79"/>
      <c r="AA821" s="79">
        <f t="shared" si="439"/>
        <v>1.62844547563805</v>
      </c>
      <c r="AB821" s="90">
        <v>7.15</v>
      </c>
      <c r="AC821" s="76">
        <f t="shared" si="435"/>
        <v>11.6433851508121</v>
      </c>
      <c r="AD821" s="76">
        <f t="shared" si="433"/>
        <v>108.960013147718</v>
      </c>
      <c r="AE821" s="76">
        <f t="shared" si="434"/>
        <v>39.5399868522815</v>
      </c>
    </row>
    <row r="822" customFormat="1" spans="1:31">
      <c r="A822" s="18"/>
      <c r="B822" s="19"/>
      <c r="C822" s="20">
        <v>240824000014</v>
      </c>
      <c r="D822" s="21">
        <v>45534</v>
      </c>
      <c r="E822" s="21" t="s">
        <v>37</v>
      </c>
      <c r="F822" s="19" t="s">
        <v>38</v>
      </c>
      <c r="G822" s="19" t="s">
        <v>509</v>
      </c>
      <c r="H822" s="19">
        <v>18</v>
      </c>
      <c r="I822" s="43"/>
      <c r="J822" s="44">
        <v>296430</v>
      </c>
      <c r="K822" s="45"/>
      <c r="L822" s="46">
        <f t="shared" si="447"/>
        <v>1758.91532664807</v>
      </c>
      <c r="M822" s="47">
        <v>168.53</v>
      </c>
      <c r="N822" s="48">
        <v>7.15</v>
      </c>
      <c r="O822" s="49">
        <f>SUM(M822*N822)</f>
        <v>1204.9895</v>
      </c>
      <c r="P822" s="53"/>
      <c r="Q822" s="53"/>
      <c r="R822" s="76">
        <f t="shared" si="440"/>
        <v>874.179118329466</v>
      </c>
      <c r="S822" s="76"/>
      <c r="T822" s="77">
        <f t="shared" si="441"/>
        <v>1.67053364269142</v>
      </c>
      <c r="U822" s="76"/>
      <c r="V822" s="76"/>
      <c r="W822" s="78">
        <f t="shared" si="438"/>
        <v>875.849651972158</v>
      </c>
      <c r="X822" s="79">
        <f t="shared" si="442"/>
        <v>14.6560092807425</v>
      </c>
      <c r="Y822" s="79"/>
      <c r="Z822" s="79"/>
      <c r="AA822" s="79">
        <f t="shared" si="439"/>
        <v>14.6560092807425</v>
      </c>
      <c r="AB822" s="90">
        <v>7.15</v>
      </c>
      <c r="AC822" s="76">
        <f t="shared" si="435"/>
        <v>104.790466357309</v>
      </c>
      <c r="AD822" s="76">
        <f t="shared" si="433"/>
        <v>980.640118329466</v>
      </c>
      <c r="AE822" s="76">
        <f t="shared" si="434"/>
        <v>224.349381670534</v>
      </c>
    </row>
    <row r="823" customFormat="1" spans="1:31">
      <c r="A823" s="18"/>
      <c r="B823" s="19"/>
      <c r="C823" s="20">
        <v>240824000017</v>
      </c>
      <c r="D823" s="21">
        <v>45534</v>
      </c>
      <c r="E823" s="21" t="s">
        <v>82</v>
      </c>
      <c r="F823" s="19" t="s">
        <v>83</v>
      </c>
      <c r="G823" s="19" t="s">
        <v>510</v>
      </c>
      <c r="H823" s="19">
        <v>55</v>
      </c>
      <c r="I823" s="43"/>
      <c r="J823" s="44">
        <v>769065</v>
      </c>
      <c r="K823" s="45"/>
      <c r="L823" s="46">
        <f t="shared" si="447"/>
        <v>1677.97220343421</v>
      </c>
      <c r="M823" s="47">
        <v>458.33</v>
      </c>
      <c r="N823" s="48">
        <v>7.15</v>
      </c>
      <c r="O823" s="49">
        <f t="shared" si="448"/>
        <v>3277.0595</v>
      </c>
      <c r="P823" s="53"/>
      <c r="Q823" s="53"/>
      <c r="R823" s="76">
        <f t="shared" si="440"/>
        <v>2671.10286156226</v>
      </c>
      <c r="S823" s="76"/>
      <c r="T823" s="77">
        <f t="shared" si="441"/>
        <v>5.10440835266821</v>
      </c>
      <c r="U823" s="76"/>
      <c r="V823" s="76"/>
      <c r="W823" s="78">
        <f t="shared" si="438"/>
        <v>2676.20726991493</v>
      </c>
      <c r="X823" s="79">
        <f t="shared" si="442"/>
        <v>44.7822505800464</v>
      </c>
      <c r="Y823" s="79"/>
      <c r="Z823" s="79"/>
      <c r="AA823" s="79">
        <f t="shared" si="439"/>
        <v>44.7822505800464</v>
      </c>
      <c r="AB823" s="90">
        <v>7.15</v>
      </c>
      <c r="AC823" s="76">
        <f t="shared" si="435"/>
        <v>320.193091647332</v>
      </c>
      <c r="AD823" s="76">
        <f t="shared" si="433"/>
        <v>2996.40036156226</v>
      </c>
      <c r="AE823" s="76">
        <f t="shared" si="434"/>
        <v>280.659138437742</v>
      </c>
    </row>
    <row r="824" customFormat="1" spans="1:31">
      <c r="A824" s="18"/>
      <c r="B824" s="19"/>
      <c r="C824" s="20">
        <v>240825000002</v>
      </c>
      <c r="D824" s="21">
        <v>45534</v>
      </c>
      <c r="E824" s="21" t="s">
        <v>37</v>
      </c>
      <c r="F824" s="19" t="s">
        <v>38</v>
      </c>
      <c r="G824" s="19" t="s">
        <v>511</v>
      </c>
      <c r="H824" s="19">
        <v>10</v>
      </c>
      <c r="I824" s="43"/>
      <c r="J824" s="44">
        <v>194940</v>
      </c>
      <c r="K824" s="45"/>
      <c r="L824" s="46">
        <f t="shared" si="447"/>
        <v>1630.20572002007</v>
      </c>
      <c r="M824" s="47">
        <v>119.58</v>
      </c>
      <c r="N824" s="48">
        <v>7.15</v>
      </c>
      <c r="O824" s="49">
        <f t="shared" si="448"/>
        <v>854.997</v>
      </c>
      <c r="P824" s="53"/>
      <c r="Q824" s="53"/>
      <c r="R824" s="76">
        <f t="shared" si="440"/>
        <v>485.655065738592</v>
      </c>
      <c r="S824" s="76"/>
      <c r="T824" s="77">
        <f t="shared" si="441"/>
        <v>0.928074245939675</v>
      </c>
      <c r="U824" s="76"/>
      <c r="V824" s="76"/>
      <c r="W824" s="78">
        <f t="shared" si="438"/>
        <v>486.583139984532</v>
      </c>
      <c r="X824" s="79">
        <f t="shared" si="442"/>
        <v>8.14222737819026</v>
      </c>
      <c r="Y824" s="79"/>
      <c r="Z824" s="79"/>
      <c r="AA824" s="79">
        <f t="shared" si="439"/>
        <v>8.14222737819026</v>
      </c>
      <c r="AB824" s="90">
        <v>7.15</v>
      </c>
      <c r="AC824" s="76">
        <f t="shared" si="435"/>
        <v>58.2169257540603</v>
      </c>
      <c r="AD824" s="76">
        <f t="shared" si="433"/>
        <v>544.800065738592</v>
      </c>
      <c r="AE824" s="76">
        <f t="shared" si="434"/>
        <v>310.196934261408</v>
      </c>
    </row>
    <row r="825" customFormat="1" spans="1:31">
      <c r="A825" s="18"/>
      <c r="B825" s="19"/>
      <c r="C825" s="22">
        <v>240825000008</v>
      </c>
      <c r="D825" s="23">
        <v>45534</v>
      </c>
      <c r="E825" s="21" t="s">
        <v>37</v>
      </c>
      <c r="F825" s="24" t="s">
        <v>38</v>
      </c>
      <c r="G825" s="24" t="s">
        <v>76</v>
      </c>
      <c r="H825" s="24">
        <v>21.5</v>
      </c>
      <c r="I825" s="43"/>
      <c r="J825" s="44">
        <v>447737.5</v>
      </c>
      <c r="K825" s="45"/>
      <c r="L825" s="46">
        <f t="shared" si="447"/>
        <v>1751.7801948433</v>
      </c>
      <c r="M825" s="47">
        <v>255.59</v>
      </c>
      <c r="N825" s="48">
        <v>7.15</v>
      </c>
      <c r="O825" s="49">
        <f t="shared" si="448"/>
        <v>1827.4685</v>
      </c>
      <c r="P825" s="53"/>
      <c r="Q825" s="53"/>
      <c r="R825" s="76">
        <f t="shared" si="440"/>
        <v>1044.15839133797</v>
      </c>
      <c r="S825" s="76"/>
      <c r="T825" s="77">
        <f t="shared" si="441"/>
        <v>1.9953596287703</v>
      </c>
      <c r="U825" s="76"/>
      <c r="V825" s="76"/>
      <c r="W825" s="78">
        <f t="shared" si="438"/>
        <v>1046.15375096674</v>
      </c>
      <c r="X825" s="79">
        <f t="shared" si="442"/>
        <v>17.505788863109</v>
      </c>
      <c r="Y825" s="79"/>
      <c r="Z825" s="79"/>
      <c r="AA825" s="79">
        <f t="shared" si="439"/>
        <v>17.505788863109</v>
      </c>
      <c r="AB825" s="90">
        <v>7.15</v>
      </c>
      <c r="AC825" s="76">
        <f t="shared" si="435"/>
        <v>125.16639037123</v>
      </c>
      <c r="AD825" s="76">
        <f t="shared" si="433"/>
        <v>1171.32014133797</v>
      </c>
      <c r="AE825" s="76">
        <f t="shared" si="434"/>
        <v>656.148358662026</v>
      </c>
    </row>
    <row r="826" customFormat="1" spans="1:31">
      <c r="A826" s="18"/>
      <c r="B826" s="19"/>
      <c r="C826" s="20">
        <v>240825000010</v>
      </c>
      <c r="D826" s="21">
        <v>45534</v>
      </c>
      <c r="E826" s="21" t="s">
        <v>37</v>
      </c>
      <c r="F826" s="19" t="s">
        <v>38</v>
      </c>
      <c r="G826" s="19" t="s">
        <v>512</v>
      </c>
      <c r="H826" s="19">
        <v>6</v>
      </c>
      <c r="I826" s="51">
        <v>422.4</v>
      </c>
      <c r="J826" s="52"/>
      <c r="K826" s="45"/>
      <c r="L826" s="19"/>
      <c r="M826" s="45"/>
      <c r="N826" s="48"/>
      <c r="O826" s="49">
        <f t="shared" ref="O826:O834" si="449">SUM(I826)</f>
        <v>422.4</v>
      </c>
      <c r="P826" s="53"/>
      <c r="Q826" s="53"/>
      <c r="R826" s="76">
        <f t="shared" si="440"/>
        <v>291.393039443155</v>
      </c>
      <c r="S826" s="76"/>
      <c r="T826" s="77">
        <f t="shared" si="441"/>
        <v>0.556844547563805</v>
      </c>
      <c r="U826" s="76"/>
      <c r="V826" s="76"/>
      <c r="W826" s="78">
        <f t="shared" si="438"/>
        <v>291.949883990719</v>
      </c>
      <c r="X826" s="79">
        <f t="shared" si="442"/>
        <v>4.88533642691415</v>
      </c>
      <c r="Y826" s="79"/>
      <c r="Z826" s="79"/>
      <c r="AA826" s="79">
        <f t="shared" si="439"/>
        <v>4.88533642691415</v>
      </c>
      <c r="AB826" s="90">
        <v>7.15</v>
      </c>
      <c r="AC826" s="76">
        <f t="shared" si="435"/>
        <v>34.9301554524362</v>
      </c>
      <c r="AD826" s="76">
        <f t="shared" si="433"/>
        <v>326.880039443155</v>
      </c>
      <c r="AE826" s="76">
        <f t="shared" si="434"/>
        <v>95.5199605568446</v>
      </c>
    </row>
    <row r="827" customFormat="1" spans="1:31">
      <c r="A827" s="18"/>
      <c r="B827" s="19"/>
      <c r="C827" s="20">
        <v>240825000012</v>
      </c>
      <c r="D827" s="21">
        <v>45534</v>
      </c>
      <c r="E827" s="21" t="s">
        <v>57</v>
      </c>
      <c r="F827" s="19" t="s">
        <v>57</v>
      </c>
      <c r="G827" s="19" t="s">
        <v>224</v>
      </c>
      <c r="H827" s="19">
        <v>1</v>
      </c>
      <c r="I827" s="51">
        <v>69.3</v>
      </c>
      <c r="J827" s="52"/>
      <c r="K827" s="45"/>
      <c r="L827" s="19"/>
      <c r="M827" s="45"/>
      <c r="N827" s="48"/>
      <c r="O827" s="49">
        <f t="shared" si="449"/>
        <v>69.3</v>
      </c>
      <c r="P827" s="53"/>
      <c r="Q827" s="53"/>
      <c r="R827" s="76">
        <f t="shared" si="440"/>
        <v>48.5655065738592</v>
      </c>
      <c r="S827" s="76"/>
      <c r="T827" s="77">
        <f t="shared" si="441"/>
        <v>0.0928074245939675</v>
      </c>
      <c r="U827" s="76"/>
      <c r="V827" s="76"/>
      <c r="W827" s="78">
        <f t="shared" si="438"/>
        <v>48.6583139984532</v>
      </c>
      <c r="X827" s="79">
        <f t="shared" si="442"/>
        <v>0.814222737819026</v>
      </c>
      <c r="Y827" s="79"/>
      <c r="Z827" s="79"/>
      <c r="AA827" s="79">
        <f t="shared" si="439"/>
        <v>0.814222737819026</v>
      </c>
      <c r="AB827" s="90">
        <v>7.15</v>
      </c>
      <c r="AC827" s="76">
        <f t="shared" si="435"/>
        <v>5.82169257540603</v>
      </c>
      <c r="AD827" s="76">
        <f t="shared" si="433"/>
        <v>54.4800065738592</v>
      </c>
      <c r="AE827" s="76">
        <f t="shared" si="434"/>
        <v>14.8199934261408</v>
      </c>
    </row>
    <row r="828" customFormat="1" spans="1:31">
      <c r="A828" s="18"/>
      <c r="B828" s="19"/>
      <c r="C828" s="20">
        <v>240825000013</v>
      </c>
      <c r="D828" s="21">
        <v>45534</v>
      </c>
      <c r="E828" s="21" t="s">
        <v>173</v>
      </c>
      <c r="F828" s="19" t="s">
        <v>57</v>
      </c>
      <c r="G828" s="19" t="s">
        <v>174</v>
      </c>
      <c r="H828" s="19">
        <v>9</v>
      </c>
      <c r="I828" s="51">
        <v>632.3</v>
      </c>
      <c r="J828" s="52"/>
      <c r="K828" s="45"/>
      <c r="L828" s="19"/>
      <c r="M828" s="45"/>
      <c r="N828" s="48"/>
      <c r="O828" s="49">
        <f t="shared" si="449"/>
        <v>632.3</v>
      </c>
      <c r="P828" s="53"/>
      <c r="Q828" s="53"/>
      <c r="R828" s="76">
        <f t="shared" si="440"/>
        <v>437.089559164733</v>
      </c>
      <c r="S828" s="76"/>
      <c r="T828" s="77">
        <f t="shared" si="441"/>
        <v>0.835266821345708</v>
      </c>
      <c r="U828" s="76"/>
      <c r="V828" s="77">
        <v>35</v>
      </c>
      <c r="W828" s="78">
        <f t="shared" si="438"/>
        <v>472.924825986079</v>
      </c>
      <c r="X828" s="79">
        <f t="shared" si="442"/>
        <v>7.32800464037123</v>
      </c>
      <c r="Y828" s="79"/>
      <c r="Z828" s="79"/>
      <c r="AA828" s="79">
        <f t="shared" si="439"/>
        <v>7.32800464037123</v>
      </c>
      <c r="AB828" s="90">
        <v>7.15</v>
      </c>
      <c r="AC828" s="76">
        <f t="shared" si="435"/>
        <v>52.3952331786543</v>
      </c>
      <c r="AD828" s="76">
        <f t="shared" si="433"/>
        <v>525.320059164733</v>
      </c>
      <c r="AE828" s="76">
        <f t="shared" si="434"/>
        <v>106.979940835267</v>
      </c>
    </row>
    <row r="829" customFormat="1" spans="1:31">
      <c r="A829" s="18"/>
      <c r="B829" s="19"/>
      <c r="C829" s="20">
        <v>240825000014</v>
      </c>
      <c r="D829" s="21">
        <v>45534</v>
      </c>
      <c r="E829" s="21" t="s">
        <v>57</v>
      </c>
      <c r="F829" s="19" t="s">
        <v>57</v>
      </c>
      <c r="G829" s="19" t="s">
        <v>69</v>
      </c>
      <c r="H829" s="19">
        <v>0.29</v>
      </c>
      <c r="I829" s="43">
        <v>99</v>
      </c>
      <c r="J829" s="52"/>
      <c r="K829" s="45"/>
      <c r="L829" s="19"/>
      <c r="M829" s="45"/>
      <c r="N829" s="48"/>
      <c r="O829" s="49">
        <f t="shared" si="449"/>
        <v>99</v>
      </c>
      <c r="P829" s="53"/>
      <c r="Q829" s="53"/>
      <c r="R829" s="76">
        <f t="shared" si="440"/>
        <v>14.0839969064192</v>
      </c>
      <c r="S829" s="76"/>
      <c r="T829" s="77">
        <f t="shared" si="441"/>
        <v>0.0269141531322506</v>
      </c>
      <c r="U829" s="76"/>
      <c r="V829" s="76"/>
      <c r="W829" s="78">
        <f t="shared" si="438"/>
        <v>14.1109110595514</v>
      </c>
      <c r="X829" s="79">
        <f t="shared" si="442"/>
        <v>0.236124593967517</v>
      </c>
      <c r="Y829" s="79"/>
      <c r="Z829" s="79"/>
      <c r="AA829" s="79">
        <f t="shared" si="439"/>
        <v>0.236124593967517</v>
      </c>
      <c r="AB829" s="90">
        <v>7.15</v>
      </c>
      <c r="AC829" s="76">
        <f t="shared" si="435"/>
        <v>1.68829084686775</v>
      </c>
      <c r="AD829" s="76">
        <f t="shared" si="433"/>
        <v>15.7992019064192</v>
      </c>
      <c r="AE829" s="76">
        <f t="shared" si="434"/>
        <v>83.2007980935808</v>
      </c>
    </row>
    <row r="830" customFormat="1" spans="1:31">
      <c r="A830" s="18"/>
      <c r="B830" s="19"/>
      <c r="C830" s="20">
        <v>240825000015</v>
      </c>
      <c r="D830" s="21">
        <v>45534</v>
      </c>
      <c r="E830" s="21" t="s">
        <v>37</v>
      </c>
      <c r="F830" s="19" t="s">
        <v>38</v>
      </c>
      <c r="G830" s="19" t="s">
        <v>118</v>
      </c>
      <c r="H830" s="19">
        <v>5</v>
      </c>
      <c r="I830" s="51">
        <v>325</v>
      </c>
      <c r="J830" s="52"/>
      <c r="K830" s="45"/>
      <c r="L830" s="19"/>
      <c r="M830" s="45"/>
      <c r="N830" s="48"/>
      <c r="O830" s="49">
        <f t="shared" si="449"/>
        <v>325</v>
      </c>
      <c r="P830" s="53"/>
      <c r="Q830" s="53"/>
      <c r="R830" s="76">
        <f t="shared" si="440"/>
        <v>242.827532869296</v>
      </c>
      <c r="S830" s="76"/>
      <c r="T830" s="77">
        <f t="shared" si="441"/>
        <v>0.464037122969838</v>
      </c>
      <c r="U830" s="76"/>
      <c r="V830" s="76"/>
      <c r="W830" s="78">
        <f t="shared" si="438"/>
        <v>243.291569992266</v>
      </c>
      <c r="X830" s="79">
        <f t="shared" si="442"/>
        <v>4.07111368909513</v>
      </c>
      <c r="Y830" s="79"/>
      <c r="Z830" s="79"/>
      <c r="AA830" s="79">
        <f t="shared" si="439"/>
        <v>4.07111368909513</v>
      </c>
      <c r="AB830" s="90">
        <v>7.15</v>
      </c>
      <c r="AC830" s="76">
        <f t="shared" si="435"/>
        <v>29.1084628770302</v>
      </c>
      <c r="AD830" s="76">
        <f t="shared" si="433"/>
        <v>272.400032869296</v>
      </c>
      <c r="AE830" s="76">
        <f t="shared" si="434"/>
        <v>52.5999671307038</v>
      </c>
    </row>
    <row r="831" customFormat="1" spans="1:31">
      <c r="A831" s="18"/>
      <c r="B831" s="19"/>
      <c r="C831" s="20">
        <v>240825000020</v>
      </c>
      <c r="D831" s="21">
        <v>45534</v>
      </c>
      <c r="E831" s="21" t="s">
        <v>37</v>
      </c>
      <c r="F831" s="19" t="s">
        <v>38</v>
      </c>
      <c r="G831" s="19" t="s">
        <v>513</v>
      </c>
      <c r="H831" s="19">
        <v>5.5</v>
      </c>
      <c r="I831" s="51">
        <v>455</v>
      </c>
      <c r="J831" s="52"/>
      <c r="K831" s="45"/>
      <c r="L831" s="19"/>
      <c r="M831" s="45"/>
      <c r="N831" s="48"/>
      <c r="O831" s="49">
        <f t="shared" si="449"/>
        <v>455</v>
      </c>
      <c r="P831" s="53"/>
      <c r="Q831" s="53"/>
      <c r="R831" s="76">
        <f t="shared" si="440"/>
        <v>267.110286156226</v>
      </c>
      <c r="S831" s="76"/>
      <c r="T831" s="77">
        <f t="shared" si="441"/>
        <v>0.510440835266821</v>
      </c>
      <c r="U831" s="76"/>
      <c r="V831" s="76"/>
      <c r="W831" s="78">
        <f t="shared" si="438"/>
        <v>267.620726991493</v>
      </c>
      <c r="X831" s="79">
        <f t="shared" si="442"/>
        <v>4.47822505800464</v>
      </c>
      <c r="Y831" s="79"/>
      <c r="Z831" s="79"/>
      <c r="AA831" s="79">
        <f t="shared" si="439"/>
        <v>4.47822505800464</v>
      </c>
      <c r="AB831" s="90">
        <v>7.15</v>
      </c>
      <c r="AC831" s="76">
        <f t="shared" si="435"/>
        <v>32.0193091647332</v>
      </c>
      <c r="AD831" s="76">
        <f t="shared" si="433"/>
        <v>299.640036156226</v>
      </c>
      <c r="AE831" s="76">
        <f t="shared" si="434"/>
        <v>155.359963843774</v>
      </c>
    </row>
    <row r="832" customFormat="1" spans="1:31">
      <c r="A832" s="18"/>
      <c r="B832" s="19"/>
      <c r="C832" s="20">
        <v>240825000022</v>
      </c>
      <c r="D832" s="21">
        <v>45534</v>
      </c>
      <c r="E832" s="21" t="s">
        <v>37</v>
      </c>
      <c r="F832" s="19" t="s">
        <v>38</v>
      </c>
      <c r="G832" s="19" t="s">
        <v>514</v>
      </c>
      <c r="H832" s="19">
        <v>0.15</v>
      </c>
      <c r="I832" s="51">
        <v>80</v>
      </c>
      <c r="J832" s="52"/>
      <c r="K832" s="45"/>
      <c r="L832" s="19"/>
      <c r="M832" s="45"/>
      <c r="N832" s="48"/>
      <c r="O832" s="49">
        <f t="shared" si="449"/>
        <v>80</v>
      </c>
      <c r="P832" s="53"/>
      <c r="Q832" s="53"/>
      <c r="R832" s="76">
        <f t="shared" si="440"/>
        <v>7.28482598607889</v>
      </c>
      <c r="S832" s="76"/>
      <c r="T832" s="77">
        <f t="shared" si="441"/>
        <v>0.0139211136890951</v>
      </c>
      <c r="U832" s="76"/>
      <c r="V832" s="76"/>
      <c r="W832" s="78">
        <f t="shared" si="438"/>
        <v>7.29874709976798</v>
      </c>
      <c r="X832" s="79">
        <f t="shared" si="442"/>
        <v>0.122133410672854</v>
      </c>
      <c r="Y832" s="79"/>
      <c r="Z832" s="79"/>
      <c r="AA832" s="79">
        <f t="shared" si="439"/>
        <v>0.122133410672854</v>
      </c>
      <c r="AB832" s="90">
        <v>7.15</v>
      </c>
      <c r="AC832" s="76">
        <f t="shared" si="435"/>
        <v>0.873253886310905</v>
      </c>
      <c r="AD832" s="76">
        <f t="shared" ref="AD832:AD849" si="450">SUM(W832+AC832)</f>
        <v>8.17200098607889</v>
      </c>
      <c r="AE832" s="76">
        <f t="shared" si="434"/>
        <v>71.8279990139211</v>
      </c>
    </row>
    <row r="833" customFormat="1" spans="1:31">
      <c r="A833" s="18"/>
      <c r="B833" s="19"/>
      <c r="C833" s="20">
        <v>240825000023</v>
      </c>
      <c r="D833" s="21">
        <v>45534</v>
      </c>
      <c r="E833" s="21" t="s">
        <v>37</v>
      </c>
      <c r="F833" s="19" t="s">
        <v>38</v>
      </c>
      <c r="G833" s="19" t="s">
        <v>515</v>
      </c>
      <c r="H833" s="19">
        <v>19</v>
      </c>
      <c r="I833" s="51">
        <v>1102</v>
      </c>
      <c r="J833" s="52"/>
      <c r="K833" s="45"/>
      <c r="L833" s="19"/>
      <c r="M833" s="45"/>
      <c r="N833" s="48"/>
      <c r="O833" s="49">
        <f t="shared" si="449"/>
        <v>1102</v>
      </c>
      <c r="P833" s="53"/>
      <c r="Q833" s="53"/>
      <c r="R833" s="76">
        <f t="shared" si="440"/>
        <v>922.744624903326</v>
      </c>
      <c r="S833" s="76"/>
      <c r="T833" s="77">
        <f t="shared" si="441"/>
        <v>1.76334106728538</v>
      </c>
      <c r="U833" s="76"/>
      <c r="V833" s="76"/>
      <c r="W833" s="78">
        <f t="shared" si="438"/>
        <v>924.507965970611</v>
      </c>
      <c r="X833" s="79">
        <f t="shared" si="442"/>
        <v>15.4702320185615</v>
      </c>
      <c r="Y833" s="79"/>
      <c r="Z833" s="79"/>
      <c r="AA833" s="79">
        <f t="shared" si="439"/>
        <v>15.4702320185615</v>
      </c>
      <c r="AB833" s="90">
        <v>7.15</v>
      </c>
      <c r="AC833" s="76">
        <f t="shared" si="435"/>
        <v>110.612158932715</v>
      </c>
      <c r="AD833" s="76">
        <f t="shared" si="450"/>
        <v>1035.12012490333</v>
      </c>
      <c r="AE833" s="76">
        <f t="shared" ref="AE833:AE849" si="451">SUM(O833-AD833)</f>
        <v>66.8798750966744</v>
      </c>
    </row>
    <row r="834" customFormat="1" spans="1:31">
      <c r="A834" s="18"/>
      <c r="B834" s="19"/>
      <c r="C834" s="20">
        <v>240826000001</v>
      </c>
      <c r="D834" s="21">
        <v>45534</v>
      </c>
      <c r="E834" s="21" t="s">
        <v>44</v>
      </c>
      <c r="F834" s="19" t="s">
        <v>45</v>
      </c>
      <c r="G834" s="19" t="s">
        <v>46</v>
      </c>
      <c r="H834" s="19">
        <v>4.5</v>
      </c>
      <c r="I834" s="51">
        <v>300</v>
      </c>
      <c r="J834" s="52"/>
      <c r="K834" s="45"/>
      <c r="L834" s="19"/>
      <c r="M834" s="45"/>
      <c r="N834" s="48"/>
      <c r="O834" s="49">
        <f t="shared" si="449"/>
        <v>300</v>
      </c>
      <c r="P834" s="53"/>
      <c r="Q834" s="53"/>
      <c r="R834" s="76">
        <f t="shared" si="440"/>
        <v>218.544779582367</v>
      </c>
      <c r="S834" s="76"/>
      <c r="T834" s="77">
        <f t="shared" si="441"/>
        <v>0.417633410672854</v>
      </c>
      <c r="U834" s="76"/>
      <c r="V834" s="76"/>
      <c r="W834" s="78">
        <f t="shared" si="438"/>
        <v>218.962412993039</v>
      </c>
      <c r="X834" s="79">
        <f t="shared" si="442"/>
        <v>3.66400232018561</v>
      </c>
      <c r="Y834" s="79"/>
      <c r="Z834" s="79"/>
      <c r="AA834" s="79">
        <f t="shared" si="439"/>
        <v>3.66400232018561</v>
      </c>
      <c r="AB834" s="90">
        <v>7.15</v>
      </c>
      <c r="AC834" s="76">
        <f t="shared" si="435"/>
        <v>26.1976165893271</v>
      </c>
      <c r="AD834" s="76">
        <f t="shared" si="450"/>
        <v>245.160029582367</v>
      </c>
      <c r="AE834" s="76">
        <f t="shared" si="451"/>
        <v>54.8399704176334</v>
      </c>
    </row>
    <row r="835" customFormat="1" spans="1:31">
      <c r="A835" s="18"/>
      <c r="B835" s="19"/>
      <c r="C835" s="20">
        <v>240826000004</v>
      </c>
      <c r="D835" s="21">
        <v>45534</v>
      </c>
      <c r="E835" s="21" t="s">
        <v>44</v>
      </c>
      <c r="F835" s="19" t="s">
        <v>45</v>
      </c>
      <c r="G835" s="19" t="s">
        <v>516</v>
      </c>
      <c r="H835" s="19">
        <v>2</v>
      </c>
      <c r="I835" s="49"/>
      <c r="J835" s="44">
        <v>29848</v>
      </c>
      <c r="K835" s="45"/>
      <c r="L835" s="46">
        <f>SUM(J835/M835)</f>
        <v>1640</v>
      </c>
      <c r="M835" s="47">
        <v>18.2</v>
      </c>
      <c r="N835" s="48">
        <v>7.15</v>
      </c>
      <c r="O835" s="49">
        <f>SUM(M835*N835)</f>
        <v>130.13</v>
      </c>
      <c r="P835" s="53"/>
      <c r="Q835" s="53"/>
      <c r="R835" s="76">
        <f t="shared" si="440"/>
        <v>97.1310131477185</v>
      </c>
      <c r="S835" s="76"/>
      <c r="T835" s="77">
        <f t="shared" si="441"/>
        <v>0.185614849187935</v>
      </c>
      <c r="U835" s="76"/>
      <c r="V835" s="76"/>
      <c r="W835" s="78">
        <f t="shared" si="438"/>
        <v>97.3166279969064</v>
      </c>
      <c r="X835" s="79">
        <f t="shared" si="442"/>
        <v>1.62844547563805</v>
      </c>
      <c r="Y835" s="79"/>
      <c r="Z835" s="79"/>
      <c r="AA835" s="79">
        <f t="shared" si="439"/>
        <v>1.62844547563805</v>
      </c>
      <c r="AB835" s="90">
        <v>7.15</v>
      </c>
      <c r="AC835" s="76">
        <f t="shared" si="435"/>
        <v>11.6433851508121</v>
      </c>
      <c r="AD835" s="76">
        <f t="shared" si="450"/>
        <v>108.960013147718</v>
      </c>
      <c r="AE835" s="76">
        <f t="shared" si="451"/>
        <v>21.1699868522815</v>
      </c>
    </row>
    <row r="836" customFormat="1" spans="1:31">
      <c r="A836" s="18"/>
      <c r="B836" s="19"/>
      <c r="C836" s="20">
        <v>240826000007</v>
      </c>
      <c r="D836" s="21">
        <v>45534</v>
      </c>
      <c r="E836" s="21" t="s">
        <v>51</v>
      </c>
      <c r="F836" s="19" t="s">
        <v>52</v>
      </c>
      <c r="G836" s="19" t="s">
        <v>517</v>
      </c>
      <c r="H836" s="19">
        <v>5.5</v>
      </c>
      <c r="I836" s="51">
        <v>402</v>
      </c>
      <c r="J836" s="52"/>
      <c r="K836" s="45"/>
      <c r="L836" s="19"/>
      <c r="M836" s="45"/>
      <c r="N836" s="48"/>
      <c r="O836" s="49">
        <f t="shared" ref="O836:O842" si="452">SUM(I836)</f>
        <v>402</v>
      </c>
      <c r="P836" s="53"/>
      <c r="Q836" s="53"/>
      <c r="R836" s="76">
        <f t="shared" si="440"/>
        <v>267.110286156226</v>
      </c>
      <c r="S836" s="76"/>
      <c r="T836" s="77">
        <f t="shared" si="441"/>
        <v>0.510440835266821</v>
      </c>
      <c r="U836" s="76"/>
      <c r="V836" s="76"/>
      <c r="W836" s="78">
        <f t="shared" si="438"/>
        <v>267.620726991493</v>
      </c>
      <c r="X836" s="79">
        <f t="shared" si="442"/>
        <v>4.47822505800464</v>
      </c>
      <c r="Y836" s="79"/>
      <c r="Z836" s="79"/>
      <c r="AA836" s="79">
        <f t="shared" si="439"/>
        <v>4.47822505800464</v>
      </c>
      <c r="AB836" s="90">
        <v>7.15</v>
      </c>
      <c r="AC836" s="76">
        <f t="shared" si="435"/>
        <v>32.0193091647332</v>
      </c>
      <c r="AD836" s="76">
        <f t="shared" si="450"/>
        <v>299.640036156226</v>
      </c>
      <c r="AE836" s="76">
        <f t="shared" si="451"/>
        <v>102.359963843774</v>
      </c>
    </row>
    <row r="837" customFormat="1" spans="1:31">
      <c r="A837" s="18"/>
      <c r="B837" s="19"/>
      <c r="C837" s="20">
        <v>240826000009</v>
      </c>
      <c r="D837" s="21">
        <v>45534</v>
      </c>
      <c r="E837" s="21" t="s">
        <v>51</v>
      </c>
      <c r="F837" s="19" t="s">
        <v>52</v>
      </c>
      <c r="G837" s="19" t="s">
        <v>122</v>
      </c>
      <c r="H837" s="19">
        <v>1.5</v>
      </c>
      <c r="I837" s="51">
        <v>130.2</v>
      </c>
      <c r="J837" s="52"/>
      <c r="K837" s="45"/>
      <c r="L837" s="19"/>
      <c r="M837" s="45"/>
      <c r="N837" s="48"/>
      <c r="O837" s="49">
        <f t="shared" si="452"/>
        <v>130.2</v>
      </c>
      <c r="P837" s="53"/>
      <c r="Q837" s="53"/>
      <c r="R837" s="76">
        <f t="shared" si="440"/>
        <v>72.8482598607889</v>
      </c>
      <c r="S837" s="76"/>
      <c r="T837" s="77">
        <f t="shared" si="441"/>
        <v>0.139211136890951</v>
      </c>
      <c r="U837" s="76"/>
      <c r="V837" s="76"/>
      <c r="W837" s="78">
        <f t="shared" si="438"/>
        <v>72.9874709976798</v>
      </c>
      <c r="X837" s="79">
        <f t="shared" si="442"/>
        <v>1.22133410672854</v>
      </c>
      <c r="Y837" s="79"/>
      <c r="Z837" s="79"/>
      <c r="AA837" s="79">
        <f t="shared" si="439"/>
        <v>1.22133410672854</v>
      </c>
      <c r="AB837" s="90">
        <v>7.15</v>
      </c>
      <c r="AC837" s="76">
        <f t="shared" si="435"/>
        <v>8.73253886310905</v>
      </c>
      <c r="AD837" s="76">
        <f t="shared" si="450"/>
        <v>81.7200098607888</v>
      </c>
      <c r="AE837" s="76">
        <f t="shared" si="451"/>
        <v>48.4799901392112</v>
      </c>
    </row>
    <row r="838" customFormat="1" spans="1:31">
      <c r="A838" s="18"/>
      <c r="B838" s="19"/>
      <c r="C838" s="20">
        <v>240826000022</v>
      </c>
      <c r="D838" s="21">
        <v>45534</v>
      </c>
      <c r="E838" s="21" t="s">
        <v>51</v>
      </c>
      <c r="F838" s="19" t="s">
        <v>52</v>
      </c>
      <c r="G838" s="19" t="s">
        <v>132</v>
      </c>
      <c r="H838" s="19">
        <v>8.5</v>
      </c>
      <c r="I838" s="51">
        <v>596</v>
      </c>
      <c r="J838" s="52"/>
      <c r="K838" s="45"/>
      <c r="L838" s="19"/>
      <c r="M838" s="45"/>
      <c r="N838" s="48"/>
      <c r="O838" s="49">
        <f t="shared" si="452"/>
        <v>596</v>
      </c>
      <c r="P838" s="53"/>
      <c r="Q838" s="53"/>
      <c r="R838" s="76">
        <f t="shared" si="440"/>
        <v>412.806805877804</v>
      </c>
      <c r="S838" s="76"/>
      <c r="T838" s="77">
        <f t="shared" si="441"/>
        <v>0.788863109048724</v>
      </c>
      <c r="U838" s="76"/>
      <c r="V838" s="76"/>
      <c r="W838" s="78">
        <f t="shared" si="438"/>
        <v>413.595668986852</v>
      </c>
      <c r="X838" s="79">
        <f t="shared" si="442"/>
        <v>6.92089327146172</v>
      </c>
      <c r="Y838" s="79"/>
      <c r="Z838" s="79"/>
      <c r="AA838" s="79">
        <f t="shared" si="439"/>
        <v>6.92089327146172</v>
      </c>
      <c r="AB838" s="90">
        <v>7.15</v>
      </c>
      <c r="AC838" s="76">
        <f t="shared" si="435"/>
        <v>49.4843868909513</v>
      </c>
      <c r="AD838" s="76">
        <f t="shared" si="450"/>
        <v>463.080055877804</v>
      </c>
      <c r="AE838" s="76">
        <f t="shared" si="451"/>
        <v>132.919944122196</v>
      </c>
    </row>
    <row r="839" customFormat="1" spans="1:31">
      <c r="A839" s="18"/>
      <c r="B839" s="19"/>
      <c r="C839" s="20">
        <v>240826000026</v>
      </c>
      <c r="D839" s="21">
        <v>45534</v>
      </c>
      <c r="E839" s="21" t="s">
        <v>37</v>
      </c>
      <c r="F839" s="19" t="s">
        <v>38</v>
      </c>
      <c r="G839" s="19" t="s">
        <v>319</v>
      </c>
      <c r="H839" s="19">
        <v>2</v>
      </c>
      <c r="I839" s="51">
        <v>200</v>
      </c>
      <c r="J839" s="52"/>
      <c r="K839" s="45"/>
      <c r="L839" s="19"/>
      <c r="M839" s="45"/>
      <c r="N839" s="48"/>
      <c r="O839" s="49">
        <f t="shared" si="452"/>
        <v>200</v>
      </c>
      <c r="P839" s="53"/>
      <c r="Q839" s="53"/>
      <c r="R839" s="76">
        <f t="shared" si="440"/>
        <v>97.1310131477185</v>
      </c>
      <c r="S839" s="76"/>
      <c r="T839" s="77">
        <f t="shared" si="441"/>
        <v>0.185614849187935</v>
      </c>
      <c r="U839" s="76"/>
      <c r="V839" s="76"/>
      <c r="W839" s="78">
        <f t="shared" si="438"/>
        <v>97.3166279969064</v>
      </c>
      <c r="X839" s="79">
        <f t="shared" si="442"/>
        <v>1.62844547563805</v>
      </c>
      <c r="Y839" s="79"/>
      <c r="Z839" s="79"/>
      <c r="AA839" s="79">
        <f t="shared" si="439"/>
        <v>1.62844547563805</v>
      </c>
      <c r="AB839" s="90">
        <v>7.15</v>
      </c>
      <c r="AC839" s="76">
        <f t="shared" si="435"/>
        <v>11.6433851508121</v>
      </c>
      <c r="AD839" s="76">
        <f t="shared" si="450"/>
        <v>108.960013147718</v>
      </c>
      <c r="AE839" s="76">
        <f t="shared" si="451"/>
        <v>91.039986852282</v>
      </c>
    </row>
    <row r="840" customFormat="1" spans="1:31">
      <c r="A840" s="18"/>
      <c r="B840" s="19"/>
      <c r="C840" s="20">
        <v>240826000028</v>
      </c>
      <c r="D840" s="21">
        <v>45534</v>
      </c>
      <c r="E840" s="21" t="s">
        <v>82</v>
      </c>
      <c r="F840" s="19" t="s">
        <v>83</v>
      </c>
      <c r="G840" s="19" t="s">
        <v>518</v>
      </c>
      <c r="H840" s="19">
        <v>1.5</v>
      </c>
      <c r="I840" s="51">
        <v>102.3</v>
      </c>
      <c r="J840" s="52"/>
      <c r="K840" s="45"/>
      <c r="L840" s="19"/>
      <c r="M840" s="45"/>
      <c r="N840" s="48"/>
      <c r="O840" s="49">
        <f t="shared" si="452"/>
        <v>102.3</v>
      </c>
      <c r="P840" s="53"/>
      <c r="Q840" s="53"/>
      <c r="R840" s="76">
        <f t="shared" si="440"/>
        <v>72.8482598607889</v>
      </c>
      <c r="S840" s="76"/>
      <c r="T840" s="77">
        <f t="shared" si="441"/>
        <v>0.139211136890951</v>
      </c>
      <c r="U840" s="76"/>
      <c r="V840" s="76"/>
      <c r="W840" s="78">
        <f t="shared" si="438"/>
        <v>72.9874709976798</v>
      </c>
      <c r="X840" s="79">
        <f t="shared" si="442"/>
        <v>1.22133410672854</v>
      </c>
      <c r="Y840" s="79"/>
      <c r="Z840" s="79"/>
      <c r="AA840" s="79">
        <f t="shared" si="439"/>
        <v>1.22133410672854</v>
      </c>
      <c r="AB840" s="90">
        <v>7.15</v>
      </c>
      <c r="AC840" s="76">
        <f t="shared" si="435"/>
        <v>8.73253886310905</v>
      </c>
      <c r="AD840" s="76">
        <f t="shared" si="450"/>
        <v>81.7200098607888</v>
      </c>
      <c r="AE840" s="76">
        <f t="shared" si="451"/>
        <v>20.5799901392112</v>
      </c>
    </row>
    <row r="841" customFormat="1" spans="1:31">
      <c r="A841" s="18"/>
      <c r="B841" s="19"/>
      <c r="C841" s="20">
        <v>240826000031</v>
      </c>
      <c r="D841" s="21">
        <v>45534</v>
      </c>
      <c r="E841" s="21" t="s">
        <v>57</v>
      </c>
      <c r="F841" s="19" t="s">
        <v>57</v>
      </c>
      <c r="G841" s="19" t="s">
        <v>349</v>
      </c>
      <c r="H841" s="19">
        <v>35</v>
      </c>
      <c r="I841" s="51">
        <v>2200</v>
      </c>
      <c r="J841" s="52"/>
      <c r="K841" s="45"/>
      <c r="L841" s="19"/>
      <c r="M841" s="45"/>
      <c r="N841" s="48"/>
      <c r="O841" s="49">
        <f t="shared" si="452"/>
        <v>2200</v>
      </c>
      <c r="P841" s="53"/>
      <c r="Q841" s="53"/>
      <c r="R841" s="76">
        <f t="shared" si="440"/>
        <v>1699.79273008507</v>
      </c>
      <c r="S841" s="76"/>
      <c r="T841" s="77">
        <f t="shared" si="441"/>
        <v>3.24825986078886</v>
      </c>
      <c r="U841" s="76"/>
      <c r="V841" s="76"/>
      <c r="W841" s="78">
        <f t="shared" si="438"/>
        <v>1703.04098994586</v>
      </c>
      <c r="X841" s="79">
        <f t="shared" si="442"/>
        <v>28.4977958236659</v>
      </c>
      <c r="Y841" s="79"/>
      <c r="Z841" s="79"/>
      <c r="AA841" s="79">
        <f t="shared" si="439"/>
        <v>28.4977958236659</v>
      </c>
      <c r="AB841" s="90">
        <v>7.15</v>
      </c>
      <c r="AC841" s="76">
        <f t="shared" si="435"/>
        <v>203.759240139211</v>
      </c>
      <c r="AD841" s="76">
        <f t="shared" si="450"/>
        <v>1906.80023008507</v>
      </c>
      <c r="AE841" s="76">
        <f t="shared" si="451"/>
        <v>293.19976991493</v>
      </c>
    </row>
    <row r="842" customFormat="1" spans="1:31">
      <c r="A842" s="18"/>
      <c r="B842" s="19"/>
      <c r="C842" s="20">
        <v>240826000038</v>
      </c>
      <c r="D842" s="21">
        <v>45534</v>
      </c>
      <c r="E842" s="21" t="s">
        <v>37</v>
      </c>
      <c r="F842" s="19" t="s">
        <v>38</v>
      </c>
      <c r="G842" s="19" t="s">
        <v>254</v>
      </c>
      <c r="H842" s="19">
        <v>2.5</v>
      </c>
      <c r="I842" s="51">
        <v>145</v>
      </c>
      <c r="J842" s="52"/>
      <c r="K842" s="45"/>
      <c r="L842" s="19"/>
      <c r="M842" s="45"/>
      <c r="N842" s="48"/>
      <c r="O842" s="49">
        <f t="shared" si="452"/>
        <v>145</v>
      </c>
      <c r="P842" s="53"/>
      <c r="Q842" s="53"/>
      <c r="R842" s="76">
        <f t="shared" si="440"/>
        <v>121.413766434648</v>
      </c>
      <c r="S842" s="76"/>
      <c r="T842" s="77">
        <f t="shared" si="441"/>
        <v>0.232018561484919</v>
      </c>
      <c r="U842" s="76"/>
      <c r="V842" s="76"/>
      <c r="W842" s="78">
        <f t="shared" si="438"/>
        <v>121.645784996133</v>
      </c>
      <c r="X842" s="79">
        <f t="shared" si="442"/>
        <v>2.03555684454756</v>
      </c>
      <c r="Y842" s="79"/>
      <c r="Z842" s="79"/>
      <c r="AA842" s="79">
        <f t="shared" si="439"/>
        <v>2.03555684454756</v>
      </c>
      <c r="AB842" s="90">
        <v>7.15</v>
      </c>
      <c r="AC842" s="76">
        <f t="shared" si="435"/>
        <v>14.5542314385151</v>
      </c>
      <c r="AD842" s="76">
        <f t="shared" si="450"/>
        <v>136.200016434648</v>
      </c>
      <c r="AE842" s="76">
        <f t="shared" si="451"/>
        <v>8.79998356535199</v>
      </c>
    </row>
    <row r="843" customFormat="1" spans="1:31">
      <c r="A843" s="18"/>
      <c r="B843" s="19"/>
      <c r="C843" s="20">
        <v>240826000041</v>
      </c>
      <c r="D843" s="21">
        <v>45534</v>
      </c>
      <c r="E843" s="21" t="s">
        <v>127</v>
      </c>
      <c r="F843" s="19"/>
      <c r="G843" s="19" t="s">
        <v>296</v>
      </c>
      <c r="H843" s="19">
        <v>6.5</v>
      </c>
      <c r="I843" s="49"/>
      <c r="J843" s="44">
        <v>112039.5</v>
      </c>
      <c r="K843" s="45"/>
      <c r="L843" s="46">
        <f t="shared" ref="L843:L846" si="453">SUM(J843/M843)</f>
        <v>1695</v>
      </c>
      <c r="M843" s="47">
        <v>66.1</v>
      </c>
      <c r="N843" s="48">
        <v>7.15</v>
      </c>
      <c r="O843" s="49">
        <f t="shared" ref="O843:O846" si="454">SUM(M843*N843)</f>
        <v>472.615</v>
      </c>
      <c r="P843" s="53"/>
      <c r="Q843" s="53"/>
      <c r="R843" s="76">
        <f t="shared" si="440"/>
        <v>315.675792730085</v>
      </c>
      <c r="S843" s="76"/>
      <c r="T843" s="77">
        <f t="shared" si="441"/>
        <v>0.603248259860789</v>
      </c>
      <c r="U843" s="76"/>
      <c r="V843" s="77">
        <v>44</v>
      </c>
      <c r="W843" s="78">
        <f t="shared" si="438"/>
        <v>360.279040989946</v>
      </c>
      <c r="X843" s="79">
        <f t="shared" si="442"/>
        <v>5.29244779582367</v>
      </c>
      <c r="Y843" s="79"/>
      <c r="Z843" s="79"/>
      <c r="AA843" s="79">
        <f t="shared" si="439"/>
        <v>5.29244779582367</v>
      </c>
      <c r="AB843" s="90">
        <v>7.15</v>
      </c>
      <c r="AC843" s="76">
        <f t="shared" si="435"/>
        <v>37.8410017401392</v>
      </c>
      <c r="AD843" s="76">
        <f t="shared" si="450"/>
        <v>398.120042730085</v>
      </c>
      <c r="AE843" s="76">
        <f t="shared" si="451"/>
        <v>74.4949572699149</v>
      </c>
    </row>
    <row r="844" customFormat="1" spans="1:31">
      <c r="A844" s="18"/>
      <c r="B844" s="19"/>
      <c r="C844" s="20">
        <v>240826000049</v>
      </c>
      <c r="D844" s="21">
        <v>45534</v>
      </c>
      <c r="E844" s="21" t="s">
        <v>41</v>
      </c>
      <c r="F844" s="19" t="s">
        <v>42</v>
      </c>
      <c r="G844" s="19" t="s">
        <v>310</v>
      </c>
      <c r="H844" s="19">
        <v>2.5</v>
      </c>
      <c r="I844" s="51">
        <v>184.8</v>
      </c>
      <c r="J844" s="52"/>
      <c r="K844" s="45"/>
      <c r="L844" s="19"/>
      <c r="M844" s="45"/>
      <c r="N844" s="48"/>
      <c r="O844" s="49">
        <f t="shared" ref="O844:O848" si="455">SUM(I844)</f>
        <v>184.8</v>
      </c>
      <c r="P844" s="53"/>
      <c r="Q844" s="53"/>
      <c r="R844" s="76">
        <f t="shared" si="440"/>
        <v>121.413766434648</v>
      </c>
      <c r="S844" s="76"/>
      <c r="T844" s="77">
        <f t="shared" si="441"/>
        <v>0.232018561484919</v>
      </c>
      <c r="U844" s="76"/>
      <c r="V844" s="76"/>
      <c r="W844" s="78">
        <f t="shared" si="438"/>
        <v>121.645784996133</v>
      </c>
      <c r="X844" s="79">
        <f t="shared" si="442"/>
        <v>2.03555684454756</v>
      </c>
      <c r="Y844" s="79"/>
      <c r="Z844" s="79"/>
      <c r="AA844" s="79">
        <f t="shared" si="439"/>
        <v>2.03555684454756</v>
      </c>
      <c r="AB844" s="90">
        <v>7.15</v>
      </c>
      <c r="AC844" s="76">
        <f t="shared" si="435"/>
        <v>14.5542314385151</v>
      </c>
      <c r="AD844" s="76">
        <f t="shared" si="450"/>
        <v>136.200016434648</v>
      </c>
      <c r="AE844" s="76">
        <f t="shared" si="451"/>
        <v>48.5999835653519</v>
      </c>
    </row>
    <row r="845" customFormat="1" spans="1:31">
      <c r="A845" s="18"/>
      <c r="B845" s="19"/>
      <c r="C845" s="20">
        <v>240827000004</v>
      </c>
      <c r="D845" s="21">
        <v>45534</v>
      </c>
      <c r="E845" s="21" t="s">
        <v>41</v>
      </c>
      <c r="F845" s="19" t="s">
        <v>42</v>
      </c>
      <c r="G845" s="19" t="s">
        <v>362</v>
      </c>
      <c r="H845" s="19">
        <v>7.5</v>
      </c>
      <c r="I845" s="43"/>
      <c r="J845" s="44">
        <v>157426</v>
      </c>
      <c r="K845" s="45"/>
      <c r="L845" s="46">
        <f t="shared" si="453"/>
        <v>1680.2860497385</v>
      </c>
      <c r="M845" s="47">
        <v>93.69</v>
      </c>
      <c r="N845" s="48">
        <v>7.15</v>
      </c>
      <c r="O845" s="49">
        <f t="shared" si="454"/>
        <v>669.8835</v>
      </c>
      <c r="P845" s="53"/>
      <c r="Q845" s="53"/>
      <c r="R845" s="76">
        <f t="shared" si="440"/>
        <v>364.241299303944</v>
      </c>
      <c r="S845" s="76"/>
      <c r="T845" s="77">
        <f t="shared" si="441"/>
        <v>0.696055684454756</v>
      </c>
      <c r="U845" s="76"/>
      <c r="V845" s="76"/>
      <c r="W845" s="78">
        <f t="shared" si="438"/>
        <v>364.937354988399</v>
      </c>
      <c r="X845" s="79">
        <f t="shared" si="442"/>
        <v>6.10667053364269</v>
      </c>
      <c r="Y845" s="79"/>
      <c r="Z845" s="79"/>
      <c r="AA845" s="79">
        <f t="shared" si="439"/>
        <v>6.10667053364269</v>
      </c>
      <c r="AB845" s="90">
        <v>7.15</v>
      </c>
      <c r="AC845" s="76">
        <f t="shared" si="435"/>
        <v>43.6626943155452</v>
      </c>
      <c r="AD845" s="76">
        <f t="shared" si="450"/>
        <v>408.600049303944</v>
      </c>
      <c r="AE845" s="76">
        <f t="shared" si="451"/>
        <v>261.283450696056</v>
      </c>
    </row>
    <row r="846" customFormat="1" spans="1:31">
      <c r="A846" s="18"/>
      <c r="B846" s="19"/>
      <c r="C846" s="20">
        <v>240827000005</v>
      </c>
      <c r="D846" s="21">
        <v>45534</v>
      </c>
      <c r="E846" s="21" t="s">
        <v>37</v>
      </c>
      <c r="F846" s="19" t="s">
        <v>38</v>
      </c>
      <c r="G846" s="19" t="s">
        <v>489</v>
      </c>
      <c r="H846" s="19">
        <v>1</v>
      </c>
      <c r="I846" s="43"/>
      <c r="J846" s="44">
        <v>14100</v>
      </c>
      <c r="K846" s="45"/>
      <c r="L846" s="46">
        <f t="shared" si="453"/>
        <v>1680.57210965435</v>
      </c>
      <c r="M846" s="47">
        <v>8.39</v>
      </c>
      <c r="N846" s="48">
        <v>7.15</v>
      </c>
      <c r="O846" s="49">
        <f t="shared" si="454"/>
        <v>59.9885</v>
      </c>
      <c r="P846" s="53"/>
      <c r="Q846" s="53"/>
      <c r="R846" s="76">
        <f t="shared" si="440"/>
        <v>48.5655065738592</v>
      </c>
      <c r="S846" s="76"/>
      <c r="T846" s="77">
        <f t="shared" si="441"/>
        <v>0.0928074245939675</v>
      </c>
      <c r="U846" s="76"/>
      <c r="V846" s="76"/>
      <c r="W846" s="78">
        <f t="shared" si="438"/>
        <v>48.6583139984532</v>
      </c>
      <c r="X846" s="79">
        <f t="shared" si="442"/>
        <v>0.814222737819026</v>
      </c>
      <c r="Y846" s="79"/>
      <c r="Z846" s="79"/>
      <c r="AA846" s="79">
        <f t="shared" si="439"/>
        <v>0.814222737819026</v>
      </c>
      <c r="AB846" s="90">
        <v>7.15</v>
      </c>
      <c r="AC846" s="76">
        <f t="shared" si="435"/>
        <v>5.82169257540603</v>
      </c>
      <c r="AD846" s="76">
        <f t="shared" si="450"/>
        <v>54.4800065738592</v>
      </c>
      <c r="AE846" s="76">
        <f t="shared" si="451"/>
        <v>5.50849342614077</v>
      </c>
    </row>
    <row r="847" customFormat="1" spans="1:31">
      <c r="A847" s="18"/>
      <c r="B847" s="19"/>
      <c r="C847" s="20">
        <v>240827000025</v>
      </c>
      <c r="D847" s="21">
        <v>45534</v>
      </c>
      <c r="E847" s="21" t="s">
        <v>57</v>
      </c>
      <c r="F847" s="19" t="s">
        <v>57</v>
      </c>
      <c r="G847" s="19" t="s">
        <v>150</v>
      </c>
      <c r="H847" s="19">
        <v>254.5</v>
      </c>
      <c r="I847" s="51">
        <v>14768.5</v>
      </c>
      <c r="J847" s="52"/>
      <c r="K847" s="45"/>
      <c r="L847" s="19"/>
      <c r="M847" s="45"/>
      <c r="N847" s="48"/>
      <c r="O847" s="49">
        <f t="shared" si="455"/>
        <v>14768.5</v>
      </c>
      <c r="P847" s="53"/>
      <c r="Q847" s="53"/>
      <c r="R847" s="76">
        <f t="shared" si="440"/>
        <v>12359.9214230472</v>
      </c>
      <c r="S847" s="76"/>
      <c r="T847" s="77">
        <f t="shared" si="441"/>
        <v>23.6194895591647</v>
      </c>
      <c r="U847" s="76"/>
      <c r="V847" s="76"/>
      <c r="W847" s="78">
        <f t="shared" si="438"/>
        <v>12383.5409126063</v>
      </c>
      <c r="X847" s="79">
        <f t="shared" si="442"/>
        <v>207.219686774942</v>
      </c>
      <c r="Y847" s="79"/>
      <c r="Z847" s="79"/>
      <c r="AA847" s="79">
        <f t="shared" si="439"/>
        <v>207.219686774942</v>
      </c>
      <c r="AB847" s="90">
        <v>7.15</v>
      </c>
      <c r="AC847" s="76">
        <f t="shared" si="435"/>
        <v>1481.62076044084</v>
      </c>
      <c r="AD847" s="76">
        <f t="shared" si="450"/>
        <v>13865.1616730472</v>
      </c>
      <c r="AE847" s="76">
        <f t="shared" si="451"/>
        <v>903.338326952822</v>
      </c>
    </row>
    <row r="848" customFormat="1" spans="1:31">
      <c r="A848" s="18"/>
      <c r="B848" s="19"/>
      <c r="C848" s="20">
        <v>240827000039</v>
      </c>
      <c r="D848" s="21">
        <v>45534</v>
      </c>
      <c r="E848" s="21" t="s">
        <v>57</v>
      </c>
      <c r="F848" s="19" t="s">
        <v>57</v>
      </c>
      <c r="G848" s="19" t="s">
        <v>519</v>
      </c>
      <c r="H848" s="19">
        <v>74.5</v>
      </c>
      <c r="I848" s="51">
        <v>4470</v>
      </c>
      <c r="J848" s="52"/>
      <c r="K848" s="45"/>
      <c r="L848" s="19"/>
      <c r="M848" s="45"/>
      <c r="N848" s="48"/>
      <c r="O848" s="49">
        <f t="shared" si="455"/>
        <v>4470</v>
      </c>
      <c r="P848" s="53"/>
      <c r="Q848" s="53"/>
      <c r="R848" s="76">
        <f t="shared" si="440"/>
        <v>3618.13023975251</v>
      </c>
      <c r="S848" s="76"/>
      <c r="T848" s="77">
        <f t="shared" si="441"/>
        <v>6.91415313225058</v>
      </c>
      <c r="U848" s="76"/>
      <c r="V848" s="76"/>
      <c r="W848" s="78">
        <f t="shared" si="438"/>
        <v>3625.04439288476</v>
      </c>
      <c r="X848" s="79">
        <f t="shared" si="442"/>
        <v>60.6595939675174</v>
      </c>
      <c r="Y848" s="79"/>
      <c r="Z848" s="79"/>
      <c r="AA848" s="79">
        <f t="shared" si="439"/>
        <v>60.6595939675174</v>
      </c>
      <c r="AB848" s="90">
        <v>7.15</v>
      </c>
      <c r="AC848" s="76">
        <f t="shared" si="435"/>
        <v>433.716096867749</v>
      </c>
      <c r="AD848" s="76">
        <f t="shared" si="450"/>
        <v>4058.76048975251</v>
      </c>
      <c r="AE848" s="76">
        <f t="shared" si="451"/>
        <v>411.239510247487</v>
      </c>
    </row>
    <row r="849" customFormat="1" spans="1:31">
      <c r="A849" s="18"/>
      <c r="B849" s="19"/>
      <c r="C849" s="20">
        <v>240828000051</v>
      </c>
      <c r="D849" s="21">
        <v>45534</v>
      </c>
      <c r="E849" s="21" t="s">
        <v>57</v>
      </c>
      <c r="F849" s="19" t="s">
        <v>57</v>
      </c>
      <c r="G849" s="19" t="s">
        <v>155</v>
      </c>
      <c r="H849" s="19">
        <v>481</v>
      </c>
      <c r="I849" s="43"/>
      <c r="J849" s="44">
        <v>5947853.6</v>
      </c>
      <c r="K849" s="45"/>
      <c r="L849" s="46">
        <f>SUM(J849/M849)</f>
        <v>1700.27088371668</v>
      </c>
      <c r="M849" s="47">
        <v>3498.18</v>
      </c>
      <c r="N849" s="48">
        <v>7.15</v>
      </c>
      <c r="O849" s="49">
        <f>SUM(M849*N849)</f>
        <v>25011.987</v>
      </c>
      <c r="P849" s="54"/>
      <c r="Q849" s="54"/>
      <c r="R849" s="76">
        <f t="shared" si="440"/>
        <v>23360.0086620263</v>
      </c>
      <c r="S849" s="76"/>
      <c r="T849" s="77">
        <f t="shared" si="441"/>
        <v>44.6403712296984</v>
      </c>
      <c r="U849" s="76"/>
      <c r="V849" s="76"/>
      <c r="W849" s="78">
        <f t="shared" ref="W849:W882" si="456">SUM(R849:V849)</f>
        <v>23404.649033256</v>
      </c>
      <c r="X849" s="79">
        <f t="shared" si="442"/>
        <v>391.641136890951</v>
      </c>
      <c r="Y849" s="79"/>
      <c r="Z849" s="79"/>
      <c r="AA849" s="79">
        <f t="shared" ref="AA849:AA882" si="457">SUM(X849:Z849)</f>
        <v>391.641136890951</v>
      </c>
      <c r="AB849" s="90">
        <v>7.15</v>
      </c>
      <c r="AC849" s="76">
        <f t="shared" ref="AC849:AC882" si="458">SUM(AA849*AB849)</f>
        <v>2800.2341287703</v>
      </c>
      <c r="AD849" s="76">
        <f t="shared" ref="AD849:AD882" si="459">SUM(W849+AC849)</f>
        <v>26204.8831620263</v>
      </c>
      <c r="AE849" s="76">
        <f t="shared" ref="AE849:AE882" si="460">SUM(O849-AD849)</f>
        <v>-1192.8961620263</v>
      </c>
    </row>
    <row r="850" customFormat="1" spans="1:31">
      <c r="A850" s="18" t="s">
        <v>520</v>
      </c>
      <c r="B850" s="19" t="s">
        <v>521</v>
      </c>
      <c r="C850" s="20">
        <v>240819000016</v>
      </c>
      <c r="D850" s="21">
        <v>45537</v>
      </c>
      <c r="E850" s="21" t="s">
        <v>41</v>
      </c>
      <c r="F850" s="19" t="s">
        <v>42</v>
      </c>
      <c r="G850" s="19" t="s">
        <v>522</v>
      </c>
      <c r="H850" s="19">
        <v>386.5</v>
      </c>
      <c r="I850" s="51">
        <v>26914</v>
      </c>
      <c r="J850" s="52"/>
      <c r="K850" s="45"/>
      <c r="L850" s="19"/>
      <c r="M850" s="45"/>
      <c r="N850" s="48"/>
      <c r="O850" s="49">
        <f t="shared" ref="O850:O858" si="461">SUM(I850)</f>
        <v>26914</v>
      </c>
      <c r="P850" s="50">
        <f>SUM(O850:O882)</f>
        <v>109567.76950715</v>
      </c>
      <c r="Q850" s="50" t="s">
        <v>40</v>
      </c>
      <c r="R850" s="76">
        <f>SUM(77682/1902)*H850</f>
        <v>15785.5378548896</v>
      </c>
      <c r="S850" s="76"/>
      <c r="T850" s="77">
        <f>SUM(180.15/1902)*H850</f>
        <v>36.6077681388013</v>
      </c>
      <c r="U850" s="76"/>
      <c r="V850" s="77">
        <v>12</v>
      </c>
      <c r="W850" s="78">
        <f t="shared" si="456"/>
        <v>15834.1456230284</v>
      </c>
      <c r="X850" s="79">
        <f>SUM(1424.18/1902)*H850</f>
        <v>289.403559411146</v>
      </c>
      <c r="Y850" s="79">
        <v>37.76</v>
      </c>
      <c r="Z850" s="79"/>
      <c r="AA850" s="79">
        <f t="shared" si="457"/>
        <v>327.163559411146</v>
      </c>
      <c r="AB850" s="90">
        <v>7.15</v>
      </c>
      <c r="AC850" s="76">
        <f t="shared" si="458"/>
        <v>2339.21944978969</v>
      </c>
      <c r="AD850" s="76">
        <f t="shared" si="459"/>
        <v>18173.3650728181</v>
      </c>
      <c r="AE850" s="76">
        <f t="shared" si="460"/>
        <v>8740.63492718191</v>
      </c>
    </row>
    <row r="851" customFormat="1" spans="1:31">
      <c r="A851" s="18"/>
      <c r="B851" s="19"/>
      <c r="C851" s="20">
        <v>240822000007</v>
      </c>
      <c r="D851" s="21">
        <v>45537</v>
      </c>
      <c r="E851" s="21" t="s">
        <v>41</v>
      </c>
      <c r="F851" s="19" t="s">
        <v>42</v>
      </c>
      <c r="G851" s="19" t="s">
        <v>116</v>
      </c>
      <c r="H851" s="19">
        <v>4</v>
      </c>
      <c r="I851" s="51">
        <v>243</v>
      </c>
      <c r="J851" s="52"/>
      <c r="K851" s="45"/>
      <c r="L851" s="19"/>
      <c r="M851" s="45"/>
      <c r="N851" s="48"/>
      <c r="O851" s="49">
        <f t="shared" si="461"/>
        <v>243</v>
      </c>
      <c r="P851" s="53"/>
      <c r="Q851" s="53"/>
      <c r="R851" s="76">
        <f t="shared" ref="R851:R882" si="462">SUM(77682/1902)*H851</f>
        <v>163.369085173502</v>
      </c>
      <c r="S851" s="76"/>
      <c r="T851" s="77">
        <f t="shared" ref="T851:T882" si="463">SUM(180.15/1902)*H851</f>
        <v>0.378864353312303</v>
      </c>
      <c r="U851" s="76"/>
      <c r="V851" s="76"/>
      <c r="W851" s="78">
        <f t="shared" si="456"/>
        <v>163.747949526814</v>
      </c>
      <c r="X851" s="79">
        <f t="shared" ref="X851:X882" si="464">SUM(1424.18/1902)*H851</f>
        <v>2.99512092534175</v>
      </c>
      <c r="Y851" s="79"/>
      <c r="Z851" s="79"/>
      <c r="AA851" s="79">
        <f t="shared" si="457"/>
        <v>2.99512092534175</v>
      </c>
      <c r="AB851" s="90">
        <v>7.15</v>
      </c>
      <c r="AC851" s="76">
        <f t="shared" si="458"/>
        <v>21.4151146161935</v>
      </c>
      <c r="AD851" s="76">
        <f t="shared" si="459"/>
        <v>185.163064143007</v>
      </c>
      <c r="AE851" s="76">
        <f t="shared" si="460"/>
        <v>57.8369358569926</v>
      </c>
    </row>
    <row r="852" customFormat="1" spans="1:31">
      <c r="A852" s="18"/>
      <c r="B852" s="19"/>
      <c r="C852" s="20">
        <v>240823000044</v>
      </c>
      <c r="D852" s="21">
        <v>45537</v>
      </c>
      <c r="E852" s="21" t="s">
        <v>41</v>
      </c>
      <c r="F852" s="19" t="s">
        <v>42</v>
      </c>
      <c r="G852" s="19" t="s">
        <v>523</v>
      </c>
      <c r="H852" s="19">
        <v>31.5</v>
      </c>
      <c r="I852" s="57">
        <v>1906</v>
      </c>
      <c r="J852" s="52"/>
      <c r="K852" s="45"/>
      <c r="L852" s="19"/>
      <c r="M852" s="45"/>
      <c r="N852" s="48"/>
      <c r="O852" s="49">
        <f>SUBTOTAL(9,I852)</f>
        <v>1906</v>
      </c>
      <c r="P852" s="53"/>
      <c r="Q852" s="53"/>
      <c r="R852" s="76">
        <f t="shared" si="462"/>
        <v>1286.53154574133</v>
      </c>
      <c r="S852" s="76"/>
      <c r="T852" s="77">
        <f t="shared" si="463"/>
        <v>2.98355678233438</v>
      </c>
      <c r="U852" s="76"/>
      <c r="V852" s="76"/>
      <c r="W852" s="78">
        <f t="shared" si="456"/>
        <v>1289.51510252366</v>
      </c>
      <c r="X852" s="79">
        <f t="shared" si="464"/>
        <v>23.5865772870662</v>
      </c>
      <c r="Y852" s="79"/>
      <c r="Z852" s="79"/>
      <c r="AA852" s="79">
        <f t="shared" si="457"/>
        <v>23.5865772870662</v>
      </c>
      <c r="AB852" s="90">
        <v>7.15</v>
      </c>
      <c r="AC852" s="76">
        <f t="shared" si="458"/>
        <v>168.644027602524</v>
      </c>
      <c r="AD852" s="76">
        <f t="shared" si="459"/>
        <v>1458.15913012618</v>
      </c>
      <c r="AE852" s="76">
        <f t="shared" si="460"/>
        <v>447.84086987382</v>
      </c>
    </row>
    <row r="853" customFormat="1" spans="1:31">
      <c r="A853" s="18"/>
      <c r="B853" s="19"/>
      <c r="C853" s="20">
        <v>240824000005</v>
      </c>
      <c r="D853" s="21">
        <v>45537</v>
      </c>
      <c r="E853" s="21" t="s">
        <v>41</v>
      </c>
      <c r="F853" s="19" t="s">
        <v>42</v>
      </c>
      <c r="G853" s="19" t="s">
        <v>81</v>
      </c>
      <c r="H853" s="19">
        <v>10</v>
      </c>
      <c r="I853" s="43"/>
      <c r="J853" s="44">
        <v>139380</v>
      </c>
      <c r="K853" s="45"/>
      <c r="L853" s="46">
        <f>SUM(J853/M853)</f>
        <v>1644.6017699115</v>
      </c>
      <c r="M853" s="47">
        <v>84.75</v>
      </c>
      <c r="N853" s="48">
        <v>7.15</v>
      </c>
      <c r="O853" s="49">
        <f>SUM(M853*N853)</f>
        <v>605.9625</v>
      </c>
      <c r="P853" s="53"/>
      <c r="Q853" s="53"/>
      <c r="R853" s="76">
        <f t="shared" si="462"/>
        <v>408.422712933754</v>
      </c>
      <c r="S853" s="76"/>
      <c r="T853" s="77">
        <f t="shared" si="463"/>
        <v>0.947160883280757</v>
      </c>
      <c r="U853" s="76">
        <v>30</v>
      </c>
      <c r="V853" s="76"/>
      <c r="W853" s="78">
        <f t="shared" si="456"/>
        <v>439.369873817035</v>
      </c>
      <c r="X853" s="79">
        <f t="shared" si="464"/>
        <v>7.48780231335436</v>
      </c>
      <c r="Y853" s="79"/>
      <c r="Z853" s="79"/>
      <c r="AA853" s="79">
        <f t="shared" si="457"/>
        <v>7.48780231335436</v>
      </c>
      <c r="AB853" s="90">
        <v>7.15</v>
      </c>
      <c r="AC853" s="76">
        <f t="shared" si="458"/>
        <v>53.5377865404837</v>
      </c>
      <c r="AD853" s="76">
        <f t="shared" si="459"/>
        <v>492.907660357518</v>
      </c>
      <c r="AE853" s="76">
        <f t="shared" si="460"/>
        <v>113.054839642482</v>
      </c>
    </row>
    <row r="854" customFormat="1" spans="1:31">
      <c r="A854" s="18"/>
      <c r="B854" s="19"/>
      <c r="C854" s="20">
        <v>240825000011</v>
      </c>
      <c r="D854" s="21">
        <v>45537</v>
      </c>
      <c r="E854" s="21" t="s">
        <v>57</v>
      </c>
      <c r="F854" s="19" t="s">
        <v>57</v>
      </c>
      <c r="G854" s="19" t="s">
        <v>494</v>
      </c>
      <c r="H854" s="19">
        <v>2</v>
      </c>
      <c r="I854" s="51">
        <v>135</v>
      </c>
      <c r="J854" s="52"/>
      <c r="K854" s="45"/>
      <c r="L854" s="19"/>
      <c r="M854" s="45"/>
      <c r="N854" s="48"/>
      <c r="O854" s="49">
        <f t="shared" si="461"/>
        <v>135</v>
      </c>
      <c r="P854" s="53"/>
      <c r="Q854" s="53"/>
      <c r="R854" s="76">
        <f t="shared" si="462"/>
        <v>81.6845425867508</v>
      </c>
      <c r="S854" s="76"/>
      <c r="T854" s="77">
        <f t="shared" si="463"/>
        <v>0.189432176656151</v>
      </c>
      <c r="U854" s="76"/>
      <c r="V854" s="76"/>
      <c r="W854" s="78">
        <f t="shared" si="456"/>
        <v>81.8739747634069</v>
      </c>
      <c r="X854" s="79">
        <f t="shared" si="464"/>
        <v>1.49756046267087</v>
      </c>
      <c r="Y854" s="79"/>
      <c r="Z854" s="79"/>
      <c r="AA854" s="79">
        <f t="shared" si="457"/>
        <v>1.49756046267087</v>
      </c>
      <c r="AB854" s="90">
        <v>7.15</v>
      </c>
      <c r="AC854" s="76">
        <f t="shared" si="458"/>
        <v>10.7075573080967</v>
      </c>
      <c r="AD854" s="76">
        <f t="shared" si="459"/>
        <v>92.5815320715037</v>
      </c>
      <c r="AE854" s="76">
        <f t="shared" si="460"/>
        <v>42.4184679284963</v>
      </c>
    </row>
    <row r="855" customFormat="1" spans="1:31">
      <c r="A855" s="18"/>
      <c r="B855" s="19"/>
      <c r="C855" s="20">
        <v>240825000016</v>
      </c>
      <c r="D855" s="21">
        <v>45537</v>
      </c>
      <c r="E855" s="21" t="s">
        <v>37</v>
      </c>
      <c r="F855" s="19" t="s">
        <v>38</v>
      </c>
      <c r="G855" s="19" t="s">
        <v>438</v>
      </c>
      <c r="H855" s="19">
        <v>7</v>
      </c>
      <c r="I855" s="51">
        <v>477</v>
      </c>
      <c r="J855" s="52"/>
      <c r="K855" s="45"/>
      <c r="L855" s="19"/>
      <c r="M855" s="45"/>
      <c r="N855" s="48"/>
      <c r="O855" s="49">
        <f t="shared" si="461"/>
        <v>477</v>
      </c>
      <c r="P855" s="53"/>
      <c r="Q855" s="53"/>
      <c r="R855" s="76">
        <f t="shared" si="462"/>
        <v>285.895899053628</v>
      </c>
      <c r="S855" s="76"/>
      <c r="T855" s="77">
        <f t="shared" si="463"/>
        <v>0.66301261829653</v>
      </c>
      <c r="U855" s="76"/>
      <c r="V855" s="76"/>
      <c r="W855" s="78">
        <f t="shared" si="456"/>
        <v>286.558911671924</v>
      </c>
      <c r="X855" s="79">
        <f t="shared" si="464"/>
        <v>5.24146161934805</v>
      </c>
      <c r="Y855" s="79"/>
      <c r="Z855" s="79"/>
      <c r="AA855" s="79">
        <f t="shared" si="457"/>
        <v>5.24146161934805</v>
      </c>
      <c r="AB855" s="90">
        <v>7.15</v>
      </c>
      <c r="AC855" s="76">
        <f t="shared" si="458"/>
        <v>37.4764505783386</v>
      </c>
      <c r="AD855" s="76">
        <f t="shared" si="459"/>
        <v>324.035362250263</v>
      </c>
      <c r="AE855" s="76">
        <f t="shared" si="460"/>
        <v>152.964637749737</v>
      </c>
    </row>
    <row r="856" customFormat="1" spans="1:31">
      <c r="A856" s="18"/>
      <c r="B856" s="19"/>
      <c r="C856" s="20">
        <v>240826000002</v>
      </c>
      <c r="D856" s="21">
        <v>45537</v>
      </c>
      <c r="E856" s="21" t="s">
        <v>44</v>
      </c>
      <c r="F856" s="19" t="s">
        <v>45</v>
      </c>
      <c r="G856" s="19" t="s">
        <v>120</v>
      </c>
      <c r="H856" s="19">
        <v>2.5</v>
      </c>
      <c r="I856" s="51">
        <v>153</v>
      </c>
      <c r="J856" s="52"/>
      <c r="K856" s="45"/>
      <c r="L856" s="19"/>
      <c r="M856" s="45"/>
      <c r="N856" s="48"/>
      <c r="O856" s="49">
        <f t="shared" si="461"/>
        <v>153</v>
      </c>
      <c r="P856" s="53"/>
      <c r="Q856" s="53"/>
      <c r="R856" s="76">
        <f t="shared" si="462"/>
        <v>102.105678233438</v>
      </c>
      <c r="S856" s="76"/>
      <c r="T856" s="77">
        <f t="shared" si="463"/>
        <v>0.236790220820189</v>
      </c>
      <c r="U856" s="76"/>
      <c r="V856" s="76"/>
      <c r="W856" s="78">
        <f t="shared" si="456"/>
        <v>102.342468454259</v>
      </c>
      <c r="X856" s="79">
        <f t="shared" si="464"/>
        <v>1.87195057833859</v>
      </c>
      <c r="Y856" s="79"/>
      <c r="Z856" s="79"/>
      <c r="AA856" s="79">
        <f t="shared" si="457"/>
        <v>1.87195057833859</v>
      </c>
      <c r="AB856" s="90">
        <v>7.15</v>
      </c>
      <c r="AC856" s="76">
        <f t="shared" si="458"/>
        <v>13.3844466351209</v>
      </c>
      <c r="AD856" s="76">
        <f t="shared" si="459"/>
        <v>115.72691508938</v>
      </c>
      <c r="AE856" s="76">
        <f t="shared" si="460"/>
        <v>37.2730849106204</v>
      </c>
    </row>
    <row r="857" customFormat="1" spans="1:31">
      <c r="A857" s="18"/>
      <c r="B857" s="19"/>
      <c r="C857" s="20">
        <v>240826000012</v>
      </c>
      <c r="D857" s="21">
        <v>45537</v>
      </c>
      <c r="E857" s="21" t="s">
        <v>51</v>
      </c>
      <c r="F857" s="19" t="s">
        <v>52</v>
      </c>
      <c r="G857" s="19" t="s">
        <v>481</v>
      </c>
      <c r="H857" s="19">
        <v>9.5</v>
      </c>
      <c r="I857" s="51">
        <v>547.5</v>
      </c>
      <c r="J857" s="52"/>
      <c r="K857" s="45"/>
      <c r="L857" s="19"/>
      <c r="M857" s="45"/>
      <c r="N857" s="48"/>
      <c r="O857" s="49">
        <f t="shared" si="461"/>
        <v>547.5</v>
      </c>
      <c r="P857" s="53"/>
      <c r="Q857" s="53"/>
      <c r="R857" s="76">
        <f t="shared" si="462"/>
        <v>388.001577287066</v>
      </c>
      <c r="S857" s="76"/>
      <c r="T857" s="77">
        <f t="shared" si="463"/>
        <v>0.899802839116719</v>
      </c>
      <c r="U857" s="76"/>
      <c r="V857" s="76"/>
      <c r="W857" s="78">
        <f t="shared" si="456"/>
        <v>388.901380126183</v>
      </c>
      <c r="X857" s="79">
        <f t="shared" si="464"/>
        <v>7.11341219768665</v>
      </c>
      <c r="Y857" s="79"/>
      <c r="Z857" s="79"/>
      <c r="AA857" s="79">
        <f t="shared" si="457"/>
        <v>7.11341219768665</v>
      </c>
      <c r="AB857" s="90">
        <v>7.15</v>
      </c>
      <c r="AC857" s="76">
        <f t="shared" si="458"/>
        <v>50.8608972134595</v>
      </c>
      <c r="AD857" s="76">
        <f t="shared" si="459"/>
        <v>439.762277339642</v>
      </c>
      <c r="AE857" s="76">
        <f t="shared" si="460"/>
        <v>107.737722660358</v>
      </c>
    </row>
    <row r="858" customFormat="1" spans="1:31">
      <c r="A858" s="18"/>
      <c r="B858" s="19"/>
      <c r="C858" s="20">
        <v>240826000014</v>
      </c>
      <c r="D858" s="21">
        <v>45537</v>
      </c>
      <c r="E858" s="21" t="s">
        <v>51</v>
      </c>
      <c r="F858" s="19" t="s">
        <v>52</v>
      </c>
      <c r="G858" s="19" t="s">
        <v>481</v>
      </c>
      <c r="H858" s="19">
        <v>14</v>
      </c>
      <c r="I858" s="51">
        <v>804</v>
      </c>
      <c r="J858" s="52"/>
      <c r="K858" s="45"/>
      <c r="L858" s="19"/>
      <c r="M858" s="45"/>
      <c r="N858" s="48"/>
      <c r="O858" s="49">
        <f t="shared" si="461"/>
        <v>804</v>
      </c>
      <c r="P858" s="53"/>
      <c r="Q858" s="53"/>
      <c r="R858" s="76">
        <f t="shared" si="462"/>
        <v>571.791798107256</v>
      </c>
      <c r="S858" s="76"/>
      <c r="T858" s="77">
        <f t="shared" si="463"/>
        <v>1.32602523659306</v>
      </c>
      <c r="U858" s="76"/>
      <c r="V858" s="76"/>
      <c r="W858" s="78">
        <f t="shared" si="456"/>
        <v>573.117823343849</v>
      </c>
      <c r="X858" s="79">
        <f t="shared" si="464"/>
        <v>10.4829232386961</v>
      </c>
      <c r="Y858" s="79"/>
      <c r="Z858" s="79"/>
      <c r="AA858" s="79">
        <f t="shared" si="457"/>
        <v>10.4829232386961</v>
      </c>
      <c r="AB858" s="90">
        <v>7.15</v>
      </c>
      <c r="AC858" s="76">
        <f t="shared" si="458"/>
        <v>74.9529011566772</v>
      </c>
      <c r="AD858" s="76">
        <f t="shared" si="459"/>
        <v>648.070724500526</v>
      </c>
      <c r="AE858" s="76">
        <f t="shared" si="460"/>
        <v>155.929275499474</v>
      </c>
    </row>
    <row r="859" customFormat="1" spans="1:31">
      <c r="A859" s="18"/>
      <c r="B859" s="19"/>
      <c r="C859" s="20">
        <v>240826000023</v>
      </c>
      <c r="D859" s="21">
        <v>45537</v>
      </c>
      <c r="E859" s="21" t="s">
        <v>51</v>
      </c>
      <c r="F859" s="19" t="s">
        <v>52</v>
      </c>
      <c r="G859" s="19" t="s">
        <v>171</v>
      </c>
      <c r="H859" s="19">
        <v>264</v>
      </c>
      <c r="I859" s="49"/>
      <c r="J859" s="44">
        <v>3345408</v>
      </c>
      <c r="K859" s="45"/>
      <c r="L859" s="46">
        <f t="shared" ref="L859:L862" si="465">SUM(J859/M859)</f>
        <v>1760</v>
      </c>
      <c r="M859" s="47">
        <v>1900.8</v>
      </c>
      <c r="N859" s="48">
        <v>7.15</v>
      </c>
      <c r="O859" s="49">
        <f t="shared" ref="O859:O862" si="466">SUM(M859*N859)</f>
        <v>13590.72</v>
      </c>
      <c r="P859" s="53"/>
      <c r="Q859" s="53"/>
      <c r="R859" s="76">
        <f t="shared" si="462"/>
        <v>10782.3596214511</v>
      </c>
      <c r="S859" s="76"/>
      <c r="T859" s="77">
        <f t="shared" si="463"/>
        <v>25.005047318612</v>
      </c>
      <c r="U859" s="76"/>
      <c r="V859" s="76"/>
      <c r="W859" s="78">
        <f t="shared" si="456"/>
        <v>10807.3646687697</v>
      </c>
      <c r="X859" s="79">
        <f t="shared" si="464"/>
        <v>197.677981072555</v>
      </c>
      <c r="Y859" s="79"/>
      <c r="Z859" s="79"/>
      <c r="AA859" s="79">
        <f t="shared" si="457"/>
        <v>197.677981072555</v>
      </c>
      <c r="AB859" s="90">
        <v>7.15</v>
      </c>
      <c r="AC859" s="76">
        <f t="shared" si="458"/>
        <v>1413.39756466877</v>
      </c>
      <c r="AD859" s="76">
        <f t="shared" si="459"/>
        <v>12220.7622334385</v>
      </c>
      <c r="AE859" s="76">
        <f t="shared" si="460"/>
        <v>1369.95776656151</v>
      </c>
    </row>
    <row r="860" customFormat="1" spans="1:31">
      <c r="A860" s="18"/>
      <c r="B860" s="19"/>
      <c r="C860" s="20">
        <v>240826000024</v>
      </c>
      <c r="D860" s="21">
        <v>45537</v>
      </c>
      <c r="E860" s="21" t="s">
        <v>37</v>
      </c>
      <c r="F860" s="19" t="s">
        <v>38</v>
      </c>
      <c r="G860" s="19" t="s">
        <v>64</v>
      </c>
      <c r="H860" s="19">
        <v>1.5</v>
      </c>
      <c r="I860" s="43"/>
      <c r="J860" s="44">
        <v>22785</v>
      </c>
      <c r="K860" s="45"/>
      <c r="L860" s="46">
        <f t="shared" si="465"/>
        <v>1752.69230769231</v>
      </c>
      <c r="M860" s="47">
        <v>13</v>
      </c>
      <c r="N860" s="48">
        <v>7.15</v>
      </c>
      <c r="O860" s="49">
        <f t="shared" si="466"/>
        <v>92.95</v>
      </c>
      <c r="P860" s="53"/>
      <c r="Q860" s="53"/>
      <c r="R860" s="76">
        <f t="shared" si="462"/>
        <v>61.2634069400631</v>
      </c>
      <c r="S860" s="76"/>
      <c r="T860" s="77">
        <f t="shared" si="463"/>
        <v>0.142074132492114</v>
      </c>
      <c r="U860" s="76"/>
      <c r="V860" s="76"/>
      <c r="W860" s="78">
        <f t="shared" si="456"/>
        <v>61.4054810725552</v>
      </c>
      <c r="X860" s="79">
        <f t="shared" si="464"/>
        <v>1.12317034700315</v>
      </c>
      <c r="Y860" s="79"/>
      <c r="Z860" s="79"/>
      <c r="AA860" s="79">
        <f t="shared" si="457"/>
        <v>1.12317034700315</v>
      </c>
      <c r="AB860" s="90">
        <v>7.15</v>
      </c>
      <c r="AC860" s="76">
        <f t="shared" si="458"/>
        <v>8.03066798107256</v>
      </c>
      <c r="AD860" s="76">
        <f t="shared" si="459"/>
        <v>69.4361490536278</v>
      </c>
      <c r="AE860" s="76">
        <f t="shared" si="460"/>
        <v>23.5138509463722</v>
      </c>
    </row>
    <row r="861" customFormat="1" spans="1:31">
      <c r="A861" s="18"/>
      <c r="B861" s="19"/>
      <c r="C861" s="20">
        <v>240826000030</v>
      </c>
      <c r="D861" s="21">
        <v>45537</v>
      </c>
      <c r="E861" s="21" t="s">
        <v>51</v>
      </c>
      <c r="F861" s="19" t="s">
        <v>52</v>
      </c>
      <c r="G861" s="19" t="s">
        <v>171</v>
      </c>
      <c r="H861" s="19">
        <v>239.5</v>
      </c>
      <c r="I861" s="49"/>
      <c r="J861" s="44">
        <v>3205664</v>
      </c>
      <c r="K861" s="45"/>
      <c r="L861" s="46">
        <f t="shared" si="465"/>
        <v>1760</v>
      </c>
      <c r="M861" s="47">
        <v>1821.4</v>
      </c>
      <c r="N861" s="48">
        <v>7.15</v>
      </c>
      <c r="O861" s="49">
        <f t="shared" si="466"/>
        <v>13023.01</v>
      </c>
      <c r="P861" s="53"/>
      <c r="Q861" s="53"/>
      <c r="R861" s="76">
        <f t="shared" si="462"/>
        <v>9781.72397476341</v>
      </c>
      <c r="S861" s="76"/>
      <c r="T861" s="77">
        <f t="shared" si="463"/>
        <v>22.6845031545741</v>
      </c>
      <c r="U861" s="76"/>
      <c r="V861" s="76"/>
      <c r="W861" s="78">
        <f t="shared" si="456"/>
        <v>9804.40847791798</v>
      </c>
      <c r="X861" s="79">
        <f t="shared" si="464"/>
        <v>179.332865404837</v>
      </c>
      <c r="Y861" s="79"/>
      <c r="Z861" s="79"/>
      <c r="AA861" s="79">
        <f t="shared" si="457"/>
        <v>179.332865404837</v>
      </c>
      <c r="AB861" s="90">
        <v>7.15</v>
      </c>
      <c r="AC861" s="76">
        <f t="shared" si="458"/>
        <v>1282.22998764458</v>
      </c>
      <c r="AD861" s="76">
        <f t="shared" si="459"/>
        <v>11086.6384655626</v>
      </c>
      <c r="AE861" s="76">
        <f t="shared" si="460"/>
        <v>1936.37153443743</v>
      </c>
    </row>
    <row r="862" customFormat="1" spans="1:31">
      <c r="A862" s="18"/>
      <c r="B862" s="19"/>
      <c r="C862" s="20">
        <v>240826000042</v>
      </c>
      <c r="D862" s="21">
        <v>45537</v>
      </c>
      <c r="E862" s="21" t="s">
        <v>51</v>
      </c>
      <c r="F862" s="19" t="s">
        <v>52</v>
      </c>
      <c r="G862" s="19" t="s">
        <v>171</v>
      </c>
      <c r="H862" s="19">
        <v>80</v>
      </c>
      <c r="I862" s="49"/>
      <c r="J862" s="44">
        <v>1013760</v>
      </c>
      <c r="K862" s="45"/>
      <c r="L862" s="46">
        <f t="shared" si="465"/>
        <v>1760</v>
      </c>
      <c r="M862" s="47">
        <v>576</v>
      </c>
      <c r="N862" s="48">
        <v>7.15</v>
      </c>
      <c r="O862" s="49">
        <f t="shared" si="466"/>
        <v>4118.4</v>
      </c>
      <c r="P862" s="53"/>
      <c r="Q862" s="53"/>
      <c r="R862" s="76">
        <f t="shared" si="462"/>
        <v>3267.38170347003</v>
      </c>
      <c r="S862" s="76"/>
      <c r="T862" s="77">
        <f t="shared" si="463"/>
        <v>7.57728706624606</v>
      </c>
      <c r="U862" s="76"/>
      <c r="V862" s="76"/>
      <c r="W862" s="78">
        <f t="shared" si="456"/>
        <v>3274.95899053628</v>
      </c>
      <c r="X862" s="79">
        <f t="shared" si="464"/>
        <v>59.9024185068349</v>
      </c>
      <c r="Y862" s="79"/>
      <c r="Z862" s="79"/>
      <c r="AA862" s="79">
        <f t="shared" si="457"/>
        <v>59.9024185068349</v>
      </c>
      <c r="AB862" s="90">
        <v>7.15</v>
      </c>
      <c r="AC862" s="76">
        <f t="shared" si="458"/>
        <v>428.30229232387</v>
      </c>
      <c r="AD862" s="76">
        <f t="shared" si="459"/>
        <v>3703.26128286015</v>
      </c>
      <c r="AE862" s="76">
        <f t="shared" si="460"/>
        <v>415.138717139852</v>
      </c>
    </row>
    <row r="863" customFormat="1" spans="1:31">
      <c r="A863" s="18"/>
      <c r="B863" s="19"/>
      <c r="C863" s="20">
        <v>240826000046</v>
      </c>
      <c r="D863" s="21">
        <v>45537</v>
      </c>
      <c r="E863" s="21" t="s">
        <v>41</v>
      </c>
      <c r="F863" s="19" t="s">
        <v>42</v>
      </c>
      <c r="G863" s="19" t="s">
        <v>166</v>
      </c>
      <c r="H863" s="19">
        <v>3.5</v>
      </c>
      <c r="I863" s="51">
        <v>213</v>
      </c>
      <c r="J863" s="52"/>
      <c r="K863" s="45"/>
      <c r="L863" s="19"/>
      <c r="M863" s="45"/>
      <c r="N863" s="48"/>
      <c r="O863" s="49">
        <f t="shared" ref="O863:O878" si="467">SUM(I863)</f>
        <v>213</v>
      </c>
      <c r="P863" s="53"/>
      <c r="Q863" s="53"/>
      <c r="R863" s="76">
        <f t="shared" si="462"/>
        <v>142.947949526814</v>
      </c>
      <c r="S863" s="76"/>
      <c r="T863" s="77">
        <f t="shared" si="463"/>
        <v>0.331506309148265</v>
      </c>
      <c r="U863" s="76"/>
      <c r="V863" s="76"/>
      <c r="W863" s="78">
        <f t="shared" si="456"/>
        <v>143.279455835962</v>
      </c>
      <c r="X863" s="79">
        <f t="shared" si="464"/>
        <v>2.62073080967403</v>
      </c>
      <c r="Y863" s="79"/>
      <c r="Z863" s="79"/>
      <c r="AA863" s="79">
        <f t="shared" si="457"/>
        <v>2.62073080967403</v>
      </c>
      <c r="AB863" s="90">
        <v>7.15</v>
      </c>
      <c r="AC863" s="76">
        <f t="shared" si="458"/>
        <v>18.7382252891693</v>
      </c>
      <c r="AD863" s="76">
        <f t="shared" si="459"/>
        <v>162.017681125131</v>
      </c>
      <c r="AE863" s="76">
        <f t="shared" si="460"/>
        <v>50.9823188748686</v>
      </c>
    </row>
    <row r="864" customFormat="1" spans="1:31">
      <c r="A864" s="18"/>
      <c r="B864" s="19"/>
      <c r="C864" s="20">
        <v>240826000047</v>
      </c>
      <c r="D864" s="21">
        <v>45537</v>
      </c>
      <c r="E864" s="21" t="s">
        <v>41</v>
      </c>
      <c r="F864" s="19" t="s">
        <v>42</v>
      </c>
      <c r="G864" s="19" t="s">
        <v>81</v>
      </c>
      <c r="H864" s="19">
        <v>3.5</v>
      </c>
      <c r="I864" s="43"/>
      <c r="J864" s="44">
        <v>48990</v>
      </c>
      <c r="K864" s="45"/>
      <c r="L864" s="46">
        <f>SUM(J864/M864)</f>
        <v>1644.51158106747</v>
      </c>
      <c r="M864" s="47">
        <v>29.79</v>
      </c>
      <c r="N864" s="48">
        <v>7.15</v>
      </c>
      <c r="O864" s="49">
        <f t="shared" ref="O864:O867" si="468">SUM(M864*N864)</f>
        <v>212.9985</v>
      </c>
      <c r="P864" s="53"/>
      <c r="Q864" s="53"/>
      <c r="R864" s="76">
        <f t="shared" si="462"/>
        <v>142.947949526814</v>
      </c>
      <c r="S864" s="76"/>
      <c r="T864" s="77">
        <f t="shared" si="463"/>
        <v>0.331506309148265</v>
      </c>
      <c r="U864" s="76"/>
      <c r="V864" s="76"/>
      <c r="W864" s="78">
        <f t="shared" si="456"/>
        <v>143.279455835962</v>
      </c>
      <c r="X864" s="79">
        <f t="shared" si="464"/>
        <v>2.62073080967403</v>
      </c>
      <c r="Y864" s="79"/>
      <c r="Z864" s="79"/>
      <c r="AA864" s="79">
        <f t="shared" si="457"/>
        <v>2.62073080967403</v>
      </c>
      <c r="AB864" s="90">
        <v>7.15</v>
      </c>
      <c r="AC864" s="76">
        <f t="shared" si="458"/>
        <v>18.7382252891693</v>
      </c>
      <c r="AD864" s="76">
        <f t="shared" si="459"/>
        <v>162.017681125131</v>
      </c>
      <c r="AE864" s="76">
        <f t="shared" si="460"/>
        <v>50.9808188748686</v>
      </c>
    </row>
    <row r="865" customFormat="1" spans="1:31">
      <c r="A865" s="18"/>
      <c r="B865" s="19"/>
      <c r="C865" s="20">
        <v>240827000007</v>
      </c>
      <c r="D865" s="21">
        <v>45537</v>
      </c>
      <c r="E865" s="21" t="s">
        <v>41</v>
      </c>
      <c r="F865" s="19" t="s">
        <v>42</v>
      </c>
      <c r="G865" s="19" t="s">
        <v>524</v>
      </c>
      <c r="H865" s="19">
        <v>7</v>
      </c>
      <c r="I865" s="51">
        <v>405</v>
      </c>
      <c r="J865" s="52"/>
      <c r="K865" s="45"/>
      <c r="L865" s="19"/>
      <c r="M865" s="45"/>
      <c r="N865" s="48"/>
      <c r="O865" s="49">
        <f t="shared" si="467"/>
        <v>405</v>
      </c>
      <c r="P865" s="53"/>
      <c r="Q865" s="53"/>
      <c r="R865" s="76">
        <f t="shared" si="462"/>
        <v>285.895899053628</v>
      </c>
      <c r="S865" s="76"/>
      <c r="T865" s="77">
        <f t="shared" si="463"/>
        <v>0.66301261829653</v>
      </c>
      <c r="U865" s="76"/>
      <c r="V865" s="76"/>
      <c r="W865" s="78">
        <f t="shared" si="456"/>
        <v>286.558911671924</v>
      </c>
      <c r="X865" s="79">
        <f t="shared" si="464"/>
        <v>5.24146161934805</v>
      </c>
      <c r="Y865" s="79"/>
      <c r="Z865" s="79"/>
      <c r="AA865" s="79">
        <f t="shared" si="457"/>
        <v>5.24146161934805</v>
      </c>
      <c r="AB865" s="90">
        <v>7.15</v>
      </c>
      <c r="AC865" s="76">
        <f t="shared" si="458"/>
        <v>37.4764505783386</v>
      </c>
      <c r="AD865" s="76">
        <f t="shared" si="459"/>
        <v>324.035362250263</v>
      </c>
      <c r="AE865" s="76">
        <f t="shared" si="460"/>
        <v>80.9646377497371</v>
      </c>
    </row>
    <row r="866" customFormat="1" spans="1:31">
      <c r="A866" s="18"/>
      <c r="B866" s="19"/>
      <c r="C866" s="20">
        <v>240827000008</v>
      </c>
      <c r="D866" s="21">
        <v>45537</v>
      </c>
      <c r="E866" s="21" t="s">
        <v>37</v>
      </c>
      <c r="F866" s="19" t="s">
        <v>38</v>
      </c>
      <c r="G866" s="19" t="s">
        <v>470</v>
      </c>
      <c r="H866" s="19">
        <v>14</v>
      </c>
      <c r="I866" s="43"/>
      <c r="J866" s="44">
        <v>175560</v>
      </c>
      <c r="K866" s="45"/>
      <c r="L866" s="46">
        <f>SUM(J866/M866)</f>
        <v>1630.23493360572</v>
      </c>
      <c r="M866" s="47">
        <v>107.69</v>
      </c>
      <c r="N866" s="48">
        <v>7.15</v>
      </c>
      <c r="O866" s="49">
        <f t="shared" si="468"/>
        <v>769.9835</v>
      </c>
      <c r="P866" s="53"/>
      <c r="Q866" s="53"/>
      <c r="R866" s="76">
        <f t="shared" si="462"/>
        <v>571.791798107256</v>
      </c>
      <c r="S866" s="76"/>
      <c r="T866" s="77">
        <f t="shared" si="463"/>
        <v>1.32602523659306</v>
      </c>
      <c r="U866" s="76"/>
      <c r="V866" s="76"/>
      <c r="W866" s="78">
        <f t="shared" si="456"/>
        <v>573.117823343849</v>
      </c>
      <c r="X866" s="79">
        <f t="shared" si="464"/>
        <v>10.4829232386961</v>
      </c>
      <c r="Y866" s="79"/>
      <c r="Z866" s="79"/>
      <c r="AA866" s="79">
        <f t="shared" si="457"/>
        <v>10.4829232386961</v>
      </c>
      <c r="AB866" s="90">
        <v>7.15</v>
      </c>
      <c r="AC866" s="76">
        <f t="shared" si="458"/>
        <v>74.9529011566772</v>
      </c>
      <c r="AD866" s="76">
        <f t="shared" si="459"/>
        <v>648.070724500526</v>
      </c>
      <c r="AE866" s="76">
        <f t="shared" si="460"/>
        <v>121.912775499474</v>
      </c>
    </row>
    <row r="867" customFormat="1" spans="1:31">
      <c r="A867" s="18"/>
      <c r="B867" s="19"/>
      <c r="C867" s="20">
        <v>240827000012</v>
      </c>
      <c r="D867" s="21">
        <v>45537</v>
      </c>
      <c r="E867" s="21" t="s">
        <v>51</v>
      </c>
      <c r="F867" s="19" t="s">
        <v>52</v>
      </c>
      <c r="G867" s="19" t="s">
        <v>305</v>
      </c>
      <c r="H867" s="19">
        <v>4.5</v>
      </c>
      <c r="I867" s="49"/>
      <c r="J867" s="52"/>
      <c r="K867" s="47">
        <v>35.55</v>
      </c>
      <c r="L867" s="19"/>
      <c r="M867" s="47">
        <v>35.55</v>
      </c>
      <c r="N867" s="48">
        <v>7.15</v>
      </c>
      <c r="O867" s="49">
        <f t="shared" si="468"/>
        <v>254.1825</v>
      </c>
      <c r="P867" s="53"/>
      <c r="Q867" s="53"/>
      <c r="R867" s="76">
        <f t="shared" si="462"/>
        <v>183.790220820189</v>
      </c>
      <c r="S867" s="76"/>
      <c r="T867" s="77">
        <f t="shared" si="463"/>
        <v>0.426222397476341</v>
      </c>
      <c r="U867" s="76"/>
      <c r="V867" s="76"/>
      <c r="W867" s="78">
        <f t="shared" si="456"/>
        <v>184.216443217666</v>
      </c>
      <c r="X867" s="79">
        <f t="shared" si="464"/>
        <v>3.36951104100946</v>
      </c>
      <c r="Y867" s="79"/>
      <c r="Z867" s="79"/>
      <c r="AA867" s="79">
        <f t="shared" si="457"/>
        <v>3.36951104100946</v>
      </c>
      <c r="AB867" s="90">
        <v>7.15</v>
      </c>
      <c r="AC867" s="76">
        <f t="shared" si="458"/>
        <v>24.0920039432177</v>
      </c>
      <c r="AD867" s="76">
        <f t="shared" si="459"/>
        <v>208.308447160883</v>
      </c>
      <c r="AE867" s="76">
        <f t="shared" si="460"/>
        <v>45.8740528391167</v>
      </c>
    </row>
    <row r="868" customFormat="1" spans="1:31">
      <c r="A868" s="18"/>
      <c r="B868" s="19"/>
      <c r="C868" s="20">
        <v>240827000019</v>
      </c>
      <c r="D868" s="21">
        <v>45537</v>
      </c>
      <c r="E868" s="21" t="s">
        <v>44</v>
      </c>
      <c r="F868" s="19" t="s">
        <v>45</v>
      </c>
      <c r="G868" s="19" t="s">
        <v>262</v>
      </c>
      <c r="H868" s="19">
        <v>0.42</v>
      </c>
      <c r="I868" s="51">
        <v>51</v>
      </c>
      <c r="J868" s="52"/>
      <c r="K868" s="45"/>
      <c r="L868" s="19"/>
      <c r="M868" s="45"/>
      <c r="N868" s="48"/>
      <c r="O868" s="49">
        <f t="shared" si="467"/>
        <v>51</v>
      </c>
      <c r="P868" s="53"/>
      <c r="Q868" s="53"/>
      <c r="R868" s="76">
        <f t="shared" si="462"/>
        <v>17.1537539432177</v>
      </c>
      <c r="S868" s="76"/>
      <c r="T868" s="77">
        <f t="shared" si="463"/>
        <v>0.0397807570977918</v>
      </c>
      <c r="U868" s="76"/>
      <c r="V868" s="76"/>
      <c r="W868" s="78">
        <f t="shared" si="456"/>
        <v>17.1935347003155</v>
      </c>
      <c r="X868" s="79">
        <f t="shared" si="464"/>
        <v>0.314487697160883</v>
      </c>
      <c r="Y868" s="79"/>
      <c r="Z868" s="79"/>
      <c r="AA868" s="79">
        <f t="shared" si="457"/>
        <v>0.314487697160883</v>
      </c>
      <c r="AB868" s="90">
        <v>7.15</v>
      </c>
      <c r="AC868" s="76">
        <f t="shared" si="458"/>
        <v>2.24858703470032</v>
      </c>
      <c r="AD868" s="76">
        <f t="shared" si="459"/>
        <v>19.4421217350158</v>
      </c>
      <c r="AE868" s="76">
        <f t="shared" si="460"/>
        <v>31.5578782649842</v>
      </c>
    </row>
    <row r="869" customFormat="1" spans="1:31">
      <c r="A869" s="18"/>
      <c r="B869" s="19"/>
      <c r="C869" s="20">
        <v>240827000024</v>
      </c>
      <c r="D869" s="21">
        <v>45537</v>
      </c>
      <c r="E869" s="21" t="s">
        <v>37</v>
      </c>
      <c r="F869" s="19" t="s">
        <v>38</v>
      </c>
      <c r="G869" s="19" t="s">
        <v>525</v>
      </c>
      <c r="H869" s="19">
        <v>338</v>
      </c>
      <c r="I869" s="51">
        <v>16513.5</v>
      </c>
      <c r="J869" s="52"/>
      <c r="K869" s="45"/>
      <c r="L869" s="19"/>
      <c r="M869" s="45"/>
      <c r="N869" s="48"/>
      <c r="O869" s="49">
        <f t="shared" si="467"/>
        <v>16513.5</v>
      </c>
      <c r="P869" s="53"/>
      <c r="Q869" s="53"/>
      <c r="R869" s="76">
        <f t="shared" si="462"/>
        <v>13804.6876971609</v>
      </c>
      <c r="S869" s="76"/>
      <c r="T869" s="77">
        <f t="shared" si="463"/>
        <v>32.0140378548896</v>
      </c>
      <c r="U869" s="76"/>
      <c r="V869" s="76"/>
      <c r="W869" s="78">
        <f t="shared" si="456"/>
        <v>13836.7017350158</v>
      </c>
      <c r="X869" s="79">
        <f t="shared" si="464"/>
        <v>253.087718191377</v>
      </c>
      <c r="Y869" s="79"/>
      <c r="Z869" s="79"/>
      <c r="AA869" s="79">
        <f t="shared" si="457"/>
        <v>253.087718191377</v>
      </c>
      <c r="AB869" s="90">
        <v>7.15</v>
      </c>
      <c r="AC869" s="76">
        <f t="shared" si="458"/>
        <v>1809.57718506835</v>
      </c>
      <c r="AD869" s="76">
        <f t="shared" si="459"/>
        <v>15646.2789200841</v>
      </c>
      <c r="AE869" s="76">
        <f t="shared" si="460"/>
        <v>867.221079915878</v>
      </c>
    </row>
    <row r="870" customFormat="1" spans="1:31">
      <c r="A870" s="18"/>
      <c r="B870" s="19"/>
      <c r="C870" s="20">
        <v>240827000030</v>
      </c>
      <c r="D870" s="21">
        <v>45537</v>
      </c>
      <c r="E870" s="21" t="s">
        <v>37</v>
      </c>
      <c r="F870" s="19" t="s">
        <v>38</v>
      </c>
      <c r="G870" s="19" t="s">
        <v>526</v>
      </c>
      <c r="H870" s="19">
        <v>6.5</v>
      </c>
      <c r="I870" s="51">
        <v>351</v>
      </c>
      <c r="J870" s="52"/>
      <c r="K870" s="45"/>
      <c r="L870" s="19"/>
      <c r="M870" s="45"/>
      <c r="N870" s="48"/>
      <c r="O870" s="49">
        <f t="shared" si="467"/>
        <v>351</v>
      </c>
      <c r="P870" s="53"/>
      <c r="Q870" s="53"/>
      <c r="R870" s="76">
        <f t="shared" si="462"/>
        <v>265.47476340694</v>
      </c>
      <c r="S870" s="76"/>
      <c r="T870" s="77">
        <f t="shared" si="463"/>
        <v>0.615654574132492</v>
      </c>
      <c r="U870" s="76"/>
      <c r="V870" s="76"/>
      <c r="W870" s="78">
        <f t="shared" si="456"/>
        <v>266.090417981073</v>
      </c>
      <c r="X870" s="79">
        <f t="shared" si="464"/>
        <v>4.86707150368034</v>
      </c>
      <c r="Y870" s="79"/>
      <c r="Z870" s="79"/>
      <c r="AA870" s="79">
        <f t="shared" si="457"/>
        <v>4.86707150368034</v>
      </c>
      <c r="AB870" s="90">
        <v>7.15</v>
      </c>
      <c r="AC870" s="76">
        <f t="shared" si="458"/>
        <v>34.7995612513144</v>
      </c>
      <c r="AD870" s="76">
        <f t="shared" si="459"/>
        <v>300.889979232387</v>
      </c>
      <c r="AE870" s="76">
        <f t="shared" si="460"/>
        <v>50.110020767613</v>
      </c>
    </row>
    <row r="871" customFormat="1" spans="1:31">
      <c r="A871" s="18"/>
      <c r="B871" s="19"/>
      <c r="C871" s="22">
        <v>240827000033</v>
      </c>
      <c r="D871" s="23">
        <v>45537</v>
      </c>
      <c r="E871" s="21" t="s">
        <v>44</v>
      </c>
      <c r="F871" s="24" t="s">
        <v>45</v>
      </c>
      <c r="G871" s="24" t="s">
        <v>262</v>
      </c>
      <c r="H871" s="24">
        <v>239</v>
      </c>
      <c r="I871" s="51">
        <v>13317</v>
      </c>
      <c r="J871" s="52"/>
      <c r="K871" s="45"/>
      <c r="L871" s="19"/>
      <c r="M871" s="45"/>
      <c r="N871" s="48"/>
      <c r="O871" s="49">
        <f t="shared" si="467"/>
        <v>13317</v>
      </c>
      <c r="P871" s="53"/>
      <c r="Q871" s="53"/>
      <c r="R871" s="76">
        <f t="shared" si="462"/>
        <v>9761.30283911672</v>
      </c>
      <c r="S871" s="76"/>
      <c r="T871" s="77">
        <f t="shared" si="463"/>
        <v>22.6371451104101</v>
      </c>
      <c r="U871" s="77">
        <v>650</v>
      </c>
      <c r="V871" s="76"/>
      <c r="W871" s="78">
        <f t="shared" si="456"/>
        <v>10433.9399842271</v>
      </c>
      <c r="X871" s="79">
        <f t="shared" si="464"/>
        <v>178.958475289169</v>
      </c>
      <c r="Y871" s="79"/>
      <c r="Z871" s="79"/>
      <c r="AA871" s="79">
        <f t="shared" si="457"/>
        <v>178.958475289169</v>
      </c>
      <c r="AB871" s="90">
        <v>7.15</v>
      </c>
      <c r="AC871" s="76">
        <f t="shared" si="458"/>
        <v>1279.55309831756</v>
      </c>
      <c r="AD871" s="76">
        <f t="shared" si="459"/>
        <v>11713.4930825447</v>
      </c>
      <c r="AE871" s="76">
        <f t="shared" si="460"/>
        <v>1603.50691745531</v>
      </c>
    </row>
    <row r="872" customFormat="1" spans="1:31">
      <c r="A872" s="18"/>
      <c r="B872" s="19"/>
      <c r="C872" s="20">
        <v>240827000038</v>
      </c>
      <c r="D872" s="21">
        <v>45537</v>
      </c>
      <c r="E872" s="21" t="s">
        <v>57</v>
      </c>
      <c r="F872" s="19" t="s">
        <v>57</v>
      </c>
      <c r="G872" s="19" t="s">
        <v>519</v>
      </c>
      <c r="H872" s="19">
        <v>99</v>
      </c>
      <c r="I872" s="51">
        <v>4851</v>
      </c>
      <c r="J872" s="52"/>
      <c r="K872" s="45"/>
      <c r="L872" s="19"/>
      <c r="M872" s="45"/>
      <c r="N872" s="48"/>
      <c r="O872" s="49">
        <f t="shared" si="467"/>
        <v>4851</v>
      </c>
      <c r="P872" s="53"/>
      <c r="Q872" s="53"/>
      <c r="R872" s="76">
        <f t="shared" si="462"/>
        <v>4043.38485804416</v>
      </c>
      <c r="S872" s="76"/>
      <c r="T872" s="77">
        <f t="shared" si="463"/>
        <v>9.37689274447949</v>
      </c>
      <c r="U872" s="76"/>
      <c r="V872" s="76"/>
      <c r="W872" s="78">
        <f t="shared" si="456"/>
        <v>4052.76175078864</v>
      </c>
      <c r="X872" s="79">
        <f t="shared" si="464"/>
        <v>74.1292429022082</v>
      </c>
      <c r="Y872" s="79"/>
      <c r="Z872" s="79"/>
      <c r="AA872" s="79">
        <f t="shared" si="457"/>
        <v>74.1292429022082</v>
      </c>
      <c r="AB872" s="90">
        <v>7.15</v>
      </c>
      <c r="AC872" s="76">
        <f t="shared" si="458"/>
        <v>530.024086750789</v>
      </c>
      <c r="AD872" s="76">
        <f t="shared" si="459"/>
        <v>4582.78583753943</v>
      </c>
      <c r="AE872" s="76">
        <f t="shared" si="460"/>
        <v>268.214162460567</v>
      </c>
    </row>
    <row r="873" customFormat="1" spans="1:31">
      <c r="A873" s="18"/>
      <c r="B873" s="19"/>
      <c r="C873" s="20">
        <v>240828000009</v>
      </c>
      <c r="D873" s="21">
        <v>45537</v>
      </c>
      <c r="E873" s="21" t="s">
        <v>44</v>
      </c>
      <c r="F873" s="19" t="s">
        <v>45</v>
      </c>
      <c r="G873" s="19" t="s">
        <v>412</v>
      </c>
      <c r="H873" s="19">
        <v>2</v>
      </c>
      <c r="I873" s="51">
        <v>123</v>
      </c>
      <c r="J873" s="52"/>
      <c r="K873" s="45"/>
      <c r="L873" s="19"/>
      <c r="M873" s="45"/>
      <c r="N873" s="48"/>
      <c r="O873" s="49">
        <f t="shared" si="467"/>
        <v>123</v>
      </c>
      <c r="P873" s="53"/>
      <c r="Q873" s="53"/>
      <c r="R873" s="76">
        <f t="shared" si="462"/>
        <v>81.6845425867508</v>
      </c>
      <c r="S873" s="76"/>
      <c r="T873" s="77">
        <f t="shared" si="463"/>
        <v>0.189432176656151</v>
      </c>
      <c r="U873" s="76"/>
      <c r="V873" s="76"/>
      <c r="W873" s="78">
        <f t="shared" si="456"/>
        <v>81.8739747634069</v>
      </c>
      <c r="X873" s="79">
        <f t="shared" si="464"/>
        <v>1.49756046267087</v>
      </c>
      <c r="Y873" s="79"/>
      <c r="Z873" s="79"/>
      <c r="AA873" s="79">
        <f t="shared" si="457"/>
        <v>1.49756046267087</v>
      </c>
      <c r="AB873" s="90">
        <v>7.15</v>
      </c>
      <c r="AC873" s="76">
        <f t="shared" si="458"/>
        <v>10.7075573080967</v>
      </c>
      <c r="AD873" s="76">
        <f t="shared" si="459"/>
        <v>92.5815320715037</v>
      </c>
      <c r="AE873" s="76">
        <f t="shared" si="460"/>
        <v>30.4184679284963</v>
      </c>
    </row>
    <row r="874" customFormat="1" spans="1:31">
      <c r="A874" s="18"/>
      <c r="B874" s="19"/>
      <c r="C874" s="20">
        <v>240828000010</v>
      </c>
      <c r="D874" s="21">
        <v>45537</v>
      </c>
      <c r="E874" s="21" t="s">
        <v>44</v>
      </c>
      <c r="F874" s="19" t="s">
        <v>45</v>
      </c>
      <c r="G874" s="19" t="s">
        <v>92</v>
      </c>
      <c r="H874" s="19">
        <v>11.5</v>
      </c>
      <c r="I874" s="51">
        <v>790.05</v>
      </c>
      <c r="J874" s="52"/>
      <c r="K874" s="45"/>
      <c r="L874" s="19"/>
      <c r="M874" s="45"/>
      <c r="N874" s="48"/>
      <c r="O874" s="49">
        <f t="shared" si="467"/>
        <v>790.05</v>
      </c>
      <c r="P874" s="53"/>
      <c r="Q874" s="53"/>
      <c r="R874" s="76">
        <f t="shared" si="462"/>
        <v>469.686119873817</v>
      </c>
      <c r="S874" s="76"/>
      <c r="T874" s="77">
        <f t="shared" si="463"/>
        <v>1.08923501577287</v>
      </c>
      <c r="U874" s="76"/>
      <c r="V874" s="76"/>
      <c r="W874" s="78">
        <f t="shared" si="456"/>
        <v>470.77535488959</v>
      </c>
      <c r="X874" s="79">
        <f t="shared" si="464"/>
        <v>8.61097266035752</v>
      </c>
      <c r="Y874" s="79"/>
      <c r="Z874" s="79"/>
      <c r="AA874" s="79">
        <f t="shared" si="457"/>
        <v>8.61097266035752</v>
      </c>
      <c r="AB874" s="90">
        <v>7.15</v>
      </c>
      <c r="AC874" s="76">
        <f t="shared" si="458"/>
        <v>61.5684545215563</v>
      </c>
      <c r="AD874" s="76">
        <f t="shared" si="459"/>
        <v>532.343809411146</v>
      </c>
      <c r="AE874" s="76">
        <f t="shared" si="460"/>
        <v>257.706190588854</v>
      </c>
    </row>
    <row r="875" customFormat="1" spans="1:31">
      <c r="A875" s="18"/>
      <c r="B875" s="19"/>
      <c r="C875" s="20">
        <v>240828000030</v>
      </c>
      <c r="D875" s="21">
        <v>45537</v>
      </c>
      <c r="E875" s="21" t="s">
        <v>57</v>
      </c>
      <c r="F875" s="19" t="s">
        <v>57</v>
      </c>
      <c r="G875" s="19" t="s">
        <v>100</v>
      </c>
      <c r="H875" s="19">
        <v>87</v>
      </c>
      <c r="I875" s="51">
        <v>4793</v>
      </c>
      <c r="J875" s="52"/>
      <c r="K875" s="45"/>
      <c r="L875" s="19"/>
      <c r="M875" s="45"/>
      <c r="N875" s="48"/>
      <c r="O875" s="49">
        <f t="shared" si="467"/>
        <v>4793</v>
      </c>
      <c r="P875" s="53"/>
      <c r="Q875" s="53"/>
      <c r="R875" s="76">
        <f t="shared" si="462"/>
        <v>3553.27760252366</v>
      </c>
      <c r="S875" s="76"/>
      <c r="T875" s="77">
        <f t="shared" si="463"/>
        <v>8.24029968454259</v>
      </c>
      <c r="U875" s="76"/>
      <c r="V875" s="76"/>
      <c r="W875" s="78">
        <f t="shared" si="456"/>
        <v>3561.5179022082</v>
      </c>
      <c r="X875" s="79">
        <f t="shared" si="464"/>
        <v>65.143880126183</v>
      </c>
      <c r="Y875" s="79"/>
      <c r="Z875" s="79"/>
      <c r="AA875" s="79">
        <f t="shared" si="457"/>
        <v>65.143880126183</v>
      </c>
      <c r="AB875" s="90">
        <v>7.15</v>
      </c>
      <c r="AC875" s="76">
        <f t="shared" si="458"/>
        <v>465.778742902208</v>
      </c>
      <c r="AD875" s="76">
        <f t="shared" si="459"/>
        <v>4027.29664511041</v>
      </c>
      <c r="AE875" s="76">
        <f t="shared" si="460"/>
        <v>765.70335488959</v>
      </c>
    </row>
    <row r="876" customFormat="1" spans="1:31">
      <c r="A876" s="18"/>
      <c r="B876" s="19"/>
      <c r="C876" s="20">
        <v>240828000037</v>
      </c>
      <c r="D876" s="21">
        <v>45537</v>
      </c>
      <c r="E876" s="21" t="s">
        <v>41</v>
      </c>
      <c r="F876" s="19" t="s">
        <v>42</v>
      </c>
      <c r="G876" s="19" t="s">
        <v>527</v>
      </c>
      <c r="H876" s="19">
        <v>2</v>
      </c>
      <c r="I876" s="51">
        <v>123</v>
      </c>
      <c r="J876" s="52"/>
      <c r="K876" s="45"/>
      <c r="L876" s="19"/>
      <c r="M876" s="45"/>
      <c r="N876" s="48"/>
      <c r="O876" s="49">
        <f t="shared" si="467"/>
        <v>123</v>
      </c>
      <c r="P876" s="53"/>
      <c r="Q876" s="53"/>
      <c r="R876" s="76">
        <f t="shared" si="462"/>
        <v>81.6845425867508</v>
      </c>
      <c r="S876" s="76"/>
      <c r="T876" s="77">
        <f t="shared" si="463"/>
        <v>0.189432176656151</v>
      </c>
      <c r="U876" s="76"/>
      <c r="V876" s="76"/>
      <c r="W876" s="78">
        <f t="shared" si="456"/>
        <v>81.8739747634069</v>
      </c>
      <c r="X876" s="79">
        <f t="shared" si="464"/>
        <v>1.49756046267087</v>
      </c>
      <c r="Y876" s="79"/>
      <c r="Z876" s="79"/>
      <c r="AA876" s="79">
        <f t="shared" si="457"/>
        <v>1.49756046267087</v>
      </c>
      <c r="AB876" s="90">
        <v>7.15</v>
      </c>
      <c r="AC876" s="76">
        <f t="shared" si="458"/>
        <v>10.7075573080967</v>
      </c>
      <c r="AD876" s="76">
        <f t="shared" si="459"/>
        <v>92.5815320715037</v>
      </c>
      <c r="AE876" s="76">
        <f t="shared" si="460"/>
        <v>30.4184679284963</v>
      </c>
    </row>
    <row r="877" customFormat="1" spans="1:31">
      <c r="A877" s="18"/>
      <c r="B877" s="19"/>
      <c r="C877" s="20">
        <v>240828000044</v>
      </c>
      <c r="D877" s="21">
        <v>45537</v>
      </c>
      <c r="E877" s="21" t="s">
        <v>37</v>
      </c>
      <c r="F877" s="19" t="s">
        <v>38</v>
      </c>
      <c r="G877" s="19" t="s">
        <v>528</v>
      </c>
      <c r="H877" s="19">
        <v>15</v>
      </c>
      <c r="I877" s="51">
        <v>945</v>
      </c>
      <c r="J877" s="52"/>
      <c r="K877" s="45"/>
      <c r="L877" s="19"/>
      <c r="M877" s="45"/>
      <c r="N877" s="48"/>
      <c r="O877" s="49">
        <f t="shared" si="467"/>
        <v>945</v>
      </c>
      <c r="P877" s="53"/>
      <c r="Q877" s="53"/>
      <c r="R877" s="76">
        <f t="shared" si="462"/>
        <v>612.634069400631</v>
      </c>
      <c r="S877" s="76"/>
      <c r="T877" s="77">
        <f t="shared" si="463"/>
        <v>1.42074132492114</v>
      </c>
      <c r="U877" s="76"/>
      <c r="V877" s="76"/>
      <c r="W877" s="78">
        <f t="shared" si="456"/>
        <v>614.054810725552</v>
      </c>
      <c r="X877" s="79">
        <f t="shared" si="464"/>
        <v>11.2317034700315</v>
      </c>
      <c r="Y877" s="79"/>
      <c r="Z877" s="79"/>
      <c r="AA877" s="79">
        <f t="shared" si="457"/>
        <v>11.2317034700315</v>
      </c>
      <c r="AB877" s="90">
        <v>7.15</v>
      </c>
      <c r="AC877" s="76">
        <f t="shared" si="458"/>
        <v>80.3066798107256</v>
      </c>
      <c r="AD877" s="76">
        <f t="shared" si="459"/>
        <v>694.361490536278</v>
      </c>
      <c r="AE877" s="76">
        <f t="shared" si="460"/>
        <v>250.638509463722</v>
      </c>
    </row>
    <row r="878" customFormat="1" spans="1:31">
      <c r="A878" s="18"/>
      <c r="B878" s="19"/>
      <c r="C878" s="20">
        <v>240828000045</v>
      </c>
      <c r="D878" s="21">
        <v>45537</v>
      </c>
      <c r="E878" s="21" t="s">
        <v>37</v>
      </c>
      <c r="F878" s="19" t="s">
        <v>38</v>
      </c>
      <c r="G878" s="19" t="s">
        <v>75</v>
      </c>
      <c r="H878" s="19">
        <v>8.5</v>
      </c>
      <c r="I878" s="51">
        <v>433.5</v>
      </c>
      <c r="J878" s="52"/>
      <c r="K878" s="45"/>
      <c r="L878" s="19"/>
      <c r="M878" s="45"/>
      <c r="N878" s="48"/>
      <c r="O878" s="49">
        <f t="shared" si="467"/>
        <v>433.5</v>
      </c>
      <c r="P878" s="53"/>
      <c r="Q878" s="53"/>
      <c r="R878" s="76">
        <f t="shared" si="462"/>
        <v>347.159305993691</v>
      </c>
      <c r="S878" s="76"/>
      <c r="T878" s="77">
        <f t="shared" si="463"/>
        <v>0.805086750788644</v>
      </c>
      <c r="U878" s="76"/>
      <c r="V878" s="76"/>
      <c r="W878" s="78">
        <f t="shared" si="456"/>
        <v>347.964392744479</v>
      </c>
      <c r="X878" s="79">
        <f t="shared" si="464"/>
        <v>6.36463196635121</v>
      </c>
      <c r="Y878" s="79"/>
      <c r="Z878" s="79"/>
      <c r="AA878" s="79">
        <f t="shared" si="457"/>
        <v>6.36463196635121</v>
      </c>
      <c r="AB878" s="90">
        <v>7.15</v>
      </c>
      <c r="AC878" s="76">
        <f t="shared" si="458"/>
        <v>45.5071185594111</v>
      </c>
      <c r="AD878" s="76">
        <f t="shared" ref="AD878:AD909" si="469">SUM(W878+AC878)</f>
        <v>393.471511303891</v>
      </c>
      <c r="AE878" s="76">
        <f t="shared" si="460"/>
        <v>40.0284886961094</v>
      </c>
    </row>
    <row r="879" customFormat="1" spans="1:31">
      <c r="A879" s="18"/>
      <c r="B879" s="19"/>
      <c r="C879" s="20">
        <v>240828000047</v>
      </c>
      <c r="D879" s="21">
        <v>45537</v>
      </c>
      <c r="E879" s="21" t="s">
        <v>44</v>
      </c>
      <c r="F879" s="19" t="s">
        <v>45</v>
      </c>
      <c r="G879" s="19" t="s">
        <v>236</v>
      </c>
      <c r="H879" s="19">
        <v>0.57</v>
      </c>
      <c r="I879" s="49"/>
      <c r="J879" s="44">
        <v>14432</v>
      </c>
      <c r="K879" s="45"/>
      <c r="L879" s="46">
        <f>SUM(J879/M879)</f>
        <v>1640</v>
      </c>
      <c r="M879" s="47">
        <v>8.8</v>
      </c>
      <c r="N879" s="48">
        <v>7.15</v>
      </c>
      <c r="O879" s="49">
        <f>SUM(M879*N879)</f>
        <v>62.92</v>
      </c>
      <c r="P879" s="53"/>
      <c r="Q879" s="53"/>
      <c r="R879" s="76">
        <f t="shared" si="462"/>
        <v>23.280094637224</v>
      </c>
      <c r="S879" s="76"/>
      <c r="T879" s="77">
        <f t="shared" si="463"/>
        <v>0.0539881703470032</v>
      </c>
      <c r="U879" s="76"/>
      <c r="V879" s="76"/>
      <c r="W879" s="78">
        <f t="shared" si="456"/>
        <v>23.334082807571</v>
      </c>
      <c r="X879" s="79">
        <f t="shared" si="464"/>
        <v>0.426804731861199</v>
      </c>
      <c r="Y879" s="79"/>
      <c r="Z879" s="79"/>
      <c r="AA879" s="79">
        <f t="shared" si="457"/>
        <v>0.426804731861199</v>
      </c>
      <c r="AB879" s="90">
        <v>7.15</v>
      </c>
      <c r="AC879" s="76">
        <f t="shared" si="458"/>
        <v>3.05165383280757</v>
      </c>
      <c r="AD879" s="76">
        <f t="shared" si="469"/>
        <v>26.3857366403785</v>
      </c>
      <c r="AE879" s="76">
        <f t="shared" si="460"/>
        <v>36.5342633596214</v>
      </c>
    </row>
    <row r="880" customFormat="1" spans="1:31">
      <c r="A880" s="18"/>
      <c r="B880" s="19"/>
      <c r="C880" s="20">
        <v>240828000048</v>
      </c>
      <c r="D880" s="21">
        <v>45537</v>
      </c>
      <c r="E880" s="21" t="s">
        <v>44</v>
      </c>
      <c r="F880" s="19" t="s">
        <v>45</v>
      </c>
      <c r="G880" s="19" t="s">
        <v>236</v>
      </c>
      <c r="H880" s="19">
        <v>1.5</v>
      </c>
      <c r="I880" s="49"/>
      <c r="J880" s="44">
        <v>21238</v>
      </c>
      <c r="K880" s="45"/>
      <c r="L880" s="46">
        <f>SUM(J880/M880)</f>
        <v>1639.99987335908</v>
      </c>
      <c r="M880" s="47">
        <v>12.950001</v>
      </c>
      <c r="N880" s="48">
        <v>7.15</v>
      </c>
      <c r="O880" s="49">
        <f>SUM(M880*N880)</f>
        <v>92.59250715</v>
      </c>
      <c r="P880" s="53"/>
      <c r="Q880" s="53"/>
      <c r="R880" s="76">
        <f t="shared" si="462"/>
        <v>61.2634069400631</v>
      </c>
      <c r="S880" s="76"/>
      <c r="T880" s="77">
        <f t="shared" si="463"/>
        <v>0.142074132492114</v>
      </c>
      <c r="U880" s="76"/>
      <c r="V880" s="76"/>
      <c r="W880" s="78">
        <f t="shared" si="456"/>
        <v>61.4054810725552</v>
      </c>
      <c r="X880" s="79">
        <f t="shared" si="464"/>
        <v>1.12317034700315</v>
      </c>
      <c r="Y880" s="79"/>
      <c r="Z880" s="79"/>
      <c r="AA880" s="79">
        <f t="shared" si="457"/>
        <v>1.12317034700315</v>
      </c>
      <c r="AB880" s="90">
        <v>7.15</v>
      </c>
      <c r="AC880" s="76">
        <f t="shared" si="458"/>
        <v>8.03066798107256</v>
      </c>
      <c r="AD880" s="76">
        <f t="shared" si="469"/>
        <v>69.4361490536278</v>
      </c>
      <c r="AE880" s="76">
        <f t="shared" si="460"/>
        <v>23.1563580963722</v>
      </c>
    </row>
    <row r="881" customFormat="1" spans="1:31">
      <c r="A881" s="18"/>
      <c r="B881" s="19"/>
      <c r="C881" s="20">
        <v>240828000052</v>
      </c>
      <c r="D881" s="21">
        <v>45537</v>
      </c>
      <c r="E881" s="21" t="s">
        <v>51</v>
      </c>
      <c r="F881" s="19" t="s">
        <v>52</v>
      </c>
      <c r="G881" s="19" t="s">
        <v>416</v>
      </c>
      <c r="H881" s="19">
        <v>12</v>
      </c>
      <c r="I881" s="51">
        <v>1200</v>
      </c>
      <c r="J881" s="52"/>
      <c r="K881" s="45"/>
      <c r="L881" s="19"/>
      <c r="M881" s="45"/>
      <c r="N881" s="48"/>
      <c r="O881" s="49">
        <f t="shared" ref="O881:O884" si="470">SUM(I881)</f>
        <v>1200</v>
      </c>
      <c r="P881" s="53"/>
      <c r="Q881" s="53"/>
      <c r="R881" s="76">
        <f t="shared" si="462"/>
        <v>490.107255520505</v>
      </c>
      <c r="S881" s="76"/>
      <c r="T881" s="77">
        <f t="shared" si="463"/>
        <v>1.13659305993691</v>
      </c>
      <c r="U881" s="76"/>
      <c r="V881" s="76"/>
      <c r="W881" s="78">
        <f t="shared" si="456"/>
        <v>491.243848580442</v>
      </c>
      <c r="X881" s="79">
        <f t="shared" si="464"/>
        <v>8.98536277602524</v>
      </c>
      <c r="Y881" s="79"/>
      <c r="Z881" s="79"/>
      <c r="AA881" s="79">
        <f t="shared" si="457"/>
        <v>8.98536277602524</v>
      </c>
      <c r="AB881" s="90">
        <v>7.15</v>
      </c>
      <c r="AC881" s="76">
        <f t="shared" si="458"/>
        <v>64.2453438485804</v>
      </c>
      <c r="AD881" s="76">
        <f t="shared" si="469"/>
        <v>555.489192429022</v>
      </c>
      <c r="AE881" s="76">
        <f t="shared" si="460"/>
        <v>644.510807570978</v>
      </c>
    </row>
    <row r="882" customFormat="1" spans="1:31">
      <c r="A882" s="18"/>
      <c r="B882" s="19"/>
      <c r="C882" s="20">
        <v>240828000058</v>
      </c>
      <c r="D882" s="21">
        <v>45537</v>
      </c>
      <c r="E882" s="21" t="s">
        <v>41</v>
      </c>
      <c r="F882" s="19" t="s">
        <v>42</v>
      </c>
      <c r="G882" s="19" t="s">
        <v>350</v>
      </c>
      <c r="H882" s="19">
        <v>25.5</v>
      </c>
      <c r="I882" s="51">
        <v>1455.5</v>
      </c>
      <c r="J882" s="52"/>
      <c r="K882" s="45"/>
      <c r="L882" s="19"/>
      <c r="M882" s="45"/>
      <c r="N882" s="111"/>
      <c r="O882" s="49">
        <f t="shared" si="470"/>
        <v>1455.5</v>
      </c>
      <c r="P882" s="54"/>
      <c r="Q882" s="54"/>
      <c r="R882" s="76">
        <f t="shared" si="462"/>
        <v>1041.47791798107</v>
      </c>
      <c r="S882" s="76"/>
      <c r="T882" s="77">
        <f t="shared" si="463"/>
        <v>2.41526025236593</v>
      </c>
      <c r="U882" s="76">
        <v>45</v>
      </c>
      <c r="V882" s="76"/>
      <c r="W882" s="78">
        <f t="shared" ref="W882:W913" si="471">SUM(R882:V882)</f>
        <v>1088.89317823344</v>
      </c>
      <c r="X882" s="79">
        <f t="shared" si="464"/>
        <v>19.0938958990536</v>
      </c>
      <c r="Y882" s="79"/>
      <c r="Z882" s="79"/>
      <c r="AA882" s="79">
        <f t="shared" ref="AA882:AA913" si="472">SUM(X882:Z882)</f>
        <v>19.0938958990536</v>
      </c>
      <c r="AB882" s="90">
        <v>7.15</v>
      </c>
      <c r="AC882" s="76">
        <f t="shared" ref="AC882:AC913" si="473">SUM(AA882*AB882)</f>
        <v>136.521355678233</v>
      </c>
      <c r="AD882" s="76">
        <f t="shared" si="469"/>
        <v>1225.41453391167</v>
      </c>
      <c r="AE882" s="76">
        <f t="shared" ref="AE882:AE913" si="474">SUM(O882-AD882)</f>
        <v>230.085466088328</v>
      </c>
    </row>
    <row r="883" customFormat="1" spans="1:31">
      <c r="A883" s="18" t="s">
        <v>529</v>
      </c>
      <c r="B883" s="19" t="s">
        <v>530</v>
      </c>
      <c r="C883" s="20">
        <v>240826000032</v>
      </c>
      <c r="D883" s="21">
        <v>45537</v>
      </c>
      <c r="E883" s="21" t="s">
        <v>51</v>
      </c>
      <c r="F883" s="19" t="s">
        <v>52</v>
      </c>
      <c r="G883" s="19" t="s">
        <v>122</v>
      </c>
      <c r="H883" s="19">
        <v>10</v>
      </c>
      <c r="I883" s="51">
        <v>576</v>
      </c>
      <c r="J883" s="52"/>
      <c r="K883" s="45"/>
      <c r="L883" s="19"/>
      <c r="M883" s="45"/>
      <c r="N883" s="48"/>
      <c r="O883" s="49">
        <f t="shared" si="470"/>
        <v>576</v>
      </c>
      <c r="P883" s="50">
        <f>SUM(O883:O936)</f>
        <v>87629.204215</v>
      </c>
      <c r="Q883" s="50" t="s">
        <v>40</v>
      </c>
      <c r="R883" s="76">
        <f>SUM(65282/1576)*H883</f>
        <v>414.225888324873</v>
      </c>
      <c r="S883" s="76"/>
      <c r="T883" s="77">
        <f>SUM(180.95/1576)*H883</f>
        <v>1.14815989847716</v>
      </c>
      <c r="U883" s="76"/>
      <c r="V883" s="76"/>
      <c r="W883" s="78">
        <f t="shared" si="471"/>
        <v>415.37404822335</v>
      </c>
      <c r="X883" s="79">
        <f>SUM(970.66/1576)*H883</f>
        <v>6.15901015228426</v>
      </c>
      <c r="Y883" s="79"/>
      <c r="Z883" s="79"/>
      <c r="AA883" s="79">
        <f t="shared" si="472"/>
        <v>6.15901015228426</v>
      </c>
      <c r="AB883" s="90">
        <v>7.15</v>
      </c>
      <c r="AC883" s="76">
        <f t="shared" si="473"/>
        <v>44.0369225888325</v>
      </c>
      <c r="AD883" s="76">
        <f t="shared" si="469"/>
        <v>459.410970812183</v>
      </c>
      <c r="AE883" s="76">
        <f t="shared" si="474"/>
        <v>116.589029187817</v>
      </c>
    </row>
    <row r="884" customFormat="1" spans="1:31">
      <c r="A884" s="18"/>
      <c r="B884" s="19"/>
      <c r="C884" s="20">
        <v>240826000033</v>
      </c>
      <c r="D884" s="21">
        <v>45537</v>
      </c>
      <c r="E884" s="21" t="s">
        <v>37</v>
      </c>
      <c r="F884" s="19" t="s">
        <v>38</v>
      </c>
      <c r="G884" s="19" t="s">
        <v>39</v>
      </c>
      <c r="H884" s="19">
        <v>15.5</v>
      </c>
      <c r="I884" s="51">
        <v>900.5</v>
      </c>
      <c r="J884" s="52"/>
      <c r="K884" s="45"/>
      <c r="L884" s="19"/>
      <c r="M884" s="45"/>
      <c r="N884" s="48"/>
      <c r="O884" s="49">
        <f t="shared" si="470"/>
        <v>900.5</v>
      </c>
      <c r="P884" s="53"/>
      <c r="Q884" s="53"/>
      <c r="R884" s="76">
        <f t="shared" ref="R884:R915" si="475">SUM(65282/1576)*H884</f>
        <v>642.050126903553</v>
      </c>
      <c r="S884" s="76"/>
      <c r="T884" s="77">
        <f t="shared" ref="T884:T915" si="476">SUM(180.95/1576)*H884</f>
        <v>1.77964784263959</v>
      </c>
      <c r="U884" s="76"/>
      <c r="V884" s="76"/>
      <c r="W884" s="78">
        <f t="shared" si="471"/>
        <v>643.829774746193</v>
      </c>
      <c r="X884" s="79">
        <f t="shared" ref="X884:X915" si="477">SUM(970.66/1576)*H884</f>
        <v>9.54646573604061</v>
      </c>
      <c r="Y884" s="79"/>
      <c r="Z884" s="79"/>
      <c r="AA884" s="79">
        <f t="shared" si="472"/>
        <v>9.54646573604061</v>
      </c>
      <c r="AB884" s="90">
        <v>7.15</v>
      </c>
      <c r="AC884" s="76">
        <f t="shared" si="473"/>
        <v>68.2572300126903</v>
      </c>
      <c r="AD884" s="76">
        <f t="shared" si="469"/>
        <v>712.087004758883</v>
      </c>
      <c r="AE884" s="76">
        <f t="shared" si="474"/>
        <v>188.412995241117</v>
      </c>
    </row>
    <row r="885" customFormat="1" spans="1:31">
      <c r="A885" s="18"/>
      <c r="B885" s="19"/>
      <c r="C885" s="20">
        <v>240827000027</v>
      </c>
      <c r="D885" s="21">
        <v>45537</v>
      </c>
      <c r="E885" s="21" t="s">
        <v>44</v>
      </c>
      <c r="F885" s="19" t="s">
        <v>45</v>
      </c>
      <c r="G885" s="19" t="s">
        <v>110</v>
      </c>
      <c r="H885" s="19">
        <v>2</v>
      </c>
      <c r="I885" s="49"/>
      <c r="J885" s="112">
        <v>28985</v>
      </c>
      <c r="K885" s="45"/>
      <c r="L885" s="46">
        <f t="shared" ref="L885:L887" si="478">SUM(J885/M885)</f>
        <v>1695.02923976608</v>
      </c>
      <c r="M885" s="47">
        <v>17.1</v>
      </c>
      <c r="N885" s="48">
        <v>7.15</v>
      </c>
      <c r="O885" s="49">
        <f t="shared" ref="O885:O887" si="479">SUM(M885*N885)</f>
        <v>122.265</v>
      </c>
      <c r="P885" s="53"/>
      <c r="Q885" s="53"/>
      <c r="R885" s="76">
        <f t="shared" si="475"/>
        <v>82.8451776649746</v>
      </c>
      <c r="S885" s="76"/>
      <c r="T885" s="77">
        <f t="shared" si="476"/>
        <v>0.229631979695431</v>
      </c>
      <c r="U885" s="76"/>
      <c r="V885" s="76"/>
      <c r="W885" s="78">
        <f t="shared" si="471"/>
        <v>83.07480964467</v>
      </c>
      <c r="X885" s="79">
        <f t="shared" si="477"/>
        <v>1.23180203045685</v>
      </c>
      <c r="Y885" s="79"/>
      <c r="Z885" s="79"/>
      <c r="AA885" s="79">
        <f t="shared" si="472"/>
        <v>1.23180203045685</v>
      </c>
      <c r="AB885" s="90">
        <v>7.15</v>
      </c>
      <c r="AC885" s="76">
        <f t="shared" si="473"/>
        <v>8.8073845177665</v>
      </c>
      <c r="AD885" s="76">
        <f t="shared" si="469"/>
        <v>91.8821941624365</v>
      </c>
      <c r="AE885" s="76">
        <f t="shared" si="474"/>
        <v>30.3828058375635</v>
      </c>
    </row>
    <row r="886" customFormat="1" spans="1:31">
      <c r="A886" s="18"/>
      <c r="B886" s="19"/>
      <c r="C886" s="20">
        <v>240827000028</v>
      </c>
      <c r="D886" s="21">
        <v>45537</v>
      </c>
      <c r="E886" s="21" t="s">
        <v>37</v>
      </c>
      <c r="F886" s="19" t="s">
        <v>38</v>
      </c>
      <c r="G886" s="19" t="s">
        <v>66</v>
      </c>
      <c r="H886" s="19">
        <v>25.5</v>
      </c>
      <c r="I886" s="43"/>
      <c r="J886" s="44">
        <v>335580</v>
      </c>
      <c r="K886" s="45"/>
      <c r="L886" s="46">
        <f t="shared" si="478"/>
        <v>1680.25235329461</v>
      </c>
      <c r="M886" s="47">
        <v>199.72</v>
      </c>
      <c r="N886" s="48">
        <v>7.15</v>
      </c>
      <c r="O886" s="49">
        <f t="shared" si="479"/>
        <v>1427.998</v>
      </c>
      <c r="P886" s="53"/>
      <c r="Q886" s="53"/>
      <c r="R886" s="76">
        <f t="shared" si="475"/>
        <v>1056.27601522843</v>
      </c>
      <c r="S886" s="76"/>
      <c r="T886" s="77">
        <f t="shared" si="476"/>
        <v>2.92780774111675</v>
      </c>
      <c r="U886" s="76"/>
      <c r="V886" s="76"/>
      <c r="W886" s="78">
        <f t="shared" si="471"/>
        <v>1059.20382296954</v>
      </c>
      <c r="X886" s="79">
        <f t="shared" si="477"/>
        <v>15.7054758883249</v>
      </c>
      <c r="Y886" s="79"/>
      <c r="Z886" s="79"/>
      <c r="AA886" s="79">
        <f t="shared" si="472"/>
        <v>15.7054758883249</v>
      </c>
      <c r="AB886" s="90">
        <v>7.15</v>
      </c>
      <c r="AC886" s="76">
        <f t="shared" si="473"/>
        <v>112.294152601523</v>
      </c>
      <c r="AD886" s="76">
        <f t="shared" si="469"/>
        <v>1171.49797557107</v>
      </c>
      <c r="AE886" s="76">
        <f t="shared" si="474"/>
        <v>256.500024428934</v>
      </c>
    </row>
    <row r="887" customFormat="1" spans="1:31">
      <c r="A887" s="18"/>
      <c r="B887" s="19"/>
      <c r="C887" s="20">
        <v>240827000032</v>
      </c>
      <c r="D887" s="21">
        <v>45537</v>
      </c>
      <c r="E887" s="21" t="s">
        <v>51</v>
      </c>
      <c r="F887" s="19" t="s">
        <v>52</v>
      </c>
      <c r="G887" s="19" t="s">
        <v>531</v>
      </c>
      <c r="H887" s="19">
        <v>6.5</v>
      </c>
      <c r="I887" s="49"/>
      <c r="J887" s="44">
        <v>88563</v>
      </c>
      <c r="K887" s="45"/>
      <c r="L887" s="46">
        <f t="shared" si="478"/>
        <v>1694.98564593301</v>
      </c>
      <c r="M887" s="47">
        <v>52.25</v>
      </c>
      <c r="N887" s="48">
        <v>7.15</v>
      </c>
      <c r="O887" s="49">
        <f t="shared" si="479"/>
        <v>373.5875</v>
      </c>
      <c r="P887" s="53"/>
      <c r="Q887" s="53"/>
      <c r="R887" s="76">
        <f t="shared" si="475"/>
        <v>269.246827411167</v>
      </c>
      <c r="S887" s="76"/>
      <c r="T887" s="77">
        <f t="shared" si="476"/>
        <v>0.746303934010152</v>
      </c>
      <c r="U887" s="76"/>
      <c r="V887" s="76"/>
      <c r="W887" s="78">
        <f t="shared" si="471"/>
        <v>269.993131345178</v>
      </c>
      <c r="X887" s="79">
        <f t="shared" si="477"/>
        <v>4.00335659898477</v>
      </c>
      <c r="Y887" s="79"/>
      <c r="Z887" s="79"/>
      <c r="AA887" s="79">
        <f t="shared" si="472"/>
        <v>4.00335659898477</v>
      </c>
      <c r="AB887" s="90">
        <v>7.15</v>
      </c>
      <c r="AC887" s="76">
        <f t="shared" si="473"/>
        <v>28.6239996827411</v>
      </c>
      <c r="AD887" s="76">
        <f t="shared" si="469"/>
        <v>298.617131027919</v>
      </c>
      <c r="AE887" s="76">
        <f t="shared" si="474"/>
        <v>74.9703689720812</v>
      </c>
    </row>
    <row r="888" customFormat="1" spans="1:31">
      <c r="A888" s="18"/>
      <c r="B888" s="19"/>
      <c r="C888" s="20">
        <v>240828000012</v>
      </c>
      <c r="D888" s="21">
        <v>45537</v>
      </c>
      <c r="E888" s="21" t="s">
        <v>51</v>
      </c>
      <c r="F888" s="19" t="s">
        <v>52</v>
      </c>
      <c r="G888" s="19" t="s">
        <v>532</v>
      </c>
      <c r="H888" s="19">
        <v>0.1</v>
      </c>
      <c r="I888" s="51">
        <v>110</v>
      </c>
      <c r="J888" s="52"/>
      <c r="K888" s="45"/>
      <c r="L888" s="19"/>
      <c r="M888" s="45"/>
      <c r="N888" s="48"/>
      <c r="O888" s="49">
        <f t="shared" ref="O888:O890" si="480">SUM(I888)</f>
        <v>110</v>
      </c>
      <c r="P888" s="53"/>
      <c r="Q888" s="53"/>
      <c r="R888" s="76">
        <f t="shared" si="475"/>
        <v>4.14225888324873</v>
      </c>
      <c r="S888" s="76"/>
      <c r="T888" s="77">
        <f t="shared" si="476"/>
        <v>0.0114815989847716</v>
      </c>
      <c r="U888" s="76"/>
      <c r="V888" s="76"/>
      <c r="W888" s="78">
        <f t="shared" si="471"/>
        <v>4.1537404822335</v>
      </c>
      <c r="X888" s="79">
        <f t="shared" si="477"/>
        <v>0.0615901015228426</v>
      </c>
      <c r="Y888" s="79"/>
      <c r="Z888" s="79"/>
      <c r="AA888" s="79">
        <f t="shared" si="472"/>
        <v>0.0615901015228426</v>
      </c>
      <c r="AB888" s="90">
        <v>7.15</v>
      </c>
      <c r="AC888" s="76">
        <f t="shared" si="473"/>
        <v>0.440369225888325</v>
      </c>
      <c r="AD888" s="76">
        <f t="shared" si="469"/>
        <v>4.59410970812183</v>
      </c>
      <c r="AE888" s="76">
        <f t="shared" si="474"/>
        <v>105.405890291878</v>
      </c>
    </row>
    <row r="889" customFormat="1" spans="1:31">
      <c r="A889" s="18"/>
      <c r="B889" s="19"/>
      <c r="C889" s="20">
        <v>240828000014</v>
      </c>
      <c r="D889" s="21">
        <v>45537</v>
      </c>
      <c r="E889" s="21" t="s">
        <v>51</v>
      </c>
      <c r="F889" s="19" t="s">
        <v>52</v>
      </c>
      <c r="G889" s="19" t="s">
        <v>122</v>
      </c>
      <c r="H889" s="19">
        <v>4</v>
      </c>
      <c r="I889" s="51">
        <v>243</v>
      </c>
      <c r="J889" s="52"/>
      <c r="K889" s="45"/>
      <c r="L889" s="19"/>
      <c r="M889" s="45"/>
      <c r="N889" s="48"/>
      <c r="O889" s="49">
        <f t="shared" si="480"/>
        <v>243</v>
      </c>
      <c r="P889" s="53"/>
      <c r="Q889" s="53"/>
      <c r="R889" s="76">
        <f t="shared" si="475"/>
        <v>165.690355329949</v>
      </c>
      <c r="S889" s="76"/>
      <c r="T889" s="77">
        <f t="shared" si="476"/>
        <v>0.459263959390863</v>
      </c>
      <c r="U889" s="76"/>
      <c r="V889" s="76"/>
      <c r="W889" s="78">
        <f t="shared" si="471"/>
        <v>166.14961928934</v>
      </c>
      <c r="X889" s="79">
        <f t="shared" si="477"/>
        <v>2.46360406091371</v>
      </c>
      <c r="Y889" s="79"/>
      <c r="Z889" s="79"/>
      <c r="AA889" s="79">
        <f t="shared" si="472"/>
        <v>2.46360406091371</v>
      </c>
      <c r="AB889" s="90">
        <v>7.15</v>
      </c>
      <c r="AC889" s="76">
        <f t="shared" si="473"/>
        <v>17.614769035533</v>
      </c>
      <c r="AD889" s="76">
        <f t="shared" si="469"/>
        <v>183.764388324873</v>
      </c>
      <c r="AE889" s="76">
        <f t="shared" si="474"/>
        <v>59.2356116751269</v>
      </c>
    </row>
    <row r="890" customFormat="1" spans="1:31">
      <c r="A890" s="18"/>
      <c r="B890" s="19"/>
      <c r="C890" s="20">
        <v>240828000019</v>
      </c>
      <c r="D890" s="21">
        <v>45537</v>
      </c>
      <c r="E890" s="21" t="s">
        <v>37</v>
      </c>
      <c r="F890" s="19" t="s">
        <v>38</v>
      </c>
      <c r="G890" s="19" t="s">
        <v>469</v>
      </c>
      <c r="H890" s="19">
        <v>0.88</v>
      </c>
      <c r="I890" s="51">
        <v>69</v>
      </c>
      <c r="J890" s="52"/>
      <c r="K890" s="45"/>
      <c r="L890" s="19"/>
      <c r="M890" s="45"/>
      <c r="N890" s="48"/>
      <c r="O890" s="49">
        <f t="shared" si="480"/>
        <v>69</v>
      </c>
      <c r="P890" s="53"/>
      <c r="Q890" s="53"/>
      <c r="R890" s="76">
        <f t="shared" si="475"/>
        <v>36.4518781725888</v>
      </c>
      <c r="S890" s="76"/>
      <c r="T890" s="77">
        <f t="shared" si="476"/>
        <v>0.10103807106599</v>
      </c>
      <c r="U890" s="76"/>
      <c r="V890" s="76"/>
      <c r="W890" s="78">
        <f t="shared" si="471"/>
        <v>36.5529162436548</v>
      </c>
      <c r="X890" s="79">
        <f t="shared" si="477"/>
        <v>0.541992893401015</v>
      </c>
      <c r="Y890" s="79"/>
      <c r="Z890" s="79"/>
      <c r="AA890" s="79">
        <f t="shared" si="472"/>
        <v>0.541992893401015</v>
      </c>
      <c r="AB890" s="90">
        <v>7.15</v>
      </c>
      <c r="AC890" s="76">
        <f t="shared" si="473"/>
        <v>3.87524918781726</v>
      </c>
      <c r="AD890" s="76">
        <f t="shared" si="469"/>
        <v>40.4281654314721</v>
      </c>
      <c r="AE890" s="76">
        <f t="shared" si="474"/>
        <v>28.5718345685279</v>
      </c>
    </row>
    <row r="891" customFormat="1" spans="1:31">
      <c r="A891" s="18"/>
      <c r="B891" s="19"/>
      <c r="C891" s="20">
        <v>240828000024</v>
      </c>
      <c r="D891" s="21">
        <v>45537</v>
      </c>
      <c r="E891" s="21" t="s">
        <v>37</v>
      </c>
      <c r="F891" s="19" t="s">
        <v>38</v>
      </c>
      <c r="G891" s="19" t="s">
        <v>64</v>
      </c>
      <c r="H891" s="19">
        <v>22.5</v>
      </c>
      <c r="I891" s="43"/>
      <c r="J891" s="44">
        <v>281137.5</v>
      </c>
      <c r="K891" s="45"/>
      <c r="L891" s="46">
        <f>SUM(J891/M891)</f>
        <v>1751.85381355932</v>
      </c>
      <c r="M891" s="47">
        <v>160.48</v>
      </c>
      <c r="N891" s="48">
        <v>7.15</v>
      </c>
      <c r="O891" s="49">
        <f>SUM(M891*N891)</f>
        <v>1147.432</v>
      </c>
      <c r="P891" s="53"/>
      <c r="Q891" s="53"/>
      <c r="R891" s="76">
        <f t="shared" si="475"/>
        <v>932.008248730964</v>
      </c>
      <c r="S891" s="76"/>
      <c r="T891" s="77">
        <f t="shared" si="476"/>
        <v>2.5833597715736</v>
      </c>
      <c r="U891" s="76"/>
      <c r="V891" s="76"/>
      <c r="W891" s="78">
        <f t="shared" si="471"/>
        <v>934.591608502538</v>
      </c>
      <c r="X891" s="79">
        <f t="shared" si="477"/>
        <v>13.8577728426396</v>
      </c>
      <c r="Y891" s="79"/>
      <c r="Z891" s="79"/>
      <c r="AA891" s="79">
        <f t="shared" si="472"/>
        <v>13.8577728426396</v>
      </c>
      <c r="AB891" s="90">
        <v>7.15</v>
      </c>
      <c r="AC891" s="76">
        <f t="shared" si="473"/>
        <v>99.0830758248731</v>
      </c>
      <c r="AD891" s="76">
        <f t="shared" si="469"/>
        <v>1033.67468432741</v>
      </c>
      <c r="AE891" s="76">
        <f t="shared" si="474"/>
        <v>113.757315672589</v>
      </c>
    </row>
    <row r="892" customFormat="1" spans="1:31">
      <c r="A892" s="18"/>
      <c r="B892" s="19"/>
      <c r="C892" s="20">
        <v>240828000025</v>
      </c>
      <c r="D892" s="21">
        <v>45537</v>
      </c>
      <c r="E892" s="21" t="s">
        <v>82</v>
      </c>
      <c r="F892" s="19" t="s">
        <v>83</v>
      </c>
      <c r="G892" s="19" t="s">
        <v>94</v>
      </c>
      <c r="H892" s="19">
        <v>58</v>
      </c>
      <c r="I892" s="51">
        <v>3278</v>
      </c>
      <c r="J892" s="52"/>
      <c r="K892" s="45"/>
      <c r="L892" s="19"/>
      <c r="M892" s="45"/>
      <c r="N892" s="48"/>
      <c r="O892" s="49">
        <f t="shared" ref="O892:O901" si="481">SUM(I892)</f>
        <v>3278</v>
      </c>
      <c r="P892" s="53"/>
      <c r="Q892" s="53"/>
      <c r="R892" s="76">
        <f t="shared" si="475"/>
        <v>2402.51015228426</v>
      </c>
      <c r="S892" s="76"/>
      <c r="T892" s="77">
        <f t="shared" si="476"/>
        <v>6.65932741116751</v>
      </c>
      <c r="U892" s="76">
        <v>80</v>
      </c>
      <c r="V892" s="76"/>
      <c r="W892" s="78">
        <f t="shared" si="471"/>
        <v>2489.16947969543</v>
      </c>
      <c r="X892" s="79">
        <f t="shared" si="477"/>
        <v>35.7222588832487</v>
      </c>
      <c r="Y892" s="79"/>
      <c r="Z892" s="79"/>
      <c r="AA892" s="79">
        <f t="shared" si="472"/>
        <v>35.7222588832487</v>
      </c>
      <c r="AB892" s="90">
        <v>7.15</v>
      </c>
      <c r="AC892" s="76">
        <f t="shared" si="473"/>
        <v>255.414151015228</v>
      </c>
      <c r="AD892" s="76">
        <f t="shared" si="469"/>
        <v>2744.58363071066</v>
      </c>
      <c r="AE892" s="76">
        <f t="shared" si="474"/>
        <v>533.41636928934</v>
      </c>
    </row>
    <row r="893" customFormat="1" spans="1:31">
      <c r="A893" s="18"/>
      <c r="B893" s="19"/>
      <c r="C893" s="20">
        <v>240828000029</v>
      </c>
      <c r="D893" s="21">
        <v>45537</v>
      </c>
      <c r="E893" s="21" t="s">
        <v>57</v>
      </c>
      <c r="F893" s="19" t="s">
        <v>57</v>
      </c>
      <c r="G893" s="19" t="s">
        <v>366</v>
      </c>
      <c r="H893" s="19">
        <v>250.5</v>
      </c>
      <c r="I893" s="51">
        <v>13030</v>
      </c>
      <c r="J893" s="52"/>
      <c r="K893" s="45"/>
      <c r="L893" s="19"/>
      <c r="M893" s="45"/>
      <c r="N893" s="48"/>
      <c r="O893" s="49">
        <f t="shared" si="481"/>
        <v>13030</v>
      </c>
      <c r="P893" s="53"/>
      <c r="Q893" s="53"/>
      <c r="R893" s="76">
        <f t="shared" si="475"/>
        <v>10376.3585025381</v>
      </c>
      <c r="S893" s="76"/>
      <c r="T893" s="77">
        <f t="shared" si="476"/>
        <v>28.7614054568528</v>
      </c>
      <c r="U893" s="76"/>
      <c r="V893" s="76"/>
      <c r="W893" s="78">
        <f t="shared" si="471"/>
        <v>10405.1199079949</v>
      </c>
      <c r="X893" s="79">
        <f t="shared" si="477"/>
        <v>154.283204314721</v>
      </c>
      <c r="Y893" s="79"/>
      <c r="Z893" s="79"/>
      <c r="AA893" s="79">
        <f t="shared" si="472"/>
        <v>154.283204314721</v>
      </c>
      <c r="AB893" s="90">
        <v>7.15</v>
      </c>
      <c r="AC893" s="76">
        <f t="shared" si="473"/>
        <v>1103.12491085025</v>
      </c>
      <c r="AD893" s="76">
        <f t="shared" si="469"/>
        <v>11508.2448188452</v>
      </c>
      <c r="AE893" s="76">
        <f t="shared" si="474"/>
        <v>1521.75518115482</v>
      </c>
    </row>
    <row r="894" customFormat="1" spans="1:31">
      <c r="A894" s="18"/>
      <c r="B894" s="19"/>
      <c r="C894" s="20">
        <v>240828000031</v>
      </c>
      <c r="D894" s="21">
        <v>45537</v>
      </c>
      <c r="E894" s="21" t="s">
        <v>41</v>
      </c>
      <c r="F894" s="19" t="s">
        <v>42</v>
      </c>
      <c r="G894" s="19" t="s">
        <v>261</v>
      </c>
      <c r="H894" s="19">
        <v>12</v>
      </c>
      <c r="I894" s="51">
        <v>690</v>
      </c>
      <c r="J894" s="52"/>
      <c r="K894" s="45"/>
      <c r="L894" s="19"/>
      <c r="M894" s="45"/>
      <c r="N894" s="48"/>
      <c r="O894" s="49">
        <f t="shared" si="481"/>
        <v>690</v>
      </c>
      <c r="P894" s="53"/>
      <c r="Q894" s="53"/>
      <c r="R894" s="76">
        <f t="shared" si="475"/>
        <v>497.071065989848</v>
      </c>
      <c r="S894" s="76"/>
      <c r="T894" s="77">
        <f t="shared" si="476"/>
        <v>1.37779187817259</v>
      </c>
      <c r="U894" s="76"/>
      <c r="V894" s="76"/>
      <c r="W894" s="78">
        <f t="shared" si="471"/>
        <v>498.44885786802</v>
      </c>
      <c r="X894" s="79">
        <f t="shared" si="477"/>
        <v>7.39081218274112</v>
      </c>
      <c r="Y894" s="79"/>
      <c r="Z894" s="79"/>
      <c r="AA894" s="79">
        <f t="shared" si="472"/>
        <v>7.39081218274112</v>
      </c>
      <c r="AB894" s="90">
        <v>7.15</v>
      </c>
      <c r="AC894" s="76">
        <f t="shared" si="473"/>
        <v>52.844307106599</v>
      </c>
      <c r="AD894" s="76">
        <f t="shared" si="469"/>
        <v>551.293164974619</v>
      </c>
      <c r="AE894" s="76">
        <f t="shared" si="474"/>
        <v>138.706835025381</v>
      </c>
    </row>
    <row r="895" customFormat="1" spans="1:31">
      <c r="A895" s="18"/>
      <c r="B895" s="19"/>
      <c r="C895" s="20">
        <v>240828000033</v>
      </c>
      <c r="D895" s="21">
        <v>45537</v>
      </c>
      <c r="E895" s="21" t="s">
        <v>37</v>
      </c>
      <c r="F895" s="19" t="s">
        <v>38</v>
      </c>
      <c r="G895" s="19" t="s">
        <v>533</v>
      </c>
      <c r="H895" s="19">
        <v>4.5</v>
      </c>
      <c r="I895" s="51">
        <v>300</v>
      </c>
      <c r="J895" s="52"/>
      <c r="K895" s="45"/>
      <c r="L895" s="19"/>
      <c r="M895" s="45"/>
      <c r="N895" s="48"/>
      <c r="O895" s="49">
        <f t="shared" si="481"/>
        <v>300</v>
      </c>
      <c r="P895" s="53"/>
      <c r="Q895" s="53"/>
      <c r="R895" s="76">
        <f t="shared" si="475"/>
        <v>186.401649746193</v>
      </c>
      <c r="S895" s="76"/>
      <c r="T895" s="77">
        <f t="shared" si="476"/>
        <v>0.516671954314721</v>
      </c>
      <c r="U895" s="76"/>
      <c r="V895" s="76"/>
      <c r="W895" s="78">
        <f t="shared" si="471"/>
        <v>186.918321700508</v>
      </c>
      <c r="X895" s="79">
        <f t="shared" si="477"/>
        <v>2.77155456852792</v>
      </c>
      <c r="Y895" s="79"/>
      <c r="Z895" s="79"/>
      <c r="AA895" s="79">
        <f t="shared" si="472"/>
        <v>2.77155456852792</v>
      </c>
      <c r="AB895" s="90">
        <v>7.15</v>
      </c>
      <c r="AC895" s="76">
        <f t="shared" si="473"/>
        <v>19.8166151649746</v>
      </c>
      <c r="AD895" s="76">
        <f t="shared" si="469"/>
        <v>206.734936865482</v>
      </c>
      <c r="AE895" s="76">
        <f t="shared" si="474"/>
        <v>93.2650631345178</v>
      </c>
    </row>
    <row r="896" customFormat="1" spans="1:31">
      <c r="A896" s="18"/>
      <c r="B896" s="19"/>
      <c r="C896" s="20">
        <v>240828000034</v>
      </c>
      <c r="D896" s="21">
        <v>45537</v>
      </c>
      <c r="E896" s="21" t="s">
        <v>37</v>
      </c>
      <c r="F896" s="19" t="s">
        <v>38</v>
      </c>
      <c r="G896" s="19" t="s">
        <v>533</v>
      </c>
      <c r="H896" s="19">
        <v>4</v>
      </c>
      <c r="I896" s="51">
        <v>267</v>
      </c>
      <c r="J896" s="52"/>
      <c r="K896" s="45"/>
      <c r="L896" s="19"/>
      <c r="M896" s="45"/>
      <c r="N896" s="48"/>
      <c r="O896" s="49">
        <f t="shared" si="481"/>
        <v>267</v>
      </c>
      <c r="P896" s="53"/>
      <c r="Q896" s="53"/>
      <c r="R896" s="76">
        <f t="shared" si="475"/>
        <v>165.690355329949</v>
      </c>
      <c r="S896" s="76"/>
      <c r="T896" s="77">
        <f t="shared" si="476"/>
        <v>0.459263959390863</v>
      </c>
      <c r="U896" s="76"/>
      <c r="V896" s="76"/>
      <c r="W896" s="78">
        <f t="shared" si="471"/>
        <v>166.14961928934</v>
      </c>
      <c r="X896" s="79">
        <f t="shared" si="477"/>
        <v>2.46360406091371</v>
      </c>
      <c r="Y896" s="79"/>
      <c r="Z896" s="79"/>
      <c r="AA896" s="79">
        <f t="shared" si="472"/>
        <v>2.46360406091371</v>
      </c>
      <c r="AB896" s="90">
        <v>7.15</v>
      </c>
      <c r="AC896" s="76">
        <f t="shared" si="473"/>
        <v>17.614769035533</v>
      </c>
      <c r="AD896" s="76">
        <f t="shared" si="469"/>
        <v>183.764388324873</v>
      </c>
      <c r="AE896" s="76">
        <f t="shared" si="474"/>
        <v>83.2356116751269</v>
      </c>
    </row>
    <row r="897" customFormat="1" spans="1:31">
      <c r="A897" s="18"/>
      <c r="B897" s="19"/>
      <c r="C897" s="20">
        <v>240828000036</v>
      </c>
      <c r="D897" s="21">
        <v>45537</v>
      </c>
      <c r="E897" s="21" t="s">
        <v>37</v>
      </c>
      <c r="F897" s="19" t="s">
        <v>38</v>
      </c>
      <c r="G897" s="19" t="s">
        <v>533</v>
      </c>
      <c r="H897" s="19">
        <v>1</v>
      </c>
      <c r="I897" s="51">
        <v>97.5</v>
      </c>
      <c r="J897" s="52"/>
      <c r="K897" s="45"/>
      <c r="L897" s="19"/>
      <c r="M897" s="45"/>
      <c r="N897" s="48"/>
      <c r="O897" s="49">
        <f t="shared" si="481"/>
        <v>97.5</v>
      </c>
      <c r="P897" s="53"/>
      <c r="Q897" s="53"/>
      <c r="R897" s="76">
        <f t="shared" si="475"/>
        <v>41.4225888324873</v>
      </c>
      <c r="S897" s="76"/>
      <c r="T897" s="77">
        <f t="shared" si="476"/>
        <v>0.114815989847716</v>
      </c>
      <c r="U897" s="76"/>
      <c r="V897" s="76"/>
      <c r="W897" s="78">
        <f t="shared" si="471"/>
        <v>41.537404822335</v>
      </c>
      <c r="X897" s="79">
        <f t="shared" si="477"/>
        <v>0.615901015228426</v>
      </c>
      <c r="Y897" s="79"/>
      <c r="Z897" s="79"/>
      <c r="AA897" s="79">
        <f t="shared" si="472"/>
        <v>0.615901015228426</v>
      </c>
      <c r="AB897" s="90">
        <v>7.15</v>
      </c>
      <c r="AC897" s="76">
        <f t="shared" si="473"/>
        <v>4.40369225888325</v>
      </c>
      <c r="AD897" s="76">
        <f t="shared" si="469"/>
        <v>45.9410970812183</v>
      </c>
      <c r="AE897" s="76">
        <f t="shared" si="474"/>
        <v>51.5589029187817</v>
      </c>
    </row>
    <row r="898" customFormat="1" spans="1:31">
      <c r="A898" s="18"/>
      <c r="B898" s="19"/>
      <c r="C898" s="20">
        <v>240828000057</v>
      </c>
      <c r="D898" s="21">
        <v>45537</v>
      </c>
      <c r="E898" s="21" t="s">
        <v>51</v>
      </c>
      <c r="F898" s="19" t="s">
        <v>52</v>
      </c>
      <c r="G898" s="19" t="s">
        <v>53</v>
      </c>
      <c r="H898" s="19">
        <v>12.5</v>
      </c>
      <c r="I898" s="51">
        <v>718.5</v>
      </c>
      <c r="J898" s="52"/>
      <c r="K898" s="45"/>
      <c r="L898" s="19"/>
      <c r="M898" s="45"/>
      <c r="N898" s="48"/>
      <c r="O898" s="49">
        <f t="shared" si="481"/>
        <v>718.5</v>
      </c>
      <c r="P898" s="53"/>
      <c r="Q898" s="53"/>
      <c r="R898" s="76">
        <f t="shared" si="475"/>
        <v>517.782360406091</v>
      </c>
      <c r="S898" s="76"/>
      <c r="T898" s="77">
        <f t="shared" si="476"/>
        <v>1.43519987309645</v>
      </c>
      <c r="U898" s="76"/>
      <c r="V898" s="76"/>
      <c r="W898" s="78">
        <f t="shared" si="471"/>
        <v>519.217560279188</v>
      </c>
      <c r="X898" s="79">
        <f t="shared" si="477"/>
        <v>7.69876269035533</v>
      </c>
      <c r="Y898" s="79"/>
      <c r="Z898" s="79"/>
      <c r="AA898" s="79">
        <f t="shared" si="472"/>
        <v>7.69876269035533</v>
      </c>
      <c r="AB898" s="90">
        <v>7.15</v>
      </c>
      <c r="AC898" s="76">
        <f t="shared" si="473"/>
        <v>55.0461532360406</v>
      </c>
      <c r="AD898" s="76">
        <f t="shared" si="469"/>
        <v>574.263713515228</v>
      </c>
      <c r="AE898" s="76">
        <f t="shared" si="474"/>
        <v>144.236286484772</v>
      </c>
    </row>
    <row r="899" customFormat="1" spans="1:31">
      <c r="A899" s="18"/>
      <c r="B899" s="19"/>
      <c r="C899" s="20">
        <v>240828000060</v>
      </c>
      <c r="D899" s="21">
        <v>45537</v>
      </c>
      <c r="E899" s="21" t="s">
        <v>41</v>
      </c>
      <c r="F899" s="19" t="s">
        <v>42</v>
      </c>
      <c r="G899" s="19" t="s">
        <v>123</v>
      </c>
      <c r="H899" s="19">
        <v>9</v>
      </c>
      <c r="I899" s="51">
        <v>513</v>
      </c>
      <c r="J899" s="52"/>
      <c r="K899" s="45"/>
      <c r="L899" s="19"/>
      <c r="M899" s="45"/>
      <c r="N899" s="48"/>
      <c r="O899" s="49">
        <f t="shared" si="481"/>
        <v>513</v>
      </c>
      <c r="P899" s="53"/>
      <c r="Q899" s="53"/>
      <c r="R899" s="76">
        <f t="shared" si="475"/>
        <v>372.803299492386</v>
      </c>
      <c r="S899" s="76"/>
      <c r="T899" s="77">
        <f t="shared" si="476"/>
        <v>1.03334390862944</v>
      </c>
      <c r="U899" s="76"/>
      <c r="V899" s="76"/>
      <c r="W899" s="78">
        <f t="shared" si="471"/>
        <v>373.836643401015</v>
      </c>
      <c r="X899" s="79">
        <f t="shared" si="477"/>
        <v>5.54310913705584</v>
      </c>
      <c r="Y899" s="79"/>
      <c r="Z899" s="79"/>
      <c r="AA899" s="79">
        <f t="shared" si="472"/>
        <v>5.54310913705584</v>
      </c>
      <c r="AB899" s="90">
        <v>7.15</v>
      </c>
      <c r="AC899" s="76">
        <f t="shared" si="473"/>
        <v>39.6332303299492</v>
      </c>
      <c r="AD899" s="76">
        <f t="shared" si="469"/>
        <v>413.469873730964</v>
      </c>
      <c r="AE899" s="76">
        <f t="shared" si="474"/>
        <v>99.5301262690356</v>
      </c>
    </row>
    <row r="900" customFormat="1" spans="1:31">
      <c r="A900" s="18"/>
      <c r="B900" s="19"/>
      <c r="C900" s="20">
        <v>240828000063</v>
      </c>
      <c r="D900" s="21">
        <v>45537</v>
      </c>
      <c r="E900" s="21" t="s">
        <v>51</v>
      </c>
      <c r="F900" s="19" t="s">
        <v>52</v>
      </c>
      <c r="G900" s="19" t="s">
        <v>122</v>
      </c>
      <c r="H900" s="19">
        <v>3</v>
      </c>
      <c r="I900" s="51">
        <v>183</v>
      </c>
      <c r="J900" s="52"/>
      <c r="K900" s="45"/>
      <c r="L900" s="19"/>
      <c r="M900" s="45"/>
      <c r="N900" s="48"/>
      <c r="O900" s="49">
        <f t="shared" si="481"/>
        <v>183</v>
      </c>
      <c r="P900" s="53"/>
      <c r="Q900" s="53"/>
      <c r="R900" s="76">
        <f t="shared" si="475"/>
        <v>124.267766497462</v>
      </c>
      <c r="S900" s="76"/>
      <c r="T900" s="77">
        <f t="shared" si="476"/>
        <v>0.344447969543147</v>
      </c>
      <c r="U900" s="76"/>
      <c r="V900" s="76"/>
      <c r="W900" s="78">
        <f t="shared" si="471"/>
        <v>124.612214467005</v>
      </c>
      <c r="X900" s="79">
        <f t="shared" si="477"/>
        <v>1.84770304568528</v>
      </c>
      <c r="Y900" s="79"/>
      <c r="Z900" s="79"/>
      <c r="AA900" s="79">
        <f t="shared" si="472"/>
        <v>1.84770304568528</v>
      </c>
      <c r="AB900" s="90">
        <v>7.15</v>
      </c>
      <c r="AC900" s="76">
        <f t="shared" si="473"/>
        <v>13.2110767766497</v>
      </c>
      <c r="AD900" s="76">
        <f t="shared" si="469"/>
        <v>137.823291243655</v>
      </c>
      <c r="AE900" s="76">
        <f t="shared" si="474"/>
        <v>45.1767087563452</v>
      </c>
    </row>
    <row r="901" customFormat="1" spans="1:31">
      <c r="A901" s="18"/>
      <c r="B901" s="19"/>
      <c r="C901" s="20">
        <v>240828000065</v>
      </c>
      <c r="D901" s="21">
        <v>45537</v>
      </c>
      <c r="E901" s="21" t="s">
        <v>44</v>
      </c>
      <c r="F901" s="19" t="s">
        <v>45</v>
      </c>
      <c r="G901" s="19" t="s">
        <v>534</v>
      </c>
      <c r="H901" s="19">
        <v>3</v>
      </c>
      <c r="I901" s="51">
        <v>183</v>
      </c>
      <c r="J901" s="52"/>
      <c r="K901" s="45"/>
      <c r="L901" s="19"/>
      <c r="M901" s="45"/>
      <c r="N901" s="48"/>
      <c r="O901" s="49">
        <f t="shared" si="481"/>
        <v>183</v>
      </c>
      <c r="P901" s="53"/>
      <c r="Q901" s="53"/>
      <c r="R901" s="76">
        <f t="shared" si="475"/>
        <v>124.267766497462</v>
      </c>
      <c r="S901" s="76"/>
      <c r="T901" s="77">
        <f t="shared" si="476"/>
        <v>0.344447969543147</v>
      </c>
      <c r="U901" s="76"/>
      <c r="V901" s="76"/>
      <c r="W901" s="78">
        <f t="shared" si="471"/>
        <v>124.612214467005</v>
      </c>
      <c r="X901" s="79">
        <f t="shared" si="477"/>
        <v>1.84770304568528</v>
      </c>
      <c r="Y901" s="79"/>
      <c r="Z901" s="79"/>
      <c r="AA901" s="79">
        <f t="shared" si="472"/>
        <v>1.84770304568528</v>
      </c>
      <c r="AB901" s="90">
        <v>7.15</v>
      </c>
      <c r="AC901" s="76">
        <f t="shared" si="473"/>
        <v>13.2110767766497</v>
      </c>
      <c r="AD901" s="76">
        <f t="shared" si="469"/>
        <v>137.823291243655</v>
      </c>
      <c r="AE901" s="76">
        <f t="shared" si="474"/>
        <v>45.1767087563452</v>
      </c>
    </row>
    <row r="902" customFormat="1" spans="1:31">
      <c r="A902" s="18"/>
      <c r="B902" s="19"/>
      <c r="C902" s="20">
        <v>240829000006</v>
      </c>
      <c r="D902" s="21">
        <v>45537</v>
      </c>
      <c r="E902" s="21" t="s">
        <v>37</v>
      </c>
      <c r="F902" s="19" t="s">
        <v>38</v>
      </c>
      <c r="G902" s="19" t="s">
        <v>66</v>
      </c>
      <c r="H902" s="19">
        <v>93.5</v>
      </c>
      <c r="I902" s="43"/>
      <c r="J902" s="44">
        <v>1230460</v>
      </c>
      <c r="K902" s="45"/>
      <c r="L902" s="46">
        <f t="shared" ref="L902:L904" si="482">SUM(J902/M902)</f>
        <v>1680.26764987027</v>
      </c>
      <c r="M902" s="47">
        <v>732.3</v>
      </c>
      <c r="N902" s="48">
        <v>7.15</v>
      </c>
      <c r="O902" s="49">
        <f t="shared" ref="O902:O904" si="483">SUM(M902*N902)</f>
        <v>5235.945</v>
      </c>
      <c r="P902" s="53"/>
      <c r="Q902" s="53"/>
      <c r="R902" s="76">
        <f t="shared" si="475"/>
        <v>3873.01205583756</v>
      </c>
      <c r="S902" s="76"/>
      <c r="T902" s="77">
        <f t="shared" si="476"/>
        <v>10.7352950507614</v>
      </c>
      <c r="U902" s="76"/>
      <c r="V902" s="76"/>
      <c r="W902" s="78">
        <f t="shared" si="471"/>
        <v>3883.74735088832</v>
      </c>
      <c r="X902" s="79">
        <f t="shared" si="477"/>
        <v>57.5867449238579</v>
      </c>
      <c r="Y902" s="79"/>
      <c r="Z902" s="79"/>
      <c r="AA902" s="79">
        <f t="shared" si="472"/>
        <v>57.5867449238579</v>
      </c>
      <c r="AB902" s="90">
        <v>7.15</v>
      </c>
      <c r="AC902" s="76">
        <f t="shared" si="473"/>
        <v>411.745226205584</v>
      </c>
      <c r="AD902" s="76">
        <f t="shared" si="469"/>
        <v>4295.49257709391</v>
      </c>
      <c r="AE902" s="76">
        <f t="shared" si="474"/>
        <v>940.452422906091</v>
      </c>
    </row>
    <row r="903" customFormat="1" spans="1:31">
      <c r="A903" s="18"/>
      <c r="B903" s="19"/>
      <c r="C903" s="20">
        <v>240829000007</v>
      </c>
      <c r="D903" s="21">
        <v>45537</v>
      </c>
      <c r="E903" s="21" t="s">
        <v>37</v>
      </c>
      <c r="F903" s="19" t="s">
        <v>38</v>
      </c>
      <c r="G903" s="19" t="s">
        <v>66</v>
      </c>
      <c r="H903" s="19">
        <v>8</v>
      </c>
      <c r="I903" s="43"/>
      <c r="J903" s="44">
        <v>105280</v>
      </c>
      <c r="K903" s="45"/>
      <c r="L903" s="46">
        <f t="shared" si="482"/>
        <v>1680.4469273743</v>
      </c>
      <c r="M903" s="47">
        <v>62.65</v>
      </c>
      <c r="N903" s="48">
        <v>7.15</v>
      </c>
      <c r="O903" s="49">
        <f t="shared" si="483"/>
        <v>447.9475</v>
      </c>
      <c r="P903" s="53"/>
      <c r="Q903" s="53"/>
      <c r="R903" s="76">
        <f t="shared" si="475"/>
        <v>331.380710659898</v>
      </c>
      <c r="S903" s="76"/>
      <c r="T903" s="77">
        <f t="shared" si="476"/>
        <v>0.918527918781726</v>
      </c>
      <c r="U903" s="76"/>
      <c r="V903" s="76"/>
      <c r="W903" s="78">
        <f t="shared" si="471"/>
        <v>332.29923857868</v>
      </c>
      <c r="X903" s="79">
        <f t="shared" si="477"/>
        <v>4.92720812182741</v>
      </c>
      <c r="Y903" s="79"/>
      <c r="Z903" s="79"/>
      <c r="AA903" s="79">
        <f t="shared" si="472"/>
        <v>4.92720812182741</v>
      </c>
      <c r="AB903" s="90">
        <v>7.15</v>
      </c>
      <c r="AC903" s="76">
        <f t="shared" si="473"/>
        <v>35.229538071066</v>
      </c>
      <c r="AD903" s="76">
        <f t="shared" si="469"/>
        <v>367.528776649746</v>
      </c>
      <c r="AE903" s="76">
        <f t="shared" si="474"/>
        <v>80.4187233502539</v>
      </c>
    </row>
    <row r="904" customFormat="1" spans="1:31">
      <c r="A904" s="18"/>
      <c r="B904" s="19"/>
      <c r="C904" s="22">
        <v>240829000009</v>
      </c>
      <c r="D904" s="23">
        <v>45537</v>
      </c>
      <c r="E904" s="21" t="s">
        <v>37</v>
      </c>
      <c r="F904" s="24" t="s">
        <v>38</v>
      </c>
      <c r="G904" s="24" t="s">
        <v>146</v>
      </c>
      <c r="H904" s="24">
        <v>36</v>
      </c>
      <c r="I904" s="43"/>
      <c r="J904" s="44">
        <v>427788</v>
      </c>
      <c r="K904" s="45"/>
      <c r="L904" s="46">
        <f t="shared" si="482"/>
        <v>1665.97087000545</v>
      </c>
      <c r="M904" s="47">
        <v>256.78</v>
      </c>
      <c r="N904" s="48">
        <v>7.15</v>
      </c>
      <c r="O904" s="49">
        <f t="shared" si="483"/>
        <v>1835.977</v>
      </c>
      <c r="P904" s="53"/>
      <c r="Q904" s="53"/>
      <c r="R904" s="76">
        <f t="shared" si="475"/>
        <v>1491.21319796954</v>
      </c>
      <c r="S904" s="76"/>
      <c r="T904" s="77">
        <f t="shared" si="476"/>
        <v>4.13337563451777</v>
      </c>
      <c r="U904" s="76"/>
      <c r="V904" s="76"/>
      <c r="W904" s="78">
        <f t="shared" si="471"/>
        <v>1495.34657360406</v>
      </c>
      <c r="X904" s="79">
        <f t="shared" si="477"/>
        <v>22.1724365482233</v>
      </c>
      <c r="Y904" s="79"/>
      <c r="Z904" s="79"/>
      <c r="AA904" s="79">
        <f t="shared" si="472"/>
        <v>22.1724365482233</v>
      </c>
      <c r="AB904" s="90">
        <v>7.15</v>
      </c>
      <c r="AC904" s="76">
        <f t="shared" si="473"/>
        <v>158.532921319797</v>
      </c>
      <c r="AD904" s="76">
        <f t="shared" si="469"/>
        <v>1653.87949492386</v>
      </c>
      <c r="AE904" s="76">
        <f t="shared" si="474"/>
        <v>182.097505076142</v>
      </c>
    </row>
    <row r="905" customFormat="1" spans="1:31">
      <c r="A905" s="18"/>
      <c r="B905" s="19"/>
      <c r="C905" s="20">
        <v>240829000011</v>
      </c>
      <c r="D905" s="21">
        <v>45537</v>
      </c>
      <c r="E905" s="21" t="s">
        <v>37</v>
      </c>
      <c r="F905" s="19" t="s">
        <v>38</v>
      </c>
      <c r="G905" s="19" t="s">
        <v>533</v>
      </c>
      <c r="H905" s="19">
        <v>5.5</v>
      </c>
      <c r="I905" s="51">
        <v>344.5</v>
      </c>
      <c r="J905" s="52"/>
      <c r="K905" s="45"/>
      <c r="L905" s="19"/>
      <c r="M905" s="45"/>
      <c r="N905" s="48"/>
      <c r="O905" s="49">
        <f t="shared" ref="O905:O909" si="484">SUM(I905)</f>
        <v>344.5</v>
      </c>
      <c r="P905" s="53"/>
      <c r="Q905" s="53"/>
      <c r="R905" s="76">
        <f t="shared" si="475"/>
        <v>227.82423857868</v>
      </c>
      <c r="S905" s="76"/>
      <c r="T905" s="77">
        <f t="shared" si="476"/>
        <v>0.631487944162436</v>
      </c>
      <c r="U905" s="76"/>
      <c r="V905" s="76"/>
      <c r="W905" s="78">
        <f t="shared" si="471"/>
        <v>228.455726522843</v>
      </c>
      <c r="X905" s="79">
        <f t="shared" si="477"/>
        <v>3.38745558375634</v>
      </c>
      <c r="Y905" s="79"/>
      <c r="Z905" s="79"/>
      <c r="AA905" s="79">
        <f t="shared" si="472"/>
        <v>3.38745558375634</v>
      </c>
      <c r="AB905" s="90">
        <v>7.15</v>
      </c>
      <c r="AC905" s="76">
        <f t="shared" si="473"/>
        <v>24.2203074238579</v>
      </c>
      <c r="AD905" s="76">
        <f t="shared" si="469"/>
        <v>252.6760339467</v>
      </c>
      <c r="AE905" s="76">
        <f t="shared" si="474"/>
        <v>91.8239660532995</v>
      </c>
    </row>
    <row r="906" customFormat="1" spans="1:31">
      <c r="A906" s="18"/>
      <c r="B906" s="19"/>
      <c r="C906" s="20">
        <v>240829000015</v>
      </c>
      <c r="D906" s="21">
        <v>45537</v>
      </c>
      <c r="E906" s="21" t="s">
        <v>41</v>
      </c>
      <c r="F906" s="19" t="s">
        <v>42</v>
      </c>
      <c r="G906" s="19" t="s">
        <v>166</v>
      </c>
      <c r="H906" s="19">
        <v>3</v>
      </c>
      <c r="I906" s="51">
        <v>153</v>
      </c>
      <c r="J906" s="52"/>
      <c r="K906" s="45"/>
      <c r="L906" s="19"/>
      <c r="M906" s="45"/>
      <c r="N906" s="48"/>
      <c r="O906" s="49">
        <f t="shared" si="484"/>
        <v>153</v>
      </c>
      <c r="P906" s="53"/>
      <c r="Q906" s="53"/>
      <c r="R906" s="76">
        <f t="shared" si="475"/>
        <v>124.267766497462</v>
      </c>
      <c r="S906" s="76"/>
      <c r="T906" s="77">
        <f t="shared" si="476"/>
        <v>0.344447969543147</v>
      </c>
      <c r="U906" s="76"/>
      <c r="V906" s="76"/>
      <c r="W906" s="78">
        <f t="shared" si="471"/>
        <v>124.612214467005</v>
      </c>
      <c r="X906" s="79">
        <f t="shared" si="477"/>
        <v>1.84770304568528</v>
      </c>
      <c r="Y906" s="79"/>
      <c r="Z906" s="79"/>
      <c r="AA906" s="79">
        <f t="shared" si="472"/>
        <v>1.84770304568528</v>
      </c>
      <c r="AB906" s="90">
        <v>7.15</v>
      </c>
      <c r="AC906" s="76">
        <f t="shared" si="473"/>
        <v>13.2110767766497</v>
      </c>
      <c r="AD906" s="76">
        <f t="shared" si="469"/>
        <v>137.823291243655</v>
      </c>
      <c r="AE906" s="76">
        <f t="shared" si="474"/>
        <v>15.1767087563452</v>
      </c>
    </row>
    <row r="907" customFormat="1" spans="1:31">
      <c r="A907" s="18"/>
      <c r="B907" s="19"/>
      <c r="C907" s="20">
        <v>240829000016</v>
      </c>
      <c r="D907" s="21">
        <v>45537</v>
      </c>
      <c r="E907" s="21" t="s">
        <v>37</v>
      </c>
      <c r="F907" s="19" t="s">
        <v>38</v>
      </c>
      <c r="G907" s="19" t="s">
        <v>198</v>
      </c>
      <c r="H907" s="19">
        <v>7</v>
      </c>
      <c r="I907" s="51">
        <v>420</v>
      </c>
      <c r="J907" s="52"/>
      <c r="K907" s="45"/>
      <c r="L907" s="19"/>
      <c r="M907" s="45"/>
      <c r="N907" s="48"/>
      <c r="O907" s="49">
        <f t="shared" si="484"/>
        <v>420</v>
      </c>
      <c r="P907" s="53"/>
      <c r="Q907" s="53"/>
      <c r="R907" s="76">
        <f t="shared" si="475"/>
        <v>289.958121827411</v>
      </c>
      <c r="S907" s="76"/>
      <c r="T907" s="77">
        <f t="shared" si="476"/>
        <v>0.80371192893401</v>
      </c>
      <c r="U907" s="76"/>
      <c r="V907" s="76"/>
      <c r="W907" s="78">
        <f t="shared" si="471"/>
        <v>290.761833756345</v>
      </c>
      <c r="X907" s="79">
        <f t="shared" si="477"/>
        <v>4.31130710659898</v>
      </c>
      <c r="Y907" s="79"/>
      <c r="Z907" s="79"/>
      <c r="AA907" s="79">
        <f t="shared" si="472"/>
        <v>4.31130710659898</v>
      </c>
      <c r="AB907" s="90">
        <v>7.15</v>
      </c>
      <c r="AC907" s="76">
        <f t="shared" si="473"/>
        <v>30.8258458121827</v>
      </c>
      <c r="AD907" s="76">
        <f t="shared" si="469"/>
        <v>321.587679568528</v>
      </c>
      <c r="AE907" s="76">
        <f t="shared" si="474"/>
        <v>98.412320431472</v>
      </c>
    </row>
    <row r="908" customFormat="1" spans="1:31">
      <c r="A908" s="18"/>
      <c r="B908" s="19"/>
      <c r="C908" s="20">
        <v>240829000017</v>
      </c>
      <c r="D908" s="21">
        <v>45537</v>
      </c>
      <c r="E908" s="21" t="s">
        <v>41</v>
      </c>
      <c r="F908" s="19" t="s">
        <v>42</v>
      </c>
      <c r="G908" s="19" t="s">
        <v>166</v>
      </c>
      <c r="H908" s="19">
        <v>5</v>
      </c>
      <c r="I908" s="51">
        <v>255</v>
      </c>
      <c r="J908" s="52"/>
      <c r="K908" s="45"/>
      <c r="L908" s="19"/>
      <c r="M908" s="45"/>
      <c r="N908" s="48"/>
      <c r="O908" s="49">
        <f t="shared" si="484"/>
        <v>255</v>
      </c>
      <c r="P908" s="53"/>
      <c r="Q908" s="53"/>
      <c r="R908" s="76">
        <f t="shared" si="475"/>
        <v>207.112944162437</v>
      </c>
      <c r="S908" s="76"/>
      <c r="T908" s="77">
        <f t="shared" si="476"/>
        <v>0.574079949238579</v>
      </c>
      <c r="U908" s="76"/>
      <c r="V908" s="76"/>
      <c r="W908" s="78">
        <f t="shared" si="471"/>
        <v>207.687024111675</v>
      </c>
      <c r="X908" s="79">
        <f t="shared" si="477"/>
        <v>3.07950507614213</v>
      </c>
      <c r="Y908" s="79"/>
      <c r="Z908" s="79"/>
      <c r="AA908" s="79">
        <f t="shared" si="472"/>
        <v>3.07950507614213</v>
      </c>
      <c r="AB908" s="90">
        <v>7.15</v>
      </c>
      <c r="AC908" s="76">
        <f t="shared" si="473"/>
        <v>22.0184612944162</v>
      </c>
      <c r="AD908" s="76">
        <f t="shared" si="469"/>
        <v>229.705485406091</v>
      </c>
      <c r="AE908" s="76">
        <f t="shared" si="474"/>
        <v>25.2945145939086</v>
      </c>
    </row>
    <row r="909" customFormat="1" spans="1:31">
      <c r="A909" s="18"/>
      <c r="B909" s="19"/>
      <c r="C909" s="20">
        <v>240829000018</v>
      </c>
      <c r="D909" s="21">
        <v>45537</v>
      </c>
      <c r="E909" s="21" t="s">
        <v>41</v>
      </c>
      <c r="F909" s="19" t="s">
        <v>42</v>
      </c>
      <c r="G909" s="19" t="s">
        <v>166</v>
      </c>
      <c r="H909" s="19">
        <v>11.5</v>
      </c>
      <c r="I909" s="51">
        <v>586.5</v>
      </c>
      <c r="J909" s="52"/>
      <c r="K909" s="45"/>
      <c r="L909" s="19"/>
      <c r="M909" s="45"/>
      <c r="N909" s="48"/>
      <c r="O909" s="49">
        <f t="shared" si="484"/>
        <v>586.5</v>
      </c>
      <c r="P909" s="53"/>
      <c r="Q909" s="53"/>
      <c r="R909" s="76">
        <f t="shared" si="475"/>
        <v>476.359771573604</v>
      </c>
      <c r="S909" s="76"/>
      <c r="T909" s="77">
        <f t="shared" si="476"/>
        <v>1.32038388324873</v>
      </c>
      <c r="U909" s="76"/>
      <c r="V909" s="76"/>
      <c r="W909" s="78">
        <f t="shared" si="471"/>
        <v>477.680155456853</v>
      </c>
      <c r="X909" s="79">
        <f t="shared" si="477"/>
        <v>7.0828616751269</v>
      </c>
      <c r="Y909" s="79"/>
      <c r="Z909" s="79"/>
      <c r="AA909" s="79">
        <f t="shared" si="472"/>
        <v>7.0828616751269</v>
      </c>
      <c r="AB909" s="90">
        <v>7.15</v>
      </c>
      <c r="AC909" s="76">
        <f t="shared" si="473"/>
        <v>50.6424609771574</v>
      </c>
      <c r="AD909" s="76">
        <f t="shared" si="469"/>
        <v>528.32261643401</v>
      </c>
      <c r="AE909" s="76">
        <f t="shared" si="474"/>
        <v>58.1773835659899</v>
      </c>
    </row>
    <row r="910" customFormat="1" spans="1:31">
      <c r="A910" s="18"/>
      <c r="B910" s="19"/>
      <c r="C910" s="20">
        <v>240829000019</v>
      </c>
      <c r="D910" s="21">
        <v>45537</v>
      </c>
      <c r="E910" s="21" t="s">
        <v>51</v>
      </c>
      <c r="F910" s="19" t="s">
        <v>52</v>
      </c>
      <c r="G910" s="19" t="s">
        <v>171</v>
      </c>
      <c r="H910" s="19">
        <v>266</v>
      </c>
      <c r="I910" s="49"/>
      <c r="J910" s="44">
        <v>3362832</v>
      </c>
      <c r="K910" s="45"/>
      <c r="L910" s="46">
        <f t="shared" ref="L910:L913" si="485">SUM(J910/M910)</f>
        <v>1759.99990788717</v>
      </c>
      <c r="M910" s="47">
        <v>1910.7001</v>
      </c>
      <c r="N910" s="48">
        <v>7.15</v>
      </c>
      <c r="O910" s="49">
        <f t="shared" ref="O910:O913" si="486">SUM(M910*N910)</f>
        <v>13661.505715</v>
      </c>
      <c r="P910" s="53"/>
      <c r="Q910" s="53"/>
      <c r="R910" s="76">
        <f t="shared" si="475"/>
        <v>11018.4086294416</v>
      </c>
      <c r="S910" s="76"/>
      <c r="T910" s="77">
        <f t="shared" si="476"/>
        <v>30.5410532994924</v>
      </c>
      <c r="U910" s="76"/>
      <c r="V910" s="76"/>
      <c r="W910" s="78">
        <f t="shared" si="471"/>
        <v>11048.9496827411</v>
      </c>
      <c r="X910" s="79">
        <f t="shared" si="477"/>
        <v>163.829670050761</v>
      </c>
      <c r="Y910" s="79"/>
      <c r="Z910" s="79"/>
      <c r="AA910" s="79">
        <f t="shared" si="472"/>
        <v>163.829670050761</v>
      </c>
      <c r="AB910" s="90">
        <v>7.15</v>
      </c>
      <c r="AC910" s="76">
        <f t="shared" si="473"/>
        <v>1171.38214086294</v>
      </c>
      <c r="AD910" s="76">
        <f t="shared" ref="AD910:AD936" si="487">SUM(W910+AC910)</f>
        <v>12220.3318236041</v>
      </c>
      <c r="AE910" s="76">
        <f t="shared" si="474"/>
        <v>1441.17389139594</v>
      </c>
    </row>
    <row r="911" customFormat="1" spans="1:31">
      <c r="A911" s="18"/>
      <c r="B911" s="19"/>
      <c r="C911" s="20">
        <v>240829000020</v>
      </c>
      <c r="D911" s="21">
        <v>45537</v>
      </c>
      <c r="E911" s="21" t="s">
        <v>41</v>
      </c>
      <c r="F911" s="19" t="s">
        <v>42</v>
      </c>
      <c r="G911" s="19" t="s">
        <v>43</v>
      </c>
      <c r="H911" s="19">
        <v>3</v>
      </c>
      <c r="I911" s="51">
        <v>166</v>
      </c>
      <c r="J911" s="52"/>
      <c r="K911" s="45"/>
      <c r="L911" s="19"/>
      <c r="M911" s="45"/>
      <c r="N911" s="48"/>
      <c r="O911" s="49">
        <f t="shared" ref="O911:O918" si="488">SUM(I911)</f>
        <v>166</v>
      </c>
      <c r="P911" s="53"/>
      <c r="Q911" s="53"/>
      <c r="R911" s="76">
        <f t="shared" si="475"/>
        <v>124.267766497462</v>
      </c>
      <c r="S911" s="76"/>
      <c r="T911" s="77">
        <f t="shared" si="476"/>
        <v>0.344447969543147</v>
      </c>
      <c r="U911" s="76"/>
      <c r="V911" s="77">
        <v>13</v>
      </c>
      <c r="W911" s="78">
        <f t="shared" si="471"/>
        <v>137.612214467005</v>
      </c>
      <c r="X911" s="79">
        <f t="shared" si="477"/>
        <v>1.84770304568528</v>
      </c>
      <c r="Y911" s="79"/>
      <c r="Z911" s="79"/>
      <c r="AA911" s="79">
        <f t="shared" si="472"/>
        <v>1.84770304568528</v>
      </c>
      <c r="AB911" s="90">
        <v>7.15</v>
      </c>
      <c r="AC911" s="76">
        <f t="shared" si="473"/>
        <v>13.2110767766497</v>
      </c>
      <c r="AD911" s="76">
        <f t="shared" si="487"/>
        <v>150.823291243655</v>
      </c>
      <c r="AE911" s="76">
        <f t="shared" si="474"/>
        <v>15.1767087563452</v>
      </c>
    </row>
    <row r="912" customFormat="1" spans="1:31">
      <c r="A912" s="18"/>
      <c r="B912" s="19"/>
      <c r="C912" s="20">
        <v>240829000021</v>
      </c>
      <c r="D912" s="21">
        <v>45537</v>
      </c>
      <c r="E912" s="21" t="s">
        <v>44</v>
      </c>
      <c r="F912" s="19" t="s">
        <v>45</v>
      </c>
      <c r="G912" s="19" t="s">
        <v>535</v>
      </c>
      <c r="H912" s="19">
        <v>0.41</v>
      </c>
      <c r="I912" s="49"/>
      <c r="J912" s="44">
        <v>14068.5</v>
      </c>
      <c r="K912" s="45"/>
      <c r="L912" s="46">
        <f t="shared" si="485"/>
        <v>1695</v>
      </c>
      <c r="M912" s="47">
        <v>8.3</v>
      </c>
      <c r="N912" s="48">
        <v>7.15</v>
      </c>
      <c r="O912" s="49">
        <f t="shared" si="486"/>
        <v>59.345</v>
      </c>
      <c r="P912" s="53"/>
      <c r="Q912" s="53"/>
      <c r="R912" s="76">
        <f t="shared" si="475"/>
        <v>16.9832614213198</v>
      </c>
      <c r="S912" s="76"/>
      <c r="T912" s="77">
        <f t="shared" si="476"/>
        <v>0.0470745558375634</v>
      </c>
      <c r="U912" s="76"/>
      <c r="V912" s="76"/>
      <c r="W912" s="78">
        <f t="shared" si="471"/>
        <v>17.0303359771574</v>
      </c>
      <c r="X912" s="79">
        <f t="shared" si="477"/>
        <v>0.252519416243655</v>
      </c>
      <c r="Y912" s="79"/>
      <c r="Z912" s="79"/>
      <c r="AA912" s="79">
        <f t="shared" si="472"/>
        <v>0.252519416243655</v>
      </c>
      <c r="AB912" s="90">
        <v>7.15</v>
      </c>
      <c r="AC912" s="76">
        <f t="shared" si="473"/>
        <v>1.80551382614213</v>
      </c>
      <c r="AD912" s="76">
        <f t="shared" si="487"/>
        <v>18.8358498032995</v>
      </c>
      <c r="AE912" s="76">
        <f t="shared" si="474"/>
        <v>40.5091501967005</v>
      </c>
    </row>
    <row r="913" customFormat="1" spans="1:31">
      <c r="A913" s="18"/>
      <c r="B913" s="19"/>
      <c r="C913" s="20">
        <v>240829000022</v>
      </c>
      <c r="D913" s="21">
        <v>45537</v>
      </c>
      <c r="E913" s="21" t="s">
        <v>37</v>
      </c>
      <c r="F913" s="19" t="s">
        <v>38</v>
      </c>
      <c r="G913" s="19" t="s">
        <v>66</v>
      </c>
      <c r="H913" s="19">
        <v>10</v>
      </c>
      <c r="I913" s="43"/>
      <c r="J913" s="44">
        <v>131600</v>
      </c>
      <c r="K913" s="45"/>
      <c r="L913" s="46">
        <f t="shared" si="485"/>
        <v>1680.2860061287</v>
      </c>
      <c r="M913" s="47">
        <v>78.32</v>
      </c>
      <c r="N913" s="48">
        <v>7.15</v>
      </c>
      <c r="O913" s="49">
        <f t="shared" si="486"/>
        <v>559.988</v>
      </c>
      <c r="P913" s="53"/>
      <c r="Q913" s="53"/>
      <c r="R913" s="76">
        <f t="shared" si="475"/>
        <v>414.225888324873</v>
      </c>
      <c r="S913" s="76"/>
      <c r="T913" s="77">
        <f t="shared" si="476"/>
        <v>1.14815989847716</v>
      </c>
      <c r="U913" s="76"/>
      <c r="V913" s="76"/>
      <c r="W913" s="78">
        <f t="shared" si="471"/>
        <v>415.37404822335</v>
      </c>
      <c r="X913" s="79">
        <f t="shared" si="477"/>
        <v>6.15901015228426</v>
      </c>
      <c r="Y913" s="79"/>
      <c r="Z913" s="79"/>
      <c r="AA913" s="79">
        <f t="shared" si="472"/>
        <v>6.15901015228426</v>
      </c>
      <c r="AB913" s="90">
        <v>7.15</v>
      </c>
      <c r="AC913" s="76">
        <f t="shared" si="473"/>
        <v>44.0369225888325</v>
      </c>
      <c r="AD913" s="76">
        <f t="shared" si="487"/>
        <v>459.410970812183</v>
      </c>
      <c r="AE913" s="76">
        <f t="shared" si="474"/>
        <v>100.577029187817</v>
      </c>
    </row>
    <row r="914" customFormat="1" spans="1:31">
      <c r="A914" s="18"/>
      <c r="B914" s="19"/>
      <c r="C914" s="20">
        <v>240829000023</v>
      </c>
      <c r="D914" s="21">
        <v>45537</v>
      </c>
      <c r="E914" s="21" t="s">
        <v>37</v>
      </c>
      <c r="F914" s="19" t="s">
        <v>38</v>
      </c>
      <c r="G914" s="19" t="s">
        <v>75</v>
      </c>
      <c r="H914" s="19">
        <v>9</v>
      </c>
      <c r="I914" s="51">
        <v>459</v>
      </c>
      <c r="J914" s="52"/>
      <c r="K914" s="45"/>
      <c r="L914" s="19"/>
      <c r="M914" s="45"/>
      <c r="N914" s="48"/>
      <c r="O914" s="49">
        <f t="shared" si="488"/>
        <v>459</v>
      </c>
      <c r="P914" s="53"/>
      <c r="Q914" s="53"/>
      <c r="R914" s="76">
        <f t="shared" si="475"/>
        <v>372.803299492386</v>
      </c>
      <c r="S914" s="76"/>
      <c r="T914" s="77">
        <f t="shared" si="476"/>
        <v>1.03334390862944</v>
      </c>
      <c r="U914" s="76"/>
      <c r="V914" s="76"/>
      <c r="W914" s="78">
        <f t="shared" ref="W914:W936" si="489">SUM(R914:V914)</f>
        <v>373.836643401015</v>
      </c>
      <c r="X914" s="79">
        <f t="shared" si="477"/>
        <v>5.54310913705584</v>
      </c>
      <c r="Y914" s="79"/>
      <c r="Z914" s="79"/>
      <c r="AA914" s="79">
        <f t="shared" ref="AA914:AA936" si="490">SUM(X914:Z914)</f>
        <v>5.54310913705584</v>
      </c>
      <c r="AB914" s="90">
        <v>7.15</v>
      </c>
      <c r="AC914" s="76">
        <f t="shared" ref="AC914:AC936" si="491">SUM(AA914*AB914)</f>
        <v>39.6332303299492</v>
      </c>
      <c r="AD914" s="76">
        <f t="shared" si="487"/>
        <v>413.469873730964</v>
      </c>
      <c r="AE914" s="76">
        <f t="shared" ref="AE914:AE936" si="492">SUM(O914-AD914)</f>
        <v>45.5301262690356</v>
      </c>
    </row>
    <row r="915" customFormat="1" spans="1:31">
      <c r="A915" s="18"/>
      <c r="B915" s="19"/>
      <c r="C915" s="20">
        <v>240829000029</v>
      </c>
      <c r="D915" s="21">
        <v>45537</v>
      </c>
      <c r="E915" s="21" t="s">
        <v>41</v>
      </c>
      <c r="F915" s="19" t="s">
        <v>42</v>
      </c>
      <c r="G915" s="19" t="s">
        <v>277</v>
      </c>
      <c r="H915" s="19">
        <v>0.66</v>
      </c>
      <c r="I915" s="51">
        <v>63</v>
      </c>
      <c r="J915" s="52"/>
      <c r="K915" s="45"/>
      <c r="L915" s="19"/>
      <c r="M915" s="45"/>
      <c r="N915" s="48"/>
      <c r="O915" s="49">
        <f t="shared" si="488"/>
        <v>63</v>
      </c>
      <c r="P915" s="53"/>
      <c r="Q915" s="53"/>
      <c r="R915" s="76">
        <f t="shared" si="475"/>
        <v>27.3389086294416</v>
      </c>
      <c r="S915" s="76"/>
      <c r="T915" s="77">
        <f t="shared" si="476"/>
        <v>0.0757785532994924</v>
      </c>
      <c r="U915" s="76"/>
      <c r="V915" s="76"/>
      <c r="W915" s="78">
        <f t="shared" si="489"/>
        <v>27.4146871827411</v>
      </c>
      <c r="X915" s="79">
        <f t="shared" si="477"/>
        <v>0.406494670050761</v>
      </c>
      <c r="Y915" s="79"/>
      <c r="Z915" s="79"/>
      <c r="AA915" s="79">
        <f t="shared" si="490"/>
        <v>0.406494670050761</v>
      </c>
      <c r="AB915" s="90">
        <v>7.15</v>
      </c>
      <c r="AC915" s="76">
        <f t="shared" si="491"/>
        <v>2.90643689086294</v>
      </c>
      <c r="AD915" s="76">
        <f t="shared" si="487"/>
        <v>30.3211240736041</v>
      </c>
      <c r="AE915" s="76">
        <f t="shared" si="492"/>
        <v>32.6788759263959</v>
      </c>
    </row>
    <row r="916" customFormat="1" spans="1:31">
      <c r="A916" s="18"/>
      <c r="B916" s="19"/>
      <c r="C916" s="20">
        <v>240829000030</v>
      </c>
      <c r="D916" s="21">
        <v>45537</v>
      </c>
      <c r="E916" s="21" t="s">
        <v>51</v>
      </c>
      <c r="F916" s="19" t="s">
        <v>52</v>
      </c>
      <c r="G916" s="19" t="s">
        <v>536</v>
      </c>
      <c r="H916" s="19">
        <v>51.5</v>
      </c>
      <c r="I916" s="51">
        <v>2729.5</v>
      </c>
      <c r="J916" s="52"/>
      <c r="K916" s="45"/>
      <c r="L916" s="19"/>
      <c r="M916" s="45"/>
      <c r="N916" s="48"/>
      <c r="O916" s="49">
        <f t="shared" si="488"/>
        <v>2729.5</v>
      </c>
      <c r="P916" s="53"/>
      <c r="Q916" s="53"/>
      <c r="R916" s="76">
        <f t="shared" ref="R916:R936" si="493">SUM(65282/1576)*H916</f>
        <v>2133.2633248731</v>
      </c>
      <c r="S916" s="76"/>
      <c r="T916" s="77">
        <f t="shared" ref="T916:T936" si="494">SUM(180.95/1576)*H916</f>
        <v>5.91302347715736</v>
      </c>
      <c r="U916" s="76"/>
      <c r="V916" s="76"/>
      <c r="W916" s="78">
        <f t="shared" si="489"/>
        <v>2139.17634835025</v>
      </c>
      <c r="X916" s="79">
        <f t="shared" ref="X916:X936" si="495">SUM(970.66/1576)*H916</f>
        <v>31.718902284264</v>
      </c>
      <c r="Y916" s="79"/>
      <c r="Z916" s="79"/>
      <c r="AA916" s="79">
        <f t="shared" si="490"/>
        <v>31.718902284264</v>
      </c>
      <c r="AB916" s="90">
        <v>7.15</v>
      </c>
      <c r="AC916" s="76">
        <f t="shared" si="491"/>
        <v>226.790151332487</v>
      </c>
      <c r="AD916" s="76">
        <f t="shared" si="487"/>
        <v>2365.96649968274</v>
      </c>
      <c r="AE916" s="76">
        <f t="shared" si="492"/>
        <v>363.533500317259</v>
      </c>
    </row>
    <row r="917" customFormat="1" spans="1:31">
      <c r="A917" s="18"/>
      <c r="B917" s="19"/>
      <c r="C917" s="20">
        <v>240829000032</v>
      </c>
      <c r="D917" s="21">
        <v>45537</v>
      </c>
      <c r="E917" s="21" t="s">
        <v>51</v>
      </c>
      <c r="F917" s="19" t="s">
        <v>52</v>
      </c>
      <c r="G917" s="19" t="s">
        <v>416</v>
      </c>
      <c r="H917" s="19">
        <v>20.5</v>
      </c>
      <c r="I917" s="51">
        <v>1297</v>
      </c>
      <c r="J917" s="52"/>
      <c r="K917" s="45"/>
      <c r="L917" s="19"/>
      <c r="M917" s="45"/>
      <c r="N917" s="48"/>
      <c r="O917" s="49">
        <f t="shared" si="488"/>
        <v>1297</v>
      </c>
      <c r="P917" s="53"/>
      <c r="Q917" s="53"/>
      <c r="R917" s="76">
        <f t="shared" si="493"/>
        <v>849.16307106599</v>
      </c>
      <c r="S917" s="76"/>
      <c r="T917" s="77">
        <f t="shared" si="494"/>
        <v>2.35372779187817</v>
      </c>
      <c r="U917" s="76"/>
      <c r="V917" s="76"/>
      <c r="W917" s="78">
        <f t="shared" si="489"/>
        <v>851.516798857868</v>
      </c>
      <c r="X917" s="79">
        <f t="shared" si="495"/>
        <v>12.6259708121827</v>
      </c>
      <c r="Y917" s="79"/>
      <c r="Z917" s="79"/>
      <c r="AA917" s="79">
        <f t="shared" si="490"/>
        <v>12.6259708121827</v>
      </c>
      <c r="AB917" s="90">
        <v>7.15</v>
      </c>
      <c r="AC917" s="76">
        <f t="shared" si="491"/>
        <v>90.2756913071066</v>
      </c>
      <c r="AD917" s="76">
        <f t="shared" si="487"/>
        <v>941.792490164975</v>
      </c>
      <c r="AE917" s="76">
        <f t="shared" si="492"/>
        <v>355.207509835025</v>
      </c>
    </row>
    <row r="918" customFormat="1" spans="1:31">
      <c r="A918" s="18"/>
      <c r="B918" s="19"/>
      <c r="C918" s="20">
        <v>240829000033</v>
      </c>
      <c r="D918" s="21">
        <v>45537</v>
      </c>
      <c r="E918" s="21" t="s">
        <v>51</v>
      </c>
      <c r="F918" s="19" t="s">
        <v>52</v>
      </c>
      <c r="G918" s="19" t="s">
        <v>281</v>
      </c>
      <c r="H918" s="19">
        <v>18.5</v>
      </c>
      <c r="I918" s="51">
        <v>1060.5</v>
      </c>
      <c r="J918" s="52"/>
      <c r="K918" s="45"/>
      <c r="L918" s="19"/>
      <c r="M918" s="45"/>
      <c r="N918" s="48"/>
      <c r="O918" s="49">
        <f t="shared" si="488"/>
        <v>1060.5</v>
      </c>
      <c r="P918" s="53"/>
      <c r="Q918" s="53"/>
      <c r="R918" s="76">
        <f t="shared" si="493"/>
        <v>766.317893401015</v>
      </c>
      <c r="S918" s="76"/>
      <c r="T918" s="77">
        <f t="shared" si="494"/>
        <v>2.12409581218274</v>
      </c>
      <c r="U918" s="76"/>
      <c r="V918" s="76"/>
      <c r="W918" s="78">
        <f t="shared" si="489"/>
        <v>768.441989213198</v>
      </c>
      <c r="X918" s="79">
        <f t="shared" si="495"/>
        <v>11.3941687817259</v>
      </c>
      <c r="Y918" s="79"/>
      <c r="Z918" s="79"/>
      <c r="AA918" s="79">
        <f t="shared" si="490"/>
        <v>11.3941687817259</v>
      </c>
      <c r="AB918" s="90">
        <v>7.15</v>
      </c>
      <c r="AC918" s="76">
        <f t="shared" si="491"/>
        <v>81.4683067893401</v>
      </c>
      <c r="AD918" s="76">
        <f t="shared" si="487"/>
        <v>849.910296002538</v>
      </c>
      <c r="AE918" s="76">
        <f t="shared" si="492"/>
        <v>210.589703997462</v>
      </c>
    </row>
    <row r="919" customFormat="1" spans="1:31">
      <c r="A919" s="18"/>
      <c r="B919" s="19"/>
      <c r="C919" s="20">
        <v>240829000036</v>
      </c>
      <c r="D919" s="21">
        <v>45537</v>
      </c>
      <c r="E919" s="21" t="s">
        <v>37</v>
      </c>
      <c r="F919" s="19" t="s">
        <v>38</v>
      </c>
      <c r="G919" s="19" t="s">
        <v>207</v>
      </c>
      <c r="H919" s="19">
        <v>31</v>
      </c>
      <c r="I919" s="43"/>
      <c r="J919" s="44">
        <v>368373</v>
      </c>
      <c r="K919" s="45"/>
      <c r="L919" s="46">
        <f>SUM(J919/M919)</f>
        <v>1666.01691465786</v>
      </c>
      <c r="M919" s="47">
        <v>221.11</v>
      </c>
      <c r="N919" s="48">
        <v>7.15</v>
      </c>
      <c r="O919" s="49">
        <f>SUM(M919*N919)</f>
        <v>1580.9365</v>
      </c>
      <c r="P919" s="53"/>
      <c r="Q919" s="53"/>
      <c r="R919" s="76">
        <f t="shared" si="493"/>
        <v>1284.10025380711</v>
      </c>
      <c r="S919" s="76"/>
      <c r="T919" s="77">
        <f t="shared" si="494"/>
        <v>3.55929568527919</v>
      </c>
      <c r="U919" s="76"/>
      <c r="V919" s="76"/>
      <c r="W919" s="78">
        <f t="shared" si="489"/>
        <v>1287.65954949239</v>
      </c>
      <c r="X919" s="79">
        <f t="shared" si="495"/>
        <v>19.0929314720812</v>
      </c>
      <c r="Y919" s="79"/>
      <c r="Z919" s="79"/>
      <c r="AA919" s="79">
        <f t="shared" si="490"/>
        <v>19.0929314720812</v>
      </c>
      <c r="AB919" s="90">
        <v>7.15</v>
      </c>
      <c r="AC919" s="76">
        <f t="shared" si="491"/>
        <v>136.514460025381</v>
      </c>
      <c r="AD919" s="76">
        <f t="shared" si="487"/>
        <v>1424.17400951777</v>
      </c>
      <c r="AE919" s="76">
        <f t="shared" si="492"/>
        <v>156.762490482233</v>
      </c>
    </row>
    <row r="920" customFormat="1" spans="1:31">
      <c r="A920" s="18"/>
      <c r="B920" s="19"/>
      <c r="C920" s="20">
        <v>240829000037</v>
      </c>
      <c r="D920" s="21">
        <v>45537</v>
      </c>
      <c r="E920" s="21" t="s">
        <v>37</v>
      </c>
      <c r="F920" s="19" t="s">
        <v>38</v>
      </c>
      <c r="G920" s="19" t="s">
        <v>64</v>
      </c>
      <c r="H920" s="19">
        <v>49</v>
      </c>
      <c r="I920" s="43"/>
      <c r="J920" s="44">
        <v>612255</v>
      </c>
      <c r="K920" s="45"/>
      <c r="L920" s="46">
        <f>SUM(J920/M920)</f>
        <v>1751.75245343481</v>
      </c>
      <c r="M920" s="47">
        <v>349.51</v>
      </c>
      <c r="N920" s="48">
        <v>7.15</v>
      </c>
      <c r="O920" s="49">
        <f>SUM(M920*N920)</f>
        <v>2498.9965</v>
      </c>
      <c r="P920" s="53"/>
      <c r="Q920" s="53"/>
      <c r="R920" s="76">
        <f t="shared" si="493"/>
        <v>2029.70685279188</v>
      </c>
      <c r="S920" s="76"/>
      <c r="T920" s="77">
        <f t="shared" si="494"/>
        <v>5.62598350253807</v>
      </c>
      <c r="U920" s="76"/>
      <c r="V920" s="76"/>
      <c r="W920" s="78">
        <f t="shared" si="489"/>
        <v>2035.33283629442</v>
      </c>
      <c r="X920" s="79">
        <f t="shared" si="495"/>
        <v>30.1791497461929</v>
      </c>
      <c r="Y920" s="79"/>
      <c r="Z920" s="79"/>
      <c r="AA920" s="79">
        <f t="shared" si="490"/>
        <v>30.1791497461929</v>
      </c>
      <c r="AB920" s="90">
        <v>7.15</v>
      </c>
      <c r="AC920" s="76">
        <f t="shared" si="491"/>
        <v>215.780920685279</v>
      </c>
      <c r="AD920" s="76">
        <f t="shared" si="487"/>
        <v>2251.1137569797</v>
      </c>
      <c r="AE920" s="76">
        <f t="shared" si="492"/>
        <v>247.882743020305</v>
      </c>
    </row>
    <row r="921" customFormat="1" spans="1:31">
      <c r="A921" s="18"/>
      <c r="B921" s="19"/>
      <c r="C921" s="20">
        <v>240830000013</v>
      </c>
      <c r="D921" s="21">
        <v>45537</v>
      </c>
      <c r="E921" s="21" t="s">
        <v>51</v>
      </c>
      <c r="F921" s="19" t="s">
        <v>52</v>
      </c>
      <c r="G921" s="19" t="s">
        <v>281</v>
      </c>
      <c r="H921" s="19">
        <v>56.5</v>
      </c>
      <c r="I921" s="51">
        <v>2994.5</v>
      </c>
      <c r="J921" s="52"/>
      <c r="K921" s="45"/>
      <c r="L921" s="19"/>
      <c r="M921" s="45"/>
      <c r="N921" s="48"/>
      <c r="O921" s="49">
        <f t="shared" ref="O921:O924" si="496">SUM(I921)</f>
        <v>2994.5</v>
      </c>
      <c r="P921" s="53"/>
      <c r="Q921" s="53"/>
      <c r="R921" s="76">
        <f t="shared" si="493"/>
        <v>2340.37626903553</v>
      </c>
      <c r="S921" s="76"/>
      <c r="T921" s="77">
        <f t="shared" si="494"/>
        <v>6.48710342639594</v>
      </c>
      <c r="U921" s="76"/>
      <c r="V921" s="76"/>
      <c r="W921" s="78">
        <f t="shared" si="489"/>
        <v>2346.86337246193</v>
      </c>
      <c r="X921" s="79">
        <f t="shared" si="495"/>
        <v>34.7984073604061</v>
      </c>
      <c r="Y921" s="79"/>
      <c r="Z921" s="79"/>
      <c r="AA921" s="79">
        <f t="shared" si="490"/>
        <v>34.7984073604061</v>
      </c>
      <c r="AB921" s="90">
        <v>7.15</v>
      </c>
      <c r="AC921" s="76">
        <f t="shared" si="491"/>
        <v>248.808612626904</v>
      </c>
      <c r="AD921" s="76">
        <f t="shared" si="487"/>
        <v>2595.67198508883</v>
      </c>
      <c r="AE921" s="76">
        <f t="shared" si="492"/>
        <v>398.828014911167</v>
      </c>
    </row>
    <row r="922" customFormat="1" spans="1:31">
      <c r="A922" s="18"/>
      <c r="B922" s="19"/>
      <c r="C922" s="20">
        <v>240830000014</v>
      </c>
      <c r="D922" s="21">
        <v>45537</v>
      </c>
      <c r="E922" s="21" t="s">
        <v>51</v>
      </c>
      <c r="F922" s="19" t="s">
        <v>52</v>
      </c>
      <c r="G922" s="19" t="s">
        <v>122</v>
      </c>
      <c r="H922" s="19">
        <v>6</v>
      </c>
      <c r="I922" s="51">
        <v>348</v>
      </c>
      <c r="J922" s="52"/>
      <c r="K922" s="45"/>
      <c r="L922" s="19"/>
      <c r="M922" s="45"/>
      <c r="N922" s="48"/>
      <c r="O922" s="49">
        <f t="shared" si="496"/>
        <v>348</v>
      </c>
      <c r="P922" s="53"/>
      <c r="Q922" s="53"/>
      <c r="R922" s="76">
        <f t="shared" si="493"/>
        <v>248.535532994924</v>
      </c>
      <c r="S922" s="76"/>
      <c r="T922" s="77">
        <f t="shared" si="494"/>
        <v>0.688895939086294</v>
      </c>
      <c r="U922" s="76"/>
      <c r="V922" s="76"/>
      <c r="W922" s="78">
        <f t="shared" si="489"/>
        <v>249.22442893401</v>
      </c>
      <c r="X922" s="79">
        <f t="shared" si="495"/>
        <v>3.69540609137056</v>
      </c>
      <c r="Y922" s="79"/>
      <c r="Z922" s="79"/>
      <c r="AA922" s="79">
        <f t="shared" si="490"/>
        <v>3.69540609137056</v>
      </c>
      <c r="AB922" s="90">
        <v>7.15</v>
      </c>
      <c r="AC922" s="76">
        <f t="shared" si="491"/>
        <v>26.4221535532995</v>
      </c>
      <c r="AD922" s="76">
        <f t="shared" si="487"/>
        <v>275.64658248731</v>
      </c>
      <c r="AE922" s="76">
        <f t="shared" si="492"/>
        <v>72.3534175126904</v>
      </c>
    </row>
    <row r="923" customFormat="1" spans="1:31">
      <c r="A923" s="18"/>
      <c r="B923" s="19"/>
      <c r="C923" s="20">
        <v>240830000015</v>
      </c>
      <c r="D923" s="21">
        <v>45537</v>
      </c>
      <c r="E923" s="21" t="s">
        <v>51</v>
      </c>
      <c r="F923" s="19" t="s">
        <v>52</v>
      </c>
      <c r="G923" s="19" t="s">
        <v>122</v>
      </c>
      <c r="H923" s="19">
        <v>9.5</v>
      </c>
      <c r="I923" s="51">
        <v>547.5</v>
      </c>
      <c r="J923" s="52"/>
      <c r="K923" s="45"/>
      <c r="L923" s="19"/>
      <c r="M923" s="45"/>
      <c r="N923" s="48"/>
      <c r="O923" s="49">
        <f t="shared" si="496"/>
        <v>547.5</v>
      </c>
      <c r="P923" s="53"/>
      <c r="Q923" s="53"/>
      <c r="R923" s="76">
        <f t="shared" si="493"/>
        <v>393.514593908629</v>
      </c>
      <c r="S923" s="76"/>
      <c r="T923" s="77">
        <f t="shared" si="494"/>
        <v>1.0907519035533</v>
      </c>
      <c r="U923" s="76"/>
      <c r="V923" s="76"/>
      <c r="W923" s="78">
        <f t="shared" si="489"/>
        <v>394.605345812183</v>
      </c>
      <c r="X923" s="79">
        <f t="shared" si="495"/>
        <v>5.85105964467005</v>
      </c>
      <c r="Y923" s="79"/>
      <c r="Z923" s="79"/>
      <c r="AA923" s="79">
        <f t="shared" si="490"/>
        <v>5.85105964467005</v>
      </c>
      <c r="AB923" s="90">
        <v>7.15</v>
      </c>
      <c r="AC923" s="76">
        <f t="shared" si="491"/>
        <v>41.8350764593909</v>
      </c>
      <c r="AD923" s="76">
        <f t="shared" si="487"/>
        <v>436.440422271574</v>
      </c>
      <c r="AE923" s="76">
        <f t="shared" si="492"/>
        <v>111.059577728426</v>
      </c>
    </row>
    <row r="924" customFormat="1" spans="1:31">
      <c r="A924" s="18"/>
      <c r="B924" s="19"/>
      <c r="C924" s="20">
        <v>240830000020</v>
      </c>
      <c r="D924" s="21">
        <v>45537</v>
      </c>
      <c r="E924" s="21" t="s">
        <v>37</v>
      </c>
      <c r="F924" s="19" t="s">
        <v>38</v>
      </c>
      <c r="G924" s="19" t="s">
        <v>537</v>
      </c>
      <c r="H924" s="19">
        <v>36.5</v>
      </c>
      <c r="I924" s="51">
        <v>1861.5</v>
      </c>
      <c r="J924" s="52"/>
      <c r="K924" s="45"/>
      <c r="L924" s="19"/>
      <c r="M924" s="45"/>
      <c r="N924" s="48"/>
      <c r="O924" s="49">
        <f t="shared" si="496"/>
        <v>1861.5</v>
      </c>
      <c r="P924" s="53"/>
      <c r="Q924" s="53"/>
      <c r="R924" s="76">
        <f t="shared" si="493"/>
        <v>1511.92449238579</v>
      </c>
      <c r="S924" s="76"/>
      <c r="T924" s="77">
        <f t="shared" si="494"/>
        <v>4.19078362944162</v>
      </c>
      <c r="U924" s="76"/>
      <c r="V924" s="76"/>
      <c r="W924" s="78">
        <f t="shared" si="489"/>
        <v>1516.11527601523</v>
      </c>
      <c r="X924" s="79">
        <f t="shared" si="495"/>
        <v>22.4803870558376</v>
      </c>
      <c r="Y924" s="79"/>
      <c r="Z924" s="79"/>
      <c r="AA924" s="79">
        <f t="shared" si="490"/>
        <v>22.4803870558376</v>
      </c>
      <c r="AB924" s="90">
        <v>7.15</v>
      </c>
      <c r="AC924" s="76">
        <f t="shared" si="491"/>
        <v>160.734767449239</v>
      </c>
      <c r="AD924" s="76">
        <f t="shared" si="487"/>
        <v>1676.85004346447</v>
      </c>
      <c r="AE924" s="76">
        <f t="shared" si="492"/>
        <v>184.649956535533</v>
      </c>
    </row>
    <row r="925" customFormat="1" spans="1:31">
      <c r="A925" s="18"/>
      <c r="B925" s="19"/>
      <c r="C925" s="20">
        <v>240830000021</v>
      </c>
      <c r="D925" s="21">
        <v>45537</v>
      </c>
      <c r="E925" s="21" t="s">
        <v>57</v>
      </c>
      <c r="F925" s="19" t="s">
        <v>222</v>
      </c>
      <c r="G925" s="19" t="s">
        <v>259</v>
      </c>
      <c r="H925" s="19">
        <v>20.5</v>
      </c>
      <c r="I925" s="49"/>
      <c r="J925" s="44">
        <v>276030.75</v>
      </c>
      <c r="K925" s="45"/>
      <c r="L925" s="46">
        <f>SUM(J925/M925)</f>
        <v>1695</v>
      </c>
      <c r="M925" s="47">
        <v>162.85</v>
      </c>
      <c r="N925" s="48">
        <v>7.15</v>
      </c>
      <c r="O925" s="49">
        <f>SUM(M925*N925)</f>
        <v>1164.3775</v>
      </c>
      <c r="P925" s="53"/>
      <c r="Q925" s="53"/>
      <c r="R925" s="76">
        <f t="shared" si="493"/>
        <v>849.16307106599</v>
      </c>
      <c r="S925" s="76"/>
      <c r="T925" s="77">
        <f t="shared" si="494"/>
        <v>2.35372779187817</v>
      </c>
      <c r="U925" s="76"/>
      <c r="V925" s="76"/>
      <c r="W925" s="78">
        <f t="shared" si="489"/>
        <v>851.516798857868</v>
      </c>
      <c r="X925" s="79">
        <f t="shared" si="495"/>
        <v>12.6259708121827</v>
      </c>
      <c r="Y925" s="79"/>
      <c r="Z925" s="79"/>
      <c r="AA925" s="79">
        <f t="shared" si="490"/>
        <v>12.6259708121827</v>
      </c>
      <c r="AB925" s="90">
        <v>7.15</v>
      </c>
      <c r="AC925" s="76">
        <f t="shared" si="491"/>
        <v>90.2756913071066</v>
      </c>
      <c r="AD925" s="76">
        <f t="shared" si="487"/>
        <v>941.792490164975</v>
      </c>
      <c r="AE925" s="76">
        <f t="shared" si="492"/>
        <v>222.585009835025</v>
      </c>
    </row>
    <row r="926" customFormat="1" spans="1:31">
      <c r="A926" s="18"/>
      <c r="B926" s="19"/>
      <c r="C926" s="22">
        <v>240830000022</v>
      </c>
      <c r="D926" s="23">
        <v>45537</v>
      </c>
      <c r="E926" s="21" t="s">
        <v>41</v>
      </c>
      <c r="F926" s="24" t="s">
        <v>42</v>
      </c>
      <c r="G926" s="24" t="s">
        <v>166</v>
      </c>
      <c r="H926" s="24">
        <v>6.5</v>
      </c>
      <c r="I926" s="51">
        <v>681.5</v>
      </c>
      <c r="J926" s="52"/>
      <c r="K926" s="45"/>
      <c r="L926" s="19"/>
      <c r="M926" s="45"/>
      <c r="N926" s="48"/>
      <c r="O926" s="49">
        <f t="shared" ref="O926:O931" si="497">SUM(I926)</f>
        <v>681.5</v>
      </c>
      <c r="P926" s="53"/>
      <c r="Q926" s="53"/>
      <c r="R926" s="76">
        <f t="shared" si="493"/>
        <v>269.246827411167</v>
      </c>
      <c r="S926" s="76"/>
      <c r="T926" s="77">
        <f t="shared" si="494"/>
        <v>0.746303934010152</v>
      </c>
      <c r="U926" s="76"/>
      <c r="V926" s="76"/>
      <c r="W926" s="78">
        <f t="shared" si="489"/>
        <v>269.993131345178</v>
      </c>
      <c r="X926" s="79">
        <f t="shared" si="495"/>
        <v>4.00335659898477</v>
      </c>
      <c r="Y926" s="79"/>
      <c r="Z926" s="79"/>
      <c r="AA926" s="79">
        <f t="shared" si="490"/>
        <v>4.00335659898477</v>
      </c>
      <c r="AB926" s="90">
        <v>7.15</v>
      </c>
      <c r="AC926" s="76">
        <f t="shared" si="491"/>
        <v>28.6239996827411</v>
      </c>
      <c r="AD926" s="76">
        <f t="shared" si="487"/>
        <v>298.617131027919</v>
      </c>
      <c r="AE926" s="76">
        <f t="shared" si="492"/>
        <v>382.882868972081</v>
      </c>
    </row>
    <row r="927" customFormat="1" spans="1:31">
      <c r="A927" s="18"/>
      <c r="B927" s="19"/>
      <c r="C927" s="20">
        <v>240830000024</v>
      </c>
      <c r="D927" s="21">
        <v>45537</v>
      </c>
      <c r="E927" s="21" t="s">
        <v>41</v>
      </c>
      <c r="F927" s="19" t="s">
        <v>42</v>
      </c>
      <c r="G927" s="19" t="s">
        <v>258</v>
      </c>
      <c r="H927" s="19">
        <v>6.5</v>
      </c>
      <c r="I927" s="51">
        <v>376.5</v>
      </c>
      <c r="J927" s="52"/>
      <c r="K927" s="45"/>
      <c r="L927" s="19"/>
      <c r="M927" s="45"/>
      <c r="N927" s="48"/>
      <c r="O927" s="49">
        <f t="shared" si="497"/>
        <v>376.5</v>
      </c>
      <c r="P927" s="53"/>
      <c r="Q927" s="53"/>
      <c r="R927" s="76">
        <f t="shared" si="493"/>
        <v>269.246827411167</v>
      </c>
      <c r="S927" s="76"/>
      <c r="T927" s="77">
        <f t="shared" si="494"/>
        <v>0.746303934010152</v>
      </c>
      <c r="U927" s="76"/>
      <c r="V927" s="76"/>
      <c r="W927" s="78">
        <f t="shared" si="489"/>
        <v>269.993131345178</v>
      </c>
      <c r="X927" s="79">
        <f t="shared" si="495"/>
        <v>4.00335659898477</v>
      </c>
      <c r="Y927" s="79"/>
      <c r="Z927" s="79"/>
      <c r="AA927" s="79">
        <f t="shared" si="490"/>
        <v>4.00335659898477</v>
      </c>
      <c r="AB927" s="90">
        <v>7.15</v>
      </c>
      <c r="AC927" s="76">
        <f t="shared" si="491"/>
        <v>28.6239996827411</v>
      </c>
      <c r="AD927" s="76">
        <f t="shared" si="487"/>
        <v>298.617131027919</v>
      </c>
      <c r="AE927" s="76">
        <f t="shared" si="492"/>
        <v>77.8828689720813</v>
      </c>
    </row>
    <row r="928" customFormat="1" spans="1:31">
      <c r="A928" s="18"/>
      <c r="B928" s="19"/>
      <c r="C928" s="20">
        <v>240830000028</v>
      </c>
      <c r="D928" s="21">
        <v>45537</v>
      </c>
      <c r="E928" s="21" t="s">
        <v>41</v>
      </c>
      <c r="F928" s="19" t="s">
        <v>42</v>
      </c>
      <c r="G928" s="19" t="s">
        <v>538</v>
      </c>
      <c r="H928" s="19">
        <v>4.5</v>
      </c>
      <c r="I928" s="51"/>
      <c r="J928" s="44">
        <v>72655</v>
      </c>
      <c r="K928" s="45"/>
      <c r="L928" s="46">
        <f>SUM(J928/M928)</f>
        <v>1686.51346332405</v>
      </c>
      <c r="M928" s="47">
        <v>43.08</v>
      </c>
      <c r="N928" s="48">
        <v>7.15</v>
      </c>
      <c r="O928" s="49">
        <f>SUM(M928*N928)</f>
        <v>308.022</v>
      </c>
      <c r="P928" s="53"/>
      <c r="Q928" s="53"/>
      <c r="R928" s="76">
        <f t="shared" si="493"/>
        <v>186.401649746193</v>
      </c>
      <c r="S928" s="76"/>
      <c r="T928" s="77">
        <f t="shared" si="494"/>
        <v>0.516671954314721</v>
      </c>
      <c r="U928" s="76"/>
      <c r="V928" s="76"/>
      <c r="W928" s="78">
        <f t="shared" si="489"/>
        <v>186.918321700508</v>
      </c>
      <c r="X928" s="79">
        <f t="shared" si="495"/>
        <v>2.77155456852792</v>
      </c>
      <c r="Y928" s="79">
        <v>5.03</v>
      </c>
      <c r="Z928" s="79"/>
      <c r="AA928" s="79">
        <f t="shared" si="490"/>
        <v>7.80155456852792</v>
      </c>
      <c r="AB928" s="90">
        <v>7.15</v>
      </c>
      <c r="AC928" s="76">
        <f t="shared" si="491"/>
        <v>55.7811151649746</v>
      </c>
      <c r="AD928" s="76">
        <f t="shared" si="487"/>
        <v>242.699436865482</v>
      </c>
      <c r="AE928" s="76">
        <f t="shared" si="492"/>
        <v>65.3225631345178</v>
      </c>
    </row>
    <row r="929" customFormat="1" spans="1:31">
      <c r="A929" s="18"/>
      <c r="B929" s="19"/>
      <c r="C929" s="20">
        <v>240830000045</v>
      </c>
      <c r="D929" s="21">
        <v>45537</v>
      </c>
      <c r="E929" s="21" t="s">
        <v>37</v>
      </c>
      <c r="F929" s="19" t="s">
        <v>38</v>
      </c>
      <c r="G929" s="19" t="s">
        <v>39</v>
      </c>
      <c r="H929" s="19">
        <v>14</v>
      </c>
      <c r="I929" s="51">
        <v>929</v>
      </c>
      <c r="J929" s="52"/>
      <c r="K929" s="45"/>
      <c r="L929" s="19"/>
      <c r="M929" s="45"/>
      <c r="N929" s="48"/>
      <c r="O929" s="49">
        <f t="shared" si="497"/>
        <v>929</v>
      </c>
      <c r="P929" s="53"/>
      <c r="Q929" s="53"/>
      <c r="R929" s="76">
        <f t="shared" si="493"/>
        <v>579.916243654822</v>
      </c>
      <c r="S929" s="76"/>
      <c r="T929" s="77">
        <f t="shared" si="494"/>
        <v>1.60742385786802</v>
      </c>
      <c r="U929" s="76"/>
      <c r="V929" s="77">
        <v>60</v>
      </c>
      <c r="W929" s="78">
        <f t="shared" si="489"/>
        <v>641.52366751269</v>
      </c>
      <c r="X929" s="79">
        <f t="shared" si="495"/>
        <v>8.62261421319797</v>
      </c>
      <c r="Y929" s="79">
        <v>21.67</v>
      </c>
      <c r="Z929" s="79"/>
      <c r="AA929" s="79">
        <f t="shared" si="490"/>
        <v>30.292614213198</v>
      </c>
      <c r="AB929" s="90">
        <v>7.15</v>
      </c>
      <c r="AC929" s="76">
        <f t="shared" si="491"/>
        <v>216.592191624366</v>
      </c>
      <c r="AD929" s="76">
        <f t="shared" si="487"/>
        <v>858.115859137056</v>
      </c>
      <c r="AE929" s="76">
        <f t="shared" si="492"/>
        <v>70.8841408629442</v>
      </c>
    </row>
    <row r="930" customFormat="1" spans="1:31">
      <c r="A930" s="18"/>
      <c r="B930" s="19"/>
      <c r="C930" s="20">
        <v>240830000047</v>
      </c>
      <c r="D930" s="21">
        <v>45537</v>
      </c>
      <c r="E930" s="21" t="s">
        <v>44</v>
      </c>
      <c r="F930" s="19" t="s">
        <v>45</v>
      </c>
      <c r="G930" s="19" t="s">
        <v>120</v>
      </c>
      <c r="H930" s="19">
        <v>1</v>
      </c>
      <c r="I930" s="51">
        <v>63</v>
      </c>
      <c r="J930" s="52"/>
      <c r="K930" s="45"/>
      <c r="L930" s="19"/>
      <c r="M930" s="45"/>
      <c r="N930" s="48"/>
      <c r="O930" s="49">
        <f t="shared" si="497"/>
        <v>63</v>
      </c>
      <c r="P930" s="53"/>
      <c r="Q930" s="53"/>
      <c r="R930" s="76">
        <f t="shared" si="493"/>
        <v>41.4225888324873</v>
      </c>
      <c r="S930" s="76"/>
      <c r="T930" s="77">
        <f t="shared" si="494"/>
        <v>0.114815989847716</v>
      </c>
      <c r="U930" s="76"/>
      <c r="V930" s="76"/>
      <c r="W930" s="78">
        <f t="shared" si="489"/>
        <v>41.537404822335</v>
      </c>
      <c r="X930" s="79">
        <f t="shared" si="495"/>
        <v>0.615901015228426</v>
      </c>
      <c r="Y930" s="79"/>
      <c r="Z930" s="79"/>
      <c r="AA930" s="79">
        <f t="shared" si="490"/>
        <v>0.615901015228426</v>
      </c>
      <c r="AB930" s="90">
        <v>7.15</v>
      </c>
      <c r="AC930" s="76">
        <f t="shared" si="491"/>
        <v>4.40369225888325</v>
      </c>
      <c r="AD930" s="76">
        <f t="shared" si="487"/>
        <v>45.9410970812183</v>
      </c>
      <c r="AE930" s="76">
        <f t="shared" si="492"/>
        <v>17.0589029187817</v>
      </c>
    </row>
    <row r="931" customFormat="1" spans="1:31">
      <c r="A931" s="18"/>
      <c r="B931" s="19"/>
      <c r="C931" s="20">
        <v>240831000002</v>
      </c>
      <c r="D931" s="21">
        <v>45537</v>
      </c>
      <c r="E931" s="21" t="s">
        <v>57</v>
      </c>
      <c r="F931" s="19" t="s">
        <v>57</v>
      </c>
      <c r="G931" s="19" t="s">
        <v>69</v>
      </c>
      <c r="H931" s="19">
        <v>14.5</v>
      </c>
      <c r="I931" s="43">
        <v>1210</v>
      </c>
      <c r="J931" s="52"/>
      <c r="K931" s="45"/>
      <c r="L931" s="19"/>
      <c r="M931" s="45"/>
      <c r="N931" s="48"/>
      <c r="O931" s="49">
        <f t="shared" si="497"/>
        <v>1210</v>
      </c>
      <c r="P931" s="53"/>
      <c r="Q931" s="53"/>
      <c r="R931" s="76">
        <f t="shared" si="493"/>
        <v>600.627538071066</v>
      </c>
      <c r="S931" s="76"/>
      <c r="T931" s="77">
        <f t="shared" si="494"/>
        <v>1.66483185279188</v>
      </c>
      <c r="U931" s="76">
        <v>40</v>
      </c>
      <c r="V931" s="76"/>
      <c r="W931" s="78">
        <f t="shared" si="489"/>
        <v>642.292369923858</v>
      </c>
      <c r="X931" s="79">
        <f t="shared" si="495"/>
        <v>8.93056472081218</v>
      </c>
      <c r="Y931" s="79"/>
      <c r="Z931" s="79"/>
      <c r="AA931" s="79">
        <f t="shared" si="490"/>
        <v>8.93056472081218</v>
      </c>
      <c r="AB931" s="90">
        <v>7.15</v>
      </c>
      <c r="AC931" s="76">
        <f t="shared" si="491"/>
        <v>63.8535377538071</v>
      </c>
      <c r="AD931" s="76">
        <f t="shared" si="487"/>
        <v>706.145907677665</v>
      </c>
      <c r="AE931" s="76">
        <f t="shared" si="492"/>
        <v>503.854092322335</v>
      </c>
    </row>
    <row r="932" customFormat="1" spans="1:31">
      <c r="A932" s="18"/>
      <c r="B932" s="19"/>
      <c r="C932" s="20">
        <v>240831000006</v>
      </c>
      <c r="D932" s="21">
        <v>45537</v>
      </c>
      <c r="E932" s="21" t="s">
        <v>37</v>
      </c>
      <c r="F932" s="19" t="s">
        <v>38</v>
      </c>
      <c r="G932" s="19" t="s">
        <v>50</v>
      </c>
      <c r="H932" s="19">
        <v>4.5</v>
      </c>
      <c r="I932" s="56"/>
      <c r="J932" s="44">
        <v>62475</v>
      </c>
      <c r="K932" s="45"/>
      <c r="L932" s="46">
        <f t="shared" ref="L932:L937" si="498">SUM(J932/M932)</f>
        <v>1985.85505403687</v>
      </c>
      <c r="M932" s="47">
        <v>31.46</v>
      </c>
      <c r="N932" s="48">
        <v>7.15</v>
      </c>
      <c r="O932" s="49">
        <f t="shared" ref="O932:O937" si="499">SUM(M932*N932)</f>
        <v>224.939</v>
      </c>
      <c r="P932" s="53"/>
      <c r="Q932" s="53"/>
      <c r="R932" s="76">
        <f t="shared" si="493"/>
        <v>186.401649746193</v>
      </c>
      <c r="S932" s="76"/>
      <c r="T932" s="77">
        <f t="shared" si="494"/>
        <v>0.516671954314721</v>
      </c>
      <c r="U932" s="76"/>
      <c r="V932" s="77">
        <v>14</v>
      </c>
      <c r="W932" s="78">
        <f t="shared" si="489"/>
        <v>200.918321700508</v>
      </c>
      <c r="X932" s="79">
        <f t="shared" si="495"/>
        <v>2.77155456852792</v>
      </c>
      <c r="Y932" s="79"/>
      <c r="Z932" s="79"/>
      <c r="AA932" s="79">
        <f t="shared" si="490"/>
        <v>2.77155456852792</v>
      </c>
      <c r="AB932" s="90">
        <v>7.15</v>
      </c>
      <c r="AC932" s="76">
        <f t="shared" si="491"/>
        <v>19.8166151649746</v>
      </c>
      <c r="AD932" s="76">
        <f t="shared" si="487"/>
        <v>220.734936865482</v>
      </c>
      <c r="AE932" s="76">
        <f t="shared" si="492"/>
        <v>4.20406313451778</v>
      </c>
    </row>
    <row r="933" customFormat="1" spans="1:31">
      <c r="A933" s="18"/>
      <c r="B933" s="19"/>
      <c r="C933" s="20">
        <v>240831000008</v>
      </c>
      <c r="D933" s="21">
        <v>45537</v>
      </c>
      <c r="E933" s="21" t="s">
        <v>37</v>
      </c>
      <c r="F933" s="19" t="s">
        <v>38</v>
      </c>
      <c r="G933" s="19" t="s">
        <v>75</v>
      </c>
      <c r="H933" s="19">
        <v>18.5</v>
      </c>
      <c r="I933" s="51">
        <v>925</v>
      </c>
      <c r="J933" s="52"/>
      <c r="K933" s="45"/>
      <c r="L933" s="19"/>
      <c r="M933" s="45"/>
      <c r="N933" s="48"/>
      <c r="O933" s="49">
        <f t="shared" ref="O933:O935" si="500">SUM(I933)</f>
        <v>925</v>
      </c>
      <c r="P933" s="53"/>
      <c r="Q933" s="53"/>
      <c r="R933" s="76">
        <f t="shared" si="493"/>
        <v>766.317893401015</v>
      </c>
      <c r="S933" s="76"/>
      <c r="T933" s="77">
        <f t="shared" si="494"/>
        <v>2.12409581218274</v>
      </c>
      <c r="U933" s="76"/>
      <c r="V933" s="76"/>
      <c r="W933" s="78">
        <f t="shared" si="489"/>
        <v>768.441989213198</v>
      </c>
      <c r="X933" s="79">
        <f t="shared" si="495"/>
        <v>11.3941687817259</v>
      </c>
      <c r="Y933" s="79"/>
      <c r="Z933" s="79"/>
      <c r="AA933" s="79">
        <f t="shared" si="490"/>
        <v>11.3941687817259</v>
      </c>
      <c r="AB933" s="90">
        <v>7.15</v>
      </c>
      <c r="AC933" s="76">
        <f t="shared" si="491"/>
        <v>81.4683067893401</v>
      </c>
      <c r="AD933" s="76">
        <f t="shared" si="487"/>
        <v>849.910296002538</v>
      </c>
      <c r="AE933" s="76">
        <f t="shared" si="492"/>
        <v>75.0897039974619</v>
      </c>
    </row>
    <row r="934" customFormat="1" spans="1:31">
      <c r="A934" s="18"/>
      <c r="B934" s="19"/>
      <c r="C934" s="20">
        <v>240831000011</v>
      </c>
      <c r="D934" s="21">
        <v>45537</v>
      </c>
      <c r="E934" s="21" t="s">
        <v>51</v>
      </c>
      <c r="F934" s="19" t="s">
        <v>52</v>
      </c>
      <c r="G934" s="19" t="s">
        <v>539</v>
      </c>
      <c r="H934" s="19">
        <v>252.5</v>
      </c>
      <c r="I934" s="51">
        <v>13732.5</v>
      </c>
      <c r="J934" s="52"/>
      <c r="K934" s="45"/>
      <c r="L934" s="19"/>
      <c r="M934" s="45"/>
      <c r="N934" s="48"/>
      <c r="O934" s="49">
        <f t="shared" si="500"/>
        <v>13732.5</v>
      </c>
      <c r="P934" s="53"/>
      <c r="Q934" s="53"/>
      <c r="R934" s="76">
        <f t="shared" si="493"/>
        <v>10459.203680203</v>
      </c>
      <c r="S934" s="76"/>
      <c r="T934" s="77">
        <f t="shared" si="494"/>
        <v>28.9910374365482</v>
      </c>
      <c r="U934" s="76"/>
      <c r="V934" s="76"/>
      <c r="W934" s="78">
        <f t="shared" si="489"/>
        <v>10488.1947176396</v>
      </c>
      <c r="X934" s="79">
        <f t="shared" si="495"/>
        <v>155.515006345178</v>
      </c>
      <c r="Y934" s="79"/>
      <c r="Z934" s="79"/>
      <c r="AA934" s="79">
        <f t="shared" si="490"/>
        <v>155.515006345178</v>
      </c>
      <c r="AB934" s="90">
        <v>7.15</v>
      </c>
      <c r="AC934" s="76">
        <f t="shared" si="491"/>
        <v>1111.93229536802</v>
      </c>
      <c r="AD934" s="76">
        <f t="shared" si="487"/>
        <v>11600.1270130076</v>
      </c>
      <c r="AE934" s="76">
        <f t="shared" si="492"/>
        <v>2132.37298699239</v>
      </c>
    </row>
    <row r="935" customFormat="1" spans="1:31">
      <c r="A935" s="18"/>
      <c r="B935" s="19"/>
      <c r="C935" s="20">
        <v>240831000013</v>
      </c>
      <c r="D935" s="21">
        <v>45537</v>
      </c>
      <c r="E935" s="21" t="s">
        <v>37</v>
      </c>
      <c r="F935" s="19" t="s">
        <v>38</v>
      </c>
      <c r="G935" s="19" t="s">
        <v>254</v>
      </c>
      <c r="H935" s="19">
        <v>63.5</v>
      </c>
      <c r="I935" s="51">
        <v>3175</v>
      </c>
      <c r="J935" s="52"/>
      <c r="K935" s="45"/>
      <c r="L935" s="19"/>
      <c r="M935" s="45"/>
      <c r="N935" s="48"/>
      <c r="O935" s="49">
        <f t="shared" si="500"/>
        <v>3175</v>
      </c>
      <c r="P935" s="53"/>
      <c r="Q935" s="53"/>
      <c r="R935" s="76">
        <f t="shared" si="493"/>
        <v>2630.33439086294</v>
      </c>
      <c r="S935" s="76"/>
      <c r="T935" s="77">
        <f t="shared" si="494"/>
        <v>7.29081535532995</v>
      </c>
      <c r="U935" s="76"/>
      <c r="V935" s="76"/>
      <c r="W935" s="78">
        <f t="shared" ref="W935:W962" si="501">SUM(R935:V935)</f>
        <v>2637.62520621827</v>
      </c>
      <c r="X935" s="79">
        <f t="shared" si="495"/>
        <v>39.1097144670051</v>
      </c>
      <c r="Y935" s="79"/>
      <c r="Z935" s="79"/>
      <c r="AA935" s="79">
        <f t="shared" si="490"/>
        <v>39.1097144670051</v>
      </c>
      <c r="AB935" s="90">
        <v>7.15</v>
      </c>
      <c r="AC935" s="76">
        <f t="shared" ref="AC935:AC962" si="502">SUM(AA935*AB935)</f>
        <v>279.634458439086</v>
      </c>
      <c r="AD935" s="76">
        <f t="shared" ref="AD935:AD962" si="503">SUM(W935+AC935)</f>
        <v>2917.25966465736</v>
      </c>
      <c r="AE935" s="76">
        <f t="shared" ref="AE935:AE962" si="504">SUM(O935-AD935)</f>
        <v>257.74033534264</v>
      </c>
    </row>
    <row r="936" customFormat="1" spans="1:31">
      <c r="A936" s="18"/>
      <c r="B936" s="19"/>
      <c r="C936" s="20">
        <v>240831000024</v>
      </c>
      <c r="D936" s="21">
        <v>45537</v>
      </c>
      <c r="E936" s="21" t="s">
        <v>37</v>
      </c>
      <c r="F936" s="19" t="s">
        <v>38</v>
      </c>
      <c r="G936" s="19" t="s">
        <v>66</v>
      </c>
      <c r="H936" s="19">
        <v>22.5</v>
      </c>
      <c r="I936" s="43"/>
      <c r="J936" s="44">
        <v>339222</v>
      </c>
      <c r="K936" s="45"/>
      <c r="L936" s="46">
        <f t="shared" si="498"/>
        <v>1680.31503863681</v>
      </c>
      <c r="M936" s="47">
        <v>201.88</v>
      </c>
      <c r="N936" s="111">
        <v>7.15</v>
      </c>
      <c r="O936" s="49">
        <f t="shared" si="499"/>
        <v>1443.442</v>
      </c>
      <c r="P936" s="54"/>
      <c r="Q936" s="54"/>
      <c r="R936" s="76">
        <f t="shared" si="493"/>
        <v>932.008248730964</v>
      </c>
      <c r="S936" s="76"/>
      <c r="T936" s="77">
        <f t="shared" si="494"/>
        <v>2.5833597715736</v>
      </c>
      <c r="U936" s="76"/>
      <c r="V936" s="77">
        <v>296</v>
      </c>
      <c r="W936" s="78">
        <f t="shared" si="501"/>
        <v>1230.59160850254</v>
      </c>
      <c r="X936" s="79">
        <f t="shared" si="495"/>
        <v>13.8577728426396</v>
      </c>
      <c r="Y936" s="79"/>
      <c r="Z936" s="79"/>
      <c r="AA936" s="79">
        <f t="shared" ref="AA936:AA962" si="505">SUM(X936:Z936)</f>
        <v>13.8577728426396</v>
      </c>
      <c r="AB936" s="90">
        <v>7.15</v>
      </c>
      <c r="AC936" s="76">
        <f t="shared" si="502"/>
        <v>99.0830758248731</v>
      </c>
      <c r="AD936" s="76">
        <f t="shared" si="503"/>
        <v>1329.67468432741</v>
      </c>
      <c r="AE936" s="76">
        <f t="shared" si="504"/>
        <v>113.767315672589</v>
      </c>
    </row>
    <row r="937" customFormat="1" spans="1:31">
      <c r="A937" s="18" t="s">
        <v>540</v>
      </c>
      <c r="B937" s="19" t="s">
        <v>541</v>
      </c>
      <c r="C937" s="20">
        <v>240823000036</v>
      </c>
      <c r="D937" s="21">
        <v>45536</v>
      </c>
      <c r="E937" s="21" t="s">
        <v>41</v>
      </c>
      <c r="F937" s="19" t="s">
        <v>42</v>
      </c>
      <c r="G937" s="19" t="s">
        <v>81</v>
      </c>
      <c r="H937" s="19">
        <v>3.5</v>
      </c>
      <c r="I937" s="43"/>
      <c r="J937" s="110">
        <v>95392.5</v>
      </c>
      <c r="K937" s="45"/>
      <c r="L937" s="46">
        <f t="shared" si="498"/>
        <v>1694.66157399183</v>
      </c>
      <c r="M937" s="47">
        <v>56.29</v>
      </c>
      <c r="N937" s="48">
        <v>7.15</v>
      </c>
      <c r="O937" s="49">
        <f t="shared" si="499"/>
        <v>402.4735</v>
      </c>
      <c r="P937" s="50">
        <f>SUM(O937:O962)</f>
        <v>9197.2605</v>
      </c>
      <c r="Q937" s="50" t="s">
        <v>80</v>
      </c>
      <c r="R937" s="76">
        <f>SUM(4800/64)*H937</f>
        <v>262.5</v>
      </c>
      <c r="S937" s="76"/>
      <c r="T937" s="77">
        <f>SUM(58.98/64)*H937</f>
        <v>3.22546875</v>
      </c>
      <c r="U937" s="76"/>
      <c r="V937" s="76"/>
      <c r="W937" s="78">
        <f t="shared" si="501"/>
        <v>265.72546875</v>
      </c>
      <c r="X937" s="79">
        <f>SUM(206.56/64)*H937</f>
        <v>11.29625</v>
      </c>
      <c r="Y937" s="79"/>
      <c r="Z937" s="79"/>
      <c r="AA937" s="79">
        <f t="shared" si="505"/>
        <v>11.29625</v>
      </c>
      <c r="AB937" s="90">
        <v>7.15</v>
      </c>
      <c r="AC937" s="76">
        <f t="shared" si="502"/>
        <v>80.7681875</v>
      </c>
      <c r="AD937" s="76">
        <f t="shared" si="503"/>
        <v>346.49365625</v>
      </c>
      <c r="AE937" s="76">
        <f t="shared" si="504"/>
        <v>55.97984375</v>
      </c>
    </row>
    <row r="938" customFormat="1" spans="1:31">
      <c r="A938" s="18"/>
      <c r="B938" s="19"/>
      <c r="C938" s="20">
        <v>240824000018</v>
      </c>
      <c r="D938" s="21">
        <v>45536</v>
      </c>
      <c r="E938" s="21" t="s">
        <v>82</v>
      </c>
      <c r="F938" s="19" t="s">
        <v>83</v>
      </c>
      <c r="G938" s="19" t="s">
        <v>542</v>
      </c>
      <c r="H938" s="19">
        <v>0.14</v>
      </c>
      <c r="I938" s="51">
        <v>195</v>
      </c>
      <c r="J938" s="109"/>
      <c r="K938" s="45"/>
      <c r="L938" s="19"/>
      <c r="M938" s="45"/>
      <c r="N938" s="48"/>
      <c r="O938" s="49">
        <f t="shared" ref="O938:O953" si="506">SUM(I938)</f>
        <v>195</v>
      </c>
      <c r="P938" s="53"/>
      <c r="Q938" s="53"/>
      <c r="R938" s="76">
        <f t="shared" ref="R938:R962" si="507">SUM(4800/64)*H938</f>
        <v>10.5</v>
      </c>
      <c r="S938" s="76"/>
      <c r="T938" s="77">
        <f t="shared" ref="T938:T962" si="508">SUM(58.98/64)*H938</f>
        <v>0.12901875</v>
      </c>
      <c r="U938" s="76"/>
      <c r="V938" s="76"/>
      <c r="W938" s="78">
        <f t="shared" si="501"/>
        <v>10.62901875</v>
      </c>
      <c r="X938" s="79">
        <f t="shared" ref="X938:X962" si="509">SUM(206.56/64)*H938</f>
        <v>0.45185</v>
      </c>
      <c r="Y938" s="79"/>
      <c r="Z938" s="79"/>
      <c r="AA938" s="79">
        <f t="shared" si="505"/>
        <v>0.45185</v>
      </c>
      <c r="AB938" s="90">
        <v>7.15</v>
      </c>
      <c r="AC938" s="76">
        <f t="shared" si="502"/>
        <v>3.2307275</v>
      </c>
      <c r="AD938" s="76">
        <f t="shared" si="503"/>
        <v>13.85974625</v>
      </c>
      <c r="AE938" s="76">
        <f t="shared" si="504"/>
        <v>181.14025375</v>
      </c>
    </row>
    <row r="939" customFormat="1" spans="1:31">
      <c r="A939" s="18"/>
      <c r="B939" s="19"/>
      <c r="C939" s="20">
        <v>240825000021</v>
      </c>
      <c r="D939" s="21">
        <v>45536</v>
      </c>
      <c r="E939" s="21" t="s">
        <v>37</v>
      </c>
      <c r="F939" s="19" t="s">
        <v>38</v>
      </c>
      <c r="G939" s="19" t="s">
        <v>543</v>
      </c>
      <c r="H939" s="19">
        <v>0.99</v>
      </c>
      <c r="I939" s="43"/>
      <c r="J939" s="110">
        <v>39440</v>
      </c>
      <c r="K939" s="45"/>
      <c r="L939" s="46">
        <f>SUM(J939/M939)</f>
        <v>1659.23432898612</v>
      </c>
      <c r="M939" s="47">
        <v>23.77</v>
      </c>
      <c r="N939" s="48">
        <v>7.15</v>
      </c>
      <c r="O939" s="49">
        <f>SUM(M939*N939)</f>
        <v>169.9555</v>
      </c>
      <c r="P939" s="53"/>
      <c r="Q939" s="53"/>
      <c r="R939" s="76">
        <f t="shared" si="507"/>
        <v>74.25</v>
      </c>
      <c r="S939" s="76"/>
      <c r="T939" s="77">
        <f t="shared" si="508"/>
        <v>0.912346875</v>
      </c>
      <c r="U939" s="76"/>
      <c r="V939" s="76"/>
      <c r="W939" s="78">
        <f t="shared" si="501"/>
        <v>75.162346875</v>
      </c>
      <c r="X939" s="79">
        <f t="shared" si="509"/>
        <v>3.195225</v>
      </c>
      <c r="Y939" s="79"/>
      <c r="Z939" s="79"/>
      <c r="AA939" s="79">
        <f t="shared" si="505"/>
        <v>3.195225</v>
      </c>
      <c r="AB939" s="90">
        <v>7.15</v>
      </c>
      <c r="AC939" s="76">
        <f t="shared" si="502"/>
        <v>22.84585875</v>
      </c>
      <c r="AD939" s="76">
        <f t="shared" si="503"/>
        <v>98.008205625</v>
      </c>
      <c r="AE939" s="76">
        <f t="shared" si="504"/>
        <v>71.947294375</v>
      </c>
    </row>
    <row r="940" customFormat="1" spans="1:31">
      <c r="A940" s="18"/>
      <c r="B940" s="19"/>
      <c r="C940" s="20">
        <v>240825000024</v>
      </c>
      <c r="D940" s="21">
        <v>45536</v>
      </c>
      <c r="E940" s="21" t="s">
        <v>37</v>
      </c>
      <c r="F940" s="19" t="s">
        <v>38</v>
      </c>
      <c r="G940" s="19" t="s">
        <v>384</v>
      </c>
      <c r="H940" s="19">
        <v>3</v>
      </c>
      <c r="I940" s="51">
        <v>340</v>
      </c>
      <c r="J940" s="109"/>
      <c r="K940" s="45"/>
      <c r="L940" s="19"/>
      <c r="M940" s="45"/>
      <c r="N940" s="48"/>
      <c r="O940" s="49">
        <f t="shared" si="506"/>
        <v>340</v>
      </c>
      <c r="P940" s="53"/>
      <c r="Q940" s="53"/>
      <c r="R940" s="76">
        <f t="shared" si="507"/>
        <v>225</v>
      </c>
      <c r="S940" s="76"/>
      <c r="T940" s="77">
        <f t="shared" si="508"/>
        <v>2.7646875</v>
      </c>
      <c r="U940" s="76"/>
      <c r="V940" s="76"/>
      <c r="W940" s="78">
        <f t="shared" si="501"/>
        <v>227.7646875</v>
      </c>
      <c r="X940" s="79">
        <f t="shared" si="509"/>
        <v>9.6825</v>
      </c>
      <c r="Y940" s="79"/>
      <c r="Z940" s="79"/>
      <c r="AA940" s="79">
        <f t="shared" si="505"/>
        <v>9.6825</v>
      </c>
      <c r="AB940" s="90">
        <v>7.15</v>
      </c>
      <c r="AC940" s="76">
        <f t="shared" si="502"/>
        <v>69.229875</v>
      </c>
      <c r="AD940" s="76">
        <f t="shared" si="503"/>
        <v>296.9945625</v>
      </c>
      <c r="AE940" s="76">
        <f t="shared" si="504"/>
        <v>43.0054375</v>
      </c>
    </row>
    <row r="941" customFormat="1" spans="1:31">
      <c r="A941" s="18"/>
      <c r="B941" s="19"/>
      <c r="C941" s="20">
        <v>240826000036</v>
      </c>
      <c r="D941" s="21">
        <v>45536</v>
      </c>
      <c r="E941" s="21" t="s">
        <v>44</v>
      </c>
      <c r="F941" s="19" t="s">
        <v>45</v>
      </c>
      <c r="G941" s="19" t="s">
        <v>544</v>
      </c>
      <c r="H941" s="19">
        <v>25.5</v>
      </c>
      <c r="I941" s="43"/>
      <c r="J941" s="110">
        <v>674475</v>
      </c>
      <c r="K941" s="45"/>
      <c r="L941" s="46">
        <f>SUM(J941/M941)</f>
        <v>1644.53953624461</v>
      </c>
      <c r="M941" s="47">
        <v>410.13</v>
      </c>
      <c r="N941" s="48">
        <v>7.15</v>
      </c>
      <c r="O941" s="49">
        <f>SUM(M941*N941)</f>
        <v>2932.4295</v>
      </c>
      <c r="P941" s="53"/>
      <c r="Q941" s="53"/>
      <c r="R941" s="76">
        <f t="shared" si="507"/>
        <v>1912.5</v>
      </c>
      <c r="S941" s="76"/>
      <c r="T941" s="77">
        <f t="shared" si="508"/>
        <v>23.49984375</v>
      </c>
      <c r="U941" s="76"/>
      <c r="V941" s="76"/>
      <c r="W941" s="78">
        <f t="shared" si="501"/>
        <v>1935.99984375</v>
      </c>
      <c r="X941" s="79">
        <f t="shared" si="509"/>
        <v>82.30125</v>
      </c>
      <c r="Y941" s="79"/>
      <c r="Z941" s="79"/>
      <c r="AA941" s="79">
        <f t="shared" si="505"/>
        <v>82.30125</v>
      </c>
      <c r="AB941" s="90">
        <v>7.15</v>
      </c>
      <c r="AC941" s="76">
        <f t="shared" si="502"/>
        <v>588.4539375</v>
      </c>
      <c r="AD941" s="76">
        <f t="shared" si="503"/>
        <v>2524.45378125</v>
      </c>
      <c r="AE941" s="76">
        <f t="shared" si="504"/>
        <v>407.97571875</v>
      </c>
    </row>
    <row r="942" customFormat="1" spans="1:31">
      <c r="A942" s="18"/>
      <c r="B942" s="19"/>
      <c r="C942" s="20">
        <v>240826000037</v>
      </c>
      <c r="D942" s="21">
        <v>45536</v>
      </c>
      <c r="E942" s="21" t="s">
        <v>44</v>
      </c>
      <c r="F942" s="19" t="s">
        <v>45</v>
      </c>
      <c r="G942" s="19" t="s">
        <v>431</v>
      </c>
      <c r="H942" s="19">
        <v>0.66</v>
      </c>
      <c r="I942" s="51">
        <v>150</v>
      </c>
      <c r="J942" s="109"/>
      <c r="K942" s="45"/>
      <c r="L942" s="19"/>
      <c r="M942" s="45"/>
      <c r="N942" s="48"/>
      <c r="O942" s="49">
        <f t="shared" si="506"/>
        <v>150</v>
      </c>
      <c r="P942" s="53"/>
      <c r="Q942" s="53"/>
      <c r="R942" s="76">
        <f t="shared" si="507"/>
        <v>49.5</v>
      </c>
      <c r="S942" s="76"/>
      <c r="T942" s="77">
        <f t="shared" si="508"/>
        <v>0.60823125</v>
      </c>
      <c r="U942" s="76"/>
      <c r="V942" s="76"/>
      <c r="W942" s="78">
        <f t="shared" si="501"/>
        <v>50.10823125</v>
      </c>
      <c r="X942" s="79">
        <f t="shared" si="509"/>
        <v>2.13015</v>
      </c>
      <c r="Y942" s="79"/>
      <c r="Z942" s="79"/>
      <c r="AA942" s="79">
        <f t="shared" si="505"/>
        <v>2.13015</v>
      </c>
      <c r="AB942" s="90">
        <v>7.15</v>
      </c>
      <c r="AC942" s="76">
        <f t="shared" si="502"/>
        <v>15.2305725</v>
      </c>
      <c r="AD942" s="76">
        <f t="shared" si="503"/>
        <v>65.33880375</v>
      </c>
      <c r="AE942" s="76">
        <f t="shared" si="504"/>
        <v>84.66119625</v>
      </c>
    </row>
    <row r="943" customFormat="1" spans="1:31">
      <c r="A943" s="18"/>
      <c r="B943" s="19"/>
      <c r="C943" s="20">
        <v>240826000040</v>
      </c>
      <c r="D943" s="21">
        <v>45536</v>
      </c>
      <c r="E943" s="21" t="s">
        <v>44</v>
      </c>
      <c r="F943" s="19" t="s">
        <v>45</v>
      </c>
      <c r="G943" s="19" t="s">
        <v>545</v>
      </c>
      <c r="H943" s="19">
        <v>1</v>
      </c>
      <c r="I943" s="51">
        <v>120</v>
      </c>
      <c r="J943" s="109"/>
      <c r="K943" s="45"/>
      <c r="L943" s="19"/>
      <c r="M943" s="45"/>
      <c r="N943" s="48"/>
      <c r="O943" s="49">
        <f t="shared" si="506"/>
        <v>120</v>
      </c>
      <c r="P943" s="53"/>
      <c r="Q943" s="53"/>
      <c r="R943" s="76">
        <f t="shared" si="507"/>
        <v>75</v>
      </c>
      <c r="S943" s="76"/>
      <c r="T943" s="77">
        <f t="shared" si="508"/>
        <v>0.9215625</v>
      </c>
      <c r="U943" s="76"/>
      <c r="V943" s="76"/>
      <c r="W943" s="78">
        <f t="shared" si="501"/>
        <v>75.9215625</v>
      </c>
      <c r="X943" s="79">
        <f t="shared" si="509"/>
        <v>3.2275</v>
      </c>
      <c r="Y943" s="79"/>
      <c r="Z943" s="79"/>
      <c r="AA943" s="79">
        <f t="shared" si="505"/>
        <v>3.2275</v>
      </c>
      <c r="AB943" s="90">
        <v>7.15</v>
      </c>
      <c r="AC943" s="76">
        <f t="shared" si="502"/>
        <v>23.076625</v>
      </c>
      <c r="AD943" s="76">
        <f t="shared" si="503"/>
        <v>98.9981875</v>
      </c>
      <c r="AE943" s="76">
        <f t="shared" si="504"/>
        <v>21.0018125</v>
      </c>
    </row>
    <row r="944" customFormat="1" spans="1:31">
      <c r="A944" s="18"/>
      <c r="B944" s="19"/>
      <c r="C944" s="20">
        <v>240826000048</v>
      </c>
      <c r="D944" s="21">
        <v>45536</v>
      </c>
      <c r="E944" s="21" t="s">
        <v>41</v>
      </c>
      <c r="F944" s="19" t="s">
        <v>42</v>
      </c>
      <c r="G944" s="19" t="s">
        <v>81</v>
      </c>
      <c r="H944" s="19">
        <v>0.7</v>
      </c>
      <c r="I944" s="51">
        <v>115</v>
      </c>
      <c r="J944" s="109"/>
      <c r="K944" s="45"/>
      <c r="L944" s="19"/>
      <c r="M944" s="45"/>
      <c r="N944" s="48"/>
      <c r="O944" s="49">
        <f t="shared" si="506"/>
        <v>115</v>
      </c>
      <c r="P944" s="53"/>
      <c r="Q944" s="53"/>
      <c r="R944" s="76">
        <f t="shared" si="507"/>
        <v>52.5</v>
      </c>
      <c r="S944" s="76"/>
      <c r="T944" s="77">
        <f t="shared" si="508"/>
        <v>0.64509375</v>
      </c>
      <c r="U944" s="76"/>
      <c r="V944" s="76"/>
      <c r="W944" s="78">
        <f t="shared" si="501"/>
        <v>53.14509375</v>
      </c>
      <c r="X944" s="79">
        <f t="shared" si="509"/>
        <v>2.25925</v>
      </c>
      <c r="Y944" s="79"/>
      <c r="Z944" s="79"/>
      <c r="AA944" s="79">
        <f t="shared" si="505"/>
        <v>2.25925</v>
      </c>
      <c r="AB944" s="90">
        <v>7.15</v>
      </c>
      <c r="AC944" s="76">
        <f t="shared" si="502"/>
        <v>16.1536375</v>
      </c>
      <c r="AD944" s="76">
        <f t="shared" si="503"/>
        <v>69.29873125</v>
      </c>
      <c r="AE944" s="76">
        <f t="shared" si="504"/>
        <v>45.70126875</v>
      </c>
    </row>
    <row r="945" customFormat="1" spans="1:31">
      <c r="A945" s="18"/>
      <c r="B945" s="19"/>
      <c r="C945" s="20">
        <v>240827000001</v>
      </c>
      <c r="D945" s="21">
        <v>45536</v>
      </c>
      <c r="E945" s="21" t="s">
        <v>41</v>
      </c>
      <c r="F945" s="19" t="s">
        <v>42</v>
      </c>
      <c r="G945" s="19" t="s">
        <v>81</v>
      </c>
      <c r="H945" s="19">
        <v>0.8</v>
      </c>
      <c r="I945" s="51">
        <v>115</v>
      </c>
      <c r="J945" s="109"/>
      <c r="K945" s="45"/>
      <c r="L945" s="19"/>
      <c r="M945" s="45"/>
      <c r="N945" s="48"/>
      <c r="O945" s="49">
        <f t="shared" si="506"/>
        <v>115</v>
      </c>
      <c r="P945" s="53"/>
      <c r="Q945" s="53"/>
      <c r="R945" s="76">
        <f t="shared" si="507"/>
        <v>60</v>
      </c>
      <c r="S945" s="76"/>
      <c r="T945" s="77">
        <f t="shared" si="508"/>
        <v>0.73725</v>
      </c>
      <c r="U945" s="76"/>
      <c r="V945" s="76"/>
      <c r="W945" s="78">
        <f t="shared" si="501"/>
        <v>60.73725</v>
      </c>
      <c r="X945" s="79">
        <f t="shared" si="509"/>
        <v>2.582</v>
      </c>
      <c r="Y945" s="79"/>
      <c r="Z945" s="79"/>
      <c r="AA945" s="79">
        <f t="shared" si="505"/>
        <v>2.582</v>
      </c>
      <c r="AB945" s="90">
        <v>7.15</v>
      </c>
      <c r="AC945" s="76">
        <f t="shared" si="502"/>
        <v>18.4613</v>
      </c>
      <c r="AD945" s="76">
        <f t="shared" si="503"/>
        <v>79.19855</v>
      </c>
      <c r="AE945" s="76">
        <f t="shared" si="504"/>
        <v>35.80145</v>
      </c>
    </row>
    <row r="946" customFormat="1" spans="1:31">
      <c r="A946" s="18"/>
      <c r="B946" s="19"/>
      <c r="C946" s="20">
        <v>240827000002</v>
      </c>
      <c r="D946" s="21">
        <v>45536</v>
      </c>
      <c r="E946" s="21" t="s">
        <v>44</v>
      </c>
      <c r="F946" s="19" t="s">
        <v>45</v>
      </c>
      <c r="G946" s="19" t="s">
        <v>158</v>
      </c>
      <c r="H946" s="19">
        <v>11</v>
      </c>
      <c r="I946" s="51">
        <v>1320</v>
      </c>
      <c r="J946" s="109"/>
      <c r="K946" s="45"/>
      <c r="L946" s="19"/>
      <c r="M946" s="45"/>
      <c r="N946" s="48"/>
      <c r="O946" s="49">
        <f t="shared" si="506"/>
        <v>1320</v>
      </c>
      <c r="P946" s="53"/>
      <c r="Q946" s="53"/>
      <c r="R946" s="76">
        <f t="shared" si="507"/>
        <v>825</v>
      </c>
      <c r="S946" s="76"/>
      <c r="T946" s="77">
        <f t="shared" si="508"/>
        <v>10.1371875</v>
      </c>
      <c r="U946" s="76"/>
      <c r="V946" s="76"/>
      <c r="W946" s="78">
        <f t="shared" si="501"/>
        <v>835.1371875</v>
      </c>
      <c r="X946" s="79">
        <f t="shared" si="509"/>
        <v>35.5025</v>
      </c>
      <c r="Y946" s="79"/>
      <c r="Z946" s="79"/>
      <c r="AA946" s="79">
        <f t="shared" si="505"/>
        <v>35.5025</v>
      </c>
      <c r="AB946" s="90">
        <v>7.15</v>
      </c>
      <c r="AC946" s="76">
        <f t="shared" si="502"/>
        <v>253.842875</v>
      </c>
      <c r="AD946" s="76">
        <f t="shared" si="503"/>
        <v>1088.9800625</v>
      </c>
      <c r="AE946" s="76">
        <f t="shared" si="504"/>
        <v>231.0199375</v>
      </c>
    </row>
    <row r="947" customFormat="1" spans="1:31">
      <c r="A947" s="18"/>
      <c r="B947" s="19"/>
      <c r="C947" s="20">
        <v>240827000006</v>
      </c>
      <c r="D947" s="21">
        <v>45536</v>
      </c>
      <c r="E947" s="21" t="s">
        <v>37</v>
      </c>
      <c r="F947" s="19" t="s">
        <v>38</v>
      </c>
      <c r="G947" s="19" t="s">
        <v>469</v>
      </c>
      <c r="H947" s="19">
        <v>1</v>
      </c>
      <c r="I947" s="51">
        <v>170</v>
      </c>
      <c r="J947" s="109"/>
      <c r="K947" s="45"/>
      <c r="L947" s="19"/>
      <c r="M947" s="45"/>
      <c r="N947" s="48"/>
      <c r="O947" s="49">
        <f t="shared" si="506"/>
        <v>170</v>
      </c>
      <c r="P947" s="53"/>
      <c r="Q947" s="53"/>
      <c r="R947" s="76">
        <f t="shared" si="507"/>
        <v>75</v>
      </c>
      <c r="S947" s="76"/>
      <c r="T947" s="77">
        <f t="shared" si="508"/>
        <v>0.9215625</v>
      </c>
      <c r="U947" s="76"/>
      <c r="V947" s="76"/>
      <c r="W947" s="78">
        <f t="shared" si="501"/>
        <v>75.9215625</v>
      </c>
      <c r="X947" s="79">
        <f t="shared" si="509"/>
        <v>3.2275</v>
      </c>
      <c r="Y947" s="79"/>
      <c r="Z947" s="79"/>
      <c r="AA947" s="79">
        <f t="shared" si="505"/>
        <v>3.2275</v>
      </c>
      <c r="AB947" s="90">
        <v>7.15</v>
      </c>
      <c r="AC947" s="76">
        <f t="shared" si="502"/>
        <v>23.076625</v>
      </c>
      <c r="AD947" s="76">
        <f t="shared" si="503"/>
        <v>98.9981875</v>
      </c>
      <c r="AE947" s="76">
        <f t="shared" si="504"/>
        <v>71.0018125</v>
      </c>
    </row>
    <row r="948" customFormat="1" spans="1:31">
      <c r="A948" s="18"/>
      <c r="B948" s="19"/>
      <c r="C948" s="20">
        <v>240827000011</v>
      </c>
      <c r="D948" s="21">
        <v>45536</v>
      </c>
      <c r="E948" s="21" t="s">
        <v>37</v>
      </c>
      <c r="F948" s="19" t="s">
        <v>38</v>
      </c>
      <c r="G948" s="19" t="s">
        <v>300</v>
      </c>
      <c r="H948" s="19">
        <v>0.62</v>
      </c>
      <c r="I948" s="51">
        <v>120</v>
      </c>
      <c r="J948" s="109"/>
      <c r="K948" s="45"/>
      <c r="L948" s="19"/>
      <c r="M948" s="45"/>
      <c r="N948" s="48"/>
      <c r="O948" s="49">
        <f t="shared" si="506"/>
        <v>120</v>
      </c>
      <c r="P948" s="53"/>
      <c r="Q948" s="53"/>
      <c r="R948" s="76">
        <f t="shared" si="507"/>
        <v>46.5</v>
      </c>
      <c r="S948" s="76"/>
      <c r="T948" s="77">
        <f t="shared" si="508"/>
        <v>0.57136875</v>
      </c>
      <c r="U948" s="76"/>
      <c r="V948" s="76"/>
      <c r="W948" s="78">
        <f t="shared" si="501"/>
        <v>47.07136875</v>
      </c>
      <c r="X948" s="79">
        <f t="shared" si="509"/>
        <v>2.00105</v>
      </c>
      <c r="Y948" s="79"/>
      <c r="Z948" s="79"/>
      <c r="AA948" s="79">
        <f t="shared" si="505"/>
        <v>2.00105</v>
      </c>
      <c r="AB948" s="90">
        <v>7.15</v>
      </c>
      <c r="AC948" s="76">
        <f t="shared" si="502"/>
        <v>14.3075075</v>
      </c>
      <c r="AD948" s="76">
        <f t="shared" si="503"/>
        <v>61.37887625</v>
      </c>
      <c r="AE948" s="76">
        <f t="shared" si="504"/>
        <v>58.62112375</v>
      </c>
    </row>
    <row r="949" customFormat="1" spans="1:31">
      <c r="A949" s="18"/>
      <c r="B949" s="19"/>
      <c r="C949" s="20">
        <v>240827000013</v>
      </c>
      <c r="D949" s="21">
        <v>45536</v>
      </c>
      <c r="E949" s="21" t="s">
        <v>37</v>
      </c>
      <c r="F949" s="19" t="s">
        <v>38</v>
      </c>
      <c r="G949" s="19" t="s">
        <v>239</v>
      </c>
      <c r="H949" s="19">
        <v>0.32</v>
      </c>
      <c r="I949" s="51">
        <v>65</v>
      </c>
      <c r="J949" s="109"/>
      <c r="K949" s="45"/>
      <c r="L949" s="19"/>
      <c r="M949" s="45"/>
      <c r="N949" s="48"/>
      <c r="O949" s="49">
        <f t="shared" si="506"/>
        <v>65</v>
      </c>
      <c r="P949" s="53"/>
      <c r="Q949" s="53"/>
      <c r="R949" s="76">
        <f t="shared" si="507"/>
        <v>24</v>
      </c>
      <c r="S949" s="76"/>
      <c r="T949" s="77">
        <f t="shared" si="508"/>
        <v>0.2949</v>
      </c>
      <c r="U949" s="76"/>
      <c r="V949" s="76"/>
      <c r="W949" s="78">
        <f t="shared" si="501"/>
        <v>24.2949</v>
      </c>
      <c r="X949" s="79">
        <f t="shared" si="509"/>
        <v>1.0328</v>
      </c>
      <c r="Y949" s="79"/>
      <c r="Z949" s="79"/>
      <c r="AA949" s="79">
        <f t="shared" si="505"/>
        <v>1.0328</v>
      </c>
      <c r="AB949" s="90">
        <v>7.15</v>
      </c>
      <c r="AC949" s="76">
        <f t="shared" si="502"/>
        <v>7.38452</v>
      </c>
      <c r="AD949" s="76">
        <f t="shared" si="503"/>
        <v>31.67942</v>
      </c>
      <c r="AE949" s="76">
        <f t="shared" si="504"/>
        <v>33.32058</v>
      </c>
    </row>
    <row r="950" customFormat="1" spans="1:31">
      <c r="A950" s="18"/>
      <c r="B950" s="19"/>
      <c r="C950" s="20">
        <v>240827000014</v>
      </c>
      <c r="D950" s="21">
        <v>45536</v>
      </c>
      <c r="E950" s="21" t="s">
        <v>51</v>
      </c>
      <c r="F950" s="19" t="s">
        <v>52</v>
      </c>
      <c r="G950" s="19" t="s">
        <v>185</v>
      </c>
      <c r="H950" s="19">
        <v>3</v>
      </c>
      <c r="I950" s="51">
        <v>360</v>
      </c>
      <c r="J950" s="109"/>
      <c r="K950" s="45"/>
      <c r="L950" s="19"/>
      <c r="M950" s="45"/>
      <c r="N950" s="48"/>
      <c r="O950" s="49">
        <f t="shared" si="506"/>
        <v>360</v>
      </c>
      <c r="P950" s="53"/>
      <c r="Q950" s="53"/>
      <c r="R950" s="76">
        <f t="shared" si="507"/>
        <v>225</v>
      </c>
      <c r="S950" s="76"/>
      <c r="T950" s="77">
        <f t="shared" si="508"/>
        <v>2.7646875</v>
      </c>
      <c r="U950" s="76"/>
      <c r="V950" s="76"/>
      <c r="W950" s="78">
        <f t="shared" si="501"/>
        <v>227.7646875</v>
      </c>
      <c r="X950" s="79">
        <f t="shared" si="509"/>
        <v>9.6825</v>
      </c>
      <c r="Y950" s="79"/>
      <c r="Z950" s="79"/>
      <c r="AA950" s="79">
        <f t="shared" si="505"/>
        <v>9.6825</v>
      </c>
      <c r="AB950" s="90">
        <v>7.15</v>
      </c>
      <c r="AC950" s="76">
        <f t="shared" si="502"/>
        <v>69.229875</v>
      </c>
      <c r="AD950" s="76">
        <f t="shared" si="503"/>
        <v>296.9945625</v>
      </c>
      <c r="AE950" s="76">
        <f t="shared" si="504"/>
        <v>63.0054375</v>
      </c>
    </row>
    <row r="951" customFormat="1" spans="1:31">
      <c r="A951" s="18"/>
      <c r="B951" s="19"/>
      <c r="C951" s="20">
        <v>240827000015</v>
      </c>
      <c r="D951" s="21">
        <v>45536</v>
      </c>
      <c r="E951" s="21" t="s">
        <v>51</v>
      </c>
      <c r="F951" s="19" t="s">
        <v>52</v>
      </c>
      <c r="G951" s="19" t="s">
        <v>185</v>
      </c>
      <c r="H951" s="19">
        <v>4.5</v>
      </c>
      <c r="I951" s="51">
        <v>540</v>
      </c>
      <c r="J951" s="109"/>
      <c r="K951" s="45"/>
      <c r="L951" s="19"/>
      <c r="M951" s="45"/>
      <c r="N951" s="48"/>
      <c r="O951" s="49">
        <f t="shared" si="506"/>
        <v>540</v>
      </c>
      <c r="P951" s="53"/>
      <c r="Q951" s="53"/>
      <c r="R951" s="76">
        <f t="shared" si="507"/>
        <v>337.5</v>
      </c>
      <c r="S951" s="76"/>
      <c r="T951" s="77">
        <f t="shared" si="508"/>
        <v>4.14703125</v>
      </c>
      <c r="U951" s="76"/>
      <c r="V951" s="76"/>
      <c r="W951" s="78">
        <f t="shared" si="501"/>
        <v>341.64703125</v>
      </c>
      <c r="X951" s="79">
        <f t="shared" si="509"/>
        <v>14.52375</v>
      </c>
      <c r="Y951" s="79"/>
      <c r="Z951" s="79"/>
      <c r="AA951" s="79">
        <f t="shared" si="505"/>
        <v>14.52375</v>
      </c>
      <c r="AB951" s="90">
        <v>7.15</v>
      </c>
      <c r="AC951" s="76">
        <f t="shared" si="502"/>
        <v>103.8448125</v>
      </c>
      <c r="AD951" s="76">
        <f t="shared" si="503"/>
        <v>445.49184375</v>
      </c>
      <c r="AE951" s="76">
        <f t="shared" si="504"/>
        <v>94.50815625</v>
      </c>
    </row>
    <row r="952" customFormat="1" spans="1:31">
      <c r="A952" s="18"/>
      <c r="B952" s="19"/>
      <c r="C952" s="20">
        <v>240827000017</v>
      </c>
      <c r="D952" s="21">
        <v>45536</v>
      </c>
      <c r="E952" s="21" t="s">
        <v>41</v>
      </c>
      <c r="F952" s="19" t="s">
        <v>42</v>
      </c>
      <c r="G952" s="19" t="s">
        <v>546</v>
      </c>
      <c r="H952" s="19">
        <v>3</v>
      </c>
      <c r="I952" s="51">
        <v>345</v>
      </c>
      <c r="J952" s="109"/>
      <c r="K952" s="45"/>
      <c r="L952" s="19"/>
      <c r="M952" s="45"/>
      <c r="N952" s="48"/>
      <c r="O952" s="49">
        <f t="shared" si="506"/>
        <v>345</v>
      </c>
      <c r="P952" s="53"/>
      <c r="Q952" s="53"/>
      <c r="R952" s="76">
        <f t="shared" si="507"/>
        <v>225</v>
      </c>
      <c r="S952" s="76"/>
      <c r="T952" s="77">
        <f t="shared" si="508"/>
        <v>2.7646875</v>
      </c>
      <c r="U952" s="76"/>
      <c r="V952" s="76"/>
      <c r="W952" s="78">
        <f t="shared" si="501"/>
        <v>227.7646875</v>
      </c>
      <c r="X952" s="79">
        <f t="shared" si="509"/>
        <v>9.6825</v>
      </c>
      <c r="Y952" s="79"/>
      <c r="Z952" s="79"/>
      <c r="AA952" s="79">
        <f t="shared" si="505"/>
        <v>9.6825</v>
      </c>
      <c r="AB952" s="90">
        <v>7.15</v>
      </c>
      <c r="AC952" s="76">
        <f t="shared" si="502"/>
        <v>69.229875</v>
      </c>
      <c r="AD952" s="76">
        <f t="shared" si="503"/>
        <v>296.9945625</v>
      </c>
      <c r="AE952" s="76">
        <f t="shared" si="504"/>
        <v>48.0054375</v>
      </c>
    </row>
    <row r="953" customFormat="1" spans="1:31">
      <c r="A953" s="18"/>
      <c r="B953" s="19"/>
      <c r="C953" s="20">
        <v>240827000021</v>
      </c>
      <c r="D953" s="21">
        <v>45536</v>
      </c>
      <c r="E953" s="21" t="s">
        <v>41</v>
      </c>
      <c r="F953" s="19" t="s">
        <v>42</v>
      </c>
      <c r="G953" s="19" t="s">
        <v>235</v>
      </c>
      <c r="H953" s="19">
        <v>0.1</v>
      </c>
      <c r="I953" s="51">
        <v>78</v>
      </c>
      <c r="J953" s="109"/>
      <c r="K953" s="45"/>
      <c r="L953" s="19"/>
      <c r="M953" s="45"/>
      <c r="N953" s="48"/>
      <c r="O953" s="49">
        <f t="shared" si="506"/>
        <v>78</v>
      </c>
      <c r="P953" s="53"/>
      <c r="Q953" s="53"/>
      <c r="R953" s="76">
        <f t="shared" si="507"/>
        <v>7.5</v>
      </c>
      <c r="S953" s="76"/>
      <c r="T953" s="77">
        <f t="shared" si="508"/>
        <v>0.09215625</v>
      </c>
      <c r="U953" s="76"/>
      <c r="V953" s="76"/>
      <c r="W953" s="78">
        <f t="shared" si="501"/>
        <v>7.59215625</v>
      </c>
      <c r="X953" s="79">
        <f t="shared" si="509"/>
        <v>0.32275</v>
      </c>
      <c r="Y953" s="79"/>
      <c r="Z953" s="79"/>
      <c r="AA953" s="79">
        <f t="shared" si="505"/>
        <v>0.32275</v>
      </c>
      <c r="AB953" s="90">
        <v>7.15</v>
      </c>
      <c r="AC953" s="76">
        <f t="shared" si="502"/>
        <v>2.3076625</v>
      </c>
      <c r="AD953" s="76">
        <f t="shared" si="503"/>
        <v>9.89981875</v>
      </c>
      <c r="AE953" s="76">
        <f t="shared" si="504"/>
        <v>68.10018125</v>
      </c>
    </row>
    <row r="954" customFormat="1" spans="1:31">
      <c r="A954" s="18"/>
      <c r="B954" s="19"/>
      <c r="C954" s="20">
        <v>240827000026</v>
      </c>
      <c r="D954" s="21">
        <v>45536</v>
      </c>
      <c r="E954" s="21" t="s">
        <v>37</v>
      </c>
      <c r="F954" s="19" t="s">
        <v>38</v>
      </c>
      <c r="G954" s="19" t="s">
        <v>547</v>
      </c>
      <c r="H954" s="19">
        <v>2</v>
      </c>
      <c r="I954" s="43"/>
      <c r="J954" s="110">
        <v>56350</v>
      </c>
      <c r="K954" s="45"/>
      <c r="L954" s="46">
        <f>SUM(J954/M954)</f>
        <v>1752.17661691542</v>
      </c>
      <c r="M954" s="47">
        <v>32.16</v>
      </c>
      <c r="N954" s="48">
        <v>7.15</v>
      </c>
      <c r="O954" s="49">
        <f>SUM(M954*N954)</f>
        <v>229.944</v>
      </c>
      <c r="P954" s="53"/>
      <c r="Q954" s="53"/>
      <c r="R954" s="76">
        <f t="shared" si="507"/>
        <v>150</v>
      </c>
      <c r="S954" s="76"/>
      <c r="T954" s="77">
        <f t="shared" si="508"/>
        <v>1.843125</v>
      </c>
      <c r="U954" s="76"/>
      <c r="V954" s="76"/>
      <c r="W954" s="78">
        <f t="shared" si="501"/>
        <v>151.843125</v>
      </c>
      <c r="X954" s="79">
        <f t="shared" si="509"/>
        <v>6.455</v>
      </c>
      <c r="Y954" s="79"/>
      <c r="Z954" s="79"/>
      <c r="AA954" s="79">
        <f t="shared" si="505"/>
        <v>6.455</v>
      </c>
      <c r="AB954" s="90">
        <v>7.15</v>
      </c>
      <c r="AC954" s="76">
        <f t="shared" si="502"/>
        <v>46.15325</v>
      </c>
      <c r="AD954" s="76">
        <f t="shared" si="503"/>
        <v>197.996375</v>
      </c>
      <c r="AE954" s="76">
        <f t="shared" si="504"/>
        <v>31.947625</v>
      </c>
    </row>
    <row r="955" customFormat="1" spans="1:31">
      <c r="A955" s="18"/>
      <c r="B955" s="19"/>
      <c r="C955" s="20">
        <v>240827000029</v>
      </c>
      <c r="D955" s="21">
        <v>45536</v>
      </c>
      <c r="E955" s="21" t="s">
        <v>82</v>
      </c>
      <c r="F955" s="19" t="s">
        <v>83</v>
      </c>
      <c r="G955" s="19" t="s">
        <v>548</v>
      </c>
      <c r="H955" s="19">
        <v>0.85</v>
      </c>
      <c r="I955" s="51">
        <v>145</v>
      </c>
      <c r="J955" s="109"/>
      <c r="K955" s="45"/>
      <c r="L955" s="19"/>
      <c r="M955" s="45"/>
      <c r="N955" s="48"/>
      <c r="O955" s="49">
        <f t="shared" ref="O955:O957" si="510">SUM(I955)</f>
        <v>145</v>
      </c>
      <c r="P955" s="53"/>
      <c r="Q955" s="53"/>
      <c r="R955" s="76">
        <f t="shared" si="507"/>
        <v>63.75</v>
      </c>
      <c r="S955" s="76"/>
      <c r="T955" s="77">
        <f t="shared" si="508"/>
        <v>0.783328125</v>
      </c>
      <c r="U955" s="76"/>
      <c r="V955" s="76"/>
      <c r="W955" s="78">
        <f t="shared" si="501"/>
        <v>64.533328125</v>
      </c>
      <c r="X955" s="79">
        <f t="shared" si="509"/>
        <v>2.743375</v>
      </c>
      <c r="Y955" s="79"/>
      <c r="Z955" s="79"/>
      <c r="AA955" s="79">
        <f t="shared" si="505"/>
        <v>2.743375</v>
      </c>
      <c r="AB955" s="90">
        <v>7.15</v>
      </c>
      <c r="AC955" s="76">
        <f t="shared" si="502"/>
        <v>19.61513125</v>
      </c>
      <c r="AD955" s="76">
        <f t="shared" si="503"/>
        <v>84.148459375</v>
      </c>
      <c r="AE955" s="76">
        <f t="shared" si="504"/>
        <v>60.851540625</v>
      </c>
    </row>
    <row r="956" customFormat="1" spans="1:31">
      <c r="A956" s="18"/>
      <c r="B956" s="19"/>
      <c r="C956" s="20">
        <v>240827000036</v>
      </c>
      <c r="D956" s="21">
        <v>45536</v>
      </c>
      <c r="E956" s="21" t="s">
        <v>41</v>
      </c>
      <c r="F956" s="19" t="s">
        <v>42</v>
      </c>
      <c r="G956" s="19" t="s">
        <v>85</v>
      </c>
      <c r="H956" s="19">
        <v>0.52</v>
      </c>
      <c r="I956" s="51">
        <v>115</v>
      </c>
      <c r="J956" s="109"/>
      <c r="K956" s="45"/>
      <c r="L956" s="19"/>
      <c r="M956" s="45"/>
      <c r="N956" s="48"/>
      <c r="O956" s="49">
        <f t="shared" si="510"/>
        <v>115</v>
      </c>
      <c r="P956" s="53"/>
      <c r="Q956" s="53"/>
      <c r="R956" s="76">
        <f t="shared" si="507"/>
        <v>39</v>
      </c>
      <c r="S956" s="76"/>
      <c r="T956" s="77">
        <f t="shared" si="508"/>
        <v>0.4792125</v>
      </c>
      <c r="U956" s="76"/>
      <c r="V956" s="76"/>
      <c r="W956" s="78">
        <f t="shared" si="501"/>
        <v>39.4792125</v>
      </c>
      <c r="X956" s="79">
        <f t="shared" si="509"/>
        <v>1.6783</v>
      </c>
      <c r="Y956" s="79"/>
      <c r="Z956" s="79"/>
      <c r="AA956" s="79">
        <f t="shared" si="505"/>
        <v>1.6783</v>
      </c>
      <c r="AB956" s="90">
        <v>7.15</v>
      </c>
      <c r="AC956" s="76">
        <f t="shared" si="502"/>
        <v>11.999845</v>
      </c>
      <c r="AD956" s="76">
        <f t="shared" si="503"/>
        <v>51.4790575</v>
      </c>
      <c r="AE956" s="76">
        <f t="shared" si="504"/>
        <v>63.5209425</v>
      </c>
    </row>
    <row r="957" customFormat="1" spans="1:31">
      <c r="A957" s="18"/>
      <c r="B957" s="19"/>
      <c r="C957" s="20">
        <v>240827000037</v>
      </c>
      <c r="D957" s="21">
        <v>45536</v>
      </c>
      <c r="E957" s="21" t="s">
        <v>57</v>
      </c>
      <c r="F957" s="19" t="s">
        <v>57</v>
      </c>
      <c r="G957" s="19" t="s">
        <v>398</v>
      </c>
      <c r="H957" s="19">
        <v>3.5</v>
      </c>
      <c r="I957" s="51">
        <v>420</v>
      </c>
      <c r="J957" s="109"/>
      <c r="K957" s="45"/>
      <c r="L957" s="19"/>
      <c r="M957" s="45"/>
      <c r="N957" s="48"/>
      <c r="O957" s="49">
        <f t="shared" si="510"/>
        <v>420</v>
      </c>
      <c r="P957" s="53"/>
      <c r="Q957" s="53"/>
      <c r="R957" s="76">
        <f t="shared" si="507"/>
        <v>262.5</v>
      </c>
      <c r="S957" s="76"/>
      <c r="T957" s="77">
        <f t="shared" si="508"/>
        <v>3.22546875</v>
      </c>
      <c r="U957" s="76"/>
      <c r="V957" s="76"/>
      <c r="W957" s="78">
        <f t="shared" si="501"/>
        <v>265.72546875</v>
      </c>
      <c r="X957" s="79">
        <f t="shared" si="509"/>
        <v>11.29625</v>
      </c>
      <c r="Y957" s="79"/>
      <c r="Z957" s="79"/>
      <c r="AA957" s="79">
        <f t="shared" si="505"/>
        <v>11.29625</v>
      </c>
      <c r="AB957" s="90">
        <v>7.15</v>
      </c>
      <c r="AC957" s="76">
        <f t="shared" si="502"/>
        <v>80.7681875</v>
      </c>
      <c r="AD957" s="76">
        <f t="shared" si="503"/>
        <v>346.49365625</v>
      </c>
      <c r="AE957" s="76">
        <f t="shared" si="504"/>
        <v>73.50634375</v>
      </c>
    </row>
    <row r="958" customFormat="1" spans="1:31">
      <c r="A958" s="18"/>
      <c r="B958" s="19"/>
      <c r="C958" s="20">
        <v>240828000007</v>
      </c>
      <c r="D958" s="21">
        <v>45536</v>
      </c>
      <c r="E958" s="21" t="s">
        <v>44</v>
      </c>
      <c r="F958" s="19" t="s">
        <v>45</v>
      </c>
      <c r="G958" s="19" t="s">
        <v>544</v>
      </c>
      <c r="H958" s="19">
        <v>1.5</v>
      </c>
      <c r="I958" s="43"/>
      <c r="J958" s="110">
        <v>39675</v>
      </c>
      <c r="K958" s="45"/>
      <c r="L958" s="46">
        <f>SUM(J958/M958)</f>
        <v>1644.90049751244</v>
      </c>
      <c r="M958" s="47">
        <v>24.12</v>
      </c>
      <c r="N958" s="48">
        <v>7.15</v>
      </c>
      <c r="O958" s="49">
        <f>SUM(M958*N958)</f>
        <v>172.458</v>
      </c>
      <c r="P958" s="53"/>
      <c r="Q958" s="53"/>
      <c r="R958" s="76">
        <f t="shared" si="507"/>
        <v>112.5</v>
      </c>
      <c r="S958" s="76"/>
      <c r="T958" s="77">
        <f t="shared" si="508"/>
        <v>1.38234375</v>
      </c>
      <c r="U958" s="76"/>
      <c r="V958" s="76"/>
      <c r="W958" s="78">
        <f t="shared" si="501"/>
        <v>113.88234375</v>
      </c>
      <c r="X958" s="79">
        <f t="shared" si="509"/>
        <v>4.84125</v>
      </c>
      <c r="Y958" s="79"/>
      <c r="Z958" s="79"/>
      <c r="AA958" s="79">
        <f t="shared" si="505"/>
        <v>4.84125</v>
      </c>
      <c r="AB958" s="90">
        <v>7.15</v>
      </c>
      <c r="AC958" s="76">
        <f t="shared" si="502"/>
        <v>34.6149375</v>
      </c>
      <c r="AD958" s="76">
        <f t="shared" si="503"/>
        <v>148.49728125</v>
      </c>
      <c r="AE958" s="76">
        <f t="shared" si="504"/>
        <v>23.96071875</v>
      </c>
    </row>
    <row r="959" customFormat="1" spans="1:31">
      <c r="A959" s="18"/>
      <c r="B959" s="19"/>
      <c r="C959" s="20">
        <v>240828000020</v>
      </c>
      <c r="D959" s="21">
        <v>45536</v>
      </c>
      <c r="E959" s="21" t="s">
        <v>37</v>
      </c>
      <c r="F959" s="19" t="s">
        <v>38</v>
      </c>
      <c r="G959" s="19" t="s">
        <v>469</v>
      </c>
      <c r="H959" s="19">
        <v>1.5</v>
      </c>
      <c r="I959" s="51">
        <v>170</v>
      </c>
      <c r="J959" s="109"/>
      <c r="K959" s="45"/>
      <c r="L959" s="19"/>
      <c r="M959" s="45"/>
      <c r="N959" s="48"/>
      <c r="O959" s="49">
        <f t="shared" ref="O959:O964" si="511">SUM(I959)</f>
        <v>170</v>
      </c>
      <c r="P959" s="53"/>
      <c r="Q959" s="53"/>
      <c r="R959" s="76">
        <f t="shared" si="507"/>
        <v>112.5</v>
      </c>
      <c r="S959" s="76"/>
      <c r="T959" s="77">
        <f t="shared" si="508"/>
        <v>1.38234375</v>
      </c>
      <c r="U959" s="76"/>
      <c r="V959" s="76"/>
      <c r="W959" s="78">
        <f t="shared" si="501"/>
        <v>113.88234375</v>
      </c>
      <c r="X959" s="79">
        <f t="shared" si="509"/>
        <v>4.84125</v>
      </c>
      <c r="Y959" s="79"/>
      <c r="Z959" s="79"/>
      <c r="AA959" s="79">
        <f t="shared" si="505"/>
        <v>4.84125</v>
      </c>
      <c r="AB959" s="90">
        <v>7.15</v>
      </c>
      <c r="AC959" s="76">
        <f t="shared" si="502"/>
        <v>34.6149375</v>
      </c>
      <c r="AD959" s="76">
        <f t="shared" si="503"/>
        <v>148.49728125</v>
      </c>
      <c r="AE959" s="76">
        <f t="shared" si="504"/>
        <v>21.50271875</v>
      </c>
    </row>
    <row r="960" customFormat="1" spans="1:31">
      <c r="A960" s="18"/>
      <c r="B960" s="19"/>
      <c r="C960" s="20">
        <v>240828000022</v>
      </c>
      <c r="D960" s="21">
        <v>45536</v>
      </c>
      <c r="E960" s="21" t="s">
        <v>82</v>
      </c>
      <c r="F960" s="19" t="s">
        <v>83</v>
      </c>
      <c r="G960" s="19" t="s">
        <v>549</v>
      </c>
      <c r="H960" s="19">
        <v>0.15</v>
      </c>
      <c r="I960" s="51">
        <v>177</v>
      </c>
      <c r="J960" s="109"/>
      <c r="K960" s="45"/>
      <c r="L960" s="19"/>
      <c r="M960" s="45"/>
      <c r="N960" s="48"/>
      <c r="O960" s="49">
        <f t="shared" si="511"/>
        <v>177</v>
      </c>
      <c r="P960" s="53"/>
      <c r="Q960" s="53"/>
      <c r="R960" s="76">
        <f t="shared" si="507"/>
        <v>11.25</v>
      </c>
      <c r="S960" s="76"/>
      <c r="T960" s="77">
        <f t="shared" si="508"/>
        <v>0.138234375</v>
      </c>
      <c r="U960" s="76"/>
      <c r="V960" s="76"/>
      <c r="W960" s="78">
        <f t="shared" si="501"/>
        <v>11.388234375</v>
      </c>
      <c r="X960" s="79">
        <f t="shared" si="509"/>
        <v>0.484125</v>
      </c>
      <c r="Y960" s="79"/>
      <c r="Z960" s="79"/>
      <c r="AA960" s="79">
        <f t="shared" si="505"/>
        <v>0.484125</v>
      </c>
      <c r="AB960" s="90">
        <v>7.15</v>
      </c>
      <c r="AC960" s="76">
        <f t="shared" si="502"/>
        <v>3.46149375</v>
      </c>
      <c r="AD960" s="76">
        <f t="shared" si="503"/>
        <v>14.849728125</v>
      </c>
      <c r="AE960" s="76">
        <f t="shared" si="504"/>
        <v>162.150271875</v>
      </c>
    </row>
    <row r="961" customFormat="1" spans="1:31">
      <c r="A961" s="18"/>
      <c r="B961" s="19"/>
      <c r="C961" s="20">
        <v>240828000023</v>
      </c>
      <c r="D961" s="21">
        <v>45536</v>
      </c>
      <c r="E961" s="21" t="s">
        <v>37</v>
      </c>
      <c r="F961" s="19" t="s">
        <v>38</v>
      </c>
      <c r="G961" s="19" t="s">
        <v>550</v>
      </c>
      <c r="H961" s="19">
        <v>0.78</v>
      </c>
      <c r="I961" s="51">
        <v>115</v>
      </c>
      <c r="J961" s="109"/>
      <c r="K961" s="45"/>
      <c r="L961" s="19"/>
      <c r="M961" s="45"/>
      <c r="N961" s="48"/>
      <c r="O961" s="49">
        <f t="shared" si="511"/>
        <v>115</v>
      </c>
      <c r="P961" s="53"/>
      <c r="Q961" s="53"/>
      <c r="R961" s="76">
        <f t="shared" si="507"/>
        <v>58.5</v>
      </c>
      <c r="S961" s="76"/>
      <c r="T961" s="77">
        <f t="shared" si="508"/>
        <v>0.71881875</v>
      </c>
      <c r="U961" s="76"/>
      <c r="V961" s="76"/>
      <c r="W961" s="78">
        <f t="shared" si="501"/>
        <v>59.21881875</v>
      </c>
      <c r="X961" s="79">
        <f t="shared" si="509"/>
        <v>2.51745</v>
      </c>
      <c r="Y961" s="79"/>
      <c r="Z961" s="79"/>
      <c r="AA961" s="79">
        <f t="shared" si="505"/>
        <v>2.51745</v>
      </c>
      <c r="AB961" s="90">
        <v>7.15</v>
      </c>
      <c r="AC961" s="76">
        <f t="shared" si="502"/>
        <v>17.9997675</v>
      </c>
      <c r="AD961" s="76">
        <f t="shared" ref="AD961:AD992" si="512">SUM(W961+AC961)</f>
        <v>77.21858625</v>
      </c>
      <c r="AE961" s="76">
        <f t="shared" ref="AE961:AE992" si="513">SUM(O961-AD961)</f>
        <v>37.78141375</v>
      </c>
    </row>
    <row r="962" customFormat="1" spans="1:31">
      <c r="A962" s="18"/>
      <c r="B962" s="19"/>
      <c r="C962" s="20">
        <v>240828000056</v>
      </c>
      <c r="D962" s="21">
        <v>45536</v>
      </c>
      <c r="E962" s="21" t="s">
        <v>51</v>
      </c>
      <c r="F962" s="19" t="s">
        <v>52</v>
      </c>
      <c r="G962" s="19" t="s">
        <v>551</v>
      </c>
      <c r="H962" s="19">
        <v>0.96</v>
      </c>
      <c r="I962" s="51">
        <v>115</v>
      </c>
      <c r="J962" s="109"/>
      <c r="K962" s="45"/>
      <c r="L962" s="19"/>
      <c r="M962" s="45"/>
      <c r="N962" s="48"/>
      <c r="O962" s="49">
        <f t="shared" si="511"/>
        <v>115</v>
      </c>
      <c r="P962" s="54"/>
      <c r="Q962" s="54"/>
      <c r="R962" s="76">
        <f t="shared" si="507"/>
        <v>72</v>
      </c>
      <c r="S962" s="76"/>
      <c r="T962" s="77">
        <f t="shared" si="508"/>
        <v>0.8847</v>
      </c>
      <c r="U962" s="76"/>
      <c r="V962" s="76"/>
      <c r="W962" s="78">
        <f t="shared" ref="W962:W993" si="514">SUM(R962:V962)</f>
        <v>72.8847</v>
      </c>
      <c r="X962" s="79">
        <f t="shared" si="509"/>
        <v>3.0984</v>
      </c>
      <c r="Y962" s="79"/>
      <c r="Z962" s="79"/>
      <c r="AA962" s="79">
        <f t="shared" ref="AA962:AA993" si="515">SUM(X962:Z962)</f>
        <v>3.0984</v>
      </c>
      <c r="AB962" s="90">
        <v>7.15</v>
      </c>
      <c r="AC962" s="76">
        <f t="shared" ref="AC962:AC993" si="516">SUM(AA962*AB962)</f>
        <v>22.15356</v>
      </c>
      <c r="AD962" s="76">
        <f t="shared" si="512"/>
        <v>95.03826</v>
      </c>
      <c r="AE962" s="76">
        <f t="shared" si="513"/>
        <v>19.96174</v>
      </c>
    </row>
    <row r="963" customFormat="1" spans="1:31">
      <c r="A963" s="18" t="s">
        <v>552</v>
      </c>
      <c r="B963" s="19" t="s">
        <v>553</v>
      </c>
      <c r="C963" s="20">
        <v>240820000039</v>
      </c>
      <c r="D963" s="21">
        <v>45540</v>
      </c>
      <c r="E963" s="21" t="s">
        <v>44</v>
      </c>
      <c r="F963" s="19" t="s">
        <v>45</v>
      </c>
      <c r="G963" s="19" t="s">
        <v>92</v>
      </c>
      <c r="H963" s="19">
        <v>0.3</v>
      </c>
      <c r="I963" s="51">
        <v>78.1</v>
      </c>
      <c r="J963" s="52"/>
      <c r="K963" s="45"/>
      <c r="L963" s="19"/>
      <c r="M963" s="45"/>
      <c r="N963" s="48"/>
      <c r="O963" s="49">
        <f t="shared" si="511"/>
        <v>78.1</v>
      </c>
      <c r="P963" s="50">
        <f>SUM(O963:O1021)</f>
        <v>76792.2319857</v>
      </c>
      <c r="Q963" s="115" t="s">
        <v>554</v>
      </c>
      <c r="R963" s="76">
        <f>SUM(61894/1253)*H963</f>
        <v>14.8189944134078</v>
      </c>
      <c r="S963" s="76"/>
      <c r="T963" s="77">
        <f>SUM(120/1253)*H963</f>
        <v>0.028731045490822</v>
      </c>
      <c r="U963" s="76"/>
      <c r="V963" s="76"/>
      <c r="W963" s="78">
        <f t="shared" si="514"/>
        <v>14.8477254588986</v>
      </c>
      <c r="X963" s="79">
        <f>SUM(977.78/1253)*H963</f>
        <v>0.2341053471668</v>
      </c>
      <c r="Y963" s="79"/>
      <c r="Z963" s="79"/>
      <c r="AA963" s="79">
        <f t="shared" si="515"/>
        <v>0.2341053471668</v>
      </c>
      <c r="AB963" s="90">
        <v>7.15</v>
      </c>
      <c r="AC963" s="76">
        <f t="shared" si="516"/>
        <v>1.67385323224262</v>
      </c>
      <c r="AD963" s="76">
        <f t="shared" si="512"/>
        <v>16.5215786911413</v>
      </c>
      <c r="AE963" s="76">
        <f t="shared" si="513"/>
        <v>61.5784213088587</v>
      </c>
    </row>
    <row r="964" customFormat="1" spans="1:31">
      <c r="A964" s="18"/>
      <c r="B964" s="19"/>
      <c r="C964" s="20">
        <v>240824000021</v>
      </c>
      <c r="D964" s="21">
        <v>45540</v>
      </c>
      <c r="E964" s="21" t="s">
        <v>57</v>
      </c>
      <c r="F964" s="19" t="s">
        <v>57</v>
      </c>
      <c r="G964" s="19" t="s">
        <v>154</v>
      </c>
      <c r="H964" s="19">
        <v>2</v>
      </c>
      <c r="I964" s="51">
        <v>172.2</v>
      </c>
      <c r="J964" s="52"/>
      <c r="K964" s="45"/>
      <c r="L964" s="19"/>
      <c r="M964" s="45"/>
      <c r="N964" s="48"/>
      <c r="O964" s="49">
        <f t="shared" si="511"/>
        <v>172.2</v>
      </c>
      <c r="P964" s="53"/>
      <c r="Q964" s="53"/>
      <c r="R964" s="76">
        <f t="shared" ref="R964:R995" si="517">SUM(61894/1253)*H964</f>
        <v>98.7932960893855</v>
      </c>
      <c r="S964" s="76"/>
      <c r="T964" s="77">
        <f t="shared" ref="T964:T995" si="518">SUM(120/1253)*H964</f>
        <v>0.191540303272147</v>
      </c>
      <c r="U964" s="76"/>
      <c r="V964" s="76"/>
      <c r="W964" s="78">
        <f t="shared" si="514"/>
        <v>98.9848363926576</v>
      </c>
      <c r="X964" s="79">
        <f t="shared" ref="X964:X995" si="519">SUM(977.78/1253)*H964</f>
        <v>1.56070231444533</v>
      </c>
      <c r="Y964" s="79"/>
      <c r="Z964" s="79"/>
      <c r="AA964" s="79">
        <f t="shared" si="515"/>
        <v>1.56070231444533</v>
      </c>
      <c r="AB964" s="90">
        <v>7.15</v>
      </c>
      <c r="AC964" s="76">
        <f t="shared" si="516"/>
        <v>11.1590215482841</v>
      </c>
      <c r="AD964" s="76">
        <f t="shared" si="512"/>
        <v>110.143857940942</v>
      </c>
      <c r="AE964" s="76">
        <f t="shared" si="513"/>
        <v>62.0561420590582</v>
      </c>
    </row>
    <row r="965" customFormat="1" spans="1:31">
      <c r="A965" s="18"/>
      <c r="B965" s="19"/>
      <c r="C965" s="20">
        <v>240825000007</v>
      </c>
      <c r="D965" s="21">
        <v>45540</v>
      </c>
      <c r="E965" s="21" t="s">
        <v>37</v>
      </c>
      <c r="F965" s="19" t="s">
        <v>38</v>
      </c>
      <c r="G965" s="19" t="s">
        <v>71</v>
      </c>
      <c r="H965" s="19">
        <v>4.5</v>
      </c>
      <c r="I965" s="49"/>
      <c r="J965" s="44">
        <v>96225.15</v>
      </c>
      <c r="K965" s="45"/>
      <c r="L965" s="46">
        <f>SUM(J965/M965)</f>
        <v>1695.00008957196</v>
      </c>
      <c r="M965" s="47">
        <v>56.769997</v>
      </c>
      <c r="N965" s="48">
        <v>7.15</v>
      </c>
      <c r="O965" s="49">
        <f>SUM(M965*N965)</f>
        <v>405.90547855</v>
      </c>
      <c r="P965" s="53"/>
      <c r="Q965" s="53"/>
      <c r="R965" s="76">
        <f t="shared" si="517"/>
        <v>222.284916201117</v>
      </c>
      <c r="S965" s="76"/>
      <c r="T965" s="77">
        <f t="shared" si="518"/>
        <v>0.43096568236233</v>
      </c>
      <c r="U965" s="76"/>
      <c r="V965" s="76"/>
      <c r="W965" s="78">
        <f t="shared" si="514"/>
        <v>222.71588188348</v>
      </c>
      <c r="X965" s="79">
        <f t="shared" si="519"/>
        <v>3.51158020750199</v>
      </c>
      <c r="Y965" s="79"/>
      <c r="Z965" s="79"/>
      <c r="AA965" s="79">
        <f t="shared" si="515"/>
        <v>3.51158020750199</v>
      </c>
      <c r="AB965" s="90">
        <v>7.15</v>
      </c>
      <c r="AC965" s="76">
        <f t="shared" si="516"/>
        <v>25.1077984836393</v>
      </c>
      <c r="AD965" s="76">
        <f t="shared" si="512"/>
        <v>247.823680367119</v>
      </c>
      <c r="AE965" s="76">
        <f t="shared" si="513"/>
        <v>158.081798182881</v>
      </c>
    </row>
    <row r="966" customFormat="1" spans="1:31">
      <c r="A966" s="18"/>
      <c r="B966" s="19"/>
      <c r="C966" s="20">
        <v>240825000019</v>
      </c>
      <c r="D966" s="21">
        <v>45540</v>
      </c>
      <c r="E966" s="21" t="s">
        <v>37</v>
      </c>
      <c r="F966" s="19" t="s">
        <v>38</v>
      </c>
      <c r="G966" s="19" t="s">
        <v>336</v>
      </c>
      <c r="H966" s="19">
        <v>4</v>
      </c>
      <c r="I966" s="51">
        <v>293.7</v>
      </c>
      <c r="J966" s="52"/>
      <c r="K966" s="45"/>
      <c r="L966" s="19"/>
      <c r="M966" s="45"/>
      <c r="N966" s="48"/>
      <c r="O966" s="49">
        <f t="shared" ref="O966:O969" si="520">SUM(I966)</f>
        <v>293.7</v>
      </c>
      <c r="P966" s="53"/>
      <c r="Q966" s="53"/>
      <c r="R966" s="76">
        <f t="shared" si="517"/>
        <v>197.586592178771</v>
      </c>
      <c r="S966" s="76"/>
      <c r="T966" s="77">
        <f t="shared" si="518"/>
        <v>0.383080606544294</v>
      </c>
      <c r="U966" s="76"/>
      <c r="V966" s="76"/>
      <c r="W966" s="78">
        <f t="shared" si="514"/>
        <v>197.969672785315</v>
      </c>
      <c r="X966" s="79">
        <f t="shared" si="519"/>
        <v>3.12140462889066</v>
      </c>
      <c r="Y966" s="79"/>
      <c r="Z966" s="79"/>
      <c r="AA966" s="79">
        <f t="shared" si="515"/>
        <v>3.12140462889066</v>
      </c>
      <c r="AB966" s="90">
        <v>7.15</v>
      </c>
      <c r="AC966" s="76">
        <f t="shared" si="516"/>
        <v>22.3180430965682</v>
      </c>
      <c r="AD966" s="76">
        <f t="shared" si="512"/>
        <v>220.287715881883</v>
      </c>
      <c r="AE966" s="76">
        <f t="shared" si="513"/>
        <v>73.4122841181165</v>
      </c>
    </row>
    <row r="967" customFormat="1" spans="1:31">
      <c r="A967" s="18"/>
      <c r="B967" s="19"/>
      <c r="C967" s="20">
        <v>240825000025</v>
      </c>
      <c r="D967" s="21">
        <v>45540</v>
      </c>
      <c r="E967" s="21" t="s">
        <v>37</v>
      </c>
      <c r="F967" s="19" t="s">
        <v>38</v>
      </c>
      <c r="G967" s="19" t="s">
        <v>555</v>
      </c>
      <c r="H967" s="19">
        <v>11.5</v>
      </c>
      <c r="I967" s="51">
        <v>810</v>
      </c>
      <c r="J967" s="52"/>
      <c r="K967" s="45"/>
      <c r="L967" s="19"/>
      <c r="M967" s="45"/>
      <c r="N967" s="48"/>
      <c r="O967" s="49">
        <f t="shared" si="520"/>
        <v>810</v>
      </c>
      <c r="P967" s="53"/>
      <c r="Q967" s="53"/>
      <c r="R967" s="76">
        <f t="shared" si="517"/>
        <v>568.061452513967</v>
      </c>
      <c r="S967" s="76"/>
      <c r="T967" s="77">
        <f t="shared" si="518"/>
        <v>1.10135674381484</v>
      </c>
      <c r="U967" s="76"/>
      <c r="V967" s="76"/>
      <c r="W967" s="78">
        <f t="shared" si="514"/>
        <v>569.162809257781</v>
      </c>
      <c r="X967" s="79">
        <f t="shared" si="519"/>
        <v>8.97403830806065</v>
      </c>
      <c r="Y967" s="79"/>
      <c r="Z967" s="79"/>
      <c r="AA967" s="79">
        <f t="shared" si="515"/>
        <v>8.97403830806065</v>
      </c>
      <c r="AB967" s="90">
        <v>7.15</v>
      </c>
      <c r="AC967" s="76">
        <f t="shared" si="516"/>
        <v>64.1643739026337</v>
      </c>
      <c r="AD967" s="76">
        <f t="shared" si="512"/>
        <v>633.327183160415</v>
      </c>
      <c r="AE967" s="76">
        <f t="shared" si="513"/>
        <v>176.672816839585</v>
      </c>
    </row>
    <row r="968" customFormat="1" spans="1:31">
      <c r="A968" s="18"/>
      <c r="B968" s="19"/>
      <c r="C968" s="20">
        <v>240826000010</v>
      </c>
      <c r="D968" s="21">
        <v>45540</v>
      </c>
      <c r="E968" s="21" t="s">
        <v>51</v>
      </c>
      <c r="F968" s="19" t="s">
        <v>52</v>
      </c>
      <c r="G968" s="19" t="s">
        <v>481</v>
      </c>
      <c r="H968" s="19">
        <v>3</v>
      </c>
      <c r="I968" s="51">
        <v>256.2</v>
      </c>
      <c r="J968" s="52"/>
      <c r="K968" s="45"/>
      <c r="L968" s="19"/>
      <c r="M968" s="45"/>
      <c r="N968" s="48"/>
      <c r="O968" s="49">
        <f t="shared" si="520"/>
        <v>256.2</v>
      </c>
      <c r="P968" s="53"/>
      <c r="Q968" s="53"/>
      <c r="R968" s="76">
        <f t="shared" si="517"/>
        <v>148.189944134078</v>
      </c>
      <c r="S968" s="76"/>
      <c r="T968" s="77">
        <f t="shared" si="518"/>
        <v>0.28731045490822</v>
      </c>
      <c r="U968" s="76"/>
      <c r="V968" s="76"/>
      <c r="W968" s="78">
        <f t="shared" si="514"/>
        <v>148.477254588986</v>
      </c>
      <c r="X968" s="79">
        <f t="shared" si="519"/>
        <v>2.341053471668</v>
      </c>
      <c r="Y968" s="79"/>
      <c r="Z968" s="79"/>
      <c r="AA968" s="79">
        <f t="shared" si="515"/>
        <v>2.341053471668</v>
      </c>
      <c r="AB968" s="90">
        <v>7.15</v>
      </c>
      <c r="AC968" s="76">
        <f t="shared" si="516"/>
        <v>16.7385323224262</v>
      </c>
      <c r="AD968" s="76">
        <f t="shared" si="512"/>
        <v>165.215786911413</v>
      </c>
      <c r="AE968" s="76">
        <f t="shared" si="513"/>
        <v>90.9842130885874</v>
      </c>
    </row>
    <row r="969" customFormat="1" spans="1:31">
      <c r="A969" s="18"/>
      <c r="B969" s="19"/>
      <c r="C969" s="20">
        <v>240826000020</v>
      </c>
      <c r="D969" s="21">
        <v>45540</v>
      </c>
      <c r="E969" s="21" t="s">
        <v>51</v>
      </c>
      <c r="F969" s="19" t="s">
        <v>52</v>
      </c>
      <c r="G969" s="19" t="s">
        <v>556</v>
      </c>
      <c r="H969" s="19">
        <v>17.5</v>
      </c>
      <c r="I969" s="51">
        <v>1103</v>
      </c>
      <c r="J969" s="52"/>
      <c r="K969" s="45"/>
      <c r="L969" s="19"/>
      <c r="M969" s="45"/>
      <c r="N969" s="48"/>
      <c r="O969" s="49">
        <f t="shared" si="520"/>
        <v>1103</v>
      </c>
      <c r="P969" s="53"/>
      <c r="Q969" s="53"/>
      <c r="R969" s="76">
        <f t="shared" si="517"/>
        <v>864.441340782123</v>
      </c>
      <c r="S969" s="76"/>
      <c r="T969" s="77">
        <f t="shared" si="518"/>
        <v>1.67597765363128</v>
      </c>
      <c r="U969" s="76"/>
      <c r="V969" s="76"/>
      <c r="W969" s="78">
        <f t="shared" si="514"/>
        <v>866.117318435754</v>
      </c>
      <c r="X969" s="79">
        <f t="shared" si="519"/>
        <v>13.6561452513966</v>
      </c>
      <c r="Y969" s="79"/>
      <c r="Z969" s="79"/>
      <c r="AA969" s="79">
        <f t="shared" si="515"/>
        <v>13.6561452513966</v>
      </c>
      <c r="AB969" s="90">
        <v>7.15</v>
      </c>
      <c r="AC969" s="76">
        <f t="shared" si="516"/>
        <v>97.641438547486</v>
      </c>
      <c r="AD969" s="76">
        <f t="shared" si="512"/>
        <v>963.75875698324</v>
      </c>
      <c r="AE969" s="76">
        <f t="shared" si="513"/>
        <v>139.24124301676</v>
      </c>
    </row>
    <row r="970" customFormat="1" spans="1:31">
      <c r="A970" s="18"/>
      <c r="B970" s="19"/>
      <c r="C970" s="20">
        <v>240826000027</v>
      </c>
      <c r="D970" s="21">
        <v>45540</v>
      </c>
      <c r="E970" s="21" t="s">
        <v>82</v>
      </c>
      <c r="F970" s="19" t="s">
        <v>83</v>
      </c>
      <c r="G970" s="19" t="s">
        <v>557</v>
      </c>
      <c r="H970" s="19">
        <v>3</v>
      </c>
      <c r="I970" s="43"/>
      <c r="J970" s="44">
        <v>73500</v>
      </c>
      <c r="K970" s="45"/>
      <c r="L970" s="46">
        <f>SUM(J970/M970)</f>
        <v>1680.3840877915</v>
      </c>
      <c r="M970" s="47">
        <v>43.74</v>
      </c>
      <c r="N970" s="48">
        <v>7.15</v>
      </c>
      <c r="O970" s="49">
        <f>SUM(M970*N970)</f>
        <v>312.741</v>
      </c>
      <c r="P970" s="53"/>
      <c r="Q970" s="53"/>
      <c r="R970" s="76">
        <f t="shared" si="517"/>
        <v>148.189944134078</v>
      </c>
      <c r="S970" s="76"/>
      <c r="T970" s="77">
        <f t="shared" si="518"/>
        <v>0.28731045490822</v>
      </c>
      <c r="U970" s="76"/>
      <c r="V970" s="77">
        <v>20</v>
      </c>
      <c r="W970" s="78">
        <f t="shared" si="514"/>
        <v>168.477254588986</v>
      </c>
      <c r="X970" s="79">
        <f t="shared" si="519"/>
        <v>2.341053471668</v>
      </c>
      <c r="Y970" s="79"/>
      <c r="Z970" s="79"/>
      <c r="AA970" s="79">
        <f t="shared" si="515"/>
        <v>2.341053471668</v>
      </c>
      <c r="AB970" s="90">
        <v>7.15</v>
      </c>
      <c r="AC970" s="76">
        <f t="shared" si="516"/>
        <v>16.7385323224262</v>
      </c>
      <c r="AD970" s="76">
        <f t="shared" si="512"/>
        <v>185.215786911413</v>
      </c>
      <c r="AE970" s="76">
        <f t="shared" si="513"/>
        <v>127.525213088587</v>
      </c>
    </row>
    <row r="971" customFormat="1" spans="1:31">
      <c r="A971" s="18"/>
      <c r="B971" s="19"/>
      <c r="C971" s="20">
        <v>240826000029</v>
      </c>
      <c r="D971" s="21">
        <v>45540</v>
      </c>
      <c r="E971" s="21" t="s">
        <v>57</v>
      </c>
      <c r="F971" s="19" t="s">
        <v>57</v>
      </c>
      <c r="G971" s="19" t="s">
        <v>558</v>
      </c>
      <c r="H971" s="19">
        <v>44.5</v>
      </c>
      <c r="I971" s="51">
        <v>2732</v>
      </c>
      <c r="J971" s="52"/>
      <c r="K971" s="45"/>
      <c r="L971" s="19"/>
      <c r="M971" s="45"/>
      <c r="N971" s="48"/>
      <c r="O971" s="49">
        <f t="shared" ref="O971:O974" si="521">SUM(I971)</f>
        <v>2732</v>
      </c>
      <c r="P971" s="53"/>
      <c r="Q971" s="53"/>
      <c r="R971" s="76">
        <f t="shared" si="517"/>
        <v>2198.15083798883</v>
      </c>
      <c r="S971" s="76"/>
      <c r="T971" s="77">
        <f t="shared" si="518"/>
        <v>4.26177174780527</v>
      </c>
      <c r="U971" s="77">
        <v>80</v>
      </c>
      <c r="V971" s="76"/>
      <c r="W971" s="78">
        <f t="shared" si="514"/>
        <v>2282.41260973663</v>
      </c>
      <c r="X971" s="79">
        <f t="shared" si="519"/>
        <v>34.7256264964086</v>
      </c>
      <c r="Y971" s="79"/>
      <c r="Z971" s="79"/>
      <c r="AA971" s="79">
        <f t="shared" si="515"/>
        <v>34.7256264964086</v>
      </c>
      <c r="AB971" s="90">
        <v>7.15</v>
      </c>
      <c r="AC971" s="76">
        <f t="shared" si="516"/>
        <v>248.288229449322</v>
      </c>
      <c r="AD971" s="76">
        <f t="shared" si="512"/>
        <v>2530.70083918595</v>
      </c>
      <c r="AE971" s="76">
        <f t="shared" si="513"/>
        <v>201.299160814046</v>
      </c>
    </row>
    <row r="972" customFormat="1" spans="1:31">
      <c r="A972" s="18"/>
      <c r="B972" s="19"/>
      <c r="C972" s="20">
        <v>240826000034</v>
      </c>
      <c r="D972" s="21">
        <v>45540</v>
      </c>
      <c r="E972" s="21" t="s">
        <v>51</v>
      </c>
      <c r="F972" s="19" t="s">
        <v>52</v>
      </c>
      <c r="G972" s="19" t="s">
        <v>416</v>
      </c>
      <c r="H972" s="19">
        <v>3</v>
      </c>
      <c r="I972" s="51">
        <v>221</v>
      </c>
      <c r="J972" s="52"/>
      <c r="K972" s="45"/>
      <c r="L972" s="19"/>
      <c r="M972" s="45"/>
      <c r="N972" s="48"/>
      <c r="O972" s="49">
        <f t="shared" si="521"/>
        <v>221</v>
      </c>
      <c r="P972" s="53"/>
      <c r="Q972" s="53"/>
      <c r="R972" s="76">
        <f t="shared" si="517"/>
        <v>148.189944134078</v>
      </c>
      <c r="S972" s="76"/>
      <c r="T972" s="77">
        <f t="shared" si="518"/>
        <v>0.28731045490822</v>
      </c>
      <c r="U972" s="76"/>
      <c r="V972" s="76"/>
      <c r="W972" s="78">
        <f t="shared" si="514"/>
        <v>148.477254588986</v>
      </c>
      <c r="X972" s="79">
        <f t="shared" si="519"/>
        <v>2.341053471668</v>
      </c>
      <c r="Y972" s="79"/>
      <c r="Z972" s="79"/>
      <c r="AA972" s="79">
        <f t="shared" si="515"/>
        <v>2.341053471668</v>
      </c>
      <c r="AB972" s="90">
        <v>7.15</v>
      </c>
      <c r="AC972" s="76">
        <f t="shared" si="516"/>
        <v>16.7385323224262</v>
      </c>
      <c r="AD972" s="76">
        <f t="shared" si="512"/>
        <v>165.215786911413</v>
      </c>
      <c r="AE972" s="76">
        <f t="shared" si="513"/>
        <v>55.7842130885874</v>
      </c>
    </row>
    <row r="973" customFormat="1" spans="1:31">
      <c r="A973" s="18"/>
      <c r="B973" s="19"/>
      <c r="C973" s="20">
        <v>240827000010</v>
      </c>
      <c r="D973" s="21">
        <v>45540</v>
      </c>
      <c r="E973" s="21" t="s">
        <v>37</v>
      </c>
      <c r="F973" s="19" t="s">
        <v>38</v>
      </c>
      <c r="G973" s="19" t="s">
        <v>319</v>
      </c>
      <c r="H973" s="19">
        <v>14</v>
      </c>
      <c r="I973" s="51">
        <v>969</v>
      </c>
      <c r="J973" s="52"/>
      <c r="K973" s="45"/>
      <c r="L973" s="19"/>
      <c r="M973" s="45"/>
      <c r="N973" s="48"/>
      <c r="O973" s="49">
        <f t="shared" si="521"/>
        <v>969</v>
      </c>
      <c r="P973" s="53"/>
      <c r="Q973" s="53"/>
      <c r="R973" s="76">
        <f t="shared" si="517"/>
        <v>691.553072625698</v>
      </c>
      <c r="S973" s="76"/>
      <c r="T973" s="77">
        <f t="shared" si="518"/>
        <v>1.34078212290503</v>
      </c>
      <c r="U973" s="76">
        <v>45</v>
      </c>
      <c r="V973" s="76"/>
      <c r="W973" s="78">
        <f t="shared" si="514"/>
        <v>737.893854748603</v>
      </c>
      <c r="X973" s="79">
        <f t="shared" si="519"/>
        <v>10.9249162011173</v>
      </c>
      <c r="Y973" s="79"/>
      <c r="Z973" s="79"/>
      <c r="AA973" s="79">
        <f t="shared" si="515"/>
        <v>10.9249162011173</v>
      </c>
      <c r="AB973" s="90">
        <v>7.15</v>
      </c>
      <c r="AC973" s="76">
        <f t="shared" si="516"/>
        <v>78.1131508379888</v>
      </c>
      <c r="AD973" s="76">
        <f t="shared" si="512"/>
        <v>816.007005586592</v>
      </c>
      <c r="AE973" s="76">
        <f t="shared" si="513"/>
        <v>152.992994413408</v>
      </c>
    </row>
    <row r="974" customFormat="1" spans="1:31">
      <c r="A974" s="18"/>
      <c r="B974" s="19"/>
      <c r="C974" s="20">
        <v>240827000022</v>
      </c>
      <c r="D974" s="21">
        <v>45540</v>
      </c>
      <c r="E974" s="21" t="s">
        <v>41</v>
      </c>
      <c r="F974" s="19" t="s">
        <v>42</v>
      </c>
      <c r="G974" s="19" t="s">
        <v>559</v>
      </c>
      <c r="H974" s="19">
        <v>2.5</v>
      </c>
      <c r="I974" s="51">
        <v>184.8</v>
      </c>
      <c r="J974" s="52"/>
      <c r="K974" s="45"/>
      <c r="L974" s="19"/>
      <c r="M974" s="45"/>
      <c r="N974" s="48"/>
      <c r="O974" s="49">
        <f t="shared" si="521"/>
        <v>184.8</v>
      </c>
      <c r="P974" s="53"/>
      <c r="Q974" s="53"/>
      <c r="R974" s="76">
        <f t="shared" si="517"/>
        <v>123.491620111732</v>
      </c>
      <c r="S974" s="76"/>
      <c r="T974" s="77">
        <f t="shared" si="518"/>
        <v>0.239425379090184</v>
      </c>
      <c r="U974" s="76"/>
      <c r="V974" s="76"/>
      <c r="W974" s="78">
        <f t="shared" si="514"/>
        <v>123.731045490822</v>
      </c>
      <c r="X974" s="79">
        <f t="shared" si="519"/>
        <v>1.95087789305666</v>
      </c>
      <c r="Y974" s="79"/>
      <c r="Z974" s="79"/>
      <c r="AA974" s="79">
        <f t="shared" si="515"/>
        <v>1.95087789305666</v>
      </c>
      <c r="AB974" s="90">
        <v>7.15</v>
      </c>
      <c r="AC974" s="76">
        <f t="shared" si="516"/>
        <v>13.9487769353551</v>
      </c>
      <c r="AD974" s="76">
        <f t="shared" si="512"/>
        <v>137.679822426177</v>
      </c>
      <c r="AE974" s="76">
        <f t="shared" si="513"/>
        <v>47.1201775738228</v>
      </c>
    </row>
    <row r="975" customFormat="1" spans="1:31">
      <c r="A975" s="18"/>
      <c r="B975" s="19"/>
      <c r="C975" s="20">
        <v>240827000035</v>
      </c>
      <c r="D975" s="21">
        <v>45540</v>
      </c>
      <c r="E975" s="21" t="s">
        <v>37</v>
      </c>
      <c r="F975" s="19" t="s">
        <v>214</v>
      </c>
      <c r="G975" s="19" t="s">
        <v>214</v>
      </c>
      <c r="H975" s="19">
        <v>3</v>
      </c>
      <c r="I975" s="49"/>
      <c r="J975" s="44">
        <v>52206</v>
      </c>
      <c r="K975" s="45"/>
      <c r="L975" s="46">
        <f t="shared" ref="L975:L979" si="522">SUM(J975/M975)</f>
        <v>1695</v>
      </c>
      <c r="M975" s="47">
        <v>30.8</v>
      </c>
      <c r="N975" s="48">
        <v>7.15</v>
      </c>
      <c r="O975" s="49">
        <f t="shared" ref="O975:O979" si="523">SUM(M975*N975)</f>
        <v>220.22</v>
      </c>
      <c r="P975" s="53"/>
      <c r="Q975" s="53"/>
      <c r="R975" s="76">
        <f t="shared" si="517"/>
        <v>148.189944134078</v>
      </c>
      <c r="S975" s="76"/>
      <c r="T975" s="77">
        <f t="shared" si="518"/>
        <v>0.28731045490822</v>
      </c>
      <c r="U975" s="76"/>
      <c r="V975" s="76"/>
      <c r="W975" s="78">
        <f t="shared" si="514"/>
        <v>148.477254588986</v>
      </c>
      <c r="X975" s="79">
        <f t="shared" si="519"/>
        <v>2.341053471668</v>
      </c>
      <c r="Y975" s="79"/>
      <c r="Z975" s="79"/>
      <c r="AA975" s="79">
        <f t="shared" si="515"/>
        <v>2.341053471668</v>
      </c>
      <c r="AB975" s="90">
        <v>7.15</v>
      </c>
      <c r="AC975" s="76">
        <f t="shared" si="516"/>
        <v>16.7385323224262</v>
      </c>
      <c r="AD975" s="76">
        <f t="shared" si="512"/>
        <v>165.215786911413</v>
      </c>
      <c r="AE975" s="76">
        <f t="shared" si="513"/>
        <v>55.0042130885874</v>
      </c>
    </row>
    <row r="976" customFormat="1" spans="1:31">
      <c r="A976" s="18"/>
      <c r="B976" s="19"/>
      <c r="C976" s="20">
        <v>240828000004</v>
      </c>
      <c r="D976" s="21">
        <v>45540</v>
      </c>
      <c r="E976" s="21" t="s">
        <v>44</v>
      </c>
      <c r="F976" s="19" t="s">
        <v>45</v>
      </c>
      <c r="G976" s="19" t="s">
        <v>560</v>
      </c>
      <c r="H976" s="19">
        <v>78</v>
      </c>
      <c r="I976" s="49"/>
      <c r="J976" s="44">
        <v>1203111</v>
      </c>
      <c r="K976" s="45"/>
      <c r="L976" s="46">
        <f t="shared" si="522"/>
        <v>1695</v>
      </c>
      <c r="M976" s="47">
        <v>709.8</v>
      </c>
      <c r="N976" s="48">
        <v>7.15</v>
      </c>
      <c r="O976" s="49">
        <f t="shared" si="523"/>
        <v>5075.07</v>
      </c>
      <c r="P976" s="53"/>
      <c r="Q976" s="53"/>
      <c r="R976" s="76">
        <f t="shared" si="517"/>
        <v>3852.93854748603</v>
      </c>
      <c r="S976" s="76"/>
      <c r="T976" s="77">
        <f t="shared" si="518"/>
        <v>7.47007182761373</v>
      </c>
      <c r="U976" s="76"/>
      <c r="V976" s="76"/>
      <c r="W976" s="78">
        <f t="shared" si="514"/>
        <v>3860.40861931365</v>
      </c>
      <c r="X976" s="79">
        <f t="shared" si="519"/>
        <v>60.8673902633679</v>
      </c>
      <c r="Y976" s="79"/>
      <c r="Z976" s="79"/>
      <c r="AA976" s="79">
        <f t="shared" si="515"/>
        <v>60.8673902633679</v>
      </c>
      <c r="AB976" s="90">
        <v>7.15</v>
      </c>
      <c r="AC976" s="76">
        <f t="shared" si="516"/>
        <v>435.201840383081</v>
      </c>
      <c r="AD976" s="76">
        <f t="shared" si="512"/>
        <v>4295.61045969673</v>
      </c>
      <c r="AE976" s="76">
        <f t="shared" si="513"/>
        <v>779.459540303272</v>
      </c>
    </row>
    <row r="977" customFormat="1" spans="1:31">
      <c r="A977" s="18"/>
      <c r="B977" s="19"/>
      <c r="C977" s="20">
        <v>240828000013</v>
      </c>
      <c r="D977" s="21">
        <v>45540</v>
      </c>
      <c r="E977" s="21" t="s">
        <v>51</v>
      </c>
      <c r="F977" s="19" t="s">
        <v>52</v>
      </c>
      <c r="G977" s="19" t="s">
        <v>561</v>
      </c>
      <c r="H977" s="19">
        <v>0.38</v>
      </c>
      <c r="I977" s="51">
        <v>69</v>
      </c>
      <c r="J977" s="52"/>
      <c r="K977" s="45"/>
      <c r="L977" s="19"/>
      <c r="M977" s="45"/>
      <c r="N977" s="48"/>
      <c r="O977" s="49">
        <f t="shared" ref="O977:O982" si="524">SUM(I977)</f>
        <v>69</v>
      </c>
      <c r="P977" s="53"/>
      <c r="Q977" s="53"/>
      <c r="R977" s="76">
        <f t="shared" si="517"/>
        <v>18.7707262569832</v>
      </c>
      <c r="S977" s="76"/>
      <c r="T977" s="77">
        <f t="shared" si="518"/>
        <v>0.0363926576217079</v>
      </c>
      <c r="U977" s="76"/>
      <c r="V977" s="76"/>
      <c r="W977" s="78">
        <f t="shared" si="514"/>
        <v>18.8071189146049</v>
      </c>
      <c r="X977" s="79">
        <f t="shared" si="519"/>
        <v>0.296533439744613</v>
      </c>
      <c r="Y977" s="79"/>
      <c r="Z977" s="79"/>
      <c r="AA977" s="79">
        <f t="shared" si="515"/>
        <v>0.296533439744613</v>
      </c>
      <c r="AB977" s="90">
        <v>7.15</v>
      </c>
      <c r="AC977" s="76">
        <f t="shared" si="516"/>
        <v>2.12021409417398</v>
      </c>
      <c r="AD977" s="76">
        <f t="shared" si="512"/>
        <v>20.9273330087789</v>
      </c>
      <c r="AE977" s="76">
        <f t="shared" si="513"/>
        <v>48.0726669912211</v>
      </c>
    </row>
    <row r="978" customFormat="1" spans="1:31">
      <c r="A978" s="18"/>
      <c r="B978" s="19"/>
      <c r="C978" s="20">
        <v>240828000015</v>
      </c>
      <c r="D978" s="21">
        <v>45540</v>
      </c>
      <c r="E978" s="21" t="s">
        <v>51</v>
      </c>
      <c r="F978" s="19" t="s">
        <v>52</v>
      </c>
      <c r="G978" s="19" t="s">
        <v>122</v>
      </c>
      <c r="H978" s="19">
        <v>1.5</v>
      </c>
      <c r="I978" s="51">
        <v>88.2</v>
      </c>
      <c r="J978" s="52"/>
      <c r="K978" s="45"/>
      <c r="L978" s="19"/>
      <c r="M978" s="45"/>
      <c r="N978" s="48"/>
      <c r="O978" s="49">
        <f t="shared" si="524"/>
        <v>88.2</v>
      </c>
      <c r="P978" s="53"/>
      <c r="Q978" s="53"/>
      <c r="R978" s="76">
        <f t="shared" si="517"/>
        <v>74.0949720670391</v>
      </c>
      <c r="S978" s="76"/>
      <c r="T978" s="77">
        <f t="shared" si="518"/>
        <v>0.14365522745411</v>
      </c>
      <c r="U978" s="76"/>
      <c r="V978" s="76"/>
      <c r="W978" s="78">
        <f t="shared" si="514"/>
        <v>74.2386272944932</v>
      </c>
      <c r="X978" s="79">
        <f t="shared" si="519"/>
        <v>1.170526735834</v>
      </c>
      <c r="Y978" s="79"/>
      <c r="Z978" s="79"/>
      <c r="AA978" s="79">
        <f t="shared" si="515"/>
        <v>1.170526735834</v>
      </c>
      <c r="AB978" s="90">
        <v>7.15</v>
      </c>
      <c r="AC978" s="76">
        <f t="shared" si="516"/>
        <v>8.36926616121309</v>
      </c>
      <c r="AD978" s="76">
        <f t="shared" si="512"/>
        <v>82.6078934557063</v>
      </c>
      <c r="AE978" s="76">
        <f t="shared" si="513"/>
        <v>5.5921065442937</v>
      </c>
    </row>
    <row r="979" customFormat="1" spans="1:31">
      <c r="A979" s="18"/>
      <c r="B979" s="19"/>
      <c r="C979" s="20">
        <v>240828000018</v>
      </c>
      <c r="D979" s="21">
        <v>45540</v>
      </c>
      <c r="E979" s="21" t="s">
        <v>37</v>
      </c>
      <c r="F979" s="19" t="s">
        <v>38</v>
      </c>
      <c r="G979" s="19" t="s">
        <v>216</v>
      </c>
      <c r="H979" s="19">
        <v>21.5</v>
      </c>
      <c r="I979" s="43"/>
      <c r="J979" s="44">
        <v>336303</v>
      </c>
      <c r="K979" s="45"/>
      <c r="L979" s="46">
        <f t="shared" si="522"/>
        <v>1694.56313614834</v>
      </c>
      <c r="M979" s="47">
        <v>198.46</v>
      </c>
      <c r="N979" s="48">
        <v>7.15</v>
      </c>
      <c r="O979" s="49">
        <f t="shared" si="523"/>
        <v>1418.989</v>
      </c>
      <c r="P979" s="53"/>
      <c r="Q979" s="53"/>
      <c r="R979" s="76">
        <f t="shared" si="517"/>
        <v>1062.02793296089</v>
      </c>
      <c r="S979" s="76"/>
      <c r="T979" s="77">
        <f t="shared" si="518"/>
        <v>2.05905826017558</v>
      </c>
      <c r="U979" s="76"/>
      <c r="V979" s="76"/>
      <c r="W979" s="78">
        <f t="shared" si="514"/>
        <v>1064.08699122107</v>
      </c>
      <c r="X979" s="79">
        <f t="shared" si="519"/>
        <v>16.7775498802873</v>
      </c>
      <c r="Y979" s="79"/>
      <c r="Z979" s="79"/>
      <c r="AA979" s="79">
        <f t="shared" si="515"/>
        <v>16.7775498802873</v>
      </c>
      <c r="AB979" s="90">
        <v>7.15</v>
      </c>
      <c r="AC979" s="76">
        <f t="shared" si="516"/>
        <v>119.959481644054</v>
      </c>
      <c r="AD979" s="76">
        <f t="shared" si="512"/>
        <v>1184.04647286512</v>
      </c>
      <c r="AE979" s="76">
        <f t="shared" si="513"/>
        <v>234.942527134876</v>
      </c>
    </row>
    <row r="980" customFormat="1" spans="1:31">
      <c r="A980" s="18"/>
      <c r="B980" s="19"/>
      <c r="C980" s="20">
        <v>240828000026</v>
      </c>
      <c r="D980" s="21">
        <v>45540</v>
      </c>
      <c r="E980" s="21" t="s">
        <v>37</v>
      </c>
      <c r="F980" s="19" t="s">
        <v>38</v>
      </c>
      <c r="G980" s="19" t="s">
        <v>562</v>
      </c>
      <c r="H980" s="19">
        <v>13.5</v>
      </c>
      <c r="I980" s="51">
        <v>877.5</v>
      </c>
      <c r="J980" s="52"/>
      <c r="K980" s="45"/>
      <c r="L980" s="19"/>
      <c r="M980" s="45"/>
      <c r="N980" s="48"/>
      <c r="O980" s="49">
        <f t="shared" si="524"/>
        <v>877.5</v>
      </c>
      <c r="P980" s="53"/>
      <c r="Q980" s="53"/>
      <c r="R980" s="76">
        <f t="shared" si="517"/>
        <v>666.854748603352</v>
      </c>
      <c r="S980" s="76"/>
      <c r="T980" s="77">
        <f t="shared" si="518"/>
        <v>1.29289704708699</v>
      </c>
      <c r="U980" s="76"/>
      <c r="V980" s="76"/>
      <c r="W980" s="78">
        <f t="shared" si="514"/>
        <v>668.147645650439</v>
      </c>
      <c r="X980" s="79">
        <f t="shared" si="519"/>
        <v>10.534740622506</v>
      </c>
      <c r="Y980" s="79"/>
      <c r="Z980" s="79"/>
      <c r="AA980" s="79">
        <f t="shared" si="515"/>
        <v>10.534740622506</v>
      </c>
      <c r="AB980" s="90">
        <v>7.15</v>
      </c>
      <c r="AC980" s="76">
        <f t="shared" si="516"/>
        <v>75.3233954509178</v>
      </c>
      <c r="AD980" s="76">
        <f t="shared" si="512"/>
        <v>743.471041101357</v>
      </c>
      <c r="AE980" s="76">
        <f t="shared" si="513"/>
        <v>134.028958898643</v>
      </c>
    </row>
    <row r="981" customFormat="1" spans="1:31">
      <c r="A981" s="18"/>
      <c r="B981" s="19"/>
      <c r="C981" s="20">
        <v>240828000027</v>
      </c>
      <c r="D981" s="21">
        <v>45540</v>
      </c>
      <c r="E981" s="21" t="s">
        <v>82</v>
      </c>
      <c r="F981" s="19" t="s">
        <v>83</v>
      </c>
      <c r="G981" s="19" t="s">
        <v>563</v>
      </c>
      <c r="H981" s="19">
        <v>3.5</v>
      </c>
      <c r="I981" s="51">
        <v>264.3</v>
      </c>
      <c r="J981" s="52"/>
      <c r="K981" s="45"/>
      <c r="L981" s="19"/>
      <c r="M981" s="45"/>
      <c r="N981" s="48"/>
      <c r="O981" s="49">
        <f t="shared" si="524"/>
        <v>264.3</v>
      </c>
      <c r="P981" s="53"/>
      <c r="Q981" s="53"/>
      <c r="R981" s="76">
        <f t="shared" si="517"/>
        <v>172.888268156425</v>
      </c>
      <c r="S981" s="76"/>
      <c r="T981" s="77">
        <f t="shared" si="518"/>
        <v>0.335195530726257</v>
      </c>
      <c r="U981" s="76"/>
      <c r="V981" s="76"/>
      <c r="W981" s="78">
        <f t="shared" si="514"/>
        <v>173.223463687151</v>
      </c>
      <c r="X981" s="79">
        <f t="shared" si="519"/>
        <v>2.73122905027933</v>
      </c>
      <c r="Y981" s="79"/>
      <c r="Z981" s="79"/>
      <c r="AA981" s="79">
        <f t="shared" si="515"/>
        <v>2.73122905027933</v>
      </c>
      <c r="AB981" s="90">
        <v>7.15</v>
      </c>
      <c r="AC981" s="76">
        <f t="shared" si="516"/>
        <v>19.5282877094972</v>
      </c>
      <c r="AD981" s="76">
        <f t="shared" si="512"/>
        <v>192.751751396648</v>
      </c>
      <c r="AE981" s="76">
        <f t="shared" si="513"/>
        <v>71.548248603352</v>
      </c>
    </row>
    <row r="982" customFormat="1" spans="1:31">
      <c r="A982" s="18"/>
      <c r="B982" s="19"/>
      <c r="C982" s="20">
        <v>240828000028</v>
      </c>
      <c r="D982" s="21">
        <v>45540</v>
      </c>
      <c r="E982" s="21" t="s">
        <v>57</v>
      </c>
      <c r="F982" s="19" t="s">
        <v>57</v>
      </c>
      <c r="G982" s="19" t="s">
        <v>564</v>
      </c>
      <c r="H982" s="19">
        <v>0.78</v>
      </c>
      <c r="I982" s="51">
        <v>117</v>
      </c>
      <c r="J982" s="52"/>
      <c r="K982" s="45"/>
      <c r="L982" s="19"/>
      <c r="M982" s="45"/>
      <c r="N982" s="48"/>
      <c r="O982" s="49">
        <f t="shared" si="524"/>
        <v>117</v>
      </c>
      <c r="P982" s="53"/>
      <c r="Q982" s="53"/>
      <c r="R982" s="76">
        <f t="shared" si="517"/>
        <v>38.5293854748603</v>
      </c>
      <c r="S982" s="76"/>
      <c r="T982" s="77">
        <f t="shared" si="518"/>
        <v>0.0747007182761373</v>
      </c>
      <c r="U982" s="76"/>
      <c r="V982" s="76"/>
      <c r="W982" s="78">
        <f t="shared" si="514"/>
        <v>38.6040861931365</v>
      </c>
      <c r="X982" s="79">
        <f t="shared" si="519"/>
        <v>0.608673902633679</v>
      </c>
      <c r="Y982" s="79"/>
      <c r="Z982" s="79"/>
      <c r="AA982" s="79">
        <f t="shared" si="515"/>
        <v>0.608673902633679</v>
      </c>
      <c r="AB982" s="90">
        <v>7.15</v>
      </c>
      <c r="AC982" s="76">
        <f t="shared" si="516"/>
        <v>4.35201840383081</v>
      </c>
      <c r="AD982" s="76">
        <f t="shared" si="512"/>
        <v>42.9561045969673</v>
      </c>
      <c r="AE982" s="76">
        <f t="shared" si="513"/>
        <v>74.0438954030327</v>
      </c>
    </row>
    <row r="983" customFormat="1" spans="1:31">
      <c r="A983" s="18"/>
      <c r="B983" s="19"/>
      <c r="C983" s="20">
        <v>240828000032</v>
      </c>
      <c r="D983" s="21">
        <v>45540</v>
      </c>
      <c r="E983" s="21" t="s">
        <v>41</v>
      </c>
      <c r="F983" s="19" t="s">
        <v>42</v>
      </c>
      <c r="G983" s="19" t="s">
        <v>81</v>
      </c>
      <c r="H983" s="19">
        <v>0.16</v>
      </c>
      <c r="I983" s="43"/>
      <c r="J983" s="44">
        <v>16077.6</v>
      </c>
      <c r="K983" s="45"/>
      <c r="L983" s="46">
        <f>SUM(J983/M983)</f>
        <v>1659.19504643963</v>
      </c>
      <c r="M983" s="47">
        <v>9.69</v>
      </c>
      <c r="N983" s="48">
        <v>7.15</v>
      </c>
      <c r="O983" s="49">
        <f>SUM(M983*N983)</f>
        <v>69.2835</v>
      </c>
      <c r="P983" s="53"/>
      <c r="Q983" s="53"/>
      <c r="R983" s="76">
        <f t="shared" si="517"/>
        <v>7.90346368715084</v>
      </c>
      <c r="S983" s="76"/>
      <c r="T983" s="77">
        <f t="shared" si="518"/>
        <v>0.0153232242617717</v>
      </c>
      <c r="U983" s="76"/>
      <c r="V983" s="76"/>
      <c r="W983" s="78">
        <f t="shared" si="514"/>
        <v>7.91878691141261</v>
      </c>
      <c r="X983" s="79">
        <f t="shared" si="519"/>
        <v>0.124856185155626</v>
      </c>
      <c r="Y983" s="79"/>
      <c r="Z983" s="79"/>
      <c r="AA983" s="79">
        <f t="shared" si="515"/>
        <v>0.124856185155626</v>
      </c>
      <c r="AB983" s="90">
        <v>7.15</v>
      </c>
      <c r="AC983" s="76">
        <f t="shared" si="516"/>
        <v>0.892721723862729</v>
      </c>
      <c r="AD983" s="76">
        <f t="shared" si="512"/>
        <v>8.81150863527534</v>
      </c>
      <c r="AE983" s="76">
        <f t="shared" si="513"/>
        <v>60.4719913647247</v>
      </c>
    </row>
    <row r="984" customFormat="1" spans="1:31">
      <c r="A984" s="18"/>
      <c r="B984" s="19"/>
      <c r="C984" s="22">
        <v>240828000035</v>
      </c>
      <c r="D984" s="23">
        <v>45540</v>
      </c>
      <c r="E984" s="21" t="s">
        <v>37</v>
      </c>
      <c r="F984" s="24" t="s">
        <v>38</v>
      </c>
      <c r="G984" s="24" t="s">
        <v>533</v>
      </c>
      <c r="H984" s="24">
        <v>2</v>
      </c>
      <c r="I984" s="51">
        <v>148.5</v>
      </c>
      <c r="J984" s="52"/>
      <c r="K984" s="45"/>
      <c r="L984" s="19"/>
      <c r="M984" s="45"/>
      <c r="N984" s="48"/>
      <c r="O984" s="49">
        <f t="shared" ref="O984:O987" si="525">SUM(I984)</f>
        <v>148.5</v>
      </c>
      <c r="P984" s="53"/>
      <c r="Q984" s="53"/>
      <c r="R984" s="76">
        <f t="shared" si="517"/>
        <v>98.7932960893855</v>
      </c>
      <c r="S984" s="76"/>
      <c r="T984" s="77">
        <f t="shared" si="518"/>
        <v>0.191540303272147</v>
      </c>
      <c r="U984" s="76"/>
      <c r="V984" s="76"/>
      <c r="W984" s="78">
        <f t="shared" si="514"/>
        <v>98.9848363926576</v>
      </c>
      <c r="X984" s="79">
        <f t="shared" si="519"/>
        <v>1.56070231444533</v>
      </c>
      <c r="Y984" s="79"/>
      <c r="Z984" s="79"/>
      <c r="AA984" s="79">
        <f t="shared" si="515"/>
        <v>1.56070231444533</v>
      </c>
      <c r="AB984" s="90">
        <v>7.15</v>
      </c>
      <c r="AC984" s="76">
        <f t="shared" si="516"/>
        <v>11.1590215482841</v>
      </c>
      <c r="AD984" s="76">
        <f t="shared" si="512"/>
        <v>110.143857940942</v>
      </c>
      <c r="AE984" s="76">
        <f t="shared" si="513"/>
        <v>38.3561420590583</v>
      </c>
    </row>
    <row r="985" customFormat="1" spans="1:31">
      <c r="A985" s="18"/>
      <c r="B985" s="19"/>
      <c r="C985" s="20">
        <v>240828000040</v>
      </c>
      <c r="D985" s="21">
        <v>45540</v>
      </c>
      <c r="E985" s="21" t="s">
        <v>37</v>
      </c>
      <c r="F985" s="19" t="s">
        <v>38</v>
      </c>
      <c r="G985" s="19" t="s">
        <v>533</v>
      </c>
      <c r="H985" s="19">
        <v>0.72</v>
      </c>
      <c r="I985" s="51">
        <v>69</v>
      </c>
      <c r="J985" s="52"/>
      <c r="K985" s="45"/>
      <c r="L985" s="19"/>
      <c r="M985" s="45"/>
      <c r="N985" s="48"/>
      <c r="O985" s="49">
        <f t="shared" si="525"/>
        <v>69</v>
      </c>
      <c r="P985" s="53"/>
      <c r="Q985" s="53"/>
      <c r="R985" s="76">
        <f t="shared" si="517"/>
        <v>35.5655865921788</v>
      </c>
      <c r="S985" s="76"/>
      <c r="T985" s="77">
        <f t="shared" si="518"/>
        <v>0.0689545091779729</v>
      </c>
      <c r="U985" s="76"/>
      <c r="V985" s="76"/>
      <c r="W985" s="78">
        <f t="shared" si="514"/>
        <v>35.6345411013567</v>
      </c>
      <c r="X985" s="79">
        <f t="shared" si="519"/>
        <v>0.561852833200319</v>
      </c>
      <c r="Y985" s="79"/>
      <c r="Z985" s="79"/>
      <c r="AA985" s="79">
        <f t="shared" si="515"/>
        <v>0.561852833200319</v>
      </c>
      <c r="AB985" s="90">
        <v>7.15</v>
      </c>
      <c r="AC985" s="76">
        <f t="shared" si="516"/>
        <v>4.01724775738228</v>
      </c>
      <c r="AD985" s="76">
        <f t="shared" si="512"/>
        <v>39.651788858739</v>
      </c>
      <c r="AE985" s="76">
        <f t="shared" si="513"/>
        <v>29.348211141261</v>
      </c>
    </row>
    <row r="986" customFormat="1" spans="1:31">
      <c r="A986" s="18"/>
      <c r="B986" s="19"/>
      <c r="C986" s="20">
        <v>240828000041</v>
      </c>
      <c r="D986" s="21">
        <v>45540</v>
      </c>
      <c r="E986" s="21" t="s">
        <v>37</v>
      </c>
      <c r="F986" s="19" t="s">
        <v>38</v>
      </c>
      <c r="G986" s="19" t="s">
        <v>533</v>
      </c>
      <c r="H986" s="19">
        <v>3</v>
      </c>
      <c r="I986" s="51">
        <v>221.1</v>
      </c>
      <c r="J986" s="52"/>
      <c r="K986" s="45"/>
      <c r="L986" s="19"/>
      <c r="M986" s="45"/>
      <c r="N986" s="48"/>
      <c r="O986" s="49">
        <f t="shared" si="525"/>
        <v>221.1</v>
      </c>
      <c r="P986" s="53"/>
      <c r="Q986" s="53"/>
      <c r="R986" s="76">
        <f t="shared" si="517"/>
        <v>148.189944134078</v>
      </c>
      <c r="S986" s="76"/>
      <c r="T986" s="77">
        <f t="shared" si="518"/>
        <v>0.28731045490822</v>
      </c>
      <c r="U986" s="76"/>
      <c r="V986" s="76"/>
      <c r="W986" s="78">
        <f t="shared" si="514"/>
        <v>148.477254588986</v>
      </c>
      <c r="X986" s="79">
        <f t="shared" si="519"/>
        <v>2.341053471668</v>
      </c>
      <c r="Y986" s="79"/>
      <c r="Z986" s="79"/>
      <c r="AA986" s="79">
        <f t="shared" si="515"/>
        <v>2.341053471668</v>
      </c>
      <c r="AB986" s="90">
        <v>7.15</v>
      </c>
      <c r="AC986" s="76">
        <f t="shared" si="516"/>
        <v>16.7385323224262</v>
      </c>
      <c r="AD986" s="76">
        <f t="shared" si="512"/>
        <v>165.215786911413</v>
      </c>
      <c r="AE986" s="76">
        <f t="shared" si="513"/>
        <v>55.8842130885874</v>
      </c>
    </row>
    <row r="987" customFormat="1" spans="1:31">
      <c r="A987" s="18"/>
      <c r="B987" s="19"/>
      <c r="C987" s="20">
        <v>240828000042</v>
      </c>
      <c r="D987" s="21">
        <v>45540</v>
      </c>
      <c r="E987" s="21" t="s">
        <v>127</v>
      </c>
      <c r="F987" s="19" t="s">
        <v>493</v>
      </c>
      <c r="G987" s="19" t="s">
        <v>494</v>
      </c>
      <c r="H987" s="19">
        <v>5</v>
      </c>
      <c r="I987" s="51">
        <v>366.3</v>
      </c>
      <c r="J987" s="52"/>
      <c r="K987" s="45"/>
      <c r="L987" s="19"/>
      <c r="M987" s="45"/>
      <c r="N987" s="48"/>
      <c r="O987" s="49">
        <f t="shared" si="525"/>
        <v>366.3</v>
      </c>
      <c r="P987" s="53"/>
      <c r="Q987" s="53"/>
      <c r="R987" s="76">
        <f t="shared" si="517"/>
        <v>246.983240223464</v>
      </c>
      <c r="S987" s="76"/>
      <c r="T987" s="77">
        <f t="shared" si="518"/>
        <v>0.478850758180367</v>
      </c>
      <c r="U987" s="76"/>
      <c r="V987" s="76"/>
      <c r="W987" s="78">
        <f t="shared" si="514"/>
        <v>247.462090981644</v>
      </c>
      <c r="X987" s="79">
        <f t="shared" si="519"/>
        <v>3.90175578611333</v>
      </c>
      <c r="Y987" s="79"/>
      <c r="Z987" s="79"/>
      <c r="AA987" s="79">
        <f t="shared" si="515"/>
        <v>3.90175578611333</v>
      </c>
      <c r="AB987" s="90">
        <v>7.15</v>
      </c>
      <c r="AC987" s="76">
        <f t="shared" si="516"/>
        <v>27.8975538707103</v>
      </c>
      <c r="AD987" s="76">
        <f t="shared" si="512"/>
        <v>275.359644852354</v>
      </c>
      <c r="AE987" s="76">
        <f t="shared" si="513"/>
        <v>90.9403551476457</v>
      </c>
    </row>
    <row r="988" customFormat="1" spans="1:31">
      <c r="A988" s="18"/>
      <c r="B988" s="19"/>
      <c r="C988" s="20">
        <v>240828000046</v>
      </c>
      <c r="D988" s="21">
        <v>45540</v>
      </c>
      <c r="E988" s="21" t="s">
        <v>44</v>
      </c>
      <c r="F988" s="19" t="s">
        <v>45</v>
      </c>
      <c r="G988" s="19" t="s">
        <v>236</v>
      </c>
      <c r="H988" s="19">
        <v>2</v>
      </c>
      <c r="I988" s="49"/>
      <c r="J988" s="44">
        <v>31882.95</v>
      </c>
      <c r="K988" s="45"/>
      <c r="L988" s="46">
        <f>SUM(J988/M988)</f>
        <v>1694.99990988836</v>
      </c>
      <c r="M988" s="47">
        <v>18.810001</v>
      </c>
      <c r="N988" s="48">
        <v>7.15</v>
      </c>
      <c r="O988" s="49">
        <f>SUM(M988*N988)</f>
        <v>134.49150715</v>
      </c>
      <c r="P988" s="53"/>
      <c r="Q988" s="53"/>
      <c r="R988" s="76">
        <f t="shared" si="517"/>
        <v>98.7932960893855</v>
      </c>
      <c r="S988" s="76"/>
      <c r="T988" s="77">
        <f t="shared" si="518"/>
        <v>0.191540303272147</v>
      </c>
      <c r="U988" s="76"/>
      <c r="V988" s="76"/>
      <c r="W988" s="78">
        <f t="shared" si="514"/>
        <v>98.9848363926576</v>
      </c>
      <c r="X988" s="79">
        <f t="shared" si="519"/>
        <v>1.56070231444533</v>
      </c>
      <c r="Y988" s="79"/>
      <c r="Z988" s="79"/>
      <c r="AA988" s="79">
        <f t="shared" si="515"/>
        <v>1.56070231444533</v>
      </c>
      <c r="AB988" s="90">
        <v>7.15</v>
      </c>
      <c r="AC988" s="76">
        <f t="shared" si="516"/>
        <v>11.1590215482841</v>
      </c>
      <c r="AD988" s="76">
        <f t="shared" si="512"/>
        <v>110.143857940942</v>
      </c>
      <c r="AE988" s="76">
        <f t="shared" si="513"/>
        <v>24.3476492090582</v>
      </c>
    </row>
    <row r="989" customFormat="1" spans="1:31">
      <c r="A989" s="18"/>
      <c r="B989" s="19"/>
      <c r="C989" s="20">
        <v>240828000050</v>
      </c>
      <c r="D989" s="21">
        <v>45540</v>
      </c>
      <c r="E989" s="21" t="s">
        <v>41</v>
      </c>
      <c r="F989" s="19" t="s">
        <v>42</v>
      </c>
      <c r="G989" s="19" t="s">
        <v>565</v>
      </c>
      <c r="H989" s="19">
        <v>13</v>
      </c>
      <c r="I989" s="51">
        <v>861.7</v>
      </c>
      <c r="J989" s="52"/>
      <c r="K989" s="45"/>
      <c r="L989" s="19"/>
      <c r="M989" s="45"/>
      <c r="N989" s="48"/>
      <c r="O989" s="49">
        <f t="shared" ref="O989:O1004" si="526">SUM(I989)</f>
        <v>861.7</v>
      </c>
      <c r="P989" s="53"/>
      <c r="Q989" s="53"/>
      <c r="R989" s="76">
        <f t="shared" si="517"/>
        <v>642.156424581006</v>
      </c>
      <c r="S989" s="76"/>
      <c r="T989" s="77">
        <f t="shared" si="518"/>
        <v>1.24501197126895</v>
      </c>
      <c r="U989" s="76">
        <v>40</v>
      </c>
      <c r="V989" s="76"/>
      <c r="W989" s="78">
        <f t="shared" si="514"/>
        <v>683.401436552275</v>
      </c>
      <c r="X989" s="79">
        <f t="shared" si="519"/>
        <v>10.1445650438947</v>
      </c>
      <c r="Y989" s="79"/>
      <c r="Z989" s="79"/>
      <c r="AA989" s="79">
        <f t="shared" si="515"/>
        <v>10.1445650438947</v>
      </c>
      <c r="AB989" s="90">
        <v>7.15</v>
      </c>
      <c r="AC989" s="76">
        <f t="shared" si="516"/>
        <v>72.5336400638468</v>
      </c>
      <c r="AD989" s="76">
        <f t="shared" si="512"/>
        <v>755.935076616121</v>
      </c>
      <c r="AE989" s="76">
        <f t="shared" si="513"/>
        <v>105.764923383879</v>
      </c>
    </row>
    <row r="990" customFormat="1" spans="1:31">
      <c r="A990" s="18"/>
      <c r="B990" s="19"/>
      <c r="C990" s="20">
        <v>240828000053</v>
      </c>
      <c r="D990" s="21">
        <v>45540</v>
      </c>
      <c r="E990" s="21" t="s">
        <v>37</v>
      </c>
      <c r="F990" s="19" t="s">
        <v>38</v>
      </c>
      <c r="G990" s="19" t="s">
        <v>526</v>
      </c>
      <c r="H990" s="19">
        <v>4</v>
      </c>
      <c r="I990" s="51">
        <v>240</v>
      </c>
      <c r="J990" s="52"/>
      <c r="K990" s="45"/>
      <c r="L990" s="19"/>
      <c r="M990" s="45"/>
      <c r="N990" s="48"/>
      <c r="O990" s="49">
        <f t="shared" si="526"/>
        <v>240</v>
      </c>
      <c r="P990" s="53"/>
      <c r="Q990" s="53"/>
      <c r="R990" s="76">
        <f t="shared" si="517"/>
        <v>197.586592178771</v>
      </c>
      <c r="S990" s="76"/>
      <c r="T990" s="77">
        <f t="shared" si="518"/>
        <v>0.383080606544294</v>
      </c>
      <c r="U990" s="76"/>
      <c r="V990" s="76"/>
      <c r="W990" s="78">
        <f t="shared" si="514"/>
        <v>197.969672785315</v>
      </c>
      <c r="X990" s="79">
        <f t="shared" si="519"/>
        <v>3.12140462889066</v>
      </c>
      <c r="Y990" s="79"/>
      <c r="Z990" s="79"/>
      <c r="AA990" s="79">
        <f t="shared" si="515"/>
        <v>3.12140462889066</v>
      </c>
      <c r="AB990" s="90">
        <v>7.15</v>
      </c>
      <c r="AC990" s="76">
        <f t="shared" si="516"/>
        <v>22.3180430965682</v>
      </c>
      <c r="AD990" s="76">
        <f t="shared" si="512"/>
        <v>220.287715881883</v>
      </c>
      <c r="AE990" s="76">
        <f t="shared" si="513"/>
        <v>19.7122841181165</v>
      </c>
    </row>
    <row r="991" customFormat="1" spans="1:31">
      <c r="A991" s="18"/>
      <c r="B991" s="19"/>
      <c r="C991" s="20">
        <v>240828000054</v>
      </c>
      <c r="D991" s="21">
        <v>45540</v>
      </c>
      <c r="E991" s="21" t="s">
        <v>44</v>
      </c>
      <c r="F991" s="19" t="s">
        <v>45</v>
      </c>
      <c r="G991" s="19" t="s">
        <v>92</v>
      </c>
      <c r="H991" s="19">
        <v>0.56</v>
      </c>
      <c r="I991" s="51">
        <v>78.1</v>
      </c>
      <c r="J991" s="52"/>
      <c r="K991" s="45"/>
      <c r="L991" s="19"/>
      <c r="M991" s="45"/>
      <c r="N991" s="48"/>
      <c r="O991" s="49">
        <f t="shared" si="526"/>
        <v>78.1</v>
      </c>
      <c r="P991" s="53"/>
      <c r="Q991" s="53"/>
      <c r="R991" s="76">
        <f t="shared" si="517"/>
        <v>27.6621229050279</v>
      </c>
      <c r="S991" s="76"/>
      <c r="T991" s="77">
        <f t="shared" si="518"/>
        <v>0.0536312849162011</v>
      </c>
      <c r="U991" s="76"/>
      <c r="V991" s="76"/>
      <c r="W991" s="78">
        <f t="shared" si="514"/>
        <v>27.7157541899441</v>
      </c>
      <c r="X991" s="79">
        <f t="shared" si="519"/>
        <v>0.436996648044693</v>
      </c>
      <c r="Y991" s="79"/>
      <c r="Z991" s="79"/>
      <c r="AA991" s="79">
        <f t="shared" si="515"/>
        <v>0.436996648044693</v>
      </c>
      <c r="AB991" s="90">
        <v>7.15</v>
      </c>
      <c r="AC991" s="76">
        <f t="shared" si="516"/>
        <v>3.12452603351955</v>
      </c>
      <c r="AD991" s="76">
        <f t="shared" si="512"/>
        <v>30.8402802234637</v>
      </c>
      <c r="AE991" s="76">
        <f t="shared" si="513"/>
        <v>47.2597197765363</v>
      </c>
    </row>
    <row r="992" customFormat="1" spans="1:31">
      <c r="A992" s="18"/>
      <c r="B992" s="19"/>
      <c r="C992" s="20">
        <v>240828000066</v>
      </c>
      <c r="D992" s="21">
        <v>45540</v>
      </c>
      <c r="E992" s="21" t="s">
        <v>44</v>
      </c>
      <c r="F992" s="19" t="s">
        <v>45</v>
      </c>
      <c r="G992" s="19" t="s">
        <v>534</v>
      </c>
      <c r="H992" s="19">
        <v>1.5</v>
      </c>
      <c r="I992" s="51">
        <v>102</v>
      </c>
      <c r="J992" s="52"/>
      <c r="K992" s="45"/>
      <c r="L992" s="19"/>
      <c r="M992" s="45"/>
      <c r="N992" s="48"/>
      <c r="O992" s="49">
        <f t="shared" si="526"/>
        <v>102</v>
      </c>
      <c r="P992" s="53"/>
      <c r="Q992" s="53"/>
      <c r="R992" s="76">
        <f t="shared" si="517"/>
        <v>74.0949720670391</v>
      </c>
      <c r="S992" s="76"/>
      <c r="T992" s="77">
        <f t="shared" si="518"/>
        <v>0.14365522745411</v>
      </c>
      <c r="U992" s="76"/>
      <c r="V992" s="76"/>
      <c r="W992" s="78">
        <f t="shared" si="514"/>
        <v>74.2386272944932</v>
      </c>
      <c r="X992" s="79">
        <f t="shared" si="519"/>
        <v>1.170526735834</v>
      </c>
      <c r="Y992" s="79"/>
      <c r="Z992" s="79"/>
      <c r="AA992" s="79">
        <f t="shared" si="515"/>
        <v>1.170526735834</v>
      </c>
      <c r="AB992" s="90">
        <v>7.15</v>
      </c>
      <c r="AC992" s="76">
        <f t="shared" si="516"/>
        <v>8.36926616121309</v>
      </c>
      <c r="AD992" s="76">
        <f t="shared" si="512"/>
        <v>82.6078934557063</v>
      </c>
      <c r="AE992" s="76">
        <f t="shared" si="513"/>
        <v>19.3921065442937</v>
      </c>
    </row>
    <row r="993" customFormat="1" spans="1:31">
      <c r="A993" s="18"/>
      <c r="B993" s="19"/>
      <c r="C993" s="20">
        <v>240828000067</v>
      </c>
      <c r="D993" s="21">
        <v>45540</v>
      </c>
      <c r="E993" s="21" t="s">
        <v>44</v>
      </c>
      <c r="F993" s="19" t="s">
        <v>45</v>
      </c>
      <c r="G993" s="19" t="s">
        <v>322</v>
      </c>
      <c r="H993" s="19">
        <v>5</v>
      </c>
      <c r="I993" s="51">
        <v>333</v>
      </c>
      <c r="J993" s="52"/>
      <c r="K993" s="45"/>
      <c r="L993" s="19"/>
      <c r="M993" s="45"/>
      <c r="N993" s="48"/>
      <c r="O993" s="49">
        <f t="shared" si="526"/>
        <v>333</v>
      </c>
      <c r="P993" s="53"/>
      <c r="Q993" s="53"/>
      <c r="R993" s="76">
        <f t="shared" si="517"/>
        <v>246.983240223464</v>
      </c>
      <c r="S993" s="76"/>
      <c r="T993" s="77">
        <f t="shared" si="518"/>
        <v>0.478850758180367</v>
      </c>
      <c r="U993" s="76"/>
      <c r="V993" s="76"/>
      <c r="W993" s="78">
        <f t="shared" si="514"/>
        <v>247.462090981644</v>
      </c>
      <c r="X993" s="79">
        <f t="shared" si="519"/>
        <v>3.90175578611333</v>
      </c>
      <c r="Y993" s="79"/>
      <c r="Z993" s="79"/>
      <c r="AA993" s="79">
        <f t="shared" si="515"/>
        <v>3.90175578611333</v>
      </c>
      <c r="AB993" s="90">
        <v>7.15</v>
      </c>
      <c r="AC993" s="76">
        <f t="shared" si="516"/>
        <v>27.8975538707103</v>
      </c>
      <c r="AD993" s="76">
        <f t="shared" ref="AD993:AD1022" si="527">SUM(W993+AC993)</f>
        <v>275.359644852354</v>
      </c>
      <c r="AE993" s="76">
        <f t="shared" ref="AE993:AE1022" si="528">SUM(O993-AD993)</f>
        <v>57.6403551476457</v>
      </c>
    </row>
    <row r="994" customFormat="1" spans="1:31">
      <c r="A994" s="18"/>
      <c r="B994" s="19"/>
      <c r="C994" s="20">
        <v>240829000001</v>
      </c>
      <c r="D994" s="21">
        <v>45540</v>
      </c>
      <c r="E994" s="21" t="s">
        <v>44</v>
      </c>
      <c r="F994" s="19" t="s">
        <v>45</v>
      </c>
      <c r="G994" s="19" t="s">
        <v>566</v>
      </c>
      <c r="H994" s="19">
        <v>0.72</v>
      </c>
      <c r="I994" s="51">
        <v>69</v>
      </c>
      <c r="J994" s="52"/>
      <c r="K994" s="45"/>
      <c r="L994" s="19"/>
      <c r="M994" s="45"/>
      <c r="N994" s="48"/>
      <c r="O994" s="49">
        <f t="shared" si="526"/>
        <v>69</v>
      </c>
      <c r="P994" s="53"/>
      <c r="Q994" s="53"/>
      <c r="R994" s="76">
        <f t="shared" si="517"/>
        <v>35.5655865921788</v>
      </c>
      <c r="S994" s="76"/>
      <c r="T994" s="77">
        <f t="shared" si="518"/>
        <v>0.0689545091779729</v>
      </c>
      <c r="U994" s="76"/>
      <c r="V994" s="76"/>
      <c r="W994" s="78">
        <f t="shared" ref="W994:W1021" si="529">SUM(R994:V994)</f>
        <v>35.6345411013567</v>
      </c>
      <c r="X994" s="79">
        <f t="shared" si="519"/>
        <v>0.561852833200319</v>
      </c>
      <c r="Y994" s="79"/>
      <c r="Z994" s="79"/>
      <c r="AA994" s="79">
        <f t="shared" ref="AA994:AA1021" si="530">SUM(X994:Z994)</f>
        <v>0.561852833200319</v>
      </c>
      <c r="AB994" s="90">
        <v>7.15</v>
      </c>
      <c r="AC994" s="76">
        <f t="shared" ref="AC994:AC1021" si="531">SUM(AA994*AB994)</f>
        <v>4.01724775738228</v>
      </c>
      <c r="AD994" s="76">
        <f t="shared" si="527"/>
        <v>39.651788858739</v>
      </c>
      <c r="AE994" s="76">
        <f t="shared" si="528"/>
        <v>29.348211141261</v>
      </c>
    </row>
    <row r="995" customFormat="1" spans="1:31">
      <c r="A995" s="18"/>
      <c r="B995" s="19"/>
      <c r="C995" s="20">
        <v>240829000004</v>
      </c>
      <c r="D995" s="21">
        <v>45540</v>
      </c>
      <c r="E995" s="21" t="s">
        <v>37</v>
      </c>
      <c r="F995" s="19" t="s">
        <v>38</v>
      </c>
      <c r="G995" s="19" t="s">
        <v>300</v>
      </c>
      <c r="H995" s="19">
        <v>0.36</v>
      </c>
      <c r="I995" s="51">
        <v>80</v>
      </c>
      <c r="J995" s="52"/>
      <c r="K995" s="45"/>
      <c r="L995" s="19"/>
      <c r="M995" s="45"/>
      <c r="N995" s="48"/>
      <c r="O995" s="49">
        <f t="shared" si="526"/>
        <v>80</v>
      </c>
      <c r="P995" s="53"/>
      <c r="Q995" s="53"/>
      <c r="R995" s="76">
        <f t="shared" si="517"/>
        <v>17.7827932960894</v>
      </c>
      <c r="S995" s="76"/>
      <c r="T995" s="77">
        <f t="shared" si="518"/>
        <v>0.0344772545889864</v>
      </c>
      <c r="U995" s="76"/>
      <c r="V995" s="76"/>
      <c r="W995" s="78">
        <f t="shared" si="529"/>
        <v>17.8172705506784</v>
      </c>
      <c r="X995" s="79">
        <f t="shared" si="519"/>
        <v>0.28092641660016</v>
      </c>
      <c r="Y995" s="79"/>
      <c r="Z995" s="79"/>
      <c r="AA995" s="79">
        <f t="shared" si="530"/>
        <v>0.28092641660016</v>
      </c>
      <c r="AB995" s="90">
        <v>7.15</v>
      </c>
      <c r="AC995" s="76">
        <f t="shared" si="531"/>
        <v>2.00862387869114</v>
      </c>
      <c r="AD995" s="76">
        <f t="shared" si="527"/>
        <v>19.8258944293695</v>
      </c>
      <c r="AE995" s="76">
        <f t="shared" si="528"/>
        <v>60.1741055706305</v>
      </c>
    </row>
    <row r="996" customFormat="1" spans="1:31">
      <c r="A996" s="18"/>
      <c r="B996" s="19"/>
      <c r="C996" s="20">
        <v>240829000005</v>
      </c>
      <c r="D996" s="21">
        <v>45540</v>
      </c>
      <c r="E996" s="21" t="s">
        <v>37</v>
      </c>
      <c r="F996" s="19" t="s">
        <v>38</v>
      </c>
      <c r="G996" s="19" t="s">
        <v>135</v>
      </c>
      <c r="H996" s="19">
        <v>4</v>
      </c>
      <c r="I996" s="51">
        <v>293.7</v>
      </c>
      <c r="J996" s="52"/>
      <c r="K996" s="45"/>
      <c r="L996" s="19"/>
      <c r="M996" s="45"/>
      <c r="N996" s="48"/>
      <c r="O996" s="49">
        <f t="shared" si="526"/>
        <v>293.7</v>
      </c>
      <c r="P996" s="53"/>
      <c r="Q996" s="53"/>
      <c r="R996" s="76">
        <f t="shared" ref="R996:R1021" si="532">SUM(61894/1253)*H996</f>
        <v>197.586592178771</v>
      </c>
      <c r="S996" s="76"/>
      <c r="T996" s="77">
        <f t="shared" ref="T996:T1021" si="533">SUM(120/1253)*H996</f>
        <v>0.383080606544294</v>
      </c>
      <c r="U996" s="76"/>
      <c r="V996" s="76"/>
      <c r="W996" s="78">
        <f t="shared" si="529"/>
        <v>197.969672785315</v>
      </c>
      <c r="X996" s="79">
        <f t="shared" ref="X996:X1021" si="534">SUM(977.78/1253)*H996</f>
        <v>3.12140462889066</v>
      </c>
      <c r="Y996" s="79"/>
      <c r="Z996" s="79"/>
      <c r="AA996" s="79">
        <f t="shared" si="530"/>
        <v>3.12140462889066</v>
      </c>
      <c r="AB996" s="90">
        <v>7.15</v>
      </c>
      <c r="AC996" s="76">
        <f t="shared" si="531"/>
        <v>22.3180430965682</v>
      </c>
      <c r="AD996" s="76">
        <f t="shared" si="527"/>
        <v>220.287715881883</v>
      </c>
      <c r="AE996" s="76">
        <f t="shared" si="528"/>
        <v>73.4122841181165</v>
      </c>
    </row>
    <row r="997" customFormat="1" spans="1:31">
      <c r="A997" s="18"/>
      <c r="B997" s="19"/>
      <c r="C997" s="20">
        <v>240829000010</v>
      </c>
      <c r="D997" s="21">
        <v>45540</v>
      </c>
      <c r="E997" s="21" t="s">
        <v>37</v>
      </c>
      <c r="F997" s="19" t="s">
        <v>38</v>
      </c>
      <c r="G997" s="19" t="s">
        <v>196</v>
      </c>
      <c r="H997" s="19">
        <v>34.5</v>
      </c>
      <c r="I997" s="51">
        <v>2242.5</v>
      </c>
      <c r="J997" s="52"/>
      <c r="K997" s="45"/>
      <c r="L997" s="19"/>
      <c r="M997" s="45"/>
      <c r="N997" s="48"/>
      <c r="O997" s="49">
        <f t="shared" si="526"/>
        <v>2242.5</v>
      </c>
      <c r="P997" s="53"/>
      <c r="Q997" s="53"/>
      <c r="R997" s="76">
        <f t="shared" si="532"/>
        <v>1704.1843575419</v>
      </c>
      <c r="S997" s="76"/>
      <c r="T997" s="77">
        <f t="shared" si="533"/>
        <v>3.30407023144453</v>
      </c>
      <c r="U997" s="76"/>
      <c r="V997" s="76"/>
      <c r="W997" s="78">
        <f t="shared" si="529"/>
        <v>1707.48842777334</v>
      </c>
      <c r="X997" s="79">
        <f t="shared" si="534"/>
        <v>26.922114924182</v>
      </c>
      <c r="Y997" s="79"/>
      <c r="Z997" s="79"/>
      <c r="AA997" s="79">
        <f t="shared" si="530"/>
        <v>26.922114924182</v>
      </c>
      <c r="AB997" s="90">
        <v>7.15</v>
      </c>
      <c r="AC997" s="76">
        <f t="shared" si="531"/>
        <v>192.493121707901</v>
      </c>
      <c r="AD997" s="76">
        <f t="shared" si="527"/>
        <v>1899.98154948125</v>
      </c>
      <c r="AE997" s="76">
        <f t="shared" si="528"/>
        <v>342.518450518755</v>
      </c>
    </row>
    <row r="998" customFormat="1" spans="1:31">
      <c r="A998" s="18"/>
      <c r="B998" s="19"/>
      <c r="C998" s="20">
        <v>240829000012</v>
      </c>
      <c r="D998" s="21">
        <v>45540</v>
      </c>
      <c r="E998" s="21" t="s">
        <v>37</v>
      </c>
      <c r="F998" s="19" t="s">
        <v>38</v>
      </c>
      <c r="G998" s="19" t="s">
        <v>562</v>
      </c>
      <c r="H998" s="19">
        <v>5</v>
      </c>
      <c r="I998" s="51">
        <v>303</v>
      </c>
      <c r="J998" s="52"/>
      <c r="K998" s="45"/>
      <c r="L998" s="19"/>
      <c r="M998" s="45"/>
      <c r="N998" s="48"/>
      <c r="O998" s="49">
        <f t="shared" si="526"/>
        <v>303</v>
      </c>
      <c r="P998" s="53"/>
      <c r="Q998" s="53"/>
      <c r="R998" s="76">
        <f t="shared" si="532"/>
        <v>246.983240223464</v>
      </c>
      <c r="S998" s="76"/>
      <c r="T998" s="77">
        <f t="shared" si="533"/>
        <v>0.478850758180367</v>
      </c>
      <c r="U998" s="76"/>
      <c r="V998" s="76"/>
      <c r="W998" s="78">
        <f t="shared" si="529"/>
        <v>247.462090981644</v>
      </c>
      <c r="X998" s="79">
        <f t="shared" si="534"/>
        <v>3.90175578611333</v>
      </c>
      <c r="Y998" s="79"/>
      <c r="Z998" s="79"/>
      <c r="AA998" s="79">
        <f t="shared" si="530"/>
        <v>3.90175578611333</v>
      </c>
      <c r="AB998" s="90">
        <v>7.15</v>
      </c>
      <c r="AC998" s="76">
        <f t="shared" si="531"/>
        <v>27.8975538707103</v>
      </c>
      <c r="AD998" s="76">
        <f t="shared" si="527"/>
        <v>275.359644852354</v>
      </c>
      <c r="AE998" s="76">
        <f t="shared" si="528"/>
        <v>27.6403551476457</v>
      </c>
    </row>
    <row r="999" customFormat="1" spans="1:31">
      <c r="A999" s="18"/>
      <c r="B999" s="19"/>
      <c r="C999" s="20">
        <v>240829000013</v>
      </c>
      <c r="D999" s="21">
        <v>45540</v>
      </c>
      <c r="E999" s="21" t="s">
        <v>37</v>
      </c>
      <c r="F999" s="19" t="s">
        <v>38</v>
      </c>
      <c r="G999" s="19" t="s">
        <v>567</v>
      </c>
      <c r="H999" s="19">
        <v>4</v>
      </c>
      <c r="I999" s="51">
        <v>260</v>
      </c>
      <c r="J999" s="52"/>
      <c r="K999" s="45"/>
      <c r="L999" s="19"/>
      <c r="M999" s="45"/>
      <c r="N999" s="48"/>
      <c r="O999" s="49">
        <f t="shared" si="526"/>
        <v>260</v>
      </c>
      <c r="P999" s="53"/>
      <c r="Q999" s="53"/>
      <c r="R999" s="76">
        <f t="shared" si="532"/>
        <v>197.586592178771</v>
      </c>
      <c r="S999" s="76"/>
      <c r="T999" s="77">
        <f t="shared" si="533"/>
        <v>0.383080606544294</v>
      </c>
      <c r="U999" s="76"/>
      <c r="V999" s="76"/>
      <c r="W999" s="78">
        <f t="shared" si="529"/>
        <v>197.969672785315</v>
      </c>
      <c r="X999" s="79">
        <f t="shared" si="534"/>
        <v>3.12140462889066</v>
      </c>
      <c r="Y999" s="79"/>
      <c r="Z999" s="79"/>
      <c r="AA999" s="79">
        <f t="shared" si="530"/>
        <v>3.12140462889066</v>
      </c>
      <c r="AB999" s="90">
        <v>7.15</v>
      </c>
      <c r="AC999" s="76">
        <f t="shared" si="531"/>
        <v>22.3180430965682</v>
      </c>
      <c r="AD999" s="76">
        <f t="shared" si="527"/>
        <v>220.287715881883</v>
      </c>
      <c r="AE999" s="76">
        <f t="shared" si="528"/>
        <v>39.7122841181165</v>
      </c>
    </row>
    <row r="1000" customFormat="1" spans="1:31">
      <c r="A1000" s="18"/>
      <c r="B1000" s="19"/>
      <c r="C1000" s="20">
        <v>240829000028</v>
      </c>
      <c r="D1000" s="21">
        <v>45540</v>
      </c>
      <c r="E1000" s="21" t="s">
        <v>57</v>
      </c>
      <c r="F1000" s="19" t="s">
        <v>57</v>
      </c>
      <c r="G1000" s="19" t="s">
        <v>568</v>
      </c>
      <c r="H1000" s="19">
        <v>33</v>
      </c>
      <c r="I1000" s="51">
        <v>2487.9</v>
      </c>
      <c r="J1000" s="52"/>
      <c r="K1000" s="45"/>
      <c r="L1000" s="19"/>
      <c r="M1000" s="45"/>
      <c r="N1000" s="48"/>
      <c r="O1000" s="49">
        <f t="shared" si="526"/>
        <v>2487.9</v>
      </c>
      <c r="P1000" s="53"/>
      <c r="Q1000" s="53"/>
      <c r="R1000" s="76">
        <f t="shared" si="532"/>
        <v>1630.08938547486</v>
      </c>
      <c r="S1000" s="76"/>
      <c r="T1000" s="77">
        <f t="shared" si="533"/>
        <v>3.16041500399042</v>
      </c>
      <c r="U1000" s="76"/>
      <c r="V1000" s="76"/>
      <c r="W1000" s="78">
        <f t="shared" si="529"/>
        <v>1633.24980047885</v>
      </c>
      <c r="X1000" s="79">
        <f t="shared" si="534"/>
        <v>25.751588188348</v>
      </c>
      <c r="Y1000" s="79"/>
      <c r="Z1000" s="79"/>
      <c r="AA1000" s="79">
        <f t="shared" si="530"/>
        <v>25.751588188348</v>
      </c>
      <c r="AB1000" s="90">
        <v>7.15</v>
      </c>
      <c r="AC1000" s="76">
        <f t="shared" si="531"/>
        <v>184.123855546688</v>
      </c>
      <c r="AD1000" s="76">
        <f t="shared" si="527"/>
        <v>1817.37365602554</v>
      </c>
      <c r="AE1000" s="76">
        <f t="shared" si="528"/>
        <v>670.526343974461</v>
      </c>
    </row>
    <row r="1001" customFormat="1" spans="1:31">
      <c r="A1001" s="18"/>
      <c r="B1001" s="19"/>
      <c r="C1001" s="20">
        <v>240829000034</v>
      </c>
      <c r="D1001" s="21">
        <v>45540</v>
      </c>
      <c r="E1001" s="21" t="s">
        <v>57</v>
      </c>
      <c r="F1001" s="19" t="s">
        <v>57</v>
      </c>
      <c r="G1001" s="19" t="s">
        <v>494</v>
      </c>
      <c r="H1001" s="19">
        <v>2.5</v>
      </c>
      <c r="I1001" s="51">
        <v>184.8</v>
      </c>
      <c r="J1001" s="52"/>
      <c r="K1001" s="45"/>
      <c r="L1001" s="19"/>
      <c r="M1001" s="45"/>
      <c r="N1001" s="48"/>
      <c r="O1001" s="49">
        <f t="shared" si="526"/>
        <v>184.8</v>
      </c>
      <c r="P1001" s="53"/>
      <c r="Q1001" s="53"/>
      <c r="R1001" s="76">
        <f t="shared" si="532"/>
        <v>123.491620111732</v>
      </c>
      <c r="S1001" s="76"/>
      <c r="T1001" s="77">
        <f t="shared" si="533"/>
        <v>0.239425379090184</v>
      </c>
      <c r="U1001" s="76"/>
      <c r="V1001" s="76"/>
      <c r="W1001" s="78">
        <f t="shared" si="529"/>
        <v>123.731045490822</v>
      </c>
      <c r="X1001" s="79">
        <f t="shared" si="534"/>
        <v>1.95087789305666</v>
      </c>
      <c r="Y1001" s="79"/>
      <c r="Z1001" s="79"/>
      <c r="AA1001" s="79">
        <f t="shared" si="530"/>
        <v>1.95087789305666</v>
      </c>
      <c r="AB1001" s="90">
        <v>7.15</v>
      </c>
      <c r="AC1001" s="76">
        <f t="shared" si="531"/>
        <v>13.9487769353551</v>
      </c>
      <c r="AD1001" s="76">
        <f t="shared" si="527"/>
        <v>137.679822426177</v>
      </c>
      <c r="AE1001" s="76">
        <f t="shared" si="528"/>
        <v>47.1201775738228</v>
      </c>
    </row>
    <row r="1002" customFormat="1" spans="1:31">
      <c r="A1002" s="18"/>
      <c r="B1002" s="19"/>
      <c r="C1002" s="20">
        <v>240829000041</v>
      </c>
      <c r="D1002" s="21">
        <v>45540</v>
      </c>
      <c r="E1002" s="21" t="s">
        <v>37</v>
      </c>
      <c r="F1002" s="19" t="s">
        <v>38</v>
      </c>
      <c r="G1002" s="19" t="s">
        <v>569</v>
      </c>
      <c r="H1002" s="19">
        <v>40.5</v>
      </c>
      <c r="I1002" s="51">
        <v>2366.7</v>
      </c>
      <c r="J1002" s="52"/>
      <c r="K1002" s="45"/>
      <c r="L1002" s="19"/>
      <c r="M1002" s="45"/>
      <c r="N1002" s="48"/>
      <c r="O1002" s="49">
        <f t="shared" si="526"/>
        <v>2366.7</v>
      </c>
      <c r="P1002" s="53"/>
      <c r="Q1002" s="53"/>
      <c r="R1002" s="76">
        <f t="shared" si="532"/>
        <v>2000.56424581006</v>
      </c>
      <c r="S1002" s="76"/>
      <c r="T1002" s="77">
        <f t="shared" si="533"/>
        <v>3.87869114126097</v>
      </c>
      <c r="U1002" s="76"/>
      <c r="V1002" s="76"/>
      <c r="W1002" s="78">
        <f t="shared" si="529"/>
        <v>2004.44293695132</v>
      </c>
      <c r="X1002" s="79">
        <f t="shared" si="534"/>
        <v>31.604221867518</v>
      </c>
      <c r="Y1002" s="79"/>
      <c r="Z1002" s="79"/>
      <c r="AA1002" s="79">
        <f t="shared" si="530"/>
        <v>31.604221867518</v>
      </c>
      <c r="AB1002" s="90">
        <v>7.15</v>
      </c>
      <c r="AC1002" s="76">
        <f t="shared" si="531"/>
        <v>225.970186352753</v>
      </c>
      <c r="AD1002" s="76">
        <f t="shared" si="527"/>
        <v>2230.41312330407</v>
      </c>
      <c r="AE1002" s="76">
        <f t="shared" si="528"/>
        <v>136.28687669593</v>
      </c>
    </row>
    <row r="1003" customFormat="1" spans="1:31">
      <c r="A1003" s="18"/>
      <c r="B1003" s="19"/>
      <c r="C1003" s="20">
        <v>240829000042</v>
      </c>
      <c r="D1003" s="21">
        <v>45540</v>
      </c>
      <c r="E1003" s="21" t="s">
        <v>37</v>
      </c>
      <c r="F1003" s="19" t="s">
        <v>38</v>
      </c>
      <c r="G1003" s="19" t="s">
        <v>206</v>
      </c>
      <c r="H1003" s="19">
        <v>4.5</v>
      </c>
      <c r="I1003" s="51">
        <v>293</v>
      </c>
      <c r="J1003" s="52"/>
      <c r="K1003" s="45"/>
      <c r="L1003" s="19"/>
      <c r="M1003" s="45"/>
      <c r="N1003" s="48"/>
      <c r="O1003" s="49">
        <f t="shared" si="526"/>
        <v>293</v>
      </c>
      <c r="P1003" s="53"/>
      <c r="Q1003" s="53"/>
      <c r="R1003" s="76">
        <f t="shared" si="532"/>
        <v>222.284916201117</v>
      </c>
      <c r="S1003" s="76"/>
      <c r="T1003" s="77">
        <f t="shared" si="533"/>
        <v>0.43096568236233</v>
      </c>
      <c r="U1003" s="76"/>
      <c r="V1003" s="76"/>
      <c r="W1003" s="78">
        <f t="shared" si="529"/>
        <v>222.71588188348</v>
      </c>
      <c r="X1003" s="79">
        <f t="shared" si="534"/>
        <v>3.51158020750199</v>
      </c>
      <c r="Y1003" s="79"/>
      <c r="Z1003" s="79"/>
      <c r="AA1003" s="79">
        <f t="shared" si="530"/>
        <v>3.51158020750199</v>
      </c>
      <c r="AB1003" s="90">
        <v>7.15</v>
      </c>
      <c r="AC1003" s="76">
        <f t="shared" si="531"/>
        <v>25.1077984836393</v>
      </c>
      <c r="AD1003" s="76">
        <f t="shared" si="527"/>
        <v>247.823680367119</v>
      </c>
      <c r="AE1003" s="76">
        <f t="shared" si="528"/>
        <v>45.1763196328811</v>
      </c>
    </row>
    <row r="1004" customFormat="1" spans="1:31">
      <c r="A1004" s="18"/>
      <c r="B1004" s="19"/>
      <c r="C1004" s="20">
        <v>240830000005</v>
      </c>
      <c r="D1004" s="21">
        <v>45540</v>
      </c>
      <c r="E1004" s="21" t="s">
        <v>44</v>
      </c>
      <c r="F1004" s="19" t="s">
        <v>45</v>
      </c>
      <c r="G1004" s="19" t="s">
        <v>94</v>
      </c>
      <c r="H1004" s="19">
        <v>1.5</v>
      </c>
      <c r="I1004" s="51">
        <v>99</v>
      </c>
      <c r="J1004" s="52"/>
      <c r="K1004" s="45"/>
      <c r="L1004" s="19"/>
      <c r="M1004" s="45"/>
      <c r="N1004" s="48"/>
      <c r="O1004" s="49">
        <f t="shared" si="526"/>
        <v>99</v>
      </c>
      <c r="P1004" s="53"/>
      <c r="Q1004" s="53"/>
      <c r="R1004" s="76">
        <f t="shared" si="532"/>
        <v>74.0949720670391</v>
      </c>
      <c r="S1004" s="76"/>
      <c r="T1004" s="77">
        <f t="shared" si="533"/>
        <v>0.14365522745411</v>
      </c>
      <c r="U1004" s="76"/>
      <c r="V1004" s="76"/>
      <c r="W1004" s="78">
        <f t="shared" si="529"/>
        <v>74.2386272944932</v>
      </c>
      <c r="X1004" s="79">
        <f t="shared" si="534"/>
        <v>1.170526735834</v>
      </c>
      <c r="Y1004" s="79"/>
      <c r="Z1004" s="79"/>
      <c r="AA1004" s="79">
        <f t="shared" si="530"/>
        <v>1.170526735834</v>
      </c>
      <c r="AB1004" s="90">
        <v>7.15</v>
      </c>
      <c r="AC1004" s="76">
        <f t="shared" si="531"/>
        <v>8.36926616121309</v>
      </c>
      <c r="AD1004" s="76">
        <f t="shared" si="527"/>
        <v>82.6078934557063</v>
      </c>
      <c r="AE1004" s="76">
        <f t="shared" si="528"/>
        <v>16.3921065442937</v>
      </c>
    </row>
    <row r="1005" customFormat="1" spans="1:31">
      <c r="A1005" s="18"/>
      <c r="B1005" s="19"/>
      <c r="C1005" s="20">
        <v>240830000017</v>
      </c>
      <c r="D1005" s="21">
        <v>45540</v>
      </c>
      <c r="E1005" s="21" t="s">
        <v>51</v>
      </c>
      <c r="F1005" s="19" t="s">
        <v>52</v>
      </c>
      <c r="G1005" s="19" t="s">
        <v>318</v>
      </c>
      <c r="H1005" s="19">
        <v>0.16</v>
      </c>
      <c r="I1005" s="49"/>
      <c r="J1005" s="44">
        <v>20882.4</v>
      </c>
      <c r="K1005" s="45"/>
      <c r="L1005" s="46">
        <f t="shared" ref="L1005:L1010" si="535">SUM(J1005/M1005)</f>
        <v>1695</v>
      </c>
      <c r="M1005" s="47">
        <v>12.32</v>
      </c>
      <c r="N1005" s="48">
        <v>7.15</v>
      </c>
      <c r="O1005" s="49">
        <f t="shared" ref="O1005:O1010" si="536">SUM(M1005*N1005)</f>
        <v>88.088</v>
      </c>
      <c r="P1005" s="53"/>
      <c r="Q1005" s="53"/>
      <c r="R1005" s="76">
        <f t="shared" si="532"/>
        <v>7.90346368715084</v>
      </c>
      <c r="S1005" s="76"/>
      <c r="T1005" s="77">
        <f t="shared" si="533"/>
        <v>0.0153232242617717</v>
      </c>
      <c r="U1005" s="76"/>
      <c r="V1005" s="76"/>
      <c r="W1005" s="78">
        <f t="shared" si="529"/>
        <v>7.91878691141261</v>
      </c>
      <c r="X1005" s="79">
        <f t="shared" si="534"/>
        <v>0.124856185155626</v>
      </c>
      <c r="Y1005" s="79"/>
      <c r="Z1005" s="79"/>
      <c r="AA1005" s="79">
        <f t="shared" si="530"/>
        <v>0.124856185155626</v>
      </c>
      <c r="AB1005" s="90">
        <v>7.15</v>
      </c>
      <c r="AC1005" s="76">
        <f t="shared" si="531"/>
        <v>0.892721723862729</v>
      </c>
      <c r="AD1005" s="76">
        <f t="shared" si="527"/>
        <v>8.81150863527534</v>
      </c>
      <c r="AE1005" s="76">
        <f t="shared" si="528"/>
        <v>79.2764913647246</v>
      </c>
    </row>
    <row r="1006" customFormat="1" spans="1:31">
      <c r="A1006" s="18"/>
      <c r="B1006" s="19"/>
      <c r="C1006" s="22">
        <v>240830000019</v>
      </c>
      <c r="D1006" s="23">
        <v>45540</v>
      </c>
      <c r="E1006" s="21" t="s">
        <v>37</v>
      </c>
      <c r="F1006" s="24" t="s">
        <v>38</v>
      </c>
      <c r="G1006" s="24" t="s">
        <v>570</v>
      </c>
      <c r="H1006" s="24">
        <v>13.5</v>
      </c>
      <c r="I1006" s="51">
        <v>1040</v>
      </c>
      <c r="J1006" s="52"/>
      <c r="K1006" s="45"/>
      <c r="L1006" s="19"/>
      <c r="M1006" s="45"/>
      <c r="N1006" s="48"/>
      <c r="O1006" s="49">
        <f t="shared" ref="O1006:O1018" si="537">SUM(I1006)</f>
        <v>1040</v>
      </c>
      <c r="P1006" s="53"/>
      <c r="Q1006" s="53"/>
      <c r="R1006" s="76">
        <f t="shared" si="532"/>
        <v>666.854748603352</v>
      </c>
      <c r="S1006" s="76"/>
      <c r="T1006" s="77">
        <f t="shared" si="533"/>
        <v>1.29289704708699</v>
      </c>
      <c r="U1006" s="76"/>
      <c r="V1006" s="76"/>
      <c r="W1006" s="78">
        <f t="shared" si="529"/>
        <v>668.147645650439</v>
      </c>
      <c r="X1006" s="79">
        <f t="shared" si="534"/>
        <v>10.534740622506</v>
      </c>
      <c r="Y1006" s="79"/>
      <c r="Z1006" s="79"/>
      <c r="AA1006" s="79">
        <f t="shared" si="530"/>
        <v>10.534740622506</v>
      </c>
      <c r="AB1006" s="90">
        <v>7.15</v>
      </c>
      <c r="AC1006" s="76">
        <f t="shared" si="531"/>
        <v>75.3233954509178</v>
      </c>
      <c r="AD1006" s="76">
        <f t="shared" si="527"/>
        <v>743.471041101357</v>
      </c>
      <c r="AE1006" s="76">
        <f t="shared" si="528"/>
        <v>296.528958898643</v>
      </c>
    </row>
    <row r="1007" customFormat="1" spans="1:31">
      <c r="A1007" s="18"/>
      <c r="B1007" s="19"/>
      <c r="C1007" s="20">
        <v>240830000023</v>
      </c>
      <c r="D1007" s="21">
        <v>45540</v>
      </c>
      <c r="E1007" s="21" t="s">
        <v>41</v>
      </c>
      <c r="F1007" s="19" t="s">
        <v>42</v>
      </c>
      <c r="G1007" s="19" t="s">
        <v>81</v>
      </c>
      <c r="H1007" s="19">
        <v>6.5</v>
      </c>
      <c r="I1007" s="43"/>
      <c r="J1007" s="44">
        <v>116011.5</v>
      </c>
      <c r="K1007" s="45"/>
      <c r="L1007" s="46">
        <f t="shared" si="535"/>
        <v>1694.58808063103</v>
      </c>
      <c r="M1007" s="47">
        <v>68.46</v>
      </c>
      <c r="N1007" s="48">
        <v>7.15</v>
      </c>
      <c r="O1007" s="49">
        <f t="shared" si="536"/>
        <v>489.489</v>
      </c>
      <c r="P1007" s="53"/>
      <c r="Q1007" s="53"/>
      <c r="R1007" s="76">
        <f t="shared" si="532"/>
        <v>321.078212290503</v>
      </c>
      <c r="S1007" s="76"/>
      <c r="T1007" s="77">
        <f t="shared" si="533"/>
        <v>0.622505985634477</v>
      </c>
      <c r="U1007" s="76"/>
      <c r="V1007" s="76"/>
      <c r="W1007" s="78">
        <f t="shared" si="529"/>
        <v>321.700718276137</v>
      </c>
      <c r="X1007" s="79">
        <f t="shared" si="534"/>
        <v>5.07228252194733</v>
      </c>
      <c r="Y1007" s="79"/>
      <c r="Z1007" s="79"/>
      <c r="AA1007" s="79">
        <f t="shared" si="530"/>
        <v>5.07228252194733</v>
      </c>
      <c r="AB1007" s="90">
        <v>7.15</v>
      </c>
      <c r="AC1007" s="76">
        <f t="shared" si="531"/>
        <v>36.2668200319234</v>
      </c>
      <c r="AD1007" s="76">
        <f t="shared" si="527"/>
        <v>357.967538308061</v>
      </c>
      <c r="AE1007" s="76">
        <f t="shared" si="528"/>
        <v>131.521461691939</v>
      </c>
    </row>
    <row r="1008" customFormat="1" spans="1:31">
      <c r="A1008" s="18"/>
      <c r="B1008" s="19"/>
      <c r="C1008" s="20">
        <v>240830000026</v>
      </c>
      <c r="D1008" s="21">
        <v>45540</v>
      </c>
      <c r="E1008" s="21" t="s">
        <v>57</v>
      </c>
      <c r="F1008" s="19" t="s">
        <v>57</v>
      </c>
      <c r="G1008" s="19" t="s">
        <v>150</v>
      </c>
      <c r="H1008" s="19">
        <v>157.5</v>
      </c>
      <c r="I1008" s="51">
        <v>9023.5</v>
      </c>
      <c r="J1008" s="52"/>
      <c r="K1008" s="45"/>
      <c r="L1008" s="19"/>
      <c r="M1008" s="45"/>
      <c r="N1008" s="48"/>
      <c r="O1008" s="49">
        <f t="shared" si="537"/>
        <v>9023.5</v>
      </c>
      <c r="P1008" s="53"/>
      <c r="Q1008" s="53"/>
      <c r="R1008" s="76">
        <f t="shared" si="532"/>
        <v>7779.97206703911</v>
      </c>
      <c r="S1008" s="76"/>
      <c r="T1008" s="77">
        <f t="shared" si="533"/>
        <v>15.0837988826816</v>
      </c>
      <c r="U1008" s="76"/>
      <c r="V1008" s="76"/>
      <c r="W1008" s="78">
        <f t="shared" si="529"/>
        <v>7795.05586592179</v>
      </c>
      <c r="X1008" s="79">
        <f t="shared" si="534"/>
        <v>122.90530726257</v>
      </c>
      <c r="Y1008" s="79"/>
      <c r="Z1008" s="79"/>
      <c r="AA1008" s="79">
        <f t="shared" si="530"/>
        <v>122.90530726257</v>
      </c>
      <c r="AB1008" s="90">
        <v>7.15</v>
      </c>
      <c r="AC1008" s="76">
        <f t="shared" si="531"/>
        <v>878.772946927374</v>
      </c>
      <c r="AD1008" s="76">
        <f t="shared" si="527"/>
        <v>8673.82881284916</v>
      </c>
      <c r="AE1008" s="76">
        <f t="shared" si="528"/>
        <v>349.671187150838</v>
      </c>
    </row>
    <row r="1009" customFormat="1" spans="1:31">
      <c r="A1009" s="18"/>
      <c r="B1009" s="19"/>
      <c r="C1009" s="20">
        <v>240830000029</v>
      </c>
      <c r="D1009" s="21">
        <v>45540</v>
      </c>
      <c r="E1009" s="21" t="s">
        <v>44</v>
      </c>
      <c r="F1009" s="19" t="s">
        <v>45</v>
      </c>
      <c r="G1009" s="19" t="s">
        <v>348</v>
      </c>
      <c r="H1009" s="19">
        <v>6.5</v>
      </c>
      <c r="I1009" s="49"/>
      <c r="J1009" s="44">
        <v>95588</v>
      </c>
      <c r="K1009" s="45"/>
      <c r="L1009" s="46">
        <f t="shared" si="535"/>
        <v>1690.32714412025</v>
      </c>
      <c r="M1009" s="113">
        <v>56.55</v>
      </c>
      <c r="N1009" s="48">
        <v>7.15</v>
      </c>
      <c r="O1009" s="49">
        <f t="shared" si="536"/>
        <v>404.3325</v>
      </c>
      <c r="P1009" s="53"/>
      <c r="Q1009" s="53"/>
      <c r="R1009" s="76">
        <f t="shared" si="532"/>
        <v>321.078212290503</v>
      </c>
      <c r="S1009" s="76"/>
      <c r="T1009" s="77">
        <f t="shared" si="533"/>
        <v>0.622505985634477</v>
      </c>
      <c r="U1009" s="76"/>
      <c r="V1009" s="76"/>
      <c r="W1009" s="78">
        <f t="shared" si="529"/>
        <v>321.700718276137</v>
      </c>
      <c r="X1009" s="79">
        <f t="shared" si="534"/>
        <v>5.07228252194733</v>
      </c>
      <c r="Y1009" s="79"/>
      <c r="Z1009" s="79"/>
      <c r="AA1009" s="79">
        <f t="shared" si="530"/>
        <v>5.07228252194733</v>
      </c>
      <c r="AB1009" s="90">
        <v>7.15</v>
      </c>
      <c r="AC1009" s="76">
        <f t="shared" si="531"/>
        <v>36.2668200319234</v>
      </c>
      <c r="AD1009" s="76">
        <f t="shared" si="527"/>
        <v>357.967538308061</v>
      </c>
      <c r="AE1009" s="76">
        <f t="shared" si="528"/>
        <v>46.3649616919394</v>
      </c>
    </row>
    <row r="1010" customFormat="1" spans="1:31">
      <c r="A1010" s="18"/>
      <c r="B1010" s="19"/>
      <c r="C1010" s="20">
        <v>240830000030</v>
      </c>
      <c r="D1010" s="21">
        <v>45540</v>
      </c>
      <c r="E1010" s="21" t="s">
        <v>51</v>
      </c>
      <c r="F1010" s="19" t="s">
        <v>52</v>
      </c>
      <c r="G1010" s="19" t="s">
        <v>318</v>
      </c>
      <c r="H1010" s="19">
        <v>0.53</v>
      </c>
      <c r="I1010" s="49"/>
      <c r="J1010" s="44">
        <v>16407.6</v>
      </c>
      <c r="K1010" s="45"/>
      <c r="L1010" s="46">
        <f t="shared" si="535"/>
        <v>1695</v>
      </c>
      <c r="M1010" s="47">
        <v>9.68</v>
      </c>
      <c r="N1010" s="48">
        <v>7.15</v>
      </c>
      <c r="O1010" s="49">
        <f t="shared" si="536"/>
        <v>69.212</v>
      </c>
      <c r="P1010" s="53"/>
      <c r="Q1010" s="53"/>
      <c r="R1010" s="76">
        <f t="shared" si="532"/>
        <v>26.1802234636872</v>
      </c>
      <c r="S1010" s="76"/>
      <c r="T1010" s="77">
        <f t="shared" si="533"/>
        <v>0.0507581803671189</v>
      </c>
      <c r="U1010" s="76"/>
      <c r="V1010" s="76"/>
      <c r="W1010" s="78">
        <f t="shared" si="529"/>
        <v>26.2309816440543</v>
      </c>
      <c r="X1010" s="79">
        <f t="shared" si="534"/>
        <v>0.413586113328013</v>
      </c>
      <c r="Y1010" s="79"/>
      <c r="Z1010" s="79"/>
      <c r="AA1010" s="79">
        <f t="shared" si="530"/>
        <v>0.413586113328013</v>
      </c>
      <c r="AB1010" s="90">
        <v>7.15</v>
      </c>
      <c r="AC1010" s="76">
        <f t="shared" si="531"/>
        <v>2.95714071029529</v>
      </c>
      <c r="AD1010" s="76">
        <f t="shared" si="527"/>
        <v>29.1881223543496</v>
      </c>
      <c r="AE1010" s="76">
        <f t="shared" si="528"/>
        <v>40.0238776456504</v>
      </c>
    </row>
    <row r="1011" customFormat="1" spans="1:31">
      <c r="A1011" s="18"/>
      <c r="B1011" s="19"/>
      <c r="C1011" s="20">
        <v>240830000033</v>
      </c>
      <c r="D1011" s="21">
        <v>45540</v>
      </c>
      <c r="E1011" s="21" t="s">
        <v>37</v>
      </c>
      <c r="F1011" s="19" t="s">
        <v>38</v>
      </c>
      <c r="G1011" s="19" t="s">
        <v>526</v>
      </c>
      <c r="H1011" s="19">
        <v>2</v>
      </c>
      <c r="I1011" s="51">
        <v>120</v>
      </c>
      <c r="J1011" s="52"/>
      <c r="K1011" s="45"/>
      <c r="L1011" s="19"/>
      <c r="M1011" s="45"/>
      <c r="N1011" s="48"/>
      <c r="O1011" s="49">
        <f t="shared" si="537"/>
        <v>120</v>
      </c>
      <c r="P1011" s="53"/>
      <c r="Q1011" s="53"/>
      <c r="R1011" s="76">
        <f t="shared" si="532"/>
        <v>98.7932960893855</v>
      </c>
      <c r="S1011" s="76"/>
      <c r="T1011" s="77">
        <f t="shared" si="533"/>
        <v>0.191540303272147</v>
      </c>
      <c r="U1011" s="76"/>
      <c r="V1011" s="76"/>
      <c r="W1011" s="78">
        <f t="shared" si="529"/>
        <v>98.9848363926576</v>
      </c>
      <c r="X1011" s="79">
        <f t="shared" si="534"/>
        <v>1.56070231444533</v>
      </c>
      <c r="Y1011" s="79"/>
      <c r="Z1011" s="79"/>
      <c r="AA1011" s="79">
        <f t="shared" si="530"/>
        <v>1.56070231444533</v>
      </c>
      <c r="AB1011" s="90">
        <v>7.15</v>
      </c>
      <c r="AC1011" s="76">
        <f t="shared" si="531"/>
        <v>11.1590215482841</v>
      </c>
      <c r="AD1011" s="76">
        <f t="shared" si="527"/>
        <v>110.143857940942</v>
      </c>
      <c r="AE1011" s="76">
        <f t="shared" si="528"/>
        <v>9.85614205905826</v>
      </c>
    </row>
    <row r="1012" customFormat="1" spans="1:31">
      <c r="A1012" s="18"/>
      <c r="B1012" s="19"/>
      <c r="C1012" s="20">
        <v>240830000037</v>
      </c>
      <c r="D1012" s="21">
        <v>45540</v>
      </c>
      <c r="E1012" s="21" t="s">
        <v>37</v>
      </c>
      <c r="F1012" s="19" t="s">
        <v>38</v>
      </c>
      <c r="G1012" s="19" t="s">
        <v>87</v>
      </c>
      <c r="H1012" s="19">
        <v>7.5</v>
      </c>
      <c r="I1012" s="51">
        <v>510</v>
      </c>
      <c r="J1012" s="52"/>
      <c r="K1012" s="45"/>
      <c r="L1012" s="19"/>
      <c r="M1012" s="45"/>
      <c r="N1012" s="48"/>
      <c r="O1012" s="49">
        <f t="shared" si="537"/>
        <v>510</v>
      </c>
      <c r="P1012" s="53"/>
      <c r="Q1012" s="53"/>
      <c r="R1012" s="76">
        <f t="shared" si="532"/>
        <v>370.474860335196</v>
      </c>
      <c r="S1012" s="76"/>
      <c r="T1012" s="77">
        <f t="shared" si="533"/>
        <v>0.718276137270551</v>
      </c>
      <c r="U1012" s="76"/>
      <c r="V1012" s="76"/>
      <c r="W1012" s="78">
        <f t="shared" si="529"/>
        <v>371.193136472466</v>
      </c>
      <c r="X1012" s="79">
        <f t="shared" si="534"/>
        <v>5.85263367916999</v>
      </c>
      <c r="Y1012" s="79"/>
      <c r="Z1012" s="79"/>
      <c r="AA1012" s="79">
        <f t="shared" si="530"/>
        <v>5.85263367916999</v>
      </c>
      <c r="AB1012" s="90">
        <v>7.15</v>
      </c>
      <c r="AC1012" s="76">
        <f t="shared" si="531"/>
        <v>41.8463308060654</v>
      </c>
      <c r="AD1012" s="76">
        <f t="shared" si="527"/>
        <v>413.039467278532</v>
      </c>
      <c r="AE1012" s="76">
        <f t="shared" si="528"/>
        <v>96.9605327214684</v>
      </c>
    </row>
    <row r="1013" customFormat="1" spans="1:31">
      <c r="A1013" s="18"/>
      <c r="B1013" s="19"/>
      <c r="C1013" s="20">
        <v>240830000040</v>
      </c>
      <c r="D1013" s="21">
        <v>45540</v>
      </c>
      <c r="E1013" s="21" t="s">
        <v>37</v>
      </c>
      <c r="F1013" s="19" t="s">
        <v>38</v>
      </c>
      <c r="G1013" s="19" t="s">
        <v>220</v>
      </c>
      <c r="H1013" s="19">
        <v>1.5</v>
      </c>
      <c r="I1013" s="51">
        <v>102</v>
      </c>
      <c r="J1013" s="52"/>
      <c r="K1013" s="45"/>
      <c r="L1013" s="19"/>
      <c r="M1013" s="45"/>
      <c r="N1013" s="48"/>
      <c r="O1013" s="49">
        <f t="shared" si="537"/>
        <v>102</v>
      </c>
      <c r="P1013" s="53"/>
      <c r="Q1013" s="53"/>
      <c r="R1013" s="76">
        <f t="shared" si="532"/>
        <v>74.0949720670391</v>
      </c>
      <c r="S1013" s="76"/>
      <c r="T1013" s="77">
        <f t="shared" si="533"/>
        <v>0.14365522745411</v>
      </c>
      <c r="U1013" s="76"/>
      <c r="V1013" s="76"/>
      <c r="W1013" s="78">
        <f t="shared" si="529"/>
        <v>74.2386272944932</v>
      </c>
      <c r="X1013" s="79">
        <f t="shared" si="534"/>
        <v>1.170526735834</v>
      </c>
      <c r="Y1013" s="79"/>
      <c r="Z1013" s="79"/>
      <c r="AA1013" s="79">
        <f t="shared" si="530"/>
        <v>1.170526735834</v>
      </c>
      <c r="AB1013" s="90">
        <v>7.15</v>
      </c>
      <c r="AC1013" s="76">
        <f t="shared" si="531"/>
        <v>8.36926616121309</v>
      </c>
      <c r="AD1013" s="76">
        <f t="shared" si="527"/>
        <v>82.6078934557063</v>
      </c>
      <c r="AE1013" s="76">
        <f t="shared" si="528"/>
        <v>19.3921065442937</v>
      </c>
    </row>
    <row r="1014" customFormat="1" spans="1:31">
      <c r="A1014" s="18"/>
      <c r="B1014" s="19"/>
      <c r="C1014" s="20">
        <v>240830000044</v>
      </c>
      <c r="D1014" s="21">
        <v>45540</v>
      </c>
      <c r="E1014" s="21" t="s">
        <v>37</v>
      </c>
      <c r="F1014" s="19" t="s">
        <v>38</v>
      </c>
      <c r="G1014" s="19" t="s">
        <v>526</v>
      </c>
      <c r="H1014" s="19">
        <v>12</v>
      </c>
      <c r="I1014" s="51">
        <v>805</v>
      </c>
      <c r="J1014" s="52"/>
      <c r="K1014" s="45"/>
      <c r="L1014" s="19"/>
      <c r="M1014" s="45"/>
      <c r="N1014" s="48"/>
      <c r="O1014" s="49">
        <f t="shared" si="537"/>
        <v>805</v>
      </c>
      <c r="P1014" s="53"/>
      <c r="Q1014" s="53"/>
      <c r="R1014" s="76">
        <f t="shared" si="532"/>
        <v>592.759776536313</v>
      </c>
      <c r="S1014" s="76"/>
      <c r="T1014" s="77">
        <f t="shared" si="533"/>
        <v>1.14924181963288</v>
      </c>
      <c r="U1014" s="76"/>
      <c r="V1014" s="76"/>
      <c r="W1014" s="78">
        <f t="shared" si="529"/>
        <v>593.909018355946</v>
      </c>
      <c r="X1014" s="79">
        <f t="shared" si="534"/>
        <v>9.36421388667199</v>
      </c>
      <c r="Y1014" s="79">
        <v>3.53</v>
      </c>
      <c r="Z1014" s="79"/>
      <c r="AA1014" s="79">
        <f t="shared" si="530"/>
        <v>12.894213886672</v>
      </c>
      <c r="AB1014" s="90">
        <v>7.15</v>
      </c>
      <c r="AC1014" s="76">
        <f t="shared" si="531"/>
        <v>92.1936292897047</v>
      </c>
      <c r="AD1014" s="76">
        <f t="shared" si="527"/>
        <v>686.10264764565</v>
      </c>
      <c r="AE1014" s="76">
        <f t="shared" si="528"/>
        <v>118.89735235435</v>
      </c>
    </row>
    <row r="1015" customFormat="1" spans="1:31">
      <c r="A1015" s="18"/>
      <c r="B1015" s="19"/>
      <c r="C1015" s="20">
        <v>240831000004</v>
      </c>
      <c r="D1015" s="21">
        <v>45540</v>
      </c>
      <c r="E1015" s="21" t="s">
        <v>37</v>
      </c>
      <c r="F1015" s="19" t="s">
        <v>38</v>
      </c>
      <c r="G1015" s="19" t="s">
        <v>571</v>
      </c>
      <c r="H1015" s="19">
        <v>11</v>
      </c>
      <c r="I1015" s="51">
        <v>1025</v>
      </c>
      <c r="J1015" s="52"/>
      <c r="K1015" s="45"/>
      <c r="L1015" s="19"/>
      <c r="M1015" s="45"/>
      <c r="N1015" s="48"/>
      <c r="O1015" s="49">
        <f t="shared" si="537"/>
        <v>1025</v>
      </c>
      <c r="P1015" s="53"/>
      <c r="Q1015" s="53"/>
      <c r="R1015" s="76">
        <f t="shared" si="532"/>
        <v>543.36312849162</v>
      </c>
      <c r="S1015" s="76"/>
      <c r="T1015" s="77">
        <f t="shared" si="533"/>
        <v>1.05347166799681</v>
      </c>
      <c r="U1015" s="76"/>
      <c r="V1015" s="76"/>
      <c r="W1015" s="78">
        <f t="shared" si="529"/>
        <v>544.416600159617</v>
      </c>
      <c r="X1015" s="79">
        <f t="shared" si="534"/>
        <v>8.58386272944932</v>
      </c>
      <c r="Y1015" s="79"/>
      <c r="Z1015" s="79"/>
      <c r="AA1015" s="79">
        <f t="shared" si="530"/>
        <v>8.58386272944932</v>
      </c>
      <c r="AB1015" s="90">
        <v>7.15</v>
      </c>
      <c r="AC1015" s="76">
        <f t="shared" si="531"/>
        <v>61.3746185155627</v>
      </c>
      <c r="AD1015" s="76">
        <f t="shared" si="527"/>
        <v>605.79121867518</v>
      </c>
      <c r="AE1015" s="76">
        <f t="shared" si="528"/>
        <v>419.20878132482</v>
      </c>
    </row>
    <row r="1016" customFormat="1" spans="1:31">
      <c r="A1016" s="18"/>
      <c r="B1016" s="19"/>
      <c r="C1016" s="20">
        <v>240831000009</v>
      </c>
      <c r="D1016" s="21">
        <v>45540</v>
      </c>
      <c r="E1016" s="21" t="s">
        <v>37</v>
      </c>
      <c r="F1016" s="19" t="s">
        <v>38</v>
      </c>
      <c r="G1016" s="19" t="s">
        <v>75</v>
      </c>
      <c r="H1016" s="19">
        <v>45</v>
      </c>
      <c r="I1016" s="51">
        <v>2784</v>
      </c>
      <c r="J1016" s="52"/>
      <c r="K1016" s="45"/>
      <c r="L1016" s="19"/>
      <c r="M1016" s="45"/>
      <c r="N1016" s="48"/>
      <c r="O1016" s="49">
        <f t="shared" si="537"/>
        <v>2784</v>
      </c>
      <c r="P1016" s="53"/>
      <c r="Q1016" s="53"/>
      <c r="R1016" s="76">
        <f t="shared" si="532"/>
        <v>2222.84916201117</v>
      </c>
      <c r="S1016" s="76"/>
      <c r="T1016" s="77">
        <f t="shared" si="533"/>
        <v>4.3096568236233</v>
      </c>
      <c r="U1016" s="76"/>
      <c r="V1016" s="76"/>
      <c r="W1016" s="78">
        <f t="shared" si="529"/>
        <v>2227.1588188348</v>
      </c>
      <c r="X1016" s="79">
        <f t="shared" si="534"/>
        <v>35.1158020750199</v>
      </c>
      <c r="Y1016" s="79"/>
      <c r="Z1016" s="79"/>
      <c r="AA1016" s="79">
        <f t="shared" si="530"/>
        <v>35.1158020750199</v>
      </c>
      <c r="AB1016" s="90">
        <v>7.15</v>
      </c>
      <c r="AC1016" s="76">
        <f t="shared" si="531"/>
        <v>251.077984836393</v>
      </c>
      <c r="AD1016" s="76">
        <f t="shared" si="527"/>
        <v>2478.23680367119</v>
      </c>
      <c r="AE1016" s="76">
        <f t="shared" si="528"/>
        <v>305.763196328811</v>
      </c>
    </row>
    <row r="1017" customFormat="1" spans="1:31">
      <c r="A1017" s="18"/>
      <c r="B1017" s="19"/>
      <c r="C1017" s="20">
        <v>240831000015</v>
      </c>
      <c r="D1017" s="21">
        <v>45540</v>
      </c>
      <c r="E1017" s="21" t="s">
        <v>173</v>
      </c>
      <c r="F1017" s="19" t="s">
        <v>572</v>
      </c>
      <c r="G1017" s="19" t="s">
        <v>573</v>
      </c>
      <c r="H1017" s="19">
        <v>4</v>
      </c>
      <c r="I1017" s="51">
        <v>388.8</v>
      </c>
      <c r="J1017" s="52"/>
      <c r="K1017" s="45"/>
      <c r="L1017" s="19"/>
      <c r="M1017" s="45"/>
      <c r="N1017" s="48"/>
      <c r="O1017" s="49">
        <f t="shared" si="537"/>
        <v>388.8</v>
      </c>
      <c r="P1017" s="53"/>
      <c r="Q1017" s="53"/>
      <c r="R1017" s="76">
        <f t="shared" si="532"/>
        <v>197.586592178771</v>
      </c>
      <c r="S1017" s="76"/>
      <c r="T1017" s="77">
        <f t="shared" si="533"/>
        <v>0.383080606544294</v>
      </c>
      <c r="U1017" s="76"/>
      <c r="V1017" s="76"/>
      <c r="W1017" s="78">
        <f t="shared" si="529"/>
        <v>197.969672785315</v>
      </c>
      <c r="X1017" s="79">
        <f t="shared" si="534"/>
        <v>3.12140462889066</v>
      </c>
      <c r="Y1017" s="79"/>
      <c r="Z1017" s="79"/>
      <c r="AA1017" s="79">
        <f t="shared" si="530"/>
        <v>3.12140462889066</v>
      </c>
      <c r="AB1017" s="90">
        <v>7.15</v>
      </c>
      <c r="AC1017" s="76">
        <f t="shared" si="531"/>
        <v>22.3180430965682</v>
      </c>
      <c r="AD1017" s="76">
        <f t="shared" si="527"/>
        <v>220.287715881883</v>
      </c>
      <c r="AE1017" s="76">
        <f t="shared" si="528"/>
        <v>168.512284118117</v>
      </c>
    </row>
    <row r="1018" customFormat="1" spans="1:31">
      <c r="A1018" s="18"/>
      <c r="B1018" s="19"/>
      <c r="C1018" s="20">
        <v>240831000016</v>
      </c>
      <c r="D1018" s="21">
        <v>45540</v>
      </c>
      <c r="E1018" s="21" t="s">
        <v>37</v>
      </c>
      <c r="F1018" s="19" t="s">
        <v>38</v>
      </c>
      <c r="G1018" s="19" t="s">
        <v>574</v>
      </c>
      <c r="H1018" s="19">
        <v>29</v>
      </c>
      <c r="I1018" s="51">
        <v>2112.9</v>
      </c>
      <c r="J1018" s="52"/>
      <c r="K1018" s="45"/>
      <c r="L1018" s="19"/>
      <c r="M1018" s="45"/>
      <c r="N1018" s="48"/>
      <c r="O1018" s="49">
        <f t="shared" si="537"/>
        <v>2112.9</v>
      </c>
      <c r="P1018" s="53"/>
      <c r="Q1018" s="53"/>
      <c r="R1018" s="76">
        <f t="shared" si="532"/>
        <v>1432.50279329609</v>
      </c>
      <c r="S1018" s="76"/>
      <c r="T1018" s="77">
        <f t="shared" si="533"/>
        <v>2.77733439744613</v>
      </c>
      <c r="U1018" s="76"/>
      <c r="V1018" s="77">
        <v>189</v>
      </c>
      <c r="W1018" s="78">
        <f t="shared" si="529"/>
        <v>1624.28012769354</v>
      </c>
      <c r="X1018" s="79">
        <f t="shared" si="534"/>
        <v>22.6301835594573</v>
      </c>
      <c r="Y1018" s="79"/>
      <c r="Z1018" s="79"/>
      <c r="AA1018" s="79">
        <f t="shared" si="530"/>
        <v>22.6301835594573</v>
      </c>
      <c r="AB1018" s="90">
        <v>7.15</v>
      </c>
      <c r="AC1018" s="76">
        <f t="shared" si="531"/>
        <v>161.80581245012</v>
      </c>
      <c r="AD1018" s="76">
        <f t="shared" si="527"/>
        <v>1786.08594014366</v>
      </c>
      <c r="AE1018" s="76">
        <f t="shared" si="528"/>
        <v>326.814059856345</v>
      </c>
    </row>
    <row r="1019" customFormat="1" spans="1:31">
      <c r="A1019" s="18"/>
      <c r="B1019" s="19"/>
      <c r="C1019" s="20">
        <v>240831000020</v>
      </c>
      <c r="D1019" s="21">
        <v>45540</v>
      </c>
      <c r="E1019" s="21" t="s">
        <v>37</v>
      </c>
      <c r="F1019" s="19" t="s">
        <v>38</v>
      </c>
      <c r="G1019" s="19" t="s">
        <v>146</v>
      </c>
      <c r="H1019" s="19">
        <v>38.5</v>
      </c>
      <c r="I1019" s="43"/>
      <c r="J1019" s="44">
        <v>520289</v>
      </c>
      <c r="K1019" s="45"/>
      <c r="L1019" s="46">
        <f t="shared" ref="L1019:L1022" si="538">SUM(J1019/M1019)</f>
        <v>1665.99103426193</v>
      </c>
      <c r="M1019" s="47">
        <v>312.3</v>
      </c>
      <c r="N1019" s="48">
        <v>7.15</v>
      </c>
      <c r="O1019" s="49">
        <f t="shared" ref="O1019:O1024" si="539">SUM(M1019*N1019)</f>
        <v>2232.945</v>
      </c>
      <c r="P1019" s="53"/>
      <c r="Q1019" s="53"/>
      <c r="R1019" s="76">
        <f t="shared" si="532"/>
        <v>1901.77094972067</v>
      </c>
      <c r="S1019" s="76"/>
      <c r="T1019" s="77">
        <f t="shared" si="533"/>
        <v>3.68715083798883</v>
      </c>
      <c r="U1019" s="76"/>
      <c r="V1019" s="76"/>
      <c r="W1019" s="78">
        <f t="shared" si="529"/>
        <v>1905.45810055866</v>
      </c>
      <c r="X1019" s="79">
        <f t="shared" si="534"/>
        <v>30.0435195530726</v>
      </c>
      <c r="Y1019" s="79"/>
      <c r="Z1019" s="79"/>
      <c r="AA1019" s="79">
        <f t="shared" si="530"/>
        <v>30.0435195530726</v>
      </c>
      <c r="AB1019" s="90">
        <v>7.15</v>
      </c>
      <c r="AC1019" s="76">
        <f t="shared" si="531"/>
        <v>214.811164804469</v>
      </c>
      <c r="AD1019" s="76">
        <f t="shared" si="527"/>
        <v>2120.26926536313</v>
      </c>
      <c r="AE1019" s="76">
        <f t="shared" si="528"/>
        <v>112.675734636872</v>
      </c>
    </row>
    <row r="1020" customFormat="1" spans="1:31">
      <c r="A1020" s="18"/>
      <c r="B1020" s="19"/>
      <c r="C1020" s="20">
        <v>240831000021</v>
      </c>
      <c r="D1020" s="21">
        <v>45540</v>
      </c>
      <c r="E1020" s="21" t="s">
        <v>82</v>
      </c>
      <c r="F1020" s="19" t="s">
        <v>83</v>
      </c>
      <c r="G1020" s="19" t="s">
        <v>94</v>
      </c>
      <c r="H1020" s="19">
        <v>46</v>
      </c>
      <c r="I1020" s="51">
        <v>2570</v>
      </c>
      <c r="J1020" s="52"/>
      <c r="K1020" s="45"/>
      <c r="L1020" s="19"/>
      <c r="M1020" s="45"/>
      <c r="N1020" s="48"/>
      <c r="O1020" s="49">
        <f t="shared" ref="O1020:O1027" si="540">SUM(I1020)</f>
        <v>2570</v>
      </c>
      <c r="P1020" s="53"/>
      <c r="Q1020" s="53"/>
      <c r="R1020" s="76">
        <f t="shared" si="532"/>
        <v>2272.24581005587</v>
      </c>
      <c r="S1020" s="76"/>
      <c r="T1020" s="77">
        <f t="shared" si="533"/>
        <v>4.40542697525938</v>
      </c>
      <c r="U1020" s="76"/>
      <c r="V1020" s="76"/>
      <c r="W1020" s="78">
        <f t="shared" si="529"/>
        <v>2276.65123703113</v>
      </c>
      <c r="X1020" s="79">
        <f t="shared" si="534"/>
        <v>35.8961532322426</v>
      </c>
      <c r="Y1020" s="79"/>
      <c r="Z1020" s="79"/>
      <c r="AA1020" s="79">
        <f t="shared" si="530"/>
        <v>35.8961532322426</v>
      </c>
      <c r="AB1020" s="90">
        <v>7.15</v>
      </c>
      <c r="AC1020" s="76">
        <f t="shared" si="531"/>
        <v>256.657495610535</v>
      </c>
      <c r="AD1020" s="76">
        <f t="shared" si="527"/>
        <v>2533.30873264166</v>
      </c>
      <c r="AE1020" s="76">
        <f t="shared" si="528"/>
        <v>36.6912673583402</v>
      </c>
    </row>
    <row r="1021" customFormat="1" spans="1:31">
      <c r="A1021" s="18"/>
      <c r="B1021" s="19"/>
      <c r="C1021" s="20">
        <v>240831000025</v>
      </c>
      <c r="D1021" s="21">
        <v>45540</v>
      </c>
      <c r="E1021" s="21" t="s">
        <v>57</v>
      </c>
      <c r="F1021" s="19" t="s">
        <v>57</v>
      </c>
      <c r="G1021" s="19" t="s">
        <v>155</v>
      </c>
      <c r="H1021" s="19">
        <v>482.5</v>
      </c>
      <c r="I1021" s="56">
        <v>1065</v>
      </c>
      <c r="J1021" s="44">
        <v>5942622</v>
      </c>
      <c r="K1021" s="45"/>
      <c r="L1021" s="46">
        <f t="shared" si="538"/>
        <v>1700.27238133387</v>
      </c>
      <c r="M1021" s="47">
        <v>3495.1</v>
      </c>
      <c r="N1021" s="111">
        <v>7.15</v>
      </c>
      <c r="O1021" s="49">
        <f>SUM(M1021*N1021+I1021)</f>
        <v>26054.965</v>
      </c>
      <c r="P1021" s="54"/>
      <c r="Q1021" s="54"/>
      <c r="R1021" s="76">
        <f t="shared" si="532"/>
        <v>23833.8826815642</v>
      </c>
      <c r="S1021" s="76"/>
      <c r="T1021" s="77">
        <f t="shared" si="533"/>
        <v>46.2090981644054</v>
      </c>
      <c r="U1021" s="76"/>
      <c r="V1021" s="76"/>
      <c r="W1021" s="78">
        <f t="shared" si="529"/>
        <v>23880.0917797287</v>
      </c>
      <c r="X1021" s="79">
        <f t="shared" si="534"/>
        <v>376.519433359936</v>
      </c>
      <c r="Y1021" s="79"/>
      <c r="Z1021" s="79"/>
      <c r="AA1021" s="79">
        <f t="shared" si="530"/>
        <v>376.519433359936</v>
      </c>
      <c r="AB1021" s="90">
        <v>7.15</v>
      </c>
      <c r="AC1021" s="76">
        <f t="shared" si="531"/>
        <v>2692.11394852354</v>
      </c>
      <c r="AD1021" s="76">
        <f t="shared" si="527"/>
        <v>26572.2057282522</v>
      </c>
      <c r="AE1021" s="76">
        <f t="shared" si="528"/>
        <v>-517.240728252196</v>
      </c>
    </row>
    <row r="1022" customFormat="1" spans="1:31">
      <c r="A1022" s="18" t="s">
        <v>575</v>
      </c>
      <c r="B1022" s="19" t="s">
        <v>576</v>
      </c>
      <c r="C1022" s="20">
        <v>240831000022</v>
      </c>
      <c r="D1022" s="21">
        <v>45537</v>
      </c>
      <c r="E1022" s="21" t="s">
        <v>37</v>
      </c>
      <c r="F1022" s="19" t="s">
        <v>38</v>
      </c>
      <c r="G1022" s="19" t="s">
        <v>577</v>
      </c>
      <c r="H1022" s="19">
        <v>2185.5</v>
      </c>
      <c r="I1022" s="43"/>
      <c r="J1022" s="110">
        <v>28125264</v>
      </c>
      <c r="K1022" s="45"/>
      <c r="L1022" s="46">
        <f t="shared" si="538"/>
        <v>1694.55025702697</v>
      </c>
      <c r="M1022" s="47">
        <v>16597.48</v>
      </c>
      <c r="N1022" s="105">
        <v>7.15</v>
      </c>
      <c r="O1022" s="49">
        <f t="shared" si="539"/>
        <v>118671.982</v>
      </c>
      <c r="P1022" s="55">
        <f t="shared" ref="P1022:P1056" si="541">SUM(O1022)</f>
        <v>118671.982</v>
      </c>
      <c r="Q1022" s="55" t="s">
        <v>40</v>
      </c>
      <c r="R1022" s="80">
        <v>85428</v>
      </c>
      <c r="S1022" s="80"/>
      <c r="T1022" s="55"/>
      <c r="U1022" s="80"/>
      <c r="V1022" s="80"/>
      <c r="W1022" s="116">
        <f t="shared" ref="W1022:W1061" si="542">SUM(R1022:V1022)</f>
        <v>85428</v>
      </c>
      <c r="X1022" s="81">
        <v>1141.25</v>
      </c>
      <c r="Y1022" s="81"/>
      <c r="Z1022" s="81"/>
      <c r="AA1022" s="81">
        <f t="shared" ref="AA1022:AA1061" si="543">SUM(X1022:Z1022)</f>
        <v>1141.25</v>
      </c>
      <c r="AB1022" s="90">
        <v>7.15</v>
      </c>
      <c r="AC1022" s="55">
        <f t="shared" ref="AC1022:AC1061" si="544">SUM(AA1022*AB1022)</f>
        <v>8159.9375</v>
      </c>
      <c r="AD1022" s="76">
        <f t="shared" si="527"/>
        <v>93587.9375</v>
      </c>
      <c r="AE1022" s="76">
        <f t="shared" si="528"/>
        <v>25084.0445</v>
      </c>
    </row>
    <row r="1023" customFormat="1" spans="1:31">
      <c r="A1023" s="18" t="s">
        <v>578</v>
      </c>
      <c r="B1023" s="19" t="s">
        <v>579</v>
      </c>
      <c r="C1023" s="22">
        <v>240525000016</v>
      </c>
      <c r="D1023" s="21">
        <v>45510</v>
      </c>
      <c r="E1023" s="21" t="s">
        <v>41</v>
      </c>
      <c r="F1023" s="19" t="s">
        <v>42</v>
      </c>
      <c r="G1023" s="19" t="s">
        <v>580</v>
      </c>
      <c r="H1023" s="19">
        <v>11.1488</v>
      </c>
      <c r="I1023" s="51">
        <v>30933</v>
      </c>
      <c r="J1023" s="44"/>
      <c r="K1023" s="45"/>
      <c r="L1023" s="46"/>
      <c r="M1023" s="47"/>
      <c r="N1023" s="48"/>
      <c r="O1023" s="49">
        <f t="shared" si="540"/>
        <v>30933</v>
      </c>
      <c r="P1023" s="55">
        <f t="shared" si="541"/>
        <v>30933</v>
      </c>
      <c r="Q1023" s="55" t="s">
        <v>91</v>
      </c>
      <c r="R1023" s="80">
        <v>27452.7</v>
      </c>
      <c r="S1023" s="80">
        <v>250</v>
      </c>
      <c r="T1023" s="55"/>
      <c r="U1023" s="80"/>
      <c r="V1023" s="80"/>
      <c r="W1023" s="116">
        <f t="shared" si="542"/>
        <v>27702.7</v>
      </c>
      <c r="X1023" s="81"/>
      <c r="Y1023" s="81"/>
      <c r="Z1023" s="81"/>
      <c r="AA1023" s="81">
        <f t="shared" si="543"/>
        <v>0</v>
      </c>
      <c r="AB1023" s="90">
        <v>7.15</v>
      </c>
      <c r="AC1023" s="55">
        <f t="shared" si="544"/>
        <v>0</v>
      </c>
      <c r="AD1023" s="55">
        <f t="shared" ref="AD1022:AD1061" si="545">SUM(W1023+AC1023)</f>
        <v>27702.7</v>
      </c>
      <c r="AE1023" s="55">
        <f t="shared" ref="AE1022:AE1061" si="546">SUM(P1023-AD1023)</f>
        <v>3230.3</v>
      </c>
    </row>
    <row r="1024" customFormat="1" spans="1:31">
      <c r="A1024" s="18" t="s">
        <v>581</v>
      </c>
      <c r="B1024" s="19" t="s">
        <v>582</v>
      </c>
      <c r="C1024" s="22">
        <v>240525000005</v>
      </c>
      <c r="D1024" s="21">
        <v>45510</v>
      </c>
      <c r="E1024" s="21" t="s">
        <v>41</v>
      </c>
      <c r="F1024" s="19" t="s">
        <v>42</v>
      </c>
      <c r="G1024" s="19" t="s">
        <v>117</v>
      </c>
      <c r="H1024" s="19">
        <v>1.4286</v>
      </c>
      <c r="I1024" s="114"/>
      <c r="J1024" s="44">
        <v>974610</v>
      </c>
      <c r="K1024" s="45"/>
      <c r="L1024" s="46">
        <f>SUM(J1024/M1024)</f>
        <v>1580.15824118811</v>
      </c>
      <c r="M1024" s="47">
        <v>616.78</v>
      </c>
      <c r="N1024" s="48">
        <v>7.15</v>
      </c>
      <c r="O1024" s="49">
        <f t="shared" si="539"/>
        <v>4409.977</v>
      </c>
      <c r="P1024" s="55">
        <f t="shared" si="541"/>
        <v>4409.977</v>
      </c>
      <c r="Q1024" s="55" t="s">
        <v>91</v>
      </c>
      <c r="R1024" s="80">
        <v>3913.41</v>
      </c>
      <c r="S1024" s="80"/>
      <c r="T1024" s="55"/>
      <c r="U1024" s="80"/>
      <c r="V1024" s="80"/>
      <c r="W1024" s="116">
        <f t="shared" si="542"/>
        <v>3913.41</v>
      </c>
      <c r="X1024" s="81"/>
      <c r="Y1024" s="81"/>
      <c r="Z1024" s="81"/>
      <c r="AA1024" s="81">
        <f t="shared" si="543"/>
        <v>0</v>
      </c>
      <c r="AB1024" s="90">
        <v>7.15</v>
      </c>
      <c r="AC1024" s="55">
        <f t="shared" si="544"/>
        <v>0</v>
      </c>
      <c r="AD1024" s="55">
        <f t="shared" si="545"/>
        <v>3913.41</v>
      </c>
      <c r="AE1024" s="55">
        <f t="shared" si="546"/>
        <v>496.567</v>
      </c>
    </row>
    <row r="1025" customFormat="1" spans="1:31">
      <c r="A1025" s="18" t="s">
        <v>583</v>
      </c>
      <c r="B1025" s="19" t="s">
        <v>584</v>
      </c>
      <c r="C1025" s="22">
        <v>240524000004</v>
      </c>
      <c r="D1025" s="21">
        <v>45510</v>
      </c>
      <c r="E1025" s="21" t="s">
        <v>44</v>
      </c>
      <c r="F1025" s="19" t="s">
        <v>45</v>
      </c>
      <c r="G1025" s="19" t="s">
        <v>92</v>
      </c>
      <c r="H1025" s="19">
        <v>2.5924</v>
      </c>
      <c r="I1025" s="51">
        <v>6993.74</v>
      </c>
      <c r="J1025" s="44"/>
      <c r="K1025" s="45"/>
      <c r="L1025" s="46"/>
      <c r="M1025" s="47"/>
      <c r="N1025" s="48"/>
      <c r="O1025" s="49">
        <f t="shared" si="540"/>
        <v>6993.74</v>
      </c>
      <c r="P1025" s="55">
        <f t="shared" si="541"/>
        <v>6993.74</v>
      </c>
      <c r="Q1025" s="55" t="s">
        <v>91</v>
      </c>
      <c r="R1025" s="80">
        <v>6244.86</v>
      </c>
      <c r="S1025" s="80"/>
      <c r="T1025" s="55"/>
      <c r="U1025" s="80"/>
      <c r="V1025" s="80"/>
      <c r="W1025" s="116">
        <f t="shared" si="542"/>
        <v>6244.86</v>
      </c>
      <c r="X1025" s="81"/>
      <c r="Y1025" s="81"/>
      <c r="Z1025" s="81"/>
      <c r="AA1025" s="81">
        <f t="shared" si="543"/>
        <v>0</v>
      </c>
      <c r="AB1025" s="90">
        <v>7.15</v>
      </c>
      <c r="AC1025" s="55">
        <f t="shared" si="544"/>
        <v>0</v>
      </c>
      <c r="AD1025" s="55">
        <f t="shared" si="545"/>
        <v>6244.86</v>
      </c>
      <c r="AE1025" s="55">
        <f t="shared" si="546"/>
        <v>748.88</v>
      </c>
    </row>
    <row r="1026" customFormat="1" spans="1:31">
      <c r="A1026" s="18" t="s">
        <v>585</v>
      </c>
      <c r="B1026" s="19" t="s">
        <v>586</v>
      </c>
      <c r="C1026" s="22">
        <v>240523000022</v>
      </c>
      <c r="D1026" s="21">
        <v>45510</v>
      </c>
      <c r="E1026" s="21" t="s">
        <v>57</v>
      </c>
      <c r="F1026" s="19" t="s">
        <v>57</v>
      </c>
      <c r="G1026" s="19" t="s">
        <v>98</v>
      </c>
      <c r="H1026" s="24">
        <v>0.2376</v>
      </c>
      <c r="I1026" s="56">
        <v>1667.22</v>
      </c>
      <c r="J1026" s="44"/>
      <c r="K1026" s="45"/>
      <c r="L1026" s="46"/>
      <c r="M1026" s="47"/>
      <c r="N1026" s="48"/>
      <c r="O1026" s="49">
        <f t="shared" si="540"/>
        <v>1667.22</v>
      </c>
      <c r="P1026" s="55">
        <f t="shared" si="541"/>
        <v>1667.22</v>
      </c>
      <c r="Q1026" s="55" t="s">
        <v>91</v>
      </c>
      <c r="R1026" s="80">
        <v>555.02</v>
      </c>
      <c r="S1026" s="80"/>
      <c r="T1026" s="55"/>
      <c r="U1026" s="122">
        <v>170</v>
      </c>
      <c r="V1026" s="80"/>
      <c r="W1026" s="116">
        <f t="shared" si="542"/>
        <v>725.02</v>
      </c>
      <c r="X1026" s="81"/>
      <c r="Y1026" s="81">
        <v>64.51</v>
      </c>
      <c r="Z1026" s="81"/>
      <c r="AA1026" s="81">
        <f t="shared" si="543"/>
        <v>64.51</v>
      </c>
      <c r="AB1026" s="90">
        <v>7.15</v>
      </c>
      <c r="AC1026" s="55">
        <f t="shared" si="544"/>
        <v>461.2465</v>
      </c>
      <c r="AD1026" s="55">
        <f t="shared" si="545"/>
        <v>1186.2665</v>
      </c>
      <c r="AE1026" s="55">
        <f t="shared" si="546"/>
        <v>480.9535</v>
      </c>
    </row>
    <row r="1027" customFormat="1" spans="1:31">
      <c r="A1027" s="18" t="s">
        <v>587</v>
      </c>
      <c r="B1027" s="19" t="s">
        <v>588</v>
      </c>
      <c r="C1027" s="22">
        <v>240512000002</v>
      </c>
      <c r="D1027" s="21">
        <v>45510</v>
      </c>
      <c r="E1027" s="21" t="s">
        <v>57</v>
      </c>
      <c r="F1027" s="19" t="s">
        <v>57</v>
      </c>
      <c r="G1027" s="19" t="s">
        <v>58</v>
      </c>
      <c r="H1027" s="24">
        <v>0.2501</v>
      </c>
      <c r="I1027" s="51">
        <v>676</v>
      </c>
      <c r="J1027" s="44"/>
      <c r="K1027" s="45"/>
      <c r="L1027" s="46"/>
      <c r="M1027" s="47"/>
      <c r="N1027" s="48"/>
      <c r="O1027" s="49">
        <f t="shared" si="540"/>
        <v>676</v>
      </c>
      <c r="P1027" s="55">
        <f t="shared" si="541"/>
        <v>676</v>
      </c>
      <c r="Q1027" s="55" t="s">
        <v>91</v>
      </c>
      <c r="R1027" s="80">
        <v>585.9</v>
      </c>
      <c r="S1027" s="80"/>
      <c r="T1027" s="55"/>
      <c r="U1027" s="80"/>
      <c r="V1027" s="80"/>
      <c r="W1027" s="116">
        <f t="shared" si="542"/>
        <v>585.9</v>
      </c>
      <c r="X1027" s="81"/>
      <c r="Y1027" s="81"/>
      <c r="Z1027" s="81"/>
      <c r="AA1027" s="81">
        <f t="shared" si="543"/>
        <v>0</v>
      </c>
      <c r="AB1027" s="90">
        <v>7.15</v>
      </c>
      <c r="AC1027" s="55">
        <f t="shared" si="544"/>
        <v>0</v>
      </c>
      <c r="AD1027" s="55">
        <f t="shared" si="545"/>
        <v>585.9</v>
      </c>
      <c r="AE1027" s="55">
        <f t="shared" si="546"/>
        <v>90.1</v>
      </c>
    </row>
    <row r="1028" customFormat="1" spans="1:31">
      <c r="A1028" s="18" t="s">
        <v>589</v>
      </c>
      <c r="B1028" s="19" t="s">
        <v>590</v>
      </c>
      <c r="C1028" s="22">
        <v>240523000013</v>
      </c>
      <c r="D1028" s="21">
        <v>45510</v>
      </c>
      <c r="E1028" s="21" t="s">
        <v>51</v>
      </c>
      <c r="F1028" s="19" t="s">
        <v>52</v>
      </c>
      <c r="G1028" s="19" t="s">
        <v>591</v>
      </c>
      <c r="H1028" s="24">
        <v>0.9575</v>
      </c>
      <c r="I1028" s="114"/>
      <c r="J1028" s="44">
        <v>751661.2</v>
      </c>
      <c r="K1028" s="45"/>
      <c r="L1028" s="46">
        <f t="shared" ref="L1028:L1033" si="547">SUM(J1028/M1028)</f>
        <v>1640</v>
      </c>
      <c r="M1028" s="47">
        <v>458.33</v>
      </c>
      <c r="N1028" s="48">
        <v>7.15</v>
      </c>
      <c r="O1028" s="49">
        <f t="shared" ref="O1028:O1033" si="548">SUM(M1028*N1028)</f>
        <v>3277.0595</v>
      </c>
      <c r="P1028" s="55">
        <f t="shared" si="541"/>
        <v>3277.0595</v>
      </c>
      <c r="Q1028" s="55" t="s">
        <v>91</v>
      </c>
      <c r="R1028" s="80">
        <v>2225.77</v>
      </c>
      <c r="S1028" s="80">
        <v>116.85</v>
      </c>
      <c r="T1028" s="55"/>
      <c r="U1028" s="122">
        <v>420</v>
      </c>
      <c r="V1028" s="80"/>
      <c r="W1028" s="116">
        <f t="shared" si="542"/>
        <v>2762.62</v>
      </c>
      <c r="X1028" s="81"/>
      <c r="Y1028" s="81"/>
      <c r="Z1028" s="81"/>
      <c r="AA1028" s="81">
        <f t="shared" si="543"/>
        <v>0</v>
      </c>
      <c r="AB1028" s="90">
        <v>7.15</v>
      </c>
      <c r="AC1028" s="55">
        <f t="shared" si="544"/>
        <v>0</v>
      </c>
      <c r="AD1028" s="55">
        <f t="shared" si="545"/>
        <v>2762.62</v>
      </c>
      <c r="AE1028" s="55">
        <f t="shared" si="546"/>
        <v>514.4395</v>
      </c>
    </row>
    <row r="1029" customFormat="1" spans="1:31">
      <c r="A1029" s="18" t="s">
        <v>592</v>
      </c>
      <c r="B1029" s="19" t="s">
        <v>593</v>
      </c>
      <c r="C1029" s="22">
        <v>240522000026</v>
      </c>
      <c r="D1029" s="21">
        <v>45510</v>
      </c>
      <c r="E1029" s="21" t="s">
        <v>44</v>
      </c>
      <c r="F1029" s="19" t="s">
        <v>45</v>
      </c>
      <c r="G1029" s="19" t="s">
        <v>92</v>
      </c>
      <c r="H1029" s="24">
        <v>0.3159</v>
      </c>
      <c r="I1029" s="51">
        <v>860.77</v>
      </c>
      <c r="J1029" s="44"/>
      <c r="K1029" s="45"/>
      <c r="L1029" s="46"/>
      <c r="M1029" s="47"/>
      <c r="N1029" s="48"/>
      <c r="O1029" s="49">
        <f>SUM(I1029)</f>
        <v>860.77</v>
      </c>
      <c r="P1029" s="55">
        <f t="shared" si="541"/>
        <v>860.77</v>
      </c>
      <c r="Q1029" s="55" t="s">
        <v>91</v>
      </c>
      <c r="R1029" s="80">
        <v>719.05</v>
      </c>
      <c r="S1029" s="80"/>
      <c r="T1029" s="55">
        <v>12.8</v>
      </c>
      <c r="U1029" s="80"/>
      <c r="V1029" s="80"/>
      <c r="W1029" s="116">
        <f t="shared" si="542"/>
        <v>731.85</v>
      </c>
      <c r="X1029" s="81"/>
      <c r="Y1029" s="81"/>
      <c r="Z1029" s="81"/>
      <c r="AA1029" s="81">
        <f t="shared" si="543"/>
        <v>0</v>
      </c>
      <c r="AB1029" s="90">
        <v>7.15</v>
      </c>
      <c r="AC1029" s="55">
        <f t="shared" si="544"/>
        <v>0</v>
      </c>
      <c r="AD1029" s="55">
        <f t="shared" si="545"/>
        <v>731.85</v>
      </c>
      <c r="AE1029" s="55">
        <f t="shared" si="546"/>
        <v>128.92</v>
      </c>
    </row>
    <row r="1030" customFormat="1" spans="1:31">
      <c r="A1030" s="18" t="s">
        <v>592</v>
      </c>
      <c r="B1030" s="19" t="s">
        <v>593</v>
      </c>
      <c r="C1030" s="22">
        <v>240511000017</v>
      </c>
      <c r="D1030" s="21">
        <v>45510</v>
      </c>
      <c r="E1030" s="21" t="s">
        <v>41</v>
      </c>
      <c r="F1030" s="19" t="s">
        <v>42</v>
      </c>
      <c r="G1030" s="19" t="s">
        <v>93</v>
      </c>
      <c r="H1030" s="117">
        <v>1.525</v>
      </c>
      <c r="I1030" s="51">
        <v>4499.5</v>
      </c>
      <c r="J1030" s="44"/>
      <c r="K1030" s="45"/>
      <c r="L1030" s="46"/>
      <c r="M1030" s="47"/>
      <c r="N1030" s="48"/>
      <c r="O1030" s="49">
        <f>SUM(I1030)</f>
        <v>4499.5</v>
      </c>
      <c r="P1030" s="55">
        <f t="shared" si="541"/>
        <v>4499.5</v>
      </c>
      <c r="Q1030" s="55" t="s">
        <v>91</v>
      </c>
      <c r="R1030" s="80">
        <v>2492.73</v>
      </c>
      <c r="S1030" s="80"/>
      <c r="T1030" s="55">
        <v>62.2</v>
      </c>
      <c r="U1030" s="80"/>
      <c r="V1030" s="80"/>
      <c r="W1030" s="116">
        <f t="shared" si="542"/>
        <v>2554.93</v>
      </c>
      <c r="X1030" s="81"/>
      <c r="Y1030" s="81"/>
      <c r="Z1030" s="81"/>
      <c r="AA1030" s="81">
        <f t="shared" si="543"/>
        <v>0</v>
      </c>
      <c r="AB1030" s="90">
        <v>7.15</v>
      </c>
      <c r="AC1030" s="55">
        <f t="shared" si="544"/>
        <v>0</v>
      </c>
      <c r="AD1030" s="55">
        <f t="shared" si="545"/>
        <v>2554.93</v>
      </c>
      <c r="AE1030" s="55">
        <f t="shared" si="546"/>
        <v>1944.57</v>
      </c>
    </row>
    <row r="1031" customFormat="1" spans="1:31">
      <c r="A1031" s="18" t="s">
        <v>594</v>
      </c>
      <c r="B1031" s="19" t="s">
        <v>595</v>
      </c>
      <c r="C1031" s="22">
        <v>240516000005</v>
      </c>
      <c r="D1031" s="21">
        <v>45510</v>
      </c>
      <c r="E1031" s="21" t="s">
        <v>51</v>
      </c>
      <c r="F1031" s="19" t="s">
        <v>52</v>
      </c>
      <c r="G1031" s="19" t="s">
        <v>596</v>
      </c>
      <c r="H1031" s="117">
        <v>4.0244</v>
      </c>
      <c r="I1031" s="114"/>
      <c r="J1031" s="44">
        <v>3248298.8</v>
      </c>
      <c r="K1031" s="45"/>
      <c r="L1031" s="46">
        <f t="shared" si="547"/>
        <v>1640</v>
      </c>
      <c r="M1031" s="47">
        <v>1980.67</v>
      </c>
      <c r="N1031" s="48">
        <v>7.15</v>
      </c>
      <c r="O1031" s="49">
        <f t="shared" si="548"/>
        <v>14161.7905</v>
      </c>
      <c r="P1031" s="55">
        <f t="shared" si="541"/>
        <v>14161.7905</v>
      </c>
      <c r="Q1031" s="55" t="s">
        <v>91</v>
      </c>
      <c r="R1031" s="80">
        <v>9717.03</v>
      </c>
      <c r="S1031" s="80">
        <v>175.03</v>
      </c>
      <c r="T1031" s="55"/>
      <c r="U1031" s="80">
        <v>1200</v>
      </c>
      <c r="V1031" s="80"/>
      <c r="W1031" s="116">
        <f t="shared" si="542"/>
        <v>11092.06</v>
      </c>
      <c r="X1031" s="81"/>
      <c r="Y1031" s="81"/>
      <c r="Z1031" s="81"/>
      <c r="AA1031" s="81">
        <f t="shared" si="543"/>
        <v>0</v>
      </c>
      <c r="AB1031" s="90">
        <v>7.15</v>
      </c>
      <c r="AC1031" s="55">
        <f t="shared" si="544"/>
        <v>0</v>
      </c>
      <c r="AD1031" s="55">
        <f t="shared" si="545"/>
        <v>11092.06</v>
      </c>
      <c r="AE1031" s="55">
        <f t="shared" si="546"/>
        <v>3069.7305</v>
      </c>
    </row>
    <row r="1032" customFormat="1" ht="54" spans="1:31">
      <c r="A1032" s="18" t="s">
        <v>597</v>
      </c>
      <c r="B1032" s="19" t="s">
        <v>598</v>
      </c>
      <c r="C1032" s="20">
        <v>240514000029</v>
      </c>
      <c r="D1032" s="21">
        <v>45510</v>
      </c>
      <c r="E1032" s="21" t="s">
        <v>57</v>
      </c>
      <c r="F1032" s="19" t="s">
        <v>57</v>
      </c>
      <c r="G1032" s="19" t="s">
        <v>599</v>
      </c>
      <c r="H1032" s="117">
        <v>12.8677</v>
      </c>
      <c r="I1032" s="56">
        <v>33938.05</v>
      </c>
      <c r="J1032" s="44"/>
      <c r="K1032" s="45"/>
      <c r="L1032" s="46"/>
      <c r="M1032" s="120"/>
      <c r="N1032" s="48"/>
      <c r="O1032" s="49">
        <f t="shared" ref="O1032:O1038" si="549">SUBTOTAL(9,I1032)</f>
        <v>33938.05</v>
      </c>
      <c r="P1032" s="55">
        <f t="shared" si="541"/>
        <v>33938.05</v>
      </c>
      <c r="Q1032" s="123" t="s">
        <v>600</v>
      </c>
      <c r="R1032" s="122">
        <v>18564.63</v>
      </c>
      <c r="S1032" s="80"/>
      <c r="T1032" s="55">
        <v>136.5</v>
      </c>
      <c r="U1032" s="80"/>
      <c r="V1032" s="80"/>
      <c r="W1032" s="116">
        <f t="shared" si="542"/>
        <v>18701.13</v>
      </c>
      <c r="X1032" s="81"/>
      <c r="Y1032" s="81"/>
      <c r="Z1032" s="81"/>
      <c r="AA1032" s="81">
        <f t="shared" si="543"/>
        <v>0</v>
      </c>
      <c r="AB1032" s="90">
        <v>7.15</v>
      </c>
      <c r="AC1032" s="55">
        <f t="shared" si="544"/>
        <v>0</v>
      </c>
      <c r="AD1032" s="55">
        <f t="shared" si="545"/>
        <v>18701.13</v>
      </c>
      <c r="AE1032" s="55">
        <f t="shared" si="546"/>
        <v>15236.92</v>
      </c>
    </row>
    <row r="1033" customFormat="1" spans="1:31">
      <c r="A1033" s="18" t="s">
        <v>601</v>
      </c>
      <c r="B1033" s="19" t="s">
        <v>602</v>
      </c>
      <c r="C1033" s="20">
        <v>240327000007</v>
      </c>
      <c r="D1033" s="21">
        <v>45510</v>
      </c>
      <c r="E1033" s="21" t="s">
        <v>51</v>
      </c>
      <c r="F1033" s="19" t="s">
        <v>603</v>
      </c>
      <c r="G1033" s="19" t="s">
        <v>207</v>
      </c>
      <c r="H1033" s="117">
        <v>0.174</v>
      </c>
      <c r="I1033" s="114"/>
      <c r="J1033" s="44">
        <v>91182</v>
      </c>
      <c r="K1033" s="45"/>
      <c r="L1033" s="46">
        <f t="shared" si="547"/>
        <v>1670</v>
      </c>
      <c r="M1033" s="47">
        <v>54.6</v>
      </c>
      <c r="N1033" s="48">
        <v>7.15</v>
      </c>
      <c r="O1033" s="49">
        <f t="shared" si="548"/>
        <v>390.39</v>
      </c>
      <c r="P1033" s="55">
        <f t="shared" si="541"/>
        <v>390.39</v>
      </c>
      <c r="Q1033" s="55" t="s">
        <v>91</v>
      </c>
      <c r="R1033" s="122">
        <v>462.53</v>
      </c>
      <c r="S1033" s="80"/>
      <c r="T1033" s="55"/>
      <c r="U1033" s="80"/>
      <c r="V1033" s="80"/>
      <c r="W1033" s="116">
        <f t="shared" si="542"/>
        <v>462.53</v>
      </c>
      <c r="X1033" s="81"/>
      <c r="Y1033" s="81"/>
      <c r="Z1033" s="81"/>
      <c r="AA1033" s="81">
        <f t="shared" si="543"/>
        <v>0</v>
      </c>
      <c r="AB1033" s="90">
        <v>7.15</v>
      </c>
      <c r="AC1033" s="55">
        <f t="shared" si="544"/>
        <v>0</v>
      </c>
      <c r="AD1033" s="55">
        <f t="shared" si="545"/>
        <v>462.53</v>
      </c>
      <c r="AE1033" s="55">
        <f t="shared" si="546"/>
        <v>-72.1399999999999</v>
      </c>
    </row>
    <row r="1034" customFormat="1" spans="1:31">
      <c r="A1034" s="18" t="s">
        <v>604</v>
      </c>
      <c r="B1034" s="19" t="s">
        <v>605</v>
      </c>
      <c r="C1034" s="20">
        <v>240515000007</v>
      </c>
      <c r="D1034" s="21">
        <v>45510</v>
      </c>
      <c r="E1034" s="21" t="s">
        <v>37</v>
      </c>
      <c r="F1034" s="19" t="s">
        <v>38</v>
      </c>
      <c r="G1034" s="19" t="s">
        <v>66</v>
      </c>
      <c r="H1034" s="117">
        <v>0.1665</v>
      </c>
      <c r="I1034" s="51">
        <v>514.5</v>
      </c>
      <c r="J1034" s="44"/>
      <c r="K1034" s="45"/>
      <c r="L1034" s="46"/>
      <c r="M1034" s="47"/>
      <c r="N1034" s="48"/>
      <c r="O1034" s="49">
        <f t="shared" si="549"/>
        <v>514.5</v>
      </c>
      <c r="P1034" s="55">
        <f t="shared" si="541"/>
        <v>514.5</v>
      </c>
      <c r="Q1034" s="55" t="s">
        <v>91</v>
      </c>
      <c r="R1034" s="122">
        <v>420.26</v>
      </c>
      <c r="S1034" s="80"/>
      <c r="T1034" s="55"/>
      <c r="U1034" s="80"/>
      <c r="V1034" s="80"/>
      <c r="W1034" s="116">
        <f t="shared" si="542"/>
        <v>420.26</v>
      </c>
      <c r="X1034" s="81"/>
      <c r="Y1034" s="81"/>
      <c r="Z1034" s="81"/>
      <c r="AA1034" s="81">
        <f t="shared" si="543"/>
        <v>0</v>
      </c>
      <c r="AB1034" s="90">
        <v>7.15</v>
      </c>
      <c r="AC1034" s="55">
        <f t="shared" si="544"/>
        <v>0</v>
      </c>
      <c r="AD1034" s="55">
        <f t="shared" si="545"/>
        <v>420.26</v>
      </c>
      <c r="AE1034" s="55">
        <f t="shared" si="546"/>
        <v>94.24</v>
      </c>
    </row>
    <row r="1035" customFormat="1" spans="1:31">
      <c r="A1035" s="18" t="s">
        <v>606</v>
      </c>
      <c r="B1035" s="19" t="s">
        <v>607</v>
      </c>
      <c r="C1035" s="20">
        <v>240423000030</v>
      </c>
      <c r="D1035" s="21">
        <v>45510</v>
      </c>
      <c r="E1035" s="21" t="s">
        <v>41</v>
      </c>
      <c r="F1035" s="19" t="s">
        <v>42</v>
      </c>
      <c r="G1035" s="19" t="s">
        <v>93</v>
      </c>
      <c r="H1035" s="117">
        <v>14.2059</v>
      </c>
      <c r="I1035" s="51">
        <v>32157.23</v>
      </c>
      <c r="J1035" s="44"/>
      <c r="K1035" s="45"/>
      <c r="L1035" s="46"/>
      <c r="M1035" s="47"/>
      <c r="N1035" s="48"/>
      <c r="O1035" s="49">
        <f t="shared" si="549"/>
        <v>32157.23</v>
      </c>
      <c r="P1035" s="55">
        <f t="shared" si="541"/>
        <v>32157.23</v>
      </c>
      <c r="Q1035" s="55" t="s">
        <v>91</v>
      </c>
      <c r="R1035" s="122">
        <v>32148.18</v>
      </c>
      <c r="S1035" s="80"/>
      <c r="T1035" s="55"/>
      <c r="U1035" s="80"/>
      <c r="V1035" s="80"/>
      <c r="W1035" s="116">
        <f t="shared" si="542"/>
        <v>32148.18</v>
      </c>
      <c r="X1035" s="81"/>
      <c r="Y1035" s="81"/>
      <c r="Z1035" s="81"/>
      <c r="AA1035" s="81">
        <f t="shared" si="543"/>
        <v>0</v>
      </c>
      <c r="AB1035" s="90">
        <v>7.15</v>
      </c>
      <c r="AC1035" s="55">
        <f t="shared" si="544"/>
        <v>0</v>
      </c>
      <c r="AD1035" s="55">
        <f t="shared" si="545"/>
        <v>32148.18</v>
      </c>
      <c r="AE1035" s="55">
        <f t="shared" si="546"/>
        <v>9.04999999999927</v>
      </c>
    </row>
    <row r="1036" customFormat="1" spans="1:31">
      <c r="A1036" s="18" t="s">
        <v>592</v>
      </c>
      <c r="B1036" s="19" t="s">
        <v>593</v>
      </c>
      <c r="C1036" s="20">
        <v>240521000025</v>
      </c>
      <c r="D1036" s="21">
        <v>45510</v>
      </c>
      <c r="E1036" s="21" t="s">
        <v>37</v>
      </c>
      <c r="F1036" s="19" t="s">
        <v>38</v>
      </c>
      <c r="G1036" s="19" t="s">
        <v>66</v>
      </c>
      <c r="H1036" s="117">
        <v>0.077</v>
      </c>
      <c r="I1036" s="51">
        <v>258</v>
      </c>
      <c r="J1036" s="44"/>
      <c r="K1036" s="45"/>
      <c r="L1036" s="46"/>
      <c r="M1036" s="47"/>
      <c r="N1036" s="48"/>
      <c r="O1036" s="49">
        <f t="shared" si="549"/>
        <v>258</v>
      </c>
      <c r="P1036" s="55">
        <f t="shared" si="541"/>
        <v>258</v>
      </c>
      <c r="Q1036" s="55" t="s">
        <v>91</v>
      </c>
      <c r="R1036" s="122">
        <v>179.65</v>
      </c>
      <c r="S1036" s="80"/>
      <c r="T1036" s="55">
        <v>3</v>
      </c>
      <c r="U1036" s="80"/>
      <c r="V1036" s="80"/>
      <c r="W1036" s="116">
        <f t="shared" si="542"/>
        <v>182.65</v>
      </c>
      <c r="X1036" s="81"/>
      <c r="Y1036" s="81"/>
      <c r="Z1036" s="81"/>
      <c r="AA1036" s="81">
        <f t="shared" si="543"/>
        <v>0</v>
      </c>
      <c r="AB1036" s="90">
        <v>7.15</v>
      </c>
      <c r="AC1036" s="55">
        <f t="shared" si="544"/>
        <v>0</v>
      </c>
      <c r="AD1036" s="55">
        <f t="shared" si="545"/>
        <v>182.65</v>
      </c>
      <c r="AE1036" s="55">
        <f t="shared" si="546"/>
        <v>75.35</v>
      </c>
    </row>
    <row r="1037" customFormat="1" spans="1:31">
      <c r="A1037" s="18" t="s">
        <v>608</v>
      </c>
      <c r="B1037" s="19" t="s">
        <v>609</v>
      </c>
      <c r="C1037" s="20">
        <v>240516000033</v>
      </c>
      <c r="D1037" s="21">
        <v>45510</v>
      </c>
      <c r="E1037" s="21" t="s">
        <v>41</v>
      </c>
      <c r="F1037" s="19" t="s">
        <v>42</v>
      </c>
      <c r="G1037" s="19" t="s">
        <v>610</v>
      </c>
      <c r="H1037" s="117">
        <v>0.6615</v>
      </c>
      <c r="I1037" s="51">
        <v>1995</v>
      </c>
      <c r="J1037" s="44"/>
      <c r="K1037" s="45"/>
      <c r="L1037" s="46"/>
      <c r="M1037" s="47"/>
      <c r="N1037" s="48"/>
      <c r="O1037" s="49">
        <f t="shared" si="549"/>
        <v>1995</v>
      </c>
      <c r="P1037" s="55">
        <f t="shared" si="541"/>
        <v>1995</v>
      </c>
      <c r="Q1037" s="55" t="s">
        <v>91</v>
      </c>
      <c r="R1037" s="122">
        <v>1646.88</v>
      </c>
      <c r="S1037" s="80"/>
      <c r="T1037" s="55"/>
      <c r="U1037" s="80"/>
      <c r="V1037" s="80"/>
      <c r="W1037" s="116">
        <f t="shared" si="542"/>
        <v>1646.88</v>
      </c>
      <c r="X1037" s="81"/>
      <c r="Y1037" s="81"/>
      <c r="Z1037" s="81"/>
      <c r="AA1037" s="81">
        <f t="shared" si="543"/>
        <v>0</v>
      </c>
      <c r="AB1037" s="90">
        <v>7.15</v>
      </c>
      <c r="AC1037" s="55">
        <f t="shared" si="544"/>
        <v>0</v>
      </c>
      <c r="AD1037" s="55">
        <f t="shared" si="545"/>
        <v>1646.88</v>
      </c>
      <c r="AE1037" s="55">
        <f t="shared" si="546"/>
        <v>348.12</v>
      </c>
    </row>
    <row r="1038" customFormat="1" spans="1:31">
      <c r="A1038" s="18" t="s">
        <v>611</v>
      </c>
      <c r="B1038" s="19" t="s">
        <v>612</v>
      </c>
      <c r="C1038" s="20">
        <v>240812000048</v>
      </c>
      <c r="D1038" s="21">
        <v>45510</v>
      </c>
      <c r="E1038" s="21" t="s">
        <v>37</v>
      </c>
      <c r="F1038" s="19" t="s">
        <v>38</v>
      </c>
      <c r="G1038" s="19" t="s">
        <v>613</v>
      </c>
      <c r="H1038" s="117">
        <v>45.9588</v>
      </c>
      <c r="I1038" s="51">
        <v>106474.03</v>
      </c>
      <c r="J1038" s="44"/>
      <c r="K1038" s="45"/>
      <c r="L1038" s="46"/>
      <c r="M1038" s="47"/>
      <c r="N1038" s="48"/>
      <c r="O1038" s="49">
        <f t="shared" si="549"/>
        <v>106474.03</v>
      </c>
      <c r="P1038" s="55">
        <f t="shared" si="541"/>
        <v>106474.03</v>
      </c>
      <c r="Q1038" s="55" t="s">
        <v>91</v>
      </c>
      <c r="R1038" s="122">
        <v>102510.23</v>
      </c>
      <c r="S1038" s="80"/>
      <c r="T1038" s="55"/>
      <c r="U1038" s="80"/>
      <c r="V1038" s="80"/>
      <c r="W1038" s="116">
        <f t="shared" si="542"/>
        <v>102510.23</v>
      </c>
      <c r="X1038" s="81"/>
      <c r="Y1038" s="81"/>
      <c r="Z1038" s="81"/>
      <c r="AA1038" s="81">
        <f t="shared" si="543"/>
        <v>0</v>
      </c>
      <c r="AB1038" s="90">
        <v>7.15</v>
      </c>
      <c r="AC1038" s="55">
        <f t="shared" si="544"/>
        <v>0</v>
      </c>
      <c r="AD1038" s="55">
        <f t="shared" si="545"/>
        <v>102510.23</v>
      </c>
      <c r="AE1038" s="55">
        <f t="shared" si="546"/>
        <v>3963.8</v>
      </c>
    </row>
    <row r="1039" customFormat="1" spans="1:31">
      <c r="A1039" s="18" t="s">
        <v>614</v>
      </c>
      <c r="B1039" s="19" t="s">
        <v>615</v>
      </c>
      <c r="C1039" s="20">
        <v>240527000063</v>
      </c>
      <c r="D1039" s="21">
        <v>45510</v>
      </c>
      <c r="E1039" s="21" t="s">
        <v>41</v>
      </c>
      <c r="F1039" s="19" t="s">
        <v>42</v>
      </c>
      <c r="G1039" s="19" t="s">
        <v>616</v>
      </c>
      <c r="H1039" s="117">
        <v>14.6203</v>
      </c>
      <c r="I1039" s="51"/>
      <c r="J1039" s="44">
        <v>8269637.6</v>
      </c>
      <c r="K1039" s="45"/>
      <c r="L1039" s="46">
        <f t="shared" ref="L1039:L1042" si="550">SUM(J1039/M1039)</f>
        <v>1616</v>
      </c>
      <c r="M1039" s="47">
        <v>5117.35</v>
      </c>
      <c r="N1039" s="48">
        <v>7.15</v>
      </c>
      <c r="O1039" s="49">
        <f t="shared" ref="O1039:O1042" si="551">SUM(M1039*N1039)</f>
        <v>36589.0525</v>
      </c>
      <c r="P1039" s="55">
        <f t="shared" si="541"/>
        <v>36589.0525</v>
      </c>
      <c r="Q1039" s="55" t="s">
        <v>91</v>
      </c>
      <c r="R1039" s="122">
        <v>35220.3</v>
      </c>
      <c r="S1039" s="80"/>
      <c r="T1039" s="55"/>
      <c r="U1039" s="80"/>
      <c r="V1039" s="80"/>
      <c r="W1039" s="116">
        <f t="shared" si="542"/>
        <v>35220.3</v>
      </c>
      <c r="X1039" s="81"/>
      <c r="Y1039" s="81"/>
      <c r="Z1039" s="81"/>
      <c r="AA1039" s="81">
        <f t="shared" si="543"/>
        <v>0</v>
      </c>
      <c r="AB1039" s="90">
        <v>7.15</v>
      </c>
      <c r="AC1039" s="55">
        <f t="shared" si="544"/>
        <v>0</v>
      </c>
      <c r="AD1039" s="55">
        <f t="shared" si="545"/>
        <v>35220.3</v>
      </c>
      <c r="AE1039" s="55">
        <f t="shared" si="546"/>
        <v>1368.7525</v>
      </c>
    </row>
    <row r="1040" customFormat="1" spans="1:31">
      <c r="A1040" s="18" t="s">
        <v>614</v>
      </c>
      <c r="B1040" s="19" t="s">
        <v>615</v>
      </c>
      <c r="C1040" s="20">
        <v>240528000020</v>
      </c>
      <c r="D1040" s="21">
        <v>45510</v>
      </c>
      <c r="E1040" s="21" t="s">
        <v>51</v>
      </c>
      <c r="F1040" s="19" t="s">
        <v>52</v>
      </c>
      <c r="G1040" s="19" t="s">
        <v>96</v>
      </c>
      <c r="H1040" s="117">
        <v>16.8507</v>
      </c>
      <c r="I1040" s="51"/>
      <c r="J1040" s="44"/>
      <c r="K1040" s="47">
        <v>6268</v>
      </c>
      <c r="L1040" s="46">
        <f t="shared" si="550"/>
        <v>0</v>
      </c>
      <c r="M1040" s="47">
        <v>6268</v>
      </c>
      <c r="N1040" s="48">
        <v>7.15</v>
      </c>
      <c r="O1040" s="49">
        <f t="shared" si="551"/>
        <v>44816.2</v>
      </c>
      <c r="P1040" s="55">
        <f t="shared" si="541"/>
        <v>44816.2</v>
      </c>
      <c r="Q1040" s="55" t="s">
        <v>91</v>
      </c>
      <c r="R1040" s="122">
        <v>38019.07</v>
      </c>
      <c r="S1040" s="80"/>
      <c r="T1040" s="55"/>
      <c r="U1040" s="80"/>
      <c r="V1040" s="80"/>
      <c r="W1040" s="116">
        <f t="shared" si="542"/>
        <v>38019.07</v>
      </c>
      <c r="X1040" s="81"/>
      <c r="Y1040" s="81"/>
      <c r="Z1040" s="81"/>
      <c r="AA1040" s="81">
        <f t="shared" si="543"/>
        <v>0</v>
      </c>
      <c r="AB1040" s="90">
        <v>7.15</v>
      </c>
      <c r="AC1040" s="55">
        <f t="shared" si="544"/>
        <v>0</v>
      </c>
      <c r="AD1040" s="55">
        <f t="shared" si="545"/>
        <v>38019.07</v>
      </c>
      <c r="AE1040" s="55">
        <f t="shared" si="546"/>
        <v>6797.13</v>
      </c>
    </row>
    <row r="1041" customFormat="1" spans="1:31">
      <c r="A1041" s="18" t="s">
        <v>617</v>
      </c>
      <c r="B1041" s="19" t="s">
        <v>618</v>
      </c>
      <c r="C1041" s="20">
        <v>240531000010</v>
      </c>
      <c r="D1041" s="21">
        <v>45518</v>
      </c>
      <c r="E1041" s="21" t="s">
        <v>41</v>
      </c>
      <c r="F1041" s="19" t="s">
        <v>42</v>
      </c>
      <c r="G1041" s="19" t="s">
        <v>619</v>
      </c>
      <c r="H1041" s="117">
        <v>8.64</v>
      </c>
      <c r="I1041" s="51">
        <v>30597</v>
      </c>
      <c r="J1041" s="44"/>
      <c r="K1041" s="45"/>
      <c r="L1041" s="46"/>
      <c r="M1041" s="121"/>
      <c r="N1041" s="48"/>
      <c r="O1041" s="49">
        <f t="shared" ref="O1041:O1049" si="552">SUBTOTAL(9,I1041)</f>
        <v>30597</v>
      </c>
      <c r="P1041" s="55">
        <f t="shared" si="541"/>
        <v>30597</v>
      </c>
      <c r="Q1041" s="55" t="s">
        <v>91</v>
      </c>
      <c r="R1041" s="122">
        <v>17099.71</v>
      </c>
      <c r="S1041" s="80"/>
      <c r="T1041" s="55">
        <f t="shared" ref="T1041:T1047" si="553">SUM(533/25.219)*H1041</f>
        <v>182.605178635156</v>
      </c>
      <c r="U1041" s="80"/>
      <c r="V1041" s="80"/>
      <c r="W1041" s="116">
        <f t="shared" si="542"/>
        <v>17282.3151786352</v>
      </c>
      <c r="X1041" s="81"/>
      <c r="Y1041" s="81">
        <v>531.46</v>
      </c>
      <c r="Z1041" s="81">
        <v>461.53</v>
      </c>
      <c r="AA1041" s="81">
        <f t="shared" si="543"/>
        <v>992.99</v>
      </c>
      <c r="AB1041" s="90">
        <v>7.15</v>
      </c>
      <c r="AC1041" s="55">
        <f t="shared" si="544"/>
        <v>7099.8785</v>
      </c>
      <c r="AD1041" s="55">
        <f t="shared" si="545"/>
        <v>24382.1936786352</v>
      </c>
      <c r="AE1041" s="55">
        <f t="shared" si="546"/>
        <v>6214.8063213648</v>
      </c>
    </row>
    <row r="1042" customFormat="1" spans="1:31">
      <c r="A1042" s="18" t="s">
        <v>620</v>
      </c>
      <c r="B1042" s="19" t="s">
        <v>621</v>
      </c>
      <c r="C1042" s="20">
        <v>240530000025</v>
      </c>
      <c r="D1042" s="21">
        <v>45518</v>
      </c>
      <c r="E1042" s="21" t="s">
        <v>44</v>
      </c>
      <c r="F1042" s="19" t="s">
        <v>45</v>
      </c>
      <c r="G1042" s="19" t="s">
        <v>180</v>
      </c>
      <c r="H1042" s="117">
        <v>0.0693</v>
      </c>
      <c r="I1042" s="51"/>
      <c r="J1042" s="44">
        <v>66830</v>
      </c>
      <c r="K1042" s="45"/>
      <c r="L1042" s="46">
        <f t="shared" si="550"/>
        <v>1630</v>
      </c>
      <c r="M1042" s="47">
        <v>41</v>
      </c>
      <c r="N1042" s="48">
        <v>7.15</v>
      </c>
      <c r="O1042" s="49">
        <f t="shared" si="551"/>
        <v>293.15</v>
      </c>
      <c r="P1042" s="55">
        <f t="shared" si="541"/>
        <v>293.15</v>
      </c>
      <c r="Q1042" s="55" t="s">
        <v>91</v>
      </c>
      <c r="R1042" s="122">
        <v>160.81</v>
      </c>
      <c r="S1042" s="80"/>
      <c r="T1042" s="55">
        <f t="shared" si="553"/>
        <v>1.46464570363615</v>
      </c>
      <c r="U1042" s="80"/>
      <c r="V1042" s="80"/>
      <c r="W1042" s="116">
        <f t="shared" si="542"/>
        <v>162.274645703636</v>
      </c>
      <c r="X1042" s="81"/>
      <c r="Y1042" s="81"/>
      <c r="Z1042" s="81"/>
      <c r="AA1042" s="81">
        <f t="shared" si="543"/>
        <v>0</v>
      </c>
      <c r="AB1042" s="90">
        <v>7.15</v>
      </c>
      <c r="AC1042" s="55">
        <f t="shared" si="544"/>
        <v>0</v>
      </c>
      <c r="AD1042" s="55">
        <f t="shared" si="545"/>
        <v>162.274645703636</v>
      </c>
      <c r="AE1042" s="55">
        <f t="shared" si="546"/>
        <v>130.875354296364</v>
      </c>
    </row>
    <row r="1043" customFormat="1" spans="1:31">
      <c r="A1043" s="18" t="s">
        <v>622</v>
      </c>
      <c r="B1043" s="19" t="s">
        <v>623</v>
      </c>
      <c r="C1043" s="20">
        <v>240603000002</v>
      </c>
      <c r="D1043" s="21">
        <v>45518</v>
      </c>
      <c r="E1043" s="21" t="s">
        <v>44</v>
      </c>
      <c r="F1043" s="19" t="s">
        <v>45</v>
      </c>
      <c r="G1043" s="19" t="s">
        <v>92</v>
      </c>
      <c r="H1043" s="117">
        <v>7.2486</v>
      </c>
      <c r="I1043" s="51">
        <v>18953.08</v>
      </c>
      <c r="J1043" s="44"/>
      <c r="K1043" s="45"/>
      <c r="L1043" s="46"/>
      <c r="M1043" s="121"/>
      <c r="N1043" s="48"/>
      <c r="O1043" s="49">
        <f t="shared" si="552"/>
        <v>18953.08</v>
      </c>
      <c r="P1043" s="55">
        <f t="shared" si="541"/>
        <v>18953.08</v>
      </c>
      <c r="Q1043" s="55" t="s">
        <v>91</v>
      </c>
      <c r="R1043" s="122">
        <v>15793.4</v>
      </c>
      <c r="S1043" s="80"/>
      <c r="T1043" s="55">
        <f t="shared" si="553"/>
        <v>153.198136325786</v>
      </c>
      <c r="U1043" s="80">
        <v>250</v>
      </c>
      <c r="V1043" s="80"/>
      <c r="W1043" s="116">
        <f t="shared" si="542"/>
        <v>16196.5981363258</v>
      </c>
      <c r="X1043" s="81"/>
      <c r="Y1043" s="81"/>
      <c r="Z1043" s="81"/>
      <c r="AA1043" s="81">
        <f t="shared" si="543"/>
        <v>0</v>
      </c>
      <c r="AB1043" s="90">
        <v>7.15</v>
      </c>
      <c r="AC1043" s="55">
        <f t="shared" si="544"/>
        <v>0</v>
      </c>
      <c r="AD1043" s="55">
        <f t="shared" si="545"/>
        <v>16196.5981363258</v>
      </c>
      <c r="AE1043" s="55">
        <f t="shared" si="546"/>
        <v>2756.4818636742</v>
      </c>
    </row>
    <row r="1044" customFormat="1" spans="1:31">
      <c r="A1044" s="18" t="s">
        <v>624</v>
      </c>
      <c r="B1044" s="19" t="s">
        <v>625</v>
      </c>
      <c r="C1044" s="20">
        <v>240604000031</v>
      </c>
      <c r="D1044" s="21">
        <v>45518</v>
      </c>
      <c r="E1044" s="21" t="s">
        <v>51</v>
      </c>
      <c r="F1044" s="19" t="s">
        <v>52</v>
      </c>
      <c r="G1044" s="19" t="s">
        <v>352</v>
      </c>
      <c r="H1044" s="117">
        <v>4.0878</v>
      </c>
      <c r="I1044" s="51"/>
      <c r="J1044" s="44">
        <v>2800000</v>
      </c>
      <c r="K1044" s="45"/>
      <c r="L1044" s="46">
        <f>SUM(J1044/M1044)</f>
        <v>1630.865290527</v>
      </c>
      <c r="M1044" s="47">
        <v>1716.88</v>
      </c>
      <c r="N1044" s="48">
        <v>7.15</v>
      </c>
      <c r="O1044" s="49">
        <f>SUM(M1044*N1044)</f>
        <v>12275.692</v>
      </c>
      <c r="P1044" s="55">
        <f t="shared" si="541"/>
        <v>12275.692</v>
      </c>
      <c r="Q1044" s="55" t="s">
        <v>91</v>
      </c>
      <c r="R1044" s="122">
        <v>10540.41</v>
      </c>
      <c r="S1044" s="80"/>
      <c r="T1044" s="55">
        <f t="shared" si="553"/>
        <v>86.3950751417582</v>
      </c>
      <c r="U1044" s="80"/>
      <c r="V1044" s="80"/>
      <c r="W1044" s="116">
        <f t="shared" si="542"/>
        <v>10626.8050751418</v>
      </c>
      <c r="X1044" s="81"/>
      <c r="Y1044" s="81"/>
      <c r="Z1044" s="81"/>
      <c r="AA1044" s="81">
        <f t="shared" si="543"/>
        <v>0</v>
      </c>
      <c r="AB1044" s="90">
        <v>7.15</v>
      </c>
      <c r="AC1044" s="55">
        <f t="shared" si="544"/>
        <v>0</v>
      </c>
      <c r="AD1044" s="55">
        <f t="shared" si="545"/>
        <v>10626.8050751418</v>
      </c>
      <c r="AE1044" s="55">
        <f t="shared" si="546"/>
        <v>1648.8869248582</v>
      </c>
    </row>
    <row r="1045" customFormat="1" spans="1:31">
      <c r="A1045" s="18" t="s">
        <v>626</v>
      </c>
      <c r="B1045" s="19" t="s">
        <v>627</v>
      </c>
      <c r="C1045" s="20">
        <v>240603000030</v>
      </c>
      <c r="D1045" s="21">
        <v>45518</v>
      </c>
      <c r="E1045" s="21" t="s">
        <v>41</v>
      </c>
      <c r="F1045" s="19" t="s">
        <v>42</v>
      </c>
      <c r="G1045" s="19" t="s">
        <v>628</v>
      </c>
      <c r="H1045" s="117">
        <v>2.903</v>
      </c>
      <c r="I1045" s="51">
        <v>8322</v>
      </c>
      <c r="J1045" s="44"/>
      <c r="K1045" s="45"/>
      <c r="L1045" s="46"/>
      <c r="M1045" s="121"/>
      <c r="N1045" s="48"/>
      <c r="O1045" s="49">
        <f t="shared" si="552"/>
        <v>8322</v>
      </c>
      <c r="P1045" s="55">
        <f t="shared" si="541"/>
        <v>8322</v>
      </c>
      <c r="Q1045" s="55" t="s">
        <v>91</v>
      </c>
      <c r="R1045" s="122">
        <v>7101.45</v>
      </c>
      <c r="S1045" s="80"/>
      <c r="T1045" s="55">
        <f t="shared" si="553"/>
        <v>61.3544946270669</v>
      </c>
      <c r="U1045" s="80"/>
      <c r="V1045" s="80"/>
      <c r="W1045" s="116">
        <f t="shared" si="542"/>
        <v>7162.80449462707</v>
      </c>
      <c r="X1045" s="81"/>
      <c r="Y1045" s="81"/>
      <c r="Z1045" s="81"/>
      <c r="AA1045" s="81">
        <f t="shared" si="543"/>
        <v>0</v>
      </c>
      <c r="AB1045" s="90">
        <v>7.15</v>
      </c>
      <c r="AC1045" s="55">
        <f t="shared" si="544"/>
        <v>0</v>
      </c>
      <c r="AD1045" s="55">
        <f t="shared" si="545"/>
        <v>7162.80449462707</v>
      </c>
      <c r="AE1045" s="55">
        <f t="shared" si="546"/>
        <v>1159.19550537293</v>
      </c>
    </row>
    <row r="1046" customFormat="1" spans="1:31">
      <c r="A1046" s="18" t="s">
        <v>629</v>
      </c>
      <c r="B1046" s="19" t="s">
        <v>630</v>
      </c>
      <c r="C1046" s="20">
        <v>240606000021</v>
      </c>
      <c r="D1046" s="21">
        <v>45518</v>
      </c>
      <c r="E1046" s="21" t="s">
        <v>44</v>
      </c>
      <c r="F1046" s="19" t="s">
        <v>45</v>
      </c>
      <c r="G1046" s="19" t="s">
        <v>92</v>
      </c>
      <c r="H1046" s="117">
        <v>0.0824</v>
      </c>
      <c r="I1046" s="51">
        <v>254.45</v>
      </c>
      <c r="J1046" s="44"/>
      <c r="K1046" s="45"/>
      <c r="L1046" s="46"/>
      <c r="M1046" s="121"/>
      <c r="N1046" s="48"/>
      <c r="O1046" s="49">
        <f t="shared" si="552"/>
        <v>254.45</v>
      </c>
      <c r="P1046" s="55">
        <f t="shared" si="541"/>
        <v>254.45</v>
      </c>
      <c r="Q1046" s="55" t="s">
        <v>91</v>
      </c>
      <c r="R1046" s="122">
        <v>156.02</v>
      </c>
      <c r="S1046" s="80"/>
      <c r="T1046" s="55">
        <f t="shared" si="553"/>
        <v>1.74151235179825</v>
      </c>
      <c r="U1046" s="80"/>
      <c r="V1046" s="80"/>
      <c r="W1046" s="116">
        <f t="shared" si="542"/>
        <v>157.761512351798</v>
      </c>
      <c r="X1046" s="81"/>
      <c r="Y1046" s="81"/>
      <c r="Z1046" s="81"/>
      <c r="AA1046" s="81">
        <f t="shared" si="543"/>
        <v>0</v>
      </c>
      <c r="AB1046" s="90">
        <v>7.15</v>
      </c>
      <c r="AC1046" s="55">
        <f t="shared" si="544"/>
        <v>0</v>
      </c>
      <c r="AD1046" s="55">
        <f t="shared" si="545"/>
        <v>157.761512351798</v>
      </c>
      <c r="AE1046" s="55">
        <f t="shared" si="546"/>
        <v>96.688487648202</v>
      </c>
    </row>
    <row r="1047" customFormat="1" spans="1:31">
      <c r="A1047" s="18" t="s">
        <v>631</v>
      </c>
      <c r="B1047" s="19" t="s">
        <v>632</v>
      </c>
      <c r="C1047" s="20">
        <v>240606000022</v>
      </c>
      <c r="D1047" s="21">
        <v>45518</v>
      </c>
      <c r="E1047" s="21" t="s">
        <v>44</v>
      </c>
      <c r="F1047" s="19" t="s">
        <v>45</v>
      </c>
      <c r="G1047" s="19" t="s">
        <v>92</v>
      </c>
      <c r="H1047" s="117">
        <v>2.1879</v>
      </c>
      <c r="I1047" s="51">
        <v>5597.9</v>
      </c>
      <c r="J1047" s="44"/>
      <c r="K1047" s="45"/>
      <c r="L1047" s="46"/>
      <c r="M1047" s="121"/>
      <c r="N1047" s="48"/>
      <c r="O1047" s="49">
        <f t="shared" si="552"/>
        <v>5597.9</v>
      </c>
      <c r="P1047" s="55">
        <f t="shared" si="541"/>
        <v>5597.9</v>
      </c>
      <c r="Q1047" s="55" t="s">
        <v>91</v>
      </c>
      <c r="R1047" s="122">
        <v>5393.2</v>
      </c>
      <c r="S1047" s="80"/>
      <c r="T1047" s="55">
        <f t="shared" si="553"/>
        <v>46.2409572147984</v>
      </c>
      <c r="U1047" s="80"/>
      <c r="V1047" s="80"/>
      <c r="W1047" s="116">
        <f t="shared" si="542"/>
        <v>5439.4409572148</v>
      </c>
      <c r="X1047" s="81"/>
      <c r="Y1047" s="81"/>
      <c r="Z1047" s="81"/>
      <c r="AA1047" s="81">
        <f t="shared" si="543"/>
        <v>0</v>
      </c>
      <c r="AB1047" s="90">
        <v>7.15</v>
      </c>
      <c r="AC1047" s="55">
        <f t="shared" si="544"/>
        <v>0</v>
      </c>
      <c r="AD1047" s="55">
        <f t="shared" si="545"/>
        <v>5439.4409572148</v>
      </c>
      <c r="AE1047" s="55">
        <f t="shared" si="546"/>
        <v>158.4590427852</v>
      </c>
    </row>
    <row r="1048" customFormat="1" spans="1:31">
      <c r="A1048" s="18" t="s">
        <v>611</v>
      </c>
      <c r="B1048" s="19" t="s">
        <v>612</v>
      </c>
      <c r="C1048" s="20">
        <v>240812000048</v>
      </c>
      <c r="D1048" s="21">
        <v>45518</v>
      </c>
      <c r="E1048" s="21" t="s">
        <v>37</v>
      </c>
      <c r="F1048" s="19" t="s">
        <v>38</v>
      </c>
      <c r="G1048" s="19" t="s">
        <v>613</v>
      </c>
      <c r="H1048" s="117">
        <v>0.9108</v>
      </c>
      <c r="I1048" s="51">
        <v>2209.16</v>
      </c>
      <c r="J1048" s="44"/>
      <c r="K1048" s="45"/>
      <c r="L1048" s="46"/>
      <c r="M1048" s="47"/>
      <c r="N1048" s="48"/>
      <c r="O1048" s="49">
        <f t="shared" si="552"/>
        <v>2209.16</v>
      </c>
      <c r="P1048" s="55">
        <f t="shared" si="541"/>
        <v>2209.16</v>
      </c>
      <c r="Q1048" s="55" t="s">
        <v>91</v>
      </c>
      <c r="R1048" s="122">
        <v>2179.06</v>
      </c>
      <c r="S1048" s="80"/>
      <c r="T1048" s="55"/>
      <c r="U1048" s="80"/>
      <c r="V1048" s="80"/>
      <c r="W1048" s="116">
        <f t="shared" si="542"/>
        <v>2179.06</v>
      </c>
      <c r="X1048" s="81"/>
      <c r="Y1048" s="81"/>
      <c r="Z1048" s="81"/>
      <c r="AA1048" s="81">
        <f t="shared" si="543"/>
        <v>0</v>
      </c>
      <c r="AB1048" s="90">
        <v>7.15</v>
      </c>
      <c r="AC1048" s="55">
        <f t="shared" si="544"/>
        <v>0</v>
      </c>
      <c r="AD1048" s="55">
        <f t="shared" si="545"/>
        <v>2179.06</v>
      </c>
      <c r="AE1048" s="55">
        <f t="shared" si="546"/>
        <v>30.0999999999999</v>
      </c>
    </row>
    <row r="1049" customFormat="1" spans="1:31">
      <c r="A1049" s="18" t="s">
        <v>633</v>
      </c>
      <c r="B1049" s="19" t="s">
        <v>634</v>
      </c>
      <c r="C1049" s="20">
        <v>240529000009</v>
      </c>
      <c r="D1049" s="21">
        <v>45518</v>
      </c>
      <c r="E1049" s="21" t="s">
        <v>41</v>
      </c>
      <c r="F1049" s="19" t="s">
        <v>42</v>
      </c>
      <c r="G1049" s="19" t="s">
        <v>635</v>
      </c>
      <c r="H1049" s="117">
        <v>0.0816</v>
      </c>
      <c r="I1049" s="51">
        <v>394</v>
      </c>
      <c r="J1049" s="44"/>
      <c r="K1049" s="45"/>
      <c r="L1049" s="46"/>
      <c r="M1049" s="121"/>
      <c r="N1049" s="48"/>
      <c r="O1049" s="49">
        <f t="shared" si="552"/>
        <v>394</v>
      </c>
      <c r="P1049" s="55">
        <f t="shared" si="541"/>
        <v>394</v>
      </c>
      <c r="Q1049" s="55" t="s">
        <v>91</v>
      </c>
      <c r="R1049" s="122">
        <v>233.31</v>
      </c>
      <c r="S1049" s="80">
        <v>53.34</v>
      </c>
      <c r="T1049" s="55"/>
      <c r="U1049" s="80"/>
      <c r="V1049" s="80"/>
      <c r="W1049" s="116">
        <f t="shared" si="542"/>
        <v>286.65</v>
      </c>
      <c r="X1049" s="81"/>
      <c r="Y1049" s="81"/>
      <c r="Z1049" s="81"/>
      <c r="AA1049" s="81">
        <f t="shared" si="543"/>
        <v>0</v>
      </c>
      <c r="AB1049" s="90">
        <v>7.15</v>
      </c>
      <c r="AC1049" s="55">
        <f t="shared" si="544"/>
        <v>0</v>
      </c>
      <c r="AD1049" s="55">
        <f t="shared" si="545"/>
        <v>286.65</v>
      </c>
      <c r="AE1049" s="55">
        <f t="shared" si="546"/>
        <v>107.35</v>
      </c>
    </row>
    <row r="1050" customFormat="1" spans="1:31">
      <c r="A1050" s="18" t="s">
        <v>636</v>
      </c>
      <c r="B1050" s="19" t="s">
        <v>637</v>
      </c>
      <c r="C1050" s="118">
        <v>240201000025</v>
      </c>
      <c r="D1050" s="21">
        <v>45518</v>
      </c>
      <c r="E1050" s="21" t="s">
        <v>57</v>
      </c>
      <c r="F1050" s="19" t="s">
        <v>57</v>
      </c>
      <c r="G1050" s="19" t="s">
        <v>331</v>
      </c>
      <c r="H1050" s="19">
        <v>5.712</v>
      </c>
      <c r="I1050" s="56">
        <v>0</v>
      </c>
      <c r="J1050" s="52"/>
      <c r="K1050" s="81"/>
      <c r="L1050" s="52"/>
      <c r="M1050" s="45"/>
      <c r="N1050" s="48"/>
      <c r="O1050" s="49">
        <f>SUM(I1050)</f>
        <v>0</v>
      </c>
      <c r="P1050" s="49">
        <f t="shared" si="541"/>
        <v>0</v>
      </c>
      <c r="Q1050" s="124" t="s">
        <v>91</v>
      </c>
      <c r="R1050" s="80">
        <v>328.05</v>
      </c>
      <c r="S1050" s="80"/>
      <c r="T1050" s="55"/>
      <c r="U1050" s="80"/>
      <c r="V1050" s="80"/>
      <c r="W1050" s="116">
        <f t="shared" si="542"/>
        <v>328.05</v>
      </c>
      <c r="X1050" s="81"/>
      <c r="Y1050" s="81"/>
      <c r="Z1050" s="81"/>
      <c r="AA1050" s="81">
        <f t="shared" si="543"/>
        <v>0</v>
      </c>
      <c r="AB1050" s="90">
        <v>7.15</v>
      </c>
      <c r="AC1050" s="55">
        <f t="shared" si="544"/>
        <v>0</v>
      </c>
      <c r="AD1050" s="55">
        <f t="shared" si="545"/>
        <v>328.05</v>
      </c>
      <c r="AE1050" s="55">
        <f t="shared" si="546"/>
        <v>-328.05</v>
      </c>
    </row>
    <row r="1051" customFormat="1" spans="1:31">
      <c r="A1051" s="18" t="s">
        <v>638</v>
      </c>
      <c r="B1051" s="19" t="s">
        <v>639</v>
      </c>
      <c r="C1051" s="20">
        <v>240604000013</v>
      </c>
      <c r="D1051" s="21">
        <v>45518</v>
      </c>
      <c r="E1051" s="21" t="s">
        <v>41</v>
      </c>
      <c r="F1051" s="19" t="s">
        <v>42</v>
      </c>
      <c r="G1051" s="19" t="s">
        <v>148</v>
      </c>
      <c r="H1051" s="117">
        <v>3.1844</v>
      </c>
      <c r="I1051" s="51">
        <v>11300</v>
      </c>
      <c r="J1051" s="44"/>
      <c r="K1051" s="45"/>
      <c r="L1051" s="46"/>
      <c r="M1051" s="121"/>
      <c r="N1051" s="48"/>
      <c r="O1051" s="49">
        <f>SUBTOTAL(9,I1051)</f>
        <v>11300</v>
      </c>
      <c r="P1051" s="55">
        <f t="shared" si="541"/>
        <v>11300</v>
      </c>
      <c r="Q1051" s="55" t="s">
        <v>91</v>
      </c>
      <c r="R1051" s="122">
        <v>7562.19</v>
      </c>
      <c r="S1051" s="80"/>
      <c r="T1051" s="55"/>
      <c r="U1051" s="80"/>
      <c r="V1051" s="80"/>
      <c r="W1051" s="116">
        <f t="shared" si="542"/>
        <v>7562.19</v>
      </c>
      <c r="X1051" s="81"/>
      <c r="Y1051" s="81"/>
      <c r="Z1051" s="81"/>
      <c r="AA1051" s="81">
        <f t="shared" si="543"/>
        <v>0</v>
      </c>
      <c r="AB1051" s="90">
        <v>7.15</v>
      </c>
      <c r="AC1051" s="55">
        <f t="shared" si="544"/>
        <v>0</v>
      </c>
      <c r="AD1051" s="55">
        <f t="shared" si="545"/>
        <v>7562.19</v>
      </c>
      <c r="AE1051" s="55">
        <f t="shared" si="546"/>
        <v>3737.81</v>
      </c>
    </row>
    <row r="1052" customFormat="1" spans="1:31">
      <c r="A1052" s="18" t="s">
        <v>640</v>
      </c>
      <c r="B1052" s="19" t="s">
        <v>641</v>
      </c>
      <c r="C1052" s="20">
        <v>240524000023</v>
      </c>
      <c r="D1052" s="21">
        <v>45518</v>
      </c>
      <c r="E1052" s="21" t="s">
        <v>37</v>
      </c>
      <c r="F1052" s="19" t="s">
        <v>38</v>
      </c>
      <c r="G1052" s="19" t="s">
        <v>103</v>
      </c>
      <c r="H1052" s="117">
        <v>1.2012</v>
      </c>
      <c r="I1052" s="51">
        <v>5779.53</v>
      </c>
      <c r="J1052" s="44"/>
      <c r="K1052" s="45"/>
      <c r="L1052" s="46"/>
      <c r="M1052" s="121"/>
      <c r="N1052" s="48"/>
      <c r="O1052" s="49">
        <f>SUBTOTAL(9,I1052)</f>
        <v>5779.53</v>
      </c>
      <c r="P1052" s="55">
        <f t="shared" si="541"/>
        <v>5779.53</v>
      </c>
      <c r="Q1052" s="55" t="s">
        <v>91</v>
      </c>
      <c r="R1052" s="122">
        <v>2859.98</v>
      </c>
      <c r="S1052" s="80"/>
      <c r="T1052" s="55"/>
      <c r="U1052" s="80"/>
      <c r="V1052" s="80"/>
      <c r="W1052" s="116">
        <f t="shared" si="542"/>
        <v>2859.98</v>
      </c>
      <c r="X1052" s="81"/>
      <c r="Y1052" s="81">
        <v>335.66</v>
      </c>
      <c r="Z1052" s="81"/>
      <c r="AA1052" s="81">
        <f t="shared" si="543"/>
        <v>335.66</v>
      </c>
      <c r="AB1052" s="90">
        <v>7.15</v>
      </c>
      <c r="AC1052" s="55">
        <f t="shared" si="544"/>
        <v>2399.969</v>
      </c>
      <c r="AD1052" s="55">
        <f t="shared" si="545"/>
        <v>5259.949</v>
      </c>
      <c r="AE1052" s="55">
        <f t="shared" si="546"/>
        <v>519.581</v>
      </c>
    </row>
    <row r="1053" customFormat="1" spans="1:31">
      <c r="A1053" s="18" t="s">
        <v>614</v>
      </c>
      <c r="B1053" s="19" t="s">
        <v>615</v>
      </c>
      <c r="C1053" s="20">
        <v>240528000020</v>
      </c>
      <c r="D1053" s="21">
        <v>45518</v>
      </c>
      <c r="E1053" s="21" t="s">
        <v>51</v>
      </c>
      <c r="F1053" s="19" t="s">
        <v>52</v>
      </c>
      <c r="G1053" s="19" t="s">
        <v>96</v>
      </c>
      <c r="H1053" s="117">
        <v>1.1537</v>
      </c>
      <c r="I1053" s="51"/>
      <c r="J1053" s="44"/>
      <c r="K1053" s="47">
        <v>429</v>
      </c>
      <c r="L1053" s="46">
        <f t="shared" ref="L1053:L1056" si="554">SUM(J1053/M1053)</f>
        <v>0</v>
      </c>
      <c r="M1053" s="47">
        <v>429</v>
      </c>
      <c r="N1053" s="48">
        <v>7.15</v>
      </c>
      <c r="O1053" s="49">
        <f t="shared" ref="O1053:O1056" si="555">SUM(M1053*N1053)</f>
        <v>3067.35</v>
      </c>
      <c r="P1053" s="55">
        <f t="shared" si="541"/>
        <v>3067.35</v>
      </c>
      <c r="Q1053" s="55" t="s">
        <v>91</v>
      </c>
      <c r="R1053" s="122">
        <v>2760.031121</v>
      </c>
      <c r="S1053" s="80"/>
      <c r="T1053" s="55">
        <f t="shared" ref="T1053:T1060" si="556">SUM(380/11.2631)*H1053</f>
        <v>38.9240972733972</v>
      </c>
      <c r="U1053" s="80"/>
      <c r="V1053" s="80"/>
      <c r="W1053" s="116">
        <f t="shared" si="542"/>
        <v>2798.9552182734</v>
      </c>
      <c r="X1053" s="81"/>
      <c r="Y1053" s="81">
        <v>35.37</v>
      </c>
      <c r="Z1053" s="81"/>
      <c r="AA1053" s="81">
        <f t="shared" si="543"/>
        <v>35.37</v>
      </c>
      <c r="AB1053" s="90">
        <v>7.15</v>
      </c>
      <c r="AC1053" s="55">
        <f t="shared" si="544"/>
        <v>252.8955</v>
      </c>
      <c r="AD1053" s="55">
        <f t="shared" si="545"/>
        <v>3051.8507182734</v>
      </c>
      <c r="AE1053" s="55">
        <f t="shared" si="546"/>
        <v>15.4992817265997</v>
      </c>
    </row>
    <row r="1054" customFormat="1" spans="1:31">
      <c r="A1054" s="18" t="s">
        <v>614</v>
      </c>
      <c r="B1054" s="19" t="s">
        <v>615</v>
      </c>
      <c r="C1054" s="20">
        <v>240526000002</v>
      </c>
      <c r="D1054" s="21">
        <v>45518</v>
      </c>
      <c r="E1054" s="21" t="s">
        <v>57</v>
      </c>
      <c r="F1054" s="19" t="s">
        <v>57</v>
      </c>
      <c r="G1054" s="19" t="s">
        <v>58</v>
      </c>
      <c r="H1054" s="117">
        <v>0.1035</v>
      </c>
      <c r="I1054" s="51"/>
      <c r="J1054" s="44"/>
      <c r="K1054" s="45"/>
      <c r="L1054" s="46">
        <f t="shared" si="554"/>
        <v>0</v>
      </c>
      <c r="M1054" s="121">
        <v>974.3</v>
      </c>
      <c r="N1054" s="48">
        <v>7.15</v>
      </c>
      <c r="O1054" s="49">
        <f t="shared" si="555"/>
        <v>6966.245</v>
      </c>
      <c r="P1054" s="55">
        <f t="shared" si="541"/>
        <v>6966.245</v>
      </c>
      <c r="Q1054" s="55" t="s">
        <v>91</v>
      </c>
      <c r="R1054" s="122">
        <v>247.606155</v>
      </c>
      <c r="S1054" s="80"/>
      <c r="T1054" s="55">
        <f t="shared" si="556"/>
        <v>3.49193383704309</v>
      </c>
      <c r="U1054" s="80"/>
      <c r="V1054" s="80"/>
      <c r="W1054" s="116">
        <f t="shared" si="542"/>
        <v>251.098088837043</v>
      </c>
      <c r="X1054" s="81"/>
      <c r="Y1054" s="81"/>
      <c r="Z1054" s="81"/>
      <c r="AA1054" s="81">
        <f t="shared" si="543"/>
        <v>0</v>
      </c>
      <c r="AB1054" s="90">
        <v>7.15</v>
      </c>
      <c r="AC1054" s="55">
        <f t="shared" si="544"/>
        <v>0</v>
      </c>
      <c r="AD1054" s="55">
        <f t="shared" si="545"/>
        <v>251.098088837043</v>
      </c>
      <c r="AE1054" s="55">
        <f t="shared" si="546"/>
        <v>6715.14691116296</v>
      </c>
    </row>
    <row r="1055" customFormat="1" spans="1:31">
      <c r="A1055" s="18" t="s">
        <v>614</v>
      </c>
      <c r="B1055" s="19" t="s">
        <v>615</v>
      </c>
      <c r="C1055" s="20">
        <v>240527000051</v>
      </c>
      <c r="D1055" s="21">
        <v>45518</v>
      </c>
      <c r="E1055" s="21" t="s">
        <v>44</v>
      </c>
      <c r="F1055" s="19" t="s">
        <v>45</v>
      </c>
      <c r="G1055" s="19" t="s">
        <v>67</v>
      </c>
      <c r="H1055" s="117">
        <v>1.298</v>
      </c>
      <c r="I1055" s="51"/>
      <c r="J1055" s="44">
        <v>834137</v>
      </c>
      <c r="K1055" s="45"/>
      <c r="L1055" s="46">
        <f t="shared" si="554"/>
        <v>1640.00039322087</v>
      </c>
      <c r="M1055" s="47">
        <v>508.62</v>
      </c>
      <c r="N1055" s="48">
        <v>7.15</v>
      </c>
      <c r="O1055" s="49">
        <f t="shared" si="555"/>
        <v>3636.633</v>
      </c>
      <c r="P1055" s="55">
        <f t="shared" si="541"/>
        <v>3636.633</v>
      </c>
      <c r="Q1055" s="55" t="s">
        <v>91</v>
      </c>
      <c r="R1055" s="122">
        <v>3105.24434</v>
      </c>
      <c r="S1055" s="80"/>
      <c r="T1055" s="55">
        <f t="shared" si="556"/>
        <v>43.79256155055</v>
      </c>
      <c r="U1055" s="80">
        <v>200</v>
      </c>
      <c r="V1055" s="80"/>
      <c r="W1055" s="116">
        <f t="shared" si="542"/>
        <v>3349.03690155055</v>
      </c>
      <c r="X1055" s="81"/>
      <c r="Y1055" s="81"/>
      <c r="Z1055" s="81"/>
      <c r="AA1055" s="81">
        <f t="shared" si="543"/>
        <v>0</v>
      </c>
      <c r="AB1055" s="90">
        <v>7.15</v>
      </c>
      <c r="AC1055" s="55">
        <f t="shared" si="544"/>
        <v>0</v>
      </c>
      <c r="AD1055" s="55">
        <f t="shared" si="545"/>
        <v>3349.03690155055</v>
      </c>
      <c r="AE1055" s="55">
        <f t="shared" si="546"/>
        <v>287.59609844945</v>
      </c>
    </row>
    <row r="1056" customFormat="1" spans="1:31">
      <c r="A1056" s="18" t="s">
        <v>614</v>
      </c>
      <c r="B1056" s="19" t="s">
        <v>615</v>
      </c>
      <c r="C1056" s="20">
        <v>240529000014</v>
      </c>
      <c r="D1056" s="21">
        <v>45518</v>
      </c>
      <c r="E1056" s="21" t="s">
        <v>57</v>
      </c>
      <c r="F1056" s="19" t="s">
        <v>57</v>
      </c>
      <c r="G1056" s="19" t="s">
        <v>642</v>
      </c>
      <c r="H1056" s="117">
        <v>0.6</v>
      </c>
      <c r="I1056" s="51"/>
      <c r="J1056" s="44"/>
      <c r="K1056" s="45"/>
      <c r="L1056" s="46">
        <f t="shared" si="554"/>
        <v>0</v>
      </c>
      <c r="M1056" s="121">
        <v>741.2</v>
      </c>
      <c r="N1056" s="48">
        <v>7.15</v>
      </c>
      <c r="O1056" s="49">
        <f t="shared" si="555"/>
        <v>5299.58</v>
      </c>
      <c r="P1056" s="55">
        <f t="shared" si="541"/>
        <v>5299.58</v>
      </c>
      <c r="Q1056" s="55" t="s">
        <v>91</v>
      </c>
      <c r="R1056" s="122">
        <v>1435.398</v>
      </c>
      <c r="S1056" s="80"/>
      <c r="T1056" s="55">
        <f t="shared" si="556"/>
        <v>20.2430947074962</v>
      </c>
      <c r="U1056" s="80"/>
      <c r="V1056" s="80"/>
      <c r="W1056" s="116">
        <f t="shared" si="542"/>
        <v>1455.6410947075</v>
      </c>
      <c r="X1056" s="81"/>
      <c r="Y1056" s="81"/>
      <c r="Z1056" s="81"/>
      <c r="AA1056" s="81">
        <f t="shared" si="543"/>
        <v>0</v>
      </c>
      <c r="AB1056" s="90">
        <v>7.15</v>
      </c>
      <c r="AC1056" s="55">
        <f t="shared" si="544"/>
        <v>0</v>
      </c>
      <c r="AD1056" s="55">
        <f t="shared" si="545"/>
        <v>1455.6410947075</v>
      </c>
      <c r="AE1056" s="55">
        <f t="shared" si="546"/>
        <v>3843.9389052925</v>
      </c>
    </row>
    <row r="1057" customFormat="1" spans="1:31">
      <c r="A1057" s="18" t="s">
        <v>614</v>
      </c>
      <c r="B1057" s="19" t="s">
        <v>615</v>
      </c>
      <c r="C1057" s="20">
        <v>240523000027</v>
      </c>
      <c r="D1057" s="21">
        <v>45518</v>
      </c>
      <c r="E1057" s="21" t="s">
        <v>44</v>
      </c>
      <c r="F1057" s="19" t="s">
        <v>45</v>
      </c>
      <c r="G1057" s="19" t="s">
        <v>92</v>
      </c>
      <c r="H1057" s="117">
        <v>0.2696</v>
      </c>
      <c r="I1057" s="51">
        <v>726.27</v>
      </c>
      <c r="J1057" s="44"/>
      <c r="K1057" s="45"/>
      <c r="L1057" s="46"/>
      <c r="M1057" s="121"/>
      <c r="N1057" s="48"/>
      <c r="O1057" s="49">
        <f>SUM(I1057)</f>
        <v>726.27</v>
      </c>
      <c r="P1057" s="55">
        <f>SUBTOTAL(9,I1057)</f>
        <v>726.27</v>
      </c>
      <c r="Q1057" s="55" t="s">
        <v>91</v>
      </c>
      <c r="R1057" s="122">
        <v>644.972168</v>
      </c>
      <c r="S1057" s="80"/>
      <c r="T1057" s="55">
        <f t="shared" si="556"/>
        <v>9.09589722190161</v>
      </c>
      <c r="U1057" s="80"/>
      <c r="V1057" s="80"/>
      <c r="W1057" s="116">
        <f t="shared" si="542"/>
        <v>654.068065221902</v>
      </c>
      <c r="X1057" s="81"/>
      <c r="Y1057" s="81"/>
      <c r="Z1057" s="81"/>
      <c r="AA1057" s="81">
        <f t="shared" si="543"/>
        <v>0</v>
      </c>
      <c r="AB1057" s="90">
        <v>7.15</v>
      </c>
      <c r="AC1057" s="55">
        <f t="shared" si="544"/>
        <v>0</v>
      </c>
      <c r="AD1057" s="55">
        <f t="shared" si="545"/>
        <v>654.068065221902</v>
      </c>
      <c r="AE1057" s="55">
        <f t="shared" si="546"/>
        <v>72.201934778098</v>
      </c>
    </row>
    <row r="1058" customFormat="1" spans="1:31">
      <c r="A1058" s="18" t="s">
        <v>614</v>
      </c>
      <c r="B1058" s="19" t="s">
        <v>615</v>
      </c>
      <c r="C1058" s="20">
        <v>240528000029</v>
      </c>
      <c r="D1058" s="21">
        <v>45518</v>
      </c>
      <c r="E1058" s="21" t="s">
        <v>44</v>
      </c>
      <c r="F1058" s="19" t="s">
        <v>45</v>
      </c>
      <c r="G1058" s="19" t="s">
        <v>482</v>
      </c>
      <c r="H1058" s="117">
        <v>0.1423</v>
      </c>
      <c r="I1058" s="51"/>
      <c r="J1058" s="44">
        <v>123000</v>
      </c>
      <c r="K1058" s="45"/>
      <c r="L1058" s="46">
        <f>SUM(J1058/M1058)</f>
        <v>1640</v>
      </c>
      <c r="M1058" s="47">
        <v>75</v>
      </c>
      <c r="N1058" s="48">
        <v>7.15</v>
      </c>
      <c r="O1058" s="49">
        <f>SUM(M1058*N1058)</f>
        <v>536.25</v>
      </c>
      <c r="P1058" s="55">
        <f t="shared" ref="P1058:P1061" si="557">SUM(O1058)</f>
        <v>536.25</v>
      </c>
      <c r="Q1058" s="55" t="s">
        <v>91</v>
      </c>
      <c r="R1058" s="122">
        <v>340.42</v>
      </c>
      <c r="S1058" s="80"/>
      <c r="T1058" s="55">
        <f t="shared" si="556"/>
        <v>4.80098729479451</v>
      </c>
      <c r="U1058" s="80"/>
      <c r="V1058" s="80"/>
      <c r="W1058" s="116">
        <f t="shared" si="542"/>
        <v>345.220987294795</v>
      </c>
      <c r="X1058" s="81"/>
      <c r="Y1058" s="81"/>
      <c r="Z1058" s="81"/>
      <c r="AA1058" s="81">
        <f t="shared" si="543"/>
        <v>0</v>
      </c>
      <c r="AB1058" s="90">
        <v>7.15</v>
      </c>
      <c r="AC1058" s="55">
        <f t="shared" si="544"/>
        <v>0</v>
      </c>
      <c r="AD1058" s="55">
        <f t="shared" si="545"/>
        <v>345.220987294795</v>
      </c>
      <c r="AE1058" s="55">
        <f t="shared" si="546"/>
        <v>191.029012705205</v>
      </c>
    </row>
    <row r="1059" customFormat="1" spans="1:31">
      <c r="A1059" s="18" t="s">
        <v>614</v>
      </c>
      <c r="B1059" s="19" t="s">
        <v>615</v>
      </c>
      <c r="C1059" s="20">
        <v>240524000011</v>
      </c>
      <c r="D1059" s="21">
        <v>45518</v>
      </c>
      <c r="E1059" s="21" t="s">
        <v>57</v>
      </c>
      <c r="F1059" s="19" t="s">
        <v>57</v>
      </c>
      <c r="G1059" s="19" t="s">
        <v>643</v>
      </c>
      <c r="H1059" s="117">
        <v>3.6638</v>
      </c>
      <c r="I1059" s="43"/>
      <c r="J1059" s="44">
        <v>2236626</v>
      </c>
      <c r="K1059" s="45"/>
      <c r="L1059" s="46">
        <f>SUM(J1059/M1059)</f>
        <v>1744.91028241535</v>
      </c>
      <c r="M1059" s="47">
        <v>1281.8</v>
      </c>
      <c r="N1059" s="48">
        <v>7.15</v>
      </c>
      <c r="O1059" s="49">
        <f>SUM(M1059*N1059)</f>
        <v>9164.87</v>
      </c>
      <c r="P1059" s="55">
        <f t="shared" si="557"/>
        <v>9164.87</v>
      </c>
      <c r="Q1059" s="55" t="s">
        <v>91</v>
      </c>
      <c r="R1059" s="122">
        <v>8765.018654</v>
      </c>
      <c r="S1059" s="80"/>
      <c r="T1059" s="55">
        <f t="shared" si="556"/>
        <v>123.611083982207</v>
      </c>
      <c r="U1059" s="80"/>
      <c r="V1059" s="80"/>
      <c r="W1059" s="116">
        <f t="shared" si="542"/>
        <v>8888.62973798221</v>
      </c>
      <c r="X1059" s="81"/>
      <c r="Y1059" s="81"/>
      <c r="Z1059" s="81"/>
      <c r="AA1059" s="81">
        <f t="shared" si="543"/>
        <v>0</v>
      </c>
      <c r="AB1059" s="90">
        <v>7.15</v>
      </c>
      <c r="AC1059" s="55">
        <f t="shared" si="544"/>
        <v>0</v>
      </c>
      <c r="AD1059" s="55">
        <f t="shared" si="545"/>
        <v>8888.62973798221</v>
      </c>
      <c r="AE1059" s="55">
        <f t="shared" si="546"/>
        <v>276.240262017795</v>
      </c>
    </row>
    <row r="1060" customFormat="1" spans="1:31">
      <c r="A1060" s="18" t="s">
        <v>614</v>
      </c>
      <c r="B1060" s="19" t="s">
        <v>615</v>
      </c>
      <c r="C1060" s="20">
        <v>240522000018</v>
      </c>
      <c r="D1060" s="21">
        <v>45518</v>
      </c>
      <c r="E1060" s="21" t="s">
        <v>57</v>
      </c>
      <c r="F1060" s="19" t="s">
        <v>57</v>
      </c>
      <c r="G1060" s="19" t="s">
        <v>349</v>
      </c>
      <c r="H1060" s="117">
        <v>4.1745</v>
      </c>
      <c r="I1060" s="51">
        <v>12095.32</v>
      </c>
      <c r="J1060" s="44"/>
      <c r="K1060" s="45"/>
      <c r="L1060" s="46"/>
      <c r="M1060" s="121"/>
      <c r="N1060" s="48"/>
      <c r="O1060" s="49">
        <f>SUM(I1060)</f>
        <v>12095.32</v>
      </c>
      <c r="P1060" s="55">
        <f>SUBTOTAL(9,I1060)</f>
        <v>12095.32</v>
      </c>
      <c r="Q1060" s="55" t="s">
        <v>91</v>
      </c>
      <c r="R1060" s="122">
        <v>9986.781585</v>
      </c>
      <c r="S1060" s="80"/>
      <c r="T1060" s="55">
        <f t="shared" si="556"/>
        <v>140.841331427405</v>
      </c>
      <c r="U1060" s="80"/>
      <c r="V1060" s="80"/>
      <c r="W1060" s="116">
        <f t="shared" si="542"/>
        <v>10127.6229164274</v>
      </c>
      <c r="X1060" s="81"/>
      <c r="Y1060" s="81"/>
      <c r="Z1060" s="81"/>
      <c r="AA1060" s="81">
        <f t="shared" si="543"/>
        <v>0</v>
      </c>
      <c r="AB1060" s="90">
        <v>7.15</v>
      </c>
      <c r="AC1060" s="55">
        <f t="shared" si="544"/>
        <v>0</v>
      </c>
      <c r="AD1060" s="55">
        <f t="shared" si="545"/>
        <v>10127.6229164274</v>
      </c>
      <c r="AE1060" s="55">
        <f t="shared" si="546"/>
        <v>1967.6970835726</v>
      </c>
    </row>
    <row r="1061" customFormat="1" spans="1:31">
      <c r="A1061" s="18">
        <v>1</v>
      </c>
      <c r="B1061" s="19" t="s">
        <v>644</v>
      </c>
      <c r="C1061" s="20">
        <v>240515000014</v>
      </c>
      <c r="D1061" s="21">
        <v>45519</v>
      </c>
      <c r="E1061" s="21" t="s">
        <v>57</v>
      </c>
      <c r="F1061" s="19" t="s">
        <v>57</v>
      </c>
      <c r="G1061" s="19" t="s">
        <v>645</v>
      </c>
      <c r="H1061" s="117">
        <v>5.7571</v>
      </c>
      <c r="I1061" s="51">
        <v>18500</v>
      </c>
      <c r="J1061" s="44"/>
      <c r="K1061" s="45"/>
      <c r="L1061" s="46"/>
      <c r="M1061" s="121"/>
      <c r="N1061" s="48"/>
      <c r="O1061" s="49">
        <f>SUBTOTAL(9,I1061)</f>
        <v>18500</v>
      </c>
      <c r="P1061" s="55">
        <f t="shared" si="557"/>
        <v>18500</v>
      </c>
      <c r="Q1061" s="55" t="s">
        <v>646</v>
      </c>
      <c r="R1061" s="122">
        <v>16800.9</v>
      </c>
      <c r="S1061" s="80"/>
      <c r="T1061" s="55">
        <v>130.3</v>
      </c>
      <c r="U1061" s="80"/>
      <c r="V1061" s="80"/>
      <c r="W1061" s="116">
        <f t="shared" si="542"/>
        <v>16931.2</v>
      </c>
      <c r="X1061" s="81"/>
      <c r="Y1061" s="81"/>
      <c r="Z1061" s="81"/>
      <c r="AA1061" s="81">
        <f t="shared" si="543"/>
        <v>0</v>
      </c>
      <c r="AB1061" s="90">
        <v>7.15</v>
      </c>
      <c r="AC1061" s="55">
        <f t="shared" si="544"/>
        <v>0</v>
      </c>
      <c r="AD1061" s="55">
        <f t="shared" si="545"/>
        <v>16931.2</v>
      </c>
      <c r="AE1061" s="55">
        <f t="shared" si="546"/>
        <v>1568.8</v>
      </c>
    </row>
    <row r="1062" spans="1:31">
      <c r="A1062" s="119"/>
      <c r="B1062" s="119"/>
      <c r="C1062" s="119"/>
      <c r="D1062" s="119"/>
      <c r="E1062" s="119"/>
      <c r="F1062" s="119"/>
      <c r="G1062" s="119"/>
      <c r="H1062" s="119"/>
      <c r="I1062" s="119"/>
      <c r="J1062" s="119"/>
      <c r="K1062" s="119"/>
      <c r="L1062" s="119"/>
      <c r="M1062" s="119"/>
      <c r="N1062" s="119"/>
      <c r="O1062" s="119"/>
      <c r="P1062" s="119"/>
      <c r="Q1062" s="119"/>
      <c r="R1062" s="119"/>
      <c r="S1062" s="119"/>
      <c r="T1062" s="119"/>
      <c r="U1062" s="119"/>
      <c r="V1062" s="119"/>
      <c r="W1062" s="119"/>
      <c r="X1062" s="119"/>
      <c r="Y1062" s="119"/>
      <c r="Z1062" s="119"/>
      <c r="AA1062" s="119"/>
      <c r="AB1062" s="119"/>
      <c r="AC1062" s="119"/>
      <c r="AD1062" s="119"/>
      <c r="AE1062" s="125">
        <f>SUM(AE4:AE1061)</f>
        <v>513301.399679352</v>
      </c>
    </row>
    <row r="1065" customFormat="1" spans="4:28">
      <c r="D1065" s="2"/>
      <c r="E1065" s="2"/>
      <c r="J1065" s="3"/>
      <c r="K1065" s="4"/>
      <c r="L1065" s="3"/>
      <c r="W1065" s="6"/>
      <c r="X1065" s="4"/>
      <c r="Y1065" s="4"/>
      <c r="Z1065" s="4"/>
      <c r="AA1065" s="4"/>
      <c r="AB1065" s="3"/>
    </row>
    <row r="1066" customFormat="1" spans="4:28">
      <c r="D1066" s="2"/>
      <c r="E1066" s="2"/>
      <c r="J1066" s="3"/>
      <c r="K1066" s="4"/>
      <c r="L1066" s="3"/>
      <c r="W1066" s="6"/>
      <c r="X1066" s="4"/>
      <c r="Y1066" s="4"/>
      <c r="Z1066" s="4"/>
      <c r="AA1066" s="4"/>
      <c r="AB1066" s="3"/>
    </row>
    <row r="1067" customFormat="1" spans="4:28">
      <c r="D1067" s="2"/>
      <c r="E1067" s="2"/>
      <c r="J1067" s="3"/>
      <c r="K1067" s="4"/>
      <c r="L1067" s="3"/>
      <c r="W1067" s="6"/>
      <c r="X1067" s="4"/>
      <c r="Y1067" s="4"/>
      <c r="Z1067" s="4"/>
      <c r="AA1067" s="4"/>
      <c r="AB1067" s="3"/>
    </row>
    <row r="1068" customFormat="1" spans="4:28">
      <c r="D1068" s="2"/>
      <c r="E1068" s="2"/>
      <c r="J1068" s="3"/>
      <c r="K1068" s="4"/>
      <c r="L1068" s="3"/>
      <c r="W1068" s="6"/>
      <c r="X1068" s="4"/>
      <c r="Y1068" s="4"/>
      <c r="Z1068" s="4"/>
      <c r="AA1068" s="4"/>
      <c r="AB1068" s="3"/>
    </row>
    <row r="1069" customFormat="1" spans="4:28">
      <c r="D1069" s="2"/>
      <c r="E1069" s="2"/>
      <c r="J1069" s="3"/>
      <c r="K1069" s="4"/>
      <c r="L1069" s="3"/>
      <c r="W1069" s="6"/>
      <c r="X1069" s="4"/>
      <c r="Y1069" s="4"/>
      <c r="Z1069" s="4"/>
      <c r="AA1069" s="4"/>
      <c r="AB1069" s="3"/>
    </row>
    <row r="1070" customFormat="1" spans="4:28">
      <c r="D1070" s="2"/>
      <c r="E1070" s="2"/>
      <c r="J1070" s="3"/>
      <c r="K1070" s="4"/>
      <c r="L1070" s="3"/>
      <c r="W1070" s="6"/>
      <c r="X1070" s="4"/>
      <c r="Y1070" s="4"/>
      <c r="Z1070" s="4"/>
      <c r="AA1070" s="4"/>
      <c r="AB1070" s="3"/>
    </row>
    <row r="1071" customFormat="1" spans="4:28">
      <c r="D1071" s="2"/>
      <c r="E1071" s="2"/>
      <c r="J1071" s="3"/>
      <c r="K1071" s="4"/>
      <c r="L1071" s="3"/>
      <c r="W1071" s="6"/>
      <c r="X1071" s="4"/>
      <c r="Y1071" s="4"/>
      <c r="Z1071" s="4"/>
      <c r="AA1071" s="4"/>
      <c r="AB1071" s="3"/>
    </row>
    <row r="1072" customFormat="1" spans="4:28">
      <c r="D1072" s="2"/>
      <c r="E1072" s="2"/>
      <c r="J1072" s="3"/>
      <c r="K1072" s="4"/>
      <c r="L1072" s="3"/>
      <c r="W1072" s="6"/>
      <c r="X1072" s="4"/>
      <c r="Y1072" s="4"/>
      <c r="Z1072" s="4"/>
      <c r="AA1072" s="4"/>
      <c r="AB1072" s="3"/>
    </row>
    <row r="1073" customFormat="1" spans="4:28">
      <c r="D1073" s="2"/>
      <c r="E1073" s="2"/>
      <c r="J1073" s="3"/>
      <c r="K1073" s="4"/>
      <c r="L1073" s="3"/>
      <c r="W1073" s="6"/>
      <c r="X1073" s="4"/>
      <c r="Y1073" s="4"/>
      <c r="Z1073" s="4"/>
      <c r="AA1073" s="4"/>
      <c r="AB1073" s="3"/>
    </row>
    <row r="1074" customFormat="1" spans="4:28">
      <c r="D1074" s="2"/>
      <c r="E1074" s="2"/>
      <c r="J1074" s="3"/>
      <c r="K1074" s="4"/>
      <c r="L1074" s="3"/>
      <c r="W1074" s="6"/>
      <c r="X1074" s="4"/>
      <c r="Y1074" s="4"/>
      <c r="Z1074" s="4"/>
      <c r="AA1074" s="4"/>
      <c r="AB1074" s="3"/>
    </row>
    <row r="1075" customFormat="1" spans="4:28">
      <c r="D1075" s="2"/>
      <c r="E1075" s="2"/>
      <c r="J1075" s="3"/>
      <c r="K1075" s="4"/>
      <c r="L1075" s="3"/>
      <c r="W1075" s="6"/>
      <c r="X1075" s="4"/>
      <c r="Y1075" s="4"/>
      <c r="Z1075" s="4"/>
      <c r="AA1075" s="4"/>
      <c r="AB1075" s="3"/>
    </row>
    <row r="1076" customFormat="1" spans="4:28">
      <c r="D1076" s="2"/>
      <c r="E1076" s="2"/>
      <c r="J1076" s="3"/>
      <c r="K1076" s="4"/>
      <c r="L1076" s="3"/>
      <c r="W1076" s="6"/>
      <c r="X1076" s="4"/>
      <c r="Y1076" s="4"/>
      <c r="Z1076" s="4"/>
      <c r="AA1076" s="4"/>
      <c r="AB1076" s="3"/>
    </row>
    <row r="1077" customFormat="1" spans="4:28">
      <c r="D1077" s="2"/>
      <c r="E1077" s="2"/>
      <c r="J1077" s="3"/>
      <c r="K1077" s="4"/>
      <c r="L1077" s="3"/>
      <c r="W1077" s="6"/>
      <c r="X1077" s="4"/>
      <c r="Y1077" s="4"/>
      <c r="Z1077" s="4"/>
      <c r="AA1077" s="4"/>
      <c r="AB1077" s="3"/>
    </row>
    <row r="1078" customFormat="1" spans="4:28">
      <c r="D1078" s="2"/>
      <c r="E1078" s="2"/>
      <c r="J1078" s="3"/>
      <c r="K1078" s="4"/>
      <c r="L1078" s="3"/>
      <c r="W1078" s="6"/>
      <c r="X1078" s="4"/>
      <c r="Y1078" s="4"/>
      <c r="Z1078" s="4"/>
      <c r="AA1078" s="4"/>
      <c r="AB1078" s="3"/>
    </row>
    <row r="1079" customFormat="1" spans="4:28">
      <c r="D1079" s="2"/>
      <c r="E1079" s="2"/>
      <c r="J1079" s="3"/>
      <c r="K1079" s="4"/>
      <c r="L1079" s="3"/>
      <c r="W1079" s="6"/>
      <c r="X1079" s="4"/>
      <c r="Y1079" s="4"/>
      <c r="Z1079" s="4"/>
      <c r="AA1079" s="4"/>
      <c r="AB1079" s="3"/>
    </row>
    <row r="1080" customFormat="1" spans="4:28">
      <c r="D1080" s="2"/>
      <c r="E1080" s="2"/>
      <c r="J1080" s="3"/>
      <c r="K1080" s="4"/>
      <c r="L1080" s="3"/>
      <c r="W1080" s="6"/>
      <c r="X1080" s="4"/>
      <c r="Y1080" s="4"/>
      <c r="Z1080" s="4"/>
      <c r="AA1080" s="4"/>
      <c r="AB1080" s="3"/>
    </row>
    <row r="1081" customFormat="1" spans="4:28">
      <c r="D1081" s="2"/>
      <c r="E1081" s="2"/>
      <c r="J1081" s="3"/>
      <c r="K1081" s="4"/>
      <c r="L1081" s="3"/>
      <c r="W1081" s="6"/>
      <c r="X1081" s="4"/>
      <c r="Y1081" s="4"/>
      <c r="Z1081" s="4"/>
      <c r="AA1081" s="4"/>
      <c r="AB1081" s="3"/>
    </row>
    <row r="1082" customFormat="1" spans="4:28">
      <c r="D1082" s="2"/>
      <c r="E1082" s="2"/>
      <c r="J1082" s="3"/>
      <c r="K1082" s="4"/>
      <c r="L1082" s="3"/>
      <c r="W1082" s="6"/>
      <c r="X1082" s="4"/>
      <c r="Y1082" s="4"/>
      <c r="Z1082" s="4"/>
      <c r="AA1082" s="4"/>
      <c r="AB1082" s="3"/>
    </row>
    <row r="1083" customFormat="1" spans="4:28">
      <c r="D1083" s="2"/>
      <c r="E1083" s="2"/>
      <c r="J1083" s="3"/>
      <c r="K1083" s="4"/>
      <c r="L1083" s="3"/>
      <c r="W1083" s="6"/>
      <c r="X1083" s="4"/>
      <c r="Y1083" s="4"/>
      <c r="Z1083" s="4"/>
      <c r="AA1083" s="4"/>
      <c r="AB1083" s="3"/>
    </row>
    <row r="1084" customFormat="1" spans="4:28">
      <c r="D1084" s="2"/>
      <c r="E1084" s="2"/>
      <c r="J1084" s="3"/>
      <c r="K1084" s="4"/>
      <c r="L1084" s="3"/>
      <c r="W1084" s="6"/>
      <c r="X1084" s="4"/>
      <c r="Y1084" s="4"/>
      <c r="Z1084" s="4"/>
      <c r="AA1084" s="4"/>
      <c r="AB1084" s="3"/>
    </row>
    <row r="1085" customFormat="1" spans="4:28">
      <c r="D1085" s="2"/>
      <c r="E1085" s="2"/>
      <c r="J1085" s="3"/>
      <c r="K1085" s="4"/>
      <c r="L1085" s="3"/>
      <c r="W1085" s="6"/>
      <c r="X1085" s="4"/>
      <c r="Y1085" s="4"/>
      <c r="Z1085" s="4"/>
      <c r="AA1085" s="4"/>
      <c r="AB1085" s="3"/>
    </row>
    <row r="1086" customFormat="1" spans="4:28">
      <c r="D1086" s="2"/>
      <c r="E1086" s="2"/>
      <c r="J1086" s="3"/>
      <c r="K1086" s="4"/>
      <c r="L1086" s="3"/>
      <c r="W1086" s="6"/>
      <c r="X1086" s="4"/>
      <c r="Y1086" s="4"/>
      <c r="Z1086" s="4"/>
      <c r="AA1086" s="4"/>
      <c r="AB1086" s="3"/>
    </row>
    <row r="1087" customFormat="1" spans="4:28">
      <c r="D1087" s="2"/>
      <c r="E1087" s="2"/>
      <c r="J1087" s="3"/>
      <c r="K1087" s="4"/>
      <c r="L1087" s="3"/>
      <c r="W1087" s="6"/>
      <c r="X1087" s="4"/>
      <c r="Y1087" s="4"/>
      <c r="Z1087" s="4"/>
      <c r="AA1087" s="4"/>
      <c r="AB1087" s="3"/>
    </row>
    <row r="1088" customFormat="1" spans="4:28">
      <c r="D1088" s="2"/>
      <c r="E1088" s="2"/>
      <c r="J1088" s="3"/>
      <c r="K1088" s="4"/>
      <c r="L1088" s="3"/>
      <c r="W1088" s="6"/>
      <c r="X1088" s="4"/>
      <c r="Y1088" s="4"/>
      <c r="Z1088" s="4"/>
      <c r="AA1088" s="4"/>
      <c r="AB1088" s="3"/>
    </row>
    <row r="1089" customFormat="1" spans="4:28">
      <c r="D1089" s="2"/>
      <c r="E1089" s="2"/>
      <c r="J1089" s="3"/>
      <c r="K1089" s="4"/>
      <c r="L1089" s="3"/>
      <c r="W1089" s="6"/>
      <c r="X1089" s="4"/>
      <c r="Y1089" s="4"/>
      <c r="Z1089" s="4"/>
      <c r="AA1089" s="4"/>
      <c r="AB1089" s="3"/>
    </row>
    <row r="1090" customFormat="1" spans="4:28">
      <c r="D1090" s="2"/>
      <c r="E1090" s="2"/>
      <c r="J1090" s="3"/>
      <c r="K1090" s="4"/>
      <c r="L1090" s="3"/>
      <c r="W1090" s="6"/>
      <c r="X1090" s="4"/>
      <c r="Y1090" s="4"/>
      <c r="Z1090" s="4"/>
      <c r="AA1090" s="4"/>
      <c r="AB1090" s="3"/>
    </row>
    <row r="1091" customFormat="1" spans="4:28">
      <c r="D1091" s="2"/>
      <c r="E1091" s="2"/>
      <c r="J1091" s="3"/>
      <c r="K1091" s="4"/>
      <c r="L1091" s="3"/>
      <c r="W1091" s="6"/>
      <c r="X1091" s="4"/>
      <c r="Y1091" s="4"/>
      <c r="Z1091" s="4"/>
      <c r="AA1091" s="4"/>
      <c r="AB1091" s="3"/>
    </row>
    <row r="1092" customFormat="1" spans="4:28">
      <c r="D1092" s="2"/>
      <c r="E1092" s="2"/>
      <c r="J1092" s="3"/>
      <c r="K1092" s="4"/>
      <c r="L1092" s="3"/>
      <c r="W1092" s="6"/>
      <c r="X1092" s="4"/>
      <c r="Y1092" s="4"/>
      <c r="Z1092" s="4"/>
      <c r="AA1092" s="4"/>
      <c r="AB1092" s="3"/>
    </row>
    <row r="1093" customFormat="1" spans="4:28">
      <c r="D1093" s="2"/>
      <c r="E1093" s="2"/>
      <c r="J1093" s="3"/>
      <c r="K1093" s="4"/>
      <c r="L1093" s="3"/>
      <c r="W1093" s="6"/>
      <c r="X1093" s="4"/>
      <c r="Y1093" s="4"/>
      <c r="Z1093" s="4"/>
      <c r="AA1093" s="4"/>
      <c r="AB1093" s="3"/>
    </row>
    <row r="1094" customFormat="1" spans="4:28">
      <c r="D1094" s="2"/>
      <c r="E1094" s="2"/>
      <c r="J1094" s="3"/>
      <c r="K1094" s="4"/>
      <c r="L1094" s="3"/>
      <c r="W1094" s="6"/>
      <c r="X1094" s="4"/>
      <c r="Y1094" s="4"/>
      <c r="Z1094" s="4"/>
      <c r="AA1094" s="4"/>
      <c r="AB1094" s="3"/>
    </row>
    <row r="1095" customFormat="1" spans="4:28">
      <c r="D1095" s="2"/>
      <c r="E1095" s="2"/>
      <c r="J1095" s="3"/>
      <c r="K1095" s="4"/>
      <c r="L1095" s="3"/>
      <c r="W1095" s="6"/>
      <c r="X1095" s="4"/>
      <c r="Y1095" s="4"/>
      <c r="Z1095" s="4"/>
      <c r="AA1095" s="4"/>
      <c r="AB1095" s="3"/>
    </row>
    <row r="1096" customFormat="1" spans="4:28">
      <c r="D1096" s="2"/>
      <c r="E1096" s="2"/>
      <c r="J1096" s="3"/>
      <c r="K1096" s="4"/>
      <c r="L1096" s="3"/>
      <c r="W1096" s="6"/>
      <c r="X1096" s="4"/>
      <c r="Y1096" s="4"/>
      <c r="Z1096" s="4"/>
      <c r="AA1096" s="4"/>
      <c r="AB1096" s="3"/>
    </row>
    <row r="1097" customFormat="1" spans="4:28">
      <c r="D1097" s="2"/>
      <c r="E1097" s="2"/>
      <c r="J1097" s="3"/>
      <c r="K1097" s="4"/>
      <c r="L1097" s="3"/>
      <c r="W1097" s="6"/>
      <c r="X1097" s="4"/>
      <c r="Y1097" s="4"/>
      <c r="Z1097" s="4"/>
      <c r="AA1097" s="4"/>
      <c r="AB1097" s="3"/>
    </row>
  </sheetData>
  <autoFilter xmlns:etc="http://www.wps.cn/officeDocument/2017/etCustomData" ref="A2:AE1062" etc:filterBottomFollowUsedRange="0">
    <extLst/>
  </autoFilter>
  <mergeCells count="142">
    <mergeCell ref="A1:AE1"/>
    <mergeCell ref="I2:O2"/>
    <mergeCell ref="Q2:U2"/>
    <mergeCell ref="X2:AC2"/>
    <mergeCell ref="A2:A3"/>
    <mergeCell ref="A4:A38"/>
    <mergeCell ref="A39:A46"/>
    <mergeCell ref="A47:A66"/>
    <mergeCell ref="A67:A72"/>
    <mergeCell ref="A73:A122"/>
    <mergeCell ref="A123:A130"/>
    <mergeCell ref="A131:A154"/>
    <mergeCell ref="A155:A158"/>
    <mergeCell ref="A159:A199"/>
    <mergeCell ref="A200:A209"/>
    <mergeCell ref="A210:A245"/>
    <mergeCell ref="A246:A286"/>
    <mergeCell ref="A287:A328"/>
    <mergeCell ref="A330:A354"/>
    <mergeCell ref="A355:A420"/>
    <mergeCell ref="A421:A430"/>
    <mergeCell ref="A432:A478"/>
    <mergeCell ref="A479:A548"/>
    <mergeCell ref="A549:A558"/>
    <mergeCell ref="A559:A568"/>
    <mergeCell ref="A569:A572"/>
    <mergeCell ref="A573:A623"/>
    <mergeCell ref="A624:A631"/>
    <mergeCell ref="A632:A645"/>
    <mergeCell ref="A646:A691"/>
    <mergeCell ref="A692:A765"/>
    <mergeCell ref="A766:A803"/>
    <mergeCell ref="A804:A849"/>
    <mergeCell ref="A850:A882"/>
    <mergeCell ref="A883:A936"/>
    <mergeCell ref="A937:A962"/>
    <mergeCell ref="A963:A1021"/>
    <mergeCell ref="B2:B3"/>
    <mergeCell ref="B4:B38"/>
    <mergeCell ref="B39:B46"/>
    <mergeCell ref="B47:B66"/>
    <mergeCell ref="B67:B72"/>
    <mergeCell ref="B73:B122"/>
    <mergeCell ref="B123:B130"/>
    <mergeCell ref="B131:B154"/>
    <mergeCell ref="B155:B158"/>
    <mergeCell ref="B159:B199"/>
    <mergeCell ref="B200:B209"/>
    <mergeCell ref="B210:B245"/>
    <mergeCell ref="B246:B286"/>
    <mergeCell ref="B287:B328"/>
    <mergeCell ref="B330:B354"/>
    <mergeCell ref="B355:B420"/>
    <mergeCell ref="B421:B430"/>
    <mergeCell ref="B432:B478"/>
    <mergeCell ref="B479:B548"/>
    <mergeCell ref="B549:B558"/>
    <mergeCell ref="B559:B568"/>
    <mergeCell ref="B569:B572"/>
    <mergeCell ref="B573:B623"/>
    <mergeCell ref="B624:B631"/>
    <mergeCell ref="B632:B645"/>
    <mergeCell ref="B646:B691"/>
    <mergeCell ref="B692:B765"/>
    <mergeCell ref="B766:B803"/>
    <mergeCell ref="B804:B849"/>
    <mergeCell ref="B850:B882"/>
    <mergeCell ref="B883:B936"/>
    <mergeCell ref="B937:B962"/>
    <mergeCell ref="B963:B1021"/>
    <mergeCell ref="C2:C3"/>
    <mergeCell ref="D2:D3"/>
    <mergeCell ref="E2:E3"/>
    <mergeCell ref="F2:F3"/>
    <mergeCell ref="G2:G3"/>
    <mergeCell ref="H2:H3"/>
    <mergeCell ref="P2:P3"/>
    <mergeCell ref="P4:P38"/>
    <mergeCell ref="P39:P46"/>
    <mergeCell ref="P67:P72"/>
    <mergeCell ref="P73:P122"/>
    <mergeCell ref="P123:P130"/>
    <mergeCell ref="P131:P154"/>
    <mergeCell ref="P155:P158"/>
    <mergeCell ref="P159:P199"/>
    <mergeCell ref="P200:P209"/>
    <mergeCell ref="P210:P245"/>
    <mergeCell ref="P246:P286"/>
    <mergeCell ref="P287:P328"/>
    <mergeCell ref="P330:P354"/>
    <mergeCell ref="P355:P420"/>
    <mergeCell ref="P421:P430"/>
    <mergeCell ref="P432:P478"/>
    <mergeCell ref="P479:P548"/>
    <mergeCell ref="P549:P558"/>
    <mergeCell ref="P559:P568"/>
    <mergeCell ref="P569:P572"/>
    <mergeCell ref="P573:P623"/>
    <mergeCell ref="P624:P631"/>
    <mergeCell ref="P632:P645"/>
    <mergeCell ref="P646:P691"/>
    <mergeCell ref="P692:P765"/>
    <mergeCell ref="P766:P803"/>
    <mergeCell ref="P804:P849"/>
    <mergeCell ref="P850:P882"/>
    <mergeCell ref="P883:P936"/>
    <mergeCell ref="P937:P962"/>
    <mergeCell ref="P963:P1021"/>
    <mergeCell ref="Q4:Q38"/>
    <mergeCell ref="Q39:Q46"/>
    <mergeCell ref="Q67:Q72"/>
    <mergeCell ref="Q73:Q122"/>
    <mergeCell ref="Q123:Q130"/>
    <mergeCell ref="Q131:Q154"/>
    <mergeCell ref="Q155:Q158"/>
    <mergeCell ref="Q159:Q199"/>
    <mergeCell ref="Q200:Q209"/>
    <mergeCell ref="Q210:Q245"/>
    <mergeCell ref="Q246:Q286"/>
    <mergeCell ref="Q287:Q328"/>
    <mergeCell ref="Q330:Q354"/>
    <mergeCell ref="Q355:Q420"/>
    <mergeCell ref="Q421:Q430"/>
    <mergeCell ref="Q432:Q478"/>
    <mergeCell ref="Q479:Q548"/>
    <mergeCell ref="Q549:Q558"/>
    <mergeCell ref="Q559:Q568"/>
    <mergeCell ref="Q569:Q572"/>
    <mergeCell ref="Q573:Q623"/>
    <mergeCell ref="Q624:Q631"/>
    <mergeCell ref="Q632:Q645"/>
    <mergeCell ref="Q646:Q691"/>
    <mergeCell ref="Q692:Q765"/>
    <mergeCell ref="Q766:Q803"/>
    <mergeCell ref="Q804:Q849"/>
    <mergeCell ref="Q850:Q882"/>
    <mergeCell ref="Q883:Q936"/>
    <mergeCell ref="Q937:Q962"/>
    <mergeCell ref="Q963:Q1021"/>
    <mergeCell ref="V2:V3"/>
    <mergeCell ref="W2:W3"/>
    <mergeCell ref="AE2:AE3"/>
  </mergeCells>
  <pageMargins left="0.75" right="0.75" top="1" bottom="1" header="0.5" footer="0.5"/>
  <pageSetup paperSize="9" orientation="portrait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刘劭勇</cp:lastModifiedBy>
  <dcterms:created xsi:type="dcterms:W3CDTF">2020-12-16T06:30:00Z</dcterms:created>
  <dcterms:modified xsi:type="dcterms:W3CDTF">2025-07-21T09:00:30Z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5B5154A60FF74DFC8ED3EF61905B62BC</vt:lpwstr>
  </property>
  <property fmtid="{D5CDD505-2E9C-101B-9397-08002B2CF9AE}" pid="4" name="commondata">
    <vt:lpwstr>eyJoZGlkIjoiYTYxNDVjYTE0NTdmMWZiNThiMzQ1NGY2ZWQwODMwZTQifQ==</vt:lpwstr>
  </property>
</Properties>
</file>