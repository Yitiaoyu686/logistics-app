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tabRatio="897" activeTab="7"/>
  </bookViews>
  <sheets>
    <sheet name="6月份" sheetId="34" r:id="rId1"/>
    <sheet name="7月份" sheetId="35" r:id="rId2"/>
    <sheet name="8月份" sheetId="36" r:id="rId3"/>
    <sheet name="9月份" sheetId="37" r:id="rId4"/>
    <sheet name="10月份" sheetId="38" r:id="rId5"/>
    <sheet name="11月份" sheetId="39" r:id="rId6"/>
    <sheet name="12月份" sheetId="40" r:id="rId7"/>
    <sheet name="应收统计表" sheetId="9" r:id="rId8"/>
    <sheet name="24年6-12月份利润表" sheetId="42" r:id="rId9"/>
    <sheet name="利润总额" sheetId="43" r:id="rId10"/>
    <sheet name="日常经营汇总" sheetId="44" r:id="rId11"/>
    <sheet name="经营-明细" sheetId="45" r:id="rId12"/>
  </sheets>
  <definedNames>
    <definedName name="_xlnm._FilterDatabase" localSheetId="0" hidden="1">'6月份'!$H$4:$K$33</definedName>
    <definedName name="_xlnm._FilterDatabase" localSheetId="1" hidden="1">'7月份'!$H$3:$K$73</definedName>
    <definedName name="_xlnm._FilterDatabase" localSheetId="2" hidden="1">'8月份'!$H$4:$K$115</definedName>
    <definedName name="_xlnm._FilterDatabase" localSheetId="3" hidden="1">'9月份'!$H$4:$K$109</definedName>
    <definedName name="_xlnm._FilterDatabase" localSheetId="4" hidden="1">'10月份'!$H$4:$K$202</definedName>
    <definedName name="_xlnm._FilterDatabase" localSheetId="5" hidden="1">'11月份'!$H$4:$K$9</definedName>
    <definedName name="_xlnm._FilterDatabase" localSheetId="6" hidden="1">'12月份'!$H$4:$K$288</definedName>
    <definedName name="_xlnm.Print_Area" localSheetId="7">应收统计表!$A$1:$G$3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I6" authorId="0">
      <text>
        <r>
          <rPr>
            <sz val="9"/>
            <rFont val="宋体"/>
            <charset val="134"/>
          </rPr>
          <t xml:space="preserve">到付USD1357.26转预付9711.62.
</t>
        </r>
      </text>
    </comment>
    <comment ref="I7" authorId="0">
      <text>
        <r>
          <rPr>
            <sz val="9"/>
            <rFont val="宋体"/>
            <charset val="134"/>
          </rPr>
          <t xml:space="preserve">到付USD233.64转预付1701.18
</t>
        </r>
      </text>
    </comment>
    <comment ref="I8" authorId="0">
      <text>
        <r>
          <rPr>
            <sz val="9"/>
            <rFont val="宋体"/>
            <charset val="134"/>
          </rPr>
          <t xml:space="preserve">到付USD1423.84转预付10251.65
</t>
        </r>
      </text>
    </comment>
    <comment ref="I10" authorId="0">
      <text>
        <r>
          <rPr>
            <sz val="9"/>
            <rFont val="宋体"/>
            <charset val="134"/>
          </rPr>
          <t xml:space="preserve">到付USD3387.24转预付30088.
</t>
        </r>
      </text>
    </comment>
    <comment ref="M11" authorId="0">
      <text>
        <r>
          <rPr>
            <sz val="9"/>
            <rFont val="宋体"/>
            <charset val="134"/>
          </rPr>
          <t xml:space="preserve">预付1154转到付USD159.39
</t>
        </r>
      </text>
    </comment>
    <comment ref="I12" authorId="0">
      <text>
        <r>
          <rPr>
            <sz val="9"/>
            <rFont val="宋体"/>
            <charset val="134"/>
          </rPr>
          <t xml:space="preserve">到付USD786.85转预付5586.
</t>
        </r>
      </text>
    </comment>
    <comment ref="I13" authorId="0">
      <text>
        <r>
          <rPr>
            <sz val="9"/>
            <rFont val="宋体"/>
            <charset val="134"/>
          </rPr>
          <t xml:space="preserve">到付6225.88转预付44822.88.
</t>
        </r>
      </text>
    </comment>
    <comment ref="I14" authorId="0">
      <text>
        <r>
          <rPr>
            <sz val="9"/>
            <rFont val="宋体"/>
            <charset val="134"/>
          </rPr>
          <t xml:space="preserve">到付USD1491.91转预付10081.3
</t>
        </r>
      </text>
    </comment>
    <comment ref="I15" authorId="0">
      <text>
        <r>
          <rPr>
            <sz val="9"/>
            <rFont val="宋体"/>
            <charset val="134"/>
          </rPr>
          <t xml:space="preserve">到付USD59.14LFNY 预付426.
</t>
        </r>
      </text>
    </comment>
    <comment ref="I18" authorId="0">
      <text>
        <r>
          <rPr>
            <b/>
            <sz val="9"/>
            <rFont val="宋体"/>
            <charset val="134"/>
          </rPr>
          <t>3到付USD4987.8转预付35563.01</t>
        </r>
        <r>
          <rPr>
            <sz val="9"/>
            <rFont val="宋体"/>
            <charset val="134"/>
          </rPr>
          <t xml:space="preserve">
</t>
        </r>
      </text>
    </comment>
    <comment ref="I19" authorId="0">
      <text>
        <r>
          <rPr>
            <sz val="9"/>
            <rFont val="宋体"/>
            <charset val="134"/>
          </rPr>
          <t xml:space="preserve">到付USD424.35转预付3034.1
</t>
        </r>
      </text>
    </comment>
    <comment ref="I20" authorId="0">
      <text>
        <r>
          <rPr>
            <sz val="9"/>
            <rFont val="宋体"/>
            <charset val="134"/>
          </rPr>
          <t xml:space="preserve">到付USD740.52转预付5331.74
</t>
        </r>
      </text>
    </comment>
    <comment ref="I21" authorId="0">
      <text>
        <r>
          <rPr>
            <sz val="9"/>
            <rFont val="宋体"/>
            <charset val="134"/>
          </rPr>
          <t xml:space="preserve">到付USD389.9转预付2807.28
</t>
        </r>
      </text>
    </comment>
    <comment ref="I23" authorId="0">
      <text>
        <r>
          <rPr>
            <sz val="9"/>
            <rFont val="宋体"/>
            <charset val="134"/>
          </rPr>
          <t xml:space="preserve">到付USD300.97转预付2136.9.
</t>
        </r>
      </text>
    </comment>
    <comment ref="I24" authorId="0">
      <text>
        <r>
          <rPr>
            <sz val="9"/>
            <rFont val="宋体"/>
            <charset val="134"/>
          </rPr>
          <t xml:space="preserve">到付USD404.81转预付2914.
</t>
        </r>
      </text>
    </comment>
    <comment ref="I25" authorId="0">
      <text>
        <r>
          <rPr>
            <sz val="9"/>
            <rFont val="宋体"/>
            <charset val="134"/>
          </rPr>
          <t xml:space="preserve">到付USD786.85转预付5586.
</t>
        </r>
      </text>
    </comment>
    <comment ref="I28" authorId="0">
      <text>
        <r>
          <rPr>
            <sz val="9"/>
            <rFont val="宋体"/>
            <charset val="134"/>
          </rPr>
          <t xml:space="preserve">到付USD305.2转预付2197.44.
</t>
        </r>
      </text>
    </comment>
    <comment ref="I29" authorId="0">
      <text>
        <r>
          <rPr>
            <sz val="9"/>
            <rFont val="宋体"/>
            <charset val="134"/>
          </rPr>
          <t xml:space="preserve">到付USD105.73转预付778.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M4" authorId="0">
      <text>
        <r>
          <rPr>
            <sz val="9"/>
            <rFont val="宋体"/>
            <charset val="134"/>
          </rPr>
          <t xml:space="preserve">预付10001.88转到位USD1377.66
</t>
        </r>
      </text>
    </comment>
    <comment ref="I5" authorId="0">
      <text>
        <r>
          <rPr>
            <sz val="9"/>
            <rFont val="宋体"/>
            <charset val="134"/>
          </rPr>
          <t xml:space="preserve">到付USD4065.05转预付29720.
</t>
        </r>
      </text>
    </comment>
    <comment ref="I6" authorId="0">
      <text>
        <r>
          <rPr>
            <sz val="9"/>
            <rFont val="宋体"/>
            <charset val="134"/>
          </rPr>
          <t xml:space="preserve">到付USD261.2转预付1893.7.
</t>
        </r>
      </text>
    </comment>
    <comment ref="I10" authorId="0">
      <text>
        <r>
          <rPr>
            <sz val="9"/>
            <rFont val="宋体"/>
            <charset val="134"/>
          </rPr>
          <t xml:space="preserve">到付USD227.56转预付1662.94
</t>
        </r>
      </text>
    </comment>
    <comment ref="I14" authorId="0">
      <text>
        <r>
          <rPr>
            <sz val="9"/>
            <rFont val="宋体"/>
            <charset val="134"/>
          </rPr>
          <t xml:space="preserve">到付USD321.79转预付2361.55.
</t>
        </r>
      </text>
    </comment>
    <comment ref="I15" authorId="0">
      <text>
        <r>
          <rPr>
            <sz val="9"/>
            <rFont val="宋体"/>
            <charset val="134"/>
          </rPr>
          <t xml:space="preserve">到付USD829.91转预付6070.88.
</t>
        </r>
      </text>
    </comment>
    <comment ref="I16" authorId="0">
      <text>
        <r>
          <rPr>
            <sz val="9"/>
            <rFont val="宋体"/>
            <charset val="134"/>
          </rPr>
          <t xml:space="preserve">到付USD1829.05转预付13360.1
</t>
        </r>
      </text>
    </comment>
    <comment ref="I17" authorId="0">
      <text>
        <r>
          <rPr>
            <sz val="9"/>
            <rFont val="宋体"/>
            <charset val="134"/>
          </rPr>
          <t xml:space="preserve">到付USD1041.85转预付7525.12.
</t>
        </r>
      </text>
    </comment>
    <comment ref="I18" authorId="0">
      <text>
        <r>
          <rPr>
            <sz val="9"/>
            <rFont val="宋体"/>
            <charset val="134"/>
          </rPr>
          <t xml:space="preserve">到付USD533.15转预付3294.7
</t>
        </r>
      </text>
    </comment>
    <comment ref="I19" authorId="0">
      <text>
        <r>
          <rPr>
            <sz val="9"/>
            <rFont val="宋体"/>
            <charset val="134"/>
          </rPr>
          <t xml:space="preserve">到付USD421.08转预付2989.7
</t>
        </r>
      </text>
    </comment>
    <comment ref="I20" authorId="0">
      <text>
        <r>
          <rPr>
            <sz val="9"/>
            <rFont val="宋体"/>
            <charset val="134"/>
          </rPr>
          <t xml:space="preserve">到付USD10589.98转预付74014.5
</t>
        </r>
      </text>
    </comment>
    <comment ref="I22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I23" authorId="0">
      <text>
        <r>
          <rPr>
            <sz val="9"/>
            <rFont val="宋体"/>
            <charset val="134"/>
          </rPr>
          <t xml:space="preserve">到付USD8948.81转预付63805.02
</t>
        </r>
      </text>
    </comment>
    <comment ref="I24" authorId="0">
      <text>
        <r>
          <rPr>
            <sz val="9"/>
            <rFont val="宋体"/>
            <charset val="134"/>
          </rPr>
          <t xml:space="preserve">到付USD14.76转预付106.
</t>
        </r>
      </text>
    </comment>
    <comment ref="I26" authorId="0">
      <text>
        <r>
          <rPr>
            <sz val="9"/>
            <rFont val="宋体"/>
            <charset val="134"/>
          </rPr>
          <t xml:space="preserve">到付USD4065.05转预付29720.
</t>
        </r>
      </text>
    </comment>
    <comment ref="I27" authorId="0">
      <text>
        <r>
          <rPr>
            <sz val="9"/>
            <rFont val="宋体"/>
            <charset val="134"/>
          </rPr>
          <t xml:space="preserve">到付USD5888.25转预付43280.
</t>
        </r>
      </text>
    </comment>
    <comment ref="I29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I30" authorId="0">
      <text>
        <r>
          <rPr>
            <sz val="9"/>
            <rFont val="宋体"/>
            <charset val="134"/>
          </rPr>
          <t xml:space="preserve">到付USD1951.3转预付13912.77
</t>
        </r>
      </text>
    </comment>
    <comment ref="I31" authorId="0">
      <text>
        <r>
          <rPr>
            <sz val="9"/>
            <rFont val="宋体"/>
            <charset val="134"/>
          </rPr>
          <t xml:space="preserve">到付USD7293.91转预付52005.58
</t>
        </r>
      </text>
    </comment>
    <comment ref="I32" authorId="0">
      <text>
        <r>
          <rPr>
            <sz val="9"/>
            <rFont val="宋体"/>
            <charset val="134"/>
          </rPr>
          <t xml:space="preserve">到付USD4560.69转预付32609.
</t>
        </r>
      </text>
    </comment>
    <comment ref="V32" authorId="0">
      <text>
        <r>
          <rPr>
            <sz val="9"/>
            <rFont val="宋体"/>
            <charset val="134"/>
          </rPr>
          <t xml:space="preserve">叉车费
</t>
        </r>
      </text>
    </comment>
    <comment ref="I34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I35" authorId="0">
      <text>
        <r>
          <rPr>
            <sz val="9"/>
            <rFont val="宋体"/>
            <charset val="134"/>
          </rPr>
          <t xml:space="preserve">到付USD45.9转预付330.48.
</t>
        </r>
      </text>
    </comment>
    <comment ref="I36" authorId="0">
      <text>
        <r>
          <rPr>
            <sz val="9"/>
            <rFont val="宋体"/>
            <charset val="134"/>
          </rPr>
          <t xml:space="preserve">到付USD544转预付3916.8 按7.2.
</t>
        </r>
      </text>
    </comment>
    <comment ref="I37" authorId="0">
      <text>
        <r>
          <rPr>
            <sz val="9"/>
            <rFont val="宋体"/>
            <charset val="134"/>
          </rPr>
          <t xml:space="preserve">到付USD8768.55转预付62519.76
</t>
        </r>
      </text>
    </comment>
    <comment ref="I38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S38" authorId="0">
      <text>
        <r>
          <rPr>
            <sz val="9"/>
            <rFont val="宋体"/>
            <charset val="134"/>
          </rPr>
          <t xml:space="preserve">吊车和提货费用
</t>
        </r>
      </text>
    </comment>
    <comment ref="I39" authorId="0">
      <text>
        <r>
          <rPr>
            <sz val="9"/>
            <rFont val="宋体"/>
            <charset val="134"/>
          </rPr>
          <t xml:space="preserve">到付USD992.38转预付7303.
</t>
        </r>
      </text>
    </comment>
    <comment ref="M41" authorId="0">
      <text>
        <r>
          <rPr>
            <sz val="9"/>
            <rFont val="宋体"/>
            <charset val="134"/>
          </rPr>
          <t xml:space="preserve">预付4396.92转到付USD605.63
</t>
        </r>
      </text>
    </comment>
    <comment ref="I43" authorId="0">
      <text>
        <r>
          <rPr>
            <sz val="9"/>
            <rFont val="宋体"/>
            <charset val="134"/>
          </rPr>
          <t xml:space="preserve">到付USD84.73转预付660.29.
</t>
        </r>
      </text>
    </comment>
    <comment ref="I44" authorId="0">
      <text>
        <r>
          <rPr>
            <sz val="9"/>
            <rFont val="宋体"/>
            <charset val="134"/>
          </rPr>
          <t xml:space="preserve">到付USD2721.6转预付19595.52.
</t>
        </r>
      </text>
    </comment>
    <comment ref="I45" authorId="0">
      <text>
        <r>
          <rPr>
            <sz val="9"/>
            <rFont val="宋体"/>
            <charset val="134"/>
          </rPr>
          <t xml:space="preserve">到付USD3475.38转预付24968.54.
</t>
        </r>
      </text>
    </comment>
    <comment ref="I46" authorId="0">
      <text>
        <r>
          <rPr>
            <sz val="9"/>
            <rFont val="宋体"/>
            <charset val="134"/>
          </rPr>
          <t xml:space="preserve">到付USD1524.87转预付10979.06
</t>
        </r>
      </text>
    </comment>
    <comment ref="I48" authorId="0">
      <text>
        <r>
          <rPr>
            <sz val="9"/>
            <rFont val="宋体"/>
            <charset val="134"/>
          </rPr>
          <t xml:space="preserve">到付USD4078.77转预付29367.14
</t>
        </r>
      </text>
    </comment>
    <comment ref="I49" authorId="0">
      <text>
        <r>
          <rPr>
            <sz val="9"/>
            <rFont val="宋体"/>
            <charset val="134"/>
          </rPr>
          <t xml:space="preserve">到付USD5890转预付41995.7
</t>
        </r>
      </text>
    </comment>
    <comment ref="I50" authorId="0">
      <text>
        <r>
          <rPr>
            <sz val="9"/>
            <rFont val="宋体"/>
            <charset val="134"/>
          </rPr>
          <t xml:space="preserve">到付USD160转预付1117.2
</t>
        </r>
      </text>
    </comment>
    <comment ref="I51" authorId="0">
      <text>
        <r>
          <rPr>
            <sz val="9"/>
            <rFont val="宋体"/>
            <charset val="134"/>
          </rPr>
          <t>到付USD86.7转预付630.</t>
        </r>
      </text>
    </comment>
    <comment ref="I53" authorId="0">
      <text>
        <r>
          <rPr>
            <sz val="9"/>
            <rFont val="宋体"/>
            <charset val="134"/>
          </rPr>
          <t xml:space="preserve">到付USD5079.32转预付36825.07.
</t>
        </r>
      </text>
    </comment>
    <comment ref="I54" authorId="0">
      <text>
        <r>
          <rPr>
            <b/>
            <sz val="9"/>
            <rFont val="宋体"/>
            <charset val="134"/>
          </rPr>
          <t>3到付USD82.52转预付606.5.</t>
        </r>
        <r>
          <rPr>
            <sz val="9"/>
            <rFont val="宋体"/>
            <charset val="134"/>
          </rPr>
          <t xml:space="preserve">
</t>
        </r>
      </text>
    </comment>
    <comment ref="I55" authorId="0">
      <text>
        <r>
          <rPr>
            <sz val="9"/>
            <rFont val="宋体"/>
            <charset val="134"/>
          </rPr>
          <t xml:space="preserve">到付USD340.14转预付2500.
</t>
        </r>
      </text>
    </comment>
    <comment ref="I56" authorId="0">
      <text>
        <r>
          <rPr>
            <sz val="9"/>
            <rFont val="宋体"/>
            <charset val="134"/>
          </rPr>
          <t xml:space="preserve">到付USD587.35转预付4300.07.
</t>
        </r>
      </text>
    </comment>
    <comment ref="I57" authorId="0">
      <text>
        <r>
          <rPr>
            <sz val="9"/>
            <rFont val="宋体"/>
            <charset val="134"/>
          </rPr>
          <t xml:space="preserve">到付USD120.43转预付880.38.
</t>
        </r>
      </text>
    </comment>
    <comment ref="I58" authorId="0">
      <text>
        <r>
          <rPr>
            <sz val="9"/>
            <rFont val="宋体"/>
            <charset val="134"/>
          </rPr>
          <t xml:space="preserve">到付USD120.69转预付894.
</t>
        </r>
      </text>
    </comment>
    <comment ref="I60" authorId="0">
      <text>
        <r>
          <rPr>
            <sz val="9"/>
            <rFont val="宋体"/>
            <charset val="134"/>
          </rPr>
          <t xml:space="preserve">到付USD1703.6转预付12265.92
</t>
        </r>
      </text>
    </comment>
    <comment ref="I61" authorId="0">
      <text>
        <r>
          <rPr>
            <sz val="9"/>
            <rFont val="宋体"/>
            <charset val="134"/>
          </rPr>
          <t xml:space="preserve">到付USD177.86转预付1280.59.
</t>
        </r>
      </text>
    </comment>
    <comment ref="I62" authorId="0">
      <text>
        <r>
          <rPr>
            <sz val="9"/>
            <rFont val="宋体"/>
            <charset val="134"/>
          </rPr>
          <t xml:space="preserve">到付USD7952.75转预付57259.8.
</t>
        </r>
      </text>
    </comment>
    <comment ref="I64" authorId="0">
      <text>
        <r>
          <rPr>
            <sz val="9"/>
            <rFont val="宋体"/>
            <charset val="134"/>
          </rPr>
          <t xml:space="preserve">到付USD4800.1转预付34224.71
</t>
        </r>
      </text>
    </comment>
    <comment ref="I65" authorId="0">
      <text>
        <r>
          <rPr>
            <sz val="9"/>
            <rFont val="宋体"/>
            <charset val="134"/>
          </rPr>
          <t xml:space="preserve">到付USD185.39转预付1334.81.
</t>
        </r>
      </text>
    </comment>
    <comment ref="I66" authorId="0">
      <text>
        <r>
          <rPr>
            <sz val="9"/>
            <rFont val="宋体"/>
            <charset val="134"/>
          </rPr>
          <t xml:space="preserve">到付USD63.9转预付460.08
</t>
        </r>
      </text>
    </comment>
    <comment ref="I67" authorId="0">
      <text>
        <r>
          <rPr>
            <sz val="9"/>
            <rFont val="宋体"/>
            <charset val="134"/>
          </rPr>
          <t xml:space="preserve">到付USD859.24转预付6208.07
</t>
        </r>
      </text>
    </comment>
    <comment ref="I68" authorId="0">
      <text>
        <r>
          <rPr>
            <sz val="9"/>
            <rFont val="宋体"/>
            <charset val="134"/>
          </rPr>
          <t xml:space="preserve">到付USD877.5转预付6294.95.
</t>
        </r>
      </text>
    </comment>
    <comment ref="I69" authorId="0">
      <text>
        <r>
          <rPr>
            <sz val="9"/>
            <rFont val="宋体"/>
            <charset val="134"/>
          </rPr>
          <t xml:space="preserve">到付USD111.33转预付807.14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I6" authorId="0">
      <text>
        <r>
          <rPr>
            <sz val="9"/>
            <rFont val="宋体"/>
            <charset val="134"/>
          </rPr>
          <t xml:space="preserve">到付USD127.35转预付923.29
</t>
        </r>
      </text>
    </comment>
    <comment ref="I7" authorId="0">
      <text>
        <r>
          <rPr>
            <sz val="9"/>
            <rFont val="宋体"/>
            <charset val="134"/>
          </rPr>
          <t xml:space="preserve">到付USD75.56转预付556.
</t>
        </r>
      </text>
    </comment>
    <comment ref="I8" authorId="0">
      <text>
        <r>
          <rPr>
            <sz val="9"/>
            <rFont val="宋体"/>
            <charset val="134"/>
          </rPr>
          <t xml:space="preserve">到付USD768.453转预付5462. 
</t>
        </r>
      </text>
    </comment>
    <comment ref="I10" authorId="0">
      <text>
        <r>
          <rPr>
            <sz val="9"/>
            <rFont val="宋体"/>
            <charset val="134"/>
          </rPr>
          <t xml:space="preserve">到付USD26.73转预付356.
</t>
        </r>
      </text>
    </comment>
    <comment ref="I12" authorId="0">
      <text>
        <r>
          <rPr>
            <sz val="9"/>
            <rFont val="宋体"/>
            <charset val="134"/>
          </rPr>
          <t xml:space="preserve">到付USD46.61转预付337.92
</t>
        </r>
      </text>
    </comment>
    <comment ref="I13" authorId="0">
      <text>
        <r>
          <rPr>
            <sz val="9"/>
            <rFont val="宋体"/>
            <charset val="134"/>
          </rPr>
          <t xml:space="preserve">到付USD8747.48转预付64294
</t>
        </r>
      </text>
    </comment>
    <comment ref="I14" authorId="0">
      <text>
        <r>
          <rPr>
            <sz val="9"/>
            <rFont val="宋体"/>
            <charset val="134"/>
          </rPr>
          <t xml:space="preserve">到付USD611.38转预付611.38.
</t>
        </r>
      </text>
    </comment>
    <comment ref="I17" authorId="0">
      <text>
        <r>
          <rPr>
            <sz val="9"/>
            <rFont val="宋体"/>
            <charset val="134"/>
          </rPr>
          <t xml:space="preserve">14/10国内收美金.
</t>
        </r>
      </text>
    </comment>
    <comment ref="I18" authorId="0">
      <text>
        <r>
          <rPr>
            <sz val="9"/>
            <rFont val="宋体"/>
            <charset val="134"/>
          </rPr>
          <t xml:space="preserve">到付USD179.2转预付1290.24.
</t>
        </r>
      </text>
    </comment>
    <comment ref="I19" authorId="0">
      <text>
        <r>
          <rPr>
            <sz val="9"/>
            <rFont val="宋体"/>
            <charset val="134"/>
          </rPr>
          <t xml:space="preserve">到付USD619.5转预付4491.38
</t>
        </r>
      </text>
    </comment>
    <comment ref="I20" authorId="0">
      <text>
        <r>
          <rPr>
            <sz val="9"/>
            <rFont val="宋体"/>
            <charset val="134"/>
          </rPr>
          <t xml:space="preserve">到付USD6762.53转预付48216.84.
</t>
        </r>
      </text>
    </comment>
    <comment ref="I22" authorId="0">
      <text>
        <r>
          <rPr>
            <sz val="9"/>
            <rFont val="宋体"/>
            <charset val="134"/>
          </rPr>
          <t xml:space="preserve">预付3924.77转到付USD28642.1
</t>
        </r>
      </text>
    </comment>
    <comment ref="I23" authorId="0">
      <text>
        <r>
          <rPr>
            <sz val="9"/>
            <rFont val="宋体"/>
            <charset val="134"/>
          </rPr>
          <t xml:space="preserve">到付USD408.47转预付2922.21.
</t>
        </r>
      </text>
    </comment>
    <comment ref="M24" authorId="0">
      <text>
        <r>
          <rPr>
            <sz val="9"/>
            <rFont val="宋体"/>
            <charset val="134"/>
          </rPr>
          <t xml:space="preserve">预付2366.5转到付USD330.97.
</t>
        </r>
      </text>
    </comment>
    <comment ref="I28" authorId="0">
      <text>
        <r>
          <rPr>
            <sz val="9"/>
            <rFont val="宋体"/>
            <charset val="134"/>
          </rPr>
          <t xml:space="preserve">合计70500.83.
</t>
        </r>
      </text>
    </comment>
    <comment ref="I30" authorId="0">
      <text>
        <r>
          <rPr>
            <sz val="9"/>
            <rFont val="宋体"/>
            <charset val="134"/>
          </rPr>
          <t xml:space="preserve">到付USD108.49转预付801.54.
</t>
        </r>
      </text>
    </comment>
    <comment ref="I33" authorId="0">
      <text>
        <r>
          <rPr>
            <sz val="9"/>
            <rFont val="宋体"/>
            <charset val="134"/>
          </rPr>
          <t xml:space="preserve">到付USD32转预付235.2.
</t>
        </r>
      </text>
    </comment>
    <comment ref="I34" authorId="0">
      <text>
        <r>
          <rPr>
            <sz val="9"/>
            <rFont val="宋体"/>
            <charset val="134"/>
          </rPr>
          <t xml:space="preserve">到付USD915.43转预付6679.5.
</t>
        </r>
      </text>
    </comment>
    <comment ref="M35" authorId="0">
      <text>
        <r>
          <rPr>
            <sz val="9"/>
            <rFont val="宋体"/>
            <charset val="134"/>
          </rPr>
          <t xml:space="preserve">公司叉车
</t>
        </r>
      </text>
    </comment>
    <comment ref="I36" authorId="0">
      <text>
        <r>
          <rPr>
            <sz val="9"/>
            <rFont val="宋体"/>
            <charset val="134"/>
          </rPr>
          <t xml:space="preserve">到付USD1116.47转预付8038.58
</t>
        </r>
      </text>
    </comment>
    <comment ref="I37" authorId="0">
      <text>
        <r>
          <rPr>
            <sz val="9"/>
            <rFont val="宋体"/>
            <charset val="134"/>
          </rPr>
          <t xml:space="preserve">到付USD7234.92转预付51584.98
</t>
        </r>
      </text>
    </comment>
    <comment ref="I38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40" authorId="0">
      <text>
        <r>
          <rPr>
            <sz val="9"/>
            <rFont val="宋体"/>
            <charset val="134"/>
          </rPr>
          <t xml:space="preserve">到付USD8.6转预付61.48.
</t>
        </r>
      </text>
    </comment>
    <comment ref="I41" authorId="0">
      <text>
        <r>
          <rPr>
            <sz val="9"/>
            <rFont val="宋体"/>
            <charset val="134"/>
          </rPr>
          <t xml:space="preserve">到付USD13.69转预付98.57
</t>
        </r>
      </text>
    </comment>
    <comment ref="I43" authorId="0">
      <text>
        <r>
          <rPr>
            <b/>
            <sz val="9"/>
            <rFont val="宋体"/>
            <charset val="134"/>
          </rPr>
          <t>15/10国内收美金</t>
        </r>
        <r>
          <rPr>
            <sz val="9"/>
            <rFont val="宋体"/>
            <charset val="134"/>
          </rPr>
          <t xml:space="preserve">
</t>
        </r>
      </text>
    </comment>
    <comment ref="M43" authorId="0">
      <text>
        <r>
          <rPr>
            <sz val="9"/>
            <rFont val="宋体"/>
            <charset val="134"/>
          </rPr>
          <t xml:space="preserve">合计20845.9
</t>
        </r>
      </text>
    </comment>
    <comment ref="X43" authorId="0">
      <text>
        <r>
          <rPr>
            <sz val="9"/>
            <rFont val="宋体"/>
            <charset val="134"/>
          </rPr>
          <t xml:space="preserve">赛捷代付
</t>
        </r>
      </text>
    </comment>
    <comment ref="I45" authorId="0">
      <text>
        <r>
          <rPr>
            <sz val="9"/>
            <rFont val="宋体"/>
            <charset val="134"/>
          </rPr>
          <t xml:space="preserve">到付USD8319.96转预付59321.31
</t>
        </r>
      </text>
    </comment>
    <comment ref="I46" authorId="0">
      <text>
        <r>
          <rPr>
            <sz val="9"/>
            <rFont val="宋体"/>
            <charset val="134"/>
          </rPr>
          <t>到付USD182.4转预付1994.39.</t>
        </r>
      </text>
    </comment>
    <comment ref="X47" authorId="0">
      <text>
        <r>
          <rPr>
            <sz val="9"/>
            <rFont val="宋体"/>
            <charset val="134"/>
          </rPr>
          <t xml:space="preserve">赛捷代付
</t>
        </r>
      </text>
    </comment>
    <comment ref="I48" authorId="0">
      <text>
        <r>
          <rPr>
            <sz val="9"/>
            <rFont val="宋体"/>
            <charset val="134"/>
          </rPr>
          <t xml:space="preserve">到付USD2081.4转预付14778.
</t>
        </r>
      </text>
    </comment>
    <comment ref="I49" authorId="0">
      <text>
        <r>
          <rPr>
            <sz val="9"/>
            <rFont val="宋体"/>
            <charset val="134"/>
          </rPr>
          <t xml:space="preserve">到付USD51.2转预付376.32.
</t>
        </r>
      </text>
    </comment>
    <comment ref="I50" authorId="0">
      <text>
        <r>
          <rPr>
            <sz val="9"/>
            <rFont val="宋体"/>
            <charset val="134"/>
          </rPr>
          <t xml:space="preserve">到付USD3669.6转预付26604.
</t>
        </r>
      </text>
    </comment>
    <comment ref="I52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53" authorId="0">
      <text>
        <r>
          <rPr>
            <sz val="9"/>
            <rFont val="宋体"/>
            <charset val="134"/>
          </rPr>
          <t xml:space="preserve">到付USD494.5转预付3645.46.
</t>
        </r>
      </text>
    </comment>
    <comment ref="I54" authorId="0">
      <text>
        <r>
          <rPr>
            <sz val="9"/>
            <rFont val="宋体"/>
            <charset val="134"/>
          </rPr>
          <t xml:space="preserve">到付USD44.9转到付USD327.6.
</t>
        </r>
      </text>
    </comment>
    <comment ref="I56" authorId="0">
      <text>
        <r>
          <rPr>
            <sz val="9"/>
            <rFont val="宋体"/>
            <charset val="134"/>
          </rPr>
          <t xml:space="preserve">到付USD9336.06转预付66566.11
</t>
        </r>
      </text>
    </comment>
    <comment ref="X57" authorId="0">
      <text>
        <r>
          <rPr>
            <sz val="9"/>
            <rFont val="宋体"/>
            <charset val="134"/>
          </rPr>
          <t>赛捷代付</t>
        </r>
      </text>
    </comment>
    <comment ref="I58" authorId="0">
      <text>
        <r>
          <rPr>
            <sz val="9"/>
            <rFont val="宋体"/>
            <charset val="134"/>
          </rPr>
          <t xml:space="preserve">到付USD609.84转预付4482.5.
</t>
        </r>
      </text>
    </comment>
    <comment ref="I59" authorId="0">
      <text>
        <r>
          <rPr>
            <sz val="9"/>
            <rFont val="宋体"/>
            <charset val="134"/>
          </rPr>
          <t xml:space="preserve">到付USD839.91转预付6236.5.
</t>
        </r>
      </text>
    </comment>
    <comment ref="I60" authorId="0">
      <text>
        <r>
          <rPr>
            <b/>
            <sz val="9"/>
            <rFont val="宋体"/>
            <charset val="134"/>
          </rPr>
          <t>15/10国内收美金.</t>
        </r>
        <r>
          <rPr>
            <sz val="9"/>
            <rFont val="宋体"/>
            <charset val="134"/>
          </rPr>
          <t xml:space="preserve">
</t>
        </r>
      </text>
    </comment>
    <comment ref="I62" authorId="0">
      <text>
        <r>
          <rPr>
            <sz val="9"/>
            <rFont val="宋体"/>
            <charset val="134"/>
          </rPr>
          <t xml:space="preserve">到付USD2194.36转预付15645.79
</t>
        </r>
      </text>
    </comment>
    <comment ref="I63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64" authorId="0">
      <text>
        <r>
          <rPr>
            <sz val="9"/>
            <rFont val="宋体"/>
            <charset val="134"/>
          </rPr>
          <t>到付USD8618.84转预付52338.</t>
        </r>
      </text>
    </comment>
    <comment ref="I68" authorId="0">
      <text>
        <r>
          <rPr>
            <sz val="9"/>
            <rFont val="宋体"/>
            <charset val="134"/>
          </rPr>
          <t xml:space="preserve">到付USD2136.79转预付16565.05
</t>
        </r>
      </text>
    </comment>
    <comment ref="X69" authorId="0">
      <text>
        <r>
          <rPr>
            <sz val="9"/>
            <rFont val="宋体"/>
            <charset val="134"/>
          </rPr>
          <t xml:space="preserve">赛捷代付
</t>
        </r>
      </text>
    </comment>
    <comment ref="M70" authorId="0">
      <text>
        <r>
          <rPr>
            <sz val="9"/>
            <rFont val="宋体"/>
            <charset val="134"/>
          </rPr>
          <t>预付351转到付USD49.09.</t>
        </r>
      </text>
    </comment>
    <comment ref="M74" authorId="0">
      <text>
        <r>
          <rPr>
            <sz val="9"/>
            <rFont val="宋体"/>
            <charset val="134"/>
          </rPr>
          <t xml:space="preserve">预付5126.18转到付USD716.94.
</t>
        </r>
      </text>
    </comment>
    <comment ref="I76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80" authorId="0">
      <text>
        <r>
          <rPr>
            <sz val="9"/>
            <rFont val="宋体"/>
            <charset val="134"/>
          </rPr>
          <t xml:space="preserve">到付USD7524转预付53646.12
</t>
        </r>
      </text>
    </comment>
    <comment ref="I81" authorId="0">
      <text>
        <r>
          <rPr>
            <sz val="9"/>
            <rFont val="宋体"/>
            <charset val="134"/>
          </rPr>
          <t xml:space="preserve">到付USD649.6转预付4667.
</t>
        </r>
      </text>
    </comment>
    <comment ref="I83" authorId="0">
      <text>
        <r>
          <rPr>
            <sz val="9"/>
            <rFont val="宋体"/>
            <charset val="134"/>
          </rPr>
          <t xml:space="preserve">到付USD259.92转预付1853.23.
</t>
        </r>
      </text>
    </comment>
    <comment ref="I84" authorId="0">
      <text>
        <r>
          <rPr>
            <b/>
            <sz val="9"/>
            <rFont val="宋体"/>
            <charset val="134"/>
          </rPr>
          <t>14/10国内收美金.</t>
        </r>
        <r>
          <rPr>
            <sz val="9"/>
            <rFont val="宋体"/>
            <charset val="134"/>
          </rPr>
          <t xml:space="preserve">
</t>
        </r>
      </text>
    </comment>
    <comment ref="X85" authorId="0">
      <text>
        <r>
          <rPr>
            <sz val="9"/>
            <rFont val="宋体"/>
            <charset val="134"/>
          </rPr>
          <t xml:space="preserve">赛捷代付
</t>
        </r>
      </text>
    </comment>
    <comment ref="I86" authorId="0">
      <text>
        <r>
          <rPr>
            <b/>
            <sz val="9"/>
            <rFont val="宋体"/>
            <charset val="134"/>
          </rPr>
          <t>15/10国内收美金</t>
        </r>
        <r>
          <rPr>
            <sz val="9"/>
            <rFont val="宋体"/>
            <charset val="134"/>
          </rPr>
          <t xml:space="preserve">
</t>
        </r>
      </text>
    </comment>
    <comment ref="M88" authorId="0">
      <text>
        <r>
          <rPr>
            <sz val="9"/>
            <rFont val="宋体"/>
            <charset val="134"/>
          </rPr>
          <t xml:space="preserve">预付1217转到付USD170.2.
</t>
        </r>
      </text>
    </comment>
    <comment ref="I92" authorId="0">
      <text>
        <r>
          <rPr>
            <sz val="9"/>
            <rFont val="宋体"/>
            <charset val="134"/>
          </rPr>
          <t xml:space="preserve">到付USD475.2转预付3388.18
</t>
        </r>
      </text>
    </comment>
    <comment ref="I94" authorId="0">
      <text>
        <r>
          <rPr>
            <sz val="9"/>
            <rFont val="宋体"/>
            <charset val="134"/>
          </rPr>
          <t xml:space="preserve">USD7912.888转预付56418.26
</t>
        </r>
      </text>
    </comment>
    <comment ref="I97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M99" authorId="0">
      <text>
        <r>
          <rPr>
            <sz val="9"/>
            <rFont val="宋体"/>
            <charset val="134"/>
          </rPr>
          <t xml:space="preserve">预付转到付
</t>
        </r>
      </text>
    </comment>
    <comment ref="I100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101" authorId="0">
      <text>
        <r>
          <rPr>
            <sz val="9"/>
            <rFont val="宋体"/>
            <charset val="134"/>
          </rPr>
          <t xml:space="preserve">到付USD522.84转预付3842.88.
</t>
        </r>
      </text>
    </comment>
    <comment ref="I102" authorId="0">
      <text>
        <r>
          <rPr>
            <sz val="9"/>
            <rFont val="宋体"/>
            <charset val="134"/>
          </rPr>
          <t xml:space="preserve">到付USD24转预付565.2.
</t>
        </r>
      </text>
    </comment>
    <comment ref="I104" authorId="0">
      <text>
        <r>
          <rPr>
            <sz val="9"/>
            <rFont val="宋体"/>
            <charset val="134"/>
          </rPr>
          <t xml:space="preserve">到付USD216.05转预付1588.
</t>
        </r>
      </text>
    </comment>
    <comment ref="I105" authorId="0">
      <text>
        <r>
          <rPr>
            <sz val="9"/>
            <rFont val="宋体"/>
            <charset val="134"/>
          </rPr>
          <t xml:space="preserve">到付USD325.11转预付2389.6.
</t>
        </r>
      </text>
    </comment>
    <comment ref="I106" authorId="0">
      <text>
        <r>
          <rPr>
            <sz val="9"/>
            <rFont val="宋体"/>
            <charset val="134"/>
          </rPr>
          <t xml:space="preserve">到付USD94.65转预付835.2.
</t>
        </r>
      </text>
    </comment>
    <comment ref="I107" authorId="0">
      <text>
        <r>
          <rPr>
            <sz val="9"/>
            <rFont val="宋体"/>
            <charset val="134"/>
          </rPr>
          <t xml:space="preserve">到付USD150.34转 预付1105.
</t>
        </r>
      </text>
    </comment>
    <comment ref="I108" authorId="0">
      <text>
        <r>
          <rPr>
            <sz val="9"/>
            <rFont val="宋体"/>
            <charset val="134"/>
          </rPr>
          <t xml:space="preserve">到付USD2776.03转预付20266.26.
</t>
        </r>
      </text>
    </comment>
    <comment ref="I109" authorId="0">
      <text>
        <r>
          <rPr>
            <sz val="9"/>
            <rFont val="宋体"/>
            <charset val="134"/>
          </rPr>
          <t xml:space="preserve">到付USD637.62转预付4277.5.
</t>
        </r>
      </text>
    </comment>
    <comment ref="I110" authorId="0">
      <text>
        <r>
          <rPr>
            <sz val="9"/>
            <rFont val="宋体"/>
            <charset val="134"/>
          </rPr>
          <t xml:space="preserve">到付USD58.65转预付468.
</t>
        </r>
      </text>
    </comment>
    <comment ref="I112" authorId="0">
      <text>
        <r>
          <rPr>
            <sz val="9"/>
            <rFont val="宋体"/>
            <charset val="134"/>
          </rPr>
          <t xml:space="preserve">到付USD1410转预付10152.
</t>
        </r>
      </text>
    </comment>
    <comment ref="I113" authorId="0">
      <text>
        <r>
          <rPr>
            <sz val="9"/>
            <rFont val="宋体"/>
            <charset val="134"/>
          </rPr>
          <t xml:space="preserve">到付USD8366.23转预付60665.17.
</t>
        </r>
      </text>
    </comment>
    <comment ref="I114" authorId="0">
      <text>
        <r>
          <rPr>
            <sz val="9"/>
            <rFont val="宋体"/>
            <charset val="134"/>
          </rPr>
          <t xml:space="preserve">到付USD4042.44转预付28822.6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I8" authorId="0">
      <text>
        <r>
          <rPr>
            <sz val="9"/>
            <rFont val="宋体"/>
            <charset val="134"/>
          </rPr>
          <t xml:space="preserve">到付USD171.21转到付USD1258.39.
</t>
        </r>
      </text>
    </comment>
    <comment ref="I10" authorId="0">
      <text>
        <r>
          <rPr>
            <sz val="9"/>
            <rFont val="宋体"/>
            <charset val="134"/>
          </rPr>
          <t xml:space="preserve">到付USD46.37转预付333.6
</t>
        </r>
      </text>
    </comment>
    <comment ref="I11" authorId="0">
      <text>
        <r>
          <rPr>
            <sz val="9"/>
            <rFont val="宋体"/>
            <charset val="134"/>
          </rPr>
          <t xml:space="preserve">到付USD259.86转预付1871.
</t>
        </r>
      </text>
    </comment>
    <comment ref="I13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14" authorId="0">
      <text>
        <r>
          <rPr>
            <sz val="9"/>
            <rFont val="宋体"/>
            <charset val="134"/>
          </rPr>
          <t xml:space="preserve">到付USD3600.45转预付25671.21.
</t>
        </r>
      </text>
    </comment>
    <comment ref="I16" authorId="0">
      <text>
        <r>
          <rPr>
            <sz val="9"/>
            <rFont val="宋体"/>
            <charset val="134"/>
          </rPr>
          <t xml:space="preserve">到付USD2362.5转预付16844.63
</t>
        </r>
      </text>
    </comment>
    <comment ref="I17" authorId="0">
      <text>
        <r>
          <rPr>
            <sz val="9"/>
            <rFont val="宋体"/>
            <charset val="134"/>
          </rPr>
          <t xml:space="preserve">到付 USD131.46转预付959.66
</t>
        </r>
      </text>
    </comment>
    <comment ref="I19" authorId="0">
      <text>
        <r>
          <rPr>
            <sz val="9"/>
            <rFont val="宋体"/>
            <charset val="134"/>
          </rPr>
          <t xml:space="preserve">到付US1257.09转预付9176.76
</t>
        </r>
      </text>
    </comment>
    <comment ref="I22" authorId="0">
      <text>
        <r>
          <rPr>
            <sz val="9"/>
            <rFont val="宋体"/>
            <charset val="134"/>
          </rPr>
          <t>到付USD73.57转预付573.06</t>
        </r>
      </text>
    </comment>
    <comment ref="I23" authorId="0">
      <text>
        <r>
          <rPr>
            <sz val="9"/>
            <rFont val="宋体"/>
            <charset val="134"/>
          </rPr>
          <t xml:space="preserve">到付USD87.52转预付630.11
</t>
        </r>
      </text>
    </comment>
    <comment ref="I24" authorId="0">
      <text>
        <r>
          <rPr>
            <sz val="9"/>
            <rFont val="宋体"/>
            <charset val="134"/>
          </rPr>
          <t xml:space="preserve">到付USD124.05转预付959.18.
</t>
        </r>
      </text>
    </comment>
    <comment ref="I26" authorId="0">
      <text>
        <r>
          <rPr>
            <sz val="9"/>
            <rFont val="宋体"/>
            <charset val="134"/>
          </rPr>
          <t xml:space="preserve">到付USD7635.22转预付65182.
</t>
        </r>
      </text>
    </comment>
    <comment ref="I27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I28" authorId="0">
      <text>
        <r>
          <rPr>
            <sz val="9"/>
            <rFont val="宋体"/>
            <charset val="134"/>
          </rPr>
          <t xml:space="preserve">到付USD6904.08转预付48967.52
</t>
        </r>
      </text>
    </comment>
    <comment ref="I29" authorId="0">
      <text>
        <r>
          <rPr>
            <sz val="9"/>
            <rFont val="宋体"/>
            <charset val="134"/>
          </rPr>
          <t xml:space="preserve">到付USD1814转预付13067.
</t>
        </r>
      </text>
    </comment>
    <comment ref="I31" authorId="0">
      <text>
        <r>
          <rPr>
            <sz val="9"/>
            <rFont val="宋体"/>
            <charset val="134"/>
          </rPr>
          <t xml:space="preserve">到付USD946.34转预付7000.
</t>
        </r>
      </text>
    </comment>
    <comment ref="I34" authorId="0">
      <text>
        <r>
          <rPr>
            <sz val="9"/>
            <rFont val="宋体"/>
            <charset val="134"/>
          </rPr>
          <t xml:space="preserve">到付USD779.75转预付5623.
</t>
        </r>
      </text>
    </comment>
    <comment ref="I36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I37" authorId="0">
      <text>
        <r>
          <rPr>
            <sz val="9"/>
            <rFont val="宋体"/>
            <charset val="134"/>
          </rPr>
          <t xml:space="preserve">到付USD1984转预付14483.2
</t>
        </r>
      </text>
    </comment>
    <comment ref="I38" authorId="0">
      <text>
        <r>
          <rPr>
            <sz val="9"/>
            <rFont val="宋体"/>
            <charset val="134"/>
          </rPr>
          <t xml:space="preserve">到付USD94.1转预付686.93
</t>
        </r>
      </text>
    </comment>
    <comment ref="I39" authorId="0">
      <text>
        <r>
          <rPr>
            <sz val="9"/>
            <rFont val="宋体"/>
            <charset val="134"/>
          </rPr>
          <t>到付USD729.16转预付5265.</t>
        </r>
      </text>
    </comment>
    <comment ref="I42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I44" authorId="0">
      <text>
        <r>
          <rPr>
            <sz val="9"/>
            <rFont val="宋体"/>
            <charset val="134"/>
          </rPr>
          <t xml:space="preserve">到付USD702.96转预付5181.75.
</t>
        </r>
      </text>
    </comment>
    <comment ref="I45" authorId="0">
      <text>
        <r>
          <rPr>
            <sz val="9"/>
            <rFont val="宋体"/>
            <charset val="134"/>
          </rPr>
          <t xml:space="preserve">到付USD214.2转预付1563.66
</t>
        </r>
      </text>
    </comment>
    <comment ref="I46" authorId="0">
      <text>
        <r>
          <rPr>
            <sz val="9"/>
            <rFont val="宋体"/>
            <charset val="134"/>
          </rPr>
          <t>到付USD78转预付569.4.</t>
        </r>
      </text>
    </comment>
    <comment ref="I50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52" authorId="0">
      <text>
        <r>
          <rPr>
            <sz val="9"/>
            <rFont val="宋体"/>
            <charset val="134"/>
          </rPr>
          <t xml:space="preserve">到付USD290.44转预付2095.0
</t>
        </r>
      </text>
    </comment>
    <comment ref="I53" authorId="0">
      <text>
        <r>
          <rPr>
            <sz val="9"/>
            <rFont val="宋体"/>
            <charset val="134"/>
          </rPr>
          <t xml:space="preserve">到付USD28.87转预付204.4
</t>
        </r>
      </text>
    </comment>
    <comment ref="I58" authorId="0">
      <text>
        <r>
          <rPr>
            <sz val="9"/>
            <rFont val="宋体"/>
            <charset val="134"/>
          </rPr>
          <t xml:space="preserve">到付USD369.7转预付2643.36
</t>
        </r>
      </text>
    </comment>
    <comment ref="I61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I62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I65" authorId="0">
      <text>
        <r>
          <rPr>
            <sz val="9"/>
            <rFont val="宋体"/>
            <charset val="134"/>
          </rPr>
          <t xml:space="preserve">到付USD163.8l专预付1212.75.
</t>
        </r>
      </text>
    </comment>
    <comment ref="I66" authorId="0">
      <text>
        <r>
          <rPr>
            <sz val="9"/>
            <rFont val="宋体"/>
            <charset val="134"/>
          </rPr>
          <t xml:space="preserve">到付USD10.36转预付221.13.
</t>
        </r>
      </text>
    </comment>
    <comment ref="I67" authorId="0">
      <text>
        <r>
          <rPr>
            <sz val="9"/>
            <rFont val="宋体"/>
            <charset val="134"/>
          </rPr>
          <t xml:space="preserve">到付USD369.82转预付2649.
</t>
        </r>
      </text>
    </comment>
    <comment ref="I68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I70" authorId="0">
      <text>
        <r>
          <rPr>
            <sz val="9"/>
            <rFont val="宋体"/>
            <charset val="134"/>
          </rPr>
          <t xml:space="preserve">到付USD189.72转预付1411.2
</t>
        </r>
      </text>
    </comment>
    <comment ref="I72" authorId="0">
      <text>
        <r>
          <rPr>
            <sz val="9"/>
            <rFont val="宋体"/>
            <charset val="134"/>
          </rPr>
          <t xml:space="preserve">到付USD2146转预付15665.8
</t>
        </r>
      </text>
    </comment>
    <comment ref="I73" authorId="0">
      <text>
        <r>
          <rPr>
            <sz val="9"/>
            <rFont val="宋体"/>
            <charset val="134"/>
          </rPr>
          <t xml:space="preserve">到付USD125.12转预付907.12.
</t>
        </r>
      </text>
    </comment>
    <comment ref="I74" authorId="0">
      <text>
        <r>
          <rPr>
            <sz val="9"/>
            <rFont val="宋体"/>
            <charset val="134"/>
          </rPr>
          <t>到付USD678.67转预付4987.5</t>
        </r>
      </text>
    </comment>
    <comment ref="I76" authorId="0">
      <text>
        <r>
          <rPr>
            <sz val="9"/>
            <rFont val="宋体"/>
            <charset val="134"/>
          </rPr>
          <t xml:space="preserve">到付USD2231.19转预付16287.69
</t>
        </r>
      </text>
    </comment>
    <comment ref="I77" authorId="0">
      <text>
        <r>
          <rPr>
            <sz val="9"/>
            <rFont val="宋体"/>
            <charset val="134"/>
          </rPr>
          <t xml:space="preserve">到付USD3018.86转预付21916.92.
</t>
        </r>
      </text>
    </comment>
    <comment ref="I78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79" authorId="0">
      <text>
        <r>
          <rPr>
            <sz val="9"/>
            <rFont val="宋体"/>
            <charset val="134"/>
          </rPr>
          <t xml:space="preserve">到付USD2030.89转预付14536.83
</t>
        </r>
      </text>
    </comment>
    <comment ref="I80" authorId="0">
      <text>
        <r>
          <rPr>
            <sz val="9"/>
            <rFont val="宋体"/>
            <charset val="134"/>
          </rPr>
          <t>到付USD3639.38转预付
26386.</t>
        </r>
      </text>
    </comment>
    <comment ref="I81" authorId="0">
      <text>
        <r>
          <rPr>
            <sz val="9"/>
            <rFont val="宋体"/>
            <charset val="134"/>
          </rPr>
          <t xml:space="preserve">到付USD868转预付6336.4
</t>
        </r>
      </text>
    </comment>
    <comment ref="I82" authorId="0">
      <text>
        <r>
          <rPr>
            <sz val="9"/>
            <rFont val="宋体"/>
            <charset val="134"/>
          </rPr>
          <t xml:space="preserve">到付USD1458转预付10643.4
</t>
        </r>
      </text>
    </comment>
    <comment ref="I83" authorId="0">
      <text>
        <r>
          <rPr>
            <sz val="9"/>
            <rFont val="宋体"/>
            <charset val="134"/>
          </rPr>
          <t xml:space="preserve">到付USD2030.89转预付14536.83
</t>
        </r>
      </text>
    </comment>
    <comment ref="I84" authorId="0">
      <text>
        <r>
          <rPr>
            <sz val="9"/>
            <rFont val="宋体"/>
            <charset val="134"/>
          </rPr>
          <t xml:space="preserve">到付USD1074转预付7840.2
</t>
        </r>
      </text>
    </comment>
    <comment ref="I85" authorId="0">
      <text>
        <r>
          <rPr>
            <sz val="9"/>
            <rFont val="宋体"/>
            <charset val="134"/>
          </rPr>
          <t xml:space="preserve">到付USD821.74转预付5998.7
</t>
        </r>
      </text>
    </comment>
    <comment ref="I87" authorId="0">
      <text>
        <r>
          <rPr>
            <sz val="9"/>
            <rFont val="宋体"/>
            <charset val="134"/>
          </rPr>
          <t xml:space="preserve">到付USD1013.74转预付7297
</t>
        </r>
      </text>
    </comment>
    <comment ref="I98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I99" authorId="0">
      <text>
        <r>
          <rPr>
            <sz val="9"/>
            <rFont val="宋体"/>
            <charset val="134"/>
          </rPr>
          <t xml:space="preserve">到付USD1404.12转预付10109.64.
</t>
        </r>
      </text>
    </comment>
    <comment ref="I102" authorId="0">
      <text>
        <r>
          <rPr>
            <sz val="9"/>
            <rFont val="宋体"/>
            <charset val="134"/>
          </rPr>
          <t xml:space="preserve">到付USD2538转预付18527.4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A5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原JOB080397</t>
        </r>
      </text>
    </comment>
    <comment ref="I10" authorId="0">
      <text>
        <r>
          <rPr>
            <sz val="9"/>
            <rFont val="宋体"/>
            <charset val="134"/>
          </rPr>
          <t xml:space="preserve">到付USD2379.39转预付17258.7
</t>
        </r>
      </text>
    </comment>
    <comment ref="I20" authorId="0">
      <text>
        <r>
          <rPr>
            <sz val="9"/>
            <rFont val="宋体"/>
            <charset val="134"/>
          </rPr>
          <t xml:space="preserve">到付USAD12.58转预付904.
</t>
        </r>
      </text>
    </comment>
    <comment ref="I21" authorId="0">
      <text>
        <r>
          <rPr>
            <sz val="9"/>
            <rFont val="宋体"/>
            <charset val="134"/>
          </rPr>
          <t xml:space="preserve">到付USD3312转预付24057.26
</t>
        </r>
      </text>
    </comment>
    <comment ref="I23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I24" authorId="0">
      <text>
        <r>
          <rPr>
            <sz val="9"/>
            <rFont val="宋体"/>
            <charset val="134"/>
          </rPr>
          <t xml:space="preserve">到付USD3631.78转预付25894.59
</t>
        </r>
      </text>
    </comment>
    <comment ref="I28" authorId="0">
      <text>
        <r>
          <rPr>
            <b/>
            <sz val="9"/>
            <rFont val="宋体"/>
            <charset val="134"/>
          </rPr>
          <t>3到付USD57.22转预付421.</t>
        </r>
        <r>
          <rPr>
            <sz val="9"/>
            <rFont val="宋体"/>
            <charset val="134"/>
          </rPr>
          <t xml:space="preserve">
</t>
        </r>
      </text>
    </comment>
    <comment ref="I31" authorId="0">
      <text>
        <r>
          <rPr>
            <sz val="9"/>
            <rFont val="宋体"/>
            <charset val="134"/>
          </rPr>
          <t xml:space="preserve">到付USD210.82转预付1549.3
</t>
        </r>
      </text>
    </comment>
    <comment ref="I34" authorId="0">
      <text>
        <r>
          <rPr>
            <sz val="9"/>
            <rFont val="宋体"/>
            <charset val="134"/>
          </rPr>
          <t xml:space="preserve">到付USD63.01转预付468.7.
</t>
        </r>
      </text>
    </comment>
    <comment ref="I35" authorId="0">
      <text>
        <r>
          <rPr>
            <sz val="9"/>
            <rFont val="宋体"/>
            <charset val="134"/>
          </rPr>
          <t xml:space="preserve">到付USD476.3转预付3500.8.
</t>
        </r>
      </text>
    </comment>
    <comment ref="I38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I41" authorId="0">
      <text>
        <r>
          <rPr>
            <sz val="9"/>
            <rFont val="宋体"/>
            <charset val="134"/>
          </rPr>
          <t xml:space="preserve">到付USD328.6转预付2382.35
</t>
        </r>
      </text>
    </comment>
    <comment ref="I42" authorId="0">
      <text>
        <r>
          <rPr>
            <sz val="9"/>
            <rFont val="宋体"/>
            <charset val="134"/>
          </rPr>
          <t xml:space="preserve">到付USD482.3转预付3879.
</t>
        </r>
      </text>
    </comment>
    <comment ref="I43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I45" authorId="0">
      <text>
        <r>
          <rPr>
            <sz val="9"/>
            <rFont val="宋体"/>
            <charset val="134"/>
          </rPr>
          <t xml:space="preserve">到付USD479.87转预付3441.
</t>
        </r>
      </text>
    </comment>
    <comment ref="I48" authorId="0">
      <text>
        <r>
          <rPr>
            <sz val="9"/>
            <rFont val="宋体"/>
            <charset val="134"/>
          </rPr>
          <t xml:space="preserve">到付USD92.9转预付678.17
</t>
        </r>
      </text>
    </comment>
    <comment ref="I50" authorId="0">
      <text>
        <r>
          <rPr>
            <sz val="9"/>
            <rFont val="宋体"/>
            <charset val="134"/>
          </rPr>
          <t xml:space="preserve">到付USD4043.23转预付29515.58
</t>
        </r>
      </text>
    </comment>
    <comment ref="I51" authorId="0">
      <text>
        <r>
          <rPr>
            <sz val="9"/>
            <rFont val="宋体"/>
            <charset val="134"/>
          </rPr>
          <t xml:space="preserve">到付USD838.8转预付6123.24
</t>
        </r>
      </text>
    </comment>
    <comment ref="I54" authorId="0">
      <text>
        <r>
          <rPr>
            <sz val="9"/>
            <rFont val="宋体"/>
            <charset val="134"/>
          </rPr>
          <t xml:space="preserve">到付USD2840转=预付20732
</t>
        </r>
      </text>
    </comment>
    <comment ref="I55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I58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I59" authorId="0">
      <text>
        <r>
          <rPr>
            <sz val="9"/>
            <rFont val="宋体"/>
            <charset val="134"/>
          </rPr>
          <t xml:space="preserve">到付USD1286.74转预付9341.73
</t>
        </r>
      </text>
    </comment>
    <comment ref="I61" authorId="0">
      <text>
        <r>
          <rPr>
            <sz val="9"/>
            <rFont val="宋体"/>
            <charset val="134"/>
          </rPr>
          <t xml:space="preserve">到付USD3917.96转预付28601.11
</t>
        </r>
      </text>
    </comment>
    <comment ref="I63" authorId="0">
      <text>
        <r>
          <rPr>
            <sz val="9"/>
            <rFont val="宋体"/>
            <charset val="134"/>
          </rPr>
          <t xml:space="preserve">到付USD1486转预付10847.8
</t>
        </r>
      </text>
    </comment>
    <comment ref="I65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I68" authorId="0">
      <text>
        <r>
          <rPr>
            <sz val="9"/>
            <rFont val="宋体"/>
            <charset val="134"/>
          </rPr>
          <t xml:space="preserve">到付USD4556.51转预付33080.26
</t>
        </r>
      </text>
    </comment>
    <comment ref="I71" authorId="0">
      <text>
        <r>
          <rPr>
            <sz val="9"/>
            <rFont val="宋体"/>
            <charset val="134"/>
          </rPr>
          <t xml:space="preserve">到付USD25.59转预付186.81
</t>
        </r>
      </text>
    </comment>
    <comment ref="U72" authorId="0">
      <text>
        <r>
          <rPr>
            <b/>
            <sz val="9"/>
            <rFont val="宋体"/>
            <charset val="134"/>
          </rPr>
          <t>800元叉车费用</t>
        </r>
        <r>
          <rPr>
            <sz val="9"/>
            <rFont val="宋体"/>
            <charset val="134"/>
          </rPr>
          <t xml:space="preserve">
</t>
        </r>
      </text>
    </comment>
    <comment ref="I74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I75" authorId="0">
      <text>
        <r>
          <rPr>
            <sz val="9"/>
            <rFont val="宋体"/>
            <charset val="134"/>
          </rPr>
          <t xml:space="preserve">到付USD259.28转预付3329.79.
</t>
        </r>
      </text>
    </comment>
    <comment ref="I76" authorId="0">
      <text>
        <r>
          <rPr>
            <sz val="9"/>
            <rFont val="宋体"/>
            <charset val="134"/>
          </rPr>
          <t xml:space="preserve">到付USD150.02转预付1095.15
</t>
        </r>
      </text>
    </comment>
    <comment ref="I77" authorId="0">
      <text>
        <r>
          <rPr>
            <sz val="9"/>
            <rFont val="宋体"/>
            <charset val="134"/>
          </rPr>
          <t xml:space="preserve">预付148.17转预付1163.
</t>
        </r>
      </text>
    </comment>
    <comment ref="I78" authorId="0">
      <text>
        <r>
          <rPr>
            <sz val="9"/>
            <rFont val="宋体"/>
            <charset val="134"/>
          </rPr>
          <t xml:space="preserve">到付USD28.56转预付223.3
</t>
        </r>
      </text>
    </comment>
    <comment ref="I79" authorId="0">
      <text>
        <r>
          <rPr>
            <sz val="9"/>
            <rFont val="宋体"/>
            <charset val="134"/>
          </rPr>
          <t>到付USD164.3转预付1191.18.</t>
        </r>
      </text>
    </comment>
    <comment ref="I80" authorId="0">
      <text>
        <r>
          <rPr>
            <sz val="9"/>
            <rFont val="宋体"/>
            <charset val="134"/>
          </rPr>
          <t>到付USD42.7转预付309.58.</t>
        </r>
      </text>
    </comment>
    <comment ref="I81" authorId="0">
      <text>
        <r>
          <rPr>
            <sz val="9"/>
            <rFont val="宋体"/>
            <charset val="134"/>
          </rPr>
          <t xml:space="preserve">到付USD3011.82转预付21865.81
</t>
        </r>
      </text>
    </comment>
    <comment ref="I82" authorId="0">
      <text>
        <r>
          <rPr>
            <sz val="9"/>
            <rFont val="宋体"/>
            <charset val="134"/>
          </rPr>
          <t xml:space="preserve">到付USD174.49转预付1266.8
</t>
        </r>
      </text>
    </comment>
    <comment ref="I83" authorId="0">
      <text>
        <r>
          <rPr>
            <sz val="9"/>
            <rFont val="宋体"/>
            <charset val="134"/>
          </rPr>
          <t xml:space="preserve">到付USD4841.94转预付35152.53
</t>
        </r>
      </text>
    </comment>
    <comment ref="I86" authorId="0">
      <text>
        <r>
          <rPr>
            <sz val="9"/>
            <rFont val="宋体"/>
            <charset val="134"/>
          </rPr>
          <t xml:space="preserve">到付USD758.85转预付5539.61
</t>
        </r>
      </text>
    </comment>
    <comment ref="I89" authorId="0">
      <text>
        <r>
          <rPr>
            <sz val="9"/>
            <rFont val="宋体"/>
            <charset val="134"/>
          </rPr>
          <t xml:space="preserve">到付USD696.72转预付5086.06
</t>
        </r>
      </text>
    </comment>
    <comment ref="I90" authorId="0">
      <text>
        <r>
          <rPr>
            <sz val="9"/>
            <rFont val="宋体"/>
            <charset val="134"/>
          </rPr>
          <t xml:space="preserve">预付148.17转预付1163.
</t>
        </r>
      </text>
    </comment>
    <comment ref="I91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I92" authorId="0">
      <text>
        <r>
          <rPr>
            <sz val="9"/>
            <rFont val="宋体"/>
            <charset val="134"/>
          </rPr>
          <t xml:space="preserve">到付USD44.57转预付344.
</t>
        </r>
      </text>
    </comment>
    <comment ref="I93" authorId="0">
      <text>
        <r>
          <rPr>
            <sz val="9"/>
            <rFont val="宋体"/>
            <charset val="134"/>
          </rPr>
          <t xml:space="preserve">到付USD969.6转预付7039.3
</t>
        </r>
      </text>
    </comment>
    <comment ref="I94" authorId="0">
      <text>
        <r>
          <rPr>
            <sz val="9"/>
            <rFont val="宋体"/>
            <charset val="134"/>
          </rPr>
          <t xml:space="preserve">到付USD468.58转预付3453.03
</t>
        </r>
      </text>
    </comment>
    <comment ref="I101" authorId="0">
      <text>
        <r>
          <rPr>
            <b/>
            <sz val="9"/>
            <rFont val="宋体"/>
            <charset val="134"/>
          </rPr>
          <t>24/12微信支付代垫运费7012.80元</t>
        </r>
      </text>
    </comment>
    <comment ref="M109" authorId="0">
      <text>
        <r>
          <rPr>
            <sz val="9"/>
            <rFont val="宋体"/>
            <charset val="134"/>
          </rPr>
          <t>已支付27.47欠18.6</t>
        </r>
      </text>
    </comment>
    <comment ref="I113" authorId="0">
      <text>
        <r>
          <rPr>
            <sz val="9"/>
            <rFont val="宋体"/>
            <charset val="134"/>
          </rPr>
          <t xml:space="preserve">到付USD1728转预付12614.4
</t>
        </r>
      </text>
    </comment>
    <comment ref="I114" authorId="0">
      <text>
        <r>
          <rPr>
            <sz val="9"/>
            <rFont val="宋体"/>
            <charset val="134"/>
          </rPr>
          <t xml:space="preserve">到付USD486.5转预付3551.45
</t>
        </r>
      </text>
    </comment>
    <comment ref="I117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I118" authorId="0">
      <text>
        <r>
          <rPr>
            <sz val="9"/>
            <rFont val="宋体"/>
            <charset val="134"/>
          </rPr>
          <t xml:space="preserve">预付726.4转预付5051.6
</t>
        </r>
      </text>
    </comment>
    <comment ref="I119" authorId="0">
      <text>
        <r>
          <rPr>
            <sz val="9"/>
            <rFont val="宋体"/>
            <charset val="134"/>
          </rPr>
          <t xml:space="preserve">到付USD770.12转预付5660.38.
</t>
        </r>
      </text>
    </comment>
    <comment ref="I120" authorId="0">
      <text>
        <r>
          <rPr>
            <sz val="9"/>
            <rFont val="宋体"/>
            <charset val="134"/>
          </rPr>
          <t xml:space="preserve">到付USD191.31转预付1396.56.
</t>
        </r>
      </text>
    </comment>
    <comment ref="I122" authorId="0">
      <text>
        <r>
          <rPr>
            <sz val="9"/>
            <rFont val="宋体"/>
            <charset val="134"/>
          </rPr>
          <t xml:space="preserve">到付USD205.46转预付1502.2
</t>
        </r>
      </text>
    </comment>
    <comment ref="I123" authorId="0">
      <text>
        <r>
          <rPr>
            <sz val="9"/>
            <rFont val="宋体"/>
            <charset val="134"/>
          </rPr>
          <t xml:space="preserve">到付USD1365.6转预付9968.88
</t>
        </r>
      </text>
    </comment>
    <comment ref="I124" authorId="0">
      <text>
        <r>
          <rPr>
            <sz val="9"/>
            <rFont val="宋体"/>
            <charset val="134"/>
          </rPr>
          <t xml:space="preserve">到付USD2110.39转预付16400.
</t>
        </r>
      </text>
    </comment>
    <comment ref="I131" authorId="0">
      <text>
        <r>
          <rPr>
            <sz val="9"/>
            <rFont val="宋体"/>
            <charset val="134"/>
          </rPr>
          <t xml:space="preserve">到付USD217.75转预付1773.41.
</t>
        </r>
      </text>
    </comment>
    <comment ref="I134" authorId="0">
      <text>
        <r>
          <rPr>
            <sz val="9"/>
            <rFont val="宋体"/>
            <charset val="134"/>
          </rPr>
          <t>到付USD1566.6转预付11415.02.</t>
        </r>
      </text>
    </comment>
    <comment ref="I135" authorId="0">
      <text>
        <r>
          <rPr>
            <sz val="9"/>
            <rFont val="宋体"/>
            <charset val="134"/>
          </rPr>
          <t xml:space="preserve">到付USD385.73转预付2812.99.
</t>
        </r>
      </text>
    </comment>
    <comment ref="I137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I138" authorId="0">
      <text>
        <r>
          <rPr>
            <sz val="9"/>
            <rFont val="宋体"/>
            <charset val="134"/>
          </rPr>
          <t xml:space="preserve">到付USD1728转预付12614.4
</t>
        </r>
      </text>
    </comment>
    <comment ref="I140" authorId="0">
      <text>
        <r>
          <rPr>
            <sz val="9"/>
            <rFont val="宋体"/>
            <charset val="134"/>
          </rPr>
          <t xml:space="preserve">到付USD232.06转预付1819.
</t>
        </r>
      </text>
    </comment>
    <comment ref="I143" authorId="0">
      <text>
        <r>
          <rPr>
            <sz val="9"/>
            <rFont val="宋体"/>
            <charset val="134"/>
          </rPr>
          <t xml:space="preserve">到付USD7832.22转预付57160.
</t>
        </r>
      </text>
    </comment>
    <comment ref="I145" authorId="0">
      <text>
        <r>
          <rPr>
            <sz val="9"/>
            <rFont val="宋体"/>
            <charset val="134"/>
          </rPr>
          <t xml:space="preserve">到付USD378.49转预付2950.46.
</t>
        </r>
      </text>
    </comment>
    <comment ref="I147" authorId="0">
      <text>
        <r>
          <rPr>
            <sz val="9"/>
            <rFont val="宋体"/>
            <charset val="134"/>
          </rPr>
          <t xml:space="preserve">到付USD21.74转预付397.5
</t>
        </r>
      </text>
    </comment>
    <comment ref="I149" authorId="0">
      <text>
        <r>
          <rPr>
            <sz val="9"/>
            <rFont val="宋体"/>
            <charset val="134"/>
          </rPr>
          <t xml:space="preserve">到付USD81.13转预付595.4.
</t>
        </r>
      </text>
    </comment>
    <comment ref="I152" authorId="0">
      <text>
        <r>
          <rPr>
            <sz val="9"/>
            <rFont val="宋体"/>
            <charset val="134"/>
          </rPr>
          <t xml:space="preserve">到付USD132.9转预付1201.
</t>
        </r>
      </text>
    </comment>
    <comment ref="I154" authorId="0">
      <text>
        <r>
          <rPr>
            <sz val="9"/>
            <rFont val="宋体"/>
            <charset val="134"/>
          </rPr>
          <t xml:space="preserve">到付USD77.55转预付489.22
</t>
        </r>
      </text>
    </comment>
    <comment ref="I160" authorId="0">
      <text>
        <r>
          <rPr>
            <sz val="9"/>
            <rFont val="宋体"/>
            <charset val="134"/>
          </rPr>
          <t xml:space="preserve">到付USD2812.74转预付20686.
</t>
        </r>
      </text>
    </comment>
    <comment ref="I162" authorId="0">
      <text>
        <r>
          <rPr>
            <sz val="9"/>
            <rFont val="宋体"/>
            <charset val="134"/>
          </rPr>
          <t xml:space="preserve">到付USD1868.3转预付13408.72.
</t>
        </r>
      </text>
    </comment>
    <comment ref="I163" authorId="0">
      <text>
        <r>
          <rPr>
            <sz val="9"/>
            <rFont val="宋体"/>
            <charset val="134"/>
          </rPr>
          <t xml:space="preserve">到付USD182.7转预付1326.75.
</t>
        </r>
      </text>
    </comment>
    <comment ref="I164" authorId="0">
      <text>
        <r>
          <rPr>
            <sz val="9"/>
            <rFont val="宋体"/>
            <charset val="134"/>
          </rPr>
          <t xml:space="preserve">到付USD2812.74转预付20686.
</t>
        </r>
      </text>
    </comment>
    <comment ref="I165" authorId="0">
      <text>
        <r>
          <rPr>
            <sz val="9"/>
            <rFont val="宋体"/>
            <charset val="134"/>
          </rPr>
          <t>到付USD532.5转预付3860.6.</t>
        </r>
      </text>
    </comment>
    <comment ref="I170" authorId="0">
      <text>
        <r>
          <rPr>
            <sz val="9"/>
            <rFont val="宋体"/>
            <charset val="134"/>
          </rPr>
          <t xml:space="preserve">到付USD30转预付220.5.
</t>
        </r>
      </text>
    </comment>
    <comment ref="I171" authorId="0">
      <text>
        <r>
          <rPr>
            <sz val="9"/>
            <rFont val="宋体"/>
            <charset val="134"/>
          </rPr>
          <t xml:space="preserve">到付USD297.95转预付2175.03.
</t>
        </r>
      </text>
    </comment>
    <comment ref="I174" authorId="0">
      <text>
        <r>
          <rPr>
            <sz val="9"/>
            <rFont val="宋体"/>
            <charset val="134"/>
          </rPr>
          <t xml:space="preserve">到付USD482.97转预付3525.68
</t>
        </r>
      </text>
    </comment>
    <comment ref="I175" authorId="0">
      <text>
        <r>
          <rPr>
            <sz val="9"/>
            <rFont val="宋体"/>
            <charset val="134"/>
          </rPr>
          <t xml:space="preserve">到付USD356.4转预付2601.72
</t>
        </r>
      </text>
    </comment>
    <comment ref="I181" authorId="0">
      <text>
        <r>
          <rPr>
            <sz val="9"/>
            <rFont val="宋体"/>
            <charset val="134"/>
          </rPr>
          <t xml:space="preserve">到付USD4210.86转预付30739.28
</t>
        </r>
      </text>
    </comment>
    <comment ref="I182" authorId="0">
      <text>
        <r>
          <rPr>
            <sz val="9"/>
            <rFont val="宋体"/>
            <charset val="134"/>
          </rPr>
          <t xml:space="preserve">到付USD1212.84转预付8910.
</t>
        </r>
      </text>
    </comment>
    <comment ref="I186" authorId="0">
      <text>
        <r>
          <rPr>
            <sz val="9"/>
            <rFont val="宋体"/>
            <charset val="134"/>
          </rPr>
          <t xml:space="preserve">到付USD14.73转预付107.53
</t>
        </r>
      </text>
    </comment>
    <comment ref="I188" authorId="0">
      <text>
        <r>
          <rPr>
            <sz val="9"/>
            <rFont val="宋体"/>
            <charset val="134"/>
          </rPr>
          <t xml:space="preserve">到付USD171.45转预付1251.59
</t>
        </r>
      </text>
    </comment>
    <comment ref="I189" authorId="0">
      <text>
        <r>
          <rPr>
            <sz val="9"/>
            <rFont val="宋体"/>
            <charset val="134"/>
          </rPr>
          <t xml:space="preserve">到付USD552.83转预付4035.66
</t>
        </r>
      </text>
    </comment>
    <comment ref="I190" authorId="0">
      <text>
        <r>
          <rPr>
            <sz val="9"/>
            <rFont val="宋体"/>
            <charset val="134"/>
          </rPr>
          <t xml:space="preserve">到付USD5707.56转预付41664.19
</t>
        </r>
      </text>
    </comment>
    <comment ref="M191" authorId="0">
      <text>
        <r>
          <rPr>
            <sz val="9"/>
            <rFont val="宋体"/>
            <charset val="134"/>
          </rPr>
          <t xml:space="preserve">预付4825.14转到付USD678.64.
</t>
        </r>
      </text>
    </comment>
    <comment ref="M192" authorId="0">
      <text>
        <r>
          <rPr>
            <sz val="9"/>
            <rFont val="宋体"/>
            <charset val="134"/>
          </rPr>
          <t xml:space="preserve">预付477.2转到付USD67.11
</t>
        </r>
      </text>
    </comment>
    <comment ref="I197" authorId="0">
      <text>
        <r>
          <rPr>
            <sz val="9"/>
            <rFont val="宋体"/>
            <charset val="134"/>
          </rPr>
          <t xml:space="preserve">到付USD1725.37转预付13095.
</t>
        </r>
      </text>
    </comment>
    <comment ref="I199" authorId="0">
      <text>
        <r>
          <rPr>
            <sz val="9"/>
            <rFont val="宋体"/>
            <charset val="134"/>
          </rPr>
          <t xml:space="preserve">到付USD20.4转预付150.
</t>
        </r>
      </text>
    </comment>
    <comment ref="I201" authorId="0">
      <text>
        <r>
          <rPr>
            <sz val="9"/>
            <rFont val="宋体"/>
            <charset val="134"/>
          </rPr>
          <t xml:space="preserve">到付USD5960.11转预付43508.8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I7" authorId="0">
      <text>
        <r>
          <rPr>
            <sz val="9"/>
            <rFont val="宋体"/>
            <charset val="134"/>
          </rPr>
          <t xml:space="preserve">到付USD31l转预付224.75.
</t>
        </r>
      </text>
    </comment>
    <comment ref="M8" authorId="0">
      <text>
        <r>
          <rPr>
            <sz val="9"/>
            <rFont val="宋体"/>
            <charset val="134"/>
          </rPr>
          <t xml:space="preserve">预付30863.5转到付USD4286.59.
</t>
        </r>
      </text>
    </comment>
    <comment ref="I12" authorId="0">
      <text>
        <r>
          <rPr>
            <sz val="9"/>
            <rFont val="宋体"/>
            <charset val="134"/>
          </rPr>
          <t xml:space="preserve">到付USD363.33转预付2690.
</t>
        </r>
      </text>
    </comment>
    <comment ref="I14" authorId="0">
      <text>
        <r>
          <rPr>
            <sz val="9"/>
            <rFont val="宋体"/>
            <charset val="134"/>
          </rPr>
          <t xml:space="preserve">到付USD5205.48转预付38000.
</t>
        </r>
      </text>
    </comment>
    <comment ref="I16" authorId="0">
      <text>
        <r>
          <rPr>
            <sz val="9"/>
            <rFont val="宋体"/>
            <charset val="134"/>
          </rPr>
          <t xml:space="preserve">到付USD91.39转预付683.5.
</t>
        </r>
      </text>
    </comment>
    <comment ref="I18" authorId="0">
      <text>
        <r>
          <rPr>
            <sz val="9"/>
            <rFont val="宋体"/>
            <charset val="134"/>
          </rPr>
          <t xml:space="preserve">到付USD331.39转预付2506.
</t>
        </r>
      </text>
    </comment>
    <comment ref="I22" authorId="0">
      <text>
        <r>
          <rPr>
            <sz val="9"/>
            <rFont val="宋体"/>
            <charset val="134"/>
          </rPr>
          <t xml:space="preserve">到付USD5657.03转预付41296.32
</t>
        </r>
      </text>
    </comment>
    <comment ref="I24" authorId="0">
      <text>
        <r>
          <rPr>
            <b/>
            <sz val="9"/>
            <rFont val="宋体"/>
            <charset val="134"/>
          </rPr>
          <t>31/12收美金</t>
        </r>
        <r>
          <rPr>
            <sz val="9"/>
            <rFont val="宋体"/>
            <charset val="134"/>
          </rPr>
          <t xml:space="preserve">
</t>
        </r>
      </text>
    </comment>
    <comment ref="I25" authorId="0">
      <text>
        <r>
          <rPr>
            <sz val="9"/>
            <rFont val="宋体"/>
            <charset val="134"/>
          </rPr>
          <t xml:space="preserve">到付USD221.02转预付1624.5.
</t>
        </r>
      </text>
    </comment>
    <comment ref="I26" authorId="0">
      <text>
        <r>
          <rPr>
            <sz val="9"/>
            <rFont val="宋体"/>
            <charset val="134"/>
          </rPr>
          <t>到付USD129.74转预付941.05.</t>
        </r>
      </text>
    </comment>
    <comment ref="I28" authorId="0">
      <text>
        <r>
          <rPr>
            <sz val="9"/>
            <rFont val="宋体"/>
            <charset val="134"/>
          </rPr>
          <t xml:space="preserve">到付USD331.89转预付2422.8
</t>
        </r>
      </text>
    </comment>
    <comment ref="I29" authorId="0">
      <text>
        <r>
          <rPr>
            <sz val="9"/>
            <rFont val="宋体"/>
            <charset val="134"/>
          </rPr>
          <t xml:space="preserve">31/12国内收美金
</t>
        </r>
      </text>
    </comment>
    <comment ref="I30" authorId="0">
      <text>
        <r>
          <rPr>
            <sz val="9"/>
            <rFont val="宋体"/>
            <charset val="134"/>
          </rPr>
          <t xml:space="preserve">到付USD16774.66转预付123500.
</t>
        </r>
      </text>
    </comment>
    <comment ref="I32" authorId="0">
      <text>
        <r>
          <rPr>
            <sz val="9"/>
            <rFont val="宋体"/>
            <charset val="134"/>
          </rPr>
          <t xml:space="preserve">到付USD145.34转预付1060.98.
</t>
        </r>
      </text>
    </comment>
    <comment ref="I33" authorId="0">
      <text>
        <r>
          <rPr>
            <sz val="9"/>
            <rFont val="宋体"/>
            <charset val="134"/>
          </rPr>
          <t xml:space="preserve">到付USD103.74转预付757.
</t>
        </r>
      </text>
    </comment>
    <comment ref="M37" authorId="0">
      <text>
        <r>
          <rPr>
            <sz val="9"/>
            <rFont val="宋体"/>
            <charset val="134"/>
          </rPr>
          <t xml:space="preserve">预付580转到付USD79.77.
</t>
        </r>
      </text>
    </comment>
    <comment ref="I40" authorId="0">
      <text>
        <r>
          <rPr>
            <sz val="9"/>
            <rFont val="宋体"/>
            <charset val="134"/>
          </rPr>
          <t xml:space="preserve">到付USD16774.66转预付123500.
</t>
        </r>
      </text>
    </comment>
    <comment ref="I41" authorId="0">
      <text>
        <r>
          <rPr>
            <sz val="9"/>
            <rFont val="宋体"/>
            <charset val="134"/>
          </rPr>
          <t xml:space="preserve">到付USD6565.65转预付48779.
</t>
        </r>
      </text>
    </comment>
    <comment ref="I44" authorId="0">
      <text>
        <r>
          <rPr>
            <sz val="9"/>
            <rFont val="宋体"/>
            <charset val="134"/>
          </rPr>
          <t xml:space="preserve">到付USD600.78转预付4385.69
</t>
        </r>
      </text>
    </comment>
    <comment ref="M46" authorId="0">
      <text>
        <r>
          <rPr>
            <sz val="9"/>
            <rFont val="宋体"/>
            <charset val="134"/>
          </rPr>
          <t xml:space="preserve">预付899.62转到付USD123.74.
</t>
        </r>
      </text>
    </comment>
    <comment ref="I48" authorId="0">
      <text>
        <r>
          <rPr>
            <sz val="9"/>
            <rFont val="宋体"/>
            <charset val="134"/>
          </rPr>
          <t xml:space="preserve">到付USD114转预付853
</t>
        </r>
      </text>
    </comment>
    <comment ref="I50" authorId="0">
      <text>
        <r>
          <rPr>
            <sz val="9"/>
            <rFont val="宋体"/>
            <charset val="134"/>
          </rPr>
          <t xml:space="preserve">到付USD168.47转预付1213.
</t>
        </r>
      </text>
    </comment>
    <comment ref="I51" authorId="0">
      <text>
        <r>
          <rPr>
            <sz val="9"/>
            <rFont val="宋体"/>
            <charset val="134"/>
          </rPr>
          <t xml:space="preserve">到付USD6.94转预付228.
</t>
        </r>
      </text>
    </comment>
    <comment ref="I55" authorId="0">
      <text>
        <r>
          <rPr>
            <sz val="9"/>
            <rFont val="宋体"/>
            <charset val="134"/>
          </rPr>
          <t xml:space="preserve">到付USD692.08转预付5053.
</t>
        </r>
      </text>
    </comment>
    <comment ref="I58" authorId="0">
      <text>
        <r>
          <rPr>
            <sz val="9"/>
            <rFont val="宋体"/>
            <charset val="134"/>
          </rPr>
          <t xml:space="preserve">到付USD85.11转预付621.3
</t>
        </r>
      </text>
    </comment>
    <comment ref="I61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I71" authorId="0">
      <text>
        <r>
          <rPr>
            <sz val="9"/>
            <rFont val="宋体"/>
            <charset val="134"/>
          </rPr>
          <t>到付USD1471.17转预付10739.54.</t>
        </r>
      </text>
    </comment>
    <comment ref="V74" authorId="0">
      <text>
        <r>
          <rPr>
            <b/>
            <sz val="9"/>
            <rFont val="宋体"/>
            <charset val="134"/>
          </rPr>
          <t>转仓费:</t>
        </r>
        <r>
          <rPr>
            <sz val="9"/>
            <rFont val="宋体"/>
            <charset val="134"/>
          </rPr>
          <t xml:space="preserve">
</t>
        </r>
      </text>
    </comment>
    <comment ref="I75" authorId="0">
      <text>
        <r>
          <rPr>
            <sz val="9"/>
            <rFont val="宋体"/>
            <charset val="134"/>
          </rPr>
          <t xml:space="preserve">到付USD5194.06转预付37916.64
</t>
        </r>
      </text>
    </comment>
    <comment ref="I79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I82" authorId="0">
      <text>
        <r>
          <rPr>
            <sz val="9"/>
            <rFont val="宋体"/>
            <charset val="134"/>
          </rPr>
          <t xml:space="preserve">到付USD636.9转预付 4628.
</t>
        </r>
      </text>
    </comment>
    <comment ref="I83" authorId="0">
      <text>
        <r>
          <rPr>
            <sz val="9"/>
            <rFont val="宋体"/>
            <charset val="134"/>
          </rPr>
          <t>31/12国内收美金</t>
        </r>
      </text>
    </comment>
    <comment ref="I84" authorId="0">
      <text>
        <r>
          <rPr>
            <sz val="9"/>
            <rFont val="宋体"/>
            <charset val="134"/>
          </rPr>
          <t xml:space="preserve">到付转预付3280
</t>
        </r>
      </text>
    </comment>
    <comment ref="I86" authorId="0">
      <text>
        <r>
          <rPr>
            <sz val="9"/>
            <rFont val="宋体"/>
            <charset val="134"/>
          </rPr>
          <t xml:space="preserve">到付USD377.23转预付3448.
</t>
        </r>
      </text>
    </comment>
    <comment ref="I88" authorId="0">
      <text>
        <r>
          <rPr>
            <sz val="9"/>
            <rFont val="宋体"/>
            <charset val="134"/>
          </rPr>
          <t xml:space="preserve">到付USD100.86转预付748.5.
</t>
        </r>
      </text>
    </comment>
    <comment ref="I89" authorId="0">
      <text>
        <r>
          <rPr>
            <sz val="9"/>
            <rFont val="宋体"/>
            <charset val="134"/>
          </rPr>
          <t xml:space="preserve">到付USD932.28转预付6811.
</t>
        </r>
      </text>
    </comment>
    <comment ref="V91" authorId="0">
      <text>
        <r>
          <rPr>
            <sz val="9"/>
            <rFont val="宋体"/>
            <charset val="134"/>
          </rPr>
          <t xml:space="preserve">转仓费
</t>
        </r>
      </text>
    </comment>
    <comment ref="I93" authorId="0">
      <text>
        <r>
          <rPr>
            <sz val="9"/>
            <rFont val="宋体"/>
            <charset val="134"/>
          </rPr>
          <t>到付USD425.05转预付3096.47
.到付USD2514.54转预付18104.69合计21201.16</t>
        </r>
      </text>
    </comment>
    <comment ref="I94" authorId="0">
      <text>
        <r>
          <rPr>
            <sz val="9"/>
            <rFont val="宋体"/>
            <charset val="134"/>
          </rPr>
          <t xml:space="preserve">到付USD1574.22转预付11334.38
</t>
        </r>
      </text>
    </comment>
    <comment ref="I97" authorId="0">
      <text>
        <r>
          <rPr>
            <sz val="9"/>
            <rFont val="宋体"/>
            <charset val="134"/>
          </rPr>
          <t xml:space="preserve">31/12国内收美金
</t>
        </r>
      </text>
    </comment>
    <comment ref="I98" authorId="0">
      <text>
        <r>
          <rPr>
            <b/>
            <sz val="9"/>
            <rFont val="宋体"/>
            <charset val="134"/>
          </rPr>
          <t>31/12国内收美金</t>
        </r>
        <r>
          <rPr>
            <sz val="9"/>
            <rFont val="宋体"/>
            <charset val="134"/>
          </rPr>
          <t xml:space="preserve">
</t>
        </r>
      </text>
    </comment>
    <comment ref="I99" authorId="0">
      <text>
        <r>
          <rPr>
            <b/>
            <sz val="9"/>
            <rFont val="宋体"/>
            <charset val="134"/>
          </rPr>
          <t>30/12国内收美金</t>
        </r>
        <r>
          <rPr>
            <sz val="9"/>
            <rFont val="宋体"/>
            <charset val="134"/>
          </rPr>
          <t xml:space="preserve">
</t>
        </r>
      </text>
    </comment>
    <comment ref="I104" authorId="0">
      <text>
        <r>
          <rPr>
            <sz val="9"/>
            <rFont val="宋体"/>
            <charset val="134"/>
          </rPr>
          <t xml:space="preserve">到付USD86.94转预付639.5
</t>
        </r>
      </text>
    </comment>
    <comment ref="I110" authorId="0">
      <text>
        <r>
          <rPr>
            <sz val="9"/>
            <rFont val="宋体"/>
            <charset val="134"/>
          </rPr>
          <t>31/12国内收美金</t>
        </r>
      </text>
    </comment>
    <comment ref="I111" authorId="0">
      <text>
        <r>
          <rPr>
            <sz val="9"/>
            <rFont val="宋体"/>
            <charset val="134"/>
          </rPr>
          <t>到付USD1490.73l专预付136936.</t>
        </r>
      </text>
    </comment>
    <comment ref="I120" authorId="0">
      <text>
        <r>
          <rPr>
            <sz val="9"/>
            <rFont val="宋体"/>
            <charset val="134"/>
          </rPr>
          <t>到付USD1484.35转预付10687.32</t>
        </r>
      </text>
    </comment>
    <comment ref="I134" authorId="0">
      <text>
        <r>
          <rPr>
            <sz val="9"/>
            <rFont val="宋体"/>
            <charset val="134"/>
          </rPr>
          <t>到付USD4.44转预付220.</t>
        </r>
      </text>
    </comment>
    <comment ref="I136" authorId="0">
      <text>
        <r>
          <rPr>
            <sz val="9"/>
            <rFont val="宋体"/>
            <charset val="134"/>
          </rPr>
          <t>到付USD8590.4转预付62286.</t>
        </r>
      </text>
    </comment>
    <comment ref="I145" authorId="0">
      <text>
        <r>
          <rPr>
            <sz val="9"/>
            <rFont val="宋体"/>
            <charset val="134"/>
          </rPr>
          <t xml:space="preserve">到付USD849.23转预付6114.46
</t>
        </r>
      </text>
    </comment>
    <comment ref="I154" authorId="0">
      <text>
        <r>
          <rPr>
            <sz val="9"/>
            <rFont val="宋体"/>
            <charset val="134"/>
          </rPr>
          <t xml:space="preserve">到付106.44转预付792.
</t>
        </r>
      </text>
    </comment>
    <comment ref="I160" authorId="0">
      <text>
        <r>
          <rPr>
            <sz val="9"/>
            <rFont val="宋体"/>
            <charset val="134"/>
          </rPr>
          <t xml:space="preserve">到付USD117.15转预付870.
</t>
        </r>
      </text>
    </comment>
    <comment ref="I161" authorId="0">
      <text>
        <r>
          <rPr>
            <sz val="9"/>
            <rFont val="宋体"/>
            <charset val="134"/>
          </rPr>
          <t xml:space="preserve">到付转预付2195.
</t>
        </r>
      </text>
    </comment>
    <comment ref="I163" authorId="0">
      <text>
        <r>
          <rPr>
            <sz val="9"/>
            <rFont val="宋体"/>
            <charset val="134"/>
          </rPr>
          <t>到付USD62.22转预付463.</t>
        </r>
      </text>
    </comment>
    <comment ref="I164" authorId="0">
      <text>
        <r>
          <rPr>
            <sz val="9"/>
            <rFont val="宋体"/>
            <charset val="134"/>
          </rPr>
          <t xml:space="preserve">到付USD51.3转预付369.36
</t>
        </r>
      </text>
    </comment>
    <comment ref="I165" authorId="0">
      <text>
        <r>
          <rPr>
            <sz val="9"/>
            <rFont val="宋体"/>
            <charset val="134"/>
          </rPr>
          <t xml:space="preserve">到付USD134.5转预付1003.
</t>
        </r>
      </text>
    </comment>
    <comment ref="I171" authorId="0">
      <text>
        <r>
          <rPr>
            <sz val="9"/>
            <rFont val="宋体"/>
            <charset val="134"/>
          </rPr>
          <t xml:space="preserve">到付USD15.81转预付113.83
</t>
        </r>
      </text>
    </comment>
    <comment ref="I192" authorId="0">
      <text>
        <r>
          <rPr>
            <sz val="9"/>
            <rFont val="宋体"/>
            <charset val="134"/>
          </rPr>
          <t xml:space="preserve">到付USD3186转预付22939.2
</t>
        </r>
      </text>
    </comment>
    <comment ref="I200" authorId="0">
      <text>
        <r>
          <rPr>
            <sz val="9"/>
            <rFont val="宋体"/>
            <charset val="134"/>
          </rPr>
          <t xml:space="preserve">到付USD2772转预付19958.4
</t>
        </r>
      </text>
    </comment>
    <comment ref="I211" authorId="0">
      <text>
        <r>
          <rPr>
            <sz val="9"/>
            <rFont val="宋体"/>
            <charset val="134"/>
          </rPr>
          <t xml:space="preserve">到付USD25.84转预付186.05
</t>
        </r>
      </text>
    </comment>
    <comment ref="I212" authorId="0">
      <text>
        <r>
          <rPr>
            <sz val="9"/>
            <rFont val="宋体"/>
            <charset val="134"/>
          </rPr>
          <t xml:space="preserve">到付USD2404.7转预付17313.84
</t>
        </r>
      </text>
    </comment>
    <comment ref="I213" authorId="0">
      <text>
        <r>
          <rPr>
            <sz val="9"/>
            <rFont val="宋体"/>
            <charset val="134"/>
          </rPr>
          <t xml:space="preserve">到付USD304.4转预付2222.
</t>
        </r>
      </text>
    </comment>
    <comment ref="I217" authorId="0">
      <text>
        <r>
          <rPr>
            <sz val="9"/>
            <rFont val="宋体"/>
            <charset val="134"/>
          </rPr>
          <t xml:space="preserve">到付USD236.75转预付1810.4
</t>
        </r>
      </text>
    </comment>
    <comment ref="I221" authorId="0">
      <text>
        <r>
          <rPr>
            <sz val="9"/>
            <rFont val="宋体"/>
            <charset val="134"/>
          </rPr>
          <t xml:space="preserve">到付USD346.79转预付2906.
</t>
        </r>
      </text>
    </comment>
    <comment ref="I222" authorId="0">
      <text>
        <r>
          <rPr>
            <sz val="9"/>
            <rFont val="宋体"/>
            <charset val="134"/>
          </rPr>
          <t xml:space="preserve">到付USD29.73转预付228.
</t>
        </r>
      </text>
    </comment>
    <comment ref="I229" authorId="0">
      <text>
        <r>
          <rPr>
            <sz val="9"/>
            <rFont val="宋体"/>
            <charset val="134"/>
          </rPr>
          <t xml:space="preserve">到付USD304.4转预付2222.
</t>
        </r>
      </text>
    </comment>
    <comment ref="I231" authorId="0">
      <text>
        <r>
          <rPr>
            <sz val="9"/>
            <rFont val="宋体"/>
            <charset val="134"/>
          </rPr>
          <t xml:space="preserve">合计9904.
</t>
        </r>
      </text>
    </comment>
    <comment ref="I235" authorId="0">
      <text>
        <r>
          <rPr>
            <sz val="9"/>
            <rFont val="宋体"/>
            <charset val="134"/>
          </rPr>
          <t xml:space="preserve">到付USD120.51转预付876.
</t>
        </r>
      </text>
    </comment>
    <comment ref="I238" authorId="0">
      <text>
        <r>
          <rPr>
            <sz val="9"/>
            <rFont val="宋体"/>
            <charset val="134"/>
          </rPr>
          <t xml:space="preserve">到付USD560.79转预付4037.69
</t>
        </r>
      </text>
    </comment>
    <comment ref="I253" authorId="0">
      <text>
        <r>
          <rPr>
            <sz val="9"/>
            <rFont val="宋体"/>
            <charset val="134"/>
          </rPr>
          <t xml:space="preserve">合计50166元
</t>
        </r>
      </text>
    </comment>
    <comment ref="I267" authorId="0">
      <text>
        <r>
          <rPr>
            <sz val="9"/>
            <rFont val="宋体"/>
            <charset val="134"/>
          </rPr>
          <t xml:space="preserve">USD13117.04转预付合计95754.39
</t>
        </r>
      </text>
    </comment>
    <comment ref="I282" authorId="0">
      <text>
        <r>
          <rPr>
            <sz val="9"/>
            <rFont val="宋体"/>
            <charset val="134"/>
          </rPr>
          <t xml:space="preserve">到付USD775.66转预付5584.75
</t>
        </r>
      </text>
    </comment>
    <comment ref="I283" authorId="0">
      <text>
        <r>
          <rPr>
            <sz val="9"/>
            <rFont val="宋体"/>
            <charset val="134"/>
          </rPr>
          <t xml:space="preserve">到付USD185.92转预付1338.62.
</t>
        </r>
      </text>
    </comment>
    <comment ref="I284" authorId="0">
      <text>
        <r>
          <rPr>
            <sz val="9"/>
            <rFont val="宋体"/>
            <charset val="134"/>
          </rPr>
          <t xml:space="preserve">到付USD16.79转预付120.89
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B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5月份：￥325,350.29
6月份：146115.31</t>
        </r>
      </text>
    </comment>
  </commentList>
</comments>
</file>

<file path=xl/sharedStrings.xml><?xml version="1.0" encoding="utf-8"?>
<sst xmlns="http://schemas.openxmlformats.org/spreadsheetml/2006/main" count="2442" uniqueCount="584">
  <si>
    <t>尼日利亚拉各斯（LOS） 应收明细表（海运）</t>
  </si>
  <si>
    <t>JOB</t>
  </si>
  <si>
    <t>集装编号 </t>
  </si>
  <si>
    <t>运单编号 </t>
  </si>
  <si>
    <t>日期</t>
  </si>
  <si>
    <t>发货人 </t>
  </si>
  <si>
    <t>收货人 </t>
  </si>
  <si>
    <t>计费体积 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</si>
  <si>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</si>
  <si>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</si>
  <si>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</si>
  <si>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</si>
  <si>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</si>
  <si>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</si>
  <si>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</si>
  <si>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</si>
  <si>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</si>
  <si>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</si>
  <si>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</si>
  <si>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</si>
  <si>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</si>
  <si>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</si>
  <si>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</si>
  <si>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</si>
  <si>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</si>
  <si>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</si>
  <si>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</si>
  <si>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</si>
  <si>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</si>
  <si>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</si>
  <si>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</si>
  <si>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</si>
  <si>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</si>
  <si>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indexed="8"/>
        <rFont val="Microsoft JhengHei"/>
        <charset val="134"/>
      </rPr>
      <t>汇</t>
    </r>
    <r>
      <rPr>
        <b/>
        <sz val="10"/>
        <color indexed="8"/>
        <rFont val="宋体"/>
        <charset val="134"/>
      </rPr>
      <t>率</t>
    </r>
  </si>
  <si>
    <r>
      <rPr>
        <b/>
        <sz val="9"/>
        <color indexed="8"/>
        <rFont val="宋体"/>
        <charset val="134"/>
      </rPr>
      <t>起运港</t>
    </r>
    <r>
      <rPr>
        <b/>
        <sz val="9"/>
        <color indexed="8"/>
        <rFont val="Microsoft JhengHei"/>
        <charset val="134"/>
      </rPr>
      <t>+</t>
    </r>
    <r>
      <rPr>
        <b/>
        <sz val="9"/>
        <color indexed="8"/>
        <rFont val="宋体"/>
        <charset val="134"/>
      </rPr>
      <t>目的港</t>
    </r>
  </si>
  <si>
    <t>JOB060359</t>
  </si>
  <si>
    <t>COLL004009</t>
  </si>
  <si>
    <t>Bella Chan</t>
  </si>
  <si>
    <t>james</t>
  </si>
  <si>
    <t>智托（陆总代付）</t>
  </si>
  <si>
    <t>Sam.Pao</t>
  </si>
  <si>
    <t>MaiKaiNian</t>
  </si>
  <si>
    <t>Isabel Zhu</t>
  </si>
  <si>
    <t>Halifa Success</t>
  </si>
  <si>
    <t>Shirley</t>
  </si>
  <si>
    <t>LUZILONG</t>
  </si>
  <si>
    <t>Shuaibu musa</t>
  </si>
  <si>
    <t>JOB060384</t>
  </si>
  <si>
    <t>COLL004033</t>
  </si>
  <si>
    <t>ying</t>
  </si>
  <si>
    <t>Zhangqing</t>
  </si>
  <si>
    <t>华茂青松</t>
  </si>
  <si>
    <t>喵喵速运-Layne</t>
  </si>
  <si>
    <t>Abdulsheldu</t>
  </si>
  <si>
    <t>zhang jian fei</t>
  </si>
  <si>
    <t>Lilon</t>
  </si>
  <si>
    <t>JUNDA YU</t>
  </si>
  <si>
    <t>chuks</t>
  </si>
  <si>
    <t>Adindu</t>
  </si>
  <si>
    <t>SKY JET</t>
  </si>
  <si>
    <t>LuZhiLong</t>
  </si>
  <si>
    <t>Victor Nnamdi</t>
  </si>
  <si>
    <t>JunYue hotel</t>
  </si>
  <si>
    <t>JOB060385</t>
  </si>
  <si>
    <t>COLL004034</t>
  </si>
  <si>
    <t>Jiang Li</t>
  </si>
  <si>
    <t>赛捷</t>
  </si>
  <si>
    <t>Ife Oyelami</t>
  </si>
  <si>
    <t>Ka Ka 4分部</t>
  </si>
  <si>
    <t>合     计</t>
  </si>
  <si>
    <t>月份</t>
  </si>
  <si>
    <t>到付
(USD)</t>
  </si>
  <si>
    <t>目的港成本合计</t>
  </si>
  <si>
    <t>应收到付款
（USD）</t>
  </si>
  <si>
    <t>应收
LOS到付款(人民币)</t>
  </si>
  <si>
    <t>应   收</t>
  </si>
  <si>
    <t>起运港
成本合计</t>
  </si>
  <si>
    <t>目的港
成本合计</t>
  </si>
  <si>
    <t>LOS已收款
(USD)</t>
  </si>
  <si>
    <t>LOS已收
（RMB）</t>
  </si>
  <si>
    <t>尼日利亚拉各斯（LOS） 应收利润明细表</t>
  </si>
  <si>
    <t>运费+
出口报关费</t>
  </si>
  <si>
    <t>JOB070344</t>
  </si>
  <si>
    <t>COLL004043</t>
  </si>
  <si>
    <t>baikaibo</t>
  </si>
  <si>
    <t>华茂青松=60177 
赛捷=1300</t>
  </si>
  <si>
    <t>Sunday Adelena</t>
  </si>
  <si>
    <t>TOLUBOD MOVERS</t>
  </si>
  <si>
    <t>Wang Hui Feng</t>
  </si>
  <si>
    <t>YA</t>
  </si>
  <si>
    <t>Jinggang Pan</t>
  </si>
  <si>
    <t>Mailmail Abv sales person 1</t>
  </si>
  <si>
    <t>Adams</t>
  </si>
  <si>
    <t>Mr. Jiang</t>
  </si>
  <si>
    <t>KE ZONG</t>
  </si>
  <si>
    <t>Huangpu</t>
  </si>
  <si>
    <t>JOB070349</t>
  </si>
  <si>
    <t>COLL004049</t>
  </si>
  <si>
    <t>华茂青松=60177
赛捷=800</t>
  </si>
  <si>
    <t>JOB070360</t>
  </si>
  <si>
    <t>COLL004060</t>
  </si>
  <si>
    <t>Joshua</t>
  </si>
  <si>
    <t>华茂青松=60177 
赛捷=1500</t>
  </si>
  <si>
    <t>喵喵速运-江</t>
  </si>
  <si>
    <t>LUZHILONG</t>
  </si>
  <si>
    <t>JOB070370</t>
  </si>
  <si>
    <t>COLL004070</t>
  </si>
  <si>
    <t>华茂青松=60177 
赛捷=2300</t>
  </si>
  <si>
    <t>liangyu</t>
  </si>
  <si>
    <t>Ikenna</t>
  </si>
  <si>
    <t>Candice Ding</t>
  </si>
  <si>
    <t>James</t>
  </si>
  <si>
    <t>Yusky</t>
  </si>
  <si>
    <t>JOB070375</t>
  </si>
  <si>
    <t>COLL004074</t>
  </si>
  <si>
    <t>Danny</t>
  </si>
  <si>
    <t>Austin Efe</t>
  </si>
  <si>
    <t>Nura</t>
  </si>
  <si>
    <t>Mr Michael</t>
  </si>
  <si>
    <t>MailMail速运-演员</t>
  </si>
  <si>
    <t>zeng hai</t>
  </si>
  <si>
    <t>zhong zi xin</t>
  </si>
  <si>
    <t>JOB080389</t>
  </si>
  <si>
    <t>COLL004124</t>
  </si>
  <si>
    <t>Anthonia</t>
  </si>
  <si>
    <t>JOB080353</t>
  </si>
  <si>
    <t>COLL004085</t>
  </si>
  <si>
    <t>Paul</t>
  </si>
  <si>
    <t>华茂青松=56567
赛捷=1280</t>
  </si>
  <si>
    <t>Idris</t>
  </si>
  <si>
    <t>Nick Wang</t>
  </si>
  <si>
    <t>Joy</t>
  </si>
  <si>
    <t>JOB080361</t>
  </si>
  <si>
    <t>COLL004096</t>
  </si>
  <si>
    <t>ShanShan</t>
  </si>
  <si>
    <t>华茂青松=56567
赛捷=2300</t>
  </si>
  <si>
    <t>Wendy</t>
  </si>
  <si>
    <t>Hu Hai Liang</t>
  </si>
  <si>
    <t>Musa Garuba</t>
  </si>
  <si>
    <t>WEI PING</t>
  </si>
  <si>
    <t>zhounengquan</t>
  </si>
  <si>
    <t>Sampao</t>
  </si>
  <si>
    <t>new hope 边鹏飞</t>
  </si>
  <si>
    <t>JOB080362</t>
  </si>
  <si>
    <t>COLL004097</t>
  </si>
  <si>
    <t>赛捷=56732.25
赛捷=800</t>
  </si>
  <si>
    <t>Abdul Aziz</t>
  </si>
  <si>
    <t>JOB080363</t>
  </si>
  <si>
    <t>COLL004098</t>
  </si>
  <si>
    <t>赛捷=56837.25
赛捷=2300</t>
  </si>
  <si>
    <t>zhang yong chong</t>
  </si>
  <si>
    <t>MR MANBO</t>
  </si>
  <si>
    <t>zhang long ting</t>
  </si>
  <si>
    <t>JOB080364</t>
  </si>
  <si>
    <t>COLL004100</t>
  </si>
  <si>
    <t>赛捷=57732.25
赛捷=800</t>
  </si>
  <si>
    <t>huangzhaoyong</t>
  </si>
  <si>
    <t>Cherry</t>
  </si>
  <si>
    <t>ChenGaoHong</t>
  </si>
  <si>
    <t>JOB080373</t>
  </si>
  <si>
    <t>COLL004107</t>
  </si>
  <si>
    <t>赛捷=56265.25
赛捷=1280</t>
  </si>
  <si>
    <t>FRANK</t>
  </si>
  <si>
    <t>Inemesit udoh</t>
  </si>
  <si>
    <t>Emma</t>
  </si>
  <si>
    <t>Oladunni Eludire</t>
  </si>
  <si>
    <t>FENG</t>
  </si>
  <si>
    <t>Mr.Joseph Ezekiel</t>
  </si>
  <si>
    <t>JOB080374</t>
  </si>
  <si>
    <t>COLL004108</t>
  </si>
  <si>
    <t>leoyang</t>
  </si>
  <si>
    <t>赛捷=56265.25
赛捷=1000</t>
  </si>
  <si>
    <t>yanjiafu</t>
  </si>
  <si>
    <t>JOB080371</t>
  </si>
  <si>
    <t>COLL004105整柜</t>
  </si>
  <si>
    <t>JOB080387</t>
  </si>
  <si>
    <t>COLL004121</t>
  </si>
  <si>
    <t>登凯=50475
赛捷=1000
拖车费=1670
杂费=61 
过磅费=53</t>
  </si>
  <si>
    <t>Maxim</t>
  </si>
  <si>
    <t>libiao</t>
  </si>
  <si>
    <t>Wu Jiao Xing</t>
  </si>
  <si>
    <t>Lin Bao Zhen</t>
  </si>
  <si>
    <t>JOB090350</t>
  </si>
  <si>
    <t>COLL004142</t>
  </si>
  <si>
    <t>登凯=48459
赛捷=1120 
拖车费=1670
杂费=81 
过磅费=61</t>
  </si>
  <si>
    <t>Adesoye</t>
  </si>
  <si>
    <t>SHAEK</t>
  </si>
  <si>
    <t>ERICA</t>
  </si>
  <si>
    <t>Harvey Wang</t>
  </si>
  <si>
    <t>dejare James</t>
  </si>
  <si>
    <t>陆梓龙</t>
  </si>
  <si>
    <t>luk</t>
  </si>
  <si>
    <t>JOB090351</t>
  </si>
  <si>
    <t>COLL004143</t>
  </si>
  <si>
    <t>ABDUL</t>
  </si>
  <si>
    <t>登凯=44776
赛捷=1750 
拖车费=2270
杂费=1388 
过磅费=65</t>
  </si>
  <si>
    <t>xiantian</t>
  </si>
  <si>
    <t>Mr Qiu</t>
  </si>
  <si>
    <t>WANG</t>
  </si>
  <si>
    <t>AiGeLi</t>
  </si>
  <si>
    <t>JOB090364</t>
  </si>
  <si>
    <t>COLL004256</t>
  </si>
  <si>
    <t>登凯=41647
赛捷=1280 
拖车费=1670
杂费=73
过磅费=68</t>
  </si>
  <si>
    <t>Ms PEJU</t>
  </si>
  <si>
    <t>Bruce</t>
  </si>
  <si>
    <t>Mr.Wang</t>
  </si>
  <si>
    <t>Sanusi samad</t>
  </si>
  <si>
    <t>jizong</t>
  </si>
  <si>
    <t>JOB090366</t>
  </si>
  <si>
    <t>COLL004158</t>
  </si>
  <si>
    <t>JOB090367</t>
  </si>
  <si>
    <t>COLL004161</t>
  </si>
  <si>
    <t>Mr. Jason</t>
  </si>
  <si>
    <t>只清关</t>
  </si>
  <si>
    <t>JOB090368</t>
  </si>
  <si>
    <t>COLL004162</t>
  </si>
  <si>
    <t>JOB090375</t>
  </si>
  <si>
    <t>COLL004167</t>
  </si>
  <si>
    <t>卓志=41025        赛捷=2800 
拖车费=1670
杂费=61
过磅费=67</t>
  </si>
  <si>
    <t>jiangnan</t>
  </si>
  <si>
    <t>Gbenga</t>
  </si>
  <si>
    <t>makus</t>
  </si>
  <si>
    <t>Ugochukwu</t>
  </si>
  <si>
    <t>JOB090387</t>
  </si>
  <si>
    <t>COLL004180</t>
  </si>
  <si>
    <t xml:space="preserve">登凯=39969.7
赛捷=2800 </t>
  </si>
  <si>
    <t>WDG</t>
  </si>
  <si>
    <t>Mr.Ahamed Tijani Danmallam</t>
  </si>
  <si>
    <t>JOB090388</t>
  </si>
  <si>
    <t>COLL004181</t>
  </si>
  <si>
    <t>登凯=38533
赛捷=1620
拖车费=1670
杂费=61
过磅费=59</t>
  </si>
  <si>
    <t>Mr Liu</t>
  </si>
  <si>
    <t>WYLB</t>
  </si>
  <si>
    <t>FEMEB NIGERIA LIMITED</t>
  </si>
  <si>
    <t>JOB100326</t>
  </si>
  <si>
    <t>COLL004189</t>
  </si>
  <si>
    <t>登凯=48262.5
赛捷=2800
 拖车费=1670
杂费=61 
过磅费=63</t>
  </si>
  <si>
    <t>Nicolas</t>
  </si>
  <si>
    <t>Sule Adekunle</t>
  </si>
  <si>
    <t>JOB100351</t>
  </si>
  <si>
    <t>COLL004217</t>
  </si>
  <si>
    <t>Yang Bo</t>
  </si>
  <si>
    <t>到付</t>
  </si>
  <si>
    <t>鼎程=245686.66  鼎程出口=750</t>
  </si>
  <si>
    <t>JOB100358</t>
  </si>
  <si>
    <t>COLL004182</t>
  </si>
  <si>
    <t>MA ZONG</t>
  </si>
  <si>
    <t>登凯=36617
赛捷=1660
 拖车费=1670
杂费=499
过磅费=69</t>
  </si>
  <si>
    <t>Gao Hui</t>
  </si>
  <si>
    <t>MISS Huang</t>
  </si>
  <si>
    <t>Arni</t>
  </si>
  <si>
    <t>xinlong</t>
  </si>
  <si>
    <t>leoluang</t>
  </si>
  <si>
    <t>JOB100359</t>
  </si>
  <si>
    <t>COLL004278</t>
  </si>
  <si>
    <t>登凯=39001
赛捷=1660</t>
  </si>
  <si>
    <t>KAY</t>
  </si>
  <si>
    <t>OKECHUKWU</t>
  </si>
  <si>
    <t>JOB100360</t>
  </si>
  <si>
    <t>COLL004247</t>
  </si>
  <si>
    <t>登凯=36901
赛捷=2800  
拖车费=1670
杂费=497
过磅费=65</t>
  </si>
  <si>
    <t>240929000011（补单）</t>
  </si>
  <si>
    <t>JOB100361</t>
  </si>
  <si>
    <t>COLL004248</t>
  </si>
  <si>
    <t>登凯=37199
赛捷=1500 
拖车费=1670
杂费=495
过磅费=50</t>
  </si>
  <si>
    <t>ALH RAKIM</t>
  </si>
  <si>
    <t>Mr wang</t>
  </si>
  <si>
    <t>JOB100331</t>
  </si>
  <si>
    <t>COLL004195</t>
  </si>
  <si>
    <t>登凯=37296
赛捷=2800 
拖车费=1670
杂费=61
过磅费=68</t>
  </si>
  <si>
    <t>lihongye</t>
  </si>
  <si>
    <t>WENXIAOBING</t>
  </si>
  <si>
    <t>MU SHI SHI</t>
  </si>
  <si>
    <t>JOB100362</t>
  </si>
  <si>
    <t>COLL004260</t>
  </si>
  <si>
    <t>登凯=38748
赛捷=1160
拖车费=1670
杂费=61
过磅费=67</t>
  </si>
  <si>
    <t>Wuchengxing</t>
  </si>
  <si>
    <t>Wole Rasak</t>
  </si>
  <si>
    <t>Sue</t>
  </si>
  <si>
    <t>liufang</t>
  </si>
  <si>
    <t>JOB100363</t>
  </si>
  <si>
    <t>COLL004265</t>
  </si>
  <si>
    <t>登凯=41870
陆总=3000  
拖车费=1670
杂费=61
过磅费=69</t>
  </si>
  <si>
    <t>fanglijuan</t>
  </si>
  <si>
    <t>Pedoski</t>
  </si>
  <si>
    <t>WangJianHua</t>
  </si>
  <si>
    <t>JOB100364</t>
  </si>
  <si>
    <t>COLL004268</t>
  </si>
  <si>
    <t>登凯=43830
赛捷=1480 
拖车费=1670
杂费=539
过磅费=67</t>
  </si>
  <si>
    <t>mazhiwei</t>
  </si>
  <si>
    <t>JOB100365</t>
  </si>
  <si>
    <t>COLL004270</t>
  </si>
  <si>
    <t>登凯=43830
赛捷=2960 
拖车费=1670
杂费=623
过磅费=69</t>
  </si>
  <si>
    <t>JOB100366</t>
  </si>
  <si>
    <t>COLL004269</t>
  </si>
  <si>
    <t>登凯=43830
赛捷=1160 
拖车费=1670
杂费=633
过磅费=69</t>
  </si>
  <si>
    <t>Luxre Fashions</t>
  </si>
  <si>
    <t>Ariel</t>
  </si>
  <si>
    <t>JOB110331</t>
  </si>
  <si>
    <t>COLL004224</t>
  </si>
  <si>
    <t>登凯=41647
陆总=2000 
拖车费=1670
杂费=101
过磅费=58</t>
  </si>
  <si>
    <t>JOB120359</t>
  </si>
  <si>
    <t>COLL004280</t>
  </si>
  <si>
    <t>登凯=44060
陆总=2500
拖车费=1670
杂费=101
过磅费=68</t>
  </si>
  <si>
    <t>JOB120361</t>
  </si>
  <si>
    <t>COLL004287</t>
  </si>
  <si>
    <t>登凯=46189.5
陆总=1200  
拖车费=1670
杂费=89
过磅费=66</t>
  </si>
  <si>
    <t>BOYOU 吕</t>
  </si>
  <si>
    <t>LEO WEI</t>
  </si>
  <si>
    <t>Maryam Tukur</t>
  </si>
  <si>
    <t>Barrister Hammed</t>
  </si>
  <si>
    <t>Chizoba</t>
  </si>
  <si>
    <t>Mu Shi Shi</t>
  </si>
  <si>
    <t>JOB120362</t>
  </si>
  <si>
    <t>COLL004290</t>
  </si>
  <si>
    <t>登凯=46189.5
陆总=800 
拖车费=1670
杂费=61
过磅费=68</t>
  </si>
  <si>
    <t>Angel</t>
  </si>
  <si>
    <t>JOB120363</t>
  </si>
  <si>
    <t>COLL004291</t>
  </si>
  <si>
    <t>Tom chen</t>
  </si>
  <si>
    <t>登凯=43330
陆总=8000  
拖车费=1670
杂费=93
过磅费=125</t>
  </si>
  <si>
    <t>Oba Adeoriyomi Oyebo</t>
  </si>
  <si>
    <t>R李金</t>
  </si>
  <si>
    <t>Komebility gift</t>
  </si>
  <si>
    <t>yuhuichao</t>
  </si>
  <si>
    <t>Mr.Shen</t>
  </si>
  <si>
    <t>Mr.zhang</t>
  </si>
  <si>
    <t>wuchengxing</t>
  </si>
  <si>
    <t>JOB120364</t>
  </si>
  <si>
    <t>COLL004298</t>
  </si>
  <si>
    <t>登凯=43330
赛捷=1660
拖车费=1670
杂费=73
过磅费=70</t>
  </si>
  <si>
    <t>Isa</t>
  </si>
  <si>
    <t>weng zixian</t>
  </si>
  <si>
    <t>Ope Olofinjana</t>
  </si>
  <si>
    <t>FanXiangGuo</t>
  </si>
  <si>
    <t>JOB120365</t>
  </si>
  <si>
    <t>COLL004301</t>
  </si>
  <si>
    <t>登凯=43386.5
陆总=1800 
拖车费=1670
杂费=661
过磅费=71</t>
  </si>
  <si>
    <t>wangmuma</t>
  </si>
  <si>
    <t>xiaobai小白</t>
  </si>
  <si>
    <t>Mr Zhou</t>
  </si>
  <si>
    <t>Mr Olusola Abidemi</t>
  </si>
  <si>
    <t>Hao wangjun</t>
  </si>
  <si>
    <t>JOB120366</t>
  </si>
  <si>
    <t>COLL004305</t>
  </si>
  <si>
    <t>登凯=43386.5
赛捷=500  
拖车费=1670
杂费=61
过磅费=68</t>
  </si>
  <si>
    <t>Mr LiuQiSheng</t>
  </si>
  <si>
    <t>JOB120367</t>
  </si>
  <si>
    <t>COLL004308</t>
  </si>
  <si>
    <t>登凯=43386.5
赛捷=600  
拖车费=1670
杂费=75
过磅费=57</t>
  </si>
  <si>
    <t>shola</t>
  </si>
  <si>
    <t>JOB120368</t>
  </si>
  <si>
    <t>COLL004310</t>
  </si>
  <si>
    <t>登凯=43941.65
创泽=1300 
拖车费=1670
杂费=63
过磅费=59</t>
  </si>
  <si>
    <t>JOB120360</t>
  </si>
  <si>
    <t>COLL004315</t>
  </si>
  <si>
    <t>登凯=43870.25
创泽=1270
拖车费=1670
杂费=84
过磅费=69</t>
  </si>
  <si>
    <t>Adam e</t>
  </si>
  <si>
    <t>wangweijun</t>
  </si>
  <si>
    <t>linxiao</t>
  </si>
  <si>
    <t>liangdawei</t>
  </si>
  <si>
    <t>Jacky</t>
  </si>
  <si>
    <t>JOB120375</t>
  </si>
  <si>
    <t>COLL004323</t>
  </si>
  <si>
    <t>登凯=46552.5
创泽=1215
拖车费=1670
杂费=61
过磅费=70</t>
  </si>
  <si>
    <t>Obetta U</t>
  </si>
  <si>
    <t>Abubakar Badaru Abubakar</t>
  </si>
  <si>
    <t>JOB120376</t>
  </si>
  <si>
    <t>COLL004324</t>
  </si>
  <si>
    <t>WENDY</t>
  </si>
  <si>
    <t>登凯=46552.5
报关=500 
拖车费=1670
杂费=61
过磅费=68</t>
  </si>
  <si>
    <t>Mr. Wen Pu</t>
  </si>
  <si>
    <t>Frank</t>
  </si>
  <si>
    <t>JOB120381</t>
  </si>
  <si>
    <t>COLL004325</t>
  </si>
  <si>
    <t>登凯=46552.5
报关=300
拖车费=1670
杂费=166
过磅费=71</t>
  </si>
  <si>
    <t>BI AN</t>
  </si>
  <si>
    <t>JOB120387</t>
  </si>
  <si>
    <t>COLL004326</t>
  </si>
  <si>
    <t>登凯=45460.5
报关=2800
拖车费=1670
杂费=86
过磅费=64</t>
  </si>
  <si>
    <t>Mr Rell</t>
  </si>
  <si>
    <t>sven</t>
  </si>
  <si>
    <t>ss</t>
  </si>
  <si>
    <t>Sadiq</t>
  </si>
  <si>
    <t>JOB120390</t>
  </si>
  <si>
    <t>COLL004328</t>
  </si>
  <si>
    <t>登凯=45460.5
陆总=1500  
拖车费=1670
杂费=86
过磅费=61</t>
  </si>
  <si>
    <t>JOB120399</t>
  </si>
  <si>
    <t>COLL004330</t>
  </si>
  <si>
    <t>Alice</t>
  </si>
  <si>
    <t>登凯=45639
创泽=3175  
拖车费=1670
杂费=61
过磅费=70</t>
  </si>
  <si>
    <t>JOB120404</t>
  </si>
  <si>
    <t>COLL004342</t>
  </si>
  <si>
    <t>登凯=45401
报关=2960
拖车费=1670
杂费=89
过磅费=70</t>
  </si>
  <si>
    <t>JOB0202178</t>
  </si>
  <si>
    <t>COLL004395</t>
  </si>
  <si>
    <t>2024年6-12月份海运应收LOS统计表(Statistical tables receivable)</t>
  </si>
  <si>
    <t>月份 
month</t>
  </si>
  <si>
    <t>到付金额
Amount paid</t>
  </si>
  <si>
    <t>目的港成本
Port of destination cost</t>
  </si>
  <si>
    <t>应收到付款（USD）
Payment due</t>
  </si>
  <si>
    <t>汇率 
exchange rate</t>
  </si>
  <si>
    <t>应收到付款 
Payment due
(RMB)</t>
  </si>
  <si>
    <r>
      <rPr>
        <sz val="9"/>
        <color rgb="FFFF0000"/>
        <rFont val="微软雅黑"/>
        <charset val="134"/>
      </rPr>
      <t>实收</t>
    </r>
    <r>
      <rPr>
        <sz val="9"/>
        <color theme="1"/>
        <rFont val="微软雅黑"/>
        <charset val="134"/>
      </rPr>
      <t>（LOS）拉各斯金额
Collection(LOS)
Lagos amount</t>
    </r>
  </si>
  <si>
    <t>欠款金额
Amount owed</t>
  </si>
  <si>
    <t>备注 
remarks</t>
  </si>
  <si>
    <t>上月余额</t>
  </si>
  <si>
    <t>合计</t>
  </si>
  <si>
    <r>
      <rPr>
        <sz val="18"/>
        <color theme="1"/>
        <rFont val="宋体"/>
        <charset val="134"/>
        <scheme val="minor"/>
      </rPr>
      <t>24年6-12月份</t>
    </r>
    <r>
      <rPr>
        <sz val="18"/>
        <color rgb="FFFF0000"/>
        <rFont val="宋体"/>
        <charset val="134"/>
        <scheme val="minor"/>
      </rPr>
      <t>海运</t>
    </r>
    <r>
      <rPr>
        <sz val="18"/>
        <color theme="1"/>
        <rFont val="宋体"/>
        <charset val="134"/>
        <scheme val="minor"/>
      </rPr>
      <t>利润分成表</t>
    </r>
  </si>
  <si>
    <t>起运港+目的港</t>
  </si>
  <si>
    <r>
      <rPr>
        <sz val="18"/>
        <color theme="1"/>
        <rFont val="微软雅黑"/>
        <charset val="134"/>
      </rPr>
      <t>2024年6-12月份海运</t>
    </r>
    <r>
      <rPr>
        <sz val="18"/>
        <color rgb="FFFF0000"/>
        <rFont val="微软雅黑"/>
        <charset val="134"/>
      </rPr>
      <t>毛利</t>
    </r>
    <r>
      <rPr>
        <sz val="18"/>
        <color theme="1"/>
        <rFont val="微软雅黑"/>
        <charset val="134"/>
      </rPr>
      <t>总表-</t>
    </r>
    <r>
      <rPr>
        <sz val="18"/>
        <color rgb="FFFF0000"/>
        <rFont val="微软雅黑"/>
        <charset val="134"/>
      </rPr>
      <t>立方</t>
    </r>
  </si>
  <si>
    <t xml:space="preserve">           月份
科目 </t>
  </si>
  <si>
    <t>6月份</t>
  </si>
  <si>
    <t>7月份</t>
  </si>
  <si>
    <t>8月份</t>
  </si>
  <si>
    <t>9月份</t>
  </si>
  <si>
    <t>10月份</t>
  </si>
  <si>
    <t>11月份</t>
  </si>
  <si>
    <t>12月份</t>
  </si>
  <si>
    <t>主营营业收入</t>
  </si>
  <si>
    <t>主营营业成本</t>
  </si>
  <si>
    <r>
      <rPr>
        <sz val="14"/>
        <color rgb="FFFF0000"/>
        <rFont val="宋体"/>
        <charset val="134"/>
        <scheme val="minor"/>
      </rPr>
      <t>毛利</t>
    </r>
    <r>
      <rPr>
        <sz val="11"/>
        <color rgb="FFFF0000"/>
        <rFont val="宋体"/>
        <charset val="134"/>
        <scheme val="minor"/>
      </rPr>
      <t>=</t>
    </r>
    <r>
      <rPr>
        <sz val="11"/>
        <rFont val="宋体"/>
        <charset val="134"/>
        <scheme val="minor"/>
      </rPr>
      <t>营业收入-营业成本</t>
    </r>
  </si>
  <si>
    <r>
      <rPr>
        <sz val="11"/>
        <color rgb="FFFF0000"/>
        <rFont val="宋体"/>
        <charset val="134"/>
        <scheme val="minor"/>
      </rPr>
      <t>毛利率=</t>
    </r>
    <r>
      <rPr>
        <sz val="11"/>
        <rFont val="宋体"/>
        <charset val="134"/>
        <scheme val="minor"/>
      </rPr>
      <t>毛利/营业收入</t>
    </r>
  </si>
  <si>
    <r>
      <rPr>
        <sz val="16"/>
        <rFont val="微软雅黑"/>
        <charset val="134"/>
      </rPr>
      <t>2024年6-12月份海运</t>
    </r>
    <r>
      <rPr>
        <sz val="16"/>
        <color rgb="FFFF0000"/>
        <rFont val="微软雅黑"/>
        <charset val="134"/>
      </rPr>
      <t xml:space="preserve"> 利润总额=</t>
    </r>
    <r>
      <rPr>
        <sz val="16"/>
        <rFont val="微软雅黑"/>
        <charset val="134"/>
      </rPr>
      <t>毛利-营业费用</t>
    </r>
  </si>
  <si>
    <t xml:space="preserve">           月份
名称 </t>
  </si>
  <si>
    <r>
      <rPr>
        <b/>
        <sz val="14"/>
        <color theme="1"/>
        <rFont val="宋体"/>
        <charset val="134"/>
        <scheme val="minor"/>
      </rPr>
      <t>毛利--</t>
    </r>
    <r>
      <rPr>
        <b/>
        <sz val="14"/>
        <color rgb="FFFF0000"/>
        <rFont val="宋体"/>
        <charset val="134"/>
        <scheme val="minor"/>
      </rPr>
      <t>立方</t>
    </r>
  </si>
  <si>
    <r>
      <rPr>
        <sz val="10"/>
        <color rgb="FFFF0000"/>
        <rFont val="宋体"/>
        <charset val="134"/>
        <scheme val="minor"/>
      </rPr>
      <t>业务员提成</t>
    </r>
    <r>
      <rPr>
        <sz val="10"/>
        <rFont val="宋体"/>
        <charset val="134"/>
        <scheme val="minor"/>
      </rPr>
      <t>按（68）</t>
    </r>
  </si>
  <si>
    <r>
      <rPr>
        <sz val="10"/>
        <color rgb="FFFF0000"/>
        <rFont val="宋体"/>
        <charset val="134"/>
        <scheme val="minor"/>
      </rPr>
      <t>佛山海运仓</t>
    </r>
    <r>
      <rPr>
        <sz val="10"/>
        <color theme="1"/>
        <rFont val="宋体"/>
        <charset val="134"/>
        <scheme val="minor"/>
      </rPr>
      <t>人员工资及提成</t>
    </r>
  </si>
  <si>
    <r>
      <rPr>
        <sz val="10"/>
        <rFont val="宋体"/>
        <charset val="134"/>
        <scheme val="minor"/>
      </rPr>
      <t>业务人员</t>
    </r>
    <r>
      <rPr>
        <sz val="10"/>
        <color rgb="FFFF0000"/>
        <rFont val="宋体"/>
        <charset val="134"/>
        <scheme val="minor"/>
      </rPr>
      <t>公司部分社保费</t>
    </r>
  </si>
  <si>
    <r>
      <rPr>
        <sz val="10"/>
        <color rgb="FFFF0000"/>
        <rFont val="宋体"/>
        <charset val="134"/>
        <scheme val="minor"/>
      </rPr>
      <t>佛山海运仓</t>
    </r>
    <r>
      <rPr>
        <sz val="10"/>
        <color theme="1"/>
        <rFont val="宋体"/>
        <charset val="134"/>
        <scheme val="minor"/>
      </rPr>
      <t>人员</t>
    </r>
    <r>
      <rPr>
        <sz val="10"/>
        <color rgb="FFFF0000"/>
        <rFont val="宋体"/>
        <charset val="134"/>
        <scheme val="minor"/>
      </rPr>
      <t>公司部分社保费</t>
    </r>
  </si>
  <si>
    <r>
      <rPr>
        <sz val="10"/>
        <color rgb="FFFF0000"/>
        <rFont val="宋体"/>
        <charset val="134"/>
        <scheme val="minor"/>
      </rPr>
      <t>LOS海运仓</t>
    </r>
    <r>
      <rPr>
        <sz val="10"/>
        <color theme="1"/>
        <rFont val="宋体"/>
        <charset val="134"/>
        <scheme val="minor"/>
      </rPr>
      <t>人员工资</t>
    </r>
  </si>
  <si>
    <t>（佛山仓+LOS仓）
房租水电/日常经营费用</t>
  </si>
  <si>
    <t>财务费用</t>
  </si>
  <si>
    <t>营业费用合计</t>
  </si>
  <si>
    <r>
      <rPr>
        <sz val="12"/>
        <color rgb="FFFF0000"/>
        <rFont val="宋体"/>
        <charset val="134"/>
        <scheme val="minor"/>
      </rPr>
      <t>利润总额=</t>
    </r>
    <r>
      <rPr>
        <sz val="12"/>
        <rFont val="宋体"/>
        <charset val="134"/>
        <scheme val="minor"/>
      </rPr>
      <t>毛利-营业费用</t>
    </r>
  </si>
  <si>
    <t>2024年6-12月份海运营业费用</t>
  </si>
  <si>
    <r>
      <rPr>
        <b/>
        <sz val="12"/>
        <color theme="1"/>
        <rFont val="微软雅黑"/>
        <charset val="134"/>
      </rPr>
      <t>一、24年5-12月海运仓（佛山仓+LOS仓）租赁费及设备等</t>
    </r>
    <r>
      <rPr>
        <b/>
        <sz val="12"/>
        <color rgb="FFFF0000"/>
        <rFont val="微软雅黑"/>
        <charset val="134"/>
      </rPr>
      <t>日常经营费用</t>
    </r>
  </si>
  <si>
    <t xml:space="preserve">                           月  份
名  称 </t>
  </si>
  <si>
    <t>5月份</t>
  </si>
  <si>
    <t>金额</t>
  </si>
  <si>
    <r>
      <rPr>
        <b/>
        <sz val="12"/>
        <color theme="1"/>
        <rFont val="微软雅黑"/>
        <charset val="134"/>
      </rPr>
      <t>二、24年6-12月</t>
    </r>
    <r>
      <rPr>
        <b/>
        <sz val="12"/>
        <color rgb="FFFF0000"/>
        <rFont val="微软雅黑"/>
        <charset val="134"/>
      </rPr>
      <t>财务费用</t>
    </r>
  </si>
  <si>
    <r>
      <rPr>
        <b/>
        <sz val="12"/>
        <color theme="1"/>
        <rFont val="微软雅黑"/>
        <charset val="134"/>
      </rPr>
      <t>三、24年6-12月海运</t>
    </r>
    <r>
      <rPr>
        <b/>
        <sz val="12"/>
        <color rgb="FFFF0000"/>
        <rFont val="微软雅黑"/>
        <charset val="134"/>
      </rPr>
      <t>业务员提成</t>
    </r>
    <r>
      <rPr>
        <b/>
        <sz val="12"/>
        <color theme="1"/>
        <rFont val="微软雅黑"/>
        <charset val="134"/>
      </rPr>
      <t>（按68</t>
    </r>
    <r>
      <rPr>
        <b/>
        <sz val="12"/>
        <color theme="1"/>
        <rFont val="宋体"/>
        <charset val="134"/>
      </rPr>
      <t>³</t>
    </r>
    <r>
      <rPr>
        <b/>
        <sz val="12"/>
        <color theme="1"/>
        <rFont val="微软雅黑"/>
        <charset val="134"/>
      </rPr>
      <t>）</t>
    </r>
  </si>
  <si>
    <t xml:space="preserve">                           月  份
姓   名 </t>
  </si>
  <si>
    <t>陆总</t>
  </si>
  <si>
    <t>朱小飞</t>
  </si>
  <si>
    <t>陈三凤</t>
  </si>
  <si>
    <t>黄  颖</t>
  </si>
  <si>
    <t>吕沛霖</t>
  </si>
  <si>
    <t>共计</t>
  </si>
  <si>
    <r>
      <rPr>
        <b/>
        <sz val="12"/>
        <color theme="1"/>
        <rFont val="微软雅黑"/>
        <charset val="134"/>
      </rPr>
      <t>四、24年6-12月海运仓仓管人员</t>
    </r>
    <r>
      <rPr>
        <b/>
        <sz val="12"/>
        <color rgb="FFFF0000"/>
        <rFont val="微软雅黑"/>
        <charset val="134"/>
      </rPr>
      <t>工资及提成</t>
    </r>
  </si>
  <si>
    <r>
      <rPr>
        <b/>
        <vertAlign val="superscript"/>
        <sz val="11"/>
        <color theme="1"/>
        <rFont val="微软雅黑"/>
        <charset val="134"/>
      </rPr>
      <t xml:space="preserve">                           月   份
</t>
    </r>
    <r>
      <rPr>
        <b/>
        <vertAlign val="subscript"/>
        <sz val="11"/>
        <color theme="1"/>
        <rFont val="微软雅黑"/>
        <charset val="134"/>
      </rPr>
      <t>姓    名</t>
    </r>
    <r>
      <rPr>
        <b/>
        <vertAlign val="superscript"/>
        <sz val="11"/>
        <color theme="1"/>
        <rFont val="微软雅黑"/>
        <charset val="134"/>
      </rPr>
      <t xml:space="preserve"> </t>
    </r>
  </si>
  <si>
    <t>年终奖</t>
  </si>
  <si>
    <t>工资</t>
  </si>
  <si>
    <t>提成</t>
  </si>
  <si>
    <t>罗伟健</t>
  </si>
  <si>
    <t>林志军</t>
  </si>
  <si>
    <t>莫祖勇</t>
  </si>
  <si>
    <t>罗珮文</t>
  </si>
  <si>
    <r>
      <rPr>
        <b/>
        <sz val="11"/>
        <color theme="1"/>
        <rFont val="微软雅黑"/>
        <charset val="134"/>
      </rPr>
      <t>五、24年6-12月海运仓仓管人员</t>
    </r>
    <r>
      <rPr>
        <b/>
        <sz val="11"/>
        <color rgb="FFFF0000"/>
        <rFont val="微软雅黑"/>
        <charset val="134"/>
      </rPr>
      <t>公司部分社保费</t>
    </r>
  </si>
  <si>
    <r>
      <rPr>
        <b/>
        <sz val="11"/>
        <color theme="1"/>
        <rFont val="微软雅黑"/>
        <charset val="134"/>
      </rPr>
      <t>六、2024年10-12月份</t>
    </r>
    <r>
      <rPr>
        <b/>
        <sz val="11"/>
        <color rgb="FFFF0000"/>
        <rFont val="微软雅黑"/>
        <charset val="134"/>
      </rPr>
      <t>LOS海运仓员工工资</t>
    </r>
  </si>
  <si>
    <t>莫杜佩奥拉·马利克</t>
  </si>
  <si>
    <t>达米洛拉·科拉沃勒</t>
  </si>
  <si>
    <t>埃马纽埃尔·加布里埃尔</t>
  </si>
  <si>
    <t>埃马纽埃尔·维克多·劳伦斯</t>
  </si>
  <si>
    <r>
      <rPr>
        <b/>
        <sz val="14"/>
        <color theme="1"/>
        <rFont val="宋体"/>
        <charset val="134"/>
        <scheme val="minor"/>
      </rPr>
      <t>海运仓</t>
    </r>
    <r>
      <rPr>
        <b/>
        <sz val="14"/>
        <color rgb="FFFF0000"/>
        <rFont val="宋体"/>
        <charset val="134"/>
        <scheme val="minor"/>
      </rPr>
      <t>租赁费</t>
    </r>
    <r>
      <rPr>
        <b/>
        <sz val="14"/>
        <color theme="1"/>
        <rFont val="宋体"/>
        <charset val="134"/>
        <scheme val="minor"/>
      </rPr>
      <t>及</t>
    </r>
    <r>
      <rPr>
        <b/>
        <sz val="14"/>
        <color rgb="FFFF0000"/>
        <rFont val="宋体"/>
        <charset val="134"/>
        <scheme val="minor"/>
      </rPr>
      <t>设备</t>
    </r>
    <r>
      <rPr>
        <b/>
        <sz val="14"/>
        <color theme="1"/>
        <rFont val="宋体"/>
        <charset val="134"/>
        <scheme val="minor"/>
      </rPr>
      <t>等</t>
    </r>
    <r>
      <rPr>
        <b/>
        <sz val="14"/>
        <color rgb="FFFF0000"/>
        <rFont val="宋体"/>
        <charset val="134"/>
        <scheme val="minor"/>
      </rPr>
      <t>日常经营费</t>
    </r>
    <r>
      <rPr>
        <b/>
        <sz val="14"/>
        <color theme="1"/>
        <rFont val="宋体"/>
        <charset val="134"/>
        <scheme val="minor"/>
      </rPr>
      <t>用及</t>
    </r>
    <r>
      <rPr>
        <b/>
        <sz val="14"/>
        <color rgb="FFFF0000"/>
        <rFont val="宋体"/>
        <charset val="134"/>
        <scheme val="minor"/>
      </rPr>
      <t>账务费</t>
    </r>
    <r>
      <rPr>
        <b/>
        <sz val="14"/>
        <color theme="1"/>
        <rFont val="宋体"/>
        <charset val="134"/>
        <scheme val="minor"/>
      </rPr>
      <t>用</t>
    </r>
  </si>
  <si>
    <t>海运仓5月份租赁水电费</t>
  </si>
  <si>
    <t>海运仓6月份租赁水电费</t>
  </si>
  <si>
    <t>福利费-海运仓零食</t>
  </si>
  <si>
    <t>24年8月份海运仓租赁费</t>
  </si>
  <si>
    <t>福利费-海运仓9月份零食</t>
  </si>
  <si>
    <t>押金:三个月</t>
  </si>
  <si>
    <t>海运仓办公费-烟</t>
  </si>
  <si>
    <t>海运仓库7月份租赁费</t>
  </si>
  <si>
    <t>福利-24年月份海运仓零食</t>
  </si>
  <si>
    <t>海运仓9月份租赁费</t>
  </si>
  <si>
    <t>海运仓用品-叉车套</t>
  </si>
  <si>
    <t>海运仓办公费-交通费</t>
  </si>
  <si>
    <t>海运仓购木板/木条费用</t>
  </si>
  <si>
    <t>办公费-罗珮文到海仓交通费</t>
  </si>
  <si>
    <t>海运仓6月份多收租赁费</t>
  </si>
  <si>
    <t>海运仓用品-加货叉加长</t>
  </si>
  <si>
    <t>海运仓办公费-加油费</t>
  </si>
  <si>
    <t>海运仓采购仓库用品</t>
  </si>
  <si>
    <t>海运仓库宽带</t>
  </si>
  <si>
    <t>海运仓托盘40张</t>
  </si>
  <si>
    <t>办公费-海运仓监控费用</t>
  </si>
  <si>
    <t>海运仓办公费-停车费</t>
  </si>
  <si>
    <t>海运仓采购办公用品</t>
  </si>
  <si>
    <t>海运仓加装一个摄像头</t>
  </si>
  <si>
    <t>罗月梅到海运仓打车费用</t>
  </si>
  <si>
    <t>海运仓桶押金5*20=100</t>
  </si>
  <si>
    <t>海运仓办公费-库宽带</t>
  </si>
  <si>
    <t>海运仓福利-饮料</t>
  </si>
  <si>
    <t>海运仓240807000019吊车费用</t>
  </si>
  <si>
    <t>海运仓怡宝桶装水</t>
  </si>
  <si>
    <t>海运仓库叉车运输费用</t>
  </si>
  <si>
    <t>柴油平衡重式叉车</t>
  </si>
  <si>
    <t>海运仓用品</t>
  </si>
  <si>
    <t>账务费用</t>
  </si>
  <si>
    <t>海运仓调安装加雪种费用</t>
  </si>
  <si>
    <t>海运仓防水膜的费用</t>
  </si>
  <si>
    <t>叉车7.44方运费</t>
  </si>
  <si>
    <t>海运仓办公用品</t>
  </si>
  <si>
    <t>银行各项手续费</t>
  </si>
  <si>
    <t>海运仓空窗帘费用</t>
  </si>
  <si>
    <t>海运仓240527000051包装费</t>
  </si>
  <si>
    <t>海运仓领用纸箱</t>
  </si>
  <si>
    <t>信使费</t>
  </si>
  <si>
    <t>海运仓加油费</t>
  </si>
  <si>
    <t>海运仓库装柜人工JOB060384</t>
  </si>
  <si>
    <t>LOS：增值税/员工工资税费</t>
  </si>
  <si>
    <t>海运仓叉搬公司用品</t>
  </si>
  <si>
    <t>海运仓仓库用品</t>
  </si>
  <si>
    <t>对公跨行手续费</t>
  </si>
  <si>
    <t>公众号转帐手续费</t>
  </si>
  <si>
    <t>海运仓交通费</t>
  </si>
  <si>
    <t>余额颤动手续费</t>
  </si>
  <si>
    <t>LOS卡车</t>
  </si>
  <si>
    <t>对公工行证书</t>
  </si>
  <si>
    <t>海运仓网络安装</t>
  </si>
  <si>
    <r>
      <rPr>
        <sz val="10"/>
        <rFont val="宋体"/>
        <charset val="134"/>
      </rPr>
      <t>冷冻柜(</t>
    </r>
    <r>
      <rPr>
        <sz val="10"/>
        <color rgb="FFFF0000"/>
        <rFont val="宋体"/>
        <charset val="134"/>
      </rPr>
      <t>LOS采购</t>
    </r>
    <r>
      <rPr>
        <sz val="10"/>
        <rFont val="宋体"/>
        <charset val="134"/>
      </rPr>
      <t>)</t>
    </r>
  </si>
  <si>
    <t>证书工本费</t>
  </si>
  <si>
    <t>自助打印回单手续费</t>
  </si>
  <si>
    <t>海运仓装修尾款</t>
  </si>
  <si>
    <t>喵喵变更信息服务费</t>
  </si>
  <si>
    <t>海运仓托盘的费用</t>
  </si>
  <si>
    <t>海运仓苹果13手机一台</t>
  </si>
  <si>
    <t>海运仓采购纸箱</t>
  </si>
  <si>
    <t>手续费</t>
  </si>
  <si>
    <t>海运仓采购打印机</t>
  </si>
  <si>
    <t>海运仓采购办公椅子</t>
  </si>
  <si>
    <t>海运仓采购显示器鼠标</t>
  </si>
  <si>
    <t>海运仓采购叉车</t>
  </si>
  <si>
    <t>1.5t 步行式电动搬运车</t>
  </si>
  <si>
    <t>海运仓库10月份租赁费</t>
  </si>
  <si>
    <t>24年12月份海运仓租赁费</t>
  </si>
  <si>
    <t>海运仓库12月份租赁费</t>
  </si>
  <si>
    <t>3 吨 定制手动搬运车</t>
  </si>
  <si>
    <t>LOS海运租赁押金（2024年10月至2026年9月）</t>
  </si>
  <si>
    <t>LOS海运仓11月份租赁费</t>
  </si>
  <si>
    <t>LOS海运仓监控相关费用</t>
  </si>
  <si>
    <t>海运仓采购一体电脑</t>
  </si>
  <si>
    <t>LOS海运仓2年租赁费</t>
  </si>
  <si>
    <t>LOS海运仓11月份法律费</t>
  </si>
  <si>
    <t>LOS海运仓12月份租赁费</t>
  </si>
  <si>
    <t>海运仓采购电子秤</t>
  </si>
  <si>
    <t>LOS海运仓10月份租赁费</t>
  </si>
  <si>
    <t>LOS海运仓11月份代理费</t>
  </si>
  <si>
    <t>LOS海运仓12月份法律费</t>
  </si>
  <si>
    <t>合力叉车（海运仓)</t>
  </si>
  <si>
    <t>LOS海运仓10月份法律费</t>
  </si>
  <si>
    <t>拉各斯海仓监控系统及安装费用</t>
  </si>
  <si>
    <t>LOS海运仓12月份代理费</t>
  </si>
  <si>
    <t>锂电池平衡重式叉车</t>
  </si>
  <si>
    <t>LOS海运仓10月份代理费</t>
  </si>
  <si>
    <t>海运仓用品-两台平板推车</t>
  </si>
  <si>
    <t>LOS海运仓电气设备等费用</t>
  </si>
  <si>
    <t>叉车5.712方运费</t>
  </si>
  <si>
    <t>海运仓托盘</t>
  </si>
  <si>
    <t>办公费-海运仓11月份福利及饮料费</t>
  </si>
  <si>
    <t>海运仓采购雨布</t>
  </si>
  <si>
    <t>8月海运仓包装费</t>
  </si>
  <si>
    <t>办公费-海运仓饮料</t>
  </si>
  <si>
    <t>LOS海运仓库费用
1、燃油和传动液=115,000
2、灭火器=142,000
3、床垫=85,000
4、柴油=30,000
5、太阳能系统=5,459,000</t>
  </si>
  <si>
    <t>充值海运仓库代垫运费</t>
  </si>
  <si>
    <t>5+6月份</t>
  </si>
  <si>
    <t>海运仓用品-货架</t>
  </si>
  <si>
    <t>海运仓库用品</t>
  </si>
  <si>
    <t>海运仓用品-反光安全背心</t>
  </si>
  <si>
    <t>海运仓采购一地牛</t>
  </si>
  <si>
    <t>惠普星14笔记本电脑</t>
  </si>
  <si>
    <t>海运仓电气安装</t>
  </si>
  <si>
    <t>设备海运仓</t>
  </si>
  <si>
    <t>警察安置区海运仓</t>
  </si>
  <si>
    <t>危险（保安）</t>
  </si>
  <si>
    <t>外汇电邮费</t>
  </si>
  <si>
    <t>海运仓库安保费</t>
  </si>
  <si>
    <t>代理国库税收收缴</t>
  </si>
  <si>
    <t>海库门维修</t>
  </si>
  <si>
    <t>仓库清洁工工资</t>
  </si>
  <si>
    <t>安全工资</t>
  </si>
  <si>
    <t>仓库垃圾场</t>
  </si>
  <si>
    <t>仓库维修百叶窗延长件</t>
  </si>
  <si>
    <t>网银注册账户服务费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</si>
</sst>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_ "/>
    <numFmt numFmtId="178" formatCode="&quot;￥&quot;#,##0.000_);[Red]\(&quot;￥&quot;#,##0.000\)"/>
    <numFmt numFmtId="179" formatCode="&quot;￥&quot;#,##0.000;&quot;￥&quot;\-#,##0.000"/>
    <numFmt numFmtId="180" formatCode="&quot;US$&quot;#,##0.00;\-&quot;US$&quot;#,##0.00"/>
    <numFmt numFmtId="181" formatCode="&quot;US$&quot;#,##0.00_);[Red]\(&quot;US$&quot;#,##0.00\)"/>
    <numFmt numFmtId="182" formatCode="\¥#,##0.00_);[Red]\(\¥#,##0.00\)"/>
    <numFmt numFmtId="183" formatCode="000000"/>
    <numFmt numFmtId="184" formatCode="m&quot;月&quot;d&quot;日&quot;;@"/>
    <numFmt numFmtId="185" formatCode="&quot;JOB&quot;000000"/>
    <numFmt numFmtId="186" formatCode="0.00_ "/>
    <numFmt numFmtId="187" formatCode="\¥#,##0.00;\¥\-#,##0.00"/>
    <numFmt numFmtId="188" formatCode="_ * #,##0.00_ ;_ * \-#,##0.00_ ;_ * &quot;-&quot;_ ;_ @_ "/>
    <numFmt numFmtId="189" formatCode="0.0000_ "/>
    <numFmt numFmtId="190" formatCode="0.000_ "/>
    <numFmt numFmtId="191" formatCode="&quot;￥&quot;#,##0.00_);\(&quot;￥&quot;#,##0.00\)"/>
  </numFmts>
  <fonts count="1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sz val="9"/>
      <color rgb="FFFF0000"/>
      <name val="宋体"/>
      <charset val="134"/>
    </font>
    <font>
      <sz val="9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8" tint="-0.25"/>
      <name val="宋体"/>
      <charset val="134"/>
      <scheme val="minor"/>
    </font>
    <font>
      <sz val="10"/>
      <color theme="8" tint="-0.25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  <scheme val="minor"/>
    </font>
    <font>
      <sz val="9"/>
      <color theme="4" tint="-0.25"/>
      <name val="宋体"/>
      <charset val="134"/>
      <scheme val="minor"/>
    </font>
    <font>
      <sz val="9"/>
      <color theme="4" tint="-0.25"/>
      <name val="宋体"/>
      <charset val="134"/>
    </font>
    <font>
      <sz val="11"/>
      <color theme="3" tint="-0.5"/>
      <name val="宋体"/>
      <charset val="134"/>
      <scheme val="minor"/>
    </font>
    <font>
      <sz val="10"/>
      <color theme="4" tint="-0.25"/>
      <name val="宋体"/>
      <charset val="134"/>
    </font>
    <font>
      <sz val="10"/>
      <color theme="4" tint="-0.25"/>
      <name val="宋体"/>
      <charset val="134"/>
      <scheme val="minor"/>
    </font>
    <font>
      <sz val="9"/>
      <color theme="1"/>
      <name val="宋体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b/>
      <vertAlign val="superscript"/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b/>
      <vertAlign val="subscript"/>
      <sz val="11"/>
      <color theme="1"/>
      <name val="微软雅黑"/>
      <charset val="134"/>
    </font>
    <font>
      <sz val="9"/>
      <color rgb="FF002060"/>
      <name val="微软雅黑"/>
      <charset val="134"/>
    </font>
    <font>
      <sz val="10"/>
      <color rgb="FF002060"/>
      <name val="微软雅黑"/>
      <charset val="134"/>
    </font>
    <font>
      <sz val="8"/>
      <color rgb="FF002060"/>
      <name val="微软雅黑"/>
      <charset val="134"/>
    </font>
    <font>
      <sz val="18"/>
      <color theme="1"/>
      <name val="微软雅黑"/>
      <charset val="134"/>
    </font>
    <font>
      <vertAlign val="superscript"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6"/>
      <name val="微软雅黑"/>
      <charset val="134"/>
    </font>
    <font>
      <sz val="16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sz val="10"/>
      <color theme="8"/>
      <name val="宋体"/>
      <charset val="134"/>
      <scheme val="minor"/>
    </font>
    <font>
      <sz val="10"/>
      <color theme="5" tint="-0.25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Microsoft JhengHei"/>
      <charset val="134"/>
    </font>
    <font>
      <b/>
      <sz val="9"/>
      <name val="宋体"/>
      <charset val="134"/>
      <scheme val="minor"/>
    </font>
    <font>
      <sz val="9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1"/>
      <name val="新宋体"/>
      <charset val="134"/>
    </font>
    <font>
      <sz val="9"/>
      <color rgb="FFFF0000"/>
      <name val="微软雅黑"/>
      <charset val="134"/>
    </font>
    <font>
      <b/>
      <sz val="9"/>
      <color theme="1"/>
      <name val="新宋体"/>
      <charset val="134"/>
    </font>
    <font>
      <sz val="10"/>
      <name val="宋体"/>
      <charset val="134"/>
      <scheme val="major"/>
    </font>
    <font>
      <b/>
      <sz val="10"/>
      <color theme="1"/>
      <name val="新宋体"/>
      <charset val="134"/>
    </font>
    <font>
      <b/>
      <sz val="10"/>
      <name val="宋体"/>
      <charset val="134"/>
      <scheme val="major"/>
    </font>
    <font>
      <sz val="7.5"/>
      <color rgb="FF000000"/>
      <name val="宋体"/>
      <charset val="134"/>
      <scheme val="minor"/>
    </font>
    <font>
      <sz val="9"/>
      <color theme="1"/>
      <name val="Microsoft JhengHei"/>
      <charset val="134"/>
    </font>
    <font>
      <b/>
      <sz val="16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10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sz val="10"/>
      <name val="Microsoft JhengHei"/>
      <charset val="134"/>
    </font>
    <font>
      <b/>
      <sz val="9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Microsoft JhengHei"/>
      <charset val="134"/>
    </font>
    <font>
      <b/>
      <sz val="9"/>
      <color rgb="FFFF0000"/>
      <name val="Microsoft JhengHei"/>
      <charset val="134"/>
    </font>
    <font>
      <b/>
      <sz val="10"/>
      <name val="宋体"/>
      <charset val="134"/>
    </font>
    <font>
      <b/>
      <sz val="9"/>
      <name val="宋体"/>
      <charset val="134"/>
    </font>
    <font>
      <sz val="9"/>
      <color rgb="FFFF0000"/>
      <name val="Microsoft JhengHei"/>
      <charset val="134"/>
    </font>
    <font>
      <sz val="8"/>
      <name val="Microsoft JhengHei"/>
      <charset val="134"/>
    </font>
    <font>
      <sz val="9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393939"/>
      <name val="Microsoft JhengHei"/>
      <charset val="134"/>
    </font>
    <font>
      <sz val="8"/>
      <color theme="1"/>
      <name val="Microsoft JhengHei"/>
      <charset val="134"/>
    </font>
    <font>
      <sz val="8"/>
      <color rgb="FF000000"/>
      <name val="Microsoft JhengHei"/>
      <charset val="134"/>
    </font>
    <font>
      <sz val="8"/>
      <color rgb="FFFF0000"/>
      <name val="Microsoft JhengHei"/>
      <charset val="134"/>
    </font>
    <font>
      <sz val="8"/>
      <color rgb="FFFFFFFF"/>
      <name val="Microsoft JhengHei"/>
      <charset val="134"/>
    </font>
    <font>
      <sz val="9"/>
      <color rgb="FF393939"/>
      <name val="Microsoft JhengHei"/>
      <charset val="134"/>
    </font>
    <font>
      <sz val="9"/>
      <color rgb="FFFFFFFF"/>
      <name val="Microsoft JhengHei"/>
      <charset val="134"/>
    </font>
    <font>
      <sz val="9"/>
      <color rgb="FF000000"/>
      <name val="Microsoft JhengHei"/>
      <charset val="134"/>
    </font>
    <font>
      <b/>
      <sz val="9"/>
      <color rgb="FFFF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8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sz val="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微软雅黑"/>
      <charset val="134"/>
    </font>
    <font>
      <b/>
      <sz val="14"/>
      <color rgb="FFFF0000"/>
      <name val="宋体"/>
      <charset val="134"/>
      <scheme val="minor"/>
    </font>
    <font>
      <b/>
      <sz val="10"/>
      <color indexed="8"/>
      <name val="Microsoft JhengHei"/>
      <charset val="134"/>
    </font>
    <font>
      <b/>
      <sz val="10"/>
      <color indexed="8"/>
      <name val="宋体"/>
      <charset val="134"/>
    </font>
    <font>
      <sz val="18"/>
      <color rgb="FFFF0000"/>
      <name val="宋体"/>
      <charset val="134"/>
      <scheme val="minor"/>
    </font>
    <font>
      <sz val="18"/>
      <color rgb="FFFF0000"/>
      <name val="微软雅黑"/>
      <charset val="134"/>
    </font>
    <font>
      <sz val="12"/>
      <name val="宋体"/>
      <charset val="134"/>
      <scheme val="minor"/>
    </font>
    <font>
      <b/>
      <sz val="9"/>
      <color indexed="8"/>
      <name val="宋体"/>
      <charset val="134"/>
    </font>
    <font>
      <b/>
      <sz val="9"/>
      <color indexed="8"/>
      <name val="Microsoft JhengHei"/>
      <charset val="134"/>
    </font>
    <font>
      <b/>
      <sz val="11"/>
      <color rgb="FFFF0000"/>
      <name val="微软雅黑"/>
      <charset val="134"/>
    </font>
    <font>
      <b/>
      <sz val="12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0" fillId="22" borderId="13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14" applyNumberFormat="0" applyFill="0" applyAlignment="0" applyProtection="0">
      <alignment vertical="center"/>
    </xf>
    <xf numFmtId="0" fontId="95" fillId="0" borderId="14" applyNumberFormat="0" applyFill="0" applyAlignment="0" applyProtection="0">
      <alignment vertical="center"/>
    </xf>
    <xf numFmtId="0" fontId="96" fillId="0" borderId="15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23" borderId="16" applyNumberFormat="0" applyAlignment="0" applyProtection="0">
      <alignment vertical="center"/>
    </xf>
    <xf numFmtId="0" fontId="98" fillId="24" borderId="17" applyNumberFormat="0" applyAlignment="0" applyProtection="0">
      <alignment vertical="center"/>
    </xf>
    <xf numFmtId="0" fontId="99" fillId="24" borderId="16" applyNumberFormat="0" applyAlignment="0" applyProtection="0">
      <alignment vertical="center"/>
    </xf>
    <xf numFmtId="0" fontId="100" fillId="25" borderId="18" applyNumberFormat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3" fillId="26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7" fillId="34" borderId="0" applyNumberFormat="0" applyBorder="0" applyAlignment="0" applyProtection="0">
      <alignment vertical="center"/>
    </xf>
    <xf numFmtId="0" fontId="107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7" fillId="38" borderId="0" applyNumberFormat="0" applyBorder="0" applyAlignment="0" applyProtection="0">
      <alignment vertical="center"/>
    </xf>
    <xf numFmtId="0" fontId="107" fillId="39" borderId="0" applyNumberFormat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8" fillId="0" borderId="0"/>
  </cellStyleXfs>
  <cellXfs count="6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shrinkToFit="1"/>
    </xf>
    <xf numFmtId="176" fontId="5" fillId="3" borderId="1" xfId="0" applyNumberFormat="1" applyFont="1" applyFill="1" applyBorder="1" applyAlignment="1">
      <alignment horizontal="right" vertical="center"/>
    </xf>
    <xf numFmtId="8" fontId="2" fillId="3" borderId="1" xfId="0" applyNumberFormat="1" applyFont="1" applyFill="1" applyBorder="1" applyAlignment="1">
      <alignment horizontal="right" vertical="center"/>
    </xf>
    <xf numFmtId="0" fontId="6" fillId="3" borderId="1" xfId="0" applyNumberFormat="1" applyFont="1" applyFill="1" applyBorder="1" applyAlignment="1">
      <alignment horizontal="left" vertical="center" wrapText="1"/>
    </xf>
    <xf numFmtId="176" fontId="6" fillId="3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176" fontId="8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176" fontId="6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10" fillId="3" borderId="1" xfId="0" applyNumberFormat="1" applyFont="1" applyFill="1" applyBorder="1" applyAlignment="1">
      <alignment horizontal="left" vertical="center" wrapText="1"/>
    </xf>
    <xf numFmtId="177" fontId="6" fillId="3" borderId="1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shrinkToFit="1"/>
    </xf>
    <xf numFmtId="0" fontId="0" fillId="3" borderId="0" xfId="0" applyFill="1" applyAlignment="1">
      <alignment vertical="center"/>
    </xf>
    <xf numFmtId="7" fontId="0" fillId="3" borderId="0" xfId="0" applyNumberFormat="1" applyFill="1" applyAlignment="1">
      <alignment vertical="center"/>
    </xf>
    <xf numFmtId="176" fontId="6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/>
    </xf>
    <xf numFmtId="176" fontId="4" fillId="4" borderId="1" xfId="0" applyNumberFormat="1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right" vertical="center"/>
    </xf>
    <xf numFmtId="7" fontId="6" fillId="3" borderId="0" xfId="0" applyNumberFormat="1" applyFont="1" applyFill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176" fontId="4" fillId="4" borderId="1" xfId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176" fontId="12" fillId="4" borderId="1" xfId="0" applyNumberFormat="1" applyFont="1" applyFill="1" applyBorder="1" applyAlignment="1">
      <alignment horizontal="left" vertical="center"/>
    </xf>
    <xf numFmtId="176" fontId="12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7" fontId="0" fillId="4" borderId="0" xfId="0" applyNumberForma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vertical="center"/>
    </xf>
    <xf numFmtId="0" fontId="1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vertical="center"/>
    </xf>
    <xf numFmtId="176" fontId="4" fillId="4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horizontal="left" vertical="center"/>
    </xf>
    <xf numFmtId="176" fontId="9" fillId="3" borderId="1" xfId="0" applyNumberFormat="1" applyFont="1" applyFill="1" applyBorder="1" applyAlignment="1">
      <alignment horizontal="right" vertical="center" wrapText="1"/>
    </xf>
    <xf numFmtId="0" fontId="16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177" fontId="18" fillId="3" borderId="1" xfId="0" applyNumberFormat="1" applyFont="1" applyFill="1" applyBorder="1" applyAlignment="1">
      <alignment horizontal="left" vertical="center" wrapText="1"/>
    </xf>
    <xf numFmtId="0" fontId="17" fillId="3" borderId="1" xfId="0" applyFont="1" applyFill="1" applyBorder="1" applyAlignment="1" applyProtection="1">
      <alignment horizontal="left" vertical="center"/>
      <protection hidden="1"/>
    </xf>
    <xf numFmtId="0" fontId="17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 shrinkToFit="1"/>
    </xf>
    <xf numFmtId="176" fontId="7" fillId="3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left" vertical="center" shrinkToFit="1"/>
    </xf>
    <xf numFmtId="176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 shrinkToFit="1"/>
    </xf>
    <xf numFmtId="176" fontId="3" fillId="3" borderId="1" xfId="0" applyNumberFormat="1" applyFont="1" applyFill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 wrapText="1"/>
    </xf>
    <xf numFmtId="176" fontId="3" fillId="3" borderId="3" xfId="0" applyNumberFormat="1" applyFont="1" applyFill="1" applyBorder="1" applyAlignment="1">
      <alignment vertical="center"/>
    </xf>
    <xf numFmtId="178" fontId="3" fillId="3" borderId="3" xfId="0" applyNumberFormat="1" applyFont="1" applyFill="1" applyBorder="1" applyAlignment="1">
      <alignment vertical="center"/>
    </xf>
    <xf numFmtId="178" fontId="3" fillId="3" borderId="1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shrinkToFit="1"/>
    </xf>
    <xf numFmtId="176" fontId="6" fillId="3" borderId="1" xfId="0" applyNumberFormat="1" applyFont="1" applyFill="1" applyBorder="1" applyAlignment="1">
      <alignment horizontal="left" vertical="center"/>
    </xf>
    <xf numFmtId="176" fontId="4" fillId="3" borderId="3" xfId="0" applyNumberFormat="1" applyFont="1" applyFill="1" applyBorder="1" applyAlignment="1">
      <alignment vertical="center"/>
    </xf>
    <xf numFmtId="176" fontId="4" fillId="3" borderId="1" xfId="1" applyNumberFormat="1" applyFont="1" applyFill="1" applyBorder="1" applyAlignment="1">
      <alignment horizontal="right" vertical="center"/>
    </xf>
    <xf numFmtId="176" fontId="5" fillId="3" borderId="1" xfId="0" applyNumberFormat="1" applyFont="1" applyFill="1" applyBorder="1" applyAlignment="1">
      <alignment vertical="center"/>
    </xf>
    <xf numFmtId="176" fontId="5" fillId="3" borderId="1" xfId="1" applyNumberFormat="1" applyFont="1" applyFill="1" applyBorder="1" applyAlignment="1">
      <alignment horizontal="right" vertical="center"/>
    </xf>
    <xf numFmtId="176" fontId="4" fillId="3" borderId="3" xfId="0" applyNumberFormat="1" applyFont="1" applyFill="1" applyBorder="1" applyAlignment="1">
      <alignment horizontal="right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shrinkToFit="1"/>
    </xf>
    <xf numFmtId="0" fontId="0" fillId="0" borderId="0" xfId="0" applyFill="1" applyAlignment="1">
      <alignment horizontal="center" vertical="center"/>
    </xf>
    <xf numFmtId="176" fontId="6" fillId="0" borderId="0" xfId="0" applyNumberFormat="1" applyFont="1" applyFill="1" applyAlignment="1">
      <alignment vertical="center"/>
    </xf>
    <xf numFmtId="176" fontId="6" fillId="3" borderId="5" xfId="0" applyNumberFormat="1" applyFont="1" applyFill="1" applyBorder="1" applyAlignment="1">
      <alignment horizontal="center" vertical="center"/>
    </xf>
    <xf numFmtId="176" fontId="6" fillId="3" borderId="6" xfId="0" applyNumberFormat="1" applyFont="1" applyFill="1" applyBorder="1" applyAlignment="1">
      <alignment horizontal="center" vertical="center"/>
    </xf>
    <xf numFmtId="179" fontId="6" fillId="3" borderId="0" xfId="0" applyNumberFormat="1" applyFont="1" applyFill="1" applyAlignment="1">
      <alignment vertical="center"/>
    </xf>
    <xf numFmtId="0" fontId="19" fillId="4" borderId="1" xfId="0" applyFont="1" applyFill="1" applyBorder="1" applyAlignment="1">
      <alignment vertical="center"/>
    </xf>
    <xf numFmtId="176" fontId="5" fillId="4" borderId="1" xfId="1" applyNumberFormat="1" applyFont="1" applyFill="1" applyBorder="1" applyAlignment="1">
      <alignment horizontal="right" vertical="center"/>
    </xf>
    <xf numFmtId="176" fontId="6" fillId="3" borderId="4" xfId="0" applyNumberFormat="1" applyFont="1" applyFill="1" applyBorder="1" applyAlignment="1">
      <alignment horizontal="center" vertical="center"/>
    </xf>
    <xf numFmtId="7" fontId="0" fillId="0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76" fontId="23" fillId="0" borderId="0" xfId="0" applyNumberFormat="1" applyFont="1" applyAlignment="1">
      <alignment horizontal="left" vertical="center" wrapText="1"/>
    </xf>
    <xf numFmtId="0" fontId="24" fillId="3" borderId="7" xfId="0" applyFont="1" applyFill="1" applyBorder="1" applyAlignment="1">
      <alignment horizontal="left" vertical="center" wrapText="1"/>
    </xf>
    <xf numFmtId="0" fontId="25" fillId="3" borderId="4" xfId="0" applyNumberFormat="1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7" fontId="23" fillId="0" borderId="1" xfId="0" applyNumberFormat="1" applyFont="1" applyBorder="1" applyAlignment="1">
      <alignment horizontal="center" vertical="center" wrapText="1"/>
    </xf>
    <xf numFmtId="7" fontId="23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2" fillId="5" borderId="2" xfId="0" applyFont="1" applyFill="1" applyBorder="1" applyAlignment="1">
      <alignment horizontal="left" vertical="center" wrapText="1"/>
    </xf>
    <xf numFmtId="0" fontId="22" fillId="5" borderId="8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left" vertical="center" wrapText="1"/>
    </xf>
    <xf numFmtId="0" fontId="25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7" fontId="23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left" vertical="center" wrapText="1"/>
    </xf>
    <xf numFmtId="0" fontId="27" fillId="3" borderId="3" xfId="0" applyFont="1" applyFill="1" applyBorder="1" applyAlignment="1">
      <alignment horizontal="center" vertical="center" wrapText="1"/>
    </xf>
    <xf numFmtId="176" fontId="27" fillId="3" borderId="1" xfId="0" applyNumberFormat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6" fillId="7" borderId="1" xfId="49" applyFont="1" applyFill="1" applyBorder="1" applyAlignment="1">
      <alignment horizontal="center" vertical="center" wrapText="1"/>
    </xf>
    <xf numFmtId="176" fontId="26" fillId="7" borderId="1" xfId="0" applyNumberFormat="1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7" fontId="23" fillId="8" borderId="2" xfId="0" applyNumberFormat="1" applyFont="1" applyFill="1" applyBorder="1" applyAlignment="1">
      <alignment horizontal="center" vertical="center" wrapText="1"/>
    </xf>
    <xf numFmtId="176" fontId="23" fillId="8" borderId="2" xfId="0" applyNumberFormat="1" applyFont="1" applyFill="1" applyBorder="1" applyAlignment="1">
      <alignment horizontal="center" vertical="center" wrapText="1"/>
    </xf>
    <xf numFmtId="7" fontId="23" fillId="2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7" fontId="23" fillId="0" borderId="0" xfId="0" applyNumberFormat="1" applyFont="1" applyAlignment="1">
      <alignment horizontal="center" vertical="center" wrapText="1"/>
    </xf>
    <xf numFmtId="176" fontId="23" fillId="0" borderId="0" xfId="0" applyNumberFormat="1" applyFont="1" applyAlignment="1">
      <alignment horizontal="center" vertical="center" wrapText="1"/>
    </xf>
    <xf numFmtId="0" fontId="25" fillId="5" borderId="0" xfId="0" applyFont="1" applyFill="1" applyAlignment="1">
      <alignment horizontal="left" vertical="center" wrapText="1"/>
    </xf>
    <xf numFmtId="176" fontId="23" fillId="5" borderId="0" xfId="0" applyNumberFormat="1" applyFont="1" applyFill="1" applyAlignment="1">
      <alignment horizontal="center" vertical="center" wrapText="1"/>
    </xf>
    <xf numFmtId="7" fontId="23" fillId="5" borderId="0" xfId="0" applyNumberFormat="1" applyFont="1" applyFill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25" fillId="3" borderId="1" xfId="0" applyNumberFormat="1" applyFont="1" applyFill="1" applyBorder="1" applyAlignment="1">
      <alignment horizontal="center" vertical="center" wrapText="1"/>
    </xf>
    <xf numFmtId="176" fontId="26" fillId="7" borderId="1" xfId="49" applyNumberFormat="1" applyFont="1" applyFill="1" applyBorder="1" applyAlignment="1">
      <alignment horizontal="center" vertical="center" wrapText="1"/>
    </xf>
    <xf numFmtId="176" fontId="23" fillId="0" borderId="1" xfId="0" applyNumberFormat="1" applyFont="1" applyBorder="1" applyAlignment="1">
      <alignment horizontal="center" vertical="center"/>
    </xf>
    <xf numFmtId="176" fontId="23" fillId="0" borderId="9" xfId="0" applyNumberFormat="1" applyFont="1" applyBorder="1" applyAlignment="1">
      <alignment horizontal="center" vertical="center"/>
    </xf>
    <xf numFmtId="176" fontId="23" fillId="8" borderId="1" xfId="0" applyNumberFormat="1" applyFont="1" applyFill="1" applyBorder="1" applyAlignment="1">
      <alignment horizontal="center" vertical="center" wrapText="1"/>
    </xf>
    <xf numFmtId="176" fontId="23" fillId="6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76" fontId="30" fillId="0" borderId="1" xfId="0" applyNumberFormat="1" applyFont="1" applyBorder="1" applyAlignment="1">
      <alignment horizontal="center" vertical="center" wrapText="1"/>
    </xf>
    <xf numFmtId="176" fontId="20" fillId="0" borderId="1" xfId="0" applyNumberFormat="1" applyFont="1" applyBorder="1">
      <alignment vertical="center"/>
    </xf>
    <xf numFmtId="0" fontId="3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/>
    </xf>
    <xf numFmtId="176" fontId="20" fillId="6" borderId="1" xfId="0" applyNumberFormat="1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6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3" borderId="7" xfId="0" applyFont="1" applyFill="1" applyBorder="1" applyAlignment="1">
      <alignment vertical="top" wrapText="1"/>
    </xf>
    <xf numFmtId="176" fontId="0" fillId="3" borderId="1" xfId="0" applyNumberFormat="1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0" borderId="0" xfId="3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5" xfId="0" applyNumberFormat="1" applyBorder="1">
      <alignment vertical="center"/>
    </xf>
    <xf numFmtId="0" fontId="34" fillId="6" borderId="1" xfId="0" applyFon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9" fontId="0" fillId="6" borderId="1" xfId="3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6" fontId="37" fillId="6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176" fontId="38" fillId="9" borderId="1" xfId="0" applyNumberFormat="1" applyFont="1" applyFill="1" applyBorder="1" applyAlignment="1">
      <alignment horizontal="right" vertical="center"/>
    </xf>
    <xf numFmtId="176" fontId="6" fillId="9" borderId="1" xfId="0" applyNumberFormat="1" applyFont="1" applyFill="1" applyBorder="1" applyAlignment="1">
      <alignment horizontal="right" vertical="center"/>
    </xf>
    <xf numFmtId="0" fontId="39" fillId="9" borderId="1" xfId="0" applyFont="1" applyFill="1" applyBorder="1" applyAlignment="1">
      <alignment horizontal="center" vertical="center"/>
    </xf>
    <xf numFmtId="176" fontId="0" fillId="9" borderId="1" xfId="0" applyNumberFormat="1" applyFill="1" applyBorder="1">
      <alignment vertical="center"/>
    </xf>
    <xf numFmtId="176" fontId="40" fillId="9" borderId="1" xfId="0" applyNumberFormat="1" applyFont="1" applyFill="1" applyBorder="1" applyAlignment="1">
      <alignment horizontal="right" vertical="center"/>
    </xf>
    <xf numFmtId="176" fontId="41" fillId="0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right" vertical="center"/>
    </xf>
    <xf numFmtId="176" fontId="0" fillId="11" borderId="1" xfId="0" applyNumberFormat="1" applyFill="1" applyBorder="1" applyAlignment="1">
      <alignment horizontal="right" vertical="center"/>
    </xf>
    <xf numFmtId="176" fontId="0" fillId="0" borderId="0" xfId="0" applyNumberForma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180" fontId="44" fillId="12" borderId="0" xfId="0" applyNumberFormat="1" applyFont="1" applyFill="1" applyAlignment="1">
      <alignment horizontal="center" vertical="center"/>
    </xf>
    <xf numFmtId="176" fontId="44" fillId="12" borderId="0" xfId="0" applyNumberFormat="1" applyFont="1" applyFill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176" fontId="0" fillId="13" borderId="2" xfId="0" applyNumberFormat="1" applyFill="1" applyBorder="1" applyAlignment="1">
      <alignment horizontal="center" vertical="center"/>
    </xf>
    <xf numFmtId="176" fontId="0" fillId="13" borderId="8" xfId="0" applyNumberFormat="1" applyFill="1" applyBorder="1" applyAlignment="1">
      <alignment horizontal="center" vertical="center"/>
    </xf>
    <xf numFmtId="176" fontId="0" fillId="13" borderId="3" xfId="0" applyNumberForma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 wrapText="1"/>
    </xf>
    <xf numFmtId="176" fontId="6" fillId="13" borderId="5" xfId="0" applyNumberFormat="1" applyFont="1" applyFill="1" applyBorder="1" applyAlignment="1">
      <alignment horizontal="center" vertical="center" wrapText="1"/>
    </xf>
    <xf numFmtId="176" fontId="6" fillId="9" borderId="1" xfId="0" applyNumberFormat="1" applyFont="1" applyFill="1" applyBorder="1" applyAlignment="1">
      <alignment horizontal="center" vertical="center" wrapText="1"/>
    </xf>
    <xf numFmtId="176" fontId="9" fillId="7" borderId="5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/>
    </xf>
    <xf numFmtId="176" fontId="6" fillId="13" borderId="1" xfId="0" applyNumberFormat="1" applyFont="1" applyFill="1" applyBorder="1" applyAlignment="1">
      <alignment horizontal="center" vertical="center"/>
    </xf>
    <xf numFmtId="180" fontId="2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 wrapText="1"/>
    </xf>
    <xf numFmtId="176" fontId="6" fillId="13" borderId="4" xfId="0" applyNumberFormat="1" applyFont="1" applyFill="1" applyBorder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176" fontId="9" fillId="7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0" fontId="45" fillId="14" borderId="1" xfId="0" applyFont="1" applyFill="1" applyBorder="1" applyAlignment="1">
      <alignment horizontal="center" vertical="center"/>
    </xf>
    <xf numFmtId="176" fontId="0" fillId="15" borderId="1" xfId="0" applyNumberFormat="1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center" vertical="center" wrapText="1"/>
    </xf>
    <xf numFmtId="176" fontId="0" fillId="7" borderId="1" xfId="0" applyNumberForma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6" fillId="14" borderId="1" xfId="0" applyNumberFormat="1" applyFont="1" applyFill="1" applyBorder="1" applyAlignment="1">
      <alignment horizontal="center" vertical="center"/>
    </xf>
    <xf numFmtId="0" fontId="45" fillId="16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76" fontId="0" fillId="6" borderId="1" xfId="0" applyNumberFormat="1" applyFill="1" applyBorder="1" applyAlignment="1">
      <alignment horizontal="center" vertical="center" wrapText="1"/>
    </xf>
    <xf numFmtId="181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6" fillId="14" borderId="0" xfId="0" applyFont="1" applyFill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17" borderId="1" xfId="0" applyFont="1" applyFill="1" applyBorder="1" applyAlignment="1">
      <alignment horizontal="center" vertical="center" wrapText="1"/>
    </xf>
    <xf numFmtId="0" fontId="51" fillId="17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52" fillId="6" borderId="1" xfId="0" applyNumberFormat="1" applyFont="1" applyFill="1" applyBorder="1">
      <alignment vertical="center"/>
    </xf>
    <xf numFmtId="0" fontId="48" fillId="0" borderId="1" xfId="0" applyFont="1" applyBorder="1" applyAlignment="1">
      <alignment horizontal="center" vertical="center"/>
    </xf>
    <xf numFmtId="58" fontId="6" fillId="14" borderId="1" xfId="0" applyNumberFormat="1" applyFont="1" applyFill="1" applyBorder="1" applyAlignment="1">
      <alignment horizontal="center" vertical="center"/>
    </xf>
    <xf numFmtId="180" fontId="6" fillId="14" borderId="1" xfId="0" applyNumberFormat="1" applyFont="1" applyFill="1" applyBorder="1" applyAlignment="1">
      <alignment horizontal="center" vertical="center"/>
    </xf>
    <xf numFmtId="181" fontId="6" fillId="14" borderId="1" xfId="0" applyNumberFormat="1" applyFont="1" applyFill="1" applyBorder="1" applyAlignment="1">
      <alignment horizontal="center" vertical="center"/>
    </xf>
    <xf numFmtId="0" fontId="53" fillId="14" borderId="1" xfId="0" applyFont="1" applyFill="1" applyBorder="1" applyAlignment="1">
      <alignment horizontal="center" vertical="center"/>
    </xf>
    <xf numFmtId="182" fontId="6" fillId="14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82" fontId="54" fillId="14" borderId="1" xfId="0" applyNumberFormat="1" applyFont="1" applyFill="1" applyBorder="1">
      <alignment vertical="center"/>
    </xf>
    <xf numFmtId="0" fontId="6" fillId="14" borderId="1" xfId="0" applyFont="1" applyFill="1" applyBorder="1" applyAlignment="1">
      <alignment horizontal="center" vertical="center"/>
    </xf>
    <xf numFmtId="0" fontId="55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80" fontId="6" fillId="14" borderId="2" xfId="0" applyNumberFormat="1" applyFont="1" applyFill="1" applyBorder="1" applyAlignment="1">
      <alignment horizontal="center" vertical="center"/>
    </xf>
    <xf numFmtId="0" fontId="49" fillId="18" borderId="1" xfId="0" applyFont="1" applyFill="1" applyBorder="1" applyAlignment="1">
      <alignment horizontal="center" vertical="center"/>
    </xf>
    <xf numFmtId="181" fontId="49" fillId="18" borderId="1" xfId="0" applyNumberFormat="1" applyFont="1" applyFill="1" applyBorder="1" applyAlignment="1">
      <alignment horizontal="center" vertical="center"/>
    </xf>
    <xf numFmtId="182" fontId="49" fillId="18" borderId="1" xfId="0" applyNumberFormat="1" applyFont="1" applyFill="1" applyBorder="1" applyAlignment="1">
      <alignment horizontal="center" vertical="center"/>
    </xf>
    <xf numFmtId="8" fontId="49" fillId="18" borderId="1" xfId="0" applyNumberFormat="1" applyFont="1" applyFill="1" applyBorder="1" applyAlignment="1">
      <alignment horizontal="center" vertical="center"/>
    </xf>
    <xf numFmtId="182" fontId="54" fillId="18" borderId="1" xfId="0" applyNumberFormat="1" applyFont="1" applyFill="1" applyBorder="1">
      <alignment vertical="center"/>
    </xf>
    <xf numFmtId="8" fontId="9" fillId="0" borderId="0" xfId="0" applyNumberFormat="1" applyFont="1" applyAlignment="1">
      <alignment horizontal="center" vertical="center"/>
    </xf>
    <xf numFmtId="4" fontId="5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Fill="1" applyBorder="1" applyAlignment="1">
      <alignment vertical="center"/>
    </xf>
    <xf numFmtId="0" fontId="57" fillId="0" borderId="0" xfId="0" applyFont="1" applyFill="1" applyBorder="1" applyAlignment="1">
      <alignment vertical="center"/>
    </xf>
    <xf numFmtId="183" fontId="0" fillId="0" borderId="0" xfId="0" applyNumberFormat="1">
      <alignment vertical="center"/>
    </xf>
    <xf numFmtId="184" fontId="6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  <xf numFmtId="185" fontId="58" fillId="0" borderId="0" xfId="0" applyNumberFormat="1" applyFont="1" applyAlignment="1">
      <alignment horizontal="center" vertical="center"/>
    </xf>
    <xf numFmtId="183" fontId="49" fillId="0" borderId="0" xfId="0" applyNumberFormat="1" applyFont="1" applyAlignment="1">
      <alignment horizontal="center" vertical="center"/>
    </xf>
    <xf numFmtId="177" fontId="48" fillId="14" borderId="0" xfId="0" applyNumberFormat="1" applyFont="1" applyFill="1" applyAlignment="1">
      <alignment horizontal="center" vertical="center"/>
    </xf>
    <xf numFmtId="183" fontId="59" fillId="14" borderId="0" xfId="0" applyNumberFormat="1" applyFont="1" applyFill="1" applyAlignment="1">
      <alignment horizontal="center" vertical="center"/>
    </xf>
    <xf numFmtId="183" fontId="58" fillId="14" borderId="0" xfId="0" applyNumberFormat="1" applyFont="1" applyFill="1" applyAlignment="1">
      <alignment horizontal="center" vertical="center"/>
    </xf>
    <xf numFmtId="177" fontId="58" fillId="14" borderId="0" xfId="0" applyNumberFormat="1" applyFont="1" applyFill="1" applyAlignment="1">
      <alignment horizontal="center" vertical="center"/>
    </xf>
    <xf numFmtId="182" fontId="59" fillId="14" borderId="0" xfId="0" applyNumberFormat="1" applyFont="1" applyFill="1" applyAlignment="1">
      <alignment horizontal="right" vertical="center"/>
    </xf>
    <xf numFmtId="186" fontId="59" fillId="14" borderId="0" xfId="0" applyNumberFormat="1" applyFont="1" applyFill="1" applyAlignment="1">
      <alignment horizontal="center" vertical="center"/>
    </xf>
    <xf numFmtId="180" fontId="59" fillId="14" borderId="0" xfId="0" applyNumberFormat="1" applyFont="1" applyFill="1" applyAlignment="1">
      <alignment horizontal="center" vertical="center"/>
    </xf>
    <xf numFmtId="180" fontId="58" fillId="14" borderId="0" xfId="0" applyNumberFormat="1" applyFont="1" applyFill="1" applyAlignment="1">
      <alignment horizontal="center" vertical="center"/>
    </xf>
    <xf numFmtId="186" fontId="60" fillId="14" borderId="0" xfId="0" applyNumberFormat="1" applyFont="1" applyFill="1" applyAlignment="1">
      <alignment horizontal="center" vertical="center"/>
    </xf>
    <xf numFmtId="187" fontId="61" fillId="0" borderId="0" xfId="0" applyNumberFormat="1" applyFont="1" applyAlignment="1">
      <alignment horizontal="right" vertical="center"/>
    </xf>
    <xf numFmtId="182" fontId="49" fillId="14" borderId="0" xfId="0" applyNumberFormat="1" applyFont="1" applyFill="1" applyAlignment="1">
      <alignment horizontal="center" vertical="center"/>
    </xf>
    <xf numFmtId="182" fontId="58" fillId="14" borderId="0" xfId="0" applyNumberFormat="1" applyFont="1" applyFill="1" applyAlignment="1">
      <alignment horizontal="center" vertical="center"/>
    </xf>
    <xf numFmtId="187" fontId="58" fillId="14" borderId="0" xfId="0" applyNumberFormat="1" applyFont="1" applyFill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182" fontId="9" fillId="0" borderId="0" xfId="0" applyNumberFormat="1" applyFon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5" fontId="49" fillId="0" borderId="0" xfId="0" applyNumberFormat="1" applyFont="1" applyAlignment="1">
      <alignment horizontal="center" vertical="center"/>
    </xf>
    <xf numFmtId="177" fontId="48" fillId="0" borderId="0" xfId="0" applyNumberFormat="1" applyFont="1" applyAlignment="1">
      <alignment horizontal="center" vertical="center"/>
    </xf>
    <xf numFmtId="183" fontId="59" fillId="0" borderId="0" xfId="0" applyNumberFormat="1" applyFont="1" applyAlignment="1">
      <alignment horizontal="center" vertical="center"/>
    </xf>
    <xf numFmtId="177" fontId="49" fillId="0" borderId="0" xfId="0" applyNumberFormat="1" applyFont="1" applyAlignment="1">
      <alignment horizontal="center" vertical="center"/>
    </xf>
    <xf numFmtId="182" fontId="59" fillId="0" borderId="0" xfId="0" applyNumberFormat="1" applyFont="1" applyAlignment="1">
      <alignment horizontal="right" vertical="center"/>
    </xf>
    <xf numFmtId="186" fontId="59" fillId="0" borderId="0" xfId="0" applyNumberFormat="1" applyFont="1" applyAlignment="1">
      <alignment horizontal="center" vertical="center"/>
    </xf>
    <xf numFmtId="180" fontId="49" fillId="0" borderId="0" xfId="0" applyNumberFormat="1" applyFont="1" applyAlignment="1">
      <alignment horizontal="center" vertical="center"/>
    </xf>
    <xf numFmtId="186" fontId="49" fillId="0" borderId="0" xfId="0" applyNumberFormat="1" applyFont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186" fontId="57" fillId="0" borderId="0" xfId="0" applyNumberFormat="1" applyFont="1" applyAlignment="1">
      <alignment horizontal="center" vertical="center"/>
    </xf>
    <xf numFmtId="187" fontId="39" fillId="0" borderId="0" xfId="0" applyNumberFormat="1" applyFont="1" applyAlignment="1">
      <alignment horizontal="right" vertical="center"/>
    </xf>
    <xf numFmtId="183" fontId="9" fillId="0" borderId="0" xfId="0" applyNumberFormat="1" applyFont="1" applyAlignment="1">
      <alignment horizontal="center" vertical="center"/>
    </xf>
    <xf numFmtId="183" fontId="9" fillId="0" borderId="0" xfId="0" applyNumberFormat="1" applyFont="1">
      <alignment vertical="center"/>
    </xf>
    <xf numFmtId="182" fontId="9" fillId="0" borderId="0" xfId="0" applyNumberFormat="1" applyFont="1">
      <alignment vertical="center"/>
    </xf>
    <xf numFmtId="187" fontId="9" fillId="0" borderId="0" xfId="0" applyNumberFormat="1" applyFont="1" applyAlignment="1">
      <alignment horizontal="center" vertical="center"/>
    </xf>
    <xf numFmtId="180" fontId="62" fillId="0" borderId="0" xfId="0" applyNumberFormat="1" applyFont="1" applyAlignment="1">
      <alignment horizontal="center" vertical="center"/>
    </xf>
    <xf numFmtId="185" fontId="60" fillId="0" borderId="5" xfId="0" applyNumberFormat="1" applyFont="1" applyBorder="1" applyAlignment="1">
      <alignment horizontal="center" vertical="center"/>
    </xf>
    <xf numFmtId="0" fontId="60" fillId="0" borderId="5" xfId="0" applyFont="1" applyBorder="1" applyAlignment="1">
      <alignment horizontal="center" vertical="center"/>
    </xf>
    <xf numFmtId="177" fontId="63" fillId="16" borderId="1" xfId="1" applyNumberFormat="1" applyFont="1" applyFill="1" applyBorder="1" applyAlignment="1">
      <alignment horizontal="center" vertical="center"/>
    </xf>
    <xf numFmtId="184" fontId="64" fillId="16" borderId="1" xfId="1" applyNumberFormat="1" applyFont="1" applyFill="1" applyBorder="1" applyAlignment="1">
      <alignment horizontal="center" vertical="center"/>
    </xf>
    <xf numFmtId="0" fontId="60" fillId="16" borderId="5" xfId="0" applyFont="1" applyFill="1" applyBorder="1" applyAlignment="1">
      <alignment horizontal="center" vertical="center"/>
    </xf>
    <xf numFmtId="0" fontId="59" fillId="16" borderId="5" xfId="0" applyFont="1" applyFill="1" applyBorder="1" applyAlignment="1">
      <alignment horizontal="center" vertical="center"/>
    </xf>
    <xf numFmtId="177" fontId="60" fillId="16" borderId="5" xfId="0" applyNumberFormat="1" applyFont="1" applyFill="1" applyBorder="1" applyAlignment="1">
      <alignment horizontal="center" vertical="center"/>
    </xf>
    <xf numFmtId="182" fontId="59" fillId="6" borderId="2" xfId="0" applyNumberFormat="1" applyFont="1" applyFill="1" applyBorder="1" applyAlignment="1">
      <alignment horizontal="center" vertical="center"/>
    </xf>
    <xf numFmtId="186" fontId="59" fillId="6" borderId="8" xfId="0" applyNumberFormat="1" applyFont="1" applyFill="1" applyBorder="1" applyAlignment="1">
      <alignment horizontal="center" vertical="center"/>
    </xf>
    <xf numFmtId="180" fontId="49" fillId="6" borderId="8" xfId="0" applyNumberFormat="1" applyFont="1" applyFill="1" applyBorder="1" applyAlignment="1">
      <alignment horizontal="center" vertical="center"/>
    </xf>
    <xf numFmtId="186" fontId="49" fillId="6" borderId="8" xfId="0" applyNumberFormat="1" applyFont="1" applyFill="1" applyBorder="1" applyAlignment="1">
      <alignment horizontal="center" vertical="center"/>
    </xf>
    <xf numFmtId="186" fontId="60" fillId="6" borderId="8" xfId="0" applyNumberFormat="1" applyFont="1" applyFill="1" applyBorder="1" applyAlignment="1">
      <alignment horizontal="center" vertical="center"/>
    </xf>
    <xf numFmtId="187" fontId="61" fillId="0" borderId="3" xfId="0" applyNumberFormat="1" applyFont="1" applyBorder="1" applyAlignment="1">
      <alignment horizontal="right" vertical="center"/>
    </xf>
    <xf numFmtId="182" fontId="49" fillId="12" borderId="5" xfId="0" applyNumberFormat="1" applyFont="1" applyFill="1" applyBorder="1" applyAlignment="1">
      <alignment horizontal="center" vertical="center"/>
    </xf>
    <xf numFmtId="0" fontId="60" fillId="14" borderId="2" xfId="0" applyFont="1" applyFill="1" applyBorder="1" applyAlignment="1">
      <alignment horizontal="center" vertical="center"/>
    </xf>
    <xf numFmtId="182" fontId="60" fillId="14" borderId="8" xfId="0" applyNumberFormat="1" applyFont="1" applyFill="1" applyBorder="1" applyAlignment="1">
      <alignment horizontal="center" vertical="center"/>
    </xf>
    <xf numFmtId="0" fontId="60" fillId="14" borderId="8" xfId="0" applyFont="1" applyFill="1" applyBorder="1" applyAlignment="1">
      <alignment horizontal="center" vertical="center"/>
    </xf>
    <xf numFmtId="0" fontId="60" fillId="14" borderId="3" xfId="0" applyFont="1" applyFill="1" applyBorder="1" applyAlignment="1">
      <alignment horizontal="center" vertical="center"/>
    </xf>
    <xf numFmtId="182" fontId="65" fillId="14" borderId="11" xfId="0" applyNumberFormat="1" applyFont="1" applyFill="1" applyBorder="1" applyAlignment="1">
      <alignment horizontal="center" vertical="center" wrapText="1"/>
    </xf>
    <xf numFmtId="187" fontId="66" fillId="6" borderId="5" xfId="0" applyNumberFormat="1" applyFont="1" applyFill="1" applyBorder="1" applyAlignment="1">
      <alignment horizontal="center" vertical="center" wrapText="1"/>
    </xf>
    <xf numFmtId="180" fontId="65" fillId="6" borderId="1" xfId="0" applyNumberFormat="1" applyFont="1" applyFill="1" applyBorder="1" applyAlignment="1">
      <alignment horizontal="center" vertical="center"/>
    </xf>
    <xf numFmtId="180" fontId="59" fillId="6" borderId="1" xfId="0" applyNumberFormat="1" applyFont="1" applyFill="1" applyBorder="1" applyAlignment="1">
      <alignment horizontal="center" vertical="center"/>
    </xf>
    <xf numFmtId="186" fontId="65" fillId="6" borderId="1" xfId="0" applyNumberFormat="1" applyFont="1" applyFill="1" applyBorder="1" applyAlignment="1">
      <alignment horizontal="center" vertical="center"/>
    </xf>
    <xf numFmtId="182" fontId="65" fillId="12" borderId="5" xfId="0" applyNumberFormat="1" applyFont="1" applyFill="1" applyBorder="1" applyAlignment="1">
      <alignment horizontal="center" vertical="center"/>
    </xf>
    <xf numFmtId="182" fontId="49" fillId="19" borderId="5" xfId="0" applyNumberFormat="1" applyFont="1" applyFill="1" applyBorder="1" applyAlignment="1">
      <alignment horizontal="center" vertical="center"/>
    </xf>
    <xf numFmtId="185" fontId="60" fillId="0" borderId="6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60" fillId="16" borderId="6" xfId="0" applyFont="1" applyFill="1" applyBorder="1" applyAlignment="1">
      <alignment horizontal="center" vertical="center"/>
    </xf>
    <xf numFmtId="0" fontId="59" fillId="16" borderId="6" xfId="0" applyFont="1" applyFill="1" applyBorder="1" applyAlignment="1">
      <alignment horizontal="center" vertical="center"/>
    </xf>
    <xf numFmtId="182" fontId="59" fillId="6" borderId="1" xfId="0" applyNumberFormat="1" applyFont="1" applyFill="1" applyBorder="1" applyAlignment="1">
      <alignment horizontal="right" vertical="center"/>
    </xf>
    <xf numFmtId="186" fontId="67" fillId="6" borderId="1" xfId="0" applyNumberFormat="1" applyFont="1" applyFill="1" applyBorder="1" applyAlignment="1">
      <alignment horizontal="center" vertical="center" wrapText="1"/>
    </xf>
    <xf numFmtId="180" fontId="68" fillId="6" borderId="1" xfId="0" applyNumberFormat="1" applyFont="1" applyFill="1" applyBorder="1" applyAlignment="1">
      <alignment horizontal="center" vertical="center" wrapText="1"/>
    </xf>
    <xf numFmtId="186" fontId="68" fillId="6" borderId="1" xfId="0" applyNumberFormat="1" applyFont="1" applyFill="1" applyBorder="1" applyAlignment="1">
      <alignment horizontal="center" vertical="center" wrapText="1"/>
    </xf>
    <xf numFmtId="180" fontId="60" fillId="6" borderId="1" xfId="0" applyNumberFormat="1" applyFont="1" applyFill="1" applyBorder="1" applyAlignment="1">
      <alignment horizontal="center" vertical="center" wrapText="1"/>
    </xf>
    <xf numFmtId="186" fontId="60" fillId="6" borderId="1" xfId="0" applyNumberFormat="1" applyFont="1" applyFill="1" applyBorder="1" applyAlignment="1">
      <alignment horizontal="center" vertical="center"/>
    </xf>
    <xf numFmtId="187" fontId="69" fillId="0" borderId="1" xfId="0" applyNumberFormat="1" applyFont="1" applyBorder="1" applyAlignment="1">
      <alignment horizontal="right" vertical="center"/>
    </xf>
    <xf numFmtId="182" fontId="49" fillId="12" borderId="6" xfId="0" applyNumberFormat="1" applyFont="1" applyFill="1" applyBorder="1" applyAlignment="1">
      <alignment horizontal="center" vertical="center"/>
    </xf>
    <xf numFmtId="188" fontId="70" fillId="14" borderId="1" xfId="4" applyNumberFormat="1" applyFont="1" applyFill="1" applyBorder="1" applyAlignment="1">
      <alignment horizontal="center" vertical="center"/>
    </xf>
    <xf numFmtId="182" fontId="69" fillId="14" borderId="1" xfId="4" applyNumberFormat="1" applyFont="1" applyFill="1" applyBorder="1" applyAlignment="1">
      <alignment horizontal="center" vertical="center"/>
    </xf>
    <xf numFmtId="188" fontId="69" fillId="14" borderId="1" xfId="4" applyNumberFormat="1" applyFont="1" applyFill="1" applyBorder="1" applyAlignment="1">
      <alignment horizontal="center" vertical="center"/>
    </xf>
    <xf numFmtId="182" fontId="65" fillId="14" borderId="10" xfId="0" applyNumberFormat="1" applyFont="1" applyFill="1" applyBorder="1" applyAlignment="1">
      <alignment horizontal="center" vertical="center" wrapText="1"/>
    </xf>
    <xf numFmtId="187" fontId="66" fillId="6" borderId="6" xfId="0" applyNumberFormat="1" applyFont="1" applyFill="1" applyBorder="1" applyAlignment="1">
      <alignment horizontal="center" vertical="center" wrapText="1"/>
    </xf>
    <xf numFmtId="180" fontId="66" fillId="6" borderId="1" xfId="0" applyNumberFormat="1" applyFont="1" applyFill="1" applyBorder="1" applyAlignment="1">
      <alignment vertical="center" wrapText="1"/>
    </xf>
    <xf numFmtId="180" fontId="59" fillId="6" borderId="1" xfId="0" applyNumberFormat="1" applyFont="1" applyFill="1" applyBorder="1" applyAlignment="1">
      <alignment vertical="center" wrapText="1"/>
    </xf>
    <xf numFmtId="186" fontId="59" fillId="6" borderId="1" xfId="0" applyNumberFormat="1" applyFont="1" applyFill="1" applyBorder="1" applyAlignment="1">
      <alignment horizontal="center" vertical="center"/>
    </xf>
    <xf numFmtId="182" fontId="65" fillId="6" borderId="1" xfId="0" applyNumberFormat="1" applyFont="1" applyFill="1" applyBorder="1" applyAlignment="1">
      <alignment horizontal="center" vertical="center"/>
    </xf>
    <xf numFmtId="182" fontId="65" fillId="12" borderId="1" xfId="0" applyNumberFormat="1" applyFont="1" applyFill="1" applyBorder="1" applyAlignment="1">
      <alignment horizontal="center" vertical="center"/>
    </xf>
    <xf numFmtId="182" fontId="49" fillId="19" borderId="4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vertical="center"/>
    </xf>
    <xf numFmtId="177" fontId="57" fillId="0" borderId="1" xfId="0" applyNumberFormat="1" applyFont="1" applyFill="1" applyBorder="1" applyAlignment="1">
      <alignment vertical="center"/>
    </xf>
    <xf numFmtId="58" fontId="57" fillId="0" borderId="1" xfId="0" applyNumberFormat="1" applyFont="1" applyFill="1" applyBorder="1" applyAlignment="1">
      <alignment vertical="center"/>
    </xf>
    <xf numFmtId="176" fontId="71" fillId="0" borderId="1" xfId="0" applyNumberFormat="1" applyFont="1" applyFill="1" applyBorder="1" applyAlignment="1">
      <alignment vertical="center"/>
    </xf>
    <xf numFmtId="186" fontId="71" fillId="0" borderId="0" xfId="0" applyNumberFormat="1" applyFont="1" applyFill="1" applyBorder="1" applyAlignment="1">
      <alignment vertical="center"/>
    </xf>
    <xf numFmtId="180" fontId="45" fillId="0" borderId="1" xfId="0" applyNumberFormat="1" applyFont="1" applyFill="1" applyBorder="1" applyAlignment="1">
      <alignment vertical="center"/>
    </xf>
    <xf numFmtId="186" fontId="71" fillId="0" borderId="1" xfId="0" applyNumberFormat="1" applyFont="1" applyFill="1" applyBorder="1" applyAlignment="1">
      <alignment horizontal="center" vertical="center"/>
    </xf>
    <xf numFmtId="180" fontId="71" fillId="0" borderId="1" xfId="0" applyNumberFormat="1" applyFont="1" applyFill="1" applyBorder="1" applyAlignment="1">
      <alignment vertical="center"/>
    </xf>
    <xf numFmtId="0" fontId="45" fillId="0" borderId="2" xfId="0" applyFont="1" applyFill="1" applyBorder="1" applyAlignment="1">
      <alignment vertical="center"/>
    </xf>
    <xf numFmtId="176" fontId="45" fillId="0" borderId="1" xfId="0" applyNumberFormat="1" applyFont="1" applyFill="1" applyBorder="1" applyAlignment="1">
      <alignment vertical="center"/>
    </xf>
    <xf numFmtId="176" fontId="57" fillId="0" borderId="1" xfId="0" applyNumberFormat="1" applyFont="1" applyFill="1" applyBorder="1" applyAlignment="1">
      <alignment horizontal="center" vertical="center"/>
    </xf>
    <xf numFmtId="176" fontId="57" fillId="0" borderId="1" xfId="0" applyNumberFormat="1" applyFont="1" applyFill="1" applyBorder="1" applyAlignment="1">
      <alignment vertical="center" wrapText="1"/>
    </xf>
    <xf numFmtId="176" fontId="57" fillId="0" borderId="1" xfId="0" applyNumberFormat="1" applyFont="1" applyFill="1" applyBorder="1" applyAlignment="1">
      <alignment vertical="center"/>
    </xf>
    <xf numFmtId="180" fontId="57" fillId="0" borderId="1" xfId="0" applyNumberFormat="1" applyFont="1" applyFill="1" applyBorder="1" applyAlignment="1">
      <alignment vertical="center"/>
    </xf>
    <xf numFmtId="186" fontId="57" fillId="0" borderId="1" xfId="0" applyNumberFormat="1" applyFont="1" applyFill="1" applyBorder="1" applyAlignment="1">
      <alignment vertical="center"/>
    </xf>
    <xf numFmtId="186" fontId="71" fillId="0" borderId="1" xfId="0" applyNumberFormat="1" applyFont="1" applyFill="1" applyBorder="1" applyAlignment="1">
      <alignment vertical="center"/>
    </xf>
    <xf numFmtId="176" fontId="57" fillId="0" borderId="5" xfId="0" applyNumberFormat="1" applyFont="1" applyFill="1" applyBorder="1" applyAlignment="1">
      <alignment horizontal="center" vertical="center"/>
    </xf>
    <xf numFmtId="176" fontId="57" fillId="0" borderId="5" xfId="0" applyNumberFormat="1" applyFont="1" applyFill="1" applyBorder="1" applyAlignment="1">
      <alignment horizontal="center" vertical="center" wrapText="1"/>
    </xf>
    <xf numFmtId="180" fontId="57" fillId="0" borderId="5" xfId="0" applyNumberFormat="1" applyFont="1" applyFill="1" applyBorder="1" applyAlignment="1">
      <alignment horizontal="center" vertical="center"/>
    </xf>
    <xf numFmtId="186" fontId="57" fillId="0" borderId="5" xfId="0" applyNumberFormat="1" applyFont="1" applyFill="1" applyBorder="1" applyAlignment="1">
      <alignment horizontal="center" vertical="center"/>
    </xf>
    <xf numFmtId="176" fontId="57" fillId="0" borderId="6" xfId="0" applyNumberFormat="1" applyFont="1" applyFill="1" applyBorder="1" applyAlignment="1">
      <alignment horizontal="center" vertical="center"/>
    </xf>
    <xf numFmtId="180" fontId="57" fillId="0" borderId="6" xfId="0" applyNumberFormat="1" applyFont="1" applyFill="1" applyBorder="1" applyAlignment="1">
      <alignment horizontal="center" vertical="center"/>
    </xf>
    <xf numFmtId="180" fontId="57" fillId="0" borderId="4" xfId="0" applyNumberFormat="1" applyFont="1" applyFill="1" applyBorder="1" applyAlignment="1">
      <alignment horizontal="center" vertical="center"/>
    </xf>
    <xf numFmtId="186" fontId="57" fillId="0" borderId="6" xfId="0" applyNumberFormat="1" applyFont="1" applyFill="1" applyBorder="1" applyAlignment="1">
      <alignment horizontal="center" vertical="center"/>
    </xf>
    <xf numFmtId="176" fontId="57" fillId="0" borderId="4" xfId="0" applyNumberFormat="1" applyFont="1" applyFill="1" applyBorder="1" applyAlignment="1">
      <alignment horizontal="center" vertical="center"/>
    </xf>
    <xf numFmtId="186" fontId="57" fillId="0" borderId="4" xfId="0" applyNumberFormat="1" applyFont="1" applyFill="1" applyBorder="1" applyAlignment="1">
      <alignment horizontal="center" vertical="center"/>
    </xf>
    <xf numFmtId="180" fontId="57" fillId="0" borderId="0" xfId="0" applyNumberFormat="1" applyFont="1" applyFill="1" applyBorder="1" applyAlignment="1">
      <alignment horizontal="center" vertical="center"/>
    </xf>
    <xf numFmtId="186" fontId="9" fillId="0" borderId="1" xfId="0" applyNumberFormat="1" applyFont="1" applyFill="1" applyBorder="1" applyAlignment="1">
      <alignment vertical="center"/>
    </xf>
    <xf numFmtId="186" fontId="8" fillId="0" borderId="1" xfId="0" applyNumberFormat="1" applyFont="1" applyFill="1" applyBorder="1" applyAlignment="1">
      <alignment vertical="center"/>
    </xf>
    <xf numFmtId="186" fontId="45" fillId="0" borderId="1" xfId="0" applyNumberFormat="1" applyFont="1" applyFill="1" applyBorder="1" applyAlignment="1">
      <alignment vertical="center"/>
    </xf>
    <xf numFmtId="176" fontId="57" fillId="0" borderId="2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176" fontId="57" fillId="0" borderId="12" xfId="0" applyNumberFormat="1" applyFont="1" applyFill="1" applyBorder="1" applyAlignment="1">
      <alignment horizontal="center" vertical="center"/>
    </xf>
    <xf numFmtId="176" fontId="57" fillId="0" borderId="11" xfId="0" applyNumberFormat="1" applyFont="1" applyFill="1" applyBorder="1" applyAlignment="1">
      <alignment horizontal="center" vertical="center"/>
    </xf>
    <xf numFmtId="189" fontId="45" fillId="0" borderId="1" xfId="0" applyNumberFormat="1" applyFont="1" applyFill="1" applyBorder="1" applyAlignment="1">
      <alignment vertical="center"/>
    </xf>
    <xf numFmtId="177" fontId="45" fillId="0" borderId="1" xfId="0" applyNumberFormat="1" applyFont="1" applyFill="1" applyBorder="1" applyAlignment="1">
      <alignment vertical="center"/>
    </xf>
    <xf numFmtId="176" fontId="57" fillId="0" borderId="10" xfId="0" applyNumberFormat="1" applyFont="1" applyFill="1" applyBorder="1" applyAlignment="1">
      <alignment horizontal="center" vertical="center"/>
    </xf>
    <xf numFmtId="7" fontId="57" fillId="0" borderId="6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71" fillId="0" borderId="1" xfId="0" applyFont="1" applyFill="1" applyBorder="1" applyAlignment="1">
      <alignment vertical="center"/>
    </xf>
    <xf numFmtId="0" fontId="45" fillId="0" borderId="5" xfId="0" applyFont="1" applyFill="1" applyBorder="1" applyAlignment="1">
      <alignment horizontal="center" vertical="center"/>
    </xf>
    <xf numFmtId="0" fontId="45" fillId="0" borderId="5" xfId="0" applyFont="1" applyFill="1" applyBorder="1" applyAlignment="1">
      <alignment vertical="center"/>
    </xf>
    <xf numFmtId="176" fontId="71" fillId="0" borderId="5" xfId="0" applyNumberFormat="1" applyFont="1" applyFill="1" applyBorder="1" applyAlignment="1">
      <alignment vertical="center"/>
    </xf>
    <xf numFmtId="180" fontId="57" fillId="0" borderId="1" xfId="0" applyNumberFormat="1" applyFont="1" applyFill="1" applyBorder="1" applyAlignment="1">
      <alignment horizontal="center" vertical="center"/>
    </xf>
    <xf numFmtId="186" fontId="57" fillId="0" borderId="1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184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>
      <alignment vertical="center"/>
    </xf>
    <xf numFmtId="187" fontId="9" fillId="0" borderId="1" xfId="0" applyNumberFormat="1" applyFont="1" applyBorder="1">
      <alignment vertical="center"/>
    </xf>
    <xf numFmtId="180" fontId="9" fillId="0" borderId="1" xfId="0" applyNumberFormat="1" applyFont="1" applyBorder="1">
      <alignment vertical="center"/>
    </xf>
    <xf numFmtId="180" fontId="9" fillId="0" borderId="1" xfId="0" applyNumberFormat="1" applyFont="1" applyBorder="1" applyAlignment="1">
      <alignment horizontal="center" vertical="center"/>
    </xf>
    <xf numFmtId="0" fontId="72" fillId="16" borderId="1" xfId="0" applyFont="1" applyFill="1" applyBorder="1" applyAlignment="1">
      <alignment horizontal="center" vertical="center"/>
    </xf>
    <xf numFmtId="7" fontId="9" fillId="18" borderId="1" xfId="0" applyNumberFormat="1" applyFont="1" applyFill="1" applyBorder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180" fontId="9" fillId="13" borderId="1" xfId="0" applyNumberFormat="1" applyFont="1" applyFill="1" applyBorder="1" applyAlignment="1">
      <alignment horizontal="center" vertical="center" wrapText="1"/>
    </xf>
    <xf numFmtId="176" fontId="9" fillId="13" borderId="1" xfId="0" applyNumberFormat="1" applyFont="1" applyFill="1" applyBorder="1" applyAlignment="1">
      <alignment horizontal="center" vertical="center"/>
    </xf>
    <xf numFmtId="180" fontId="73" fillId="6" borderId="1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7" fontId="73" fillId="0" borderId="0" xfId="0" applyNumberFormat="1" applyFont="1">
      <alignment vertical="center"/>
    </xf>
    <xf numFmtId="190" fontId="9" fillId="0" borderId="0" xfId="0" applyNumberFormat="1" applyFont="1">
      <alignment vertical="center"/>
    </xf>
    <xf numFmtId="17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 wrapText="1"/>
    </xf>
    <xf numFmtId="180" fontId="9" fillId="0" borderId="0" xfId="0" applyNumberFormat="1" applyFont="1">
      <alignment vertical="center"/>
    </xf>
    <xf numFmtId="181" fontId="9" fillId="0" borderId="0" xfId="0" applyNumberFormat="1" applyFont="1">
      <alignment vertical="center"/>
    </xf>
    <xf numFmtId="7" fontId="9" fillId="0" borderId="0" xfId="0" applyNumberFormat="1" applyFont="1">
      <alignment vertical="center"/>
    </xf>
    <xf numFmtId="180" fontId="39" fillId="0" borderId="1" xfId="0" applyNumberFormat="1" applyFont="1" applyBorder="1" applyAlignment="1">
      <alignment horizontal="center" vertical="center"/>
    </xf>
    <xf numFmtId="181" fontId="39" fillId="0" borderId="1" xfId="0" applyNumberFormat="1" applyFont="1" applyBorder="1" applyAlignment="1">
      <alignment horizontal="center" vertical="center"/>
    </xf>
    <xf numFmtId="176" fontId="73" fillId="15" borderId="1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1" fontId="0" fillId="0" borderId="0" xfId="0" applyNumberFormat="1" applyAlignment="1">
      <alignment horizontal="center" vertical="center"/>
    </xf>
    <xf numFmtId="181" fontId="0" fillId="0" borderId="0" xfId="0" applyNumberFormat="1">
      <alignment vertical="center"/>
    </xf>
    <xf numFmtId="7" fontId="0" fillId="0" borderId="0" xfId="0" applyNumberFormat="1">
      <alignment vertical="center"/>
    </xf>
    <xf numFmtId="0" fontId="74" fillId="0" borderId="0" xfId="0" applyFont="1">
      <alignment vertical="center"/>
    </xf>
    <xf numFmtId="180" fontId="74" fillId="0" borderId="0" xfId="0" applyNumberFormat="1" applyFont="1">
      <alignment vertical="center"/>
    </xf>
    <xf numFmtId="186" fontId="74" fillId="0" borderId="0" xfId="0" applyNumberFormat="1" applyFont="1">
      <alignment vertical="center"/>
    </xf>
    <xf numFmtId="180" fontId="74" fillId="0" borderId="0" xfId="0" applyNumberFormat="1" applyFont="1" applyAlignment="1">
      <alignment horizontal="center" vertical="center"/>
    </xf>
    <xf numFmtId="7" fontId="74" fillId="0" borderId="0" xfId="0" applyNumberFormat="1" applyFont="1">
      <alignment vertical="center"/>
    </xf>
    <xf numFmtId="190" fontId="0" fillId="0" borderId="0" xfId="0" applyNumberFormat="1">
      <alignment vertical="center"/>
    </xf>
    <xf numFmtId="0" fontId="9" fillId="13" borderId="5" xfId="0" applyFont="1" applyFill="1" applyBorder="1" applyAlignment="1">
      <alignment horizontal="center" vertical="center"/>
    </xf>
    <xf numFmtId="176" fontId="9" fillId="13" borderId="2" xfId="0" applyNumberFormat="1" applyFont="1" applyFill="1" applyBorder="1" applyAlignment="1">
      <alignment horizontal="center" vertical="center"/>
    </xf>
    <xf numFmtId="176" fontId="9" fillId="13" borderId="8" xfId="0" applyNumberFormat="1" applyFont="1" applyFill="1" applyBorder="1" applyAlignment="1">
      <alignment horizontal="center" vertical="center"/>
    </xf>
    <xf numFmtId="176" fontId="9" fillId="13" borderId="3" xfId="0" applyNumberFormat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176" fontId="9" fillId="13" borderId="5" xfId="0" applyNumberFormat="1" applyFont="1" applyFill="1" applyBorder="1" applyAlignment="1">
      <alignment horizontal="center" vertical="center" wrapText="1"/>
    </xf>
    <xf numFmtId="176" fontId="9" fillId="6" borderId="5" xfId="0" applyNumberFormat="1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/>
    </xf>
    <xf numFmtId="176" fontId="9" fillId="13" borderId="1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6" fontId="9" fillId="6" borderId="4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176" fontId="9" fillId="15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176" fontId="9" fillId="15" borderId="1" xfId="0" applyNumberFormat="1" applyFont="1" applyFill="1" applyBorder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81" fontId="9" fillId="0" borderId="0" xfId="0" applyNumberFormat="1" applyFont="1" applyAlignment="1">
      <alignment horizontal="center" vertical="center"/>
    </xf>
    <xf numFmtId="7" fontId="9" fillId="0" borderId="0" xfId="0" applyNumberFormat="1" applyFont="1" applyAlignment="1">
      <alignment horizontal="center" vertical="center"/>
    </xf>
    <xf numFmtId="0" fontId="75" fillId="0" borderId="0" xfId="0" applyFont="1" applyFill="1">
      <alignment vertical="center"/>
    </xf>
    <xf numFmtId="182" fontId="69" fillId="14" borderId="1" xfId="4" applyNumberFormat="1" applyFont="1" applyFill="1" applyBorder="1" applyAlignment="1">
      <alignment horizontal="center" vertical="center" wrapText="1"/>
    </xf>
    <xf numFmtId="0" fontId="76" fillId="0" borderId="1" xfId="0" applyFont="1" applyFill="1" applyBorder="1" applyAlignment="1">
      <alignment horizontal="center" vertical="center"/>
    </xf>
    <xf numFmtId="0" fontId="76" fillId="0" borderId="1" xfId="0" applyFont="1" applyFill="1" applyBorder="1">
      <alignment vertical="center"/>
    </xf>
    <xf numFmtId="177" fontId="77" fillId="0" borderId="1" xfId="0" applyNumberFormat="1" applyFont="1" applyFill="1" applyBorder="1">
      <alignment vertical="center"/>
    </xf>
    <xf numFmtId="58" fontId="77" fillId="0" borderId="1" xfId="0" applyNumberFormat="1" applyFont="1" applyFill="1" applyBorder="1">
      <alignment vertical="center"/>
    </xf>
    <xf numFmtId="0" fontId="78" fillId="0" borderId="1" xfId="0" applyFont="1" applyFill="1" applyBorder="1">
      <alignment vertical="center"/>
    </xf>
    <xf numFmtId="182" fontId="79" fillId="0" borderId="1" xfId="0" applyNumberFormat="1" applyFont="1" applyFill="1" applyBorder="1">
      <alignment vertical="center"/>
    </xf>
    <xf numFmtId="186" fontId="79" fillId="0" borderId="0" xfId="0" applyNumberFormat="1" applyFont="1" applyFill="1">
      <alignment vertical="center"/>
    </xf>
    <xf numFmtId="180" fontId="80" fillId="0" borderId="1" xfId="0" applyNumberFormat="1" applyFont="1" applyFill="1" applyBorder="1">
      <alignment vertical="center"/>
    </xf>
    <xf numFmtId="186" fontId="79" fillId="0" borderId="1" xfId="0" applyNumberFormat="1" applyFont="1" applyFill="1" applyBorder="1" applyAlignment="1">
      <alignment horizontal="center" vertical="center"/>
    </xf>
    <xf numFmtId="180" fontId="79" fillId="0" borderId="1" xfId="0" applyNumberFormat="1" applyFont="1" applyFill="1" applyBorder="1">
      <alignment vertical="center"/>
    </xf>
    <xf numFmtId="0" fontId="72" fillId="0" borderId="1" xfId="0" applyFont="1" applyFill="1" applyBorder="1">
      <alignment vertical="center"/>
    </xf>
    <xf numFmtId="182" fontId="72" fillId="0" borderId="1" xfId="0" applyNumberFormat="1" applyFont="1" applyFill="1" applyBorder="1">
      <alignment vertical="center"/>
    </xf>
    <xf numFmtId="182" fontId="77" fillId="0" borderId="1" xfId="0" applyNumberFormat="1" applyFont="1" applyFill="1" applyBorder="1">
      <alignment vertical="center"/>
    </xf>
    <xf numFmtId="182" fontId="77" fillId="0" borderId="1" xfId="0" applyNumberFormat="1" applyFont="1" applyFill="1" applyBorder="1" applyAlignment="1">
      <alignment vertical="center" wrapText="1"/>
    </xf>
    <xf numFmtId="180" fontId="77" fillId="0" borderId="1" xfId="0" applyNumberFormat="1" applyFont="1" applyFill="1" applyBorder="1">
      <alignment vertical="center"/>
    </xf>
    <xf numFmtId="186" fontId="77" fillId="0" borderId="1" xfId="0" applyNumberFormat="1" applyFont="1" applyFill="1" applyBorder="1">
      <alignment vertical="center"/>
    </xf>
    <xf numFmtId="186" fontId="9" fillId="0" borderId="1" xfId="0" applyNumberFormat="1" applyFont="1" applyBorder="1">
      <alignment vertical="center"/>
    </xf>
    <xf numFmtId="44" fontId="9" fillId="0" borderId="1" xfId="2" applyFont="1" applyBorder="1">
      <alignment vertical="center"/>
    </xf>
    <xf numFmtId="176" fontId="9" fillId="0" borderId="1" xfId="0" applyNumberFormat="1" applyFont="1" applyBorder="1" applyAlignment="1">
      <alignment horizontal="right" vertical="center"/>
    </xf>
    <xf numFmtId="0" fontId="9" fillId="20" borderId="1" xfId="0" applyNumberFormat="1" applyFont="1" applyFill="1" applyBorder="1" applyAlignment="1">
      <alignment horizontal="center" vertical="center"/>
    </xf>
    <xf numFmtId="7" fontId="57" fillId="0" borderId="5" xfId="0" applyNumberFormat="1" applyFont="1" applyFill="1" applyBorder="1" applyAlignment="1">
      <alignment horizontal="center" vertical="center"/>
    </xf>
    <xf numFmtId="7" fontId="57" fillId="0" borderId="4" xfId="0" applyNumberFormat="1" applyFont="1" applyFill="1" applyBorder="1" applyAlignment="1">
      <alignment horizontal="center" vertical="center"/>
    </xf>
    <xf numFmtId="0" fontId="81" fillId="0" borderId="1" xfId="0" applyFont="1" applyFill="1" applyBorder="1" applyAlignment="1">
      <alignment horizontal="center" vertical="center"/>
    </xf>
    <xf numFmtId="0" fontId="81" fillId="0" borderId="1" xfId="0" applyFont="1" applyFill="1" applyBorder="1" applyAlignment="1">
      <alignment vertical="center"/>
    </xf>
    <xf numFmtId="180" fontId="82" fillId="0" borderId="1" xfId="0" applyNumberFormat="1" applyFont="1" applyFill="1" applyBorder="1" applyAlignment="1">
      <alignment vertical="center"/>
    </xf>
    <xf numFmtId="0" fontId="83" fillId="0" borderId="1" xfId="0" applyFont="1" applyFill="1" applyBorder="1" applyAlignment="1">
      <alignment horizontal="center" vertical="center"/>
    </xf>
    <xf numFmtId="0" fontId="83" fillId="0" borderId="1" xfId="0" applyFont="1" applyFill="1" applyBorder="1" applyAlignment="1">
      <alignment vertical="center"/>
    </xf>
    <xf numFmtId="180" fontId="83" fillId="0" borderId="1" xfId="0" applyNumberFormat="1" applyFont="1" applyFill="1" applyBorder="1" applyAlignment="1">
      <alignment vertical="center"/>
    </xf>
    <xf numFmtId="176" fontId="83" fillId="0" borderId="1" xfId="0" applyNumberFormat="1" applyFont="1" applyFill="1" applyBorder="1" applyAlignment="1">
      <alignment vertical="center"/>
    </xf>
    <xf numFmtId="180" fontId="9" fillId="0" borderId="0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191" fontId="9" fillId="0" borderId="1" xfId="2" applyNumberFormat="1" applyFont="1" applyBorder="1">
      <alignment vertical="center"/>
    </xf>
    <xf numFmtId="180" fontId="9" fillId="19" borderId="1" xfId="0" applyNumberFormat="1" applyFont="1" applyFill="1" applyBorder="1">
      <alignment vertical="center"/>
    </xf>
    <xf numFmtId="176" fontId="9" fillId="19" borderId="1" xfId="0" applyNumberFormat="1" applyFont="1" applyFill="1" applyBorder="1">
      <alignment vertical="center"/>
    </xf>
    <xf numFmtId="176" fontId="9" fillId="19" borderId="1" xfId="0" applyNumberFormat="1" applyFont="1" applyFill="1" applyBorder="1" applyAlignment="1">
      <alignment horizontal="right" vertical="center"/>
    </xf>
    <xf numFmtId="181" fontId="9" fillId="0" borderId="1" xfId="0" applyNumberFormat="1" applyFont="1" applyBorder="1" applyAlignment="1">
      <alignment horizontal="right" vertical="center"/>
    </xf>
    <xf numFmtId="181" fontId="9" fillId="19" borderId="1" xfId="0" applyNumberFormat="1" applyFont="1" applyFill="1" applyBorder="1" applyAlignment="1">
      <alignment horizontal="right" vertical="center"/>
    </xf>
    <xf numFmtId="180" fontId="9" fillId="0" borderId="1" xfId="0" applyNumberFormat="1" applyFont="1" applyFill="1" applyBorder="1" applyAlignment="1">
      <alignment vertical="center"/>
    </xf>
    <xf numFmtId="58" fontId="9" fillId="0" borderId="1" xfId="0" applyNumberFormat="1" applyFont="1" applyFill="1" applyBorder="1" applyAlignment="1">
      <alignment vertical="center"/>
    </xf>
    <xf numFmtId="176" fontId="71" fillId="0" borderId="5" xfId="0" applyNumberFormat="1" applyFont="1" applyFill="1" applyBorder="1" applyAlignment="1">
      <alignment horizontal="center" vertical="center"/>
    </xf>
    <xf numFmtId="176" fontId="71" fillId="0" borderId="6" xfId="0" applyNumberFormat="1" applyFont="1" applyFill="1" applyBorder="1" applyAlignment="1">
      <alignment horizontal="center" vertical="center"/>
    </xf>
    <xf numFmtId="176" fontId="71" fillId="0" borderId="4" xfId="0" applyNumberFormat="1" applyFont="1" applyFill="1" applyBorder="1" applyAlignment="1">
      <alignment horizontal="center" vertical="center"/>
    </xf>
    <xf numFmtId="177" fontId="45" fillId="0" borderId="1" xfId="0" applyNumberFormat="1" applyFont="1" applyFill="1" applyBorder="1" applyAlignment="1">
      <alignment horizontal="center" vertical="center"/>
    </xf>
    <xf numFmtId="176" fontId="57" fillId="0" borderId="6" xfId="0" applyNumberFormat="1" applyFont="1" applyFill="1" applyBorder="1" applyAlignment="1">
      <alignment horizontal="center" vertical="center" wrapText="1"/>
    </xf>
    <xf numFmtId="176" fontId="57" fillId="0" borderId="4" xfId="0" applyNumberFormat="1" applyFont="1" applyFill="1" applyBorder="1" applyAlignment="1">
      <alignment horizontal="center" vertical="center" wrapText="1"/>
    </xf>
    <xf numFmtId="0" fontId="45" fillId="0" borderId="6" xfId="0" applyFont="1" applyFill="1" applyBorder="1" applyAlignment="1">
      <alignment horizontal="center" vertical="center"/>
    </xf>
    <xf numFmtId="0" fontId="45" fillId="0" borderId="4" xfId="0" applyFont="1" applyFill="1" applyBorder="1" applyAlignment="1">
      <alignment horizontal="center" vertical="center"/>
    </xf>
    <xf numFmtId="176" fontId="71" fillId="0" borderId="0" xfId="0" applyNumberFormat="1" applyFont="1" applyFill="1" applyBorder="1" applyAlignment="1">
      <alignment vertical="center"/>
    </xf>
    <xf numFmtId="181" fontId="45" fillId="0" borderId="1" xfId="0" applyNumberFormat="1" applyFont="1" applyFill="1" applyBorder="1" applyAlignment="1">
      <alignment vertical="center"/>
    </xf>
    <xf numFmtId="7" fontId="84" fillId="6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>
      <alignment vertical="center"/>
    </xf>
    <xf numFmtId="180" fontId="9" fillId="19" borderId="1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7" fontId="9" fillId="0" borderId="5" xfId="0" applyNumberFormat="1" applyFont="1" applyFill="1" applyBorder="1" applyAlignment="1">
      <alignment horizontal="center" vertical="center"/>
    </xf>
    <xf numFmtId="180" fontId="9" fillId="0" borderId="5" xfId="0" applyNumberFormat="1" applyFont="1" applyFill="1" applyBorder="1" applyAlignment="1">
      <alignment horizontal="center" vertical="center"/>
    </xf>
    <xf numFmtId="186" fontId="9" fillId="0" borderId="5" xfId="0" applyNumberFormat="1" applyFont="1" applyFill="1" applyBorder="1" applyAlignment="1">
      <alignment horizontal="center" vertical="center"/>
    </xf>
    <xf numFmtId="180" fontId="71" fillId="0" borderId="6" xfId="0" applyNumberFormat="1" applyFont="1" applyFill="1" applyBorder="1" applyAlignment="1">
      <alignment horizontal="center" vertical="center"/>
    </xf>
    <xf numFmtId="180" fontId="8" fillId="0" borderId="5" xfId="0" applyNumberFormat="1" applyFont="1" applyFill="1" applyBorder="1" applyAlignment="1">
      <alignment horizontal="center" vertical="center"/>
    </xf>
    <xf numFmtId="180" fontId="71" fillId="0" borderId="4" xfId="0" applyNumberFormat="1" applyFont="1" applyFill="1" applyBorder="1" applyAlignment="1">
      <alignment horizontal="center" vertical="center"/>
    </xf>
    <xf numFmtId="0" fontId="45" fillId="0" borderId="6" xfId="0" applyFont="1" applyFill="1" applyBorder="1" applyAlignment="1">
      <alignment vertical="center"/>
    </xf>
    <xf numFmtId="180" fontId="45" fillId="0" borderId="5" xfId="0" applyNumberFormat="1" applyFont="1" applyFill="1" applyBorder="1" applyAlignment="1">
      <alignment vertical="center"/>
    </xf>
    <xf numFmtId="180" fontId="71" fillId="0" borderId="5" xfId="0" applyNumberFormat="1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  <xf numFmtId="7" fontId="9" fillId="0" borderId="6" xfId="0" applyNumberFormat="1" applyFont="1" applyFill="1" applyBorder="1" applyAlignment="1">
      <alignment horizontal="center" vertical="center"/>
    </xf>
    <xf numFmtId="180" fontId="8" fillId="0" borderId="6" xfId="0" applyNumberFormat="1" applyFont="1" applyFill="1" applyBorder="1" applyAlignment="1">
      <alignment horizontal="center" vertical="center"/>
    </xf>
    <xf numFmtId="180" fontId="9" fillId="0" borderId="6" xfId="0" applyNumberFormat="1" applyFont="1" applyFill="1" applyBorder="1" applyAlignment="1">
      <alignment horizontal="center" vertical="center"/>
    </xf>
    <xf numFmtId="186" fontId="9" fillId="0" borderId="6" xfId="0" applyNumberFormat="1" applyFont="1" applyFill="1" applyBorder="1" applyAlignment="1">
      <alignment horizontal="center" vertical="center"/>
    </xf>
    <xf numFmtId="7" fontId="45" fillId="0" borderId="1" xfId="0" applyNumberFormat="1" applyFont="1" applyFill="1" applyBorder="1" applyAlignment="1">
      <alignment vertical="center"/>
    </xf>
    <xf numFmtId="7" fontId="57" fillId="0" borderId="1" xfId="0" applyNumberFormat="1" applyFont="1" applyFill="1" applyBorder="1" applyAlignment="1">
      <alignment horizontal="center" vertical="center"/>
    </xf>
    <xf numFmtId="187" fontId="9" fillId="19" borderId="1" xfId="2" applyNumberFormat="1" applyFont="1" applyFill="1" applyBorder="1">
      <alignment vertical="center"/>
    </xf>
    <xf numFmtId="7" fontId="84" fillId="14" borderId="1" xfId="0" applyNumberFormat="1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183" fontId="58" fillId="0" borderId="0" xfId="0" applyNumberFormat="1" applyFont="1" applyAlignment="1">
      <alignment horizontal="center" vertical="center"/>
    </xf>
    <xf numFmtId="180" fontId="58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center" vertical="center"/>
    </xf>
    <xf numFmtId="183" fontId="58" fillId="0" borderId="0" xfId="0" applyNumberFormat="1" applyFont="1" applyAlignment="1">
      <alignment horizontal="right" vertical="center"/>
    </xf>
    <xf numFmtId="183" fontId="58" fillId="0" borderId="0" xfId="0" applyNumberFormat="1" applyFont="1" applyAlignment="1">
      <alignment horizontal="center" vertical="center" wrapText="1"/>
    </xf>
    <xf numFmtId="180" fontId="58" fillId="0" borderId="0" xfId="0" applyNumberFormat="1" applyFont="1" applyAlignment="1">
      <alignment horizontal="center" vertical="center"/>
    </xf>
    <xf numFmtId="181" fontId="66" fillId="6" borderId="1" xfId="0" applyNumberFormat="1" applyFont="1" applyFill="1" applyBorder="1" applyAlignment="1">
      <alignment vertical="center" wrapText="1"/>
    </xf>
    <xf numFmtId="181" fontId="59" fillId="6" borderId="1" xfId="0" applyNumberFormat="1" applyFont="1" applyFill="1" applyBorder="1" applyAlignment="1">
      <alignment vertical="center" wrapText="1"/>
    </xf>
    <xf numFmtId="181" fontId="65" fillId="6" borderId="1" xfId="0" applyNumberFormat="1" applyFont="1" applyFill="1" applyBorder="1" applyAlignment="1">
      <alignment horizontal="center" vertical="center"/>
    </xf>
    <xf numFmtId="0" fontId="45" fillId="0" borderId="1" xfId="0" applyFont="1" applyFill="1" applyBorder="1">
      <alignment vertical="center"/>
    </xf>
    <xf numFmtId="177" fontId="57" fillId="0" borderId="1" xfId="0" applyNumberFormat="1" applyFont="1" applyFill="1" applyBorder="1">
      <alignment vertical="center"/>
    </xf>
    <xf numFmtId="58" fontId="57" fillId="0" borderId="1" xfId="0" applyNumberFormat="1" applyFont="1" applyFill="1" applyBorder="1">
      <alignment vertical="center"/>
    </xf>
    <xf numFmtId="177" fontId="45" fillId="0" borderId="1" xfId="0" applyNumberFormat="1" applyFont="1" applyFill="1" applyBorder="1">
      <alignment vertical="center"/>
    </xf>
    <xf numFmtId="182" fontId="45" fillId="0" borderId="1" xfId="0" applyNumberFormat="1" applyFont="1" applyFill="1" applyBorder="1">
      <alignment vertical="center"/>
    </xf>
    <xf numFmtId="186" fontId="71" fillId="0" borderId="1" xfId="0" applyNumberFormat="1" applyFont="1" applyFill="1" applyBorder="1">
      <alignment vertical="center"/>
    </xf>
    <xf numFmtId="180" fontId="45" fillId="0" borderId="1" xfId="0" applyNumberFormat="1" applyFont="1" applyFill="1" applyBorder="1">
      <alignment vertical="center"/>
    </xf>
    <xf numFmtId="180" fontId="71" fillId="0" borderId="1" xfId="0" applyNumberFormat="1" applyFont="1" applyFill="1" applyBorder="1">
      <alignment vertical="center"/>
    </xf>
    <xf numFmtId="182" fontId="57" fillId="0" borderId="5" xfId="0" applyNumberFormat="1" applyFont="1" applyFill="1" applyBorder="1" applyAlignment="1">
      <alignment horizontal="center" vertical="center"/>
    </xf>
    <xf numFmtId="182" fontId="57" fillId="0" borderId="5" xfId="0" applyNumberFormat="1" applyFont="1" applyFill="1" applyBorder="1" applyAlignment="1">
      <alignment horizontal="center" vertical="center" wrapText="1"/>
    </xf>
    <xf numFmtId="182" fontId="57" fillId="0" borderId="1" xfId="0" applyNumberFormat="1" applyFont="1" applyFill="1" applyBorder="1">
      <alignment vertical="center"/>
    </xf>
    <xf numFmtId="187" fontId="57" fillId="0" borderId="5" xfId="0" applyNumberFormat="1" applyFont="1" applyFill="1" applyBorder="1" applyAlignment="1">
      <alignment horizontal="center" vertical="center"/>
    </xf>
    <xf numFmtId="181" fontId="57" fillId="0" borderId="5" xfId="0" applyNumberFormat="1" applyFont="1" applyFill="1" applyBorder="1" applyAlignment="1">
      <alignment horizontal="center" vertical="center"/>
    </xf>
    <xf numFmtId="181" fontId="57" fillId="0" borderId="1" xfId="0" applyNumberFormat="1" applyFont="1" applyFill="1" applyBorder="1">
      <alignment vertical="center"/>
    </xf>
    <xf numFmtId="182" fontId="71" fillId="0" borderId="1" xfId="0" applyNumberFormat="1" applyFont="1" applyFill="1" applyBorder="1">
      <alignment vertical="center"/>
    </xf>
    <xf numFmtId="186" fontId="57" fillId="0" borderId="1" xfId="0" applyNumberFormat="1" applyFont="1" applyFill="1" applyBorder="1">
      <alignment vertical="center"/>
    </xf>
    <xf numFmtId="182" fontId="57" fillId="0" borderId="6" xfId="0" applyNumberFormat="1" applyFont="1" applyFill="1" applyBorder="1" applyAlignment="1">
      <alignment horizontal="center" vertical="center"/>
    </xf>
    <xf numFmtId="187" fontId="57" fillId="0" borderId="6" xfId="0" applyNumberFormat="1" applyFont="1" applyFill="1" applyBorder="1" applyAlignment="1">
      <alignment horizontal="center" vertical="center"/>
    </xf>
    <xf numFmtId="181" fontId="57" fillId="0" borderId="6" xfId="0" applyNumberFormat="1" applyFont="1" applyFill="1" applyBorder="1" applyAlignment="1">
      <alignment horizontal="center" vertical="center"/>
    </xf>
    <xf numFmtId="181" fontId="57" fillId="0" borderId="4" xfId="0" applyNumberFormat="1" applyFont="1" applyFill="1" applyBorder="1" applyAlignment="1">
      <alignment horizontal="center" vertical="center"/>
    </xf>
    <xf numFmtId="182" fontId="57" fillId="0" borderId="4" xfId="0" applyNumberFormat="1" applyFont="1" applyFill="1" applyBorder="1" applyAlignment="1">
      <alignment horizontal="center" vertical="center"/>
    </xf>
    <xf numFmtId="189" fontId="45" fillId="0" borderId="1" xfId="0" applyNumberFormat="1" applyFont="1" applyFill="1" applyBorder="1">
      <alignment vertical="center"/>
    </xf>
    <xf numFmtId="187" fontId="57" fillId="0" borderId="4" xfId="0" applyNumberFormat="1" applyFont="1" applyFill="1" applyBorder="1" applyAlignment="1">
      <alignment horizontal="center" vertical="center"/>
    </xf>
    <xf numFmtId="0" fontId="73" fillId="14" borderId="1" xfId="0" applyNumberFormat="1" applyFont="1" applyFill="1" applyBorder="1" applyAlignment="1">
      <alignment horizontal="center" vertical="center"/>
    </xf>
    <xf numFmtId="182" fontId="73" fillId="19" borderId="1" xfId="2" applyNumberFormat="1" applyFont="1" applyFill="1" applyBorder="1" applyAlignment="1">
      <alignment horizontal="center" vertical="center"/>
    </xf>
    <xf numFmtId="186" fontId="73" fillId="0" borderId="1" xfId="0" applyNumberFormat="1" applyFont="1" applyBorder="1" applyAlignment="1">
      <alignment horizontal="center" vertical="center"/>
    </xf>
    <xf numFmtId="180" fontId="73" fillId="0" borderId="1" xfId="0" applyNumberFormat="1" applyFont="1" applyBorder="1" applyAlignment="1">
      <alignment horizontal="center" vertical="center"/>
    </xf>
    <xf numFmtId="0" fontId="73" fillId="18" borderId="1" xfId="0" applyNumberFormat="1" applyFont="1" applyFill="1" applyBorder="1" applyAlignment="1">
      <alignment horizontal="center" vertical="center"/>
    </xf>
    <xf numFmtId="181" fontId="85" fillId="0" borderId="1" xfId="0" applyNumberFormat="1" applyFont="1" applyBorder="1" applyAlignment="1">
      <alignment horizontal="center" vertical="center"/>
    </xf>
    <xf numFmtId="0" fontId="84" fillId="6" borderId="1" xfId="0" applyNumberFormat="1" applyFont="1" applyFill="1" applyBorder="1" applyAlignment="1">
      <alignment horizontal="center" vertical="center"/>
    </xf>
    <xf numFmtId="7" fontId="9" fillId="20" borderId="1" xfId="0" applyNumberFormat="1" applyFont="1" applyFill="1" applyBorder="1" applyAlignment="1">
      <alignment horizontal="center" vertical="center"/>
    </xf>
    <xf numFmtId="176" fontId="9" fillId="0" borderId="0" xfId="0" applyNumberFormat="1" applyFont="1">
      <alignment vertical="center"/>
    </xf>
    <xf numFmtId="181" fontId="39" fillId="0" borderId="1" xfId="2" applyNumberFormat="1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183" fontId="75" fillId="0" borderId="0" xfId="0" applyNumberFormat="1" applyFont="1">
      <alignment vertical="center"/>
    </xf>
    <xf numFmtId="0" fontId="75" fillId="0" borderId="0" xfId="0" applyFont="1">
      <alignment vertical="center"/>
    </xf>
    <xf numFmtId="184" fontId="75" fillId="0" borderId="0" xfId="0" applyNumberFormat="1" applyFont="1" applyAlignment="1">
      <alignment horizontal="center" vertical="center"/>
    </xf>
    <xf numFmtId="180" fontId="75" fillId="0" borderId="0" xfId="0" applyNumberFormat="1" applyFont="1" applyAlignment="1">
      <alignment horizontal="right" vertical="center"/>
    </xf>
    <xf numFmtId="176" fontId="75" fillId="0" borderId="0" xfId="0" applyNumberFormat="1" applyFont="1" applyAlignment="1">
      <alignment horizontal="right" vertical="center"/>
    </xf>
    <xf numFmtId="0" fontId="75" fillId="0" borderId="0" xfId="0" applyFont="1" applyAlignment="1">
      <alignment vertical="center" wrapText="1"/>
    </xf>
    <xf numFmtId="180" fontId="75" fillId="0" borderId="0" xfId="0" applyNumberFormat="1" applyFont="1">
      <alignment vertical="center"/>
    </xf>
    <xf numFmtId="182" fontId="75" fillId="0" borderId="0" xfId="0" applyNumberFormat="1" applyFont="1">
      <alignment vertical="center"/>
    </xf>
    <xf numFmtId="182" fontId="66" fillId="6" borderId="5" xfId="0" applyNumberFormat="1" applyFont="1" applyFill="1" applyBorder="1" applyAlignment="1">
      <alignment horizontal="center" vertical="center" wrapText="1"/>
    </xf>
    <xf numFmtId="182" fontId="66" fillId="6" borderId="6" xfId="0" applyNumberFormat="1" applyFont="1" applyFill="1" applyBorder="1" applyAlignment="1">
      <alignment horizontal="center" vertical="center" wrapText="1"/>
    </xf>
    <xf numFmtId="176" fontId="71" fillId="0" borderId="1" xfId="0" applyNumberFormat="1" applyFont="1" applyFill="1" applyBorder="1" applyAlignment="1">
      <alignment horizontal="center" vertical="center"/>
    </xf>
    <xf numFmtId="0" fontId="75" fillId="14" borderId="2" xfId="0" applyFont="1" applyFill="1" applyBorder="1" applyAlignment="1">
      <alignment horizontal="center" vertical="center"/>
    </xf>
    <xf numFmtId="0" fontId="75" fillId="14" borderId="3" xfId="0" applyFont="1" applyFill="1" applyBorder="1" applyAlignment="1">
      <alignment horizontal="center" vertical="center"/>
    </xf>
    <xf numFmtId="0" fontId="75" fillId="0" borderId="1" xfId="0" applyFont="1" applyBorder="1">
      <alignment vertical="center"/>
    </xf>
    <xf numFmtId="184" fontId="75" fillId="0" borderId="1" xfId="0" applyNumberFormat="1" applyFont="1" applyBorder="1" applyAlignment="1">
      <alignment horizontal="center" vertical="center"/>
    </xf>
    <xf numFmtId="186" fontId="75" fillId="0" borderId="1" xfId="0" applyNumberFormat="1" applyFont="1" applyBorder="1">
      <alignment vertical="center"/>
    </xf>
    <xf numFmtId="43" fontId="86" fillId="21" borderId="1" xfId="0" applyNumberFormat="1" applyFont="1" applyFill="1" applyBorder="1" applyAlignment="1">
      <alignment horizontal="center" vertical="center"/>
    </xf>
    <xf numFmtId="0" fontId="86" fillId="0" borderId="1" xfId="0" applyNumberFormat="1" applyFont="1" applyBorder="1" applyAlignment="1">
      <alignment horizontal="center" vertical="center"/>
    </xf>
    <xf numFmtId="181" fontId="86" fillId="0" borderId="1" xfId="0" applyNumberFormat="1" applyFont="1" applyBorder="1" applyAlignment="1">
      <alignment horizontal="center" vertical="center"/>
    </xf>
    <xf numFmtId="180" fontId="86" fillId="14" borderId="1" xfId="0" applyNumberFormat="1" applyFont="1" applyFill="1" applyBorder="1" applyAlignment="1">
      <alignment horizontal="center" vertical="center"/>
    </xf>
    <xf numFmtId="181" fontId="87" fillId="19" borderId="1" xfId="0" applyNumberFormat="1" applyFont="1" applyFill="1" applyBorder="1" applyAlignment="1">
      <alignment horizontal="center" vertical="center"/>
    </xf>
    <xf numFmtId="0" fontId="72" fillId="14" borderId="1" xfId="0" applyFont="1" applyFill="1" applyBorder="1">
      <alignment vertical="center"/>
    </xf>
    <xf numFmtId="176" fontId="75" fillId="0" borderId="1" xfId="0" applyNumberFormat="1" applyFont="1" applyBorder="1">
      <alignment vertical="center"/>
    </xf>
    <xf numFmtId="176" fontId="75" fillId="0" borderId="1" xfId="0" applyNumberFormat="1" applyFont="1" applyBorder="1" applyAlignment="1">
      <alignment horizontal="right" vertical="center"/>
    </xf>
    <xf numFmtId="176" fontId="75" fillId="5" borderId="1" xfId="0" applyNumberFormat="1" applyFont="1" applyFill="1" applyBorder="1" applyAlignment="1">
      <alignment horizontal="right" vertical="center"/>
    </xf>
    <xf numFmtId="181" fontId="75" fillId="0" borderId="1" xfId="0" applyNumberFormat="1" applyFont="1" applyBorder="1" applyAlignment="1">
      <alignment horizontal="right" vertical="center"/>
    </xf>
    <xf numFmtId="181" fontId="75" fillId="5" borderId="1" xfId="0" applyNumberFormat="1" applyFont="1" applyFill="1" applyBorder="1" applyAlignment="1">
      <alignment horizontal="right" vertical="center"/>
    </xf>
    <xf numFmtId="0" fontId="72" fillId="14" borderId="1" xfId="0" applyFont="1" applyFill="1" applyBorder="1" applyAlignment="1">
      <alignment horizontal="center" vertical="center"/>
    </xf>
    <xf numFmtId="7" fontId="75" fillId="20" borderId="1" xfId="0" applyNumberFormat="1" applyFont="1" applyFill="1" applyBorder="1" applyAlignment="1">
      <alignment horizontal="center" vertical="center"/>
    </xf>
    <xf numFmtId="0" fontId="75" fillId="13" borderId="1" xfId="0" applyFont="1" applyFill="1" applyBorder="1" applyAlignment="1">
      <alignment horizontal="center" vertical="center"/>
    </xf>
    <xf numFmtId="180" fontId="86" fillId="0" borderId="1" xfId="0" applyNumberFormat="1" applyFont="1" applyBorder="1" applyAlignment="1">
      <alignment horizontal="center" vertical="center"/>
    </xf>
    <xf numFmtId="176" fontId="86" fillId="15" borderId="1" xfId="0" applyNumberFormat="1" applyFont="1" applyFill="1" applyBorder="1" applyAlignment="1">
      <alignment horizontal="center" vertical="center"/>
    </xf>
    <xf numFmtId="0" fontId="88" fillId="0" borderId="0" xfId="0" applyFont="1">
      <alignment vertical="center"/>
    </xf>
    <xf numFmtId="180" fontId="86" fillId="0" borderId="0" xfId="0" applyNumberFormat="1" applyFont="1">
      <alignment vertical="center"/>
    </xf>
    <xf numFmtId="190" fontId="75" fillId="0" borderId="0" xfId="0" applyNumberFormat="1" applyFont="1">
      <alignment vertical="center"/>
    </xf>
    <xf numFmtId="180" fontId="75" fillId="0" borderId="0" xfId="0" applyNumberFormat="1" applyFont="1" applyAlignment="1">
      <alignment horizontal="center" vertical="center"/>
    </xf>
    <xf numFmtId="7" fontId="75" fillId="0" borderId="0" xfId="0" applyNumberFormat="1" applyFont="1">
      <alignment vertical="center"/>
    </xf>
    <xf numFmtId="0" fontId="86" fillId="0" borderId="0" xfId="0" applyFont="1">
      <alignment vertical="center"/>
    </xf>
    <xf numFmtId="186" fontId="86" fillId="0" borderId="0" xfId="0" applyNumberFormat="1" applyFont="1">
      <alignment vertical="center"/>
    </xf>
    <xf numFmtId="180" fontId="86" fillId="0" borderId="0" xfId="0" applyNumberFormat="1" applyFont="1" applyAlignment="1">
      <alignment horizontal="center" vertical="center"/>
    </xf>
    <xf numFmtId="7" fontId="86" fillId="0" borderId="0" xfId="0" applyNumberFormat="1" applyFont="1">
      <alignment vertical="center"/>
    </xf>
    <xf numFmtId="183" fontId="75" fillId="0" borderId="0" xfId="0" applyNumberFormat="1" applyFont="1" applyAlignment="1">
      <alignment horizontal="center" vertical="center"/>
    </xf>
    <xf numFmtId="176" fontId="75" fillId="0" borderId="1" xfId="0" applyNumberFormat="1" applyFont="1" applyBorder="1" applyAlignment="1">
      <alignment horizontal="center" vertical="center"/>
    </xf>
    <xf numFmtId="180" fontId="75" fillId="0" borderId="1" xfId="0" applyNumberFormat="1" applyFont="1" applyBorder="1" applyAlignment="1">
      <alignment horizontal="center" vertical="center"/>
    </xf>
    <xf numFmtId="176" fontId="75" fillId="15" borderId="1" xfId="0" applyNumberFormat="1" applyFont="1" applyFill="1" applyBorder="1" applyAlignment="1">
      <alignment horizontal="center" vertical="center"/>
    </xf>
    <xf numFmtId="176" fontId="75" fillId="0" borderId="1" xfId="0" applyNumberFormat="1" applyFont="1" applyBorder="1" applyAlignment="1">
      <alignment horizontal="center" vertical="center" wrapText="1"/>
    </xf>
    <xf numFmtId="176" fontId="75" fillId="15" borderId="1" xfId="0" applyNumberFormat="1" applyFont="1" applyFill="1" applyBorder="1" applyAlignment="1">
      <alignment horizontal="center" vertical="center" wrapText="1"/>
    </xf>
    <xf numFmtId="176" fontId="75" fillId="0" borderId="0" xfId="0" applyNumberFormat="1" applyFont="1" applyAlignment="1">
      <alignment horizontal="center" vertical="center"/>
    </xf>
    <xf numFmtId="0" fontId="75" fillId="0" borderId="0" xfId="0" applyFont="1" applyAlignment="1">
      <alignment horizontal="center" vertical="center" wrapText="1"/>
    </xf>
    <xf numFmtId="182" fontId="75" fillId="0" borderId="0" xfId="0" applyNumberFormat="1" applyFont="1" applyAlignment="1">
      <alignment horizontal="center" vertical="center"/>
    </xf>
    <xf numFmtId="7" fontId="75" fillId="0" borderId="0" xfId="0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FF"/>
      <color rgb="00000000"/>
      <color rgb="00FF0000"/>
      <color rgb="00FFFF00"/>
      <color rgb="00FFF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drawings/_rels/vmlDrawing7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wmf"/><Relationship Id="rId7" Type="http://schemas.openxmlformats.org/officeDocument/2006/relationships/image" Target="../media/image7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Relationship Id="rId31" Type="http://schemas.openxmlformats.org/officeDocument/2006/relationships/image" Target="../media/image31.wmf"/><Relationship Id="rId30" Type="http://schemas.openxmlformats.org/officeDocument/2006/relationships/image" Target="../media/image30.wmf"/><Relationship Id="rId3" Type="http://schemas.openxmlformats.org/officeDocument/2006/relationships/image" Target="../media/image3.wmf"/><Relationship Id="rId29" Type="http://schemas.openxmlformats.org/officeDocument/2006/relationships/image" Target="../media/image29.wmf"/><Relationship Id="rId28" Type="http://schemas.openxmlformats.org/officeDocument/2006/relationships/image" Target="../media/image28.wmf"/><Relationship Id="rId27" Type="http://schemas.openxmlformats.org/officeDocument/2006/relationships/image" Target="../media/image27.wmf"/><Relationship Id="rId26" Type="http://schemas.openxmlformats.org/officeDocument/2006/relationships/image" Target="../media/image26.wmf"/><Relationship Id="rId25" Type="http://schemas.openxmlformats.org/officeDocument/2006/relationships/image" Target="../media/image25.wmf"/><Relationship Id="rId24" Type="http://schemas.openxmlformats.org/officeDocument/2006/relationships/image" Target="../media/image24.wmf"/><Relationship Id="rId23" Type="http://schemas.openxmlformats.org/officeDocument/2006/relationships/image" Target="../media/image23.wmf"/><Relationship Id="rId22" Type="http://schemas.openxmlformats.org/officeDocument/2006/relationships/image" Target="../media/image22.wmf"/><Relationship Id="rId21" Type="http://schemas.openxmlformats.org/officeDocument/2006/relationships/image" Target="../media/image21.wmf"/><Relationship Id="rId20" Type="http://schemas.openxmlformats.org/officeDocument/2006/relationships/image" Target="../media/image20.wmf"/><Relationship Id="rId2" Type="http://schemas.openxmlformats.org/officeDocument/2006/relationships/image" Target="../media/image2.wmf"/><Relationship Id="rId19" Type="http://schemas.openxmlformats.org/officeDocument/2006/relationships/image" Target="../media/image19.wmf"/><Relationship Id="rId18" Type="http://schemas.openxmlformats.org/officeDocument/2006/relationships/image" Target="../media/image18.wmf"/><Relationship Id="rId17" Type="http://schemas.openxmlformats.org/officeDocument/2006/relationships/image" Target="../media/image17.wmf"/><Relationship Id="rId16" Type="http://schemas.openxmlformats.org/officeDocument/2006/relationships/image" Target="../media/image16.wmf"/><Relationship Id="rId15" Type="http://schemas.openxmlformats.org/officeDocument/2006/relationships/image" Target="../media/image15.wmf"/><Relationship Id="rId14" Type="http://schemas.openxmlformats.org/officeDocument/2006/relationships/image" Target="../media/image14.wmf"/><Relationship Id="rId13" Type="http://schemas.openxmlformats.org/officeDocument/2006/relationships/image" Target="../media/image13.wmf"/><Relationship Id="rId12" Type="http://schemas.openxmlformats.org/officeDocument/2006/relationships/image" Target="../media/image12.wmf"/><Relationship Id="rId11" Type="http://schemas.openxmlformats.org/officeDocument/2006/relationships/image" Target="../media/image11.wmf"/><Relationship Id="rId10" Type="http://schemas.openxmlformats.org/officeDocument/2006/relationships/image" Target="../media/image10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12</xdr:row>
          <xdr:rowOff>0</xdr:rowOff>
        </xdr:from>
        <xdr:to>
          <xdr:col>5</xdr:col>
          <xdr:colOff>914400</xdr:colOff>
          <xdr:row>12</xdr:row>
          <xdr:rowOff>228600</xdr:rowOff>
        </xdr:to>
        <xdr:sp>
          <xdr:nvSpPr>
            <xdr:cNvPr id="17409" name="HTMLHidden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5571490" y="41783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12</xdr:row>
          <xdr:rowOff>0</xdr:rowOff>
        </xdr:from>
        <xdr:to>
          <xdr:col>6</xdr:col>
          <xdr:colOff>401955</xdr:colOff>
          <xdr:row>12</xdr:row>
          <xdr:rowOff>228600</xdr:rowOff>
        </xdr:to>
        <xdr:sp>
          <xdr:nvSpPr>
            <xdr:cNvPr id="17410" name="HTMLHidden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>
            <a:xfrm>
              <a:off x="6257290" y="41783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1" name="HTMLHidden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2" name="HTMLHidden4" hidden="1">
              <a:extLst>
                <a:ext uri="{63B3BB69-23CF-44E3-9099-C40C66FF867C}">
                  <a14:compatExt spid="_x0000_s17412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3" name="HTMLHidden5" hidden="1">
              <a:extLst>
                <a:ext uri="{63B3BB69-23CF-44E3-9099-C40C66FF867C}">
                  <a14:compatExt spid="_x0000_s17413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4" name="HTMLHidden6" hidden="1">
              <a:extLst>
                <a:ext uri="{63B3BB69-23CF-44E3-9099-C40C66FF867C}">
                  <a14:compatExt spid="_x0000_s17414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5" name="HTMLHidden7" hidden="1">
              <a:extLst>
                <a:ext uri="{63B3BB69-23CF-44E3-9099-C40C66FF867C}">
                  <a14:compatExt spid="_x0000_s17415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6" name="HTMLHidden8" hidden="1">
              <a:extLst>
                <a:ext uri="{63B3BB69-23CF-44E3-9099-C40C66FF867C}">
                  <a14:compatExt spid="_x0000_s17416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7" name="HTMLHidden9" hidden="1">
              <a:extLst>
                <a:ext uri="{63B3BB69-23CF-44E3-9099-C40C66FF867C}">
                  <a14:compatExt spid="_x0000_s17417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8" name="HTMLHidden10" hidden="1">
              <a:extLst>
                <a:ext uri="{63B3BB69-23CF-44E3-9099-C40C66FF867C}">
                  <a14:compatExt spid="_x0000_s17418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19" name="HTMLHidden11" hidden="1">
              <a:extLst>
                <a:ext uri="{63B3BB69-23CF-44E3-9099-C40C66FF867C}">
                  <a14:compatExt spid="_x0000_s17419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0" name="HTMLHidden12" hidden="1">
              <a:extLst>
                <a:ext uri="{63B3BB69-23CF-44E3-9099-C40C66FF867C}">
                  <a14:compatExt spid="_x0000_s17420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1" name="HTMLHidden13" hidden="1">
              <a:extLst>
                <a:ext uri="{63B3BB69-23CF-44E3-9099-C40C66FF867C}">
                  <a14:compatExt spid="_x0000_s17421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2" name="HTMLHidden14" hidden="1">
              <a:extLst>
                <a:ext uri="{63B3BB69-23CF-44E3-9099-C40C66FF867C}">
                  <a14:compatExt spid="_x0000_s17422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3" name="HTMLHidden15" hidden="1">
              <a:extLst>
                <a:ext uri="{63B3BB69-23CF-44E3-9099-C40C66FF867C}">
                  <a14:compatExt spid="_x0000_s17423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4" name="HTMLHidden16" hidden="1">
              <a:extLst>
                <a:ext uri="{63B3BB69-23CF-44E3-9099-C40C66FF867C}">
                  <a14:compatExt spid="_x0000_s17424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5" name="HTMLHidden17" hidden="1">
              <a:extLst>
                <a:ext uri="{63B3BB69-23CF-44E3-9099-C40C66FF867C}">
                  <a14:compatExt spid="_x0000_s17425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6" name="HTMLHidden18" hidden="1">
              <a:extLst>
                <a:ext uri="{63B3BB69-23CF-44E3-9099-C40C66FF867C}">
                  <a14:compatExt spid="_x0000_s17426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7" name="HTMLHidden19" hidden="1">
              <a:extLst>
                <a:ext uri="{63B3BB69-23CF-44E3-9099-C40C66FF867C}">
                  <a14:compatExt spid="_x0000_s17427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8" name="HTMLHidden20" hidden="1">
              <a:extLst>
                <a:ext uri="{63B3BB69-23CF-44E3-9099-C40C66FF867C}">
                  <a14:compatExt spid="_x0000_s17428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29" name="HTMLHidden21" hidden="1">
              <a:extLst>
                <a:ext uri="{63B3BB69-23CF-44E3-9099-C40C66FF867C}">
                  <a14:compatExt spid="_x0000_s17429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0" name="HTMLHidden22" hidden="1">
              <a:extLst>
                <a:ext uri="{63B3BB69-23CF-44E3-9099-C40C66FF867C}">
                  <a14:compatExt spid="_x0000_s17430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1" name="HTMLHidden23" hidden="1">
              <a:extLst>
                <a:ext uri="{63B3BB69-23CF-44E3-9099-C40C66FF867C}">
                  <a14:compatExt spid="_x0000_s17431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2" name="HTMLHidden24" hidden="1">
              <a:extLst>
                <a:ext uri="{63B3BB69-23CF-44E3-9099-C40C66FF867C}">
                  <a14:compatExt spid="_x0000_s17432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3" name="HTMLHidden25" hidden="1">
              <a:extLst>
                <a:ext uri="{63B3BB69-23CF-44E3-9099-C40C66FF867C}">
                  <a14:compatExt spid="_x0000_s17433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4" name="HTMLHidden26" hidden="1">
              <a:extLst>
                <a:ext uri="{63B3BB69-23CF-44E3-9099-C40C66FF867C}">
                  <a14:compatExt spid="_x0000_s17434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5" name="HTMLHidden27" hidden="1">
              <a:extLst>
                <a:ext uri="{63B3BB69-23CF-44E3-9099-C40C66FF867C}">
                  <a14:compatExt spid="_x0000_s17435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6" name="HTMLHidden28" hidden="1">
              <a:extLst>
                <a:ext uri="{63B3BB69-23CF-44E3-9099-C40C66FF867C}">
                  <a14:compatExt spid="_x0000_s17436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7" name="HTMLHidden29" hidden="1">
              <a:extLst>
                <a:ext uri="{63B3BB69-23CF-44E3-9099-C40C66FF867C}">
                  <a14:compatExt spid="_x0000_s17437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8" name="HTMLHidden30" hidden="1">
              <a:extLst>
                <a:ext uri="{63B3BB69-23CF-44E3-9099-C40C66FF867C}">
                  <a14:compatExt spid="_x0000_s17438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39" name="HTMLHidden31" hidden="1">
              <a:extLst>
                <a:ext uri="{63B3BB69-23CF-44E3-9099-C40C66FF867C}">
                  <a14:compatExt spid="_x0000_s17439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40" name="HTMLHidden32" hidden="1">
              <a:extLst>
                <a:ext uri="{63B3BB69-23CF-44E3-9099-C40C66FF867C}">
                  <a14:compatExt spid="_x0000_s17440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3</xdr:row>
          <xdr:rowOff>228600</xdr:rowOff>
        </xdr:to>
        <xdr:sp>
          <xdr:nvSpPr>
            <xdr:cNvPr id="17441" name="HTMLHidden33" hidden="1">
              <a:extLst>
                <a:ext uri="{63B3BB69-23CF-44E3-9099-C40C66FF867C}">
                  <a14:compatExt spid="_x0000_s17441"/>
                </a:ext>
              </a:extLst>
            </xdr:cNvPr>
            <xdr:cNvSpPr/>
          </xdr:nvSpPr>
          <xdr:spPr>
            <a:xfrm>
              <a:off x="6769735" y="14224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" Type="http://schemas.openxmlformats.org/officeDocument/2006/relationships/image" Target="../media/image3.wmf"/><Relationship Id="rId7" Type="http://schemas.openxmlformats.org/officeDocument/2006/relationships/control" Target="../activeX/activeX3.xml"/><Relationship Id="rId66" Type="http://schemas.openxmlformats.org/officeDocument/2006/relationships/control" Target="../activeX/activeX33.xml"/><Relationship Id="rId65" Type="http://schemas.openxmlformats.org/officeDocument/2006/relationships/image" Target="../media/image31.wmf"/><Relationship Id="rId64" Type="http://schemas.openxmlformats.org/officeDocument/2006/relationships/control" Target="../activeX/activeX32.xml"/><Relationship Id="rId63" Type="http://schemas.openxmlformats.org/officeDocument/2006/relationships/image" Target="../media/image30.wmf"/><Relationship Id="rId62" Type="http://schemas.openxmlformats.org/officeDocument/2006/relationships/control" Target="../activeX/activeX31.xml"/><Relationship Id="rId61" Type="http://schemas.openxmlformats.org/officeDocument/2006/relationships/image" Target="../media/image29.wmf"/><Relationship Id="rId60" Type="http://schemas.openxmlformats.org/officeDocument/2006/relationships/control" Target="../activeX/activeX30.xml"/><Relationship Id="rId6" Type="http://schemas.openxmlformats.org/officeDocument/2006/relationships/image" Target="../media/image2.wmf"/><Relationship Id="rId59" Type="http://schemas.openxmlformats.org/officeDocument/2006/relationships/image" Target="../media/image28.wmf"/><Relationship Id="rId58" Type="http://schemas.openxmlformats.org/officeDocument/2006/relationships/control" Target="../activeX/activeX29.xml"/><Relationship Id="rId57" Type="http://schemas.openxmlformats.org/officeDocument/2006/relationships/image" Target="../media/image27.wmf"/><Relationship Id="rId56" Type="http://schemas.openxmlformats.org/officeDocument/2006/relationships/control" Target="../activeX/activeX28.xml"/><Relationship Id="rId55" Type="http://schemas.openxmlformats.org/officeDocument/2006/relationships/image" Target="../media/image26.wmf"/><Relationship Id="rId54" Type="http://schemas.openxmlformats.org/officeDocument/2006/relationships/control" Target="../activeX/activeX27.xml"/><Relationship Id="rId53" Type="http://schemas.openxmlformats.org/officeDocument/2006/relationships/image" Target="../media/image25.wmf"/><Relationship Id="rId52" Type="http://schemas.openxmlformats.org/officeDocument/2006/relationships/control" Target="../activeX/activeX26.xml"/><Relationship Id="rId51" Type="http://schemas.openxmlformats.org/officeDocument/2006/relationships/image" Target="../media/image24.wmf"/><Relationship Id="rId50" Type="http://schemas.openxmlformats.org/officeDocument/2006/relationships/control" Target="../activeX/activeX25.xml"/><Relationship Id="rId5" Type="http://schemas.openxmlformats.org/officeDocument/2006/relationships/control" Target="../activeX/activeX2.xml"/><Relationship Id="rId49" Type="http://schemas.openxmlformats.org/officeDocument/2006/relationships/image" Target="../media/image23.wmf"/><Relationship Id="rId48" Type="http://schemas.openxmlformats.org/officeDocument/2006/relationships/control" Target="../activeX/activeX24.xml"/><Relationship Id="rId47" Type="http://schemas.openxmlformats.org/officeDocument/2006/relationships/image" Target="../media/image22.wmf"/><Relationship Id="rId46" Type="http://schemas.openxmlformats.org/officeDocument/2006/relationships/control" Target="../activeX/activeX23.xml"/><Relationship Id="rId45" Type="http://schemas.openxmlformats.org/officeDocument/2006/relationships/image" Target="../media/image21.wmf"/><Relationship Id="rId44" Type="http://schemas.openxmlformats.org/officeDocument/2006/relationships/control" Target="../activeX/activeX22.xml"/><Relationship Id="rId43" Type="http://schemas.openxmlformats.org/officeDocument/2006/relationships/image" Target="../media/image20.wmf"/><Relationship Id="rId42" Type="http://schemas.openxmlformats.org/officeDocument/2006/relationships/control" Target="../activeX/activeX21.xml"/><Relationship Id="rId41" Type="http://schemas.openxmlformats.org/officeDocument/2006/relationships/image" Target="../media/image19.wmf"/><Relationship Id="rId40" Type="http://schemas.openxmlformats.org/officeDocument/2006/relationships/control" Target="../activeX/activeX20.xml"/><Relationship Id="rId4" Type="http://schemas.openxmlformats.org/officeDocument/2006/relationships/image" Target="../media/image1.wmf"/><Relationship Id="rId39" Type="http://schemas.openxmlformats.org/officeDocument/2006/relationships/image" Target="../media/image18.wmf"/><Relationship Id="rId38" Type="http://schemas.openxmlformats.org/officeDocument/2006/relationships/control" Target="../activeX/activeX19.xml"/><Relationship Id="rId37" Type="http://schemas.openxmlformats.org/officeDocument/2006/relationships/image" Target="../media/image17.wmf"/><Relationship Id="rId36" Type="http://schemas.openxmlformats.org/officeDocument/2006/relationships/control" Target="../activeX/activeX18.xml"/><Relationship Id="rId35" Type="http://schemas.openxmlformats.org/officeDocument/2006/relationships/image" Target="../media/image16.wmf"/><Relationship Id="rId34" Type="http://schemas.openxmlformats.org/officeDocument/2006/relationships/control" Target="../activeX/activeX17.xml"/><Relationship Id="rId33" Type="http://schemas.openxmlformats.org/officeDocument/2006/relationships/image" Target="../media/image15.wmf"/><Relationship Id="rId32" Type="http://schemas.openxmlformats.org/officeDocument/2006/relationships/control" Target="../activeX/activeX16.xml"/><Relationship Id="rId31" Type="http://schemas.openxmlformats.org/officeDocument/2006/relationships/image" Target="../media/image14.wmf"/><Relationship Id="rId30" Type="http://schemas.openxmlformats.org/officeDocument/2006/relationships/control" Target="../activeX/activeX15.xml"/><Relationship Id="rId3" Type="http://schemas.openxmlformats.org/officeDocument/2006/relationships/control" Target="../activeX/activeX1.xml"/><Relationship Id="rId29" Type="http://schemas.openxmlformats.org/officeDocument/2006/relationships/image" Target="../media/image13.wmf"/><Relationship Id="rId28" Type="http://schemas.openxmlformats.org/officeDocument/2006/relationships/control" Target="../activeX/activeX14.xml"/><Relationship Id="rId27" Type="http://schemas.openxmlformats.org/officeDocument/2006/relationships/image" Target="../media/image12.wmf"/><Relationship Id="rId26" Type="http://schemas.openxmlformats.org/officeDocument/2006/relationships/control" Target="../activeX/activeX13.xml"/><Relationship Id="rId25" Type="http://schemas.openxmlformats.org/officeDocument/2006/relationships/image" Target="../media/image11.wmf"/><Relationship Id="rId24" Type="http://schemas.openxmlformats.org/officeDocument/2006/relationships/control" Target="../activeX/activeX12.xml"/><Relationship Id="rId23" Type="http://schemas.openxmlformats.org/officeDocument/2006/relationships/image" Target="../media/image10.wmf"/><Relationship Id="rId22" Type="http://schemas.openxmlformats.org/officeDocument/2006/relationships/control" Target="../activeX/activeX11.xml"/><Relationship Id="rId21" Type="http://schemas.openxmlformats.org/officeDocument/2006/relationships/image" Target="../media/image9.wmf"/><Relationship Id="rId20" Type="http://schemas.openxmlformats.org/officeDocument/2006/relationships/control" Target="../activeX/activeX10.xml"/><Relationship Id="rId2" Type="http://schemas.openxmlformats.org/officeDocument/2006/relationships/vmlDrawing" Target="../drawings/vmlDrawing7.vml"/><Relationship Id="rId19" Type="http://schemas.openxmlformats.org/officeDocument/2006/relationships/image" Target="../media/image8.wmf"/><Relationship Id="rId18" Type="http://schemas.openxmlformats.org/officeDocument/2006/relationships/control" Target="../activeX/activeX9.xml"/><Relationship Id="rId17" Type="http://schemas.openxmlformats.org/officeDocument/2006/relationships/control" Target="../activeX/activeX8.xml"/><Relationship Id="rId16" Type="http://schemas.openxmlformats.org/officeDocument/2006/relationships/image" Target="../media/image7.wmf"/><Relationship Id="rId15" Type="http://schemas.openxmlformats.org/officeDocument/2006/relationships/control" Target="../activeX/activeX7.xml"/><Relationship Id="rId14" Type="http://schemas.openxmlformats.org/officeDocument/2006/relationships/image" Target="../media/image6.wmf"/><Relationship Id="rId13" Type="http://schemas.openxmlformats.org/officeDocument/2006/relationships/control" Target="../activeX/activeX6.xml"/><Relationship Id="rId12" Type="http://schemas.openxmlformats.org/officeDocument/2006/relationships/image" Target="../media/image5.wmf"/><Relationship Id="rId11" Type="http://schemas.openxmlformats.org/officeDocument/2006/relationships/control" Target="../activeX/activeX5.xml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E37"/>
  <sheetViews>
    <sheetView workbookViewId="0">
      <pane xSplit="6" ySplit="4" topLeftCell="R8" activePane="bottomRight" state="frozen"/>
      <selection/>
      <selection pane="topRight"/>
      <selection pane="bottomLeft"/>
      <selection pane="bottomRight" activeCell="L33" sqref="L33"/>
    </sheetView>
  </sheetViews>
  <sheetFormatPr defaultColWidth="9" defaultRowHeight="21" customHeight="1"/>
  <cols>
    <col min="1" max="1" width="9.36666666666667" style="573" customWidth="1"/>
    <col min="2" max="2" width="10.3666666666667" style="574" customWidth="1"/>
    <col min="3" max="3" width="11.3666666666667" style="574" customWidth="1"/>
    <col min="4" max="4" width="7.26666666666667" style="575" customWidth="1"/>
    <col min="5" max="5" width="5.725" style="574" customWidth="1"/>
    <col min="6" max="6" width="11.3666666666667" style="574" customWidth="1"/>
    <col min="7" max="7" width="8.26666666666667" style="574" customWidth="1"/>
    <col min="8" max="8" width="12.9083333333333" style="574" customWidth="1"/>
    <col min="9" max="9" width="13.725" style="576" customWidth="1"/>
    <col min="10" max="10" width="12.0916666666667" style="572" customWidth="1"/>
    <col min="11" max="11" width="12.725" style="577" customWidth="1"/>
    <col min="12" max="12" width="15" style="574" customWidth="1"/>
    <col min="13" max="13" width="12.0916666666667" style="578" customWidth="1"/>
    <col min="14" max="15" width="12.9083333333333" style="574" customWidth="1"/>
    <col min="16" max="16" width="10.6333333333333" style="574" customWidth="1"/>
    <col min="17" max="17" width="12.9083333333333" style="574" customWidth="1"/>
    <col min="18" max="18" width="16.0916666666667" style="572" customWidth="1"/>
    <col min="19" max="19" width="12.9083333333333" style="574" customWidth="1"/>
    <col min="20" max="20" width="10.2666666666667" style="579" customWidth="1"/>
    <col min="21" max="21" width="9.36666666666667" style="579" customWidth="1"/>
    <col min="22" max="22" width="12.9083333333333" style="579" customWidth="1"/>
    <col min="23" max="23" width="10.2666666666667" style="580" customWidth="1"/>
    <col min="24" max="24" width="10.5416666666667" style="574" customWidth="1"/>
    <col min="25" max="25" width="10.0916666666667" style="574" customWidth="1"/>
    <col min="26" max="27" width="12.2666666666667" style="574" customWidth="1"/>
    <col min="28" max="28" width="6.81666666666667" style="574" customWidth="1"/>
    <col min="29" max="29" width="18.2666666666667" style="574" customWidth="1"/>
    <col min="30" max="30" width="17.3666666666667" style="574" customWidth="1"/>
    <col min="31" max="31" width="9.81666666666667" style="574" customWidth="1"/>
    <col min="32" max="16384" width="9" style="574"/>
  </cols>
  <sheetData>
    <row r="1" customFormat="1" ht="32" customHeight="1" spans="1:31">
      <c r="A1" s="272" t="s">
        <v>0</v>
      </c>
      <c r="B1" s="273"/>
      <c r="C1" s="274"/>
      <c r="D1" s="275"/>
      <c r="E1" s="276"/>
      <c r="F1" s="276"/>
      <c r="G1" s="275"/>
      <c r="H1" s="277"/>
      <c r="I1" s="278"/>
      <c r="J1" s="279"/>
      <c r="K1" s="280"/>
      <c r="L1" s="279"/>
      <c r="M1" s="281"/>
      <c r="N1" s="282"/>
      <c r="O1" s="283"/>
      <c r="P1" s="284"/>
      <c r="Q1" s="276"/>
      <c r="R1" s="285"/>
      <c r="S1" s="276"/>
      <c r="T1" s="285"/>
      <c r="U1" s="276"/>
      <c r="V1" s="285"/>
      <c r="W1" s="286"/>
      <c r="X1" s="281"/>
      <c r="Y1" s="280"/>
      <c r="Z1" s="281"/>
      <c r="AA1" s="281"/>
      <c r="AB1" s="287"/>
      <c r="AC1" s="288"/>
      <c r="AD1" s="289"/>
      <c r="AE1" s="289"/>
    </row>
    <row r="2" s="263" customFormat="1" ht="13.5" customHeight="1" spans="1:31">
      <c r="A2" s="290"/>
      <c r="B2" s="273"/>
      <c r="C2" s="291"/>
      <c r="D2" s="292"/>
      <c r="E2" s="273"/>
      <c r="F2" s="273"/>
      <c r="G2" s="292"/>
      <c r="H2" s="293"/>
      <c r="I2" s="294"/>
      <c r="J2" s="295"/>
      <c r="K2" s="296"/>
      <c r="L2" s="297"/>
      <c r="M2" s="298"/>
      <c r="N2" s="299"/>
      <c r="O2" s="300"/>
      <c r="P2" s="288"/>
      <c r="Q2" s="301"/>
      <c r="R2" s="288"/>
      <c r="S2" s="302"/>
      <c r="T2" s="288"/>
      <c r="U2" s="302"/>
      <c r="V2" s="303"/>
      <c r="W2" s="288"/>
      <c r="X2" s="298"/>
      <c r="Y2" s="305"/>
      <c r="Z2" s="298"/>
      <c r="AA2" s="298"/>
      <c r="AB2" s="287"/>
      <c r="AC2" s="288"/>
      <c r="AD2" s="288"/>
      <c r="AE2" s="288"/>
    </row>
    <row r="3" s="231" customFormat="1" ht="23" customHeight="1" spans="1:31">
      <c r="A3" s="306" t="s">
        <v>1</v>
      </c>
      <c r="B3" s="307" t="s">
        <v>2</v>
      </c>
      <c r="C3" s="308" t="s">
        <v>3</v>
      </c>
      <c r="D3" s="309" t="s">
        <v>4</v>
      </c>
      <c r="E3" s="310" t="s">
        <v>5</v>
      </c>
      <c r="F3" s="310" t="s">
        <v>6</v>
      </c>
      <c r="G3" s="311" t="s">
        <v>7</v>
      </c>
      <c r="H3" s="312" t="s">
        <v>8</v>
      </c>
      <c r="I3" s="313" t="s">
        <v>9</v>
      </c>
      <c r="J3" s="314"/>
      <c r="K3" s="315"/>
      <c r="L3" s="316"/>
      <c r="M3" s="315"/>
      <c r="N3" s="317"/>
      <c r="O3" s="318"/>
      <c r="P3" s="319" t="s">
        <v>10</v>
      </c>
      <c r="Q3" s="320" t="s">
        <v>11</v>
      </c>
      <c r="R3" s="321"/>
      <c r="S3" s="322"/>
      <c r="T3" s="321"/>
      <c r="U3" s="323"/>
      <c r="V3" s="324" t="s">
        <v>12</v>
      </c>
      <c r="W3" s="581" t="s">
        <v>13</v>
      </c>
      <c r="X3" s="326" t="s">
        <v>14</v>
      </c>
      <c r="Y3" s="327"/>
      <c r="Z3" s="326"/>
      <c r="AA3" s="326"/>
      <c r="AB3" s="328"/>
      <c r="AC3" s="326"/>
      <c r="AD3" s="329" t="s">
        <v>15</v>
      </c>
      <c r="AE3" s="330" t="s">
        <v>16</v>
      </c>
    </row>
    <row r="4" s="231" customFormat="1" ht="40.5" spans="1:31">
      <c r="A4" s="331"/>
      <c r="B4" s="332"/>
      <c r="C4" s="308"/>
      <c r="D4" s="309"/>
      <c r="E4" s="333"/>
      <c r="F4" s="333"/>
      <c r="G4" s="334"/>
      <c r="H4" s="333"/>
      <c r="I4" s="335" t="s">
        <v>17</v>
      </c>
      <c r="J4" s="336" t="s">
        <v>18</v>
      </c>
      <c r="K4" s="337" t="s">
        <v>19</v>
      </c>
      <c r="L4" s="338" t="s">
        <v>20</v>
      </c>
      <c r="M4" s="339" t="s">
        <v>21</v>
      </c>
      <c r="N4" s="340" t="s">
        <v>22</v>
      </c>
      <c r="O4" s="341" t="s">
        <v>23</v>
      </c>
      <c r="P4" s="342"/>
      <c r="Q4" s="343" t="s">
        <v>24</v>
      </c>
      <c r="R4" s="344" t="s">
        <v>25</v>
      </c>
      <c r="S4" s="345" t="s">
        <v>26</v>
      </c>
      <c r="T4" s="344" t="s">
        <v>27</v>
      </c>
      <c r="U4" s="345" t="s">
        <v>28</v>
      </c>
      <c r="V4" s="346"/>
      <c r="W4" s="582"/>
      <c r="X4" s="348" t="s">
        <v>29</v>
      </c>
      <c r="Y4" s="349" t="s">
        <v>30</v>
      </c>
      <c r="Z4" s="348" t="s">
        <v>31</v>
      </c>
      <c r="AA4" s="326" t="s">
        <v>32</v>
      </c>
      <c r="AB4" s="350" t="s">
        <v>33</v>
      </c>
      <c r="AC4" s="351" t="s">
        <v>23</v>
      </c>
      <c r="AD4" s="352" t="s">
        <v>34</v>
      </c>
      <c r="AE4" s="353"/>
    </row>
    <row r="5" s="264" customFormat="1" ht="12.75" spans="1:31">
      <c r="A5" s="354" t="s">
        <v>35</v>
      </c>
      <c r="B5" s="355" t="s">
        <v>36</v>
      </c>
      <c r="C5" s="356">
        <v>240605000016</v>
      </c>
      <c r="D5" s="357">
        <v>45456</v>
      </c>
      <c r="E5" s="355" t="s">
        <v>37</v>
      </c>
      <c r="F5" s="355" t="s">
        <v>38</v>
      </c>
      <c r="G5" s="355">
        <v>1.9688</v>
      </c>
      <c r="H5" s="355">
        <v>441</v>
      </c>
      <c r="I5" s="364"/>
      <c r="J5" s="369"/>
      <c r="K5" s="362">
        <v>807.21</v>
      </c>
      <c r="L5" s="361">
        <f>SUM(J5/M5)</f>
        <v>0</v>
      </c>
      <c r="M5" s="362">
        <v>807.21</v>
      </c>
      <c r="N5" s="355">
        <v>7.12</v>
      </c>
      <c r="O5" s="364">
        <f>SUM(M5*N5)</f>
        <v>5747.3352</v>
      </c>
      <c r="P5" s="371">
        <f>SUM(O5:O9)</f>
        <v>36897.902176</v>
      </c>
      <c r="Q5" s="371" t="s">
        <v>39</v>
      </c>
      <c r="R5" s="371">
        <v>31274.1</v>
      </c>
      <c r="S5" s="371">
        <v>250</v>
      </c>
      <c r="T5" s="371"/>
      <c r="U5" s="371"/>
      <c r="V5" s="371"/>
      <c r="W5" s="478">
        <f>SUM(R5:V9)</f>
        <v>31524.1</v>
      </c>
      <c r="X5" s="373"/>
      <c r="Y5" s="373"/>
      <c r="Z5" s="373"/>
      <c r="AA5" s="373">
        <f>SUM(X5:Z9)</f>
        <v>0</v>
      </c>
      <c r="AB5" s="374"/>
      <c r="AC5" s="371">
        <f>SUM(AA5*AB5)</f>
        <v>0</v>
      </c>
      <c r="AD5" s="371">
        <f>SUM(W5+AC5)</f>
        <v>31524.1</v>
      </c>
      <c r="AE5" s="371">
        <f>SUM(P5-AD5)</f>
        <v>5373.802176</v>
      </c>
    </row>
    <row r="6" s="264" customFormat="1" ht="12.75" spans="1:31">
      <c r="A6" s="354"/>
      <c r="B6" s="355"/>
      <c r="C6" s="356">
        <v>240607000057</v>
      </c>
      <c r="D6" s="357">
        <v>45456</v>
      </c>
      <c r="E6" s="355" t="s">
        <v>40</v>
      </c>
      <c r="F6" s="355" t="s">
        <v>41</v>
      </c>
      <c r="G6" s="355">
        <v>3.5715</v>
      </c>
      <c r="H6" s="355">
        <v>587</v>
      </c>
      <c r="I6" s="358">
        <v>9711.62</v>
      </c>
      <c r="J6" s="369"/>
      <c r="K6" s="360"/>
      <c r="L6" s="361"/>
      <c r="M6" s="360"/>
      <c r="N6" s="355"/>
      <c r="O6" s="364">
        <f t="shared" ref="O6:O8" si="0">SUBTOTAL(9,I6)</f>
        <v>9711.62</v>
      </c>
      <c r="P6" s="375"/>
      <c r="Q6" s="375"/>
      <c r="R6" s="375"/>
      <c r="S6" s="375"/>
      <c r="T6" s="375"/>
      <c r="U6" s="375"/>
      <c r="V6" s="375"/>
      <c r="W6" s="392"/>
      <c r="X6" s="376"/>
      <c r="Y6" s="376"/>
      <c r="Z6" s="376"/>
      <c r="AA6" s="376"/>
      <c r="AB6" s="378"/>
      <c r="AC6" s="375"/>
      <c r="AD6" s="375"/>
      <c r="AE6" s="375"/>
    </row>
    <row r="7" s="264" customFormat="1" ht="12.75" spans="1:31">
      <c r="A7" s="354"/>
      <c r="B7" s="355"/>
      <c r="C7" s="356">
        <v>240608000016</v>
      </c>
      <c r="D7" s="357">
        <v>45456</v>
      </c>
      <c r="E7" s="355" t="s">
        <v>42</v>
      </c>
      <c r="F7" s="355" t="s">
        <v>43</v>
      </c>
      <c r="G7" s="355">
        <v>0.6486</v>
      </c>
      <c r="H7" s="355">
        <v>105</v>
      </c>
      <c r="I7" s="358">
        <v>1701.18</v>
      </c>
      <c r="J7" s="369"/>
      <c r="K7" s="360"/>
      <c r="L7" s="361"/>
      <c r="M7" s="360"/>
      <c r="N7" s="355"/>
      <c r="O7" s="364">
        <f t="shared" si="0"/>
        <v>1701.18</v>
      </c>
      <c r="P7" s="375"/>
      <c r="Q7" s="375"/>
      <c r="R7" s="375"/>
      <c r="S7" s="375"/>
      <c r="T7" s="375"/>
      <c r="U7" s="375"/>
      <c r="V7" s="375"/>
      <c r="W7" s="392"/>
      <c r="X7" s="376"/>
      <c r="Y7" s="376"/>
      <c r="Z7" s="376"/>
      <c r="AA7" s="376"/>
      <c r="AB7" s="378"/>
      <c r="AC7" s="375"/>
      <c r="AD7" s="375"/>
      <c r="AE7" s="375"/>
    </row>
    <row r="8" s="264" customFormat="1" ht="12.75" spans="1:31">
      <c r="A8" s="354"/>
      <c r="B8" s="355"/>
      <c r="C8" s="356">
        <v>241031000031</v>
      </c>
      <c r="D8" s="357">
        <v>45456</v>
      </c>
      <c r="E8" s="355" t="s">
        <v>44</v>
      </c>
      <c r="F8" s="355" t="s">
        <v>45</v>
      </c>
      <c r="G8" s="355">
        <v>4.4495</v>
      </c>
      <c r="H8" s="355">
        <v>795</v>
      </c>
      <c r="I8" s="358">
        <v>10251.65</v>
      </c>
      <c r="J8" s="370"/>
      <c r="K8" s="360"/>
      <c r="L8" s="361"/>
      <c r="M8" s="360"/>
      <c r="N8" s="355"/>
      <c r="O8" s="364">
        <f t="shared" si="0"/>
        <v>10251.65</v>
      </c>
      <c r="P8" s="379"/>
      <c r="Q8" s="379"/>
      <c r="R8" s="379"/>
      <c r="S8" s="379"/>
      <c r="T8" s="379"/>
      <c r="U8" s="379"/>
      <c r="V8" s="379"/>
      <c r="W8" s="479"/>
      <c r="X8" s="377"/>
      <c r="Y8" s="377"/>
      <c r="Z8" s="377"/>
      <c r="AA8" s="377"/>
      <c r="AB8" s="380"/>
      <c r="AC8" s="379"/>
      <c r="AD8" s="379"/>
      <c r="AE8" s="379"/>
    </row>
    <row r="9" s="264" customFormat="1" ht="12.75" spans="1:31">
      <c r="A9" s="354"/>
      <c r="B9" s="355"/>
      <c r="C9" s="356">
        <v>240611000023</v>
      </c>
      <c r="D9" s="357">
        <v>45456</v>
      </c>
      <c r="E9" s="355" t="s">
        <v>37</v>
      </c>
      <c r="F9" s="355" t="s">
        <v>46</v>
      </c>
      <c r="G9" s="355">
        <v>3.0276</v>
      </c>
      <c r="H9" s="355">
        <v>667</v>
      </c>
      <c r="I9" s="364"/>
      <c r="J9" s="370">
        <v>2173116</v>
      </c>
      <c r="K9" s="360"/>
      <c r="L9" s="361">
        <f>SUM(J9/M9)</f>
        <v>1631.07686307747</v>
      </c>
      <c r="M9" s="362">
        <v>1332.3198</v>
      </c>
      <c r="N9" s="355">
        <v>7.12</v>
      </c>
      <c r="O9" s="364">
        <f>SUM(M9*N9)</f>
        <v>9486.116976</v>
      </c>
      <c r="P9" s="379"/>
      <c r="Q9" s="379"/>
      <c r="R9" s="379"/>
      <c r="S9" s="379"/>
      <c r="T9" s="379"/>
      <c r="U9" s="379"/>
      <c r="V9" s="379"/>
      <c r="W9" s="479"/>
      <c r="X9" s="377"/>
      <c r="Y9" s="377"/>
      <c r="Z9" s="377"/>
      <c r="AA9" s="377"/>
      <c r="AB9" s="380"/>
      <c r="AC9" s="379"/>
      <c r="AD9" s="379"/>
      <c r="AE9" s="379"/>
    </row>
    <row r="10" s="264" customFormat="1" ht="12.75" spans="1:31">
      <c r="A10" s="354" t="s">
        <v>47</v>
      </c>
      <c r="B10" s="355" t="s">
        <v>48</v>
      </c>
      <c r="C10" s="356">
        <v>240611000035</v>
      </c>
      <c r="D10" s="357">
        <v>45470</v>
      </c>
      <c r="E10" s="355" t="s">
        <v>49</v>
      </c>
      <c r="F10" s="355" t="s">
        <v>50</v>
      </c>
      <c r="G10" s="355">
        <v>9.409</v>
      </c>
      <c r="H10" s="355">
        <v>4580</v>
      </c>
      <c r="I10" s="358">
        <v>30088</v>
      </c>
      <c r="J10" s="369"/>
      <c r="K10" s="360"/>
      <c r="L10" s="361"/>
      <c r="M10" s="360"/>
      <c r="N10" s="355"/>
      <c r="O10" s="525">
        <f>SUM(I10)</f>
        <v>30088</v>
      </c>
      <c r="P10" s="371">
        <f>SUM(O10:O23)</f>
        <v>173903.6988</v>
      </c>
      <c r="Q10" s="371" t="s">
        <v>51</v>
      </c>
      <c r="R10" s="371">
        <v>65426</v>
      </c>
      <c r="S10" s="371">
        <f>SUM(203+330)</f>
        <v>533</v>
      </c>
      <c r="T10" s="371">
        <v>850</v>
      </c>
      <c r="U10" s="371"/>
      <c r="V10" s="371"/>
      <c r="W10" s="478">
        <f>SUM(R10:V23)</f>
        <v>66809</v>
      </c>
      <c r="X10" s="373">
        <v>10644.17</v>
      </c>
      <c r="Y10" s="368"/>
      <c r="Z10" s="373">
        <v>43.56</v>
      </c>
      <c r="AA10" s="373">
        <f>SUM(X10:Z23)</f>
        <v>10716.03</v>
      </c>
      <c r="AB10" s="374">
        <v>7.12</v>
      </c>
      <c r="AC10" s="371">
        <f>SUM(AA10*AB10)</f>
        <v>76298.1336</v>
      </c>
      <c r="AD10" s="371">
        <f>SUM(W10+AC10)</f>
        <v>143107.1336</v>
      </c>
      <c r="AE10" s="371">
        <f>SUM(P10-AD10)</f>
        <v>30796.5652</v>
      </c>
    </row>
    <row r="11" s="264" customFormat="1" ht="12.75" spans="1:31">
      <c r="A11" s="354"/>
      <c r="B11" s="355"/>
      <c r="C11" s="356">
        <v>240617000014</v>
      </c>
      <c r="D11" s="357">
        <v>45470</v>
      </c>
      <c r="E11" s="355" t="s">
        <v>52</v>
      </c>
      <c r="F11" s="355" t="s">
        <v>53</v>
      </c>
      <c r="G11" s="355">
        <v>0.3223</v>
      </c>
      <c r="H11" s="355">
        <v>145</v>
      </c>
      <c r="I11" s="364"/>
      <c r="J11" s="370">
        <v>282730</v>
      </c>
      <c r="K11" s="360"/>
      <c r="L11" s="361">
        <f>SUM(J11/M11)</f>
        <v>1744.49312025668</v>
      </c>
      <c r="M11" s="362">
        <v>162.07</v>
      </c>
      <c r="N11" s="355">
        <v>7.12</v>
      </c>
      <c r="O11" s="364">
        <f>SUM(M11*N11)</f>
        <v>1153.9384</v>
      </c>
      <c r="P11" s="375"/>
      <c r="Q11" s="375"/>
      <c r="R11" s="375"/>
      <c r="S11" s="375"/>
      <c r="T11" s="375"/>
      <c r="U11" s="375"/>
      <c r="V11" s="375"/>
      <c r="W11" s="392"/>
      <c r="X11" s="376"/>
      <c r="Y11" s="368">
        <v>17.26</v>
      </c>
      <c r="Z11" s="376"/>
      <c r="AA11" s="376"/>
      <c r="AB11" s="378"/>
      <c r="AC11" s="375"/>
      <c r="AD11" s="375"/>
      <c r="AE11" s="375"/>
    </row>
    <row r="12" s="264" customFormat="1" ht="12.75" spans="1:31">
      <c r="A12" s="354"/>
      <c r="B12" s="355"/>
      <c r="C12" s="356">
        <v>240617000031</v>
      </c>
      <c r="D12" s="357">
        <v>45470</v>
      </c>
      <c r="E12" s="355" t="s">
        <v>37</v>
      </c>
      <c r="F12" s="355" t="s">
        <v>54</v>
      </c>
      <c r="G12" s="355">
        <v>1.883</v>
      </c>
      <c r="H12" s="355">
        <v>1442</v>
      </c>
      <c r="I12" s="358">
        <v>5247</v>
      </c>
      <c r="J12" s="369"/>
      <c r="K12" s="360"/>
      <c r="L12" s="361"/>
      <c r="M12" s="360"/>
      <c r="N12" s="355"/>
      <c r="O12" s="525">
        <f t="shared" ref="O12:O15" si="1">SUBTOTAL(9,I12)</f>
        <v>5247</v>
      </c>
      <c r="P12" s="375"/>
      <c r="Q12" s="375"/>
      <c r="R12" s="375"/>
      <c r="S12" s="375"/>
      <c r="T12" s="375"/>
      <c r="U12" s="375"/>
      <c r="V12" s="375"/>
      <c r="W12" s="392"/>
      <c r="X12" s="376"/>
      <c r="Y12" s="368">
        <v>5.56</v>
      </c>
      <c r="Z12" s="376"/>
      <c r="AA12" s="376"/>
      <c r="AB12" s="378"/>
      <c r="AC12" s="375"/>
      <c r="AD12" s="375"/>
      <c r="AE12" s="375"/>
    </row>
    <row r="13" s="264" customFormat="1" ht="12.75" spans="1:31">
      <c r="A13" s="354"/>
      <c r="B13" s="355"/>
      <c r="C13" s="356">
        <v>240618000013</v>
      </c>
      <c r="D13" s="357">
        <v>45470</v>
      </c>
      <c r="E13" s="355" t="s">
        <v>42</v>
      </c>
      <c r="F13" s="355" t="s">
        <v>55</v>
      </c>
      <c r="G13" s="355">
        <v>17.0878</v>
      </c>
      <c r="H13" s="355">
        <v>12818</v>
      </c>
      <c r="I13" s="358">
        <v>44822.88</v>
      </c>
      <c r="J13" s="369"/>
      <c r="K13" s="360"/>
      <c r="L13" s="361"/>
      <c r="M13" s="360"/>
      <c r="N13" s="355"/>
      <c r="O13" s="525">
        <f t="shared" si="1"/>
        <v>44822.88</v>
      </c>
      <c r="P13" s="375"/>
      <c r="Q13" s="375"/>
      <c r="R13" s="375"/>
      <c r="S13" s="375"/>
      <c r="T13" s="375"/>
      <c r="U13" s="375"/>
      <c r="V13" s="375"/>
      <c r="W13" s="392"/>
      <c r="X13" s="376"/>
      <c r="Y13" s="368"/>
      <c r="Z13" s="376"/>
      <c r="AA13" s="376"/>
      <c r="AB13" s="378"/>
      <c r="AC13" s="375"/>
      <c r="AD13" s="375"/>
      <c r="AE13" s="375"/>
    </row>
    <row r="14" s="264" customFormat="1" ht="12.75" spans="1:31">
      <c r="A14" s="354"/>
      <c r="B14" s="355"/>
      <c r="C14" s="356">
        <v>240619000002</v>
      </c>
      <c r="D14" s="357">
        <v>45470</v>
      </c>
      <c r="E14" s="355" t="s">
        <v>40</v>
      </c>
      <c r="F14" s="355" t="s">
        <v>56</v>
      </c>
      <c r="G14" s="355">
        <v>4.1762</v>
      </c>
      <c r="H14" s="355">
        <v>308</v>
      </c>
      <c r="I14" s="358">
        <v>10081.3</v>
      </c>
      <c r="J14" s="369"/>
      <c r="K14" s="360"/>
      <c r="L14" s="361"/>
      <c r="M14" s="360"/>
      <c r="N14" s="355"/>
      <c r="O14" s="525">
        <f t="shared" si="1"/>
        <v>10081.3</v>
      </c>
      <c r="P14" s="375"/>
      <c r="Q14" s="375"/>
      <c r="R14" s="375"/>
      <c r="S14" s="375"/>
      <c r="T14" s="375"/>
      <c r="U14" s="375"/>
      <c r="V14" s="375"/>
      <c r="W14" s="392"/>
      <c r="X14" s="376"/>
      <c r="Y14" s="368"/>
      <c r="Z14" s="376"/>
      <c r="AA14" s="376"/>
      <c r="AB14" s="378"/>
      <c r="AC14" s="375"/>
      <c r="AD14" s="375"/>
      <c r="AE14" s="375"/>
    </row>
    <row r="15" s="264" customFormat="1" ht="12.75" spans="1:31">
      <c r="A15" s="354"/>
      <c r="B15" s="355"/>
      <c r="C15" s="356">
        <v>240622000007</v>
      </c>
      <c r="D15" s="357">
        <v>45470</v>
      </c>
      <c r="E15" s="355" t="s">
        <v>40</v>
      </c>
      <c r="F15" s="355" t="s">
        <v>41</v>
      </c>
      <c r="G15" s="355">
        <v>0.1344</v>
      </c>
      <c r="H15" s="355">
        <v>44</v>
      </c>
      <c r="I15" s="358">
        <v>426</v>
      </c>
      <c r="J15" s="369"/>
      <c r="K15" s="360"/>
      <c r="L15" s="361"/>
      <c r="M15" s="360"/>
      <c r="N15" s="355"/>
      <c r="O15" s="525">
        <f t="shared" si="1"/>
        <v>426</v>
      </c>
      <c r="P15" s="375"/>
      <c r="Q15" s="375"/>
      <c r="R15" s="375"/>
      <c r="S15" s="375"/>
      <c r="T15" s="375"/>
      <c r="U15" s="375"/>
      <c r="V15" s="375"/>
      <c r="W15" s="392"/>
      <c r="X15" s="376"/>
      <c r="Y15" s="368"/>
      <c r="Z15" s="376"/>
      <c r="AA15" s="376"/>
      <c r="AB15" s="378"/>
      <c r="AC15" s="375"/>
      <c r="AD15" s="375"/>
      <c r="AE15" s="375"/>
    </row>
    <row r="16" s="264" customFormat="1" ht="12.75" spans="1:31">
      <c r="A16" s="354"/>
      <c r="B16" s="355"/>
      <c r="C16" s="356">
        <v>240624000032</v>
      </c>
      <c r="D16" s="357">
        <v>45470</v>
      </c>
      <c r="E16" s="355" t="s">
        <v>49</v>
      </c>
      <c r="F16" s="355" t="s">
        <v>57</v>
      </c>
      <c r="G16" s="355">
        <v>14.1194</v>
      </c>
      <c r="H16" s="355">
        <v>5232</v>
      </c>
      <c r="I16" s="358">
        <v>30090</v>
      </c>
      <c r="J16" s="369"/>
      <c r="K16" s="360"/>
      <c r="L16" s="361"/>
      <c r="M16" s="360"/>
      <c r="N16" s="355"/>
      <c r="O16" s="525">
        <f>SUM(I16)</f>
        <v>30090</v>
      </c>
      <c r="P16" s="375"/>
      <c r="Q16" s="375"/>
      <c r="R16" s="375"/>
      <c r="S16" s="375"/>
      <c r="T16" s="375"/>
      <c r="U16" s="375"/>
      <c r="V16" s="375"/>
      <c r="W16" s="392"/>
      <c r="X16" s="376"/>
      <c r="Y16" s="368"/>
      <c r="Z16" s="376"/>
      <c r="AA16" s="376"/>
      <c r="AB16" s="378"/>
      <c r="AC16" s="375"/>
      <c r="AD16" s="375"/>
      <c r="AE16" s="375"/>
    </row>
    <row r="17" s="264" customFormat="1" ht="12.75" spans="1:31">
      <c r="A17" s="354"/>
      <c r="B17" s="355"/>
      <c r="C17" s="356">
        <v>240624000052</v>
      </c>
      <c r="D17" s="357">
        <v>45470</v>
      </c>
      <c r="E17" s="355" t="s">
        <v>49</v>
      </c>
      <c r="F17" s="355" t="s">
        <v>58</v>
      </c>
      <c r="G17" s="355">
        <v>0.098</v>
      </c>
      <c r="H17" s="355">
        <v>5.56</v>
      </c>
      <c r="I17" s="364"/>
      <c r="J17" s="370">
        <v>69566</v>
      </c>
      <c r="K17" s="360"/>
      <c r="L17" s="361">
        <f>SUM(J17/M17)</f>
        <v>1639.93399339934</v>
      </c>
      <c r="M17" s="362">
        <v>42.42</v>
      </c>
      <c r="N17" s="355">
        <v>7.12</v>
      </c>
      <c r="O17" s="525">
        <f>SUM(M17*N17)</f>
        <v>302.0304</v>
      </c>
      <c r="P17" s="375"/>
      <c r="Q17" s="375"/>
      <c r="R17" s="375"/>
      <c r="S17" s="375"/>
      <c r="T17" s="375"/>
      <c r="U17" s="375"/>
      <c r="V17" s="375"/>
      <c r="W17" s="392"/>
      <c r="X17" s="376"/>
      <c r="Y17" s="368">
        <v>5.48</v>
      </c>
      <c r="Z17" s="376"/>
      <c r="AA17" s="376"/>
      <c r="AB17" s="378"/>
      <c r="AC17" s="375"/>
      <c r="AD17" s="375"/>
      <c r="AE17" s="375"/>
    </row>
    <row r="18" s="264" customFormat="1" ht="12.75" spans="1:31">
      <c r="A18" s="354"/>
      <c r="B18" s="355"/>
      <c r="C18" s="356">
        <v>240625000041</v>
      </c>
      <c r="D18" s="357">
        <v>45470</v>
      </c>
      <c r="E18" s="355" t="s">
        <v>40</v>
      </c>
      <c r="F18" s="355" t="s">
        <v>59</v>
      </c>
      <c r="G18" s="355">
        <v>19.56</v>
      </c>
      <c r="H18" s="355">
        <v>2429.25</v>
      </c>
      <c r="I18" s="358">
        <v>35563.01</v>
      </c>
      <c r="J18" s="369"/>
      <c r="K18" s="360"/>
      <c r="L18" s="361"/>
      <c r="M18" s="362"/>
      <c r="N18" s="355"/>
      <c r="O18" s="525">
        <f t="shared" ref="O18:O21" si="2">SUBTOTAL(9,I18)</f>
        <v>35563.01</v>
      </c>
      <c r="P18" s="375"/>
      <c r="Q18" s="375"/>
      <c r="R18" s="375"/>
      <c r="S18" s="375"/>
      <c r="T18" s="375"/>
      <c r="U18" s="375"/>
      <c r="V18" s="375"/>
      <c r="W18" s="392"/>
      <c r="X18" s="376"/>
      <c r="Y18" s="368"/>
      <c r="Z18" s="376"/>
      <c r="AA18" s="376"/>
      <c r="AB18" s="378"/>
      <c r="AC18" s="375"/>
      <c r="AD18" s="375"/>
      <c r="AE18" s="375"/>
    </row>
    <row r="19" s="264" customFormat="1" ht="12.75" spans="1:31">
      <c r="A19" s="354"/>
      <c r="B19" s="355"/>
      <c r="C19" s="356">
        <v>240626000037</v>
      </c>
      <c r="D19" s="357">
        <v>45470</v>
      </c>
      <c r="E19" s="355" t="s">
        <v>40</v>
      </c>
      <c r="F19" s="355" t="s">
        <v>60</v>
      </c>
      <c r="G19" s="355">
        <v>0.9428</v>
      </c>
      <c r="H19" s="355">
        <v>188</v>
      </c>
      <c r="I19" s="358">
        <v>3034.1</v>
      </c>
      <c r="J19" s="369"/>
      <c r="K19" s="360"/>
      <c r="L19" s="361"/>
      <c r="M19" s="360"/>
      <c r="N19" s="355"/>
      <c r="O19" s="525">
        <f>SUM(I19)</f>
        <v>3034.1</v>
      </c>
      <c r="P19" s="375"/>
      <c r="Q19" s="375"/>
      <c r="R19" s="375"/>
      <c r="S19" s="375"/>
      <c r="T19" s="375"/>
      <c r="U19" s="375"/>
      <c r="V19" s="375"/>
      <c r="W19" s="392"/>
      <c r="X19" s="376"/>
      <c r="Y19" s="373"/>
      <c r="Z19" s="376"/>
      <c r="AA19" s="376"/>
      <c r="AB19" s="378"/>
      <c r="AC19" s="375"/>
      <c r="AD19" s="375"/>
      <c r="AE19" s="375"/>
    </row>
    <row r="20" s="264" customFormat="1" ht="12.75" spans="1:31">
      <c r="A20" s="354"/>
      <c r="B20" s="355"/>
      <c r="C20" s="356">
        <v>240626000038</v>
      </c>
      <c r="D20" s="357">
        <v>45470</v>
      </c>
      <c r="E20" s="355" t="s">
        <v>40</v>
      </c>
      <c r="F20" s="355" t="s">
        <v>60</v>
      </c>
      <c r="G20" s="355">
        <v>2.178</v>
      </c>
      <c r="H20" s="355">
        <v>178</v>
      </c>
      <c r="I20" s="358">
        <v>5331.74</v>
      </c>
      <c r="J20" s="369"/>
      <c r="K20" s="360"/>
      <c r="L20" s="361"/>
      <c r="M20" s="360"/>
      <c r="N20" s="355"/>
      <c r="O20" s="525">
        <f t="shared" si="2"/>
        <v>5331.74</v>
      </c>
      <c r="P20" s="375"/>
      <c r="Q20" s="375"/>
      <c r="R20" s="375"/>
      <c r="S20" s="375"/>
      <c r="T20" s="375"/>
      <c r="U20" s="375"/>
      <c r="V20" s="375"/>
      <c r="W20" s="392"/>
      <c r="X20" s="376"/>
      <c r="Y20" s="376"/>
      <c r="Z20" s="376"/>
      <c r="AA20" s="376"/>
      <c r="AB20" s="378"/>
      <c r="AC20" s="375"/>
      <c r="AD20" s="375"/>
      <c r="AE20" s="375"/>
    </row>
    <row r="21" s="264" customFormat="1" ht="12.75" spans="1:31">
      <c r="A21" s="354"/>
      <c r="B21" s="355"/>
      <c r="C21" s="356">
        <v>240626000039</v>
      </c>
      <c r="D21" s="357">
        <v>45470</v>
      </c>
      <c r="E21" s="355" t="s">
        <v>40</v>
      </c>
      <c r="F21" s="355" t="s">
        <v>60</v>
      </c>
      <c r="G21" s="355">
        <v>1.1137</v>
      </c>
      <c r="H21" s="355">
        <v>719</v>
      </c>
      <c r="I21" s="358">
        <v>2807.28</v>
      </c>
      <c r="J21" s="369"/>
      <c r="K21" s="360"/>
      <c r="L21" s="361"/>
      <c r="M21" s="360"/>
      <c r="N21" s="355"/>
      <c r="O21" s="525">
        <f t="shared" si="2"/>
        <v>2807.28</v>
      </c>
      <c r="P21" s="375"/>
      <c r="Q21" s="375"/>
      <c r="R21" s="375"/>
      <c r="S21" s="375"/>
      <c r="T21" s="375"/>
      <c r="U21" s="375"/>
      <c r="V21" s="375"/>
      <c r="W21" s="392"/>
      <c r="X21" s="376"/>
      <c r="Y21" s="376"/>
      <c r="Z21" s="376"/>
      <c r="AA21" s="376"/>
      <c r="AB21" s="378"/>
      <c r="AC21" s="375"/>
      <c r="AD21" s="375"/>
      <c r="AE21" s="375"/>
    </row>
    <row r="22" s="264" customFormat="1" ht="12.75" spans="1:31">
      <c r="A22" s="354"/>
      <c r="B22" s="355"/>
      <c r="C22" s="356">
        <v>240627000004</v>
      </c>
      <c r="D22" s="357">
        <v>45470</v>
      </c>
      <c r="E22" s="355" t="s">
        <v>42</v>
      </c>
      <c r="F22" s="355" t="s">
        <v>61</v>
      </c>
      <c r="G22" s="355">
        <v>1.0982</v>
      </c>
      <c r="H22" s="355">
        <v>111.44</v>
      </c>
      <c r="I22" s="364"/>
      <c r="J22" s="370">
        <v>649440</v>
      </c>
      <c r="K22" s="360"/>
      <c r="L22" s="361">
        <f>SUM(J22/M22)</f>
        <v>1640</v>
      </c>
      <c r="M22" s="362">
        <v>396</v>
      </c>
      <c r="N22" s="355">
        <v>7.12</v>
      </c>
      <c r="O22" s="525">
        <f>SUM(M22*N22)</f>
        <v>2819.52</v>
      </c>
      <c r="P22" s="375"/>
      <c r="Q22" s="375"/>
      <c r="R22" s="375"/>
      <c r="S22" s="375"/>
      <c r="T22" s="375"/>
      <c r="U22" s="375"/>
      <c r="V22" s="375"/>
      <c r="W22" s="392"/>
      <c r="X22" s="376"/>
      <c r="Y22" s="376"/>
      <c r="Z22" s="376"/>
      <c r="AA22" s="376"/>
      <c r="AB22" s="378"/>
      <c r="AC22" s="375"/>
      <c r="AD22" s="375"/>
      <c r="AE22" s="375"/>
    </row>
    <row r="23" s="264" customFormat="1" ht="12.75" spans="1:31">
      <c r="A23" s="354"/>
      <c r="B23" s="355"/>
      <c r="C23" s="356">
        <v>240627000022</v>
      </c>
      <c r="D23" s="357">
        <v>45470</v>
      </c>
      <c r="E23" s="355" t="s">
        <v>40</v>
      </c>
      <c r="F23" s="355" t="s">
        <v>62</v>
      </c>
      <c r="G23" s="355">
        <v>0.8852</v>
      </c>
      <c r="H23" s="355">
        <v>140.4</v>
      </c>
      <c r="I23" s="358">
        <v>2136.9</v>
      </c>
      <c r="J23" s="369"/>
      <c r="K23" s="360"/>
      <c r="L23" s="361"/>
      <c r="M23" s="360"/>
      <c r="N23" s="355"/>
      <c r="O23" s="525">
        <f t="shared" ref="O23:O25" si="3">SUBTOTAL(9,I23)</f>
        <v>2136.9</v>
      </c>
      <c r="P23" s="379"/>
      <c r="Q23" s="379"/>
      <c r="R23" s="379"/>
      <c r="S23" s="379"/>
      <c r="T23" s="379"/>
      <c r="U23" s="379"/>
      <c r="V23" s="379"/>
      <c r="W23" s="479"/>
      <c r="X23" s="377"/>
      <c r="Y23" s="377"/>
      <c r="Z23" s="377"/>
      <c r="AA23" s="377"/>
      <c r="AB23" s="380"/>
      <c r="AC23" s="379"/>
      <c r="AD23" s="379"/>
      <c r="AE23" s="379"/>
    </row>
    <row r="24" s="264" customFormat="1" ht="12.75" spans="1:31">
      <c r="A24" s="354" t="s">
        <v>63</v>
      </c>
      <c r="B24" s="355" t="s">
        <v>64</v>
      </c>
      <c r="C24" s="356">
        <v>240619000007</v>
      </c>
      <c r="D24" s="357">
        <v>45471</v>
      </c>
      <c r="E24" s="355" t="s">
        <v>42</v>
      </c>
      <c r="F24" s="355" t="s">
        <v>65</v>
      </c>
      <c r="G24" s="355">
        <v>0.917</v>
      </c>
      <c r="H24" s="355">
        <v>510</v>
      </c>
      <c r="I24" s="358">
        <v>2914</v>
      </c>
      <c r="J24" s="369"/>
      <c r="K24" s="360"/>
      <c r="L24" s="361"/>
      <c r="M24" s="360"/>
      <c r="N24" s="355"/>
      <c r="O24" s="364">
        <f t="shared" si="3"/>
        <v>2914</v>
      </c>
      <c r="P24" s="365">
        <f>SUM(O24:O29)</f>
        <v>28646.262</v>
      </c>
      <c r="Q24" s="365" t="s">
        <v>66</v>
      </c>
      <c r="R24" s="583">
        <v>20340</v>
      </c>
      <c r="S24" s="365">
        <v>215.1</v>
      </c>
      <c r="T24" s="365"/>
      <c r="U24" s="365"/>
      <c r="V24" s="365"/>
      <c r="W24" s="526">
        <f>SUM(R24:V29)</f>
        <v>20555.1</v>
      </c>
      <c r="X24" s="398">
        <v>221.6</v>
      </c>
      <c r="Y24" s="368">
        <v>73.61</v>
      </c>
      <c r="Z24" s="398"/>
      <c r="AA24" s="398">
        <f>SUM(X24:Z29)</f>
        <v>295.21</v>
      </c>
      <c r="AB24" s="399">
        <v>7.1</v>
      </c>
      <c r="AC24" s="365">
        <f>SUM(AA24*AB24)</f>
        <v>2095.991</v>
      </c>
      <c r="AD24" s="365">
        <f>SUM(W24+AC24)</f>
        <v>22651.091</v>
      </c>
      <c r="AE24" s="365">
        <f>SUM(P24-AD24)</f>
        <v>5995.171</v>
      </c>
    </row>
    <row r="25" s="264" customFormat="1" ht="12.75" spans="1:31">
      <c r="A25" s="354"/>
      <c r="B25" s="355"/>
      <c r="C25" s="356">
        <v>240617000031</v>
      </c>
      <c r="D25" s="357">
        <v>45470</v>
      </c>
      <c r="E25" s="355" t="s">
        <v>37</v>
      </c>
      <c r="F25" s="355" t="s">
        <v>54</v>
      </c>
      <c r="G25" s="355">
        <v>0.1218</v>
      </c>
      <c r="H25" s="355">
        <v>88</v>
      </c>
      <c r="I25" s="358">
        <v>339</v>
      </c>
      <c r="J25" s="369"/>
      <c r="K25" s="360"/>
      <c r="L25" s="361"/>
      <c r="M25" s="360"/>
      <c r="N25" s="355"/>
      <c r="O25" s="525">
        <f t="shared" si="3"/>
        <v>339</v>
      </c>
      <c r="P25" s="365"/>
      <c r="Q25" s="365"/>
      <c r="R25" s="583"/>
      <c r="S25" s="365"/>
      <c r="T25" s="365"/>
      <c r="U25" s="365"/>
      <c r="V25" s="365"/>
      <c r="W25" s="526"/>
      <c r="X25" s="398"/>
      <c r="Y25" s="398"/>
      <c r="Z25" s="398"/>
      <c r="AA25" s="398"/>
      <c r="AB25" s="399"/>
      <c r="AC25" s="365"/>
      <c r="AD25" s="365"/>
      <c r="AE25" s="365"/>
    </row>
    <row r="26" s="264" customFormat="1" ht="12.75" spans="1:31">
      <c r="A26" s="354"/>
      <c r="B26" s="355"/>
      <c r="C26" s="356">
        <v>240626000021</v>
      </c>
      <c r="D26" s="357">
        <v>45470</v>
      </c>
      <c r="E26" s="355" t="s">
        <v>42</v>
      </c>
      <c r="F26" s="355" t="s">
        <v>67</v>
      </c>
      <c r="G26" s="355">
        <v>0.5044</v>
      </c>
      <c r="H26" s="355">
        <v>54.9</v>
      </c>
      <c r="I26" s="364"/>
      <c r="J26" s="370">
        <v>311202</v>
      </c>
      <c r="K26" s="360"/>
      <c r="L26" s="361">
        <f>SUM(J26/M26)</f>
        <v>1695</v>
      </c>
      <c r="M26" s="362">
        <v>183.6</v>
      </c>
      <c r="N26" s="355">
        <v>7.12</v>
      </c>
      <c r="O26" s="525">
        <f>SUM(M26*N26)</f>
        <v>1307.232</v>
      </c>
      <c r="P26" s="365"/>
      <c r="Q26" s="365"/>
      <c r="R26" s="583"/>
      <c r="S26" s="365"/>
      <c r="T26" s="365"/>
      <c r="U26" s="365"/>
      <c r="V26" s="365"/>
      <c r="W26" s="526"/>
      <c r="X26" s="398"/>
      <c r="Y26" s="398"/>
      <c r="Z26" s="398"/>
      <c r="AA26" s="398"/>
      <c r="AB26" s="399"/>
      <c r="AC26" s="365"/>
      <c r="AD26" s="365"/>
      <c r="AE26" s="365"/>
    </row>
    <row r="27" s="264" customFormat="1" ht="12.75" spans="1:31">
      <c r="A27" s="354"/>
      <c r="B27" s="355"/>
      <c r="C27" s="356">
        <v>240621000002</v>
      </c>
      <c r="D27" s="357">
        <v>45470</v>
      </c>
      <c r="E27" s="355" t="s">
        <v>52</v>
      </c>
      <c r="F27" s="355" t="s">
        <v>68</v>
      </c>
      <c r="G27" s="355">
        <v>7.215</v>
      </c>
      <c r="H27" s="355">
        <v>975</v>
      </c>
      <c r="I27" s="358">
        <v>21110.59</v>
      </c>
      <c r="J27" s="369"/>
      <c r="K27" s="360"/>
      <c r="L27" s="361"/>
      <c r="M27" s="360"/>
      <c r="N27" s="355"/>
      <c r="O27" s="525">
        <f>SUM(I27)</f>
        <v>21110.59</v>
      </c>
      <c r="P27" s="365"/>
      <c r="Q27" s="365"/>
      <c r="R27" s="583"/>
      <c r="S27" s="365"/>
      <c r="T27" s="365"/>
      <c r="U27" s="365"/>
      <c r="V27" s="365"/>
      <c r="W27" s="526"/>
      <c r="X27" s="398"/>
      <c r="Y27" s="398"/>
      <c r="Z27" s="398"/>
      <c r="AA27" s="398"/>
      <c r="AB27" s="399"/>
      <c r="AC27" s="365"/>
      <c r="AD27" s="365"/>
      <c r="AE27" s="365"/>
    </row>
    <row r="28" s="264" customFormat="1" ht="12.75" spans="1:31">
      <c r="A28" s="354"/>
      <c r="B28" s="355"/>
      <c r="C28" s="356">
        <v>240625000038</v>
      </c>
      <c r="D28" s="357">
        <v>45471</v>
      </c>
      <c r="E28" s="355" t="s">
        <v>40</v>
      </c>
      <c r="F28" s="355" t="s">
        <v>41</v>
      </c>
      <c r="G28" s="355">
        <v>0.8478</v>
      </c>
      <c r="H28" s="355">
        <v>220</v>
      </c>
      <c r="I28" s="358">
        <v>2197.44</v>
      </c>
      <c r="J28" s="369"/>
      <c r="K28" s="360"/>
      <c r="L28" s="361"/>
      <c r="M28" s="360"/>
      <c r="N28" s="355"/>
      <c r="O28" s="364">
        <f>SUBTOTAL(9,I28)</f>
        <v>2197.44</v>
      </c>
      <c r="P28" s="365"/>
      <c r="Q28" s="365"/>
      <c r="R28" s="583"/>
      <c r="S28" s="365"/>
      <c r="T28" s="365"/>
      <c r="U28" s="365"/>
      <c r="V28" s="365"/>
      <c r="W28" s="526"/>
      <c r="X28" s="398"/>
      <c r="Y28" s="398"/>
      <c r="Z28" s="398"/>
      <c r="AA28" s="398"/>
      <c r="AB28" s="399"/>
      <c r="AC28" s="365"/>
      <c r="AD28" s="365"/>
      <c r="AE28" s="365"/>
    </row>
    <row r="29" s="264" customFormat="1" ht="12.75" spans="1:31">
      <c r="A29" s="354"/>
      <c r="B29" s="355"/>
      <c r="C29" s="356">
        <v>240627000005</v>
      </c>
      <c r="D29" s="357">
        <v>45471</v>
      </c>
      <c r="E29" s="355" t="s">
        <v>42</v>
      </c>
      <c r="F29" s="355" t="s">
        <v>65</v>
      </c>
      <c r="G29" s="355">
        <v>0.2937</v>
      </c>
      <c r="H29" s="355">
        <v>24</v>
      </c>
      <c r="I29" s="358">
        <v>778</v>
      </c>
      <c r="J29" s="369"/>
      <c r="K29" s="360"/>
      <c r="L29" s="361"/>
      <c r="M29" s="360"/>
      <c r="N29" s="355"/>
      <c r="O29" s="364">
        <f>SUBTOTAL(9,I29)</f>
        <v>778</v>
      </c>
      <c r="P29" s="365"/>
      <c r="Q29" s="365"/>
      <c r="R29" s="583"/>
      <c r="S29" s="365"/>
      <c r="T29" s="365"/>
      <c r="U29" s="365"/>
      <c r="V29" s="365"/>
      <c r="W29" s="526"/>
      <c r="X29" s="398"/>
      <c r="Y29" s="398"/>
      <c r="Z29" s="398"/>
      <c r="AA29" s="398"/>
      <c r="AB29" s="399"/>
      <c r="AC29" s="365"/>
      <c r="AD29" s="365"/>
      <c r="AE29" s="365"/>
    </row>
    <row r="30" ht="25" customHeight="1" spans="1:31">
      <c r="A30" s="584" t="s">
        <v>69</v>
      </c>
      <c r="B30" s="585"/>
      <c r="C30" s="586"/>
      <c r="D30" s="587"/>
      <c r="E30" s="586"/>
      <c r="F30" s="586"/>
      <c r="G30" s="588">
        <f>SUM(G5:G29)</f>
        <v>96.5737</v>
      </c>
      <c r="H30" s="588">
        <f>SUM(H5:H29)</f>
        <v>32807.55</v>
      </c>
      <c r="I30" s="589">
        <f>SUM(I5:I29)</f>
        <v>218631.69</v>
      </c>
      <c r="J30" s="590">
        <f>SUM(J5:J28)</f>
        <v>3486054</v>
      </c>
      <c r="K30" s="591">
        <f>SUM(K5:K28)</f>
        <v>807.21</v>
      </c>
      <c r="L30" s="592"/>
      <c r="M30" s="593">
        <f>SUM(M5:M29)</f>
        <v>2923.6198</v>
      </c>
      <c r="N30" s="594">
        <v>7.12</v>
      </c>
      <c r="O30" s="595">
        <f>SUM(O5:O29)</f>
        <v>239447.862976</v>
      </c>
      <c r="P30" s="595">
        <f>SUM(P5:P28)</f>
        <v>239447.862976</v>
      </c>
      <c r="Q30" s="596"/>
      <c r="R30" s="596">
        <f>SUM(R5:R29)</f>
        <v>117040.1</v>
      </c>
      <c r="S30" s="596">
        <f t="shared" ref="S30:AA30" si="4">SUM(S5:S29)</f>
        <v>998.1</v>
      </c>
      <c r="T30" s="596">
        <f t="shared" si="4"/>
        <v>850</v>
      </c>
      <c r="U30" s="596">
        <f t="shared" si="4"/>
        <v>0</v>
      </c>
      <c r="V30" s="596">
        <f t="shared" si="4"/>
        <v>0</v>
      </c>
      <c r="W30" s="597">
        <f t="shared" si="4"/>
        <v>118888.2</v>
      </c>
      <c r="X30" s="598">
        <f t="shared" si="4"/>
        <v>10865.77</v>
      </c>
      <c r="Y30" s="598">
        <f t="shared" si="4"/>
        <v>101.91</v>
      </c>
      <c r="Z30" s="598">
        <f t="shared" si="4"/>
        <v>43.56</v>
      </c>
      <c r="AA30" s="599">
        <f t="shared" si="4"/>
        <v>11011.24</v>
      </c>
      <c r="AB30" s="600">
        <v>7.12</v>
      </c>
      <c r="AC30" s="601">
        <f>SUM(AC10:AC29)</f>
        <v>78394.1246</v>
      </c>
      <c r="AD30" s="601">
        <f>SUM(AD5:AD28)</f>
        <v>197282.3246</v>
      </c>
      <c r="AE30" s="601">
        <f>SUM(AE5:AE29)</f>
        <v>42165.538376</v>
      </c>
    </row>
    <row r="32" s="263" customFormat="1" ht="40" customHeight="1" spans="1:31">
      <c r="A32" s="302"/>
      <c r="B32" s="263"/>
      <c r="C32" s="263"/>
      <c r="D32" s="410"/>
      <c r="E32" s="263"/>
      <c r="F32" s="263"/>
      <c r="G32" s="411" t="s">
        <v>70</v>
      </c>
      <c r="H32" s="412" t="s">
        <v>71</v>
      </c>
      <c r="I32" s="413" t="s">
        <v>72</v>
      </c>
      <c r="J32" s="414" t="s">
        <v>73</v>
      </c>
      <c r="K32" s="411" t="s">
        <v>22</v>
      </c>
      <c r="L32" s="414" t="s">
        <v>74</v>
      </c>
      <c r="M32" s="415"/>
      <c r="N32" s="416"/>
      <c r="O32" s="417"/>
      <c r="P32" s="263"/>
      <c r="Q32" s="418"/>
      <c r="R32" s="263"/>
      <c r="S32" s="419"/>
      <c r="T32" s="263"/>
      <c r="U32" s="263"/>
      <c r="V32" s="263"/>
      <c r="W32" s="303"/>
      <c r="X32" s="298"/>
      <c r="Y32" s="420"/>
      <c r="Z32" s="420"/>
      <c r="AB32" s="422"/>
      <c r="AC32" s="422"/>
    </row>
    <row r="33" ht="40" customHeight="1" spans="1:29">
      <c r="G33" s="602">
        <v>6</v>
      </c>
      <c r="H33" s="603">
        <f>SUM(M30)</f>
        <v>2923.6198</v>
      </c>
      <c r="I33" s="603">
        <f>SUM(AA30)</f>
        <v>11011.24</v>
      </c>
      <c r="J33" s="591">
        <f>SUM(H33-I33)</f>
        <v>-8087.6202</v>
      </c>
      <c r="K33" s="600">
        <v>7.12</v>
      </c>
      <c r="L33" s="604">
        <f>SUM(J33*K33)</f>
        <v>-57583.855824</v>
      </c>
      <c r="M33" s="605"/>
      <c r="N33" s="606"/>
      <c r="O33" s="607"/>
      <c r="Q33" s="577"/>
      <c r="R33" s="574"/>
      <c r="S33" s="578"/>
      <c r="T33" s="574"/>
      <c r="U33" s="574"/>
      <c r="V33" s="574"/>
      <c r="X33" s="608"/>
      <c r="Y33" s="579"/>
      <c r="Z33" s="579"/>
      <c r="AB33" s="609"/>
      <c r="AC33" s="609"/>
    </row>
    <row r="34" customHeight="1" spans="1:29">
      <c r="H34" s="610"/>
      <c r="I34" s="610"/>
      <c r="J34" s="606"/>
      <c r="K34" s="611"/>
      <c r="L34" s="612"/>
      <c r="M34" s="605"/>
      <c r="N34" s="613"/>
      <c r="O34" s="607"/>
      <c r="Q34" s="577"/>
      <c r="R34" s="574"/>
      <c r="S34" s="578"/>
      <c r="T34" s="574"/>
      <c r="U34" s="574"/>
      <c r="V34" s="574"/>
      <c r="X34" s="608"/>
      <c r="Y34" s="579"/>
      <c r="Z34" s="579"/>
      <c r="AB34" s="609"/>
      <c r="AC34" s="609"/>
    </row>
    <row r="35" s="263" customFormat="1" ht="26" customHeight="1" spans="1:29">
      <c r="A35" s="302"/>
      <c r="B35" s="263"/>
      <c r="C35" s="263"/>
      <c r="D35" s="410"/>
      <c r="E35" s="263"/>
      <c r="F35" s="263"/>
      <c r="G35" s="436" t="s">
        <v>70</v>
      </c>
      <c r="H35" s="437" t="s">
        <v>75</v>
      </c>
      <c r="I35" s="438"/>
      <c r="J35" s="438"/>
      <c r="K35" s="439"/>
      <c r="L35" s="440" t="s">
        <v>10</v>
      </c>
      <c r="M35" s="441" t="s">
        <v>76</v>
      </c>
      <c r="N35" s="441" t="s">
        <v>77</v>
      </c>
      <c r="O35" s="442" t="s">
        <v>16</v>
      </c>
      <c r="Q35" s="418"/>
      <c r="R35" s="263"/>
      <c r="S35" s="419"/>
      <c r="T35" s="263"/>
      <c r="U35" s="263"/>
      <c r="V35" s="263"/>
      <c r="W35" s="303"/>
      <c r="X35" s="298"/>
      <c r="Y35" s="420"/>
      <c r="Z35" s="420"/>
      <c r="AB35" s="422"/>
      <c r="AC35" s="422"/>
    </row>
    <row r="36" s="263" customFormat="1" ht="26" customHeight="1" spans="1:29">
      <c r="A36" s="302"/>
      <c r="B36" s="263"/>
      <c r="C36" s="263"/>
      <c r="D36" s="410"/>
      <c r="E36" s="263"/>
      <c r="F36" s="263"/>
      <c r="G36" s="443"/>
      <c r="H36" s="413" t="s">
        <v>17</v>
      </c>
      <c r="I36" s="412" t="s">
        <v>78</v>
      </c>
      <c r="J36" s="411" t="s">
        <v>22</v>
      </c>
      <c r="K36" s="444" t="s">
        <v>79</v>
      </c>
      <c r="L36" s="445"/>
      <c r="M36" s="446"/>
      <c r="N36" s="446"/>
      <c r="O36" s="447"/>
      <c r="P36" s="263"/>
      <c r="Q36" s="418"/>
      <c r="R36" s="263"/>
      <c r="S36" s="419"/>
      <c r="T36" s="263"/>
      <c r="U36" s="263"/>
      <c r="V36" s="263"/>
      <c r="W36" s="303"/>
      <c r="X36" s="298"/>
      <c r="Y36" s="420"/>
      <c r="Z36" s="420"/>
      <c r="AB36" s="422"/>
      <c r="AC36" s="422"/>
    </row>
    <row r="37" s="572" customFormat="1" ht="39" customHeight="1" spans="1:29">
      <c r="A37" s="614"/>
      <c r="D37" s="575"/>
      <c r="G37" s="602">
        <v>6</v>
      </c>
      <c r="H37" s="615">
        <f>SUM(I30)</f>
        <v>218631.69</v>
      </c>
      <c r="I37" s="616">
        <f>SUM(M30)</f>
        <v>2923.6198</v>
      </c>
      <c r="J37" s="600">
        <v>7.12</v>
      </c>
      <c r="K37" s="615">
        <f>SUM(M30*J37)</f>
        <v>20816.172976</v>
      </c>
      <c r="L37" s="617">
        <f>SUM(H37+K37)</f>
        <v>239447.862976</v>
      </c>
      <c r="M37" s="615">
        <f>SUM(W30)</f>
        <v>118888.2</v>
      </c>
      <c r="N37" s="618">
        <f>SUM(AC30)</f>
        <v>78394.1246</v>
      </c>
      <c r="O37" s="619">
        <f>SUM(L37-M37-N37)</f>
        <v>42165.538376</v>
      </c>
      <c r="Q37" s="620"/>
      <c r="S37" s="621"/>
      <c r="W37" s="622"/>
      <c r="X37" s="608"/>
      <c r="Y37" s="608"/>
      <c r="Z37" s="608"/>
      <c r="AB37" s="623"/>
      <c r="AC37" s="623"/>
    </row>
  </sheetData>
  <autoFilter xmlns:etc="http://www.wps.cn/officeDocument/2017/etCustomData" ref="H4:K33" etc:filterBottomFollowUsedRange="0">
    <extLst/>
  </autoFilter>
  <mergeCells count="77">
    <mergeCell ref="A1:AA1"/>
    <mergeCell ref="I3:O3"/>
    <mergeCell ref="Q3:U3"/>
    <mergeCell ref="X3:AC3"/>
    <mergeCell ref="A30:B30"/>
    <mergeCell ref="H35:K35"/>
    <mergeCell ref="A3:A4"/>
    <mergeCell ref="A5:A9"/>
    <mergeCell ref="A10:A23"/>
    <mergeCell ref="A24:A29"/>
    <mergeCell ref="B3:B4"/>
    <mergeCell ref="B5:B9"/>
    <mergeCell ref="B10:B23"/>
    <mergeCell ref="B24:B29"/>
    <mergeCell ref="C3:C4"/>
    <mergeCell ref="D3:D4"/>
    <mergeCell ref="E3:E4"/>
    <mergeCell ref="F3:F4"/>
    <mergeCell ref="G3:G4"/>
    <mergeCell ref="G35:G36"/>
    <mergeCell ref="H3:H4"/>
    <mergeCell ref="L35:L36"/>
    <mergeCell ref="M35:M36"/>
    <mergeCell ref="N35:N36"/>
    <mergeCell ref="O35:O36"/>
    <mergeCell ref="P3:P4"/>
    <mergeCell ref="P5:P9"/>
    <mergeCell ref="P10:P23"/>
    <mergeCell ref="P24:P29"/>
    <mergeCell ref="Q5:Q9"/>
    <mergeCell ref="Q10:Q23"/>
    <mergeCell ref="Q24:Q29"/>
    <mergeCell ref="R5:R9"/>
    <mergeCell ref="R10:R23"/>
    <mergeCell ref="R24:R29"/>
    <mergeCell ref="S5:S9"/>
    <mergeCell ref="S10:S23"/>
    <mergeCell ref="S24:S29"/>
    <mergeCell ref="T5:T9"/>
    <mergeCell ref="T10:T23"/>
    <mergeCell ref="T24:T29"/>
    <mergeCell ref="U5:U9"/>
    <mergeCell ref="U10:U23"/>
    <mergeCell ref="U24:U29"/>
    <mergeCell ref="V3:V4"/>
    <mergeCell ref="V5:V9"/>
    <mergeCell ref="V10:V23"/>
    <mergeCell ref="V24:V29"/>
    <mergeCell ref="W3:W4"/>
    <mergeCell ref="W5:W9"/>
    <mergeCell ref="W10:W23"/>
    <mergeCell ref="W24:W29"/>
    <mergeCell ref="X5:X9"/>
    <mergeCell ref="X10:X23"/>
    <mergeCell ref="X24:X29"/>
    <mergeCell ref="Y5:Y9"/>
    <mergeCell ref="Y19:Y23"/>
    <mergeCell ref="Y25:Y29"/>
    <mergeCell ref="Z5:Z9"/>
    <mergeCell ref="Z10:Z23"/>
    <mergeCell ref="Z24:Z29"/>
    <mergeCell ref="AA5:AA9"/>
    <mergeCell ref="AA10:AA23"/>
    <mergeCell ref="AA24:AA29"/>
    <mergeCell ref="AB5:AB9"/>
    <mergeCell ref="AB10:AB23"/>
    <mergeCell ref="AB24:AB29"/>
    <mergeCell ref="AC5:AC9"/>
    <mergeCell ref="AC10:AC23"/>
    <mergeCell ref="AC24:AC29"/>
    <mergeCell ref="AD5:AD9"/>
    <mergeCell ref="AD10:AD23"/>
    <mergeCell ref="AD24:AD29"/>
    <mergeCell ref="AE3:AE4"/>
    <mergeCell ref="AE5:AE9"/>
    <mergeCell ref="AE10:AE23"/>
    <mergeCell ref="AE24:AE29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E77"/>
  <sheetViews>
    <sheetView workbookViewId="0">
      <pane xSplit="6" ySplit="3" topLeftCell="R55" activePane="bottomRight" state="frozen"/>
      <selection/>
      <selection pane="topRight"/>
      <selection pane="bottomLeft"/>
      <selection pane="bottomRight" activeCell="AB70" sqref="AB70"/>
    </sheetView>
  </sheetViews>
  <sheetFormatPr defaultColWidth="9" defaultRowHeight="21" customHeight="1"/>
  <cols>
    <col min="1" max="1" width="9.36666666666667" style="266" customWidth="1"/>
    <col min="2" max="2" width="10.3666666666667" customWidth="1"/>
    <col min="3" max="3" width="11.3666666666667" customWidth="1"/>
    <col min="4" max="4" width="7.26666666666667" style="267" customWidth="1"/>
    <col min="5" max="5" width="5.725" customWidth="1"/>
    <col min="6" max="6" width="5.63333333333333" customWidth="1"/>
    <col min="7" max="7" width="8.26666666666667" customWidth="1"/>
    <col min="8" max="8" width="12.9083333333333" customWidth="1"/>
    <col min="9" max="9" width="13.725" style="268" customWidth="1"/>
    <col min="10" max="10" width="14.8166666666667" customWidth="1"/>
    <col min="11" max="11" width="12.725" style="269" customWidth="1"/>
    <col min="12" max="12" width="14.725" customWidth="1"/>
    <col min="13" max="13" width="13.5416666666667" style="270" customWidth="1"/>
    <col min="14" max="15" width="12.9083333333333" customWidth="1"/>
    <col min="16" max="16" width="11.25" customWidth="1"/>
    <col min="17" max="17" width="12.9083333333333" customWidth="1"/>
    <col min="18" max="18" width="12.1833333333333" style="98" customWidth="1"/>
    <col min="19" max="19" width="12.9083333333333" customWidth="1"/>
    <col min="20" max="20" width="10.2666666666667" style="271" customWidth="1"/>
    <col min="21" max="21" width="10.3666666666667" style="271" customWidth="1"/>
    <col min="22" max="22" width="12.9083333333333" style="271" customWidth="1"/>
    <col min="23" max="23" width="11.3666666666667" style="271" customWidth="1"/>
    <col min="24" max="24" width="12.0916666666667" style="428" customWidth="1"/>
    <col min="25" max="25" width="11.1833333333333" style="428" customWidth="1"/>
    <col min="26" max="27" width="12.2666666666667" style="428" customWidth="1"/>
    <col min="28" max="29" width="12.5416666666667" customWidth="1"/>
    <col min="30" max="30" width="14.0916666666667" customWidth="1"/>
    <col min="31" max="31" width="11.1833333333333" customWidth="1"/>
  </cols>
  <sheetData>
    <row r="1" ht="32.15" customHeight="1" spans="1:31">
      <c r="A1" s="530" t="s">
        <v>80</v>
      </c>
      <c r="B1" s="530"/>
      <c r="C1" s="530"/>
      <c r="D1" s="530"/>
      <c r="E1" s="530"/>
      <c r="F1" s="530"/>
      <c r="G1" s="530"/>
      <c r="H1" s="530"/>
      <c r="I1" s="531"/>
      <c r="J1" s="532"/>
      <c r="K1" s="533"/>
      <c r="L1" s="530"/>
      <c r="M1" s="534"/>
      <c r="N1" s="530"/>
      <c r="O1" s="530"/>
      <c r="P1" s="530"/>
      <c r="Q1" s="530"/>
      <c r="R1" s="530"/>
      <c r="S1" s="530"/>
      <c r="T1" s="535"/>
      <c r="U1" s="535"/>
      <c r="V1" s="535"/>
      <c r="W1" s="535"/>
      <c r="X1" s="532"/>
    </row>
    <row r="2" s="231" customFormat="1" ht="23" customHeight="1" spans="1:31">
      <c r="A2" s="306" t="s">
        <v>1</v>
      </c>
      <c r="B2" s="307" t="s">
        <v>2</v>
      </c>
      <c r="C2" s="308" t="s">
        <v>3</v>
      </c>
      <c r="D2" s="309" t="s">
        <v>4</v>
      </c>
      <c r="E2" s="310" t="s">
        <v>5</v>
      </c>
      <c r="F2" s="310" t="s">
        <v>6</v>
      </c>
      <c r="G2" s="311" t="s">
        <v>7</v>
      </c>
      <c r="H2" s="312" t="s">
        <v>8</v>
      </c>
      <c r="I2" s="313" t="s">
        <v>9</v>
      </c>
      <c r="J2" s="314"/>
      <c r="K2" s="315"/>
      <c r="L2" s="316"/>
      <c r="M2" s="315"/>
      <c r="N2" s="317"/>
      <c r="O2" s="318"/>
      <c r="P2" s="319" t="s">
        <v>10</v>
      </c>
      <c r="Q2" s="320" t="s">
        <v>11</v>
      </c>
      <c r="R2" s="321"/>
      <c r="S2" s="322"/>
      <c r="T2" s="321"/>
      <c r="U2" s="323"/>
      <c r="V2" s="324" t="s">
        <v>12</v>
      </c>
      <c r="W2" s="325" t="s">
        <v>13</v>
      </c>
      <c r="X2" s="326" t="s">
        <v>14</v>
      </c>
      <c r="Y2" s="327"/>
      <c r="Z2" s="326"/>
      <c r="AA2" s="326"/>
      <c r="AB2" s="328"/>
      <c r="AC2" s="326"/>
      <c r="AD2" s="329" t="s">
        <v>15</v>
      </c>
      <c r="AE2" s="330" t="s">
        <v>16</v>
      </c>
    </row>
    <row r="3" s="231" customFormat="1" ht="40.5" spans="1:31">
      <c r="A3" s="331"/>
      <c r="B3" s="332"/>
      <c r="C3" s="308"/>
      <c r="D3" s="309"/>
      <c r="E3" s="333"/>
      <c r="F3" s="333"/>
      <c r="G3" s="334"/>
      <c r="H3" s="333"/>
      <c r="I3" s="335" t="s">
        <v>17</v>
      </c>
      <c r="J3" s="336" t="s">
        <v>18</v>
      </c>
      <c r="K3" s="337" t="s">
        <v>19</v>
      </c>
      <c r="L3" s="338" t="s">
        <v>20</v>
      </c>
      <c r="M3" s="339" t="s">
        <v>21</v>
      </c>
      <c r="N3" s="340" t="s">
        <v>22</v>
      </c>
      <c r="O3" s="341" t="s">
        <v>23</v>
      </c>
      <c r="P3" s="342"/>
      <c r="Q3" s="343" t="s">
        <v>24</v>
      </c>
      <c r="R3" s="457" t="s">
        <v>81</v>
      </c>
      <c r="S3" s="345" t="s">
        <v>26</v>
      </c>
      <c r="T3" s="344" t="s">
        <v>27</v>
      </c>
      <c r="U3" s="345" t="s">
        <v>28</v>
      </c>
      <c r="V3" s="346"/>
      <c r="W3" s="347"/>
      <c r="X3" s="536" t="s">
        <v>29</v>
      </c>
      <c r="Y3" s="537" t="s">
        <v>30</v>
      </c>
      <c r="Z3" s="536" t="s">
        <v>31</v>
      </c>
      <c r="AA3" s="538" t="s">
        <v>32</v>
      </c>
      <c r="AB3" s="350" t="s">
        <v>33</v>
      </c>
      <c r="AC3" s="351" t="s">
        <v>23</v>
      </c>
      <c r="AD3" s="352" t="s">
        <v>34</v>
      </c>
      <c r="AE3" s="353"/>
    </row>
    <row r="4" s="529" customFormat="1" ht="12.75" spans="1:31">
      <c r="A4" s="354" t="s">
        <v>82</v>
      </c>
      <c r="B4" s="539" t="s">
        <v>83</v>
      </c>
      <c r="C4" s="540">
        <v>240624000034</v>
      </c>
      <c r="D4" s="541">
        <v>45477</v>
      </c>
      <c r="E4" s="539" t="s">
        <v>49</v>
      </c>
      <c r="F4" s="539" t="s">
        <v>84</v>
      </c>
      <c r="G4" s="539">
        <v>3.024</v>
      </c>
      <c r="H4" s="542">
        <v>2000</v>
      </c>
      <c r="I4" s="543"/>
      <c r="J4" s="544">
        <v>2320436</v>
      </c>
      <c r="K4" s="545"/>
      <c r="L4" s="361">
        <v>1651.86155445136</v>
      </c>
      <c r="M4" s="546">
        <v>1404.74</v>
      </c>
      <c r="N4" s="539">
        <v>7.12</v>
      </c>
      <c r="O4" s="543">
        <v>10001.7488</v>
      </c>
      <c r="P4" s="547">
        <v>168759.19236</v>
      </c>
      <c r="Q4" s="548" t="s">
        <v>85</v>
      </c>
      <c r="R4" s="547">
        <v>61477</v>
      </c>
      <c r="S4" s="547"/>
      <c r="T4" s="547">
        <v>1250</v>
      </c>
      <c r="U4" s="549"/>
      <c r="V4" s="547"/>
      <c r="W4" s="550">
        <v>64164</v>
      </c>
      <c r="X4" s="551">
        <v>10640.25</v>
      </c>
      <c r="Y4" s="552">
        <v>5.49</v>
      </c>
      <c r="Z4" s="551"/>
      <c r="AA4" s="551">
        <v>10687.2</v>
      </c>
      <c r="AB4" s="374">
        <v>7.1</v>
      </c>
      <c r="AC4" s="547">
        <v>75879.12</v>
      </c>
      <c r="AD4" s="547">
        <v>140043.12</v>
      </c>
      <c r="AE4" s="547">
        <v>28716.07236</v>
      </c>
    </row>
    <row r="5" s="529" customFormat="1" ht="12.75" spans="1:31">
      <c r="A5" s="354"/>
      <c r="B5" s="539"/>
      <c r="C5" s="540">
        <v>240624000036</v>
      </c>
      <c r="D5" s="541">
        <v>45478</v>
      </c>
      <c r="E5" s="539" t="s">
        <v>49</v>
      </c>
      <c r="F5" s="539" t="s">
        <v>86</v>
      </c>
      <c r="G5" s="539">
        <v>10.2263</v>
      </c>
      <c r="H5" s="542">
        <v>7008</v>
      </c>
      <c r="I5" s="553">
        <v>26828</v>
      </c>
      <c r="J5" s="554"/>
      <c r="K5" s="545"/>
      <c r="L5" s="361"/>
      <c r="M5" s="545"/>
      <c r="N5" s="539"/>
      <c r="O5" s="543">
        <v>26828</v>
      </c>
      <c r="P5" s="555"/>
      <c r="Q5" s="555"/>
      <c r="R5" s="555"/>
      <c r="S5" s="555"/>
      <c r="T5" s="555"/>
      <c r="U5" s="549">
        <v>120</v>
      </c>
      <c r="V5" s="555"/>
      <c r="W5" s="556"/>
      <c r="X5" s="557"/>
      <c r="Y5" s="551"/>
      <c r="Z5" s="557"/>
      <c r="AA5" s="557"/>
      <c r="AB5" s="378"/>
      <c r="AC5" s="555"/>
      <c r="AD5" s="555"/>
      <c r="AE5" s="555"/>
    </row>
    <row r="6" s="529" customFormat="1" ht="12.75" spans="1:31">
      <c r="A6" s="354"/>
      <c r="B6" s="539"/>
      <c r="C6" s="540">
        <v>240624000056</v>
      </c>
      <c r="D6" s="541">
        <v>45477</v>
      </c>
      <c r="E6" s="539" t="s">
        <v>40</v>
      </c>
      <c r="F6" s="539" t="s">
        <v>87</v>
      </c>
      <c r="G6" s="539">
        <v>0.509</v>
      </c>
      <c r="H6" s="542">
        <v>207</v>
      </c>
      <c r="I6" s="553">
        <v>1893.7</v>
      </c>
      <c r="J6" s="554"/>
      <c r="K6" s="545"/>
      <c r="L6" s="361"/>
      <c r="M6" s="545"/>
      <c r="N6" s="539"/>
      <c r="O6" s="543">
        <v>1893.7</v>
      </c>
      <c r="P6" s="555"/>
      <c r="Q6" s="555"/>
      <c r="R6" s="555"/>
      <c r="S6" s="555"/>
      <c r="T6" s="555"/>
      <c r="U6" s="549">
        <v>270</v>
      </c>
      <c r="V6" s="555"/>
      <c r="W6" s="556"/>
      <c r="X6" s="557"/>
      <c r="Y6" s="557"/>
      <c r="Z6" s="557"/>
      <c r="AA6" s="557"/>
      <c r="AB6" s="378"/>
      <c r="AC6" s="555"/>
      <c r="AD6" s="555"/>
      <c r="AE6" s="555"/>
    </row>
    <row r="7" s="529" customFormat="1" ht="12.75" spans="1:31">
      <c r="A7" s="354"/>
      <c r="B7" s="539"/>
      <c r="C7" s="540">
        <v>240626000044</v>
      </c>
      <c r="D7" s="541">
        <v>45477</v>
      </c>
      <c r="E7" s="539" t="s">
        <v>40</v>
      </c>
      <c r="F7" s="539" t="s">
        <v>62</v>
      </c>
      <c r="G7" s="539">
        <v>0.6356</v>
      </c>
      <c r="H7" s="542">
        <v>450</v>
      </c>
      <c r="I7" s="553">
        <v>1714.8</v>
      </c>
      <c r="J7" s="554"/>
      <c r="K7" s="545"/>
      <c r="L7" s="361"/>
      <c r="M7" s="545"/>
      <c r="N7" s="539"/>
      <c r="O7" s="543">
        <v>1714.8</v>
      </c>
      <c r="P7" s="555"/>
      <c r="Q7" s="555"/>
      <c r="R7" s="555"/>
      <c r="S7" s="555"/>
      <c r="T7" s="555"/>
      <c r="U7" s="547"/>
      <c r="V7" s="555"/>
      <c r="W7" s="556"/>
      <c r="X7" s="557"/>
      <c r="Y7" s="557"/>
      <c r="Z7" s="557"/>
      <c r="AA7" s="557"/>
      <c r="AB7" s="378"/>
      <c r="AC7" s="555"/>
      <c r="AD7" s="555"/>
      <c r="AE7" s="555"/>
    </row>
    <row r="8" s="529" customFormat="1" ht="12.75" spans="1:31">
      <c r="A8" s="354"/>
      <c r="B8" s="539"/>
      <c r="C8" s="540">
        <v>240628000020</v>
      </c>
      <c r="D8" s="541">
        <v>45477</v>
      </c>
      <c r="E8" s="539" t="s">
        <v>49</v>
      </c>
      <c r="F8" s="539" t="s">
        <v>84</v>
      </c>
      <c r="G8" s="539">
        <v>0.472</v>
      </c>
      <c r="H8" s="542">
        <v>420</v>
      </c>
      <c r="I8" s="543"/>
      <c r="J8" s="544">
        <v>439900</v>
      </c>
      <c r="K8" s="545"/>
      <c r="L8" s="361">
        <v>1705.03875968992</v>
      </c>
      <c r="M8" s="546">
        <v>258</v>
      </c>
      <c r="N8" s="539">
        <v>7.12</v>
      </c>
      <c r="O8" s="543">
        <v>1836.96</v>
      </c>
      <c r="P8" s="555"/>
      <c r="Q8" s="555"/>
      <c r="R8" s="555"/>
      <c r="S8" s="555"/>
      <c r="T8" s="555"/>
      <c r="U8" s="555"/>
      <c r="V8" s="555"/>
      <c r="W8" s="556"/>
      <c r="X8" s="557"/>
      <c r="Y8" s="557"/>
      <c r="Z8" s="557"/>
      <c r="AA8" s="557"/>
      <c r="AB8" s="378"/>
      <c r="AC8" s="555"/>
      <c r="AD8" s="555"/>
      <c r="AE8" s="555"/>
    </row>
    <row r="9" s="529" customFormat="1" ht="12.75" spans="1:31">
      <c r="A9" s="354"/>
      <c r="B9" s="539"/>
      <c r="C9" s="540">
        <v>240628000031</v>
      </c>
      <c r="D9" s="541">
        <v>45477</v>
      </c>
      <c r="E9" s="539" t="s">
        <v>42</v>
      </c>
      <c r="F9" s="539" t="s">
        <v>88</v>
      </c>
      <c r="G9" s="539">
        <v>1.7537</v>
      </c>
      <c r="H9" s="542">
        <v>2930</v>
      </c>
      <c r="I9" s="543"/>
      <c r="J9" s="544">
        <v>2405060</v>
      </c>
      <c r="K9" s="545"/>
      <c r="L9" s="361">
        <v>1640</v>
      </c>
      <c r="M9" s="546">
        <v>1466.5</v>
      </c>
      <c r="N9" s="539">
        <v>7.12</v>
      </c>
      <c r="O9" s="543">
        <v>10441.48</v>
      </c>
      <c r="P9" s="555"/>
      <c r="Q9" s="555"/>
      <c r="R9" s="555"/>
      <c r="S9" s="555"/>
      <c r="T9" s="555"/>
      <c r="U9" s="555"/>
      <c r="V9" s="555"/>
      <c r="W9" s="556"/>
      <c r="X9" s="557"/>
      <c r="Y9" s="557"/>
      <c r="Z9" s="557"/>
      <c r="AA9" s="557"/>
      <c r="AB9" s="378"/>
      <c r="AC9" s="555"/>
      <c r="AD9" s="555"/>
      <c r="AE9" s="555"/>
    </row>
    <row r="10" s="529" customFormat="1" ht="12.75" spans="1:31">
      <c r="A10" s="354"/>
      <c r="B10" s="539"/>
      <c r="C10" s="540">
        <v>240628000036</v>
      </c>
      <c r="D10" s="541">
        <v>45477</v>
      </c>
      <c r="E10" s="539" t="s">
        <v>42</v>
      </c>
      <c r="F10" s="539" t="s">
        <v>43</v>
      </c>
      <c r="G10" s="539">
        <v>0.6693</v>
      </c>
      <c r="H10" s="542">
        <v>116.5</v>
      </c>
      <c r="I10" s="553">
        <v>1662.94</v>
      </c>
      <c r="J10" s="554"/>
      <c r="K10" s="545"/>
      <c r="L10" s="361"/>
      <c r="M10" s="545"/>
      <c r="N10" s="539"/>
      <c r="O10" s="543">
        <v>1662.94</v>
      </c>
      <c r="P10" s="555"/>
      <c r="Q10" s="555"/>
      <c r="R10" s="555"/>
      <c r="S10" s="555"/>
      <c r="T10" s="555"/>
      <c r="U10" s="555"/>
      <c r="V10" s="555"/>
      <c r="W10" s="556"/>
      <c r="X10" s="557"/>
      <c r="Y10" s="558"/>
      <c r="Z10" s="557"/>
      <c r="AA10" s="557"/>
      <c r="AB10" s="378"/>
      <c r="AC10" s="555"/>
      <c r="AD10" s="555"/>
      <c r="AE10" s="555"/>
    </row>
    <row r="11" s="529" customFormat="1" ht="12.75" spans="1:31">
      <c r="A11" s="354"/>
      <c r="B11" s="539"/>
      <c r="C11" s="540">
        <v>240701000015</v>
      </c>
      <c r="D11" s="541">
        <v>45477</v>
      </c>
      <c r="E11" s="539" t="s">
        <v>52</v>
      </c>
      <c r="F11" s="539" t="s">
        <v>89</v>
      </c>
      <c r="G11" s="539">
        <v>0.3978</v>
      </c>
      <c r="H11" s="542">
        <v>49.5</v>
      </c>
      <c r="I11" s="553">
        <v>1385.08</v>
      </c>
      <c r="J11" s="554"/>
      <c r="K11" s="545"/>
      <c r="L11" s="361"/>
      <c r="M11" s="545"/>
      <c r="N11" s="539"/>
      <c r="O11" s="543">
        <v>1385.08</v>
      </c>
      <c r="P11" s="555"/>
      <c r="Q11" s="555"/>
      <c r="R11" s="555"/>
      <c r="S11" s="555"/>
      <c r="T11" s="555"/>
      <c r="U11" s="555"/>
      <c r="V11" s="555"/>
      <c r="W11" s="556"/>
      <c r="X11" s="557"/>
      <c r="Y11" s="552">
        <v>41.46</v>
      </c>
      <c r="Z11" s="557"/>
      <c r="AA11" s="557"/>
      <c r="AB11" s="378"/>
      <c r="AC11" s="555"/>
      <c r="AD11" s="555"/>
      <c r="AE11" s="555"/>
    </row>
    <row r="12" s="529" customFormat="1" ht="12.75" spans="1:31">
      <c r="A12" s="354"/>
      <c r="B12" s="539"/>
      <c r="C12" s="540">
        <v>240701000020</v>
      </c>
      <c r="D12" s="541">
        <v>45477</v>
      </c>
      <c r="E12" s="539" t="s">
        <v>52</v>
      </c>
      <c r="F12" s="539" t="s">
        <v>90</v>
      </c>
      <c r="G12" s="539">
        <v>0.5519</v>
      </c>
      <c r="H12" s="542">
        <v>82</v>
      </c>
      <c r="I12" s="553">
        <v>1460.33</v>
      </c>
      <c r="J12" s="554"/>
      <c r="K12" s="545"/>
      <c r="L12" s="361"/>
      <c r="M12" s="545"/>
      <c r="N12" s="539"/>
      <c r="O12" s="543">
        <v>1460.33</v>
      </c>
      <c r="P12" s="555"/>
      <c r="Q12" s="555"/>
      <c r="R12" s="555"/>
      <c r="S12" s="555"/>
      <c r="T12" s="555"/>
      <c r="U12" s="559"/>
      <c r="V12" s="555"/>
      <c r="W12" s="556"/>
      <c r="X12" s="557"/>
      <c r="Y12" s="551"/>
      <c r="Z12" s="557"/>
      <c r="AA12" s="557"/>
      <c r="AB12" s="378"/>
      <c r="AC12" s="555"/>
      <c r="AD12" s="555"/>
      <c r="AE12" s="555"/>
    </row>
    <row r="13" s="529" customFormat="1" ht="12.75" spans="1:31">
      <c r="A13" s="354"/>
      <c r="B13" s="539"/>
      <c r="C13" s="540">
        <v>240701000054</v>
      </c>
      <c r="D13" s="541">
        <v>45477</v>
      </c>
      <c r="E13" s="539" t="s">
        <v>91</v>
      </c>
      <c r="F13" s="539" t="s">
        <v>92</v>
      </c>
      <c r="G13" s="539">
        <v>2.5358</v>
      </c>
      <c r="H13" s="542">
        <v>1140</v>
      </c>
      <c r="I13" s="543"/>
      <c r="J13" s="544">
        <v>1490760</v>
      </c>
      <c r="K13" s="545"/>
      <c r="L13" s="361">
        <v>1639.99909791029</v>
      </c>
      <c r="M13" s="546">
        <v>909.0005</v>
      </c>
      <c r="N13" s="539">
        <v>7.12</v>
      </c>
      <c r="O13" s="543">
        <v>6472.08356</v>
      </c>
      <c r="P13" s="555"/>
      <c r="Q13" s="555"/>
      <c r="R13" s="555"/>
      <c r="S13" s="555"/>
      <c r="T13" s="555"/>
      <c r="U13" s="549">
        <v>120</v>
      </c>
      <c r="V13" s="559"/>
      <c r="W13" s="556"/>
      <c r="X13" s="557"/>
      <c r="Y13" s="557"/>
      <c r="Z13" s="557"/>
      <c r="AA13" s="557"/>
      <c r="AB13" s="378"/>
      <c r="AC13" s="555"/>
      <c r="AD13" s="555"/>
      <c r="AE13" s="555"/>
    </row>
    <row r="14" s="529" customFormat="1" ht="12.75" spans="1:31">
      <c r="A14" s="354"/>
      <c r="B14" s="539"/>
      <c r="C14" s="540">
        <v>240702000007</v>
      </c>
      <c r="D14" s="541">
        <v>45477</v>
      </c>
      <c r="E14" s="539" t="s">
        <v>42</v>
      </c>
      <c r="F14" s="539" t="s">
        <v>43</v>
      </c>
      <c r="G14" s="539">
        <v>0.8928</v>
      </c>
      <c r="H14" s="542">
        <v>218</v>
      </c>
      <c r="I14" s="553">
        <v>2361.55</v>
      </c>
      <c r="J14" s="554"/>
      <c r="K14" s="545"/>
      <c r="L14" s="361"/>
      <c r="M14" s="545"/>
      <c r="N14" s="539"/>
      <c r="O14" s="543">
        <v>2361.55</v>
      </c>
      <c r="P14" s="555"/>
      <c r="Q14" s="555"/>
      <c r="R14" s="555"/>
      <c r="S14" s="559"/>
      <c r="T14" s="555"/>
      <c r="U14" s="547"/>
      <c r="V14" s="549">
        <v>292</v>
      </c>
      <c r="W14" s="556"/>
      <c r="X14" s="557"/>
      <c r="Y14" s="557"/>
      <c r="Z14" s="557"/>
      <c r="AA14" s="557"/>
      <c r="AB14" s="378"/>
      <c r="AC14" s="555"/>
      <c r="AD14" s="555"/>
      <c r="AE14" s="555"/>
    </row>
    <row r="15" s="529" customFormat="1" ht="12.75" spans="1:31">
      <c r="A15" s="354"/>
      <c r="B15" s="539"/>
      <c r="C15" s="540">
        <v>240702000008</v>
      </c>
      <c r="D15" s="541">
        <v>45477</v>
      </c>
      <c r="E15" s="539" t="s">
        <v>42</v>
      </c>
      <c r="F15" s="539" t="s">
        <v>43</v>
      </c>
      <c r="G15" s="560">
        <v>2.232</v>
      </c>
      <c r="H15" s="542">
        <v>1028</v>
      </c>
      <c r="I15" s="553">
        <v>6070.88</v>
      </c>
      <c r="J15" s="554"/>
      <c r="K15" s="545"/>
      <c r="L15" s="361"/>
      <c r="M15" s="545"/>
      <c r="N15" s="539"/>
      <c r="O15" s="543">
        <v>6070.88</v>
      </c>
      <c r="P15" s="555"/>
      <c r="Q15" s="555"/>
      <c r="R15" s="555"/>
      <c r="S15" s="549">
        <v>215</v>
      </c>
      <c r="T15" s="555"/>
      <c r="U15" s="555"/>
      <c r="V15" s="549">
        <v>420</v>
      </c>
      <c r="W15" s="556"/>
      <c r="X15" s="557"/>
      <c r="Y15" s="557"/>
      <c r="Z15" s="557"/>
      <c r="AA15" s="557"/>
      <c r="AB15" s="378"/>
      <c r="AC15" s="555"/>
      <c r="AD15" s="555"/>
      <c r="AE15" s="555"/>
    </row>
    <row r="16" s="529" customFormat="1" ht="12.75" spans="1:31">
      <c r="A16" s="354"/>
      <c r="B16" s="539"/>
      <c r="C16" s="540">
        <v>240702000009</v>
      </c>
      <c r="D16" s="541">
        <v>45477</v>
      </c>
      <c r="E16" s="539" t="s">
        <v>42</v>
      </c>
      <c r="F16" s="539" t="s">
        <v>43</v>
      </c>
      <c r="G16" s="539">
        <v>5.8065</v>
      </c>
      <c r="H16" s="542">
        <v>650</v>
      </c>
      <c r="I16" s="553">
        <v>13360.1</v>
      </c>
      <c r="J16" s="554"/>
      <c r="K16" s="545"/>
      <c r="L16" s="361"/>
      <c r="M16" s="545"/>
      <c r="N16" s="539"/>
      <c r="O16" s="543">
        <v>13360.1</v>
      </c>
      <c r="P16" s="555"/>
      <c r="Q16" s="555"/>
      <c r="R16" s="555"/>
      <c r="S16" s="547"/>
      <c r="T16" s="555"/>
      <c r="U16" s="555"/>
      <c r="V16" s="547"/>
      <c r="W16" s="556"/>
      <c r="X16" s="557"/>
      <c r="Y16" s="557"/>
      <c r="Z16" s="557"/>
      <c r="AA16" s="557"/>
      <c r="AB16" s="378"/>
      <c r="AC16" s="555"/>
      <c r="AD16" s="555"/>
      <c r="AE16" s="555"/>
    </row>
    <row r="17" s="529" customFormat="1" ht="12.75" spans="1:31">
      <c r="A17" s="354"/>
      <c r="B17" s="539"/>
      <c r="C17" s="540">
        <v>240703000022</v>
      </c>
      <c r="D17" s="541">
        <v>45477</v>
      </c>
      <c r="E17" s="539" t="s">
        <v>42</v>
      </c>
      <c r="F17" s="539" t="s">
        <v>55</v>
      </c>
      <c r="G17" s="539">
        <v>2.6714</v>
      </c>
      <c r="H17" s="542">
        <v>1555</v>
      </c>
      <c r="I17" s="553">
        <v>7525.12</v>
      </c>
      <c r="J17" s="554"/>
      <c r="K17" s="545"/>
      <c r="L17" s="361"/>
      <c r="M17" s="545"/>
      <c r="N17" s="539"/>
      <c r="O17" s="543">
        <v>7525.12</v>
      </c>
      <c r="P17" s="555"/>
      <c r="Q17" s="555"/>
      <c r="R17" s="555"/>
      <c r="S17" s="555"/>
      <c r="T17" s="555"/>
      <c r="U17" s="555"/>
      <c r="V17" s="555"/>
      <c r="W17" s="556"/>
      <c r="X17" s="557"/>
      <c r="Y17" s="557"/>
      <c r="Z17" s="557"/>
      <c r="AA17" s="557"/>
      <c r="AB17" s="378"/>
      <c r="AC17" s="555"/>
      <c r="AD17" s="555"/>
      <c r="AE17" s="555"/>
    </row>
    <row r="18" s="529" customFormat="1" ht="12.75" spans="1:31">
      <c r="A18" s="354"/>
      <c r="B18" s="539"/>
      <c r="C18" s="540">
        <v>240703000028</v>
      </c>
      <c r="D18" s="541">
        <v>45477</v>
      </c>
      <c r="E18" s="539" t="s">
        <v>40</v>
      </c>
      <c r="F18" s="539" t="s">
        <v>93</v>
      </c>
      <c r="G18" s="539">
        <v>0.9089</v>
      </c>
      <c r="H18" s="542">
        <v>232</v>
      </c>
      <c r="I18" s="553">
        <v>3294.7</v>
      </c>
      <c r="J18" s="554"/>
      <c r="K18" s="545"/>
      <c r="L18" s="361"/>
      <c r="M18" s="545"/>
      <c r="N18" s="539"/>
      <c r="O18" s="543">
        <v>3294.7</v>
      </c>
      <c r="P18" s="555"/>
      <c r="Q18" s="555"/>
      <c r="R18" s="555"/>
      <c r="S18" s="555"/>
      <c r="T18" s="555"/>
      <c r="U18" s="555"/>
      <c r="V18" s="555"/>
      <c r="W18" s="556"/>
      <c r="X18" s="557"/>
      <c r="Y18" s="557"/>
      <c r="Z18" s="557"/>
      <c r="AA18" s="557"/>
      <c r="AB18" s="378"/>
      <c r="AC18" s="555"/>
      <c r="AD18" s="555"/>
      <c r="AE18" s="555"/>
    </row>
    <row r="19" s="529" customFormat="1" ht="12.75" spans="1:31">
      <c r="A19" s="354"/>
      <c r="B19" s="539"/>
      <c r="C19" s="540">
        <v>240703000030</v>
      </c>
      <c r="D19" s="541">
        <v>45477</v>
      </c>
      <c r="E19" s="539" t="s">
        <v>40</v>
      </c>
      <c r="F19" s="539" t="s">
        <v>62</v>
      </c>
      <c r="G19" s="539">
        <v>1.1081</v>
      </c>
      <c r="H19" s="542">
        <v>861</v>
      </c>
      <c r="I19" s="553">
        <v>2989.7</v>
      </c>
      <c r="J19" s="554"/>
      <c r="K19" s="545"/>
      <c r="L19" s="361"/>
      <c r="M19" s="545"/>
      <c r="N19" s="539"/>
      <c r="O19" s="543">
        <v>2989.7</v>
      </c>
      <c r="P19" s="559"/>
      <c r="Q19" s="559"/>
      <c r="R19" s="559"/>
      <c r="S19" s="555"/>
      <c r="T19" s="559"/>
      <c r="U19" s="555"/>
      <c r="V19" s="555"/>
      <c r="W19" s="561"/>
      <c r="X19" s="558"/>
      <c r="Y19" s="557"/>
      <c r="Z19" s="558"/>
      <c r="AA19" s="558"/>
      <c r="AB19" s="380"/>
      <c r="AC19" s="559"/>
      <c r="AD19" s="559"/>
      <c r="AE19" s="559"/>
    </row>
    <row r="20" s="529" customFormat="1" ht="12.75" spans="1:31">
      <c r="A20" s="354"/>
      <c r="B20" s="539"/>
      <c r="C20" s="540">
        <v>240704000029</v>
      </c>
      <c r="D20" s="541">
        <v>45482</v>
      </c>
      <c r="E20" s="539" t="s">
        <v>40</v>
      </c>
      <c r="F20" s="539" t="s">
        <v>60</v>
      </c>
      <c r="G20" s="539">
        <v>0.7168</v>
      </c>
      <c r="H20" s="542">
        <v>230</v>
      </c>
      <c r="I20" s="553">
        <v>1792</v>
      </c>
      <c r="J20" s="554"/>
      <c r="K20" s="545"/>
      <c r="L20" s="361"/>
      <c r="M20" s="545"/>
      <c r="N20" s="539"/>
      <c r="O20" s="543">
        <v>1792</v>
      </c>
      <c r="P20" s="555"/>
      <c r="Q20" s="555"/>
      <c r="R20" s="555"/>
      <c r="S20" s="555"/>
      <c r="T20" s="555"/>
      <c r="U20" s="547"/>
      <c r="V20" s="547"/>
      <c r="W20" s="556"/>
      <c r="X20" s="557"/>
      <c r="Y20" s="551"/>
      <c r="Z20" s="557"/>
      <c r="AA20" s="557"/>
      <c r="AB20" s="378"/>
      <c r="AC20" s="555"/>
      <c r="AD20" s="555"/>
      <c r="AE20" s="555"/>
    </row>
    <row r="21" s="529" customFormat="1" ht="12.75" spans="1:31">
      <c r="A21" s="354"/>
      <c r="B21" s="539"/>
      <c r="C21" s="540">
        <v>240607000053</v>
      </c>
      <c r="D21" s="541">
        <v>45478</v>
      </c>
      <c r="E21" s="539" t="s">
        <v>52</v>
      </c>
      <c r="F21" s="539" t="s">
        <v>94</v>
      </c>
      <c r="G21" s="539">
        <v>1.3088</v>
      </c>
      <c r="H21" s="542">
        <v>352</v>
      </c>
      <c r="I21" s="553">
        <v>3425</v>
      </c>
      <c r="J21" s="554"/>
      <c r="K21" s="545"/>
      <c r="L21" s="361"/>
      <c r="M21" s="545"/>
      <c r="N21" s="539"/>
      <c r="O21" s="543">
        <v>3425</v>
      </c>
      <c r="P21" s="547"/>
      <c r="Q21" s="547"/>
      <c r="R21" s="547"/>
      <c r="S21" s="547"/>
      <c r="T21" s="547"/>
      <c r="U21" s="549"/>
      <c r="V21" s="547"/>
      <c r="W21" s="550"/>
      <c r="X21" s="551"/>
      <c r="Y21" s="551"/>
      <c r="Z21" s="551"/>
      <c r="AA21" s="551"/>
      <c r="AB21" s="374"/>
      <c r="AC21" s="547"/>
      <c r="AD21" s="547"/>
      <c r="AE21" s="547"/>
    </row>
    <row r="22" s="529" customFormat="1" ht="12.75" spans="1:31">
      <c r="A22" s="354"/>
      <c r="B22" s="539"/>
      <c r="C22" s="540">
        <v>240617000035</v>
      </c>
      <c r="D22" s="541">
        <v>45490</v>
      </c>
      <c r="E22" s="539" t="s">
        <v>49</v>
      </c>
      <c r="F22" s="539" t="s">
        <v>95</v>
      </c>
      <c r="G22" s="539">
        <v>0.0887</v>
      </c>
      <c r="H22" s="542">
        <v>106</v>
      </c>
      <c r="I22" s="553">
        <v>332</v>
      </c>
      <c r="J22" s="554"/>
      <c r="K22" s="545"/>
      <c r="L22" s="361"/>
      <c r="M22" s="545"/>
      <c r="N22" s="539"/>
      <c r="O22" s="543">
        <v>332</v>
      </c>
      <c r="P22" s="547"/>
      <c r="Q22" s="547"/>
      <c r="R22" s="547"/>
      <c r="S22" s="547"/>
      <c r="T22" s="547"/>
      <c r="U22" s="547"/>
      <c r="V22" s="549"/>
      <c r="W22" s="550"/>
      <c r="X22" s="551"/>
      <c r="Y22" s="552"/>
      <c r="Z22" s="551"/>
      <c r="AA22" s="551"/>
      <c r="AB22" s="374"/>
      <c r="AC22" s="547"/>
      <c r="AD22" s="547"/>
      <c r="AE22" s="547"/>
    </row>
    <row r="23" s="529" customFormat="1" ht="12.75" spans="1:31">
      <c r="A23" s="354"/>
      <c r="B23" s="539"/>
      <c r="C23" s="540">
        <v>240703000031</v>
      </c>
      <c r="D23" s="541">
        <v>45478</v>
      </c>
      <c r="E23" s="539" t="s">
        <v>40</v>
      </c>
      <c r="F23" s="539" t="s">
        <v>59</v>
      </c>
      <c r="G23" s="539">
        <v>36.23</v>
      </c>
      <c r="H23" s="542">
        <v>4650</v>
      </c>
      <c r="I23" s="553">
        <v>63805.02</v>
      </c>
      <c r="J23" s="554"/>
      <c r="K23" s="545"/>
      <c r="L23" s="361"/>
      <c r="M23" s="546"/>
      <c r="N23" s="539"/>
      <c r="O23" s="543">
        <v>63805.02</v>
      </c>
      <c r="P23" s="555"/>
      <c r="Q23" s="555"/>
      <c r="R23" s="555"/>
      <c r="S23" s="555"/>
      <c r="T23" s="555"/>
      <c r="U23" s="555"/>
      <c r="V23" s="555"/>
      <c r="W23" s="556"/>
      <c r="X23" s="557"/>
      <c r="Y23" s="557"/>
      <c r="Z23" s="557"/>
      <c r="AA23" s="557"/>
      <c r="AB23" s="378"/>
      <c r="AC23" s="555"/>
      <c r="AD23" s="555"/>
      <c r="AE23" s="555"/>
    </row>
    <row r="24" s="529" customFormat="1" ht="12.75" spans="1:31">
      <c r="A24" s="354"/>
      <c r="B24" s="539"/>
      <c r="C24" s="540">
        <v>240704000018</v>
      </c>
      <c r="D24" s="541">
        <v>45477</v>
      </c>
      <c r="E24" s="539" t="s">
        <v>40</v>
      </c>
      <c r="F24" s="539" t="s">
        <v>41</v>
      </c>
      <c r="G24" s="539">
        <v>0.0287</v>
      </c>
      <c r="H24" s="542">
        <v>25</v>
      </c>
      <c r="I24" s="553">
        <v>106</v>
      </c>
      <c r="J24" s="554"/>
      <c r="K24" s="545"/>
      <c r="L24" s="361"/>
      <c r="M24" s="545"/>
      <c r="N24" s="539"/>
      <c r="O24" s="543">
        <v>106</v>
      </c>
      <c r="P24" s="559"/>
      <c r="Q24" s="559"/>
      <c r="R24" s="559"/>
      <c r="S24" s="559"/>
      <c r="T24" s="559"/>
      <c r="U24" s="559"/>
      <c r="V24" s="559"/>
      <c r="W24" s="561"/>
      <c r="X24" s="558"/>
      <c r="Y24" s="558"/>
      <c r="Z24" s="558"/>
      <c r="AA24" s="558"/>
      <c r="AB24" s="380"/>
      <c r="AC24" s="559"/>
      <c r="AD24" s="559"/>
      <c r="AE24" s="559"/>
    </row>
    <row r="25" s="529" customFormat="1" ht="12.75" spans="1:31">
      <c r="A25" s="354" t="s">
        <v>96</v>
      </c>
      <c r="B25" s="539" t="s">
        <v>97</v>
      </c>
      <c r="C25" s="540">
        <v>240607000053</v>
      </c>
      <c r="D25" s="541">
        <v>45478</v>
      </c>
      <c r="E25" s="539" t="s">
        <v>52</v>
      </c>
      <c r="F25" s="539" t="s">
        <v>94</v>
      </c>
      <c r="G25" s="539">
        <v>1.3459</v>
      </c>
      <c r="H25" s="539">
        <v>622</v>
      </c>
      <c r="I25" s="553">
        <v>3524.24</v>
      </c>
      <c r="J25" s="554"/>
      <c r="K25" s="545"/>
      <c r="L25" s="361"/>
      <c r="M25" s="545"/>
      <c r="N25" s="539"/>
      <c r="O25" s="543">
        <v>3524.24</v>
      </c>
      <c r="P25" s="547">
        <v>156852.59</v>
      </c>
      <c r="Q25" s="548" t="s">
        <v>98</v>
      </c>
      <c r="R25" s="547">
        <v>60977</v>
      </c>
      <c r="S25" s="547">
        <v>125.62</v>
      </c>
      <c r="T25" s="547">
        <v>1150</v>
      </c>
      <c r="U25" s="549">
        <v>120</v>
      </c>
      <c r="V25" s="547"/>
      <c r="W25" s="550">
        <v>62492.62</v>
      </c>
      <c r="X25" s="551">
        <v>10579.27</v>
      </c>
      <c r="Y25" s="551"/>
      <c r="Z25" s="551">
        <v>57.93</v>
      </c>
      <c r="AA25" s="551">
        <v>10637.2</v>
      </c>
      <c r="AB25" s="374">
        <v>7.1</v>
      </c>
      <c r="AC25" s="547">
        <v>75524.12</v>
      </c>
      <c r="AD25" s="547">
        <v>138016.74</v>
      </c>
      <c r="AE25" s="547">
        <v>18835.85</v>
      </c>
    </row>
    <row r="26" s="529" customFormat="1" ht="12.75" spans="1:31">
      <c r="A26" s="354"/>
      <c r="B26" s="539"/>
      <c r="C26" s="540">
        <v>240624000036</v>
      </c>
      <c r="D26" s="541">
        <v>45478</v>
      </c>
      <c r="E26" s="539" t="s">
        <v>49</v>
      </c>
      <c r="F26" s="539" t="s">
        <v>86</v>
      </c>
      <c r="G26" s="539">
        <v>1.1026</v>
      </c>
      <c r="H26" s="539">
        <v>1089</v>
      </c>
      <c r="I26" s="553">
        <v>2892</v>
      </c>
      <c r="J26" s="554"/>
      <c r="K26" s="545"/>
      <c r="L26" s="361"/>
      <c r="M26" s="545"/>
      <c r="N26" s="539"/>
      <c r="O26" s="543">
        <v>2892</v>
      </c>
      <c r="P26" s="555"/>
      <c r="Q26" s="555"/>
      <c r="R26" s="555"/>
      <c r="S26" s="555"/>
      <c r="T26" s="555"/>
      <c r="U26" s="549">
        <v>120</v>
      </c>
      <c r="V26" s="555"/>
      <c r="W26" s="556"/>
      <c r="X26" s="557"/>
      <c r="Y26" s="557"/>
      <c r="Z26" s="557"/>
      <c r="AA26" s="557"/>
      <c r="AB26" s="378"/>
      <c r="AC26" s="555"/>
      <c r="AD26" s="555"/>
      <c r="AE26" s="555"/>
    </row>
    <row r="27" s="529" customFormat="1" ht="12.75" spans="1:31">
      <c r="A27" s="354"/>
      <c r="B27" s="539"/>
      <c r="C27" s="540">
        <v>240624000037</v>
      </c>
      <c r="D27" s="541">
        <v>45478</v>
      </c>
      <c r="E27" s="539" t="s">
        <v>49</v>
      </c>
      <c r="F27" s="539" t="s">
        <v>86</v>
      </c>
      <c r="G27" s="539">
        <v>14.6754</v>
      </c>
      <c r="H27" s="539">
        <v>11776.5</v>
      </c>
      <c r="I27" s="553">
        <v>43280</v>
      </c>
      <c r="J27" s="554"/>
      <c r="K27" s="545"/>
      <c r="L27" s="361"/>
      <c r="M27" s="545"/>
      <c r="N27" s="539"/>
      <c r="O27" s="543">
        <v>43280</v>
      </c>
      <c r="P27" s="555"/>
      <c r="Q27" s="555"/>
      <c r="R27" s="555"/>
      <c r="S27" s="555"/>
      <c r="T27" s="555"/>
      <c r="U27" s="547"/>
      <c r="V27" s="555"/>
      <c r="W27" s="556"/>
      <c r="X27" s="557"/>
      <c r="Y27" s="557"/>
      <c r="Z27" s="557"/>
      <c r="AA27" s="557"/>
      <c r="AB27" s="378"/>
      <c r="AC27" s="555"/>
      <c r="AD27" s="555"/>
      <c r="AE27" s="555"/>
    </row>
    <row r="28" s="529" customFormat="1" ht="12.75" spans="1:31">
      <c r="A28" s="354"/>
      <c r="B28" s="539"/>
      <c r="C28" s="540">
        <v>240704000029</v>
      </c>
      <c r="D28" s="541">
        <v>45482</v>
      </c>
      <c r="E28" s="539" t="s">
        <v>40</v>
      </c>
      <c r="F28" s="539" t="s">
        <v>60</v>
      </c>
      <c r="G28" s="539">
        <v>13.9646</v>
      </c>
      <c r="H28" s="539">
        <v>3568</v>
      </c>
      <c r="I28" s="553">
        <v>34908</v>
      </c>
      <c r="J28" s="554"/>
      <c r="K28" s="545"/>
      <c r="L28" s="361"/>
      <c r="M28" s="545"/>
      <c r="N28" s="539"/>
      <c r="O28" s="543">
        <v>34908</v>
      </c>
      <c r="P28" s="555"/>
      <c r="Q28" s="555"/>
      <c r="R28" s="555"/>
      <c r="S28" s="555"/>
      <c r="T28" s="555"/>
      <c r="U28" s="547"/>
      <c r="V28" s="547"/>
      <c r="W28" s="556"/>
      <c r="X28" s="557"/>
      <c r="Y28" s="557"/>
      <c r="Z28" s="557"/>
      <c r="AA28" s="557"/>
      <c r="AB28" s="378"/>
      <c r="AC28" s="555"/>
      <c r="AD28" s="555"/>
      <c r="AE28" s="555"/>
    </row>
    <row r="29" s="529" customFormat="1" ht="12.75" spans="1:31">
      <c r="A29" s="354"/>
      <c r="B29" s="539"/>
      <c r="C29" s="540">
        <v>240617000035</v>
      </c>
      <c r="D29" s="541">
        <v>45490</v>
      </c>
      <c r="E29" s="539" t="s">
        <v>49</v>
      </c>
      <c r="F29" s="539" t="s">
        <v>95</v>
      </c>
      <c r="G29" s="539">
        <v>1.6952</v>
      </c>
      <c r="H29" s="539">
        <v>322.7</v>
      </c>
      <c r="I29" s="553">
        <v>6330</v>
      </c>
      <c r="J29" s="554"/>
      <c r="K29" s="545"/>
      <c r="L29" s="361"/>
      <c r="M29" s="545"/>
      <c r="N29" s="539"/>
      <c r="O29" s="543">
        <v>6330</v>
      </c>
      <c r="P29" s="547"/>
      <c r="Q29" s="547"/>
      <c r="R29" s="547"/>
      <c r="S29" s="547"/>
      <c r="T29" s="547"/>
      <c r="U29" s="547"/>
      <c r="V29" s="549"/>
      <c r="W29" s="550"/>
      <c r="X29" s="551"/>
      <c r="Y29" s="558"/>
      <c r="Z29" s="551"/>
      <c r="AA29" s="551"/>
      <c r="AB29" s="374"/>
      <c r="AC29" s="547"/>
      <c r="AD29" s="547"/>
      <c r="AE29" s="547"/>
    </row>
    <row r="30" s="529" customFormat="1" ht="12.75" spans="1:31">
      <c r="A30" s="354"/>
      <c r="B30" s="539"/>
      <c r="C30" s="540">
        <v>240703000031</v>
      </c>
      <c r="D30" s="541">
        <v>45478</v>
      </c>
      <c r="E30" s="539" t="s">
        <v>40</v>
      </c>
      <c r="F30" s="539" t="s">
        <v>59</v>
      </c>
      <c r="G30" s="539">
        <v>7.89</v>
      </c>
      <c r="H30" s="539">
        <v>615</v>
      </c>
      <c r="I30" s="553">
        <v>13912.77</v>
      </c>
      <c r="J30" s="554"/>
      <c r="K30" s="545"/>
      <c r="L30" s="361"/>
      <c r="M30" s="546"/>
      <c r="N30" s="539"/>
      <c r="O30" s="543">
        <v>13912.77</v>
      </c>
      <c r="P30" s="555"/>
      <c r="Q30" s="555"/>
      <c r="R30" s="555"/>
      <c r="S30" s="555"/>
      <c r="T30" s="555"/>
      <c r="U30" s="555"/>
      <c r="V30" s="555"/>
      <c r="W30" s="556"/>
      <c r="X30" s="557"/>
      <c r="Y30" s="552"/>
      <c r="Z30" s="557"/>
      <c r="AA30" s="557"/>
      <c r="AB30" s="378"/>
      <c r="AC30" s="555"/>
      <c r="AD30" s="555"/>
      <c r="AE30" s="555"/>
    </row>
    <row r="31" s="529" customFormat="1" ht="12.75" spans="1:31">
      <c r="A31" s="354"/>
      <c r="B31" s="539"/>
      <c r="C31" s="540">
        <v>240705000003</v>
      </c>
      <c r="D31" s="541">
        <v>45478</v>
      </c>
      <c r="E31" s="539" t="s">
        <v>40</v>
      </c>
      <c r="F31" s="539" t="s">
        <v>59</v>
      </c>
      <c r="G31" s="539">
        <v>29.53</v>
      </c>
      <c r="H31" s="539">
        <v>3724</v>
      </c>
      <c r="I31" s="553">
        <v>52005.58</v>
      </c>
      <c r="J31" s="554"/>
      <c r="K31" s="545"/>
      <c r="L31" s="361"/>
      <c r="M31" s="546"/>
      <c r="N31" s="539"/>
      <c r="O31" s="543">
        <v>52005.58</v>
      </c>
      <c r="P31" s="559"/>
      <c r="Q31" s="559"/>
      <c r="R31" s="559"/>
      <c r="S31" s="559"/>
      <c r="T31" s="559"/>
      <c r="U31" s="559"/>
      <c r="V31" s="559"/>
      <c r="W31" s="561"/>
      <c r="X31" s="558"/>
      <c r="Y31" s="552"/>
      <c r="Z31" s="558"/>
      <c r="AA31" s="558"/>
      <c r="AB31" s="380"/>
      <c r="AC31" s="559"/>
      <c r="AD31" s="559"/>
      <c r="AE31" s="559"/>
    </row>
    <row r="32" s="529" customFormat="1" ht="12.75" spans="1:31">
      <c r="A32" s="354" t="s">
        <v>99</v>
      </c>
      <c r="B32" s="539" t="s">
        <v>100</v>
      </c>
      <c r="C32" s="540">
        <v>240618000026</v>
      </c>
      <c r="D32" s="541">
        <v>45482</v>
      </c>
      <c r="E32" s="539" t="s">
        <v>40</v>
      </c>
      <c r="F32" s="539" t="s">
        <v>101</v>
      </c>
      <c r="G32" s="539">
        <v>9.004</v>
      </c>
      <c r="H32" s="539">
        <v>5844</v>
      </c>
      <c r="I32" s="553">
        <v>32609</v>
      </c>
      <c r="J32" s="554"/>
      <c r="K32" s="545"/>
      <c r="L32" s="361"/>
      <c r="M32" s="545"/>
      <c r="N32" s="539"/>
      <c r="O32" s="543">
        <v>32609</v>
      </c>
      <c r="P32" s="547">
        <v>184530.54</v>
      </c>
      <c r="Q32" s="548" t="s">
        <v>102</v>
      </c>
      <c r="R32" s="547">
        <v>61677</v>
      </c>
      <c r="S32" s="547"/>
      <c r="T32" s="547">
        <v>2200</v>
      </c>
      <c r="U32" s="549">
        <v>120</v>
      </c>
      <c r="V32" s="549">
        <v>1600</v>
      </c>
      <c r="W32" s="550">
        <v>65597</v>
      </c>
      <c r="X32" s="551">
        <v>10235.99</v>
      </c>
      <c r="Y32" s="552">
        <v>513.28</v>
      </c>
      <c r="Z32" s="551">
        <v>77.88</v>
      </c>
      <c r="AA32" s="551">
        <v>10827.15</v>
      </c>
      <c r="AB32" s="374">
        <v>7.12</v>
      </c>
      <c r="AC32" s="547">
        <v>77089.308</v>
      </c>
      <c r="AD32" s="547">
        <v>142686.308</v>
      </c>
      <c r="AE32" s="547">
        <v>41844.232</v>
      </c>
    </row>
    <row r="33" s="529" customFormat="1" ht="12.75" spans="1:31">
      <c r="A33" s="354"/>
      <c r="B33" s="539"/>
      <c r="C33" s="540">
        <v>240704000029</v>
      </c>
      <c r="D33" s="541">
        <v>45482</v>
      </c>
      <c r="E33" s="539" t="s">
        <v>40</v>
      </c>
      <c r="F33" s="539" t="s">
        <v>60</v>
      </c>
      <c r="G33" s="539">
        <v>14.9276</v>
      </c>
      <c r="H33" s="539">
        <v>11064</v>
      </c>
      <c r="I33" s="553">
        <v>37314.5</v>
      </c>
      <c r="J33" s="554"/>
      <c r="K33" s="545"/>
      <c r="L33" s="361"/>
      <c r="M33" s="545"/>
      <c r="N33" s="539"/>
      <c r="O33" s="543">
        <v>37314.5</v>
      </c>
      <c r="P33" s="555"/>
      <c r="Q33" s="555"/>
      <c r="R33" s="555"/>
      <c r="S33" s="555"/>
      <c r="T33" s="555"/>
      <c r="U33" s="547"/>
      <c r="V33" s="547"/>
      <c r="W33" s="556"/>
      <c r="X33" s="557"/>
      <c r="Y33" s="551"/>
      <c r="Z33" s="557"/>
      <c r="AA33" s="557"/>
      <c r="AB33" s="378"/>
      <c r="AC33" s="555"/>
      <c r="AD33" s="555"/>
      <c r="AE33" s="555"/>
    </row>
    <row r="34" s="529" customFormat="1" ht="12.75" spans="1:31">
      <c r="A34" s="354"/>
      <c r="B34" s="539"/>
      <c r="C34" s="540">
        <v>240617000035</v>
      </c>
      <c r="D34" s="541">
        <v>45490</v>
      </c>
      <c r="E34" s="539" t="s">
        <v>49</v>
      </c>
      <c r="F34" s="539" t="s">
        <v>95</v>
      </c>
      <c r="G34" s="539">
        <v>12.8123</v>
      </c>
      <c r="H34" s="539">
        <v>5331.1</v>
      </c>
      <c r="I34" s="553">
        <v>47840</v>
      </c>
      <c r="J34" s="554"/>
      <c r="K34" s="545"/>
      <c r="L34" s="361"/>
      <c r="M34" s="545"/>
      <c r="N34" s="539"/>
      <c r="O34" s="543">
        <v>47840</v>
      </c>
      <c r="P34" s="547"/>
      <c r="Q34" s="547"/>
      <c r="R34" s="547"/>
      <c r="S34" s="547"/>
      <c r="T34" s="547"/>
      <c r="U34" s="547"/>
      <c r="V34" s="549"/>
      <c r="W34" s="550"/>
      <c r="X34" s="551"/>
      <c r="Y34" s="557"/>
      <c r="Z34" s="551"/>
      <c r="AA34" s="551"/>
      <c r="AB34" s="374"/>
      <c r="AC34" s="547"/>
      <c r="AD34" s="547"/>
      <c r="AE34" s="547"/>
    </row>
    <row r="35" s="529" customFormat="1" ht="12.75" spans="1:31">
      <c r="A35" s="354"/>
      <c r="B35" s="539"/>
      <c r="C35" s="540">
        <v>240707000003</v>
      </c>
      <c r="D35" s="541">
        <v>45482</v>
      </c>
      <c r="E35" s="539" t="s">
        <v>40</v>
      </c>
      <c r="F35" s="539" t="s">
        <v>60</v>
      </c>
      <c r="G35" s="539">
        <v>0.1208</v>
      </c>
      <c r="H35" s="539">
        <v>69</v>
      </c>
      <c r="I35" s="553">
        <v>330.48</v>
      </c>
      <c r="J35" s="554"/>
      <c r="K35" s="545"/>
      <c r="L35" s="361"/>
      <c r="M35" s="545"/>
      <c r="N35" s="539"/>
      <c r="O35" s="543">
        <v>330.48</v>
      </c>
      <c r="P35" s="555"/>
      <c r="Q35" s="555"/>
      <c r="R35" s="555"/>
      <c r="S35" s="555"/>
      <c r="T35" s="555"/>
      <c r="U35" s="555"/>
      <c r="V35" s="555"/>
      <c r="W35" s="556"/>
      <c r="X35" s="557"/>
      <c r="Y35" s="557"/>
      <c r="Z35" s="557"/>
      <c r="AA35" s="557"/>
      <c r="AB35" s="378"/>
      <c r="AC35" s="555"/>
      <c r="AD35" s="555"/>
      <c r="AE35" s="555"/>
    </row>
    <row r="36" s="529" customFormat="1" ht="12.75" spans="1:31">
      <c r="A36" s="354"/>
      <c r="B36" s="539"/>
      <c r="C36" s="540">
        <v>240708000038</v>
      </c>
      <c r="D36" s="541">
        <v>45482</v>
      </c>
      <c r="E36" s="539" t="s">
        <v>103</v>
      </c>
      <c r="F36" s="539" t="s">
        <v>104</v>
      </c>
      <c r="G36" s="539">
        <v>1.6</v>
      </c>
      <c r="H36" s="539">
        <v>1009</v>
      </c>
      <c r="I36" s="553">
        <v>3916.8</v>
      </c>
      <c r="J36" s="554"/>
      <c r="K36" s="545"/>
      <c r="L36" s="361"/>
      <c r="M36" s="545"/>
      <c r="N36" s="539"/>
      <c r="O36" s="543">
        <v>3916.8</v>
      </c>
      <c r="P36" s="555"/>
      <c r="Q36" s="555"/>
      <c r="R36" s="555"/>
      <c r="S36" s="555"/>
      <c r="T36" s="555"/>
      <c r="U36" s="555"/>
      <c r="V36" s="555"/>
      <c r="W36" s="556"/>
      <c r="X36" s="557"/>
      <c r="Y36" s="558"/>
      <c r="Z36" s="557"/>
      <c r="AA36" s="557"/>
      <c r="AB36" s="378"/>
      <c r="AC36" s="555"/>
      <c r="AD36" s="555"/>
      <c r="AE36" s="555"/>
    </row>
    <row r="37" s="529" customFormat="1" ht="12.75" spans="1:31">
      <c r="A37" s="354"/>
      <c r="B37" s="539"/>
      <c r="C37" s="540">
        <v>240708000062</v>
      </c>
      <c r="D37" s="541">
        <v>45482</v>
      </c>
      <c r="E37" s="539" t="s">
        <v>40</v>
      </c>
      <c r="F37" s="539" t="s">
        <v>59</v>
      </c>
      <c r="G37" s="539">
        <v>35.79</v>
      </c>
      <c r="H37" s="539">
        <v>4290.5</v>
      </c>
      <c r="I37" s="553">
        <v>62519.76</v>
      </c>
      <c r="J37" s="554"/>
      <c r="K37" s="545"/>
      <c r="L37" s="361"/>
      <c r="M37" s="546"/>
      <c r="N37" s="539"/>
      <c r="O37" s="543">
        <v>62519.76</v>
      </c>
      <c r="P37" s="559"/>
      <c r="Q37" s="559"/>
      <c r="R37" s="559"/>
      <c r="S37" s="559"/>
      <c r="T37" s="559"/>
      <c r="U37" s="559"/>
      <c r="V37" s="559"/>
      <c r="W37" s="561"/>
      <c r="X37" s="558"/>
      <c r="Y37" s="552"/>
      <c r="Z37" s="558"/>
      <c r="AA37" s="558"/>
      <c r="AB37" s="380"/>
      <c r="AC37" s="559"/>
      <c r="AD37" s="559"/>
      <c r="AE37" s="559"/>
    </row>
    <row r="38" s="529" customFormat="1" ht="12.75" spans="1:31">
      <c r="A38" s="354" t="s">
        <v>105</v>
      </c>
      <c r="B38" s="539" t="s">
        <v>106</v>
      </c>
      <c r="C38" s="540">
        <v>240617000035</v>
      </c>
      <c r="D38" s="541">
        <v>45490</v>
      </c>
      <c r="E38" s="539" t="s">
        <v>49</v>
      </c>
      <c r="F38" s="539" t="s">
        <v>95</v>
      </c>
      <c r="G38" s="539">
        <v>4.9371</v>
      </c>
      <c r="H38" s="539">
        <v>11872</v>
      </c>
      <c r="I38" s="553">
        <v>18452</v>
      </c>
      <c r="J38" s="554"/>
      <c r="K38" s="545"/>
      <c r="L38" s="361"/>
      <c r="M38" s="545"/>
      <c r="N38" s="539"/>
      <c r="O38" s="543">
        <v>18452</v>
      </c>
      <c r="P38" s="547">
        <v>164523.199839</v>
      </c>
      <c r="Q38" s="548" t="s">
        <v>107</v>
      </c>
      <c r="R38" s="547">
        <v>62477</v>
      </c>
      <c r="S38" s="549">
        <v>770</v>
      </c>
      <c r="T38" s="547">
        <v>2400</v>
      </c>
      <c r="U38" s="547"/>
      <c r="V38" s="549">
        <v>2630</v>
      </c>
      <c r="W38" s="550">
        <v>68477</v>
      </c>
      <c r="X38" s="551">
        <v>10235.99</v>
      </c>
      <c r="Y38" s="552">
        <v>471.98</v>
      </c>
      <c r="Z38" s="551">
        <v>35.4</v>
      </c>
      <c r="AA38" s="551">
        <v>10802.37</v>
      </c>
      <c r="AB38" s="374">
        <v>7.26</v>
      </c>
      <c r="AC38" s="547">
        <v>78425.2062</v>
      </c>
      <c r="AD38" s="547">
        <v>146902.2062</v>
      </c>
      <c r="AE38" s="547">
        <v>17620.993639</v>
      </c>
    </row>
    <row r="39" s="529" customFormat="1" ht="12.75" spans="1:31">
      <c r="A39" s="354"/>
      <c r="B39" s="539"/>
      <c r="C39" s="540">
        <v>240702000004</v>
      </c>
      <c r="D39" s="541">
        <v>45490</v>
      </c>
      <c r="E39" s="539" t="s">
        <v>49</v>
      </c>
      <c r="F39" s="539" t="s">
        <v>108</v>
      </c>
      <c r="G39" s="539">
        <v>1.9054</v>
      </c>
      <c r="H39" s="539">
        <v>586.7</v>
      </c>
      <c r="I39" s="553">
        <v>7303</v>
      </c>
      <c r="J39" s="554"/>
      <c r="K39" s="545"/>
      <c r="L39" s="361"/>
      <c r="M39" s="545"/>
      <c r="N39" s="539"/>
      <c r="O39" s="543">
        <v>7303</v>
      </c>
      <c r="P39" s="555"/>
      <c r="Q39" s="555"/>
      <c r="R39" s="555"/>
      <c r="S39" s="547"/>
      <c r="T39" s="555"/>
      <c r="U39" s="555"/>
      <c r="V39" s="547"/>
      <c r="W39" s="556"/>
      <c r="X39" s="557"/>
      <c r="Y39" s="551"/>
      <c r="Z39" s="557"/>
      <c r="AA39" s="557"/>
      <c r="AB39" s="378"/>
      <c r="AC39" s="555"/>
      <c r="AD39" s="555"/>
      <c r="AE39" s="555"/>
    </row>
    <row r="40" s="529" customFormat="1" ht="12.75" spans="1:31">
      <c r="A40" s="354"/>
      <c r="B40" s="539"/>
      <c r="C40" s="540">
        <v>240702000027</v>
      </c>
      <c r="D40" s="541">
        <v>45490</v>
      </c>
      <c r="E40" s="539" t="s">
        <v>40</v>
      </c>
      <c r="F40" s="539" t="s">
        <v>109</v>
      </c>
      <c r="G40" s="539">
        <v>0.9364</v>
      </c>
      <c r="H40" s="539">
        <v>230</v>
      </c>
      <c r="I40" s="543"/>
      <c r="J40" s="544">
        <v>539654</v>
      </c>
      <c r="K40" s="545"/>
      <c r="L40" s="361">
        <v>1694.99968590992</v>
      </c>
      <c r="M40" s="546">
        <v>318.38</v>
      </c>
      <c r="N40" s="539">
        <v>7.08</v>
      </c>
      <c r="O40" s="543">
        <v>2254.1304</v>
      </c>
      <c r="P40" s="555"/>
      <c r="Q40" s="555"/>
      <c r="R40" s="555"/>
      <c r="S40" s="555"/>
      <c r="T40" s="555"/>
      <c r="U40" s="555"/>
      <c r="V40" s="555"/>
      <c r="W40" s="556"/>
      <c r="X40" s="557"/>
      <c r="Y40" s="558"/>
      <c r="Z40" s="557"/>
      <c r="AA40" s="557"/>
      <c r="AB40" s="378"/>
      <c r="AC40" s="555"/>
      <c r="AD40" s="555"/>
      <c r="AE40" s="555"/>
    </row>
    <row r="41" s="529" customFormat="1" ht="12.75" spans="1:31">
      <c r="A41" s="354"/>
      <c r="B41" s="539"/>
      <c r="C41" s="540">
        <v>240708000040</v>
      </c>
      <c r="D41" s="541">
        <v>45490</v>
      </c>
      <c r="E41" s="539" t="s">
        <v>52</v>
      </c>
      <c r="F41" s="539" t="s">
        <v>110</v>
      </c>
      <c r="G41" s="539">
        <v>0.6334</v>
      </c>
      <c r="H41" s="539">
        <v>1195</v>
      </c>
      <c r="I41" s="543"/>
      <c r="J41" s="544">
        <v>1077245.4</v>
      </c>
      <c r="K41" s="545"/>
      <c r="L41" s="361">
        <v>1744.41396508728</v>
      </c>
      <c r="M41" s="546">
        <v>617.54</v>
      </c>
      <c r="N41" s="539">
        <v>7.12</v>
      </c>
      <c r="O41" s="543">
        <v>4396.8848</v>
      </c>
      <c r="P41" s="555"/>
      <c r="Q41" s="555"/>
      <c r="R41" s="555"/>
      <c r="S41" s="555"/>
      <c r="T41" s="555"/>
      <c r="U41" s="555"/>
      <c r="V41" s="555"/>
      <c r="W41" s="556"/>
      <c r="X41" s="557"/>
      <c r="Y41" s="552">
        <v>59</v>
      </c>
      <c r="Z41" s="557"/>
      <c r="AA41" s="557"/>
      <c r="AB41" s="378"/>
      <c r="AC41" s="555"/>
      <c r="AD41" s="555"/>
      <c r="AE41" s="555"/>
    </row>
    <row r="42" s="529" customFormat="1" ht="12.75" spans="1:31">
      <c r="A42" s="354"/>
      <c r="B42" s="539"/>
      <c r="C42" s="540">
        <v>240711000027</v>
      </c>
      <c r="D42" s="541">
        <v>45490</v>
      </c>
      <c r="E42" s="539" t="s">
        <v>37</v>
      </c>
      <c r="F42" s="539" t="s">
        <v>111</v>
      </c>
      <c r="G42" s="539">
        <v>0.8466</v>
      </c>
      <c r="H42" s="539">
        <v>370</v>
      </c>
      <c r="I42" s="543"/>
      <c r="J42" s="554"/>
      <c r="K42" s="546">
        <v>296.31</v>
      </c>
      <c r="L42" s="361">
        <v>0</v>
      </c>
      <c r="M42" s="546">
        <v>296.31006</v>
      </c>
      <c r="N42" s="539">
        <v>7.12</v>
      </c>
      <c r="O42" s="543">
        <v>2109.7276272</v>
      </c>
      <c r="P42" s="555"/>
      <c r="Q42" s="555"/>
      <c r="R42" s="555"/>
      <c r="S42" s="555"/>
      <c r="T42" s="555"/>
      <c r="U42" s="555"/>
      <c r="V42" s="555"/>
      <c r="W42" s="556"/>
      <c r="X42" s="557"/>
      <c r="Y42" s="551"/>
      <c r="Z42" s="557"/>
      <c r="AA42" s="557"/>
      <c r="AB42" s="378"/>
      <c r="AC42" s="555"/>
      <c r="AD42" s="555"/>
      <c r="AE42" s="555"/>
    </row>
    <row r="43" s="529" customFormat="1" ht="12.75" spans="1:31">
      <c r="A43" s="354"/>
      <c r="B43" s="539"/>
      <c r="C43" s="540">
        <v>240715000001</v>
      </c>
      <c r="D43" s="541">
        <v>45490</v>
      </c>
      <c r="E43" s="539" t="s">
        <v>42</v>
      </c>
      <c r="F43" s="539" t="s">
        <v>43</v>
      </c>
      <c r="G43" s="539">
        <v>0.269</v>
      </c>
      <c r="H43" s="539">
        <v>184</v>
      </c>
      <c r="I43" s="553">
        <v>660.29</v>
      </c>
      <c r="J43" s="554"/>
      <c r="K43" s="545"/>
      <c r="L43" s="361"/>
      <c r="M43" s="545"/>
      <c r="N43" s="539"/>
      <c r="O43" s="543">
        <v>660.29</v>
      </c>
      <c r="P43" s="555"/>
      <c r="Q43" s="555"/>
      <c r="R43" s="555"/>
      <c r="S43" s="555"/>
      <c r="T43" s="555"/>
      <c r="U43" s="555"/>
      <c r="V43" s="555"/>
      <c r="W43" s="556"/>
      <c r="X43" s="557"/>
      <c r="Y43" s="557"/>
      <c r="Z43" s="557"/>
      <c r="AA43" s="557"/>
      <c r="AB43" s="378"/>
      <c r="AC43" s="555"/>
      <c r="AD43" s="555"/>
      <c r="AE43" s="555"/>
    </row>
    <row r="44" s="529" customFormat="1" ht="12.75" spans="1:31">
      <c r="A44" s="354"/>
      <c r="B44" s="539"/>
      <c r="C44" s="540">
        <v>240715000029</v>
      </c>
      <c r="D44" s="541">
        <v>45490</v>
      </c>
      <c r="E44" s="539" t="s">
        <v>103</v>
      </c>
      <c r="F44" s="539" t="s">
        <v>104</v>
      </c>
      <c r="G44" s="539">
        <v>7.56</v>
      </c>
      <c r="H44" s="539">
        <v>5200</v>
      </c>
      <c r="I44" s="553">
        <v>19595.52</v>
      </c>
      <c r="J44" s="554"/>
      <c r="K44" s="545"/>
      <c r="L44" s="361"/>
      <c r="M44" s="545"/>
      <c r="N44" s="539"/>
      <c r="O44" s="543">
        <v>19595.52</v>
      </c>
      <c r="P44" s="555"/>
      <c r="Q44" s="555"/>
      <c r="R44" s="555"/>
      <c r="S44" s="555"/>
      <c r="T44" s="555"/>
      <c r="U44" s="555"/>
      <c r="V44" s="555"/>
      <c r="W44" s="556"/>
      <c r="X44" s="557"/>
      <c r="Y44" s="557"/>
      <c r="Z44" s="557"/>
      <c r="AA44" s="557"/>
      <c r="AB44" s="378"/>
      <c r="AC44" s="555"/>
      <c r="AD44" s="555"/>
      <c r="AE44" s="555"/>
    </row>
    <row r="45" s="529" customFormat="1" ht="12.75" spans="1:31">
      <c r="A45" s="354"/>
      <c r="B45" s="539"/>
      <c r="C45" s="540">
        <v>240715000048</v>
      </c>
      <c r="D45" s="541">
        <v>45490</v>
      </c>
      <c r="E45" s="539" t="s">
        <v>40</v>
      </c>
      <c r="F45" s="539" t="s">
        <v>112</v>
      </c>
      <c r="G45" s="539">
        <v>11.5846</v>
      </c>
      <c r="H45" s="539">
        <v>2575.5</v>
      </c>
      <c r="I45" s="553">
        <v>24968.54</v>
      </c>
      <c r="J45" s="554"/>
      <c r="K45" s="545"/>
      <c r="L45" s="361"/>
      <c r="M45" s="545"/>
      <c r="N45" s="539"/>
      <c r="O45" s="543">
        <v>24968.54</v>
      </c>
      <c r="P45" s="555"/>
      <c r="Q45" s="555"/>
      <c r="R45" s="555"/>
      <c r="S45" s="555"/>
      <c r="T45" s="555"/>
      <c r="U45" s="555"/>
      <c r="V45" s="555"/>
      <c r="W45" s="556"/>
      <c r="X45" s="557"/>
      <c r="Y45" s="557"/>
      <c r="Z45" s="557"/>
      <c r="AA45" s="557"/>
      <c r="AB45" s="378"/>
      <c r="AC45" s="555"/>
      <c r="AD45" s="555"/>
      <c r="AE45" s="555"/>
    </row>
    <row r="46" s="529" customFormat="1" ht="12.75" spans="1:31">
      <c r="A46" s="354"/>
      <c r="B46" s="539"/>
      <c r="C46" s="540">
        <v>240715000049</v>
      </c>
      <c r="D46" s="541">
        <v>45490</v>
      </c>
      <c r="E46" s="539" t="s">
        <v>40</v>
      </c>
      <c r="F46" s="539" t="s">
        <v>112</v>
      </c>
      <c r="G46" s="539">
        <v>5.0829</v>
      </c>
      <c r="H46" s="539">
        <v>911</v>
      </c>
      <c r="I46" s="553">
        <v>10979.06</v>
      </c>
      <c r="J46" s="554"/>
      <c r="K46" s="545"/>
      <c r="L46" s="361"/>
      <c r="M46" s="545"/>
      <c r="N46" s="539"/>
      <c r="O46" s="543">
        <v>10979.06</v>
      </c>
      <c r="P46" s="555"/>
      <c r="Q46" s="555"/>
      <c r="R46" s="555"/>
      <c r="S46" s="555"/>
      <c r="T46" s="555"/>
      <c r="U46" s="555"/>
      <c r="V46" s="555"/>
      <c r="W46" s="556"/>
      <c r="X46" s="557"/>
      <c r="Y46" s="557"/>
      <c r="Z46" s="557"/>
      <c r="AA46" s="557"/>
      <c r="AB46" s="378"/>
      <c r="AC46" s="555"/>
      <c r="AD46" s="555"/>
      <c r="AE46" s="555"/>
    </row>
    <row r="47" s="529" customFormat="1" ht="12.75" spans="1:31">
      <c r="A47" s="354"/>
      <c r="B47" s="539"/>
      <c r="C47" s="540">
        <v>240716000001</v>
      </c>
      <c r="D47" s="541">
        <v>45490</v>
      </c>
      <c r="E47" s="539" t="s">
        <v>42</v>
      </c>
      <c r="F47" s="539" t="s">
        <v>61</v>
      </c>
      <c r="G47" s="539">
        <v>0.9605</v>
      </c>
      <c r="H47" s="539">
        <v>145</v>
      </c>
      <c r="I47" s="543"/>
      <c r="J47" s="544">
        <v>591555</v>
      </c>
      <c r="K47" s="545"/>
      <c r="L47" s="361">
        <v>1710.78416529723</v>
      </c>
      <c r="M47" s="546">
        <v>345.78003</v>
      </c>
      <c r="N47" s="539">
        <v>7.06</v>
      </c>
      <c r="O47" s="543">
        <v>2441.2070118</v>
      </c>
      <c r="P47" s="555"/>
      <c r="Q47" s="555"/>
      <c r="R47" s="555"/>
      <c r="S47" s="555"/>
      <c r="T47" s="555"/>
      <c r="U47" s="559"/>
      <c r="V47" s="555"/>
      <c r="W47" s="556"/>
      <c r="X47" s="557"/>
      <c r="Y47" s="557"/>
      <c r="Z47" s="557"/>
      <c r="AA47" s="557"/>
      <c r="AB47" s="378"/>
      <c r="AC47" s="555"/>
      <c r="AD47" s="555"/>
      <c r="AE47" s="555"/>
    </row>
    <row r="48" s="529" customFormat="1" ht="12.75" spans="1:31">
      <c r="A48" s="354"/>
      <c r="B48" s="539"/>
      <c r="C48" s="540">
        <v>240716000007</v>
      </c>
      <c r="D48" s="541">
        <v>45490</v>
      </c>
      <c r="E48" s="539" t="s">
        <v>103</v>
      </c>
      <c r="F48" s="539" t="s">
        <v>104</v>
      </c>
      <c r="G48" s="539">
        <v>12.4652</v>
      </c>
      <c r="H48" s="539">
        <v>1110</v>
      </c>
      <c r="I48" s="553">
        <v>29367.14</v>
      </c>
      <c r="J48" s="554"/>
      <c r="K48" s="545"/>
      <c r="L48" s="361"/>
      <c r="M48" s="545"/>
      <c r="N48" s="539"/>
      <c r="O48" s="543">
        <v>29367.14</v>
      </c>
      <c r="P48" s="555"/>
      <c r="Q48" s="555"/>
      <c r="R48" s="555"/>
      <c r="S48" s="555"/>
      <c r="T48" s="555"/>
      <c r="U48" s="549">
        <v>200</v>
      </c>
      <c r="V48" s="555"/>
      <c r="W48" s="556"/>
      <c r="X48" s="557"/>
      <c r="Y48" s="558"/>
      <c r="Z48" s="557"/>
      <c r="AA48" s="557"/>
      <c r="AB48" s="378"/>
      <c r="AC48" s="555"/>
      <c r="AD48" s="555"/>
      <c r="AE48" s="555"/>
    </row>
    <row r="49" s="529" customFormat="1" ht="12.75" spans="1:31">
      <c r="A49" s="354"/>
      <c r="B49" s="539"/>
      <c r="C49" s="540">
        <v>240716000037</v>
      </c>
      <c r="D49" s="541">
        <v>45490</v>
      </c>
      <c r="E49" s="539" t="s">
        <v>40</v>
      </c>
      <c r="F49" s="539" t="s">
        <v>59</v>
      </c>
      <c r="G49" s="539">
        <v>23.75</v>
      </c>
      <c r="H49" s="539">
        <v>3022</v>
      </c>
      <c r="I49" s="553">
        <v>41995.7</v>
      </c>
      <c r="J49" s="554"/>
      <c r="K49" s="545"/>
      <c r="L49" s="361"/>
      <c r="M49" s="546"/>
      <c r="N49" s="539"/>
      <c r="O49" s="543">
        <v>41995.7</v>
      </c>
      <c r="P49" s="559"/>
      <c r="Q49" s="559"/>
      <c r="R49" s="559"/>
      <c r="S49" s="559"/>
      <c r="T49" s="559"/>
      <c r="U49" s="549"/>
      <c r="V49" s="559"/>
      <c r="W49" s="561"/>
      <c r="X49" s="558"/>
      <c r="Y49" s="552"/>
      <c r="Z49" s="558"/>
      <c r="AA49" s="558"/>
      <c r="AB49" s="380"/>
      <c r="AC49" s="559"/>
      <c r="AD49" s="559"/>
      <c r="AE49" s="559"/>
    </row>
    <row r="50" s="529" customFormat="1" ht="12.75" spans="1:31">
      <c r="A50" s="354" t="s">
        <v>113</v>
      </c>
      <c r="B50" s="539" t="s">
        <v>114</v>
      </c>
      <c r="C50" s="540">
        <v>240715000042</v>
      </c>
      <c r="D50" s="541">
        <v>45498</v>
      </c>
      <c r="E50" s="539" t="s">
        <v>115</v>
      </c>
      <c r="F50" s="539" t="s">
        <v>116</v>
      </c>
      <c r="G50" s="539">
        <v>0.3636</v>
      </c>
      <c r="H50" s="539">
        <v>253.4</v>
      </c>
      <c r="I50" s="553">
        <v>1117.2</v>
      </c>
      <c r="J50" s="554"/>
      <c r="K50" s="545"/>
      <c r="L50" s="361"/>
      <c r="M50" s="545"/>
      <c r="N50" s="539"/>
      <c r="O50" s="543">
        <v>1117.2</v>
      </c>
      <c r="P50" s="547">
        <v>175734.8636</v>
      </c>
      <c r="Q50" s="548" t="s">
        <v>85</v>
      </c>
      <c r="R50" s="547">
        <v>61477</v>
      </c>
      <c r="S50" s="547">
        <v>600</v>
      </c>
      <c r="T50" s="547">
        <v>1150</v>
      </c>
      <c r="U50" s="547"/>
      <c r="V50" s="547"/>
      <c r="W50" s="550">
        <v>63819</v>
      </c>
      <c r="X50" s="551">
        <v>10510.33</v>
      </c>
      <c r="Y50" s="552"/>
      <c r="Z50" s="551">
        <v>35.4</v>
      </c>
      <c r="AA50" s="551">
        <v>10835.27</v>
      </c>
      <c r="AB50" s="374">
        <v>7.06</v>
      </c>
      <c r="AC50" s="547">
        <v>76497.0062</v>
      </c>
      <c r="AD50" s="547">
        <v>140316.0062</v>
      </c>
      <c r="AE50" s="547">
        <v>35418.8574</v>
      </c>
    </row>
    <row r="51" s="529" customFormat="1" ht="12.75" spans="1:31">
      <c r="A51" s="354"/>
      <c r="B51" s="539"/>
      <c r="C51" s="540">
        <v>240716000022</v>
      </c>
      <c r="D51" s="541">
        <v>45498</v>
      </c>
      <c r="E51" s="539" t="s">
        <v>49</v>
      </c>
      <c r="F51" s="539" t="s">
        <v>95</v>
      </c>
      <c r="G51" s="539">
        <v>0.0648</v>
      </c>
      <c r="H51" s="539">
        <v>67.5</v>
      </c>
      <c r="I51" s="553">
        <v>630</v>
      </c>
      <c r="J51" s="554"/>
      <c r="K51" s="545"/>
      <c r="L51" s="361"/>
      <c r="M51" s="545"/>
      <c r="N51" s="539"/>
      <c r="O51" s="543">
        <v>630</v>
      </c>
      <c r="P51" s="555"/>
      <c r="Q51" s="555"/>
      <c r="R51" s="555"/>
      <c r="S51" s="555"/>
      <c r="T51" s="555"/>
      <c r="U51" s="555"/>
      <c r="V51" s="555"/>
      <c r="W51" s="556"/>
      <c r="X51" s="557"/>
      <c r="Y51" s="552">
        <v>30.54</v>
      </c>
      <c r="Z51" s="557"/>
      <c r="AA51" s="557"/>
      <c r="AB51" s="378"/>
      <c r="AC51" s="555"/>
      <c r="AD51" s="555"/>
      <c r="AE51" s="555"/>
    </row>
    <row r="52" s="529" customFormat="1" ht="12.75" spans="1:31">
      <c r="A52" s="354"/>
      <c r="B52" s="539"/>
      <c r="C52" s="540">
        <v>240717000017</v>
      </c>
      <c r="D52" s="541">
        <v>45498</v>
      </c>
      <c r="E52" s="539" t="s">
        <v>49</v>
      </c>
      <c r="F52" s="539" t="s">
        <v>117</v>
      </c>
      <c r="G52" s="539">
        <v>0.6221</v>
      </c>
      <c r="H52" s="539">
        <v>294</v>
      </c>
      <c r="I52" s="553">
        <v>1390</v>
      </c>
      <c r="J52" s="554"/>
      <c r="K52" s="545"/>
      <c r="L52" s="361"/>
      <c r="M52" s="545"/>
      <c r="N52" s="539"/>
      <c r="O52" s="543">
        <v>1390</v>
      </c>
      <c r="P52" s="555"/>
      <c r="Q52" s="555"/>
      <c r="R52" s="555"/>
      <c r="S52" s="555"/>
      <c r="T52" s="555"/>
      <c r="U52" s="555"/>
      <c r="V52" s="559"/>
      <c r="W52" s="556"/>
      <c r="X52" s="557"/>
      <c r="Y52" s="551"/>
      <c r="Z52" s="557"/>
      <c r="AA52" s="557"/>
      <c r="AB52" s="378"/>
      <c r="AC52" s="555"/>
      <c r="AD52" s="555"/>
      <c r="AE52" s="555"/>
    </row>
    <row r="53" s="529" customFormat="1" ht="12.75" spans="1:31">
      <c r="A53" s="354"/>
      <c r="B53" s="539"/>
      <c r="C53" s="540">
        <v>240717000037</v>
      </c>
      <c r="D53" s="541">
        <v>45498</v>
      </c>
      <c r="E53" s="539" t="s">
        <v>42</v>
      </c>
      <c r="F53" s="539" t="s">
        <v>118</v>
      </c>
      <c r="G53" s="539">
        <v>0.9774</v>
      </c>
      <c r="H53" s="539">
        <v>169.65</v>
      </c>
      <c r="I53" s="553">
        <v>2342</v>
      </c>
      <c r="J53" s="554"/>
      <c r="K53" s="545"/>
      <c r="L53" s="361"/>
      <c r="M53" s="545"/>
      <c r="N53" s="539"/>
      <c r="O53" s="543">
        <v>2342</v>
      </c>
      <c r="P53" s="555"/>
      <c r="Q53" s="555"/>
      <c r="R53" s="555"/>
      <c r="S53" s="555"/>
      <c r="T53" s="555"/>
      <c r="U53" s="555"/>
      <c r="V53" s="549">
        <v>52</v>
      </c>
      <c r="W53" s="556"/>
      <c r="X53" s="557"/>
      <c r="Y53" s="557"/>
      <c r="Z53" s="557"/>
      <c r="AA53" s="557"/>
      <c r="AB53" s="378"/>
      <c r="AC53" s="555"/>
      <c r="AD53" s="555"/>
      <c r="AE53" s="555"/>
    </row>
    <row r="54" s="529" customFormat="1" ht="12.75" spans="1:31">
      <c r="A54" s="354"/>
      <c r="B54" s="539"/>
      <c r="C54" s="540">
        <v>240718000030</v>
      </c>
      <c r="D54" s="541">
        <v>45498</v>
      </c>
      <c r="E54" s="539" t="s">
        <v>49</v>
      </c>
      <c r="F54" s="539" t="s">
        <v>108</v>
      </c>
      <c r="G54" s="539">
        <v>0.2438</v>
      </c>
      <c r="H54" s="539">
        <v>26.5</v>
      </c>
      <c r="I54" s="553">
        <v>606.5</v>
      </c>
      <c r="J54" s="554"/>
      <c r="K54" s="545"/>
      <c r="L54" s="361"/>
      <c r="M54" s="545"/>
      <c r="N54" s="539"/>
      <c r="O54" s="543">
        <v>606.5</v>
      </c>
      <c r="P54" s="555"/>
      <c r="Q54" s="555"/>
      <c r="R54" s="555"/>
      <c r="S54" s="555"/>
      <c r="T54" s="555"/>
      <c r="U54" s="555"/>
      <c r="V54" s="547"/>
      <c r="W54" s="556"/>
      <c r="X54" s="557"/>
      <c r="Y54" s="558"/>
      <c r="Z54" s="557"/>
      <c r="AA54" s="557"/>
      <c r="AB54" s="378"/>
      <c r="AC54" s="555"/>
      <c r="AD54" s="555"/>
      <c r="AE54" s="555"/>
    </row>
    <row r="55" s="529" customFormat="1" ht="12.75" spans="1:31">
      <c r="A55" s="354"/>
      <c r="B55" s="539"/>
      <c r="C55" s="540">
        <v>240719000002</v>
      </c>
      <c r="D55" s="541">
        <v>45498</v>
      </c>
      <c r="E55" s="539" t="s">
        <v>49</v>
      </c>
      <c r="F55" s="539" t="s">
        <v>57</v>
      </c>
      <c r="G55" s="539">
        <v>0.8911</v>
      </c>
      <c r="H55" s="539">
        <v>332</v>
      </c>
      <c r="I55" s="553">
        <v>2500</v>
      </c>
      <c r="J55" s="554"/>
      <c r="K55" s="545"/>
      <c r="L55" s="361"/>
      <c r="M55" s="545"/>
      <c r="N55" s="539"/>
      <c r="O55" s="543">
        <v>2500</v>
      </c>
      <c r="P55" s="555"/>
      <c r="Q55" s="555"/>
      <c r="R55" s="555"/>
      <c r="S55" s="555"/>
      <c r="T55" s="555"/>
      <c r="U55" s="555"/>
      <c r="V55" s="555"/>
      <c r="W55" s="556"/>
      <c r="X55" s="557"/>
      <c r="Y55" s="552">
        <v>41.3</v>
      </c>
      <c r="Z55" s="557"/>
      <c r="AA55" s="557"/>
      <c r="AB55" s="378"/>
      <c r="AC55" s="555"/>
      <c r="AD55" s="555"/>
      <c r="AE55" s="555"/>
    </row>
    <row r="56" s="529" customFormat="1" ht="12.75" spans="1:31">
      <c r="A56" s="354"/>
      <c r="B56" s="539"/>
      <c r="C56" s="540">
        <v>240719000036</v>
      </c>
      <c r="D56" s="541">
        <v>45498</v>
      </c>
      <c r="E56" s="539" t="s">
        <v>42</v>
      </c>
      <c r="F56" s="539" t="s">
        <v>43</v>
      </c>
      <c r="G56" s="539">
        <v>1.8646</v>
      </c>
      <c r="H56" s="539">
        <v>213</v>
      </c>
      <c r="I56" s="553">
        <v>4300.07</v>
      </c>
      <c r="J56" s="554"/>
      <c r="K56" s="545"/>
      <c r="L56" s="361"/>
      <c r="M56" s="545"/>
      <c r="N56" s="539"/>
      <c r="O56" s="543">
        <v>4300.07</v>
      </c>
      <c r="P56" s="555"/>
      <c r="Q56" s="555"/>
      <c r="R56" s="555"/>
      <c r="S56" s="555"/>
      <c r="T56" s="555"/>
      <c r="U56" s="555"/>
      <c r="V56" s="555"/>
      <c r="W56" s="556"/>
      <c r="X56" s="557"/>
      <c r="Y56" s="551"/>
      <c r="Z56" s="557"/>
      <c r="AA56" s="557"/>
      <c r="AB56" s="378"/>
      <c r="AC56" s="555"/>
      <c r="AD56" s="555"/>
      <c r="AE56" s="555"/>
    </row>
    <row r="57" s="529" customFormat="1" ht="12.75" spans="1:31">
      <c r="A57" s="354"/>
      <c r="B57" s="539"/>
      <c r="C57" s="540">
        <v>240720000015</v>
      </c>
      <c r="D57" s="541">
        <v>45498</v>
      </c>
      <c r="E57" s="539" t="s">
        <v>42</v>
      </c>
      <c r="F57" s="539" t="s">
        <v>43</v>
      </c>
      <c r="G57" s="539">
        <v>0.3673</v>
      </c>
      <c r="H57" s="539">
        <v>57</v>
      </c>
      <c r="I57" s="553">
        <v>880.38</v>
      </c>
      <c r="J57" s="554"/>
      <c r="K57" s="545"/>
      <c r="L57" s="361"/>
      <c r="M57" s="545"/>
      <c r="N57" s="539"/>
      <c r="O57" s="543">
        <v>880.38</v>
      </c>
      <c r="P57" s="555"/>
      <c r="Q57" s="555"/>
      <c r="R57" s="555"/>
      <c r="S57" s="555"/>
      <c r="T57" s="555"/>
      <c r="U57" s="555"/>
      <c r="V57" s="555"/>
      <c r="W57" s="556"/>
      <c r="X57" s="557"/>
      <c r="Y57" s="557"/>
      <c r="Z57" s="557"/>
      <c r="AA57" s="557"/>
      <c r="AB57" s="378"/>
      <c r="AC57" s="555"/>
      <c r="AD57" s="555"/>
      <c r="AE57" s="555"/>
    </row>
    <row r="58" s="529" customFormat="1" ht="12.75" spans="1:31">
      <c r="A58" s="354"/>
      <c r="B58" s="539"/>
      <c r="C58" s="540">
        <v>240724000014</v>
      </c>
      <c r="D58" s="541">
        <v>45498</v>
      </c>
      <c r="E58" s="539" t="s">
        <v>49</v>
      </c>
      <c r="F58" s="539" t="s">
        <v>95</v>
      </c>
      <c r="G58" s="539">
        <v>0.2732</v>
      </c>
      <c r="H58" s="539">
        <v>264</v>
      </c>
      <c r="I58" s="553">
        <v>894</v>
      </c>
      <c r="J58" s="554"/>
      <c r="K58" s="545"/>
      <c r="L58" s="361"/>
      <c r="M58" s="545"/>
      <c r="N58" s="539"/>
      <c r="O58" s="543">
        <v>894</v>
      </c>
      <c r="P58" s="555"/>
      <c r="Q58" s="555"/>
      <c r="R58" s="555"/>
      <c r="S58" s="555"/>
      <c r="T58" s="555"/>
      <c r="U58" s="559"/>
      <c r="V58" s="559"/>
      <c r="W58" s="556"/>
      <c r="X58" s="557"/>
      <c r="Y58" s="557"/>
      <c r="Z58" s="557"/>
      <c r="AA58" s="557"/>
      <c r="AB58" s="378"/>
      <c r="AC58" s="555"/>
      <c r="AD58" s="555"/>
      <c r="AE58" s="555"/>
    </row>
    <row r="59" s="529" customFormat="1" ht="12.75" spans="1:31">
      <c r="A59" s="354"/>
      <c r="B59" s="539"/>
      <c r="C59" s="540">
        <v>240724000017</v>
      </c>
      <c r="D59" s="541">
        <v>45498</v>
      </c>
      <c r="E59" s="539" t="s">
        <v>119</v>
      </c>
      <c r="F59" s="539" t="s">
        <v>120</v>
      </c>
      <c r="G59" s="539">
        <v>0.2991</v>
      </c>
      <c r="H59" s="539">
        <v>1311</v>
      </c>
      <c r="I59" s="543"/>
      <c r="J59" s="544">
        <v>1137000</v>
      </c>
      <c r="K59" s="545"/>
      <c r="L59" s="361">
        <v>1689.70129291128</v>
      </c>
      <c r="M59" s="546">
        <v>672.9</v>
      </c>
      <c r="N59" s="539">
        <v>7.06</v>
      </c>
      <c r="O59" s="543">
        <v>4750.674</v>
      </c>
      <c r="P59" s="555"/>
      <c r="Q59" s="555"/>
      <c r="R59" s="555"/>
      <c r="S59" s="555"/>
      <c r="T59" s="555"/>
      <c r="U59" s="549">
        <v>210</v>
      </c>
      <c r="V59" s="549">
        <v>330</v>
      </c>
      <c r="W59" s="556"/>
      <c r="X59" s="557"/>
      <c r="Y59" s="557"/>
      <c r="Z59" s="557"/>
      <c r="AA59" s="557"/>
      <c r="AB59" s="378"/>
      <c r="AC59" s="555"/>
      <c r="AD59" s="555"/>
      <c r="AE59" s="555"/>
    </row>
    <row r="60" s="529" customFormat="1" ht="12.75" spans="1:31">
      <c r="A60" s="354"/>
      <c r="B60" s="539"/>
      <c r="C60" s="540">
        <v>240724000022</v>
      </c>
      <c r="D60" s="541">
        <v>45498</v>
      </c>
      <c r="E60" s="539" t="s">
        <v>40</v>
      </c>
      <c r="F60" s="539" t="s">
        <v>112</v>
      </c>
      <c r="G60" s="539">
        <v>6.0843</v>
      </c>
      <c r="H60" s="539">
        <v>633</v>
      </c>
      <c r="I60" s="553">
        <v>12265.92</v>
      </c>
      <c r="J60" s="554"/>
      <c r="K60" s="545"/>
      <c r="L60" s="361"/>
      <c r="M60" s="545"/>
      <c r="N60" s="539"/>
      <c r="O60" s="543">
        <v>12265.92</v>
      </c>
      <c r="P60" s="555"/>
      <c r="Q60" s="555"/>
      <c r="R60" s="555"/>
      <c r="S60" s="555"/>
      <c r="T60" s="555"/>
      <c r="U60" s="547"/>
      <c r="V60" s="547"/>
      <c r="W60" s="556"/>
      <c r="X60" s="557"/>
      <c r="Y60" s="558"/>
      <c r="Z60" s="557"/>
      <c r="AA60" s="557"/>
      <c r="AB60" s="378"/>
      <c r="AC60" s="555"/>
      <c r="AD60" s="555"/>
      <c r="AE60" s="555"/>
    </row>
    <row r="61" s="529" customFormat="1" ht="12.75" spans="1:31">
      <c r="A61" s="354"/>
      <c r="B61" s="539"/>
      <c r="C61" s="540">
        <v>240724000024</v>
      </c>
      <c r="D61" s="541">
        <v>45498</v>
      </c>
      <c r="E61" s="539" t="s">
        <v>40</v>
      </c>
      <c r="F61" s="539" t="s">
        <v>112</v>
      </c>
      <c r="G61" s="539">
        <v>0.6352</v>
      </c>
      <c r="H61" s="539">
        <v>38</v>
      </c>
      <c r="I61" s="553">
        <v>1280.59</v>
      </c>
      <c r="J61" s="554"/>
      <c r="K61" s="545"/>
      <c r="L61" s="361"/>
      <c r="M61" s="545"/>
      <c r="N61" s="539"/>
      <c r="O61" s="543">
        <v>1280.59</v>
      </c>
      <c r="P61" s="555"/>
      <c r="Q61" s="555"/>
      <c r="R61" s="555"/>
      <c r="S61" s="555"/>
      <c r="T61" s="555"/>
      <c r="U61" s="555"/>
      <c r="V61" s="555"/>
      <c r="W61" s="556"/>
      <c r="X61" s="557"/>
      <c r="Y61" s="552"/>
      <c r="Z61" s="557"/>
      <c r="AA61" s="557"/>
      <c r="AB61" s="378"/>
      <c r="AC61" s="555"/>
      <c r="AD61" s="555"/>
      <c r="AE61" s="555"/>
    </row>
    <row r="62" s="529" customFormat="1" ht="12.75" spans="1:31">
      <c r="A62" s="354"/>
      <c r="B62" s="539"/>
      <c r="C62" s="540">
        <v>240724000025</v>
      </c>
      <c r="D62" s="541">
        <v>45498</v>
      </c>
      <c r="E62" s="539" t="s">
        <v>103</v>
      </c>
      <c r="F62" s="539" t="s">
        <v>104</v>
      </c>
      <c r="G62" s="539">
        <v>24.4728</v>
      </c>
      <c r="H62" s="539">
        <v>3060</v>
      </c>
      <c r="I62" s="553">
        <v>57259.8</v>
      </c>
      <c r="J62" s="554"/>
      <c r="K62" s="545"/>
      <c r="L62" s="361"/>
      <c r="M62" s="545"/>
      <c r="N62" s="539"/>
      <c r="O62" s="543">
        <v>57259.8</v>
      </c>
      <c r="P62" s="555"/>
      <c r="Q62" s="555"/>
      <c r="R62" s="555"/>
      <c r="S62" s="555"/>
      <c r="T62" s="555"/>
      <c r="U62" s="555"/>
      <c r="V62" s="555"/>
      <c r="W62" s="556"/>
      <c r="X62" s="557"/>
      <c r="Y62" s="552"/>
      <c r="Z62" s="557"/>
      <c r="AA62" s="557"/>
      <c r="AB62" s="378"/>
      <c r="AC62" s="555"/>
      <c r="AD62" s="555"/>
      <c r="AE62" s="555"/>
    </row>
    <row r="63" s="529" customFormat="1" ht="12.75" spans="1:31">
      <c r="A63" s="354"/>
      <c r="B63" s="539"/>
      <c r="C63" s="540">
        <v>240724000026</v>
      </c>
      <c r="D63" s="541">
        <v>45498</v>
      </c>
      <c r="E63" s="539" t="s">
        <v>37</v>
      </c>
      <c r="F63" s="539" t="s">
        <v>121</v>
      </c>
      <c r="G63" s="539">
        <v>15.7603</v>
      </c>
      <c r="H63" s="539">
        <v>8373</v>
      </c>
      <c r="I63" s="543"/>
      <c r="J63" s="544">
        <v>8696280.67</v>
      </c>
      <c r="K63" s="545"/>
      <c r="L63" s="361">
        <v>1710.99730255107</v>
      </c>
      <c r="M63" s="546">
        <v>5082.58</v>
      </c>
      <c r="N63" s="539">
        <v>7.12</v>
      </c>
      <c r="O63" s="543">
        <v>36187.9696</v>
      </c>
      <c r="P63" s="555"/>
      <c r="Q63" s="555"/>
      <c r="R63" s="555"/>
      <c r="S63" s="555"/>
      <c r="T63" s="555"/>
      <c r="U63" s="555"/>
      <c r="V63" s="555"/>
      <c r="W63" s="556"/>
      <c r="X63" s="557"/>
      <c r="Y63" s="552">
        <v>217.7</v>
      </c>
      <c r="Z63" s="557"/>
      <c r="AA63" s="557"/>
      <c r="AB63" s="378"/>
      <c r="AC63" s="555"/>
      <c r="AD63" s="555"/>
      <c r="AE63" s="555"/>
    </row>
    <row r="64" s="529" customFormat="1" ht="12.75" spans="1:31">
      <c r="A64" s="354"/>
      <c r="B64" s="539"/>
      <c r="C64" s="540">
        <v>240724000044</v>
      </c>
      <c r="D64" s="541">
        <v>45498</v>
      </c>
      <c r="E64" s="539" t="s">
        <v>40</v>
      </c>
      <c r="F64" s="539" t="s">
        <v>59</v>
      </c>
      <c r="G64" s="539">
        <v>20.87</v>
      </c>
      <c r="H64" s="539">
        <v>2559.5</v>
      </c>
      <c r="I64" s="553">
        <v>34224.71</v>
      </c>
      <c r="J64" s="554"/>
      <c r="K64" s="545"/>
      <c r="L64" s="361"/>
      <c r="M64" s="546"/>
      <c r="N64" s="539"/>
      <c r="O64" s="543">
        <v>34224.71</v>
      </c>
      <c r="P64" s="555"/>
      <c r="Q64" s="555"/>
      <c r="R64" s="555"/>
      <c r="S64" s="555"/>
      <c r="T64" s="555"/>
      <c r="U64" s="555"/>
      <c r="V64" s="555"/>
      <c r="W64" s="556"/>
      <c r="X64" s="557"/>
      <c r="Y64" s="552"/>
      <c r="Z64" s="557"/>
      <c r="AA64" s="557"/>
      <c r="AB64" s="378"/>
      <c r="AC64" s="555"/>
      <c r="AD64" s="555"/>
      <c r="AE64" s="555"/>
    </row>
    <row r="65" s="529" customFormat="1" ht="12.75" spans="1:31">
      <c r="A65" s="354"/>
      <c r="B65" s="539"/>
      <c r="C65" s="540">
        <v>240724000046</v>
      </c>
      <c r="D65" s="541">
        <v>45498</v>
      </c>
      <c r="E65" s="539" t="s">
        <v>40</v>
      </c>
      <c r="F65" s="539" t="s">
        <v>112</v>
      </c>
      <c r="G65" s="539">
        <v>0.6621</v>
      </c>
      <c r="H65" s="539">
        <v>270</v>
      </c>
      <c r="I65" s="553">
        <v>1334.81</v>
      </c>
      <c r="J65" s="554"/>
      <c r="K65" s="545"/>
      <c r="L65" s="361"/>
      <c r="M65" s="545"/>
      <c r="N65" s="539"/>
      <c r="O65" s="543">
        <v>1334.81</v>
      </c>
      <c r="P65" s="555"/>
      <c r="Q65" s="555"/>
      <c r="R65" s="555"/>
      <c r="S65" s="555"/>
      <c r="T65" s="555"/>
      <c r="U65" s="555"/>
      <c r="V65" s="555"/>
      <c r="W65" s="556"/>
      <c r="X65" s="557"/>
      <c r="Y65" s="551"/>
      <c r="Z65" s="557"/>
      <c r="AA65" s="557"/>
      <c r="AB65" s="378"/>
      <c r="AC65" s="555"/>
      <c r="AD65" s="555"/>
      <c r="AE65" s="555"/>
    </row>
    <row r="66" s="529" customFormat="1" ht="12.75" spans="1:31">
      <c r="A66" s="354"/>
      <c r="B66" s="539"/>
      <c r="C66" s="540">
        <v>240724000047</v>
      </c>
      <c r="D66" s="541">
        <v>45498</v>
      </c>
      <c r="E66" s="539" t="s">
        <v>40</v>
      </c>
      <c r="F66" s="539" t="s">
        <v>112</v>
      </c>
      <c r="G66" s="539">
        <v>0.2282</v>
      </c>
      <c r="H66" s="539">
        <v>54</v>
      </c>
      <c r="I66" s="553">
        <v>460.08</v>
      </c>
      <c r="J66" s="554"/>
      <c r="K66" s="545"/>
      <c r="L66" s="361"/>
      <c r="M66" s="545"/>
      <c r="N66" s="539"/>
      <c r="O66" s="543">
        <v>460.08</v>
      </c>
      <c r="P66" s="555"/>
      <c r="Q66" s="555"/>
      <c r="R66" s="555"/>
      <c r="S66" s="555"/>
      <c r="T66" s="555"/>
      <c r="U66" s="555"/>
      <c r="V66" s="555"/>
      <c r="W66" s="556"/>
      <c r="X66" s="557"/>
      <c r="Y66" s="557"/>
      <c r="Z66" s="557"/>
      <c r="AA66" s="557"/>
      <c r="AB66" s="378"/>
      <c r="AC66" s="555"/>
      <c r="AD66" s="555"/>
      <c r="AE66" s="555"/>
    </row>
    <row r="67" s="529" customFormat="1" ht="12.75" spans="1:31">
      <c r="A67" s="354"/>
      <c r="B67" s="539"/>
      <c r="C67" s="540">
        <v>240724000048</v>
      </c>
      <c r="D67" s="541">
        <v>45498</v>
      </c>
      <c r="E67" s="539" t="s">
        <v>40</v>
      </c>
      <c r="F67" s="539" t="s">
        <v>112</v>
      </c>
      <c r="G67" s="539">
        <v>3.0687</v>
      </c>
      <c r="H67" s="539">
        <v>528</v>
      </c>
      <c r="I67" s="553">
        <v>6208.07</v>
      </c>
      <c r="J67" s="554"/>
      <c r="K67" s="545"/>
      <c r="L67" s="361"/>
      <c r="M67" s="545"/>
      <c r="N67" s="539"/>
      <c r="O67" s="543">
        <v>6208.07</v>
      </c>
      <c r="P67" s="555"/>
      <c r="Q67" s="555"/>
      <c r="R67" s="555"/>
      <c r="S67" s="555"/>
      <c r="T67" s="555"/>
      <c r="U67" s="555"/>
      <c r="V67" s="555"/>
      <c r="W67" s="556"/>
      <c r="X67" s="557"/>
      <c r="Y67" s="557"/>
      <c r="Z67" s="557"/>
      <c r="AA67" s="557"/>
      <c r="AB67" s="378"/>
      <c r="AC67" s="555"/>
      <c r="AD67" s="555"/>
      <c r="AE67" s="555"/>
    </row>
    <row r="68" s="529" customFormat="1" ht="12.75" spans="1:31">
      <c r="A68" s="354"/>
      <c r="B68" s="539"/>
      <c r="C68" s="540">
        <v>240724000054</v>
      </c>
      <c r="D68" s="541">
        <v>45498</v>
      </c>
      <c r="E68" s="539" t="s">
        <v>40</v>
      </c>
      <c r="F68" s="539" t="s">
        <v>60</v>
      </c>
      <c r="G68" s="539">
        <v>2.7</v>
      </c>
      <c r="H68" s="539">
        <v>992.8</v>
      </c>
      <c r="I68" s="553">
        <v>6294.95</v>
      </c>
      <c r="J68" s="554"/>
      <c r="K68" s="545"/>
      <c r="L68" s="361"/>
      <c r="M68" s="545"/>
      <c r="N68" s="539"/>
      <c r="O68" s="543">
        <v>6294.95</v>
      </c>
      <c r="P68" s="555"/>
      <c r="Q68" s="555"/>
      <c r="R68" s="555"/>
      <c r="S68" s="555"/>
      <c r="T68" s="555"/>
      <c r="U68" s="555"/>
      <c r="V68" s="555"/>
      <c r="W68" s="556"/>
      <c r="X68" s="557"/>
      <c r="Y68" s="557"/>
      <c r="Z68" s="557"/>
      <c r="AA68" s="557"/>
      <c r="AB68" s="378"/>
      <c r="AC68" s="555"/>
      <c r="AD68" s="555"/>
      <c r="AE68" s="555"/>
    </row>
    <row r="69" s="529" customFormat="1" ht="12.75" spans="1:31">
      <c r="A69" s="354"/>
      <c r="B69" s="539"/>
      <c r="C69" s="540">
        <v>240725000032</v>
      </c>
      <c r="D69" s="541">
        <v>45498</v>
      </c>
      <c r="E69" s="539" t="s">
        <v>40</v>
      </c>
      <c r="F69" s="539" t="s">
        <v>112</v>
      </c>
      <c r="G69" s="539">
        <v>0.3976</v>
      </c>
      <c r="H69" s="539">
        <v>178</v>
      </c>
      <c r="I69" s="553">
        <v>807.14</v>
      </c>
      <c r="J69" s="554"/>
      <c r="K69" s="545"/>
      <c r="L69" s="361"/>
      <c r="M69" s="545"/>
      <c r="N69" s="539"/>
      <c r="O69" s="543">
        <v>807.14</v>
      </c>
      <c r="P69" s="559"/>
      <c r="Q69" s="559"/>
      <c r="R69" s="559"/>
      <c r="S69" s="559"/>
      <c r="T69" s="559"/>
      <c r="U69" s="559"/>
      <c r="V69" s="559"/>
      <c r="W69" s="561"/>
      <c r="X69" s="558"/>
      <c r="Y69" s="558"/>
      <c r="Z69" s="558"/>
      <c r="AA69" s="558"/>
      <c r="AB69" s="380"/>
      <c r="AC69" s="559"/>
      <c r="AD69" s="559"/>
      <c r="AE69" s="559"/>
    </row>
    <row r="70" s="263" customFormat="1" ht="18" customHeight="1" spans="1:31">
      <c r="A70" s="488" t="s">
        <v>69</v>
      </c>
      <c r="B70" s="488"/>
      <c r="C70" s="402"/>
      <c r="D70" s="403"/>
      <c r="E70" s="402"/>
      <c r="F70" s="402"/>
      <c r="G70" s="474">
        <f t="shared" ref="G70:L70" si="0">SUM(G4:G69)</f>
        <v>369.0038</v>
      </c>
      <c r="H70" s="562">
        <f t="shared" si="0"/>
        <v>120710.35</v>
      </c>
      <c r="I70" s="563">
        <f t="shared" si="0"/>
        <v>769507.52</v>
      </c>
      <c r="J70" s="564">
        <f t="shared" si="0"/>
        <v>18697891.07</v>
      </c>
      <c r="K70" s="565">
        <f t="shared" si="0"/>
        <v>296.31</v>
      </c>
      <c r="L70" s="566">
        <f t="shared" si="0"/>
        <v>15187.7958238083</v>
      </c>
      <c r="M70" s="567">
        <f>SUM(M5:M69)</f>
        <v>9966.99059</v>
      </c>
      <c r="N70" s="568">
        <v>8.11607727212674</v>
      </c>
      <c r="O70" s="507">
        <f>SUM(O4:O69)</f>
        <v>850400.385799</v>
      </c>
      <c r="P70" s="508">
        <f>SUM(P4:P69)</f>
        <v>850400.385799</v>
      </c>
      <c r="Q70" s="476"/>
      <c r="R70" s="476">
        <f>SUM(R4:R69)</f>
        <v>308085</v>
      </c>
      <c r="S70" s="476">
        <f t="shared" ref="S70:W70" si="1">SUM(S4:S69)</f>
        <v>1710.62</v>
      </c>
      <c r="T70" s="476">
        <f t="shared" si="1"/>
        <v>8150</v>
      </c>
      <c r="U70" s="476">
        <f t="shared" si="1"/>
        <v>1280</v>
      </c>
      <c r="V70" s="476">
        <f t="shared" si="1"/>
        <v>5324</v>
      </c>
      <c r="W70" s="492">
        <f t="shared" si="1"/>
        <v>324549.62</v>
      </c>
      <c r="X70" s="494">
        <f t="shared" ref="X70" si="2">SUM(X4:X69)</f>
        <v>52201.83</v>
      </c>
      <c r="Y70" s="494">
        <f t="shared" ref="Y70" si="3">SUM(Y4:Y69)</f>
        <v>1380.75</v>
      </c>
      <c r="Z70" s="494">
        <f t="shared" ref="Z70:AA70" si="4">SUM(Z4:Z69)</f>
        <v>206.61</v>
      </c>
      <c r="AA70" s="494">
        <f t="shared" si="4"/>
        <v>53789.19</v>
      </c>
      <c r="AB70" s="222">
        <v>8.11607727212674</v>
      </c>
      <c r="AC70" s="569">
        <f>SUM(AC4:AC69)</f>
        <v>383414.7604</v>
      </c>
      <c r="AD70" s="569">
        <f t="shared" ref="AD70:AE70" si="5">SUM(AD4:AD69)</f>
        <v>707964.3804</v>
      </c>
      <c r="AE70" s="569">
        <f t="shared" si="5"/>
        <v>142436.005399</v>
      </c>
    </row>
    <row r="72" s="263" customFormat="1" ht="40" customHeight="1" spans="1:31">
      <c r="A72" s="302"/>
      <c r="D72" s="410"/>
      <c r="G72" s="411" t="s">
        <v>70</v>
      </c>
      <c r="H72" s="412" t="s">
        <v>71</v>
      </c>
      <c r="I72" s="413" t="s">
        <v>72</v>
      </c>
      <c r="J72" s="414" t="s">
        <v>73</v>
      </c>
      <c r="K72" s="411" t="s">
        <v>22</v>
      </c>
      <c r="L72" s="414" t="s">
        <v>74</v>
      </c>
      <c r="M72" s="415"/>
      <c r="N72" s="416"/>
      <c r="O72" s="570">
        <f>SUM(O70-I70)</f>
        <v>80892.8657990001</v>
      </c>
      <c r="Q72" s="418"/>
      <c r="R72" s="263"/>
      <c r="S72" s="419"/>
      <c r="T72" s="263"/>
      <c r="U72" s="263"/>
      <c r="V72" s="263"/>
      <c r="W72" s="303"/>
      <c r="X72" s="298"/>
      <c r="Y72" s="420"/>
      <c r="Z72" s="420"/>
      <c r="AA72" s="421"/>
      <c r="AB72" s="422"/>
      <c r="AC72" s="422"/>
    </row>
    <row r="73" ht="28.5" customHeight="1" spans="1:31">
      <c r="G73" s="411">
        <v>7</v>
      </c>
      <c r="H73" s="423">
        <f>SUM(M70)</f>
        <v>9966.99059</v>
      </c>
      <c r="I73" s="423">
        <f>SUM(AA70)</f>
        <v>53789.19</v>
      </c>
      <c r="J73" s="571">
        <f>SUM(H73-I73)</f>
        <v>-43822.19941</v>
      </c>
      <c r="K73" s="222">
        <v>8.11607727212674</v>
      </c>
      <c r="L73" s="425">
        <f>SUM(J73*K73)</f>
        <v>-355664.356646107</v>
      </c>
      <c r="M73" s="426"/>
      <c r="N73" s="426"/>
      <c r="O73" s="426">
        <f>SUM(O72/M70)</f>
        <v>8.11607727212674</v>
      </c>
      <c r="P73" s="426"/>
      <c r="Q73" s="269"/>
      <c r="R73"/>
      <c r="S73" s="270"/>
      <c r="T73"/>
      <c r="U73"/>
      <c r="V73"/>
      <c r="X73" s="427"/>
      <c r="AB73" s="429"/>
      <c r="AC73" s="429"/>
    </row>
    <row r="74" ht="28.5" customHeight="1" spans="1:31">
      <c r="H74" s="430"/>
      <c r="I74" s="430"/>
      <c r="J74" s="431"/>
      <c r="K74" s="432"/>
      <c r="L74" s="433"/>
      <c r="M74" s="426"/>
      <c r="N74" s="434"/>
      <c r="O74" s="435"/>
      <c r="P74" s="426"/>
      <c r="Q74" s="269"/>
      <c r="R74"/>
      <c r="S74" s="270"/>
      <c r="T74"/>
      <c r="U74"/>
      <c r="V74"/>
      <c r="X74" s="427"/>
      <c r="AB74" s="429"/>
      <c r="AC74" s="429"/>
    </row>
    <row r="75" s="263" customFormat="1" ht="26" customHeight="1" spans="1:31">
      <c r="A75" s="302"/>
      <c r="D75" s="410"/>
      <c r="G75" s="436" t="s">
        <v>70</v>
      </c>
      <c r="H75" s="437" t="s">
        <v>75</v>
      </c>
      <c r="I75" s="438"/>
      <c r="J75" s="438"/>
      <c r="K75" s="439"/>
      <c r="L75" s="440" t="s">
        <v>10</v>
      </c>
      <c r="M75" s="441" t="s">
        <v>76</v>
      </c>
      <c r="N75" s="441" t="s">
        <v>77</v>
      </c>
      <c r="O75" s="442" t="s">
        <v>16</v>
      </c>
      <c r="Q75" s="418"/>
      <c r="R75" s="263"/>
      <c r="S75" s="419"/>
      <c r="T75" s="263"/>
      <c r="U75" s="263"/>
      <c r="V75" s="263"/>
      <c r="W75" s="303"/>
      <c r="X75" s="298"/>
      <c r="Y75" s="420"/>
      <c r="Z75" s="420"/>
      <c r="AB75" s="422"/>
      <c r="AC75" s="422"/>
    </row>
    <row r="76" s="263" customFormat="1" ht="26" customHeight="1" spans="1:31">
      <c r="A76" s="302"/>
      <c r="D76" s="410"/>
      <c r="G76" s="443"/>
      <c r="H76" s="413" t="s">
        <v>17</v>
      </c>
      <c r="I76" s="412" t="s">
        <v>78</v>
      </c>
      <c r="J76" s="411" t="s">
        <v>22</v>
      </c>
      <c r="K76" s="444" t="s">
        <v>79</v>
      </c>
      <c r="L76" s="445"/>
      <c r="M76" s="446"/>
      <c r="N76" s="446"/>
      <c r="O76" s="447"/>
      <c r="Q76" s="418"/>
      <c r="R76" s="263"/>
      <c r="S76" s="419"/>
      <c r="T76" s="263"/>
      <c r="U76" s="263"/>
      <c r="V76" s="263"/>
      <c r="W76" s="303"/>
      <c r="X76" s="298"/>
      <c r="Y76" s="420"/>
      <c r="Z76" s="420"/>
      <c r="AB76" s="422"/>
      <c r="AC76" s="422"/>
    </row>
    <row r="77" s="262" customFormat="1" ht="28.5" customHeight="1" spans="1:31">
      <c r="A77" s="301"/>
      <c r="D77" s="410"/>
      <c r="G77" s="411">
        <v>7</v>
      </c>
      <c r="H77" s="448">
        <f>SUM(I70)</f>
        <v>769507.52</v>
      </c>
      <c r="I77" s="407">
        <f>SUM(M70)</f>
        <v>9966.99059</v>
      </c>
      <c r="J77" s="222">
        <v>8.11607727212674</v>
      </c>
      <c r="K77" s="448">
        <f>SUM(I77*J77)</f>
        <v>80892.8657990001</v>
      </c>
      <c r="L77" s="449">
        <f>SUM(H77+K77)</f>
        <v>850400.385799</v>
      </c>
      <c r="M77" s="448">
        <f>SUM(W70)</f>
        <v>324549.62</v>
      </c>
      <c r="N77" s="450">
        <f>SUM(AC70)</f>
        <v>383414.7604</v>
      </c>
      <c r="O77" s="451">
        <f>SUM(L77-M77-N77)</f>
        <v>142436.005399</v>
      </c>
      <c r="Q77" s="452"/>
      <c r="S77" s="453"/>
      <c r="W77" s="298"/>
      <c r="X77" s="454"/>
      <c r="Y77" s="454"/>
      <c r="Z77" s="454"/>
      <c r="AA77" s="454"/>
      <c r="AB77" s="455"/>
      <c r="AC77" s="455"/>
    </row>
  </sheetData>
  <autoFilter xmlns:etc="http://www.wps.cn/officeDocument/2017/etCustomData" ref="H3:K73" etc:filterBottomFollowUsedRange="0">
    <extLst/>
  </autoFilter>
  <mergeCells count="123">
    <mergeCell ref="A1:X1"/>
    <mergeCell ref="I2:O2"/>
    <mergeCell ref="Q2:U2"/>
    <mergeCell ref="X2:AC2"/>
    <mergeCell ref="A70:B70"/>
    <mergeCell ref="H75:K75"/>
    <mergeCell ref="A2:A3"/>
    <mergeCell ref="A4:A24"/>
    <mergeCell ref="A25:A31"/>
    <mergeCell ref="A32:A37"/>
    <mergeCell ref="A38:A49"/>
    <mergeCell ref="A50:A69"/>
    <mergeCell ref="B2:B3"/>
    <mergeCell ref="B4:B24"/>
    <mergeCell ref="B25:B31"/>
    <mergeCell ref="B32:B37"/>
    <mergeCell ref="B38:B49"/>
    <mergeCell ref="B50:B69"/>
    <mergeCell ref="C2:C3"/>
    <mergeCell ref="D2:D3"/>
    <mergeCell ref="E2:E3"/>
    <mergeCell ref="F2:F3"/>
    <mergeCell ref="G2:G3"/>
    <mergeCell ref="G75:G76"/>
    <mergeCell ref="H2:H3"/>
    <mergeCell ref="L75:L76"/>
    <mergeCell ref="M75:M76"/>
    <mergeCell ref="N75:N76"/>
    <mergeCell ref="O75:O76"/>
    <mergeCell ref="P2:P3"/>
    <mergeCell ref="P4:P24"/>
    <mergeCell ref="P25:P31"/>
    <mergeCell ref="P32:P37"/>
    <mergeCell ref="P38:P49"/>
    <mergeCell ref="P50:P69"/>
    <mergeCell ref="Q4:Q24"/>
    <mergeCell ref="Q25:Q31"/>
    <mergeCell ref="Q32:Q37"/>
    <mergeCell ref="Q38:Q49"/>
    <mergeCell ref="Q50:Q69"/>
    <mergeCell ref="R4:R24"/>
    <mergeCell ref="R25:R31"/>
    <mergeCell ref="R32:R37"/>
    <mergeCell ref="R38:R49"/>
    <mergeCell ref="R50:R69"/>
    <mergeCell ref="S4:S14"/>
    <mergeCell ref="S16:S24"/>
    <mergeCell ref="S25:S31"/>
    <mergeCell ref="S32:S37"/>
    <mergeCell ref="S39:S49"/>
    <mergeCell ref="S50:S69"/>
    <mergeCell ref="T4:T24"/>
    <mergeCell ref="T25:T31"/>
    <mergeCell ref="T32:T37"/>
    <mergeCell ref="T38:T49"/>
    <mergeCell ref="T50:T69"/>
    <mergeCell ref="U7:U12"/>
    <mergeCell ref="U14:U24"/>
    <mergeCell ref="U27:U31"/>
    <mergeCell ref="U33:U37"/>
    <mergeCell ref="U38:U47"/>
    <mergeCell ref="U50:U58"/>
    <mergeCell ref="U60:U69"/>
    <mergeCell ref="V2:V3"/>
    <mergeCell ref="V4:V13"/>
    <mergeCell ref="V16:V24"/>
    <mergeCell ref="V25:V31"/>
    <mergeCell ref="V33:V37"/>
    <mergeCell ref="V39:V49"/>
    <mergeCell ref="V50:V52"/>
    <mergeCell ref="V54:V58"/>
    <mergeCell ref="V60:V69"/>
    <mergeCell ref="W2:W3"/>
    <mergeCell ref="W4:W24"/>
    <mergeCell ref="W25:W31"/>
    <mergeCell ref="W32:W37"/>
    <mergeCell ref="W38:W49"/>
    <mergeCell ref="W50:W69"/>
    <mergeCell ref="X4:X24"/>
    <mergeCell ref="X25:X31"/>
    <mergeCell ref="X32:X37"/>
    <mergeCell ref="X38:X49"/>
    <mergeCell ref="X50:X69"/>
    <mergeCell ref="Y5:Y10"/>
    <mergeCell ref="Y12:Y24"/>
    <mergeCell ref="Y25:Y29"/>
    <mergeCell ref="Y33:Y36"/>
    <mergeCell ref="Y39:Y40"/>
    <mergeCell ref="Y42:Y48"/>
    <mergeCell ref="Y52:Y54"/>
    <mergeCell ref="Y56:Y60"/>
    <mergeCell ref="Y65:Y69"/>
    <mergeCell ref="Z4:Z24"/>
    <mergeCell ref="Z25:Z31"/>
    <mergeCell ref="Z32:Z37"/>
    <mergeCell ref="Z38:Z49"/>
    <mergeCell ref="Z50:Z69"/>
    <mergeCell ref="AA4:AA24"/>
    <mergeCell ref="AA25:AA31"/>
    <mergeCell ref="AA32:AA37"/>
    <mergeCell ref="AA38:AA49"/>
    <mergeCell ref="AA50:AA69"/>
    <mergeCell ref="AB4:AB24"/>
    <mergeCell ref="AB25:AB31"/>
    <mergeCell ref="AB32:AB37"/>
    <mergeCell ref="AB38:AB49"/>
    <mergeCell ref="AB50:AB69"/>
    <mergeCell ref="AC4:AC24"/>
    <mergeCell ref="AC25:AC31"/>
    <mergeCell ref="AC32:AC37"/>
    <mergeCell ref="AC38:AC49"/>
    <mergeCell ref="AC50:AC69"/>
    <mergeCell ref="AD4:AD24"/>
    <mergeCell ref="AD25:AD31"/>
    <mergeCell ref="AD32:AD37"/>
    <mergeCell ref="AD38:AD49"/>
    <mergeCell ref="AD50:AD69"/>
    <mergeCell ref="AE2:AE3"/>
    <mergeCell ref="AE4:AE24"/>
    <mergeCell ref="AE25:AE31"/>
    <mergeCell ref="AE32:AE37"/>
    <mergeCell ref="AE38:AE49"/>
    <mergeCell ref="AE50:AE69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E122"/>
  <sheetViews>
    <sheetView workbookViewId="0">
      <pane xSplit="6" ySplit="4" topLeftCell="P100" activePane="bottomRight" state="frozen"/>
      <selection/>
      <selection pane="topRight"/>
      <selection pane="bottomLeft"/>
      <selection pane="bottomRight" activeCell="AC118" sqref="AC118"/>
    </sheetView>
  </sheetViews>
  <sheetFormatPr defaultColWidth="9" defaultRowHeight="21" customHeight="1"/>
  <cols>
    <col min="1" max="1" width="9.36666666666667" style="266" customWidth="1"/>
    <col min="2" max="2" width="10.3666666666667" customWidth="1"/>
    <col min="3" max="3" width="11.3666666666667" customWidth="1"/>
    <col min="4" max="4" width="7.26666666666667" style="267" customWidth="1"/>
    <col min="5" max="5" width="5.725" customWidth="1"/>
    <col min="6" max="6" width="5.63333333333333" customWidth="1"/>
    <col min="7" max="7" width="8.26666666666667" customWidth="1"/>
    <col min="8" max="8" width="13.8166666666667" customWidth="1"/>
    <col min="9" max="9" width="14.3666666666667" style="268" customWidth="1"/>
    <col min="10" max="10" width="13.3666666666667" customWidth="1"/>
    <col min="11" max="11" width="12.6333333333333" style="269" customWidth="1"/>
    <col min="12" max="12" width="13.8166666666667" customWidth="1"/>
    <col min="13" max="13" width="12.0916666666667" style="270" customWidth="1"/>
    <col min="14" max="14" width="12.0916666666667" customWidth="1"/>
    <col min="15" max="16" width="13.8166666666667" customWidth="1"/>
    <col min="17" max="17" width="11.2666666666667" customWidth="1"/>
    <col min="18" max="18" width="12.0916666666667" style="98" customWidth="1"/>
    <col min="19" max="19" width="9" customWidth="1"/>
    <col min="20" max="20" width="11.1833333333333" style="271" customWidth="1"/>
    <col min="21" max="21" width="10.2666666666667" style="271" customWidth="1"/>
    <col min="22" max="22" width="11.2666666666667" style="271" customWidth="1"/>
    <col min="23" max="23" width="12.0916666666667" style="271" customWidth="1"/>
    <col min="24" max="24" width="11.1833333333333" customWidth="1"/>
    <col min="25" max="25" width="10.0916666666667" customWidth="1"/>
    <col min="26" max="26" width="8.63333333333333" customWidth="1"/>
    <col min="27" max="27" width="11.1833333333333" customWidth="1"/>
    <col min="28" max="28" width="9.625" customWidth="1"/>
    <col min="29" max="29" width="11.1833333333333" customWidth="1"/>
    <col min="30" max="30" width="12.45" customWidth="1"/>
    <col min="31" max="31" width="11.1833333333333" customWidth="1"/>
  </cols>
  <sheetData>
    <row r="1" ht="32" customHeight="1" spans="1:31">
      <c r="A1" s="272" t="s">
        <v>0</v>
      </c>
      <c r="B1" s="273"/>
      <c r="C1" s="274"/>
      <c r="D1" s="275"/>
      <c r="E1" s="276"/>
      <c r="F1" s="276"/>
      <c r="G1" s="275"/>
      <c r="H1" s="277"/>
      <c r="I1" s="278"/>
      <c r="J1" s="279"/>
      <c r="K1" s="280"/>
      <c r="L1" s="279"/>
      <c r="M1" s="281"/>
      <c r="N1" s="282"/>
      <c r="O1" s="283"/>
      <c r="P1" s="284"/>
      <c r="Q1" s="276"/>
      <c r="R1" s="285"/>
      <c r="S1" s="276"/>
      <c r="T1" s="285"/>
      <c r="U1" s="276"/>
      <c r="V1" s="285"/>
      <c r="W1" s="286"/>
      <c r="X1" s="281"/>
      <c r="Y1" s="280"/>
      <c r="Z1" s="281"/>
      <c r="AA1" s="281"/>
      <c r="AB1" s="287"/>
      <c r="AC1" s="288"/>
      <c r="AD1" s="289"/>
      <c r="AE1" s="289"/>
    </row>
    <row r="2" s="263" customFormat="1" ht="3" customHeight="1" spans="1:31">
      <c r="A2" s="290"/>
      <c r="B2" s="273"/>
      <c r="C2" s="291"/>
      <c r="D2" s="292"/>
      <c r="E2" s="273"/>
      <c r="F2" s="273"/>
      <c r="G2" s="292"/>
      <c r="H2" s="293"/>
      <c r="I2" s="294"/>
      <c r="J2" s="295"/>
      <c r="K2" s="296"/>
      <c r="L2" s="297"/>
      <c r="M2" s="298"/>
      <c r="N2" s="299"/>
      <c r="O2" s="300"/>
      <c r="P2" s="288"/>
      <c r="Q2" s="301"/>
      <c r="R2" s="288"/>
      <c r="S2" s="302"/>
      <c r="T2" s="288"/>
      <c r="U2" s="302"/>
      <c r="V2" s="303"/>
      <c r="W2" s="304"/>
      <c r="X2" s="298"/>
      <c r="Y2" s="305"/>
      <c r="Z2" s="298"/>
      <c r="AA2" s="298"/>
      <c r="AB2" s="287"/>
      <c r="AC2" s="288"/>
      <c r="AD2" s="288"/>
      <c r="AE2" s="288"/>
    </row>
    <row r="3" s="231" customFormat="1" ht="23" customHeight="1" spans="1:31">
      <c r="A3" s="306" t="s">
        <v>1</v>
      </c>
      <c r="B3" s="307" t="s">
        <v>2</v>
      </c>
      <c r="C3" s="308" t="s">
        <v>3</v>
      </c>
      <c r="D3" s="309" t="s">
        <v>4</v>
      </c>
      <c r="E3" s="310" t="s">
        <v>5</v>
      </c>
      <c r="F3" s="310" t="s">
        <v>6</v>
      </c>
      <c r="G3" s="311" t="s">
        <v>7</v>
      </c>
      <c r="H3" s="312" t="s">
        <v>8</v>
      </c>
      <c r="I3" s="313" t="s">
        <v>9</v>
      </c>
      <c r="J3" s="314"/>
      <c r="K3" s="315"/>
      <c r="L3" s="316"/>
      <c r="M3" s="315"/>
      <c r="N3" s="317"/>
      <c r="O3" s="318"/>
      <c r="P3" s="319" t="s">
        <v>10</v>
      </c>
      <c r="Q3" s="320" t="s">
        <v>11</v>
      </c>
      <c r="R3" s="321"/>
      <c r="S3" s="322"/>
      <c r="T3" s="321"/>
      <c r="U3" s="323"/>
      <c r="V3" s="324" t="s">
        <v>12</v>
      </c>
      <c r="W3" s="325" t="s">
        <v>13</v>
      </c>
      <c r="X3" s="326" t="s">
        <v>14</v>
      </c>
      <c r="Y3" s="327"/>
      <c r="Z3" s="326"/>
      <c r="AA3" s="326"/>
      <c r="AB3" s="328"/>
      <c r="AC3" s="326"/>
      <c r="AD3" s="329" t="s">
        <v>15</v>
      </c>
      <c r="AE3" s="330" t="s">
        <v>16</v>
      </c>
    </row>
    <row r="4" s="231" customFormat="1" ht="40.5" spans="1:31">
      <c r="A4" s="331"/>
      <c r="B4" s="332"/>
      <c r="C4" s="308"/>
      <c r="D4" s="309"/>
      <c r="E4" s="333"/>
      <c r="F4" s="333"/>
      <c r="G4" s="334"/>
      <c r="H4" s="333"/>
      <c r="I4" s="335" t="s">
        <v>17</v>
      </c>
      <c r="J4" s="336" t="s">
        <v>18</v>
      </c>
      <c r="K4" s="337" t="s">
        <v>19</v>
      </c>
      <c r="L4" s="338" t="s">
        <v>20</v>
      </c>
      <c r="M4" s="339" t="s">
        <v>21</v>
      </c>
      <c r="N4" s="340" t="s">
        <v>22</v>
      </c>
      <c r="O4" s="341" t="s">
        <v>23</v>
      </c>
      <c r="P4" s="342"/>
      <c r="Q4" s="343" t="s">
        <v>24</v>
      </c>
      <c r="R4" s="457" t="s">
        <v>81</v>
      </c>
      <c r="S4" s="345" t="s">
        <v>26</v>
      </c>
      <c r="T4" s="344" t="s">
        <v>27</v>
      </c>
      <c r="U4" s="345" t="s">
        <v>28</v>
      </c>
      <c r="V4" s="346"/>
      <c r="W4" s="347"/>
      <c r="X4" s="348" t="s">
        <v>29</v>
      </c>
      <c r="Y4" s="349" t="s">
        <v>30</v>
      </c>
      <c r="Z4" s="348" t="s">
        <v>31</v>
      </c>
      <c r="AA4" s="326" t="s">
        <v>32</v>
      </c>
      <c r="AB4" s="350" t="s">
        <v>33</v>
      </c>
      <c r="AC4" s="351" t="s">
        <v>23</v>
      </c>
      <c r="AD4" s="352" t="s">
        <v>34</v>
      </c>
      <c r="AE4" s="353"/>
    </row>
    <row r="5" s="264" customFormat="1" ht="12.75" spans="1:31">
      <c r="A5" s="354" t="s">
        <v>122</v>
      </c>
      <c r="B5" s="355" t="s">
        <v>123</v>
      </c>
      <c r="C5" s="356">
        <v>240708000003</v>
      </c>
      <c r="D5" s="357">
        <v>45491</v>
      </c>
      <c r="E5" s="355" t="s">
        <v>119</v>
      </c>
      <c r="F5" s="355" t="s">
        <v>120</v>
      </c>
      <c r="G5" s="355">
        <v>2.2272</v>
      </c>
      <c r="H5" s="355">
        <v>11222</v>
      </c>
      <c r="I5" s="364"/>
      <c r="J5" s="370">
        <v>8906452</v>
      </c>
      <c r="K5" s="360"/>
      <c r="L5" s="361">
        <f>SUM(J5/M5)</f>
        <v>1620.0015253361</v>
      </c>
      <c r="M5" s="362">
        <v>5497.8047</v>
      </c>
      <c r="N5" s="355">
        <v>7.12</v>
      </c>
      <c r="O5" s="364">
        <f>SUM(M5*N5)</f>
        <v>39144.369464</v>
      </c>
      <c r="P5" s="371">
        <f>SUM(O5:O9)</f>
        <v>58091.471864</v>
      </c>
      <c r="Q5" s="371" t="s">
        <v>66</v>
      </c>
      <c r="R5" s="497">
        <v>19204</v>
      </c>
      <c r="S5" s="371">
        <v>40.68</v>
      </c>
      <c r="T5" s="371"/>
      <c r="U5" s="367">
        <v>350</v>
      </c>
      <c r="V5" s="371"/>
      <c r="W5" s="478">
        <f>SUM(R5:V9)</f>
        <v>19664.68</v>
      </c>
      <c r="X5" s="373"/>
      <c r="Y5" s="373"/>
      <c r="Z5" s="373">
        <v>100.29</v>
      </c>
      <c r="AA5" s="373">
        <f>SUM(X5:Z9)</f>
        <v>208.15</v>
      </c>
      <c r="AB5" s="374">
        <v>7.15</v>
      </c>
      <c r="AC5" s="371">
        <f>SUM(AA5*AB5)</f>
        <v>1488.2725</v>
      </c>
      <c r="AD5" s="371">
        <f>SUM(W5+AC5)</f>
        <v>21152.9525</v>
      </c>
      <c r="AE5" s="371">
        <f>SUM(P5-AD5)</f>
        <v>36938.519364</v>
      </c>
    </row>
    <row r="6" s="264" customFormat="1" ht="12.75" spans="1:31">
      <c r="A6" s="354"/>
      <c r="B6" s="355"/>
      <c r="C6" s="356">
        <v>240715000049</v>
      </c>
      <c r="D6" s="357">
        <v>45490</v>
      </c>
      <c r="E6" s="355" t="s">
        <v>40</v>
      </c>
      <c r="F6" s="355" t="s">
        <v>112</v>
      </c>
      <c r="G6" s="355">
        <v>0.4043</v>
      </c>
      <c r="H6" s="355">
        <v>55</v>
      </c>
      <c r="I6" s="358">
        <v>923.29</v>
      </c>
      <c r="J6" s="369"/>
      <c r="K6" s="360"/>
      <c r="L6" s="361"/>
      <c r="M6" s="360"/>
      <c r="N6" s="355"/>
      <c r="O6" s="364">
        <f t="shared" ref="O6:O15" si="0">SUBTOTAL(9,I6)</f>
        <v>923.29</v>
      </c>
      <c r="P6" s="375"/>
      <c r="Q6" s="375"/>
      <c r="R6" s="498"/>
      <c r="S6" s="375"/>
      <c r="T6" s="375"/>
      <c r="U6" s="375"/>
      <c r="V6" s="375"/>
      <c r="W6" s="392"/>
      <c r="X6" s="376"/>
      <c r="Y6" s="377"/>
      <c r="Z6" s="376"/>
      <c r="AA6" s="376"/>
      <c r="AB6" s="378"/>
      <c r="AC6" s="375"/>
      <c r="AD6" s="375"/>
      <c r="AE6" s="375"/>
    </row>
    <row r="7" s="264" customFormat="1" ht="12.75" spans="1:31">
      <c r="A7" s="354"/>
      <c r="B7" s="355"/>
      <c r="C7" s="356">
        <v>240709000025</v>
      </c>
      <c r="D7" s="357">
        <v>45491</v>
      </c>
      <c r="E7" s="355" t="s">
        <v>49</v>
      </c>
      <c r="F7" s="355" t="s">
        <v>95</v>
      </c>
      <c r="G7" s="355">
        <v>0.1112</v>
      </c>
      <c r="H7" s="355">
        <v>57</v>
      </c>
      <c r="I7" s="358">
        <v>556</v>
      </c>
      <c r="J7" s="369"/>
      <c r="K7" s="360"/>
      <c r="L7" s="361"/>
      <c r="M7" s="360"/>
      <c r="N7" s="355"/>
      <c r="O7" s="364">
        <f t="shared" si="0"/>
        <v>556</v>
      </c>
      <c r="P7" s="375"/>
      <c r="Q7" s="375"/>
      <c r="R7" s="498"/>
      <c r="S7" s="375"/>
      <c r="T7" s="375"/>
      <c r="U7" s="375"/>
      <c r="V7" s="375"/>
      <c r="W7" s="392"/>
      <c r="X7" s="376"/>
      <c r="Y7" s="368">
        <v>37.06</v>
      </c>
      <c r="Z7" s="376"/>
      <c r="AA7" s="376"/>
      <c r="AB7" s="378"/>
      <c r="AC7" s="375"/>
      <c r="AD7" s="375"/>
      <c r="AE7" s="375"/>
    </row>
    <row r="8" s="264" customFormat="1" ht="12.75" spans="1:31">
      <c r="A8" s="354"/>
      <c r="B8" s="355"/>
      <c r="C8" s="356">
        <v>240713000006</v>
      </c>
      <c r="D8" s="357">
        <v>45491</v>
      </c>
      <c r="E8" s="355" t="s">
        <v>42</v>
      </c>
      <c r="F8" s="355" t="s">
        <v>124</v>
      </c>
      <c r="G8" s="355">
        <v>1.7306</v>
      </c>
      <c r="H8" s="355">
        <v>346</v>
      </c>
      <c r="I8" s="358">
        <v>5462</v>
      </c>
      <c r="J8" s="369"/>
      <c r="K8" s="360"/>
      <c r="L8" s="361"/>
      <c r="M8" s="360"/>
      <c r="N8" s="355"/>
      <c r="O8" s="364">
        <f>SUM(I8)</f>
        <v>5462</v>
      </c>
      <c r="P8" s="375"/>
      <c r="Q8" s="375"/>
      <c r="R8" s="498"/>
      <c r="S8" s="375"/>
      <c r="T8" s="375"/>
      <c r="U8" s="379"/>
      <c r="V8" s="375"/>
      <c r="W8" s="392"/>
      <c r="X8" s="376"/>
      <c r="Y8" s="368">
        <v>70.8</v>
      </c>
      <c r="Z8" s="376"/>
      <c r="AA8" s="376"/>
      <c r="AB8" s="378"/>
      <c r="AC8" s="375"/>
      <c r="AD8" s="375"/>
      <c r="AE8" s="375"/>
    </row>
    <row r="9" s="264" customFormat="1" ht="12.75" spans="1:31">
      <c r="A9" s="354"/>
      <c r="B9" s="355"/>
      <c r="C9" s="356">
        <v>240718000002</v>
      </c>
      <c r="D9" s="357">
        <v>45491</v>
      </c>
      <c r="E9" s="355" t="s">
        <v>119</v>
      </c>
      <c r="F9" s="355" t="s">
        <v>120</v>
      </c>
      <c r="G9" s="355">
        <v>5.3938</v>
      </c>
      <c r="H9" s="355">
        <v>1414</v>
      </c>
      <c r="I9" s="364"/>
      <c r="J9" s="370">
        <v>2909624</v>
      </c>
      <c r="K9" s="360"/>
      <c r="L9" s="361">
        <f>SUM(J9/M9)</f>
        <v>1711.00003528291</v>
      </c>
      <c r="M9" s="362">
        <v>1700.54</v>
      </c>
      <c r="N9" s="355">
        <v>7.06</v>
      </c>
      <c r="O9" s="364">
        <f>SUM(M9*N9)</f>
        <v>12005.8124</v>
      </c>
      <c r="P9" s="379"/>
      <c r="Q9" s="379"/>
      <c r="R9" s="499"/>
      <c r="S9" s="379"/>
      <c r="T9" s="379"/>
      <c r="U9" s="367">
        <v>70</v>
      </c>
      <c r="V9" s="379"/>
      <c r="W9" s="479"/>
      <c r="X9" s="377"/>
      <c r="Y9" s="368"/>
      <c r="Z9" s="377"/>
      <c r="AA9" s="377"/>
      <c r="AB9" s="380"/>
      <c r="AC9" s="379"/>
      <c r="AD9" s="379"/>
      <c r="AE9" s="379"/>
    </row>
    <row r="10" s="264" customFormat="1" ht="12.75" spans="1:31">
      <c r="A10" s="354" t="s">
        <v>125</v>
      </c>
      <c r="B10" s="355" t="s">
        <v>126</v>
      </c>
      <c r="C10" s="356">
        <v>240719000024</v>
      </c>
      <c r="D10" s="357">
        <v>45505</v>
      </c>
      <c r="E10" s="355" t="s">
        <v>127</v>
      </c>
      <c r="F10" s="355" t="s">
        <v>127</v>
      </c>
      <c r="G10" s="355">
        <v>0.0423</v>
      </c>
      <c r="H10" s="355">
        <v>12.5</v>
      </c>
      <c r="I10" s="358">
        <v>356</v>
      </c>
      <c r="J10" s="369"/>
      <c r="K10" s="360"/>
      <c r="L10" s="361"/>
      <c r="M10" s="360"/>
      <c r="N10" s="355"/>
      <c r="O10" s="364">
        <f t="shared" si="0"/>
        <v>356</v>
      </c>
      <c r="P10" s="371">
        <f>SUM(O10:O21)</f>
        <v>156015.339688</v>
      </c>
      <c r="Q10" s="372" t="s">
        <v>128</v>
      </c>
      <c r="R10" s="371">
        <f>SUM(56567+1280)</f>
        <v>57847</v>
      </c>
      <c r="S10" s="371"/>
      <c r="T10" s="371">
        <f>SUM(1000+400)</f>
        <v>1400</v>
      </c>
      <c r="U10" s="371"/>
      <c r="V10" s="371"/>
      <c r="W10" s="478">
        <f>SUM(R10:V21)</f>
        <v>59247</v>
      </c>
      <c r="X10" s="373">
        <v>10235.99</v>
      </c>
      <c r="Y10" s="368">
        <v>9.09</v>
      </c>
      <c r="Z10" s="373"/>
      <c r="AA10" s="373">
        <f>SUM(X10:Z21)</f>
        <v>10923.55</v>
      </c>
      <c r="AB10" s="374">
        <v>7.08</v>
      </c>
      <c r="AC10" s="371">
        <f>SUM(AA10*AB10)</f>
        <v>77338.734</v>
      </c>
      <c r="AD10" s="371">
        <f>SUM(W10+AC10)</f>
        <v>136585.734</v>
      </c>
      <c r="AE10" s="371">
        <f>SUM(P10-AD10)</f>
        <v>19429.605688</v>
      </c>
    </row>
    <row r="11" s="264" customFormat="1" ht="12.75" spans="1:31">
      <c r="A11" s="354"/>
      <c r="B11" s="355"/>
      <c r="C11" s="356">
        <v>240717000037</v>
      </c>
      <c r="D11" s="357">
        <v>45498</v>
      </c>
      <c r="E11" s="355" t="s">
        <v>42</v>
      </c>
      <c r="F11" s="355" t="s">
        <v>118</v>
      </c>
      <c r="G11" s="355">
        <v>6.1861</v>
      </c>
      <c r="H11" s="355">
        <v>1004.71</v>
      </c>
      <c r="I11" s="358">
        <v>14822</v>
      </c>
      <c r="J11" s="369"/>
      <c r="K11" s="360"/>
      <c r="L11" s="361"/>
      <c r="M11" s="360"/>
      <c r="N11" s="355"/>
      <c r="O11" s="364">
        <f t="shared" si="0"/>
        <v>14822</v>
      </c>
      <c r="P11" s="375"/>
      <c r="Q11" s="375"/>
      <c r="R11" s="375"/>
      <c r="S11" s="375"/>
      <c r="T11" s="375"/>
      <c r="U11" s="375"/>
      <c r="V11" s="367"/>
      <c r="W11" s="392"/>
      <c r="X11" s="376"/>
      <c r="Y11" s="373"/>
      <c r="Z11" s="376"/>
      <c r="AA11" s="376"/>
      <c r="AB11" s="378"/>
      <c r="AC11" s="375"/>
      <c r="AD11" s="375"/>
      <c r="AE11" s="375"/>
    </row>
    <row r="12" s="264" customFormat="1" ht="12.75" spans="1:31">
      <c r="A12" s="354"/>
      <c r="B12" s="355"/>
      <c r="C12" s="356">
        <v>240724000023</v>
      </c>
      <c r="D12" s="357">
        <v>45505</v>
      </c>
      <c r="E12" s="355" t="s">
        <v>40</v>
      </c>
      <c r="F12" s="355" t="s">
        <v>112</v>
      </c>
      <c r="G12" s="355">
        <v>0.158</v>
      </c>
      <c r="H12" s="355">
        <v>156</v>
      </c>
      <c r="I12" s="358">
        <v>337.92</v>
      </c>
      <c r="J12" s="369"/>
      <c r="K12" s="360"/>
      <c r="L12" s="361"/>
      <c r="M12" s="360"/>
      <c r="N12" s="355"/>
      <c r="O12" s="364">
        <f t="shared" si="0"/>
        <v>337.92</v>
      </c>
      <c r="P12" s="375"/>
      <c r="Q12" s="375"/>
      <c r="R12" s="375"/>
      <c r="S12" s="375"/>
      <c r="T12" s="375"/>
      <c r="U12" s="375"/>
      <c r="V12" s="375"/>
      <c r="W12" s="392"/>
      <c r="X12" s="376"/>
      <c r="Y12" s="376"/>
      <c r="Z12" s="376"/>
      <c r="AA12" s="376"/>
      <c r="AB12" s="378"/>
      <c r="AC12" s="375"/>
      <c r="AD12" s="375"/>
      <c r="AE12" s="375"/>
    </row>
    <row r="13" s="264" customFormat="1" ht="12.75" spans="1:31">
      <c r="A13" s="354"/>
      <c r="B13" s="355"/>
      <c r="C13" s="356">
        <v>240718000039</v>
      </c>
      <c r="D13" s="357">
        <v>45511</v>
      </c>
      <c r="E13" s="355" t="s">
        <v>49</v>
      </c>
      <c r="F13" s="355" t="s">
        <v>129</v>
      </c>
      <c r="G13" s="355">
        <v>0.5054</v>
      </c>
      <c r="H13" s="355">
        <v>412</v>
      </c>
      <c r="I13" s="358">
        <v>2582</v>
      </c>
      <c r="J13" s="369"/>
      <c r="K13" s="360"/>
      <c r="L13" s="361"/>
      <c r="M13" s="360"/>
      <c r="N13" s="355"/>
      <c r="O13" s="367">
        <f t="shared" si="0"/>
        <v>2582</v>
      </c>
      <c r="P13" s="371"/>
      <c r="Q13" s="371"/>
      <c r="R13" s="371"/>
      <c r="S13" s="371"/>
      <c r="T13" s="371"/>
      <c r="U13" s="371"/>
      <c r="V13" s="371"/>
      <c r="W13" s="478"/>
      <c r="X13" s="373"/>
      <c r="Y13" s="376"/>
      <c r="Z13" s="373"/>
      <c r="AA13" s="373"/>
      <c r="AB13" s="374"/>
      <c r="AC13" s="371"/>
      <c r="AD13" s="371"/>
      <c r="AE13" s="371"/>
    </row>
    <row r="14" s="264" customFormat="1" ht="12.75" spans="1:31">
      <c r="A14" s="354"/>
      <c r="B14" s="355"/>
      <c r="C14" s="356">
        <v>240726000053</v>
      </c>
      <c r="D14" s="357">
        <v>45505</v>
      </c>
      <c r="E14" s="355" t="s">
        <v>42</v>
      </c>
      <c r="F14" s="355" t="s">
        <v>43</v>
      </c>
      <c r="G14" s="355">
        <v>0.2452</v>
      </c>
      <c r="H14" s="355">
        <v>41</v>
      </c>
      <c r="I14" s="358">
        <v>611.38</v>
      </c>
      <c r="J14" s="369"/>
      <c r="K14" s="360"/>
      <c r="L14" s="361"/>
      <c r="M14" s="360"/>
      <c r="N14" s="355"/>
      <c r="O14" s="364">
        <f t="shared" si="0"/>
        <v>611.38</v>
      </c>
      <c r="P14" s="375"/>
      <c r="Q14" s="375"/>
      <c r="R14" s="375"/>
      <c r="S14" s="375"/>
      <c r="T14" s="375"/>
      <c r="U14" s="375"/>
      <c r="V14" s="375"/>
      <c r="W14" s="392"/>
      <c r="X14" s="376"/>
      <c r="Y14" s="377"/>
      <c r="Z14" s="376"/>
      <c r="AA14" s="376"/>
      <c r="AB14" s="378"/>
      <c r="AC14" s="375"/>
      <c r="AD14" s="375"/>
      <c r="AE14" s="375"/>
    </row>
    <row r="15" s="264" customFormat="1" ht="12.75" spans="1:31">
      <c r="A15" s="354"/>
      <c r="B15" s="355"/>
      <c r="C15" s="356">
        <v>240727000003</v>
      </c>
      <c r="D15" s="357">
        <v>45505</v>
      </c>
      <c r="E15" s="355" t="s">
        <v>40</v>
      </c>
      <c r="F15" s="355" t="s">
        <v>130</v>
      </c>
      <c r="G15" s="355">
        <v>4.7589</v>
      </c>
      <c r="H15" s="355">
        <v>760</v>
      </c>
      <c r="I15" s="358">
        <v>17244.43</v>
      </c>
      <c r="J15" s="369"/>
      <c r="K15" s="360"/>
      <c r="L15" s="361"/>
      <c r="M15" s="360"/>
      <c r="N15" s="355"/>
      <c r="O15" s="364">
        <f t="shared" si="0"/>
        <v>17244.43</v>
      </c>
      <c r="P15" s="375"/>
      <c r="Q15" s="375"/>
      <c r="R15" s="375"/>
      <c r="S15" s="375"/>
      <c r="T15" s="375"/>
      <c r="U15" s="375"/>
      <c r="V15" s="375"/>
      <c r="W15" s="392"/>
      <c r="X15" s="376"/>
      <c r="Y15" s="368">
        <v>678.47</v>
      </c>
      <c r="Z15" s="376"/>
      <c r="AA15" s="376"/>
      <c r="AB15" s="378"/>
      <c r="AC15" s="375"/>
      <c r="AD15" s="375"/>
      <c r="AE15" s="375"/>
    </row>
    <row r="16" s="264" customFormat="1" ht="12.75" spans="1:31">
      <c r="A16" s="354"/>
      <c r="B16" s="355"/>
      <c r="C16" s="356">
        <v>240729000009</v>
      </c>
      <c r="D16" s="357">
        <v>45505</v>
      </c>
      <c r="E16" s="355" t="s">
        <v>42</v>
      </c>
      <c r="F16" s="355" t="s">
        <v>131</v>
      </c>
      <c r="G16" s="355">
        <v>2.2224</v>
      </c>
      <c r="H16" s="355">
        <v>3202</v>
      </c>
      <c r="I16" s="364"/>
      <c r="J16" s="370">
        <v>2787617</v>
      </c>
      <c r="K16" s="360"/>
      <c r="L16" s="361">
        <f>SUM(J16/M16)</f>
        <v>1741.25950961069</v>
      </c>
      <c r="M16" s="362">
        <v>1600.9199</v>
      </c>
      <c r="N16" s="355">
        <v>7.12</v>
      </c>
      <c r="O16" s="364">
        <f>SUM(M16*N16)</f>
        <v>11398.549688</v>
      </c>
      <c r="P16" s="375"/>
      <c r="Q16" s="375"/>
      <c r="R16" s="375"/>
      <c r="S16" s="375"/>
      <c r="T16" s="375"/>
      <c r="U16" s="375"/>
      <c r="V16" s="375"/>
      <c r="W16" s="392"/>
      <c r="X16" s="376"/>
      <c r="Y16" s="373"/>
      <c r="Z16" s="376"/>
      <c r="AA16" s="376"/>
      <c r="AB16" s="378"/>
      <c r="AC16" s="375"/>
      <c r="AD16" s="375"/>
      <c r="AE16" s="375"/>
    </row>
    <row r="17" s="264" customFormat="1" ht="12.75" spans="1:31">
      <c r="A17" s="354"/>
      <c r="B17" s="355"/>
      <c r="C17" s="356">
        <v>240729000055</v>
      </c>
      <c r="D17" s="357">
        <v>45505</v>
      </c>
      <c r="E17" s="355" t="s">
        <v>103</v>
      </c>
      <c r="F17" s="355" t="s">
        <v>104</v>
      </c>
      <c r="G17" s="355">
        <v>22.022</v>
      </c>
      <c r="H17" s="355">
        <v>12675</v>
      </c>
      <c r="I17" s="358">
        <v>54288.61</v>
      </c>
      <c r="J17" s="369"/>
      <c r="K17" s="362"/>
      <c r="L17" s="361"/>
      <c r="M17" s="362"/>
      <c r="N17" s="355"/>
      <c r="O17" s="364">
        <f t="shared" ref="O17:O23" si="1">SUBTOTAL(9,I17)</f>
        <v>54288.61</v>
      </c>
      <c r="P17" s="375"/>
      <c r="Q17" s="375"/>
      <c r="R17" s="375"/>
      <c r="S17" s="375"/>
      <c r="T17" s="375"/>
      <c r="U17" s="375"/>
      <c r="V17" s="375"/>
      <c r="W17" s="392"/>
      <c r="X17" s="376"/>
      <c r="Y17" s="376"/>
      <c r="Z17" s="376"/>
      <c r="AA17" s="376"/>
      <c r="AB17" s="378"/>
      <c r="AC17" s="375"/>
      <c r="AD17" s="375"/>
      <c r="AE17" s="375"/>
    </row>
    <row r="18" s="264" customFormat="1" ht="12.75" spans="1:31">
      <c r="A18" s="354"/>
      <c r="B18" s="355"/>
      <c r="C18" s="356">
        <v>240730000017</v>
      </c>
      <c r="D18" s="357">
        <v>45505</v>
      </c>
      <c r="E18" s="355" t="s">
        <v>40</v>
      </c>
      <c r="F18" s="355" t="s">
        <v>41</v>
      </c>
      <c r="G18" s="355">
        <v>0.2622</v>
      </c>
      <c r="H18" s="355">
        <v>392</v>
      </c>
      <c r="I18" s="358">
        <v>1290.24</v>
      </c>
      <c r="J18" s="369"/>
      <c r="K18" s="360"/>
      <c r="L18" s="361"/>
      <c r="M18" s="360"/>
      <c r="N18" s="355"/>
      <c r="O18" s="364">
        <f t="shared" si="1"/>
        <v>1290.24</v>
      </c>
      <c r="P18" s="375"/>
      <c r="Q18" s="375"/>
      <c r="R18" s="375"/>
      <c r="S18" s="375"/>
      <c r="T18" s="375"/>
      <c r="U18" s="375"/>
      <c r="V18" s="375"/>
      <c r="W18" s="392"/>
      <c r="X18" s="376"/>
      <c r="Y18" s="376"/>
      <c r="Z18" s="376"/>
      <c r="AA18" s="376"/>
      <c r="AB18" s="378"/>
      <c r="AC18" s="375"/>
      <c r="AD18" s="375"/>
      <c r="AE18" s="375"/>
    </row>
    <row r="19" s="264" customFormat="1" ht="12.75" spans="1:31">
      <c r="A19" s="354"/>
      <c r="B19" s="355"/>
      <c r="C19" s="356">
        <v>240801000003</v>
      </c>
      <c r="D19" s="357">
        <v>45505</v>
      </c>
      <c r="E19" s="355" t="s">
        <v>40</v>
      </c>
      <c r="F19" s="355" t="s">
        <v>112</v>
      </c>
      <c r="G19" s="355">
        <v>2.1</v>
      </c>
      <c r="H19" s="355">
        <v>352</v>
      </c>
      <c r="I19" s="358">
        <v>4491.38</v>
      </c>
      <c r="J19" s="369"/>
      <c r="K19" s="360"/>
      <c r="L19" s="361"/>
      <c r="M19" s="360"/>
      <c r="N19" s="355"/>
      <c r="O19" s="364">
        <f t="shared" si="1"/>
        <v>4491.38</v>
      </c>
      <c r="P19" s="375"/>
      <c r="Q19" s="375"/>
      <c r="R19" s="375"/>
      <c r="S19" s="375"/>
      <c r="T19" s="375"/>
      <c r="U19" s="375"/>
      <c r="V19" s="375"/>
      <c r="W19" s="392"/>
      <c r="X19" s="376"/>
      <c r="Y19" s="376"/>
      <c r="Z19" s="376"/>
      <c r="AA19" s="376"/>
      <c r="AB19" s="378"/>
      <c r="AC19" s="375"/>
      <c r="AD19" s="375"/>
      <c r="AE19" s="375"/>
    </row>
    <row r="20" s="264" customFormat="1" ht="12.75" spans="1:31">
      <c r="A20" s="354"/>
      <c r="B20" s="355"/>
      <c r="C20" s="356">
        <v>240801000001</v>
      </c>
      <c r="D20" s="357">
        <v>45506</v>
      </c>
      <c r="E20" s="355" t="s">
        <v>40</v>
      </c>
      <c r="F20" s="355" t="s">
        <v>59</v>
      </c>
      <c r="G20" s="355">
        <v>28.4144</v>
      </c>
      <c r="H20" s="355">
        <v>2700</v>
      </c>
      <c r="I20" s="358">
        <v>48216.84</v>
      </c>
      <c r="J20" s="369"/>
      <c r="K20" s="360"/>
      <c r="L20" s="361"/>
      <c r="M20" s="362"/>
      <c r="N20" s="355"/>
      <c r="O20" s="364">
        <f t="shared" si="1"/>
        <v>48216.84</v>
      </c>
      <c r="P20" s="375"/>
      <c r="Q20" s="375"/>
      <c r="R20" s="375"/>
      <c r="S20" s="375"/>
      <c r="T20" s="375"/>
      <c r="U20" s="375"/>
      <c r="V20" s="375"/>
      <c r="W20" s="392"/>
      <c r="X20" s="376"/>
      <c r="Y20" s="376"/>
      <c r="Z20" s="376"/>
      <c r="AA20" s="376"/>
      <c r="AB20" s="378"/>
      <c r="AC20" s="375"/>
      <c r="AD20" s="375"/>
      <c r="AE20" s="375"/>
    </row>
    <row r="21" s="264" customFormat="1" ht="12.75" spans="1:31">
      <c r="A21" s="354"/>
      <c r="B21" s="355"/>
      <c r="C21" s="356">
        <v>240801000004</v>
      </c>
      <c r="D21" s="357">
        <v>45505</v>
      </c>
      <c r="E21" s="355" t="s">
        <v>40</v>
      </c>
      <c r="F21" s="355" t="s">
        <v>112</v>
      </c>
      <c r="G21" s="355">
        <v>0.1758</v>
      </c>
      <c r="H21" s="355">
        <v>34</v>
      </c>
      <c r="I21" s="358">
        <v>375.99</v>
      </c>
      <c r="J21" s="369"/>
      <c r="K21" s="360"/>
      <c r="L21" s="361"/>
      <c r="M21" s="360"/>
      <c r="N21" s="355"/>
      <c r="O21" s="364">
        <f t="shared" si="1"/>
        <v>375.99</v>
      </c>
      <c r="P21" s="379"/>
      <c r="Q21" s="379"/>
      <c r="R21" s="379"/>
      <c r="S21" s="379"/>
      <c r="T21" s="379"/>
      <c r="U21" s="379"/>
      <c r="V21" s="379"/>
      <c r="W21" s="479"/>
      <c r="X21" s="377"/>
      <c r="Y21" s="377"/>
      <c r="Z21" s="377"/>
      <c r="AA21" s="377"/>
      <c r="AB21" s="380"/>
      <c r="AC21" s="379"/>
      <c r="AD21" s="379"/>
      <c r="AE21" s="379"/>
    </row>
    <row r="22" s="264" customFormat="1" ht="12.75" spans="1:31">
      <c r="A22" s="354" t="s">
        <v>132</v>
      </c>
      <c r="B22" s="355" t="s">
        <v>133</v>
      </c>
      <c r="C22" s="356">
        <v>240707000004</v>
      </c>
      <c r="D22" s="357">
        <v>45506</v>
      </c>
      <c r="E22" s="355" t="s">
        <v>40</v>
      </c>
      <c r="F22" s="355" t="s">
        <v>134</v>
      </c>
      <c r="G22" s="355">
        <v>9.3447</v>
      </c>
      <c r="H22" s="355">
        <v>5042.5</v>
      </c>
      <c r="I22" s="358">
        <v>28642.1</v>
      </c>
      <c r="J22" s="369"/>
      <c r="K22" s="360"/>
      <c r="L22" s="361"/>
      <c r="M22" s="360"/>
      <c r="N22" s="355"/>
      <c r="O22" s="364">
        <f t="shared" si="1"/>
        <v>28642.1</v>
      </c>
      <c r="P22" s="371">
        <f>SUM(O22:O42)</f>
        <v>165882.734</v>
      </c>
      <c r="Q22" s="372" t="s">
        <v>135</v>
      </c>
      <c r="R22" s="371">
        <f>SUM(56567+2300)</f>
        <v>58867</v>
      </c>
      <c r="S22" s="371"/>
      <c r="T22" s="371">
        <f>SUM(1000+700+300)</f>
        <v>2000</v>
      </c>
      <c r="U22" s="371"/>
      <c r="V22" s="371"/>
      <c r="W22" s="478">
        <f>SUM(R22:V42)</f>
        <v>60867</v>
      </c>
      <c r="X22" s="373">
        <v>10117.99</v>
      </c>
      <c r="Y22" s="368">
        <v>88.5</v>
      </c>
      <c r="Z22" s="373">
        <f>SUM(41.3+50.15)</f>
        <v>91.45</v>
      </c>
      <c r="AA22" s="373">
        <f>SUM(X22:Z42)</f>
        <v>10743.72</v>
      </c>
      <c r="AB22" s="374">
        <v>7.15</v>
      </c>
      <c r="AC22" s="371">
        <f>SUM(AA22*AB22)</f>
        <v>76817.598</v>
      </c>
      <c r="AD22" s="371">
        <f>SUM(W22+AC22)</f>
        <v>137684.598</v>
      </c>
      <c r="AE22" s="371">
        <f>SUM(P22-AD22)</f>
        <v>28198.136</v>
      </c>
    </row>
    <row r="23" s="264" customFormat="1" ht="12.75" spans="1:31">
      <c r="A23" s="354"/>
      <c r="B23" s="355"/>
      <c r="C23" s="356">
        <v>240719000020</v>
      </c>
      <c r="D23" s="357">
        <v>45506</v>
      </c>
      <c r="E23" s="355" t="s">
        <v>40</v>
      </c>
      <c r="F23" s="355" t="s">
        <v>136</v>
      </c>
      <c r="G23" s="355">
        <v>0.645</v>
      </c>
      <c r="H23" s="355">
        <v>148</v>
      </c>
      <c r="I23" s="358">
        <v>2922.21</v>
      </c>
      <c r="J23" s="369"/>
      <c r="K23" s="360"/>
      <c r="L23" s="361"/>
      <c r="M23" s="360"/>
      <c r="N23" s="355"/>
      <c r="O23" s="364">
        <f t="shared" si="1"/>
        <v>2922.21</v>
      </c>
      <c r="P23" s="375"/>
      <c r="Q23" s="375"/>
      <c r="R23" s="375"/>
      <c r="S23" s="375"/>
      <c r="T23" s="375"/>
      <c r="U23" s="375"/>
      <c r="V23" s="375"/>
      <c r="W23" s="392"/>
      <c r="X23" s="376"/>
      <c r="Y23" s="368">
        <v>160.91</v>
      </c>
      <c r="Z23" s="376"/>
      <c r="AA23" s="376"/>
      <c r="AB23" s="378"/>
      <c r="AC23" s="375"/>
      <c r="AD23" s="375"/>
      <c r="AE23" s="375"/>
    </row>
    <row r="24" s="264" customFormat="1" ht="12.75" spans="1:31">
      <c r="A24" s="354"/>
      <c r="B24" s="355"/>
      <c r="C24" s="356">
        <v>240719000037</v>
      </c>
      <c r="D24" s="357">
        <v>45506</v>
      </c>
      <c r="E24" s="355" t="s">
        <v>52</v>
      </c>
      <c r="F24" s="355" t="s">
        <v>137</v>
      </c>
      <c r="G24" s="355">
        <v>0.9193</v>
      </c>
      <c r="H24" s="355">
        <v>430</v>
      </c>
      <c r="I24" s="364"/>
      <c r="J24" s="370">
        <v>579841.5</v>
      </c>
      <c r="K24" s="360"/>
      <c r="L24" s="361">
        <f t="shared" ref="L24:L29" si="2">SUM(J24/M24)</f>
        <v>1744.56629659717</v>
      </c>
      <c r="M24" s="362">
        <v>332.37</v>
      </c>
      <c r="N24" s="355">
        <v>7.12</v>
      </c>
      <c r="O24" s="364">
        <f t="shared" ref="O24:O29" si="3">SUM(M24*N24)</f>
        <v>2366.4744</v>
      </c>
      <c r="P24" s="375"/>
      <c r="Q24" s="375"/>
      <c r="R24" s="375"/>
      <c r="S24" s="375"/>
      <c r="T24" s="375"/>
      <c r="U24" s="375"/>
      <c r="V24" s="375"/>
      <c r="W24" s="392"/>
      <c r="X24" s="376"/>
      <c r="Y24" s="373"/>
      <c r="Z24" s="376"/>
      <c r="AA24" s="376"/>
      <c r="AB24" s="378"/>
      <c r="AC24" s="375"/>
      <c r="AD24" s="375"/>
      <c r="AE24" s="375"/>
    </row>
    <row r="25" s="264" customFormat="1" ht="12.75" spans="1:31">
      <c r="A25" s="354"/>
      <c r="B25" s="355"/>
      <c r="C25" s="356">
        <v>240723000028</v>
      </c>
      <c r="D25" s="357">
        <v>45506</v>
      </c>
      <c r="E25" s="355" t="s">
        <v>42</v>
      </c>
      <c r="F25" s="355" t="s">
        <v>138</v>
      </c>
      <c r="G25" s="355">
        <v>0.4159</v>
      </c>
      <c r="H25" s="355">
        <v>53.8</v>
      </c>
      <c r="I25" s="364"/>
      <c r="J25" s="370">
        <v>286650</v>
      </c>
      <c r="K25" s="360"/>
      <c r="L25" s="361">
        <f t="shared" si="2"/>
        <v>1750</v>
      </c>
      <c r="M25" s="362">
        <v>163.8</v>
      </c>
      <c r="N25" s="355">
        <v>7.12</v>
      </c>
      <c r="O25" s="364">
        <f t="shared" si="3"/>
        <v>1166.256</v>
      </c>
      <c r="P25" s="375"/>
      <c r="Q25" s="375"/>
      <c r="R25" s="375"/>
      <c r="S25" s="375"/>
      <c r="T25" s="375"/>
      <c r="U25" s="375"/>
      <c r="V25" s="375"/>
      <c r="W25" s="392"/>
      <c r="X25" s="376"/>
      <c r="Y25" s="376"/>
      <c r="Z25" s="376"/>
      <c r="AA25" s="376"/>
      <c r="AB25" s="378"/>
      <c r="AC25" s="375"/>
      <c r="AD25" s="375"/>
      <c r="AE25" s="375"/>
    </row>
    <row r="26" s="264" customFormat="1" ht="12.75" spans="1:31">
      <c r="A26" s="354"/>
      <c r="B26" s="355"/>
      <c r="C26" s="356">
        <v>240717000037</v>
      </c>
      <c r="D26" s="357">
        <v>45498</v>
      </c>
      <c r="E26" s="355" t="s">
        <v>42</v>
      </c>
      <c r="F26" s="355" t="s">
        <v>118</v>
      </c>
      <c r="G26" s="355">
        <v>8.2</v>
      </c>
      <c r="H26" s="355">
        <v>882</v>
      </c>
      <c r="I26" s="358">
        <v>19661.07</v>
      </c>
      <c r="J26" s="369"/>
      <c r="K26" s="360"/>
      <c r="L26" s="361"/>
      <c r="M26" s="360"/>
      <c r="N26" s="355"/>
      <c r="O26" s="364">
        <f t="shared" ref="O26:O30" si="4">SUBTOTAL(9,I26)</f>
        <v>19661.07</v>
      </c>
      <c r="P26" s="375"/>
      <c r="Q26" s="375"/>
      <c r="R26" s="375"/>
      <c r="S26" s="375"/>
      <c r="T26" s="375"/>
      <c r="U26" s="375"/>
      <c r="V26" s="367"/>
      <c r="W26" s="392"/>
      <c r="X26" s="376"/>
      <c r="Y26" s="376"/>
      <c r="Z26" s="376"/>
      <c r="AA26" s="376"/>
      <c r="AB26" s="378"/>
      <c r="AC26" s="375"/>
      <c r="AD26" s="375"/>
      <c r="AE26" s="375"/>
    </row>
    <row r="27" s="264" customFormat="1" ht="12.75" spans="1:31">
      <c r="A27" s="354"/>
      <c r="B27" s="355"/>
      <c r="C27" s="356">
        <v>240718000039</v>
      </c>
      <c r="D27" s="357">
        <v>45511</v>
      </c>
      <c r="E27" s="355" t="s">
        <v>49</v>
      </c>
      <c r="F27" s="355" t="s">
        <v>129</v>
      </c>
      <c r="G27" s="355">
        <v>2.7869</v>
      </c>
      <c r="H27" s="355">
        <v>2167</v>
      </c>
      <c r="I27" s="358">
        <v>14238</v>
      </c>
      <c r="J27" s="369"/>
      <c r="K27" s="360"/>
      <c r="L27" s="361"/>
      <c r="M27" s="360"/>
      <c r="N27" s="355"/>
      <c r="O27" s="367">
        <f t="shared" si="4"/>
        <v>14238</v>
      </c>
      <c r="P27" s="371"/>
      <c r="Q27" s="371"/>
      <c r="R27" s="371"/>
      <c r="S27" s="371"/>
      <c r="T27" s="371"/>
      <c r="U27" s="371"/>
      <c r="V27" s="371"/>
      <c r="W27" s="478"/>
      <c r="X27" s="373"/>
      <c r="Y27" s="376"/>
      <c r="Z27" s="373"/>
      <c r="AA27" s="373"/>
      <c r="AB27" s="374"/>
      <c r="AC27" s="371"/>
      <c r="AD27" s="371"/>
      <c r="AE27" s="371"/>
    </row>
    <row r="28" s="264" customFormat="1" ht="12.75" spans="1:31">
      <c r="A28" s="354"/>
      <c r="B28" s="355"/>
      <c r="C28" s="356">
        <v>240630000010</v>
      </c>
      <c r="D28" s="357">
        <v>45511</v>
      </c>
      <c r="E28" s="355" t="s">
        <v>52</v>
      </c>
      <c r="F28" s="355" t="s">
        <v>139</v>
      </c>
      <c r="G28" s="355">
        <v>1.6128</v>
      </c>
      <c r="H28" s="355">
        <v>637</v>
      </c>
      <c r="I28" s="358">
        <v>3432</v>
      </c>
      <c r="J28" s="369"/>
      <c r="K28" s="360"/>
      <c r="L28" s="361"/>
      <c r="M28" s="360"/>
      <c r="N28" s="355"/>
      <c r="O28" s="364">
        <f>SUM(I28)</f>
        <v>3432</v>
      </c>
      <c r="P28" s="510"/>
      <c r="Q28" s="510"/>
      <c r="R28" s="510"/>
      <c r="S28" s="510"/>
      <c r="T28" s="510"/>
      <c r="U28" s="510"/>
      <c r="V28" s="510"/>
      <c r="W28" s="511"/>
      <c r="X28" s="512"/>
      <c r="Y28" s="377"/>
      <c r="Z28" s="512"/>
      <c r="AA28" s="512"/>
      <c r="AB28" s="513"/>
      <c r="AC28" s="510"/>
      <c r="AD28" s="510"/>
      <c r="AE28" s="510"/>
    </row>
    <row r="29" s="264" customFormat="1" ht="12.75" spans="1:31">
      <c r="A29" s="354"/>
      <c r="B29" s="355"/>
      <c r="C29" s="356">
        <v>240726000008</v>
      </c>
      <c r="D29" s="357">
        <v>45506</v>
      </c>
      <c r="E29" s="355" t="s">
        <v>37</v>
      </c>
      <c r="F29" s="355" t="s">
        <v>121</v>
      </c>
      <c r="G29" s="355">
        <v>0.835</v>
      </c>
      <c r="H29" s="355">
        <v>1254</v>
      </c>
      <c r="I29" s="364"/>
      <c r="J29" s="370">
        <v>1830068.49</v>
      </c>
      <c r="K29" s="360"/>
      <c r="L29" s="361">
        <f t="shared" si="2"/>
        <v>1711</v>
      </c>
      <c r="M29" s="362">
        <v>1069.59</v>
      </c>
      <c r="N29" s="355">
        <v>7.12</v>
      </c>
      <c r="O29" s="364">
        <f t="shared" si="3"/>
        <v>7615.4808</v>
      </c>
      <c r="P29" s="375"/>
      <c r="Q29" s="375"/>
      <c r="R29" s="375"/>
      <c r="S29" s="375"/>
      <c r="T29" s="375"/>
      <c r="U29" s="375"/>
      <c r="V29" s="375"/>
      <c r="W29" s="392"/>
      <c r="X29" s="376"/>
      <c r="Y29" s="368">
        <v>284.87</v>
      </c>
      <c r="Z29" s="376"/>
      <c r="AA29" s="376"/>
      <c r="AB29" s="378"/>
      <c r="AC29" s="375"/>
      <c r="AD29" s="375"/>
      <c r="AE29" s="375"/>
    </row>
    <row r="30" s="264" customFormat="1" ht="12.75" spans="1:31">
      <c r="A30" s="354"/>
      <c r="B30" s="355"/>
      <c r="C30" s="356">
        <v>240729000013</v>
      </c>
      <c r="D30" s="357">
        <v>45506</v>
      </c>
      <c r="E30" s="355" t="s">
        <v>42</v>
      </c>
      <c r="F30" s="355" t="s">
        <v>43</v>
      </c>
      <c r="G30" s="355">
        <v>0.3557</v>
      </c>
      <c r="H30" s="355">
        <v>50</v>
      </c>
      <c r="I30" s="358">
        <v>801.54</v>
      </c>
      <c r="J30" s="369"/>
      <c r="K30" s="360"/>
      <c r="L30" s="361"/>
      <c r="M30" s="360"/>
      <c r="N30" s="355"/>
      <c r="O30" s="364">
        <f t="shared" si="4"/>
        <v>801.54</v>
      </c>
      <c r="P30" s="375"/>
      <c r="Q30" s="375"/>
      <c r="R30" s="375"/>
      <c r="S30" s="375"/>
      <c r="T30" s="375"/>
      <c r="U30" s="375"/>
      <c r="V30" s="375"/>
      <c r="W30" s="392"/>
      <c r="X30" s="376"/>
      <c r="Y30" s="373"/>
      <c r="Z30" s="376"/>
      <c r="AA30" s="376"/>
      <c r="AB30" s="378"/>
      <c r="AC30" s="375"/>
      <c r="AD30" s="375"/>
      <c r="AE30" s="375"/>
    </row>
    <row r="31" s="264" customFormat="1" ht="12.75" spans="1:31">
      <c r="A31" s="354"/>
      <c r="B31" s="355"/>
      <c r="C31" s="356">
        <v>240724000026</v>
      </c>
      <c r="D31" s="357">
        <v>45506</v>
      </c>
      <c r="E31" s="355" t="s">
        <v>37</v>
      </c>
      <c r="F31" s="355" t="s">
        <v>121</v>
      </c>
      <c r="G31" s="355">
        <v>3.0722</v>
      </c>
      <c r="H31" s="355">
        <v>4949</v>
      </c>
      <c r="I31" s="364"/>
      <c r="J31" s="370">
        <v>1723658</v>
      </c>
      <c r="K31" s="360"/>
      <c r="L31" s="361">
        <f>SUM(J31/M31)</f>
        <v>1711.01360942634</v>
      </c>
      <c r="M31" s="362">
        <v>1007.39</v>
      </c>
      <c r="N31" s="355">
        <v>7.12</v>
      </c>
      <c r="O31" s="364">
        <f t="shared" ref="O31:O35" si="5">SUM(M31*N31)</f>
        <v>7172.6168</v>
      </c>
      <c r="P31" s="375"/>
      <c r="Q31" s="375"/>
      <c r="R31" s="375"/>
      <c r="S31" s="375"/>
      <c r="T31" s="375"/>
      <c r="U31" s="375"/>
      <c r="V31" s="375"/>
      <c r="W31" s="392"/>
      <c r="X31" s="376"/>
      <c r="Y31" s="376"/>
      <c r="Z31" s="376"/>
      <c r="AA31" s="376"/>
      <c r="AB31" s="378"/>
      <c r="AC31" s="375"/>
      <c r="AD31" s="375"/>
      <c r="AE31" s="375"/>
    </row>
    <row r="32" s="264" customFormat="1" ht="12.75" spans="1:31">
      <c r="A32" s="354"/>
      <c r="B32" s="355"/>
      <c r="C32" s="356">
        <v>240729000017</v>
      </c>
      <c r="D32" s="357">
        <v>45506</v>
      </c>
      <c r="E32" s="355" t="s">
        <v>37</v>
      </c>
      <c r="F32" s="355" t="s">
        <v>54</v>
      </c>
      <c r="G32" s="355">
        <v>1.1178</v>
      </c>
      <c r="H32" s="355">
        <v>1055</v>
      </c>
      <c r="I32" s="364"/>
      <c r="J32" s="370">
        <v>776250</v>
      </c>
      <c r="K32" s="360"/>
      <c r="L32" s="361">
        <f>SUM(J32/M32)</f>
        <v>1725</v>
      </c>
      <c r="M32" s="362">
        <v>450</v>
      </c>
      <c r="N32" s="355">
        <v>7.12</v>
      </c>
      <c r="O32" s="364">
        <f t="shared" si="5"/>
        <v>3204</v>
      </c>
      <c r="P32" s="375"/>
      <c r="Q32" s="375"/>
      <c r="R32" s="375"/>
      <c r="S32" s="375"/>
      <c r="T32" s="375"/>
      <c r="U32" s="375"/>
      <c r="V32" s="375"/>
      <c r="W32" s="392"/>
      <c r="X32" s="376"/>
      <c r="Y32" s="376"/>
      <c r="Z32" s="376"/>
      <c r="AA32" s="376"/>
      <c r="AB32" s="378"/>
      <c r="AC32" s="375"/>
      <c r="AD32" s="375"/>
      <c r="AE32" s="375"/>
    </row>
    <row r="33" s="264" customFormat="1" ht="12.75" spans="1:31">
      <c r="A33" s="354"/>
      <c r="B33" s="355"/>
      <c r="C33" s="356">
        <v>240729000020</v>
      </c>
      <c r="D33" s="357">
        <v>45506</v>
      </c>
      <c r="E33" s="355" t="s">
        <v>49</v>
      </c>
      <c r="F33" s="355" t="s">
        <v>140</v>
      </c>
      <c r="G33" s="355">
        <v>0.0032</v>
      </c>
      <c r="H33" s="355">
        <v>2.7</v>
      </c>
      <c r="I33" s="358">
        <v>235.2</v>
      </c>
      <c r="J33" s="369"/>
      <c r="K33" s="360"/>
      <c r="L33" s="361"/>
      <c r="M33" s="360"/>
      <c r="N33" s="355"/>
      <c r="O33" s="364">
        <f t="shared" ref="O33:O38" si="6">SUBTOTAL(9,I33)</f>
        <v>235.2</v>
      </c>
      <c r="P33" s="375"/>
      <c r="Q33" s="375"/>
      <c r="R33" s="375"/>
      <c r="S33" s="375"/>
      <c r="T33" s="375"/>
      <c r="U33" s="375"/>
      <c r="V33" s="375"/>
      <c r="W33" s="392"/>
      <c r="X33" s="376"/>
      <c r="Y33" s="376"/>
      <c r="Z33" s="376"/>
      <c r="AA33" s="376"/>
      <c r="AB33" s="378"/>
      <c r="AC33" s="375"/>
      <c r="AD33" s="375"/>
      <c r="AE33" s="375"/>
    </row>
    <row r="34" s="264" customFormat="1" ht="12.75" spans="1:31">
      <c r="A34" s="354"/>
      <c r="B34" s="355"/>
      <c r="C34" s="356">
        <v>240730000010</v>
      </c>
      <c r="D34" s="357">
        <v>45506</v>
      </c>
      <c r="E34" s="355" t="s">
        <v>42</v>
      </c>
      <c r="F34" s="355" t="s">
        <v>43</v>
      </c>
      <c r="G34" s="355">
        <v>3.0014</v>
      </c>
      <c r="H34" s="355">
        <v>502</v>
      </c>
      <c r="I34" s="358">
        <v>6679.5</v>
      </c>
      <c r="J34" s="369"/>
      <c r="K34" s="360"/>
      <c r="L34" s="361"/>
      <c r="M34" s="360"/>
      <c r="N34" s="355"/>
      <c r="O34" s="364">
        <f t="shared" si="6"/>
        <v>6679.5</v>
      </c>
      <c r="P34" s="375"/>
      <c r="Q34" s="375"/>
      <c r="R34" s="375"/>
      <c r="S34" s="375"/>
      <c r="T34" s="375"/>
      <c r="U34" s="375"/>
      <c r="V34" s="375"/>
      <c r="W34" s="392"/>
      <c r="X34" s="376"/>
      <c r="Y34" s="376"/>
      <c r="Z34" s="376"/>
      <c r="AA34" s="376"/>
      <c r="AB34" s="378"/>
      <c r="AC34" s="375"/>
      <c r="AD34" s="375"/>
      <c r="AE34" s="375"/>
    </row>
    <row r="35" s="264" customFormat="1" ht="12.75" spans="1:31">
      <c r="A35" s="354"/>
      <c r="B35" s="355"/>
      <c r="C35" s="356">
        <v>240731000018</v>
      </c>
      <c r="D35" s="357">
        <v>45506</v>
      </c>
      <c r="E35" s="355" t="s">
        <v>40</v>
      </c>
      <c r="F35" s="355" t="s">
        <v>141</v>
      </c>
      <c r="G35" s="355">
        <v>7.4377</v>
      </c>
      <c r="H35" s="355">
        <v>4500</v>
      </c>
      <c r="I35" s="364"/>
      <c r="J35" s="369"/>
      <c r="K35" s="360"/>
      <c r="L35" s="361"/>
      <c r="M35" s="360">
        <v>0</v>
      </c>
      <c r="N35" s="355">
        <v>7.15</v>
      </c>
      <c r="O35" s="364">
        <f t="shared" si="5"/>
        <v>0</v>
      </c>
      <c r="P35" s="375"/>
      <c r="Q35" s="375"/>
      <c r="R35" s="375"/>
      <c r="S35" s="375"/>
      <c r="T35" s="375"/>
      <c r="U35" s="375"/>
      <c r="V35" s="375"/>
      <c r="W35" s="392"/>
      <c r="X35" s="376"/>
      <c r="Y35" s="376"/>
      <c r="Z35" s="376"/>
      <c r="AA35" s="376"/>
      <c r="AB35" s="378"/>
      <c r="AC35" s="375"/>
      <c r="AD35" s="375"/>
      <c r="AE35" s="375"/>
    </row>
    <row r="36" s="264" customFormat="1" ht="12.75" spans="1:31">
      <c r="A36" s="354"/>
      <c r="B36" s="355"/>
      <c r="C36" s="356">
        <v>240731000038</v>
      </c>
      <c r="D36" s="357">
        <v>45506</v>
      </c>
      <c r="E36" s="355" t="s">
        <v>103</v>
      </c>
      <c r="F36" s="355" t="s">
        <v>104</v>
      </c>
      <c r="G36" s="355">
        <v>3.6015</v>
      </c>
      <c r="H36" s="355">
        <v>1074</v>
      </c>
      <c r="I36" s="358">
        <v>8038.58</v>
      </c>
      <c r="J36" s="369"/>
      <c r="K36" s="360"/>
      <c r="L36" s="361"/>
      <c r="M36" s="360"/>
      <c r="N36" s="355"/>
      <c r="O36" s="364">
        <f t="shared" si="6"/>
        <v>8038.58</v>
      </c>
      <c r="P36" s="375"/>
      <c r="Q36" s="375"/>
      <c r="R36" s="375"/>
      <c r="S36" s="375"/>
      <c r="T36" s="375"/>
      <c r="U36" s="375"/>
      <c r="V36" s="375"/>
      <c r="W36" s="392"/>
      <c r="X36" s="376"/>
      <c r="Y36" s="377"/>
      <c r="Z36" s="376"/>
      <c r="AA36" s="376"/>
      <c r="AB36" s="378"/>
      <c r="AC36" s="375"/>
      <c r="AD36" s="375"/>
      <c r="AE36" s="375"/>
    </row>
    <row r="37" s="264" customFormat="1" ht="12.75" spans="1:31">
      <c r="A37" s="354"/>
      <c r="B37" s="355"/>
      <c r="C37" s="356">
        <v>240801000001</v>
      </c>
      <c r="D37" s="357">
        <v>45506</v>
      </c>
      <c r="E37" s="355" t="s">
        <v>40</v>
      </c>
      <c r="F37" s="355" t="s">
        <v>59</v>
      </c>
      <c r="G37" s="355">
        <v>32.88</v>
      </c>
      <c r="H37" s="355">
        <v>4188</v>
      </c>
      <c r="I37" s="358">
        <v>51584.98</v>
      </c>
      <c r="J37" s="369"/>
      <c r="K37" s="360"/>
      <c r="L37" s="361"/>
      <c r="M37" s="362"/>
      <c r="N37" s="355"/>
      <c r="O37" s="364">
        <f t="shared" si="6"/>
        <v>51584.98</v>
      </c>
      <c r="P37" s="375"/>
      <c r="Q37" s="375"/>
      <c r="R37" s="375"/>
      <c r="S37" s="375"/>
      <c r="T37" s="375"/>
      <c r="U37" s="375"/>
      <c r="V37" s="375"/>
      <c r="W37" s="392"/>
      <c r="X37" s="376"/>
      <c r="Y37" s="368"/>
      <c r="Z37" s="376"/>
      <c r="AA37" s="376"/>
      <c r="AB37" s="378"/>
      <c r="AC37" s="375"/>
      <c r="AD37" s="375"/>
      <c r="AE37" s="375"/>
    </row>
    <row r="38" s="264" customFormat="1" ht="12.75" spans="1:31">
      <c r="A38" s="354"/>
      <c r="B38" s="355"/>
      <c r="C38" s="356">
        <v>240728000003</v>
      </c>
      <c r="D38" s="357">
        <v>45506</v>
      </c>
      <c r="E38" s="355" t="s">
        <v>40</v>
      </c>
      <c r="F38" s="355" t="s">
        <v>130</v>
      </c>
      <c r="G38" s="355">
        <v>0.2595</v>
      </c>
      <c r="H38" s="355">
        <v>100</v>
      </c>
      <c r="I38" s="358">
        <v>699</v>
      </c>
      <c r="J38" s="369"/>
      <c r="K38" s="360"/>
      <c r="L38" s="361"/>
      <c r="M38" s="360"/>
      <c r="N38" s="355"/>
      <c r="O38" s="364">
        <f t="shared" si="6"/>
        <v>699</v>
      </c>
      <c r="P38" s="375"/>
      <c r="Q38" s="375"/>
      <c r="R38" s="375"/>
      <c r="S38" s="375"/>
      <c r="T38" s="375"/>
      <c r="U38" s="375"/>
      <c r="V38" s="375"/>
      <c r="W38" s="392"/>
      <c r="X38" s="376"/>
      <c r="Y38" s="373"/>
      <c r="Z38" s="376"/>
      <c r="AA38" s="376"/>
      <c r="AB38" s="378"/>
      <c r="AC38" s="375"/>
      <c r="AD38" s="375"/>
      <c r="AE38" s="375"/>
    </row>
    <row r="39" s="264" customFormat="1" ht="12.75" spans="1:31">
      <c r="A39" s="354"/>
      <c r="B39" s="355"/>
      <c r="C39" s="356">
        <v>240801000022</v>
      </c>
      <c r="D39" s="357">
        <v>45506</v>
      </c>
      <c r="E39" s="355" t="s">
        <v>37</v>
      </c>
      <c r="F39" s="355" t="s">
        <v>142</v>
      </c>
      <c r="G39" s="355">
        <v>1.8732</v>
      </c>
      <c r="H39" s="355">
        <v>1420</v>
      </c>
      <c r="I39" s="364"/>
      <c r="J39" s="370">
        <v>1129654.4</v>
      </c>
      <c r="K39" s="360"/>
      <c r="L39" s="361">
        <f>SUM(J39/M39)</f>
        <v>1739</v>
      </c>
      <c r="M39" s="362">
        <v>649.6</v>
      </c>
      <c r="N39" s="355">
        <v>7.06</v>
      </c>
      <c r="O39" s="364">
        <f>SUM(M39*N39)</f>
        <v>4586.176</v>
      </c>
      <c r="P39" s="375"/>
      <c r="Q39" s="375"/>
      <c r="R39" s="375"/>
      <c r="S39" s="375"/>
      <c r="T39" s="375"/>
      <c r="U39" s="375"/>
      <c r="V39" s="375"/>
      <c r="W39" s="392"/>
      <c r="X39" s="376"/>
      <c r="Y39" s="376"/>
      <c r="Z39" s="376"/>
      <c r="AA39" s="376"/>
      <c r="AB39" s="378"/>
      <c r="AC39" s="375"/>
      <c r="AD39" s="375"/>
      <c r="AE39" s="375"/>
    </row>
    <row r="40" s="264" customFormat="1" ht="12.75" spans="1:31">
      <c r="A40" s="354"/>
      <c r="B40" s="355"/>
      <c r="C40" s="356">
        <v>240802000022</v>
      </c>
      <c r="D40" s="357">
        <v>45506</v>
      </c>
      <c r="E40" s="355" t="s">
        <v>40</v>
      </c>
      <c r="F40" s="355" t="s">
        <v>134</v>
      </c>
      <c r="G40" s="389">
        <v>0.02</v>
      </c>
      <c r="H40" s="389">
        <v>5.5</v>
      </c>
      <c r="I40" s="358">
        <v>61.48</v>
      </c>
      <c r="J40" s="369"/>
      <c r="K40" s="360"/>
      <c r="L40" s="361"/>
      <c r="M40" s="360"/>
      <c r="N40" s="355"/>
      <c r="O40" s="364">
        <f t="shared" ref="O40:O43" si="7">SUBTOTAL(9,I40)</f>
        <v>61.48</v>
      </c>
      <c r="P40" s="375"/>
      <c r="Q40" s="375"/>
      <c r="R40" s="375"/>
      <c r="S40" s="375"/>
      <c r="T40" s="375"/>
      <c r="U40" s="375"/>
      <c r="V40" s="375"/>
      <c r="W40" s="392"/>
      <c r="X40" s="376"/>
      <c r="Y40" s="376"/>
      <c r="Z40" s="376"/>
      <c r="AA40" s="376"/>
      <c r="AB40" s="378"/>
      <c r="AC40" s="375"/>
      <c r="AD40" s="375"/>
      <c r="AE40" s="375"/>
    </row>
    <row r="41" s="264" customFormat="1" ht="12.75" spans="1:31">
      <c r="A41" s="354"/>
      <c r="B41" s="355"/>
      <c r="C41" s="356">
        <v>240802000026</v>
      </c>
      <c r="D41" s="357">
        <v>45506</v>
      </c>
      <c r="E41" s="355" t="s">
        <v>103</v>
      </c>
      <c r="F41" s="355" t="s">
        <v>104</v>
      </c>
      <c r="G41" s="355">
        <v>0.0391</v>
      </c>
      <c r="H41" s="355">
        <v>42.5</v>
      </c>
      <c r="I41" s="358">
        <v>98.57</v>
      </c>
      <c r="J41" s="369"/>
      <c r="K41" s="360"/>
      <c r="L41" s="361"/>
      <c r="M41" s="360"/>
      <c r="N41" s="355"/>
      <c r="O41" s="364">
        <f t="shared" si="7"/>
        <v>98.57</v>
      </c>
      <c r="P41" s="375"/>
      <c r="Q41" s="375"/>
      <c r="R41" s="375"/>
      <c r="S41" s="375"/>
      <c r="T41" s="375"/>
      <c r="U41" s="375"/>
      <c r="V41" s="375"/>
      <c r="W41" s="392"/>
      <c r="X41" s="376"/>
      <c r="Y41" s="376"/>
      <c r="Z41" s="376"/>
      <c r="AA41" s="376"/>
      <c r="AB41" s="378"/>
      <c r="AC41" s="375"/>
      <c r="AD41" s="375"/>
      <c r="AE41" s="375"/>
    </row>
    <row r="42" s="264" customFormat="1" ht="12.75" spans="1:31">
      <c r="A42" s="354"/>
      <c r="B42" s="355"/>
      <c r="C42" s="356">
        <v>240802000029</v>
      </c>
      <c r="D42" s="357">
        <v>45506</v>
      </c>
      <c r="E42" s="355" t="s">
        <v>40</v>
      </c>
      <c r="F42" s="355" t="s">
        <v>112</v>
      </c>
      <c r="G42" s="355">
        <v>1.5074</v>
      </c>
      <c r="H42" s="355">
        <v>207</v>
      </c>
      <c r="I42" s="358">
        <v>2677.5</v>
      </c>
      <c r="J42" s="369"/>
      <c r="K42" s="360"/>
      <c r="L42" s="361"/>
      <c r="M42" s="360"/>
      <c r="N42" s="355"/>
      <c r="O42" s="364">
        <f t="shared" si="7"/>
        <v>2677.5</v>
      </c>
      <c r="P42" s="379"/>
      <c r="Q42" s="379"/>
      <c r="R42" s="379"/>
      <c r="S42" s="379"/>
      <c r="T42" s="379"/>
      <c r="U42" s="379"/>
      <c r="V42" s="379"/>
      <c r="W42" s="479"/>
      <c r="X42" s="377"/>
      <c r="Y42" s="377"/>
      <c r="Z42" s="377"/>
      <c r="AA42" s="377"/>
      <c r="AB42" s="380"/>
      <c r="AC42" s="379"/>
      <c r="AD42" s="379"/>
      <c r="AE42" s="379"/>
    </row>
    <row r="43" s="264" customFormat="1" ht="12.75" spans="1:31">
      <c r="A43" s="395" t="s">
        <v>143</v>
      </c>
      <c r="B43" s="395" t="s">
        <v>144</v>
      </c>
      <c r="C43" s="356">
        <v>240804000005</v>
      </c>
      <c r="D43" s="357">
        <v>45511</v>
      </c>
      <c r="E43" s="355" t="s">
        <v>49</v>
      </c>
      <c r="F43" s="355" t="s">
        <v>86</v>
      </c>
      <c r="G43" s="355">
        <v>34.5199</v>
      </c>
      <c r="H43" s="355">
        <v>9224</v>
      </c>
      <c r="I43" s="358">
        <v>77059.62</v>
      </c>
      <c r="J43" s="369"/>
      <c r="K43" s="362"/>
      <c r="L43" s="361"/>
      <c r="M43" s="362"/>
      <c r="N43" s="355"/>
      <c r="O43" s="367">
        <f t="shared" si="7"/>
        <v>77059.62</v>
      </c>
      <c r="P43" s="375">
        <f>SUM(O43:O46)</f>
        <v>141684.32</v>
      </c>
      <c r="Q43" s="501" t="s">
        <v>145</v>
      </c>
      <c r="R43" s="375">
        <v>57532.25</v>
      </c>
      <c r="S43" s="375"/>
      <c r="T43" s="375">
        <v>1450</v>
      </c>
      <c r="U43" s="375"/>
      <c r="V43" s="375"/>
      <c r="W43" s="392">
        <f>SUM(R43:V46)</f>
        <v>58982.25</v>
      </c>
      <c r="X43" s="514">
        <v>10529</v>
      </c>
      <c r="Y43" s="373"/>
      <c r="Z43" s="373">
        <v>206.48</v>
      </c>
      <c r="AA43" s="376">
        <f>SUM(X43:Z46)</f>
        <v>10812.18</v>
      </c>
      <c r="AB43" s="378">
        <v>7.09</v>
      </c>
      <c r="AC43" s="375">
        <f>SUM(AA43*AB43)</f>
        <v>76658.3562</v>
      </c>
      <c r="AD43" s="375">
        <f>SUM(W43+AC43)</f>
        <v>135640.6062</v>
      </c>
      <c r="AE43" s="375">
        <f>SUM(P43-AD43)</f>
        <v>6043.71380000003</v>
      </c>
    </row>
    <row r="44" s="264" customFormat="1" ht="12.75" spans="1:31">
      <c r="A44" s="354"/>
      <c r="B44" s="355"/>
      <c r="C44" s="356">
        <v>240630000010</v>
      </c>
      <c r="D44" s="357">
        <v>45511</v>
      </c>
      <c r="E44" s="355" t="s">
        <v>52</v>
      </c>
      <c r="F44" s="355" t="s">
        <v>139</v>
      </c>
      <c r="G44" s="355">
        <v>1.5552</v>
      </c>
      <c r="H44" s="355">
        <v>912</v>
      </c>
      <c r="I44" s="358">
        <v>3309</v>
      </c>
      <c r="J44" s="369"/>
      <c r="K44" s="360"/>
      <c r="L44" s="361"/>
      <c r="M44" s="360"/>
      <c r="N44" s="355"/>
      <c r="O44" s="364">
        <f>SUM(I44)</f>
        <v>3309</v>
      </c>
      <c r="P44" s="510"/>
      <c r="Q44" s="510"/>
      <c r="R44" s="510"/>
      <c r="S44" s="510"/>
      <c r="T44" s="510"/>
      <c r="U44" s="510"/>
      <c r="V44" s="510"/>
      <c r="W44" s="511"/>
      <c r="X44" s="515"/>
      <c r="Y44" s="376"/>
      <c r="Z44" s="376"/>
      <c r="AA44" s="512"/>
      <c r="AB44" s="513"/>
      <c r="AC44" s="510"/>
      <c r="AD44" s="510"/>
      <c r="AE44" s="510"/>
    </row>
    <row r="45" s="264" customFormat="1" ht="12.75" spans="1:31">
      <c r="A45" s="354"/>
      <c r="B45" s="355"/>
      <c r="C45" s="356">
        <v>240806000035</v>
      </c>
      <c r="D45" s="357">
        <v>45511</v>
      </c>
      <c r="E45" s="355" t="s">
        <v>40</v>
      </c>
      <c r="F45" s="355" t="s">
        <v>59</v>
      </c>
      <c r="G45" s="355">
        <v>34.38</v>
      </c>
      <c r="H45" s="355">
        <v>4304</v>
      </c>
      <c r="I45" s="358">
        <v>59321.31</v>
      </c>
      <c r="J45" s="369"/>
      <c r="K45" s="360"/>
      <c r="L45" s="361"/>
      <c r="M45" s="362"/>
      <c r="N45" s="355"/>
      <c r="O45" s="367">
        <f t="shared" ref="O45:O50" si="8">SUBTOTAL(9,I45)</f>
        <v>59321.31</v>
      </c>
      <c r="P45" s="379"/>
      <c r="Q45" s="379"/>
      <c r="R45" s="379"/>
      <c r="S45" s="379"/>
      <c r="T45" s="379"/>
      <c r="U45" s="379"/>
      <c r="V45" s="379"/>
      <c r="W45" s="479"/>
      <c r="X45" s="516"/>
      <c r="Y45" s="377"/>
      <c r="Z45" s="376"/>
      <c r="AA45" s="377"/>
      <c r="AB45" s="380"/>
      <c r="AC45" s="379"/>
      <c r="AD45" s="379"/>
      <c r="AE45" s="379"/>
    </row>
    <row r="46" s="264" customFormat="1" ht="12.75" spans="1:31">
      <c r="A46" s="503"/>
      <c r="B46" s="517"/>
      <c r="C46" s="356">
        <v>240805000030</v>
      </c>
      <c r="D46" s="357">
        <v>45511</v>
      </c>
      <c r="E46" s="396" t="s">
        <v>42</v>
      </c>
      <c r="F46" s="396" t="s">
        <v>146</v>
      </c>
      <c r="G46" s="396">
        <v>0.4717</v>
      </c>
      <c r="H46" s="396">
        <v>63</v>
      </c>
      <c r="I46" s="397">
        <v>1994.39</v>
      </c>
      <c r="J46" s="369"/>
      <c r="K46" s="518"/>
      <c r="L46" s="361"/>
      <c r="M46" s="518"/>
      <c r="N46" s="355"/>
      <c r="O46" s="367">
        <f t="shared" si="8"/>
        <v>1994.39</v>
      </c>
      <c r="P46" s="379"/>
      <c r="Q46" s="379"/>
      <c r="R46" s="379"/>
      <c r="S46" s="379"/>
      <c r="T46" s="379"/>
      <c r="U46" s="379"/>
      <c r="V46" s="379"/>
      <c r="W46" s="479"/>
      <c r="X46" s="516"/>
      <c r="Y46" s="368">
        <v>76.7</v>
      </c>
      <c r="Z46" s="377"/>
      <c r="AA46" s="377"/>
      <c r="AB46" s="380"/>
      <c r="AC46" s="379"/>
      <c r="AD46" s="379"/>
      <c r="AE46" s="379"/>
    </row>
    <row r="47" s="264" customFormat="1" ht="12.75" spans="1:31">
      <c r="A47" s="354" t="s">
        <v>147</v>
      </c>
      <c r="B47" s="355" t="s">
        <v>148</v>
      </c>
      <c r="C47" s="356">
        <v>240718000039</v>
      </c>
      <c r="D47" s="357">
        <v>45511</v>
      </c>
      <c r="E47" s="355" t="s">
        <v>49</v>
      </c>
      <c r="F47" s="355" t="s">
        <v>129</v>
      </c>
      <c r="G47" s="355">
        <v>9.29</v>
      </c>
      <c r="H47" s="355">
        <v>13260</v>
      </c>
      <c r="I47" s="358">
        <v>47474</v>
      </c>
      <c r="J47" s="369"/>
      <c r="K47" s="360"/>
      <c r="L47" s="361"/>
      <c r="M47" s="360"/>
      <c r="N47" s="355"/>
      <c r="O47" s="367">
        <f t="shared" si="8"/>
        <v>47474</v>
      </c>
      <c r="P47" s="371">
        <f>SUM(O47:O56)</f>
        <v>179665.6958</v>
      </c>
      <c r="Q47" s="372" t="s">
        <v>149</v>
      </c>
      <c r="R47" s="371">
        <v>59137.25</v>
      </c>
      <c r="S47" s="371"/>
      <c r="T47" s="371">
        <v>1450</v>
      </c>
      <c r="U47" s="367">
        <v>960</v>
      </c>
      <c r="V47" s="371"/>
      <c r="W47" s="478">
        <f>SUM(R47:V56)</f>
        <v>63097.25</v>
      </c>
      <c r="X47" s="519">
        <v>10529</v>
      </c>
      <c r="Y47" s="368">
        <v>1823.01</v>
      </c>
      <c r="Z47" s="373">
        <v>259.58</v>
      </c>
      <c r="AA47" s="373">
        <f>SUM(X47:Z56)</f>
        <v>12661.74</v>
      </c>
      <c r="AB47" s="374">
        <v>7.09</v>
      </c>
      <c r="AC47" s="371">
        <f>SUM(AA47*AB47)</f>
        <v>89771.7366</v>
      </c>
      <c r="AD47" s="371">
        <f>SUM(W47+AC47)</f>
        <v>152868.9866</v>
      </c>
      <c r="AE47" s="371">
        <f>SUM(P47-AD47)</f>
        <v>26796.7092</v>
      </c>
    </row>
    <row r="48" s="264" customFormat="1" ht="12.75" spans="1:31">
      <c r="A48" s="354"/>
      <c r="B48" s="355"/>
      <c r="C48" s="356">
        <v>240724000012</v>
      </c>
      <c r="D48" s="357">
        <v>45511</v>
      </c>
      <c r="E48" s="355" t="s">
        <v>37</v>
      </c>
      <c r="F48" s="355" t="s">
        <v>150</v>
      </c>
      <c r="G48" s="355">
        <v>5.7046</v>
      </c>
      <c r="H48" s="355">
        <v>942</v>
      </c>
      <c r="I48" s="358">
        <v>14778</v>
      </c>
      <c r="J48" s="369"/>
      <c r="K48" s="360"/>
      <c r="L48" s="361"/>
      <c r="M48" s="360"/>
      <c r="N48" s="355"/>
      <c r="O48" s="367">
        <f t="shared" si="8"/>
        <v>14778</v>
      </c>
      <c r="P48" s="375"/>
      <c r="Q48" s="375"/>
      <c r="R48" s="375"/>
      <c r="S48" s="375"/>
      <c r="T48" s="375"/>
      <c r="U48" s="367">
        <v>1400</v>
      </c>
      <c r="V48" s="375"/>
      <c r="W48" s="392"/>
      <c r="X48" s="514"/>
      <c r="Y48" s="368"/>
      <c r="Z48" s="376"/>
      <c r="AA48" s="376"/>
      <c r="AB48" s="378"/>
      <c r="AC48" s="375"/>
      <c r="AD48" s="375"/>
      <c r="AE48" s="375"/>
    </row>
    <row r="49" s="264" customFormat="1" ht="12.75" spans="1:31">
      <c r="A49" s="354"/>
      <c r="B49" s="355"/>
      <c r="C49" s="356">
        <v>240730000015</v>
      </c>
      <c r="D49" s="357">
        <v>45511</v>
      </c>
      <c r="E49" s="355" t="s">
        <v>49</v>
      </c>
      <c r="F49" s="355" t="s">
        <v>95</v>
      </c>
      <c r="G49" s="355">
        <v>0.159</v>
      </c>
      <c r="H49" s="355">
        <v>26.5</v>
      </c>
      <c r="I49" s="358">
        <v>376.32</v>
      </c>
      <c r="J49" s="369"/>
      <c r="K49" s="360"/>
      <c r="L49" s="361"/>
      <c r="M49" s="360"/>
      <c r="N49" s="355"/>
      <c r="O49" s="367">
        <f t="shared" si="8"/>
        <v>376.32</v>
      </c>
      <c r="P49" s="375"/>
      <c r="Q49" s="375"/>
      <c r="R49" s="375"/>
      <c r="S49" s="375"/>
      <c r="T49" s="375"/>
      <c r="U49" s="371"/>
      <c r="V49" s="375"/>
      <c r="W49" s="392"/>
      <c r="X49" s="514"/>
      <c r="Y49" s="368"/>
      <c r="Z49" s="376"/>
      <c r="AA49" s="376"/>
      <c r="AB49" s="378"/>
      <c r="AC49" s="375"/>
      <c r="AD49" s="375"/>
      <c r="AE49" s="375"/>
    </row>
    <row r="50" s="264" customFormat="1" ht="12.75" spans="1:31">
      <c r="A50" s="354"/>
      <c r="B50" s="355"/>
      <c r="C50" s="356">
        <v>240801000020</v>
      </c>
      <c r="D50" s="357">
        <v>45512</v>
      </c>
      <c r="E50" s="355" t="s">
        <v>42</v>
      </c>
      <c r="F50" s="355" t="s">
        <v>118</v>
      </c>
      <c r="G50" s="355">
        <v>5.1796</v>
      </c>
      <c r="H50" s="355">
        <v>572</v>
      </c>
      <c r="I50" s="358">
        <v>12648</v>
      </c>
      <c r="J50" s="369"/>
      <c r="K50" s="360"/>
      <c r="L50" s="361"/>
      <c r="M50" s="360"/>
      <c r="N50" s="355"/>
      <c r="O50" s="367">
        <f t="shared" si="8"/>
        <v>12648</v>
      </c>
      <c r="P50" s="371"/>
      <c r="Q50" s="371"/>
      <c r="R50" s="371"/>
      <c r="S50" s="371"/>
      <c r="T50" s="371"/>
      <c r="U50" s="371"/>
      <c r="V50" s="371"/>
      <c r="W50" s="478"/>
      <c r="X50" s="519"/>
      <c r="Y50" s="373"/>
      <c r="Z50" s="376"/>
      <c r="AA50" s="373"/>
      <c r="AB50" s="374"/>
      <c r="AC50" s="371"/>
      <c r="AD50" s="371"/>
      <c r="AE50" s="371"/>
    </row>
    <row r="51" s="264" customFormat="1" ht="12.75" spans="1:31">
      <c r="A51" s="354"/>
      <c r="B51" s="355"/>
      <c r="C51" s="356">
        <v>240630000010</v>
      </c>
      <c r="D51" s="357">
        <v>45534</v>
      </c>
      <c r="E51" s="355" t="s">
        <v>52</v>
      </c>
      <c r="F51" s="355" t="s">
        <v>139</v>
      </c>
      <c r="G51" s="355">
        <v>4.6083</v>
      </c>
      <c r="H51" s="355">
        <v>761.3</v>
      </c>
      <c r="I51" s="358">
        <v>9806</v>
      </c>
      <c r="J51" s="369"/>
      <c r="K51" s="360"/>
      <c r="L51" s="361"/>
      <c r="M51" s="360"/>
      <c r="N51" s="355"/>
      <c r="O51" s="364">
        <f>SUM(I51)</f>
        <v>9806</v>
      </c>
      <c r="P51" s="510"/>
      <c r="Q51" s="510"/>
      <c r="R51" s="510"/>
      <c r="S51" s="510"/>
      <c r="T51" s="510"/>
      <c r="U51" s="510"/>
      <c r="V51" s="510"/>
      <c r="W51" s="511"/>
      <c r="X51" s="515"/>
      <c r="Y51" s="376"/>
      <c r="Z51" s="376"/>
      <c r="AA51" s="512"/>
      <c r="AB51" s="513"/>
      <c r="AC51" s="510"/>
      <c r="AD51" s="510"/>
      <c r="AE51" s="510"/>
    </row>
    <row r="52" s="264" customFormat="1" ht="12.75" spans="1:31">
      <c r="A52" s="354"/>
      <c r="B52" s="355"/>
      <c r="C52" s="356">
        <v>240728000003</v>
      </c>
      <c r="D52" s="357">
        <v>45506</v>
      </c>
      <c r="E52" s="355" t="s">
        <v>40</v>
      </c>
      <c r="F52" s="355" t="s">
        <v>130</v>
      </c>
      <c r="G52" s="355">
        <v>0.29</v>
      </c>
      <c r="H52" s="355">
        <v>135</v>
      </c>
      <c r="I52" s="358">
        <v>782</v>
      </c>
      <c r="J52" s="369"/>
      <c r="K52" s="360"/>
      <c r="L52" s="361"/>
      <c r="M52" s="360"/>
      <c r="N52" s="355"/>
      <c r="O52" s="364">
        <f t="shared" ref="O52:O54" si="9">SUBTOTAL(9,I52)</f>
        <v>782</v>
      </c>
      <c r="P52" s="375"/>
      <c r="Q52" s="375"/>
      <c r="R52" s="375"/>
      <c r="S52" s="375"/>
      <c r="T52" s="375"/>
      <c r="U52" s="375"/>
      <c r="V52" s="375"/>
      <c r="W52" s="392"/>
      <c r="X52" s="514"/>
      <c r="Y52" s="377"/>
      <c r="Z52" s="376"/>
      <c r="AA52" s="376"/>
      <c r="AB52" s="378"/>
      <c r="AC52" s="375"/>
      <c r="AD52" s="375"/>
      <c r="AE52" s="375"/>
    </row>
    <row r="53" s="264" customFormat="1" ht="12.75" spans="1:31">
      <c r="A53" s="354"/>
      <c r="B53" s="355"/>
      <c r="C53" s="356">
        <v>240730000035</v>
      </c>
      <c r="D53" s="357">
        <v>45511</v>
      </c>
      <c r="E53" s="355" t="s">
        <v>52</v>
      </c>
      <c r="F53" s="355" t="s">
        <v>151</v>
      </c>
      <c r="G53" s="355">
        <v>1.0597</v>
      </c>
      <c r="H53" s="355">
        <v>336</v>
      </c>
      <c r="I53" s="358">
        <v>3645.46</v>
      </c>
      <c r="J53" s="369"/>
      <c r="K53" s="360"/>
      <c r="L53" s="361"/>
      <c r="M53" s="360"/>
      <c r="N53" s="355"/>
      <c r="O53" s="367">
        <f t="shared" si="9"/>
        <v>3645.46</v>
      </c>
      <c r="P53" s="375"/>
      <c r="Q53" s="375"/>
      <c r="R53" s="375"/>
      <c r="S53" s="375"/>
      <c r="T53" s="375"/>
      <c r="U53" s="375"/>
      <c r="V53" s="375"/>
      <c r="W53" s="392"/>
      <c r="X53" s="514"/>
      <c r="Y53" s="368">
        <v>50.15</v>
      </c>
      <c r="Z53" s="376"/>
      <c r="AA53" s="376"/>
      <c r="AB53" s="378"/>
      <c r="AC53" s="375"/>
      <c r="AD53" s="375"/>
      <c r="AE53" s="375"/>
    </row>
    <row r="54" s="264" customFormat="1" ht="12.75" spans="1:31">
      <c r="A54" s="354"/>
      <c r="B54" s="355"/>
      <c r="C54" s="356">
        <v>240802000009</v>
      </c>
      <c r="D54" s="357">
        <v>45511</v>
      </c>
      <c r="E54" s="355" t="s">
        <v>37</v>
      </c>
      <c r="F54" s="355" t="s">
        <v>152</v>
      </c>
      <c r="G54" s="355">
        <v>0.1283</v>
      </c>
      <c r="H54" s="355">
        <v>12.76</v>
      </c>
      <c r="I54" s="358">
        <v>327.6</v>
      </c>
      <c r="J54" s="369"/>
      <c r="K54" s="360"/>
      <c r="L54" s="361"/>
      <c r="M54" s="360"/>
      <c r="N54" s="355"/>
      <c r="O54" s="367">
        <f t="shared" si="9"/>
        <v>327.6</v>
      </c>
      <c r="P54" s="375"/>
      <c r="Q54" s="375"/>
      <c r="R54" s="375"/>
      <c r="S54" s="375"/>
      <c r="T54" s="375"/>
      <c r="U54" s="379"/>
      <c r="V54" s="375"/>
      <c r="W54" s="392"/>
      <c r="X54" s="514"/>
      <c r="Y54" s="373"/>
      <c r="Z54" s="376"/>
      <c r="AA54" s="376"/>
      <c r="AB54" s="378"/>
      <c r="AC54" s="375"/>
      <c r="AD54" s="375"/>
      <c r="AE54" s="375"/>
    </row>
    <row r="55" s="264" customFormat="1" ht="12.75" spans="1:31">
      <c r="A55" s="354"/>
      <c r="B55" s="355"/>
      <c r="C55" s="356">
        <v>240804000004</v>
      </c>
      <c r="D55" s="357">
        <v>45511</v>
      </c>
      <c r="E55" s="355" t="s">
        <v>119</v>
      </c>
      <c r="F55" s="355" t="s">
        <v>120</v>
      </c>
      <c r="G55" s="355">
        <v>10.2324</v>
      </c>
      <c r="H55" s="355">
        <v>1319</v>
      </c>
      <c r="I55" s="364"/>
      <c r="J55" s="370">
        <v>5637625</v>
      </c>
      <c r="K55" s="360"/>
      <c r="L55" s="361">
        <f>SUM(J55/M55)</f>
        <v>1710.99993019579</v>
      </c>
      <c r="M55" s="362">
        <v>3294.93</v>
      </c>
      <c r="N55" s="355">
        <v>7.06</v>
      </c>
      <c r="O55" s="367">
        <f>SUM(M55*N55)</f>
        <v>23262.2058</v>
      </c>
      <c r="P55" s="375"/>
      <c r="Q55" s="375"/>
      <c r="R55" s="375"/>
      <c r="S55" s="375"/>
      <c r="T55" s="375"/>
      <c r="U55" s="367">
        <v>150</v>
      </c>
      <c r="V55" s="375"/>
      <c r="W55" s="392"/>
      <c r="X55" s="514"/>
      <c r="Y55" s="377"/>
      <c r="Z55" s="376"/>
      <c r="AA55" s="376"/>
      <c r="AB55" s="378"/>
      <c r="AC55" s="375"/>
      <c r="AD55" s="375"/>
      <c r="AE55" s="375"/>
    </row>
    <row r="56" s="264" customFormat="1" ht="12.75" spans="1:31">
      <c r="A56" s="354"/>
      <c r="B56" s="355"/>
      <c r="C56" s="356">
        <v>240806000035</v>
      </c>
      <c r="D56" s="357">
        <v>45511</v>
      </c>
      <c r="E56" s="355" t="s">
        <v>40</v>
      </c>
      <c r="F56" s="355" t="s">
        <v>59</v>
      </c>
      <c r="G56" s="355">
        <v>38.42</v>
      </c>
      <c r="H56" s="355">
        <v>4700</v>
      </c>
      <c r="I56" s="358">
        <v>66566.11</v>
      </c>
      <c r="J56" s="369"/>
      <c r="K56" s="360"/>
      <c r="L56" s="361"/>
      <c r="M56" s="362"/>
      <c r="N56" s="355"/>
      <c r="O56" s="367">
        <f t="shared" ref="O56:O65" si="10">SUBTOTAL(9,I56)</f>
        <v>66566.11</v>
      </c>
      <c r="P56" s="379"/>
      <c r="Q56" s="379"/>
      <c r="R56" s="379"/>
      <c r="S56" s="379"/>
      <c r="T56" s="379"/>
      <c r="U56" s="367"/>
      <c r="V56" s="379"/>
      <c r="W56" s="479"/>
      <c r="X56" s="516"/>
      <c r="Y56" s="368"/>
      <c r="Z56" s="377"/>
      <c r="AA56" s="377"/>
      <c r="AB56" s="380"/>
      <c r="AC56" s="379"/>
      <c r="AD56" s="379"/>
      <c r="AE56" s="379"/>
    </row>
    <row r="57" s="264" customFormat="1" ht="12.75" spans="1:31">
      <c r="A57" s="354" t="s">
        <v>153</v>
      </c>
      <c r="B57" s="355" t="s">
        <v>154</v>
      </c>
      <c r="C57" s="356">
        <v>240801000020</v>
      </c>
      <c r="D57" s="357">
        <v>45512</v>
      </c>
      <c r="E57" s="355" t="s">
        <v>42</v>
      </c>
      <c r="F57" s="355" t="s">
        <v>118</v>
      </c>
      <c r="G57" s="355">
        <v>5.7204</v>
      </c>
      <c r="H57" s="355">
        <v>603</v>
      </c>
      <c r="I57" s="358">
        <v>13956</v>
      </c>
      <c r="J57" s="369"/>
      <c r="K57" s="360"/>
      <c r="L57" s="361"/>
      <c r="M57" s="360"/>
      <c r="N57" s="355"/>
      <c r="O57" s="367">
        <f t="shared" si="10"/>
        <v>13956</v>
      </c>
      <c r="P57" s="371">
        <f>SUM(O57:O68)</f>
        <v>154255.39</v>
      </c>
      <c r="Q57" s="372" t="s">
        <v>155</v>
      </c>
      <c r="R57" s="371">
        <v>58532.25</v>
      </c>
      <c r="S57" s="371">
        <v>54.99</v>
      </c>
      <c r="T57" s="371">
        <v>1000</v>
      </c>
      <c r="U57" s="371"/>
      <c r="V57" s="371"/>
      <c r="W57" s="478">
        <f>SUM(R57:V68)</f>
        <v>59587.24</v>
      </c>
      <c r="X57" s="519">
        <v>10435</v>
      </c>
      <c r="Y57" s="373"/>
      <c r="Z57" s="373"/>
      <c r="AA57" s="373">
        <f>SUM(X57:Z68)</f>
        <v>10457.18</v>
      </c>
      <c r="AB57" s="374">
        <v>7.12</v>
      </c>
      <c r="AC57" s="371">
        <f>SUM(AA57*AB57)</f>
        <v>74455.1216</v>
      </c>
      <c r="AD57" s="371">
        <f>SUM(W57+AC57)</f>
        <v>134042.3616</v>
      </c>
      <c r="AE57" s="371">
        <f>SUM(P57-AD57)</f>
        <v>20213.0284</v>
      </c>
    </row>
    <row r="58" s="264" customFormat="1" ht="12.75" spans="1:31">
      <c r="A58" s="354"/>
      <c r="B58" s="355"/>
      <c r="C58" s="356">
        <v>240802000002</v>
      </c>
      <c r="D58" s="357">
        <v>45512</v>
      </c>
      <c r="E58" s="355" t="s">
        <v>49</v>
      </c>
      <c r="F58" s="355" t="s">
        <v>156</v>
      </c>
      <c r="G58" s="355">
        <v>1.848</v>
      </c>
      <c r="H58" s="355">
        <v>1035</v>
      </c>
      <c r="I58" s="358">
        <v>4482.5</v>
      </c>
      <c r="J58" s="369"/>
      <c r="K58" s="360"/>
      <c r="L58" s="361"/>
      <c r="M58" s="360"/>
      <c r="N58" s="355"/>
      <c r="O58" s="367">
        <f t="shared" si="10"/>
        <v>4482.5</v>
      </c>
      <c r="P58" s="375"/>
      <c r="Q58" s="375"/>
      <c r="R58" s="375"/>
      <c r="S58" s="375"/>
      <c r="T58" s="375"/>
      <c r="U58" s="375"/>
      <c r="V58" s="375"/>
      <c r="W58" s="392"/>
      <c r="X58" s="514"/>
      <c r="Y58" s="376"/>
      <c r="Z58" s="376"/>
      <c r="AA58" s="376"/>
      <c r="AB58" s="378"/>
      <c r="AC58" s="375"/>
      <c r="AD58" s="375"/>
      <c r="AE58" s="375"/>
    </row>
    <row r="59" s="264" customFormat="1" ht="12.75" spans="1:31">
      <c r="A59" s="354"/>
      <c r="B59" s="355"/>
      <c r="C59" s="356">
        <v>240803000005</v>
      </c>
      <c r="D59" s="357">
        <v>45512</v>
      </c>
      <c r="E59" s="355" t="s">
        <v>40</v>
      </c>
      <c r="F59" s="355" t="s">
        <v>157</v>
      </c>
      <c r="G59" s="355">
        <v>2.6248</v>
      </c>
      <c r="H59" s="355">
        <v>630</v>
      </c>
      <c r="I59" s="358">
        <v>6236.5</v>
      </c>
      <c r="J59" s="369"/>
      <c r="K59" s="360"/>
      <c r="L59" s="361"/>
      <c r="M59" s="360"/>
      <c r="N59" s="355"/>
      <c r="O59" s="367">
        <f t="shared" si="10"/>
        <v>6236.5</v>
      </c>
      <c r="P59" s="375"/>
      <c r="Q59" s="375"/>
      <c r="R59" s="375"/>
      <c r="S59" s="375"/>
      <c r="T59" s="375"/>
      <c r="U59" s="375"/>
      <c r="V59" s="375"/>
      <c r="W59" s="392"/>
      <c r="X59" s="514"/>
      <c r="Y59" s="376"/>
      <c r="Z59" s="376"/>
      <c r="AA59" s="376"/>
      <c r="AB59" s="378"/>
      <c r="AC59" s="375"/>
      <c r="AD59" s="375"/>
      <c r="AE59" s="375"/>
    </row>
    <row r="60" s="264" customFormat="1" ht="12.75" spans="1:31">
      <c r="A60" s="354"/>
      <c r="B60" s="355"/>
      <c r="C60" s="356">
        <v>240803000017</v>
      </c>
      <c r="D60" s="357">
        <v>45512</v>
      </c>
      <c r="E60" s="355" t="s">
        <v>49</v>
      </c>
      <c r="F60" s="355" t="s">
        <v>86</v>
      </c>
      <c r="G60" s="355">
        <v>17.17</v>
      </c>
      <c r="H60" s="355">
        <v>12298</v>
      </c>
      <c r="I60" s="358">
        <v>38477.75</v>
      </c>
      <c r="J60" s="369"/>
      <c r="K60" s="362"/>
      <c r="L60" s="361"/>
      <c r="M60" s="362"/>
      <c r="N60" s="355"/>
      <c r="O60" s="367">
        <f t="shared" si="10"/>
        <v>38477.75</v>
      </c>
      <c r="P60" s="375"/>
      <c r="Q60" s="375"/>
      <c r="R60" s="375"/>
      <c r="S60" s="375"/>
      <c r="T60" s="375"/>
      <c r="U60" s="375"/>
      <c r="V60" s="375"/>
      <c r="W60" s="392"/>
      <c r="X60" s="514"/>
      <c r="Y60" s="376"/>
      <c r="Z60" s="376"/>
      <c r="AA60" s="376"/>
      <c r="AB60" s="378"/>
      <c r="AC60" s="375"/>
      <c r="AD60" s="375"/>
      <c r="AE60" s="375"/>
    </row>
    <row r="61" s="264" customFormat="1" ht="12.75" spans="1:31">
      <c r="A61" s="354"/>
      <c r="B61" s="355"/>
      <c r="C61" s="356">
        <v>240807000012</v>
      </c>
      <c r="D61" s="357">
        <v>45512</v>
      </c>
      <c r="E61" s="355" t="s">
        <v>40</v>
      </c>
      <c r="F61" s="355" t="s">
        <v>112</v>
      </c>
      <c r="G61" s="355">
        <v>3.79</v>
      </c>
      <c r="H61" s="355">
        <v>780</v>
      </c>
      <c r="I61" s="358">
        <v>7638.75</v>
      </c>
      <c r="J61" s="369"/>
      <c r="K61" s="360"/>
      <c r="L61" s="361"/>
      <c r="M61" s="360"/>
      <c r="N61" s="355"/>
      <c r="O61" s="364">
        <f t="shared" si="10"/>
        <v>7638.75</v>
      </c>
      <c r="P61" s="375"/>
      <c r="Q61" s="375"/>
      <c r="R61" s="375"/>
      <c r="S61" s="375"/>
      <c r="T61" s="375"/>
      <c r="U61" s="375"/>
      <c r="V61" s="375"/>
      <c r="W61" s="392"/>
      <c r="X61" s="514"/>
      <c r="Y61" s="376"/>
      <c r="Z61" s="376"/>
      <c r="AA61" s="376"/>
      <c r="AB61" s="378"/>
      <c r="AC61" s="375"/>
      <c r="AD61" s="375"/>
      <c r="AE61" s="375"/>
    </row>
    <row r="62" s="264" customFormat="1" ht="12.75" spans="1:31">
      <c r="A62" s="354"/>
      <c r="B62" s="355"/>
      <c r="C62" s="356">
        <v>240808000010</v>
      </c>
      <c r="D62" s="357">
        <v>45512</v>
      </c>
      <c r="E62" s="355" t="s">
        <v>40</v>
      </c>
      <c r="F62" s="355" t="s">
        <v>59</v>
      </c>
      <c r="G62" s="355">
        <v>9.8</v>
      </c>
      <c r="H62" s="355">
        <v>1059</v>
      </c>
      <c r="I62" s="358">
        <v>15645.79</v>
      </c>
      <c r="J62" s="369"/>
      <c r="K62" s="360"/>
      <c r="L62" s="361"/>
      <c r="M62" s="362"/>
      <c r="N62" s="355"/>
      <c r="O62" s="367">
        <f t="shared" si="10"/>
        <v>15645.79</v>
      </c>
      <c r="P62" s="375"/>
      <c r="Q62" s="375"/>
      <c r="R62" s="375"/>
      <c r="S62" s="375"/>
      <c r="T62" s="375"/>
      <c r="U62" s="375"/>
      <c r="V62" s="375"/>
      <c r="W62" s="392"/>
      <c r="X62" s="514"/>
      <c r="Y62" s="376"/>
      <c r="Z62" s="376"/>
      <c r="AA62" s="376"/>
      <c r="AB62" s="378"/>
      <c r="AC62" s="375"/>
      <c r="AD62" s="375"/>
      <c r="AE62" s="375"/>
    </row>
    <row r="63" s="264" customFormat="1" ht="12.75" spans="1:31">
      <c r="A63" s="354"/>
      <c r="B63" s="355"/>
      <c r="C63" s="356">
        <v>240728000003</v>
      </c>
      <c r="D63" s="357">
        <v>45506</v>
      </c>
      <c r="E63" s="355" t="s">
        <v>40</v>
      </c>
      <c r="F63" s="355" t="s">
        <v>130</v>
      </c>
      <c r="G63" s="355">
        <v>0.632</v>
      </c>
      <c r="H63" s="355">
        <v>166</v>
      </c>
      <c r="I63" s="358">
        <v>1705</v>
      </c>
      <c r="J63" s="369"/>
      <c r="K63" s="360"/>
      <c r="L63" s="361"/>
      <c r="M63" s="360"/>
      <c r="N63" s="355"/>
      <c r="O63" s="364">
        <f t="shared" si="10"/>
        <v>1705</v>
      </c>
      <c r="P63" s="375"/>
      <c r="Q63" s="375"/>
      <c r="R63" s="375"/>
      <c r="S63" s="375"/>
      <c r="T63" s="375"/>
      <c r="U63" s="375"/>
      <c r="V63" s="375"/>
      <c r="W63" s="392"/>
      <c r="X63" s="514"/>
      <c r="Y63" s="376"/>
      <c r="Z63" s="376"/>
      <c r="AA63" s="376"/>
      <c r="AB63" s="378"/>
      <c r="AC63" s="375"/>
      <c r="AD63" s="375"/>
      <c r="AE63" s="375"/>
    </row>
    <row r="64" s="264" customFormat="1" ht="12.75" spans="1:31">
      <c r="A64" s="354"/>
      <c r="B64" s="355"/>
      <c r="C64" s="356">
        <v>240613000018</v>
      </c>
      <c r="D64" s="357">
        <v>45506</v>
      </c>
      <c r="E64" s="355" t="s">
        <v>40</v>
      </c>
      <c r="F64" s="355" t="s">
        <v>158</v>
      </c>
      <c r="G64" s="355">
        <v>1.6564</v>
      </c>
      <c r="H64" s="355">
        <v>313</v>
      </c>
      <c r="I64" s="358">
        <v>3117</v>
      </c>
      <c r="J64" s="369"/>
      <c r="K64" s="360"/>
      <c r="L64" s="361"/>
      <c r="M64" s="360"/>
      <c r="N64" s="355"/>
      <c r="O64" s="364">
        <f t="shared" si="10"/>
        <v>3117</v>
      </c>
      <c r="P64" s="375"/>
      <c r="Q64" s="375"/>
      <c r="R64" s="375"/>
      <c r="S64" s="375"/>
      <c r="T64" s="375"/>
      <c r="U64" s="375"/>
      <c r="V64" s="375"/>
      <c r="W64" s="392"/>
      <c r="X64" s="514"/>
      <c r="Y64" s="376"/>
      <c r="Z64" s="376"/>
      <c r="AA64" s="376"/>
      <c r="AB64" s="378"/>
      <c r="AC64" s="375"/>
      <c r="AD64" s="375"/>
      <c r="AE64" s="375"/>
    </row>
    <row r="65" s="264" customFormat="1" ht="12.75" spans="1:31">
      <c r="A65" s="354"/>
      <c r="B65" s="355"/>
      <c r="C65" s="356">
        <v>240808000011</v>
      </c>
      <c r="D65" s="357">
        <v>45534</v>
      </c>
      <c r="E65" s="355" t="s">
        <v>40</v>
      </c>
      <c r="F65" s="355" t="s">
        <v>112</v>
      </c>
      <c r="G65" s="355">
        <v>0.6332</v>
      </c>
      <c r="H65" s="355">
        <v>114</v>
      </c>
      <c r="I65" s="358">
        <v>1276.22</v>
      </c>
      <c r="J65" s="369"/>
      <c r="K65" s="360"/>
      <c r="L65" s="361"/>
      <c r="M65" s="360"/>
      <c r="N65" s="355"/>
      <c r="O65" s="364">
        <f t="shared" si="10"/>
        <v>1276.22</v>
      </c>
      <c r="P65" s="520"/>
      <c r="Q65" s="520"/>
      <c r="R65" s="520"/>
      <c r="S65" s="520"/>
      <c r="T65" s="520"/>
      <c r="U65" s="520"/>
      <c r="V65" s="520"/>
      <c r="W65" s="521"/>
      <c r="X65" s="522"/>
      <c r="Y65" s="523"/>
      <c r="Z65" s="377"/>
      <c r="AA65" s="523"/>
      <c r="AB65" s="524"/>
      <c r="AC65" s="520"/>
      <c r="AD65" s="520"/>
      <c r="AE65" s="520"/>
    </row>
    <row r="66" s="264" customFormat="1" ht="12.75" spans="1:31">
      <c r="A66" s="354"/>
      <c r="B66" s="355"/>
      <c r="C66" s="356">
        <v>240808000012</v>
      </c>
      <c r="D66" s="357">
        <v>45512</v>
      </c>
      <c r="E66" s="355" t="s">
        <v>52</v>
      </c>
      <c r="F66" s="355" t="s">
        <v>89</v>
      </c>
      <c r="G66" s="355">
        <v>0.2465</v>
      </c>
      <c r="H66" s="355">
        <v>35.5</v>
      </c>
      <c r="I66" s="358">
        <v>821</v>
      </c>
      <c r="J66" s="369"/>
      <c r="K66" s="360"/>
      <c r="L66" s="361"/>
      <c r="M66" s="360"/>
      <c r="N66" s="355"/>
      <c r="O66" s="367">
        <f t="shared" ref="O66:O69" si="11">SUM(I66)</f>
        <v>821</v>
      </c>
      <c r="P66" s="375"/>
      <c r="Q66" s="375"/>
      <c r="R66" s="375"/>
      <c r="S66" s="375"/>
      <c r="T66" s="375"/>
      <c r="U66" s="375"/>
      <c r="V66" s="375"/>
      <c r="W66" s="392"/>
      <c r="X66" s="514"/>
      <c r="Y66" s="376"/>
      <c r="Z66" s="368">
        <v>22.18</v>
      </c>
      <c r="AA66" s="376"/>
      <c r="AB66" s="378"/>
      <c r="AC66" s="375"/>
      <c r="AD66" s="375"/>
      <c r="AE66" s="375"/>
    </row>
    <row r="67" s="264" customFormat="1" ht="12.75" spans="1:31">
      <c r="A67" s="354"/>
      <c r="B67" s="355"/>
      <c r="C67" s="356">
        <v>240630000010</v>
      </c>
      <c r="D67" s="357">
        <v>45534</v>
      </c>
      <c r="E67" s="355" t="s">
        <v>52</v>
      </c>
      <c r="F67" s="355" t="s">
        <v>139</v>
      </c>
      <c r="G67" s="355">
        <v>20.8295</v>
      </c>
      <c r="H67" s="355">
        <v>1472</v>
      </c>
      <c r="I67" s="358">
        <v>44333.83</v>
      </c>
      <c r="J67" s="369"/>
      <c r="K67" s="360"/>
      <c r="L67" s="361"/>
      <c r="M67" s="360"/>
      <c r="N67" s="355"/>
      <c r="O67" s="364">
        <f t="shared" si="11"/>
        <v>44333.83</v>
      </c>
      <c r="P67" s="510"/>
      <c r="Q67" s="510"/>
      <c r="R67" s="510"/>
      <c r="S67" s="510"/>
      <c r="T67" s="510"/>
      <c r="U67" s="510"/>
      <c r="V67" s="510"/>
      <c r="W67" s="511"/>
      <c r="X67" s="515"/>
      <c r="Y67" s="512"/>
      <c r="Z67" s="373"/>
      <c r="AA67" s="512"/>
      <c r="AB67" s="513"/>
      <c r="AC67" s="510"/>
      <c r="AD67" s="510"/>
      <c r="AE67" s="510"/>
    </row>
    <row r="68" s="264" customFormat="1" ht="12.75" spans="1:31">
      <c r="A68" s="354"/>
      <c r="B68" s="355"/>
      <c r="C68" s="356">
        <v>240808000019</v>
      </c>
      <c r="D68" s="357">
        <v>45512</v>
      </c>
      <c r="E68" s="355" t="s">
        <v>40</v>
      </c>
      <c r="F68" s="355" t="s">
        <v>60</v>
      </c>
      <c r="G68" s="355">
        <v>7.4735</v>
      </c>
      <c r="H68" s="355">
        <v>1000</v>
      </c>
      <c r="I68" s="358">
        <v>16565.05</v>
      </c>
      <c r="J68" s="369"/>
      <c r="K68" s="360"/>
      <c r="L68" s="361"/>
      <c r="M68" s="360"/>
      <c r="N68" s="355"/>
      <c r="O68" s="367">
        <f>SUBTOTAL(9,I68)</f>
        <v>16565.05</v>
      </c>
      <c r="P68" s="379"/>
      <c r="Q68" s="379"/>
      <c r="R68" s="379"/>
      <c r="S68" s="379"/>
      <c r="T68" s="379"/>
      <c r="U68" s="379"/>
      <c r="V68" s="379"/>
      <c r="W68" s="479"/>
      <c r="X68" s="516"/>
      <c r="Y68" s="377"/>
      <c r="Z68" s="377"/>
      <c r="AA68" s="377"/>
      <c r="AB68" s="380"/>
      <c r="AC68" s="379"/>
      <c r="AD68" s="379"/>
      <c r="AE68" s="379"/>
    </row>
    <row r="69" s="264" customFormat="1" ht="12.75" spans="1:31">
      <c r="A69" s="354" t="s">
        <v>159</v>
      </c>
      <c r="B69" s="355" t="s">
        <v>160</v>
      </c>
      <c r="C69" s="356">
        <v>240630000010</v>
      </c>
      <c r="D69" s="357">
        <v>45534</v>
      </c>
      <c r="E69" s="355" t="s">
        <v>52</v>
      </c>
      <c r="F69" s="355" t="s">
        <v>139</v>
      </c>
      <c r="G69" s="355">
        <v>4.5207</v>
      </c>
      <c r="H69" s="355">
        <v>744</v>
      </c>
      <c r="I69" s="358">
        <v>9620</v>
      </c>
      <c r="J69" s="369"/>
      <c r="K69" s="360"/>
      <c r="L69" s="361"/>
      <c r="M69" s="360"/>
      <c r="N69" s="355"/>
      <c r="O69" s="364">
        <f t="shared" si="11"/>
        <v>9620</v>
      </c>
      <c r="P69" s="371">
        <f>SUM(O69:O84)</f>
        <v>160773.2036</v>
      </c>
      <c r="Q69" s="372" t="s">
        <v>161</v>
      </c>
      <c r="R69" s="371">
        <v>57545.25</v>
      </c>
      <c r="S69" s="371"/>
      <c r="T69" s="371">
        <v>2100</v>
      </c>
      <c r="U69" s="367">
        <v>900</v>
      </c>
      <c r="V69" s="371"/>
      <c r="W69" s="478">
        <f>SUM(R69:V84)</f>
        <v>61545.25</v>
      </c>
      <c r="X69" s="519">
        <v>10417</v>
      </c>
      <c r="Y69" s="368">
        <v>70.8</v>
      </c>
      <c r="Z69" s="373"/>
      <c r="AA69" s="373">
        <f>SUM(X69:Z84)</f>
        <v>10573.35</v>
      </c>
      <c r="AB69" s="374">
        <v>7.07</v>
      </c>
      <c r="AC69" s="371">
        <f>SUM(AA69*AB69)</f>
        <v>74753.5845</v>
      </c>
      <c r="AD69" s="371">
        <f>SUM(W69+AC69)</f>
        <v>136298.8345</v>
      </c>
      <c r="AE69" s="371">
        <f>SUM(P69-AD69)</f>
        <v>24474.3691</v>
      </c>
    </row>
    <row r="70" s="264" customFormat="1" ht="12.75" spans="1:31">
      <c r="A70" s="354"/>
      <c r="B70" s="355"/>
      <c r="C70" s="356">
        <v>240725000027</v>
      </c>
      <c r="D70" s="357">
        <v>45534</v>
      </c>
      <c r="E70" s="355" t="s">
        <v>49</v>
      </c>
      <c r="F70" s="355" t="s">
        <v>95</v>
      </c>
      <c r="G70" s="355">
        <v>0.0213</v>
      </c>
      <c r="H70" s="355">
        <v>3.7</v>
      </c>
      <c r="I70" s="358"/>
      <c r="J70" s="370">
        <v>85293</v>
      </c>
      <c r="K70" s="360"/>
      <c r="L70" s="361">
        <f t="shared" ref="L70:L74" si="12">SUM(J70/M70)</f>
        <v>1730.43213633597</v>
      </c>
      <c r="M70" s="362">
        <v>49.29</v>
      </c>
      <c r="N70" s="355">
        <v>7.12</v>
      </c>
      <c r="O70" s="367">
        <f t="shared" ref="O70:O74" si="13">SUM(M70*N70)</f>
        <v>350.9448</v>
      </c>
      <c r="P70" s="375"/>
      <c r="Q70" s="375"/>
      <c r="R70" s="375"/>
      <c r="S70" s="375"/>
      <c r="T70" s="375"/>
      <c r="U70" s="371"/>
      <c r="V70" s="375"/>
      <c r="W70" s="392"/>
      <c r="X70" s="514"/>
      <c r="Y70" s="368">
        <v>7.25</v>
      </c>
      <c r="Z70" s="376"/>
      <c r="AA70" s="376"/>
      <c r="AB70" s="378"/>
      <c r="AC70" s="375"/>
      <c r="AD70" s="375"/>
      <c r="AE70" s="375"/>
    </row>
    <row r="71" s="264" customFormat="1" ht="12.75" spans="1:31">
      <c r="A71" s="354"/>
      <c r="B71" s="355"/>
      <c r="C71" s="356">
        <v>240806000025</v>
      </c>
      <c r="D71" s="357">
        <v>45534</v>
      </c>
      <c r="E71" s="355" t="s">
        <v>52</v>
      </c>
      <c r="F71" s="355" t="s">
        <v>162</v>
      </c>
      <c r="G71" s="355">
        <v>4.665</v>
      </c>
      <c r="H71" s="355">
        <v>886</v>
      </c>
      <c r="I71" s="358">
        <v>10755.219</v>
      </c>
      <c r="J71" s="369"/>
      <c r="K71" s="360"/>
      <c r="L71" s="361"/>
      <c r="M71" s="360"/>
      <c r="N71" s="355"/>
      <c r="O71" s="364">
        <f>SUM(I71)</f>
        <v>10755.219</v>
      </c>
      <c r="P71" s="375"/>
      <c r="Q71" s="375"/>
      <c r="R71" s="375"/>
      <c r="S71" s="375"/>
      <c r="T71" s="375"/>
      <c r="U71" s="375"/>
      <c r="V71" s="375"/>
      <c r="W71" s="392"/>
      <c r="X71" s="514"/>
      <c r="Y71" s="373"/>
      <c r="Z71" s="376"/>
      <c r="AA71" s="376"/>
      <c r="AB71" s="378"/>
      <c r="AC71" s="375"/>
      <c r="AD71" s="375"/>
      <c r="AE71" s="375"/>
    </row>
    <row r="72" s="264" customFormat="1" ht="12.75" spans="1:31">
      <c r="A72" s="354"/>
      <c r="B72" s="355"/>
      <c r="C72" s="356">
        <v>240807000004</v>
      </c>
      <c r="D72" s="357">
        <v>45534</v>
      </c>
      <c r="E72" s="355" t="s">
        <v>42</v>
      </c>
      <c r="F72" s="355" t="s">
        <v>163</v>
      </c>
      <c r="G72" s="355">
        <v>2.4662</v>
      </c>
      <c r="H72" s="355">
        <v>160</v>
      </c>
      <c r="I72" s="364"/>
      <c r="J72" s="370">
        <v>1842570</v>
      </c>
      <c r="K72" s="360"/>
      <c r="L72" s="361">
        <f t="shared" si="12"/>
        <v>1735</v>
      </c>
      <c r="M72" s="362">
        <v>1062</v>
      </c>
      <c r="N72" s="355">
        <v>7.12</v>
      </c>
      <c r="O72" s="364">
        <f t="shared" si="13"/>
        <v>7561.44</v>
      </c>
      <c r="P72" s="375"/>
      <c r="Q72" s="375"/>
      <c r="R72" s="375"/>
      <c r="S72" s="375"/>
      <c r="T72" s="375"/>
      <c r="U72" s="375"/>
      <c r="V72" s="375"/>
      <c r="W72" s="392"/>
      <c r="X72" s="514"/>
      <c r="Y72" s="377"/>
      <c r="Z72" s="376"/>
      <c r="AA72" s="376"/>
      <c r="AB72" s="378"/>
      <c r="AC72" s="375"/>
      <c r="AD72" s="375"/>
      <c r="AE72" s="375"/>
    </row>
    <row r="73" s="264" customFormat="1" ht="12.75" spans="1:31">
      <c r="A73" s="354"/>
      <c r="B73" s="355"/>
      <c r="C73" s="356">
        <v>240807000010</v>
      </c>
      <c r="D73" s="357">
        <v>45534</v>
      </c>
      <c r="E73" s="355" t="s">
        <v>49</v>
      </c>
      <c r="F73" s="355" t="s">
        <v>95</v>
      </c>
      <c r="G73" s="355">
        <v>0.0207</v>
      </c>
      <c r="H73" s="355">
        <v>4.2</v>
      </c>
      <c r="I73" s="364"/>
      <c r="J73" s="370">
        <v>59049</v>
      </c>
      <c r="K73" s="360"/>
      <c r="L73" s="361">
        <f t="shared" si="12"/>
        <v>1786.11615245009</v>
      </c>
      <c r="M73" s="362">
        <v>33.06</v>
      </c>
      <c r="N73" s="355">
        <v>7.12</v>
      </c>
      <c r="O73" s="364">
        <f t="shared" si="13"/>
        <v>235.3872</v>
      </c>
      <c r="P73" s="375"/>
      <c r="Q73" s="375"/>
      <c r="R73" s="375"/>
      <c r="S73" s="375"/>
      <c r="T73" s="375"/>
      <c r="U73" s="375"/>
      <c r="V73" s="375"/>
      <c r="W73" s="392"/>
      <c r="X73" s="514"/>
      <c r="Y73" s="368">
        <v>7.5</v>
      </c>
      <c r="Z73" s="376"/>
      <c r="AA73" s="376"/>
      <c r="AB73" s="378"/>
      <c r="AC73" s="375"/>
      <c r="AD73" s="375"/>
      <c r="AE73" s="375"/>
    </row>
    <row r="74" s="264" customFormat="1" ht="12.75" spans="1:31">
      <c r="A74" s="354"/>
      <c r="B74" s="355"/>
      <c r="C74" s="356">
        <v>240808000002</v>
      </c>
      <c r="D74" s="357">
        <v>45534</v>
      </c>
      <c r="E74" s="355" t="s">
        <v>52</v>
      </c>
      <c r="F74" s="355" t="s">
        <v>162</v>
      </c>
      <c r="G74" s="355">
        <v>2.1795</v>
      </c>
      <c r="H74" s="355">
        <v>785</v>
      </c>
      <c r="I74" s="364"/>
      <c r="J74" s="370">
        <v>1256000</v>
      </c>
      <c r="K74" s="360"/>
      <c r="L74" s="361">
        <f t="shared" si="12"/>
        <v>1751.88997684604</v>
      </c>
      <c r="M74" s="362">
        <v>716.94</v>
      </c>
      <c r="N74" s="355">
        <v>7.15</v>
      </c>
      <c r="O74" s="364">
        <f t="shared" si="13"/>
        <v>5126.121</v>
      </c>
      <c r="P74" s="375"/>
      <c r="Q74" s="375"/>
      <c r="R74" s="375"/>
      <c r="S74" s="375"/>
      <c r="T74" s="375"/>
      <c r="U74" s="375"/>
      <c r="V74" s="375"/>
      <c r="W74" s="392"/>
      <c r="X74" s="514"/>
      <c r="Y74" s="373"/>
      <c r="Z74" s="376"/>
      <c r="AA74" s="376"/>
      <c r="AB74" s="378"/>
      <c r="AC74" s="375"/>
      <c r="AD74" s="375"/>
      <c r="AE74" s="375"/>
    </row>
    <row r="75" s="264" customFormat="1" ht="12.75" spans="1:31">
      <c r="A75" s="354"/>
      <c r="B75" s="355"/>
      <c r="C75" s="356">
        <v>240808000011</v>
      </c>
      <c r="D75" s="357">
        <v>45534</v>
      </c>
      <c r="E75" s="355" t="s">
        <v>40</v>
      </c>
      <c r="F75" s="355" t="s">
        <v>112</v>
      </c>
      <c r="G75" s="355">
        <v>1.8652</v>
      </c>
      <c r="H75" s="355">
        <v>420</v>
      </c>
      <c r="I75" s="358">
        <v>3624.06</v>
      </c>
      <c r="J75" s="369"/>
      <c r="K75" s="360"/>
      <c r="L75" s="361"/>
      <c r="M75" s="360"/>
      <c r="N75" s="355"/>
      <c r="O75" s="364">
        <f t="shared" ref="O75:O78" si="14">SUBTOTAL(9,I75)</f>
        <v>3624.06</v>
      </c>
      <c r="P75" s="375"/>
      <c r="Q75" s="375"/>
      <c r="R75" s="375"/>
      <c r="S75" s="375"/>
      <c r="T75" s="375"/>
      <c r="U75" s="375"/>
      <c r="V75" s="375"/>
      <c r="W75" s="392"/>
      <c r="X75" s="514"/>
      <c r="Y75" s="376"/>
      <c r="Z75" s="376"/>
      <c r="AA75" s="376"/>
      <c r="AB75" s="378"/>
      <c r="AC75" s="375"/>
      <c r="AD75" s="375"/>
      <c r="AE75" s="375"/>
    </row>
    <row r="76" s="264" customFormat="1" ht="12.75" spans="1:31">
      <c r="A76" s="354"/>
      <c r="B76" s="355"/>
      <c r="C76" s="356">
        <v>240728000003</v>
      </c>
      <c r="D76" s="357">
        <v>45506</v>
      </c>
      <c r="E76" s="355" t="s">
        <v>40</v>
      </c>
      <c r="F76" s="355" t="s">
        <v>130</v>
      </c>
      <c r="G76" s="355">
        <v>0.354</v>
      </c>
      <c r="H76" s="355">
        <v>131</v>
      </c>
      <c r="I76" s="358">
        <v>954</v>
      </c>
      <c r="J76" s="369"/>
      <c r="K76" s="360"/>
      <c r="L76" s="361"/>
      <c r="M76" s="360"/>
      <c r="N76" s="355"/>
      <c r="O76" s="364">
        <f t="shared" si="14"/>
        <v>954</v>
      </c>
      <c r="P76" s="375"/>
      <c r="Q76" s="375"/>
      <c r="R76" s="375"/>
      <c r="S76" s="375"/>
      <c r="T76" s="375"/>
      <c r="U76" s="375"/>
      <c r="V76" s="375"/>
      <c r="W76" s="392"/>
      <c r="X76" s="514"/>
      <c r="Y76" s="377"/>
      <c r="Z76" s="376"/>
      <c r="AA76" s="376"/>
      <c r="AB76" s="378"/>
      <c r="AC76" s="375"/>
      <c r="AD76" s="375"/>
      <c r="AE76" s="375"/>
    </row>
    <row r="77" s="264" customFormat="1" ht="12.75" spans="1:31">
      <c r="A77" s="354"/>
      <c r="B77" s="355"/>
      <c r="C77" s="356">
        <v>240808000024</v>
      </c>
      <c r="D77" s="357">
        <v>45534</v>
      </c>
      <c r="E77" s="355" t="s">
        <v>49</v>
      </c>
      <c r="F77" s="355" t="s">
        <v>164</v>
      </c>
      <c r="G77" s="355">
        <v>2.295</v>
      </c>
      <c r="H77" s="355">
        <v>107</v>
      </c>
      <c r="I77" s="364"/>
      <c r="J77" s="369"/>
      <c r="K77" s="362">
        <v>827</v>
      </c>
      <c r="L77" s="361">
        <f t="shared" ref="L77:L82" si="15">SUM(J77/M77)</f>
        <v>0</v>
      </c>
      <c r="M77" s="362">
        <v>827</v>
      </c>
      <c r="N77" s="355">
        <v>7.12</v>
      </c>
      <c r="O77" s="364">
        <f t="shared" ref="O77:O82" si="16">SUM(M77*N77)</f>
        <v>5888.24</v>
      </c>
      <c r="P77" s="375"/>
      <c r="Q77" s="375"/>
      <c r="R77" s="375"/>
      <c r="S77" s="375"/>
      <c r="T77" s="375"/>
      <c r="U77" s="375"/>
      <c r="V77" s="379"/>
      <c r="W77" s="392"/>
      <c r="X77" s="514"/>
      <c r="Y77" s="368">
        <v>70.8</v>
      </c>
      <c r="Z77" s="376"/>
      <c r="AA77" s="376"/>
      <c r="AB77" s="378"/>
      <c r="AC77" s="375"/>
      <c r="AD77" s="375"/>
      <c r="AE77" s="375"/>
    </row>
    <row r="78" s="264" customFormat="1" ht="12.75" spans="1:31">
      <c r="A78" s="354"/>
      <c r="B78" s="355"/>
      <c r="C78" s="356">
        <v>240809000022</v>
      </c>
      <c r="D78" s="357">
        <v>45534</v>
      </c>
      <c r="E78" s="355" t="s">
        <v>40</v>
      </c>
      <c r="F78" s="355" t="s">
        <v>165</v>
      </c>
      <c r="G78" s="355">
        <v>8.119</v>
      </c>
      <c r="H78" s="355">
        <v>5120</v>
      </c>
      <c r="I78" s="358">
        <v>22858.98</v>
      </c>
      <c r="J78" s="369"/>
      <c r="K78" s="360"/>
      <c r="L78" s="361"/>
      <c r="M78" s="360"/>
      <c r="N78" s="355"/>
      <c r="O78" s="364">
        <f t="shared" si="14"/>
        <v>22858.98</v>
      </c>
      <c r="P78" s="375"/>
      <c r="Q78" s="375"/>
      <c r="R78" s="375"/>
      <c r="S78" s="375"/>
      <c r="T78" s="375"/>
      <c r="U78" s="375"/>
      <c r="V78" s="367">
        <f>SUM(700+300)</f>
        <v>1000</v>
      </c>
      <c r="W78" s="392"/>
      <c r="X78" s="514"/>
      <c r="Y78" s="373"/>
      <c r="Z78" s="376"/>
      <c r="AA78" s="376"/>
      <c r="AB78" s="378"/>
      <c r="AC78" s="375"/>
      <c r="AD78" s="375"/>
      <c r="AE78" s="375"/>
    </row>
    <row r="79" s="264" customFormat="1" ht="12.75" spans="1:31">
      <c r="A79" s="354"/>
      <c r="B79" s="355"/>
      <c r="C79" s="356">
        <v>240809000034</v>
      </c>
      <c r="D79" s="357">
        <v>45534</v>
      </c>
      <c r="E79" s="355" t="s">
        <v>42</v>
      </c>
      <c r="F79" s="355" t="s">
        <v>61</v>
      </c>
      <c r="G79" s="355">
        <v>0.9292</v>
      </c>
      <c r="H79" s="355">
        <v>144</v>
      </c>
      <c r="I79" s="364"/>
      <c r="J79" s="370">
        <v>548260</v>
      </c>
      <c r="K79" s="360"/>
      <c r="L79" s="361">
        <f t="shared" si="15"/>
        <v>1735</v>
      </c>
      <c r="M79" s="362">
        <v>316</v>
      </c>
      <c r="N79" s="355">
        <v>7.12</v>
      </c>
      <c r="O79" s="364">
        <f t="shared" si="16"/>
        <v>2249.92</v>
      </c>
      <c r="P79" s="375"/>
      <c r="Q79" s="375"/>
      <c r="R79" s="375"/>
      <c r="S79" s="375"/>
      <c r="T79" s="375"/>
      <c r="U79" s="375"/>
      <c r="V79" s="371"/>
      <c r="W79" s="392"/>
      <c r="X79" s="514"/>
      <c r="Y79" s="376"/>
      <c r="Z79" s="376"/>
      <c r="AA79" s="376"/>
      <c r="AB79" s="378"/>
      <c r="AC79" s="375"/>
      <c r="AD79" s="375"/>
      <c r="AE79" s="375"/>
    </row>
    <row r="80" s="264" customFormat="1" ht="12.75" spans="1:31">
      <c r="A80" s="354"/>
      <c r="B80" s="355"/>
      <c r="C80" s="356">
        <v>240813000001</v>
      </c>
      <c r="D80" s="357">
        <v>45534</v>
      </c>
      <c r="E80" s="355" t="s">
        <v>40</v>
      </c>
      <c r="F80" s="355" t="s">
        <v>59</v>
      </c>
      <c r="G80" s="355">
        <v>33.04</v>
      </c>
      <c r="H80" s="355">
        <v>4133</v>
      </c>
      <c r="I80" s="358">
        <v>53646.12</v>
      </c>
      <c r="J80" s="369"/>
      <c r="K80" s="360"/>
      <c r="L80" s="361"/>
      <c r="M80" s="362"/>
      <c r="N80" s="355"/>
      <c r="O80" s="364">
        <f t="shared" ref="O80:O84" si="17">SUBTOTAL(9,I80)</f>
        <v>53646.12</v>
      </c>
      <c r="P80" s="375"/>
      <c r="Q80" s="375"/>
      <c r="R80" s="375"/>
      <c r="S80" s="375"/>
      <c r="T80" s="375"/>
      <c r="U80" s="375"/>
      <c r="V80" s="375"/>
      <c r="W80" s="392"/>
      <c r="X80" s="514"/>
      <c r="Y80" s="376"/>
      <c r="Z80" s="376"/>
      <c r="AA80" s="376"/>
      <c r="AB80" s="378"/>
      <c r="AC80" s="375"/>
      <c r="AD80" s="375"/>
      <c r="AE80" s="375"/>
    </row>
    <row r="81" s="264" customFormat="1" ht="12.75" spans="1:31">
      <c r="A81" s="354"/>
      <c r="B81" s="355"/>
      <c r="C81" s="356">
        <v>240809000038</v>
      </c>
      <c r="D81" s="357">
        <v>45534</v>
      </c>
      <c r="E81" s="355" t="s">
        <v>37</v>
      </c>
      <c r="F81" s="355" t="s">
        <v>166</v>
      </c>
      <c r="G81" s="355">
        <v>2.0316</v>
      </c>
      <c r="H81" s="355">
        <v>173</v>
      </c>
      <c r="I81" s="358">
        <v>4667</v>
      </c>
      <c r="J81" s="369"/>
      <c r="K81" s="360"/>
      <c r="L81" s="361"/>
      <c r="M81" s="360"/>
      <c r="N81" s="355"/>
      <c r="O81" s="364">
        <f t="shared" si="17"/>
        <v>4667</v>
      </c>
      <c r="P81" s="375"/>
      <c r="Q81" s="375"/>
      <c r="R81" s="375"/>
      <c r="S81" s="375"/>
      <c r="T81" s="375"/>
      <c r="U81" s="375"/>
      <c r="V81" s="375"/>
      <c r="W81" s="392"/>
      <c r="X81" s="514"/>
      <c r="Y81" s="376"/>
      <c r="Z81" s="376"/>
      <c r="AA81" s="376"/>
      <c r="AB81" s="378"/>
      <c r="AC81" s="375"/>
      <c r="AD81" s="375"/>
      <c r="AE81" s="375"/>
    </row>
    <row r="82" s="264" customFormat="1" ht="12.75" spans="1:31">
      <c r="A82" s="354"/>
      <c r="B82" s="355"/>
      <c r="C82" s="356">
        <v>240810000008</v>
      </c>
      <c r="D82" s="357">
        <v>45534</v>
      </c>
      <c r="E82" s="355" t="s">
        <v>119</v>
      </c>
      <c r="F82" s="355" t="s">
        <v>167</v>
      </c>
      <c r="G82" s="355">
        <v>7.4021</v>
      </c>
      <c r="H82" s="355">
        <v>2808</v>
      </c>
      <c r="I82" s="364"/>
      <c r="J82" s="370">
        <v>4341273</v>
      </c>
      <c r="K82" s="360"/>
      <c r="L82" s="361">
        <f t="shared" si="15"/>
        <v>1725</v>
      </c>
      <c r="M82" s="362">
        <v>2516.68</v>
      </c>
      <c r="N82" s="355">
        <v>7.12</v>
      </c>
      <c r="O82" s="364">
        <f t="shared" si="16"/>
        <v>17918.7616</v>
      </c>
      <c r="P82" s="375"/>
      <c r="Q82" s="375"/>
      <c r="R82" s="375"/>
      <c r="S82" s="375"/>
      <c r="T82" s="375"/>
      <c r="U82" s="375"/>
      <c r="V82" s="375"/>
      <c r="W82" s="392"/>
      <c r="X82" s="514"/>
      <c r="Y82" s="376"/>
      <c r="Z82" s="376"/>
      <c r="AA82" s="376"/>
      <c r="AB82" s="378"/>
      <c r="AC82" s="375"/>
      <c r="AD82" s="375"/>
      <c r="AE82" s="375"/>
    </row>
    <row r="83" s="264" customFormat="1" ht="12.75" spans="1:31">
      <c r="A83" s="354"/>
      <c r="B83" s="355"/>
      <c r="C83" s="356">
        <v>240813000002</v>
      </c>
      <c r="D83" s="357">
        <v>45534</v>
      </c>
      <c r="E83" s="355" t="s">
        <v>40</v>
      </c>
      <c r="F83" s="355" t="s">
        <v>59</v>
      </c>
      <c r="G83" s="355">
        <v>1.14</v>
      </c>
      <c r="H83" s="355">
        <v>155</v>
      </c>
      <c r="I83" s="358">
        <v>1853.23</v>
      </c>
      <c r="J83" s="369"/>
      <c r="K83" s="360"/>
      <c r="L83" s="361"/>
      <c r="M83" s="362"/>
      <c r="N83" s="355"/>
      <c r="O83" s="364">
        <f t="shared" si="17"/>
        <v>1853.23</v>
      </c>
      <c r="P83" s="379"/>
      <c r="Q83" s="379"/>
      <c r="R83" s="379"/>
      <c r="S83" s="379"/>
      <c r="T83" s="379"/>
      <c r="U83" s="375"/>
      <c r="V83" s="375"/>
      <c r="W83" s="479"/>
      <c r="X83" s="516"/>
      <c r="Y83" s="376"/>
      <c r="Z83" s="377"/>
      <c r="AA83" s="377"/>
      <c r="AB83" s="380"/>
      <c r="AC83" s="379"/>
      <c r="AD83" s="379"/>
      <c r="AE83" s="379"/>
    </row>
    <row r="84" s="264" customFormat="1" ht="12.75" spans="1:31">
      <c r="A84" s="354"/>
      <c r="B84" s="355"/>
      <c r="C84" s="356">
        <v>240812000043</v>
      </c>
      <c r="D84" s="357">
        <v>45534</v>
      </c>
      <c r="E84" s="355" t="s">
        <v>40</v>
      </c>
      <c r="F84" s="355" t="s">
        <v>60</v>
      </c>
      <c r="G84" s="355">
        <v>5.313</v>
      </c>
      <c r="H84" s="355">
        <v>2925</v>
      </c>
      <c r="I84" s="358">
        <v>13463.78</v>
      </c>
      <c r="J84" s="370"/>
      <c r="K84" s="362"/>
      <c r="L84" s="361"/>
      <c r="M84" s="362"/>
      <c r="N84" s="355"/>
      <c r="O84" s="364">
        <f t="shared" si="17"/>
        <v>13463.78</v>
      </c>
      <c r="P84" s="379"/>
      <c r="Q84" s="379"/>
      <c r="R84" s="379"/>
      <c r="S84" s="379"/>
      <c r="T84" s="379"/>
      <c r="U84" s="379"/>
      <c r="V84" s="379"/>
      <c r="W84" s="479"/>
      <c r="X84" s="516"/>
      <c r="Y84" s="377"/>
      <c r="Z84" s="377"/>
      <c r="AA84" s="377"/>
      <c r="AB84" s="380"/>
      <c r="AC84" s="379"/>
      <c r="AD84" s="379"/>
      <c r="AE84" s="379"/>
    </row>
    <row r="85" s="264" customFormat="1" ht="12.75" spans="1:31">
      <c r="A85" s="354" t="s">
        <v>168</v>
      </c>
      <c r="B85" s="355" t="s">
        <v>169</v>
      </c>
      <c r="C85" s="356">
        <v>240729000025</v>
      </c>
      <c r="D85" s="357">
        <v>45534</v>
      </c>
      <c r="E85" s="355" t="s">
        <v>49</v>
      </c>
      <c r="F85" s="355" t="s">
        <v>170</v>
      </c>
      <c r="G85" s="355">
        <v>0.3136</v>
      </c>
      <c r="H85" s="355">
        <v>10</v>
      </c>
      <c r="I85" s="358">
        <v>753</v>
      </c>
      <c r="J85" s="369"/>
      <c r="K85" s="360"/>
      <c r="L85" s="361"/>
      <c r="M85" s="360"/>
      <c r="N85" s="355"/>
      <c r="O85" s="364">
        <f>SUM(I85)</f>
        <v>753</v>
      </c>
      <c r="P85" s="371">
        <f>SUM(O85:O94)</f>
        <v>139455.48</v>
      </c>
      <c r="Q85" s="372" t="s">
        <v>171</v>
      </c>
      <c r="R85" s="371">
        <v>57265.25</v>
      </c>
      <c r="S85" s="371"/>
      <c r="T85" s="371">
        <v>1400</v>
      </c>
      <c r="U85" s="371"/>
      <c r="V85" s="371"/>
      <c r="W85" s="478">
        <f>SUM(R85:V94)</f>
        <v>59075.39</v>
      </c>
      <c r="X85" s="519">
        <v>10328</v>
      </c>
      <c r="Y85" s="373"/>
      <c r="Z85" s="373">
        <v>277.12</v>
      </c>
      <c r="AA85" s="373">
        <f>SUM(X85:Z94)</f>
        <v>10632.17</v>
      </c>
      <c r="AB85" s="374">
        <v>7.06</v>
      </c>
      <c r="AC85" s="371">
        <f>SUM(AA85*AB85)</f>
        <v>75063.1202</v>
      </c>
      <c r="AD85" s="371">
        <f>SUM(W85+AC85)</f>
        <v>134138.5102</v>
      </c>
      <c r="AE85" s="371">
        <f>SUM(P85-AD85)</f>
        <v>5316.96979999999</v>
      </c>
    </row>
    <row r="86" s="264" customFormat="1" ht="12.75" spans="1:31">
      <c r="A86" s="354"/>
      <c r="B86" s="355"/>
      <c r="C86" s="356">
        <v>240804000005</v>
      </c>
      <c r="D86" s="357">
        <v>45534</v>
      </c>
      <c r="E86" s="355" t="s">
        <v>49</v>
      </c>
      <c r="F86" s="355" t="s">
        <v>86</v>
      </c>
      <c r="G86" s="355">
        <v>31.7366</v>
      </c>
      <c r="H86" s="355">
        <v>8596</v>
      </c>
      <c r="I86" s="358">
        <v>70573.12</v>
      </c>
      <c r="J86" s="369"/>
      <c r="K86" s="362"/>
      <c r="L86" s="361"/>
      <c r="M86" s="362"/>
      <c r="N86" s="355"/>
      <c r="O86" s="364">
        <f t="shared" ref="O86:O94" si="18">SUBTOTAL(9,I86)</f>
        <v>70573.12</v>
      </c>
      <c r="P86" s="375"/>
      <c r="Q86" s="375"/>
      <c r="R86" s="375"/>
      <c r="S86" s="375"/>
      <c r="T86" s="375"/>
      <c r="U86" s="375"/>
      <c r="V86" s="375"/>
      <c r="W86" s="392"/>
      <c r="X86" s="514"/>
      <c r="Y86" s="376"/>
      <c r="Z86" s="376"/>
      <c r="AA86" s="376"/>
      <c r="AB86" s="378"/>
      <c r="AC86" s="375"/>
      <c r="AD86" s="375"/>
      <c r="AE86" s="375"/>
    </row>
    <row r="87" s="264" customFormat="1" ht="12.75" spans="1:31">
      <c r="A87" s="354"/>
      <c r="B87" s="355"/>
      <c r="C87" s="356">
        <v>240812000053</v>
      </c>
      <c r="D87" s="357">
        <v>45534</v>
      </c>
      <c r="E87" s="355" t="s">
        <v>40</v>
      </c>
      <c r="F87" s="355" t="s">
        <v>112</v>
      </c>
      <c r="G87" s="355">
        <v>1.748</v>
      </c>
      <c r="H87" s="355">
        <v>203</v>
      </c>
      <c r="I87" s="358">
        <v>3548.44</v>
      </c>
      <c r="J87" s="369"/>
      <c r="K87" s="360"/>
      <c r="L87" s="361"/>
      <c r="M87" s="360"/>
      <c r="N87" s="355"/>
      <c r="O87" s="364">
        <f t="shared" si="18"/>
        <v>3548.44</v>
      </c>
      <c r="P87" s="375"/>
      <c r="Q87" s="375"/>
      <c r="R87" s="375"/>
      <c r="S87" s="379"/>
      <c r="T87" s="375"/>
      <c r="U87" s="375"/>
      <c r="V87" s="379"/>
      <c r="W87" s="392"/>
      <c r="X87" s="514"/>
      <c r="Y87" s="377"/>
      <c r="Z87" s="376"/>
      <c r="AA87" s="376"/>
      <c r="AB87" s="378"/>
      <c r="AC87" s="375"/>
      <c r="AD87" s="375"/>
      <c r="AE87" s="375"/>
    </row>
    <row r="88" s="264" customFormat="1" ht="12.75" spans="1:31">
      <c r="A88" s="354"/>
      <c r="B88" s="355"/>
      <c r="C88" s="356">
        <v>240811000002</v>
      </c>
      <c r="D88" s="357">
        <v>45534</v>
      </c>
      <c r="E88" s="355" t="s">
        <v>49</v>
      </c>
      <c r="F88" s="355" t="s">
        <v>172</v>
      </c>
      <c r="G88" s="355">
        <v>0.293</v>
      </c>
      <c r="H88" s="355">
        <v>65.5</v>
      </c>
      <c r="I88" s="364"/>
      <c r="J88" s="370">
        <v>295731</v>
      </c>
      <c r="K88" s="360"/>
      <c r="L88" s="361">
        <f>SUM(J88/M88)</f>
        <v>1737.54994124559</v>
      </c>
      <c r="M88" s="362">
        <v>170.2</v>
      </c>
      <c r="N88" s="355">
        <v>7.15</v>
      </c>
      <c r="O88" s="364">
        <f>SUM(M88*N88)</f>
        <v>1216.93</v>
      </c>
      <c r="P88" s="375"/>
      <c r="Q88" s="375"/>
      <c r="R88" s="375"/>
      <c r="S88" s="367">
        <v>355.58</v>
      </c>
      <c r="T88" s="375"/>
      <c r="U88" s="375"/>
      <c r="V88" s="367">
        <v>54.56</v>
      </c>
      <c r="W88" s="392"/>
      <c r="X88" s="514"/>
      <c r="Y88" s="368">
        <v>27.05</v>
      </c>
      <c r="Z88" s="376"/>
      <c r="AA88" s="376"/>
      <c r="AB88" s="378"/>
      <c r="AC88" s="375"/>
      <c r="AD88" s="375"/>
      <c r="AE88" s="375"/>
    </row>
    <row r="89" s="264" customFormat="1" ht="12.75" spans="1:31">
      <c r="A89" s="354"/>
      <c r="B89" s="355"/>
      <c r="C89" s="356">
        <v>240812000054</v>
      </c>
      <c r="D89" s="357">
        <v>45534</v>
      </c>
      <c r="E89" s="355" t="s">
        <v>40</v>
      </c>
      <c r="F89" s="355" t="s">
        <v>112</v>
      </c>
      <c r="G89" s="355">
        <v>0.2239</v>
      </c>
      <c r="H89" s="355">
        <v>43</v>
      </c>
      <c r="I89" s="358">
        <v>454.5</v>
      </c>
      <c r="J89" s="369"/>
      <c r="K89" s="360"/>
      <c r="L89" s="361"/>
      <c r="M89" s="360"/>
      <c r="N89" s="355"/>
      <c r="O89" s="364">
        <f t="shared" si="18"/>
        <v>454.5</v>
      </c>
      <c r="P89" s="375"/>
      <c r="Q89" s="375"/>
      <c r="R89" s="375"/>
      <c r="S89" s="371"/>
      <c r="T89" s="375"/>
      <c r="U89" s="375"/>
      <c r="V89" s="371"/>
      <c r="W89" s="392"/>
      <c r="X89" s="514"/>
      <c r="Y89" s="373"/>
      <c r="Z89" s="376"/>
      <c r="AA89" s="376"/>
      <c r="AB89" s="378"/>
      <c r="AC89" s="375"/>
      <c r="AD89" s="375"/>
      <c r="AE89" s="375"/>
    </row>
    <row r="90" s="264" customFormat="1" ht="12.75" spans="1:31">
      <c r="A90" s="354"/>
      <c r="B90" s="355"/>
      <c r="C90" s="356">
        <v>240812000055</v>
      </c>
      <c r="D90" s="357">
        <v>45534</v>
      </c>
      <c r="E90" s="355" t="s">
        <v>40</v>
      </c>
      <c r="F90" s="355" t="s">
        <v>112</v>
      </c>
      <c r="G90" s="355">
        <v>0.1922</v>
      </c>
      <c r="H90" s="355">
        <v>29</v>
      </c>
      <c r="I90" s="358">
        <v>390.2</v>
      </c>
      <c r="J90" s="369"/>
      <c r="K90" s="360"/>
      <c r="L90" s="361"/>
      <c r="M90" s="360"/>
      <c r="N90" s="355"/>
      <c r="O90" s="364">
        <f t="shared" si="18"/>
        <v>390.2</v>
      </c>
      <c r="P90" s="375"/>
      <c r="Q90" s="375"/>
      <c r="R90" s="375"/>
      <c r="S90" s="375"/>
      <c r="T90" s="375"/>
      <c r="U90" s="375"/>
      <c r="V90" s="375"/>
      <c r="W90" s="392"/>
      <c r="X90" s="514"/>
      <c r="Y90" s="376"/>
      <c r="Z90" s="376"/>
      <c r="AA90" s="376"/>
      <c r="AB90" s="378"/>
      <c r="AC90" s="375"/>
      <c r="AD90" s="375"/>
      <c r="AE90" s="375"/>
    </row>
    <row r="91" s="264" customFormat="1" ht="12.75" spans="1:31">
      <c r="A91" s="354"/>
      <c r="B91" s="355"/>
      <c r="C91" s="356">
        <v>240812000056</v>
      </c>
      <c r="D91" s="357">
        <v>45534</v>
      </c>
      <c r="E91" s="355" t="s">
        <v>40</v>
      </c>
      <c r="F91" s="355" t="s">
        <v>112</v>
      </c>
      <c r="G91" s="355">
        <v>0.1689</v>
      </c>
      <c r="H91" s="355">
        <v>34</v>
      </c>
      <c r="I91" s="358">
        <v>342.85</v>
      </c>
      <c r="J91" s="369"/>
      <c r="K91" s="360"/>
      <c r="L91" s="361"/>
      <c r="M91" s="360"/>
      <c r="N91" s="355"/>
      <c r="O91" s="364">
        <f t="shared" si="18"/>
        <v>342.85</v>
      </c>
      <c r="P91" s="375"/>
      <c r="Q91" s="375"/>
      <c r="R91" s="375"/>
      <c r="S91" s="375"/>
      <c r="T91" s="375"/>
      <c r="U91" s="375"/>
      <c r="V91" s="375"/>
      <c r="W91" s="392"/>
      <c r="X91" s="514"/>
      <c r="Y91" s="376"/>
      <c r="Z91" s="376"/>
      <c r="AA91" s="376"/>
      <c r="AB91" s="378"/>
      <c r="AC91" s="375"/>
      <c r="AD91" s="375"/>
      <c r="AE91" s="375"/>
    </row>
    <row r="92" s="264" customFormat="1" ht="12.75" spans="1:31">
      <c r="A92" s="354"/>
      <c r="B92" s="355"/>
      <c r="C92" s="356">
        <v>240813000001</v>
      </c>
      <c r="D92" s="357">
        <v>45534</v>
      </c>
      <c r="E92" s="355" t="s">
        <v>40</v>
      </c>
      <c r="F92" s="355" t="s">
        <v>59</v>
      </c>
      <c r="G92" s="355">
        <v>1.98</v>
      </c>
      <c r="H92" s="355">
        <v>736</v>
      </c>
      <c r="I92" s="358">
        <v>3388.18</v>
      </c>
      <c r="J92" s="369"/>
      <c r="K92" s="360"/>
      <c r="L92" s="361"/>
      <c r="M92" s="362"/>
      <c r="N92" s="355"/>
      <c r="O92" s="364">
        <f t="shared" si="18"/>
        <v>3388.18</v>
      </c>
      <c r="P92" s="375"/>
      <c r="Q92" s="375"/>
      <c r="R92" s="375"/>
      <c r="S92" s="375"/>
      <c r="T92" s="375"/>
      <c r="U92" s="375"/>
      <c r="V92" s="375"/>
      <c r="W92" s="392"/>
      <c r="X92" s="514"/>
      <c r="Y92" s="376"/>
      <c r="Z92" s="376"/>
      <c r="AA92" s="376"/>
      <c r="AB92" s="378"/>
      <c r="AC92" s="375"/>
      <c r="AD92" s="375"/>
      <c r="AE92" s="375"/>
    </row>
    <row r="93" s="264" customFormat="1" ht="12.75" spans="1:31">
      <c r="A93" s="354"/>
      <c r="B93" s="355"/>
      <c r="C93" s="356">
        <v>240613000018</v>
      </c>
      <c r="D93" s="357">
        <v>45506</v>
      </c>
      <c r="E93" s="355" t="s">
        <v>40</v>
      </c>
      <c r="F93" s="355" t="s">
        <v>158</v>
      </c>
      <c r="G93" s="355">
        <v>1.087</v>
      </c>
      <c r="H93" s="355">
        <v>234</v>
      </c>
      <c r="I93" s="358">
        <v>2370</v>
      </c>
      <c r="J93" s="369"/>
      <c r="K93" s="360"/>
      <c r="L93" s="361"/>
      <c r="M93" s="360"/>
      <c r="N93" s="355"/>
      <c r="O93" s="364">
        <f t="shared" si="18"/>
        <v>2370</v>
      </c>
      <c r="P93" s="375"/>
      <c r="Q93" s="375"/>
      <c r="R93" s="375"/>
      <c r="S93" s="375"/>
      <c r="T93" s="375"/>
      <c r="U93" s="375"/>
      <c r="V93" s="375"/>
      <c r="W93" s="392"/>
      <c r="X93" s="514"/>
      <c r="Y93" s="377"/>
      <c r="Z93" s="376"/>
      <c r="AA93" s="376"/>
      <c r="AB93" s="378"/>
      <c r="AC93" s="375"/>
      <c r="AD93" s="375"/>
      <c r="AE93" s="375"/>
    </row>
    <row r="94" s="264" customFormat="1" ht="12.75" spans="1:31">
      <c r="A94" s="354"/>
      <c r="B94" s="355"/>
      <c r="C94" s="356">
        <v>240813000002</v>
      </c>
      <c r="D94" s="357">
        <v>45534</v>
      </c>
      <c r="E94" s="355" t="s">
        <v>40</v>
      </c>
      <c r="F94" s="355" t="s">
        <v>59</v>
      </c>
      <c r="G94" s="355">
        <v>32.97</v>
      </c>
      <c r="H94" s="355">
        <v>3574</v>
      </c>
      <c r="I94" s="358">
        <v>56418.26</v>
      </c>
      <c r="J94" s="369"/>
      <c r="K94" s="360"/>
      <c r="L94" s="361"/>
      <c r="M94" s="362"/>
      <c r="N94" s="355"/>
      <c r="O94" s="364">
        <f t="shared" si="18"/>
        <v>56418.26</v>
      </c>
      <c r="P94" s="379"/>
      <c r="Q94" s="379"/>
      <c r="R94" s="379"/>
      <c r="S94" s="379"/>
      <c r="T94" s="379"/>
      <c r="U94" s="379"/>
      <c r="V94" s="379"/>
      <c r="W94" s="479"/>
      <c r="X94" s="516"/>
      <c r="Y94" s="368"/>
      <c r="Z94" s="377"/>
      <c r="AA94" s="377"/>
      <c r="AB94" s="380"/>
      <c r="AC94" s="379"/>
      <c r="AD94" s="379"/>
      <c r="AE94" s="379"/>
    </row>
    <row r="95" s="264" customFormat="1" ht="12.75" spans="1:31">
      <c r="A95" s="354" t="s">
        <v>173</v>
      </c>
      <c r="B95" s="355" t="s">
        <v>174</v>
      </c>
      <c r="C95" s="356">
        <v>240812000027</v>
      </c>
      <c r="D95" s="357">
        <v>45498</v>
      </c>
      <c r="E95" s="355" t="s">
        <v>40</v>
      </c>
      <c r="F95" s="355" t="s">
        <v>62</v>
      </c>
      <c r="G95" s="355">
        <v>68</v>
      </c>
      <c r="H95" s="355">
        <v>21890</v>
      </c>
      <c r="I95" s="358">
        <v>68172</v>
      </c>
      <c r="J95" s="370">
        <v>21300000</v>
      </c>
      <c r="K95" s="360"/>
      <c r="L95" s="361">
        <f>SUM(J95/M95)</f>
        <v>1694.55792325164</v>
      </c>
      <c r="M95" s="362">
        <v>12569.65</v>
      </c>
      <c r="N95" s="355">
        <v>7.15</v>
      </c>
      <c r="O95" s="525">
        <f>SUM(M95*N95+I95)</f>
        <v>158044.9975</v>
      </c>
      <c r="P95" s="365">
        <f>SUM(O95)</f>
        <v>158044.9975</v>
      </c>
      <c r="Q95" s="365" t="s">
        <v>51</v>
      </c>
      <c r="R95" s="365">
        <v>61677</v>
      </c>
      <c r="S95" s="365"/>
      <c r="T95" s="365"/>
      <c r="U95" s="365"/>
      <c r="V95" s="365"/>
      <c r="W95" s="526">
        <f>SUM(R95:V95)</f>
        <v>61677</v>
      </c>
      <c r="X95" s="398"/>
      <c r="Y95" s="398"/>
      <c r="Z95" s="398"/>
      <c r="AA95" s="398">
        <f>SUM(X95:Z95)</f>
        <v>0</v>
      </c>
      <c r="AB95" s="399">
        <v>7.15</v>
      </c>
      <c r="AC95" s="365">
        <f>SUM(AA95*AB95)</f>
        <v>0</v>
      </c>
      <c r="AD95" s="365">
        <f>SUM(W95+AC95)</f>
        <v>61677</v>
      </c>
      <c r="AE95" s="365">
        <f>SUM(P95-AD95)</f>
        <v>96367.9975</v>
      </c>
    </row>
    <row r="96" s="264" customFormat="1" ht="12.75" spans="1:31">
      <c r="A96" s="354" t="s">
        <v>175</v>
      </c>
      <c r="B96" s="355" t="s">
        <v>176</v>
      </c>
      <c r="C96" s="356">
        <v>240807000029</v>
      </c>
      <c r="D96" s="357">
        <v>45516</v>
      </c>
      <c r="E96" s="355" t="s">
        <v>52</v>
      </c>
      <c r="F96" s="355" t="s">
        <v>110</v>
      </c>
      <c r="G96" s="355">
        <v>0.55</v>
      </c>
      <c r="H96" s="355">
        <v>148</v>
      </c>
      <c r="I96" s="358">
        <v>1768.88</v>
      </c>
      <c r="J96" s="369"/>
      <c r="K96" s="360"/>
      <c r="L96" s="361"/>
      <c r="M96" s="360"/>
      <c r="N96" s="355"/>
      <c r="O96" s="364">
        <f>SUM(I96)</f>
        <v>1768.88</v>
      </c>
      <c r="P96" s="371">
        <f>SUM(O96:O114)</f>
        <v>161460.146844</v>
      </c>
      <c r="Q96" s="372" t="s">
        <v>177</v>
      </c>
      <c r="R96" s="371">
        <v>53259</v>
      </c>
      <c r="S96" s="371"/>
      <c r="T96" s="371">
        <v>1300</v>
      </c>
      <c r="U96" s="371"/>
      <c r="V96" s="371"/>
      <c r="W96" s="478">
        <f>SUM(R96:V114)</f>
        <v>56080.5</v>
      </c>
      <c r="X96" s="373">
        <v>10737.46</v>
      </c>
      <c r="Y96" s="368">
        <v>47.2</v>
      </c>
      <c r="Z96" s="373"/>
      <c r="AA96" s="373">
        <f>SUM(X96:Z114)</f>
        <v>11302.12</v>
      </c>
      <c r="AB96" s="374">
        <v>7.06</v>
      </c>
      <c r="AC96" s="371">
        <f>SUM(AA96*AB96)</f>
        <v>79792.9672</v>
      </c>
      <c r="AD96" s="371">
        <f>SUM(W96+AC96)</f>
        <v>135873.4672</v>
      </c>
      <c r="AE96" s="371">
        <f>SUM(P96-AD96)</f>
        <v>25586.679644</v>
      </c>
    </row>
    <row r="97" s="264" customFormat="1" ht="12.75" spans="1:31">
      <c r="A97" s="354"/>
      <c r="B97" s="355"/>
      <c r="C97" s="356">
        <v>240810000003</v>
      </c>
      <c r="D97" s="357">
        <v>45516</v>
      </c>
      <c r="E97" s="355" t="s">
        <v>49</v>
      </c>
      <c r="F97" s="355" t="s">
        <v>86</v>
      </c>
      <c r="G97" s="355">
        <v>0.693</v>
      </c>
      <c r="H97" s="355">
        <v>463</v>
      </c>
      <c r="I97" s="358">
        <v>1600</v>
      </c>
      <c r="J97" s="369"/>
      <c r="K97" s="362"/>
      <c r="L97" s="361"/>
      <c r="M97" s="362"/>
      <c r="N97" s="355"/>
      <c r="O97" s="364">
        <f t="shared" ref="O97:O102" si="19">SUBTOTAL(9,I97)</f>
        <v>1600</v>
      </c>
      <c r="P97" s="375"/>
      <c r="Q97" s="375"/>
      <c r="R97" s="375"/>
      <c r="S97" s="375"/>
      <c r="T97" s="375"/>
      <c r="U97" s="375"/>
      <c r="V97" s="375"/>
      <c r="W97" s="392"/>
      <c r="X97" s="376"/>
      <c r="Y97" s="368"/>
      <c r="Z97" s="376"/>
      <c r="AA97" s="376"/>
      <c r="AB97" s="378"/>
      <c r="AC97" s="375"/>
      <c r="AD97" s="375"/>
      <c r="AE97" s="375"/>
    </row>
    <row r="98" s="264" customFormat="1" ht="12.75" spans="1:31">
      <c r="A98" s="354"/>
      <c r="B98" s="355"/>
      <c r="C98" s="356">
        <v>240613000018</v>
      </c>
      <c r="D98" s="357">
        <v>45506</v>
      </c>
      <c r="E98" s="355" t="s">
        <v>40</v>
      </c>
      <c r="F98" s="355" t="s">
        <v>158</v>
      </c>
      <c r="G98" s="355">
        <v>0.044</v>
      </c>
      <c r="H98" s="355">
        <v>28</v>
      </c>
      <c r="I98" s="358">
        <v>96</v>
      </c>
      <c r="J98" s="369"/>
      <c r="K98" s="360"/>
      <c r="L98" s="361"/>
      <c r="M98" s="360"/>
      <c r="N98" s="355"/>
      <c r="O98" s="364">
        <f t="shared" si="19"/>
        <v>96</v>
      </c>
      <c r="P98" s="375"/>
      <c r="Q98" s="375"/>
      <c r="R98" s="375"/>
      <c r="S98" s="375"/>
      <c r="T98" s="375"/>
      <c r="U98" s="375"/>
      <c r="V98" s="375"/>
      <c r="W98" s="392"/>
      <c r="X98" s="376"/>
      <c r="Y98" s="368"/>
      <c r="Z98" s="376"/>
      <c r="AA98" s="376"/>
      <c r="AB98" s="378"/>
      <c r="AC98" s="375"/>
      <c r="AD98" s="375"/>
      <c r="AE98" s="375"/>
    </row>
    <row r="99" s="264" customFormat="1" ht="12.75" spans="1:31">
      <c r="A99" s="354"/>
      <c r="B99" s="355"/>
      <c r="C99" s="356">
        <v>240811000001</v>
      </c>
      <c r="D99" s="357">
        <v>45516</v>
      </c>
      <c r="E99" s="355" t="s">
        <v>52</v>
      </c>
      <c r="F99" s="355" t="s">
        <v>162</v>
      </c>
      <c r="G99" s="355">
        <v>8.3155</v>
      </c>
      <c r="H99" s="355">
        <v>4780</v>
      </c>
      <c r="I99" s="364"/>
      <c r="J99" s="370">
        <v>4494672</v>
      </c>
      <c r="K99" s="360"/>
      <c r="L99" s="361">
        <f>SUM(J99/M99)</f>
        <v>1773.86486070494</v>
      </c>
      <c r="M99" s="362">
        <v>2533.83</v>
      </c>
      <c r="N99" s="355">
        <v>7.24</v>
      </c>
      <c r="O99" s="364">
        <f>SUM(M99*N99)</f>
        <v>18344.9292</v>
      </c>
      <c r="P99" s="375"/>
      <c r="Q99" s="375"/>
      <c r="R99" s="375"/>
      <c r="S99" s="375"/>
      <c r="T99" s="375"/>
      <c r="U99" s="375"/>
      <c r="V99" s="375"/>
      <c r="W99" s="392"/>
      <c r="X99" s="376"/>
      <c r="Y99" s="368"/>
      <c r="Z99" s="376"/>
      <c r="AA99" s="376"/>
      <c r="AB99" s="378"/>
      <c r="AC99" s="375"/>
      <c r="AD99" s="375"/>
      <c r="AE99" s="375"/>
    </row>
    <row r="100" s="264" customFormat="1" ht="12.75" spans="1:31">
      <c r="A100" s="354"/>
      <c r="B100" s="355"/>
      <c r="C100" s="356">
        <v>240728000003</v>
      </c>
      <c r="D100" s="357">
        <v>45506</v>
      </c>
      <c r="E100" s="355" t="s">
        <v>40</v>
      </c>
      <c r="F100" s="355" t="s">
        <v>130</v>
      </c>
      <c r="G100" s="355">
        <v>0.236</v>
      </c>
      <c r="H100" s="355">
        <v>94</v>
      </c>
      <c r="I100" s="358">
        <v>636</v>
      </c>
      <c r="J100" s="369"/>
      <c r="K100" s="360"/>
      <c r="L100" s="361"/>
      <c r="M100" s="360"/>
      <c r="N100" s="355"/>
      <c r="O100" s="364">
        <f t="shared" si="19"/>
        <v>636</v>
      </c>
      <c r="P100" s="375"/>
      <c r="Q100" s="375"/>
      <c r="R100" s="375"/>
      <c r="S100" s="375"/>
      <c r="T100" s="375"/>
      <c r="U100" s="375"/>
      <c r="V100" s="375"/>
      <c r="W100" s="392"/>
      <c r="X100" s="376"/>
      <c r="Y100" s="368"/>
      <c r="Z100" s="376"/>
      <c r="AA100" s="376"/>
      <c r="AB100" s="378"/>
      <c r="AC100" s="375"/>
      <c r="AD100" s="375"/>
      <c r="AE100" s="375"/>
    </row>
    <row r="101" s="264" customFormat="1" ht="12.75" spans="1:31">
      <c r="A101" s="354"/>
      <c r="B101" s="355"/>
      <c r="C101" s="356">
        <v>240811000012</v>
      </c>
      <c r="D101" s="357">
        <v>45516</v>
      </c>
      <c r="E101" s="355" t="s">
        <v>40</v>
      </c>
      <c r="F101" s="355" t="s">
        <v>178</v>
      </c>
      <c r="G101" s="355">
        <v>1.4797</v>
      </c>
      <c r="H101" s="355">
        <v>153.4</v>
      </c>
      <c r="I101" s="358">
        <v>3842.88</v>
      </c>
      <c r="J101" s="369"/>
      <c r="K101" s="360"/>
      <c r="L101" s="361"/>
      <c r="M101" s="360"/>
      <c r="N101" s="355"/>
      <c r="O101" s="364">
        <f t="shared" si="19"/>
        <v>3842.88</v>
      </c>
      <c r="P101" s="375"/>
      <c r="Q101" s="375"/>
      <c r="R101" s="375"/>
      <c r="S101" s="375"/>
      <c r="T101" s="375"/>
      <c r="U101" s="375"/>
      <c r="V101" s="375"/>
      <c r="W101" s="392"/>
      <c r="X101" s="376"/>
      <c r="Y101" s="368">
        <v>8.85</v>
      </c>
      <c r="Z101" s="376"/>
      <c r="AA101" s="376"/>
      <c r="AB101" s="378"/>
      <c r="AC101" s="375"/>
      <c r="AD101" s="375"/>
      <c r="AE101" s="375"/>
    </row>
    <row r="102" s="264" customFormat="1" ht="12.75" spans="1:31">
      <c r="A102" s="354"/>
      <c r="B102" s="355"/>
      <c r="C102" s="356">
        <v>240812000069</v>
      </c>
      <c r="D102" s="357">
        <v>45516</v>
      </c>
      <c r="E102" s="355" t="s">
        <v>49</v>
      </c>
      <c r="F102" s="355" t="s">
        <v>140</v>
      </c>
      <c r="G102" s="355">
        <v>0.045</v>
      </c>
      <c r="H102" s="355">
        <v>52.5</v>
      </c>
      <c r="I102" s="358">
        <v>565.2</v>
      </c>
      <c r="J102" s="369"/>
      <c r="K102" s="360"/>
      <c r="L102" s="361"/>
      <c r="M102" s="360"/>
      <c r="N102" s="355"/>
      <c r="O102" s="364">
        <f t="shared" si="19"/>
        <v>565.2</v>
      </c>
      <c r="P102" s="375"/>
      <c r="Q102" s="375"/>
      <c r="R102" s="375"/>
      <c r="S102" s="375"/>
      <c r="T102" s="375"/>
      <c r="U102" s="375"/>
      <c r="V102" s="375"/>
      <c r="W102" s="392"/>
      <c r="X102" s="376"/>
      <c r="Y102" s="368">
        <v>50.15</v>
      </c>
      <c r="Z102" s="376"/>
      <c r="AA102" s="376"/>
      <c r="AB102" s="378"/>
      <c r="AC102" s="375"/>
      <c r="AD102" s="375"/>
      <c r="AE102" s="375"/>
    </row>
    <row r="103" s="264" customFormat="1" ht="12.75" spans="1:31">
      <c r="A103" s="354"/>
      <c r="B103" s="355"/>
      <c r="C103" s="356">
        <v>240813000034</v>
      </c>
      <c r="D103" s="357">
        <v>45516</v>
      </c>
      <c r="E103" s="355" t="s">
        <v>52</v>
      </c>
      <c r="F103" s="355" t="s">
        <v>137</v>
      </c>
      <c r="G103" s="355">
        <v>4.253</v>
      </c>
      <c r="H103" s="355">
        <v>1141</v>
      </c>
      <c r="I103" s="364"/>
      <c r="J103" s="370">
        <v>2383535</v>
      </c>
      <c r="K103" s="360"/>
      <c r="L103" s="361">
        <f>SUM(J103/M103)</f>
        <v>1751.27138892922</v>
      </c>
      <c r="M103" s="362">
        <v>1361.0312</v>
      </c>
      <c r="N103" s="355">
        <v>7.12</v>
      </c>
      <c r="O103" s="364">
        <f>SUM(M103*N103)</f>
        <v>9690.542144</v>
      </c>
      <c r="P103" s="375"/>
      <c r="Q103" s="375"/>
      <c r="R103" s="375"/>
      <c r="S103" s="375"/>
      <c r="T103" s="375"/>
      <c r="U103" s="375"/>
      <c r="V103" s="375"/>
      <c r="W103" s="392"/>
      <c r="X103" s="376"/>
      <c r="Y103" s="368"/>
      <c r="Z103" s="376"/>
      <c r="AA103" s="376"/>
      <c r="AB103" s="378"/>
      <c r="AC103" s="375"/>
      <c r="AD103" s="375"/>
      <c r="AE103" s="375"/>
    </row>
    <row r="104" s="264" customFormat="1" ht="12.75" spans="1:31">
      <c r="A104" s="354"/>
      <c r="B104" s="355"/>
      <c r="C104" s="356">
        <v>240814000018</v>
      </c>
      <c r="D104" s="357">
        <v>45516</v>
      </c>
      <c r="E104" s="355" t="s">
        <v>49</v>
      </c>
      <c r="F104" s="355" t="s">
        <v>84</v>
      </c>
      <c r="G104" s="355">
        <v>0.828</v>
      </c>
      <c r="H104" s="355">
        <v>225</v>
      </c>
      <c r="I104" s="358">
        <v>1588</v>
      </c>
      <c r="J104" s="369"/>
      <c r="K104" s="360"/>
      <c r="L104" s="361"/>
      <c r="M104" s="360"/>
      <c r="N104" s="355"/>
      <c r="O104" s="364">
        <f t="shared" ref="O104:O110" si="20">SUBTOTAL(9,I104)</f>
        <v>1588</v>
      </c>
      <c r="P104" s="375"/>
      <c r="Q104" s="375"/>
      <c r="R104" s="375"/>
      <c r="S104" s="375"/>
      <c r="T104" s="375"/>
      <c r="U104" s="375"/>
      <c r="V104" s="375"/>
      <c r="W104" s="392"/>
      <c r="X104" s="376"/>
      <c r="Y104" s="368">
        <v>81.63</v>
      </c>
      <c r="Z104" s="376"/>
      <c r="AA104" s="376"/>
      <c r="AB104" s="378"/>
      <c r="AC104" s="375"/>
      <c r="AD104" s="375"/>
      <c r="AE104" s="375"/>
    </row>
    <row r="105" s="264" customFormat="1" ht="12.75" spans="1:31">
      <c r="A105" s="354"/>
      <c r="B105" s="355"/>
      <c r="C105" s="356">
        <v>240814000019</v>
      </c>
      <c r="D105" s="357">
        <v>45516</v>
      </c>
      <c r="E105" s="355" t="s">
        <v>49</v>
      </c>
      <c r="F105" s="355" t="s">
        <v>117</v>
      </c>
      <c r="G105" s="355">
        <v>1.0206</v>
      </c>
      <c r="H105" s="355">
        <v>428</v>
      </c>
      <c r="I105" s="358">
        <v>2389.6</v>
      </c>
      <c r="J105" s="369"/>
      <c r="K105" s="360"/>
      <c r="L105" s="361"/>
      <c r="M105" s="360"/>
      <c r="N105" s="355"/>
      <c r="O105" s="364">
        <f t="shared" si="20"/>
        <v>2389.6</v>
      </c>
      <c r="P105" s="375"/>
      <c r="Q105" s="375"/>
      <c r="R105" s="375"/>
      <c r="S105" s="375"/>
      <c r="T105" s="375"/>
      <c r="U105" s="375"/>
      <c r="V105" s="375"/>
      <c r="W105" s="392"/>
      <c r="X105" s="376"/>
      <c r="Y105" s="368"/>
      <c r="Z105" s="376"/>
      <c r="AA105" s="376"/>
      <c r="AB105" s="378"/>
      <c r="AC105" s="375"/>
      <c r="AD105" s="375"/>
      <c r="AE105" s="375"/>
    </row>
    <row r="106" s="264" customFormat="1" ht="12.75" spans="1:31">
      <c r="A106" s="354"/>
      <c r="B106" s="355"/>
      <c r="C106" s="356">
        <v>240814000024</v>
      </c>
      <c r="D106" s="357">
        <v>45516</v>
      </c>
      <c r="E106" s="355" t="s">
        <v>49</v>
      </c>
      <c r="F106" s="355" t="s">
        <v>84</v>
      </c>
      <c r="G106" s="355">
        <v>0.0407</v>
      </c>
      <c r="H106" s="355">
        <v>2</v>
      </c>
      <c r="I106" s="358">
        <v>835.2</v>
      </c>
      <c r="J106" s="369"/>
      <c r="K106" s="360"/>
      <c r="L106" s="361"/>
      <c r="M106" s="360"/>
      <c r="N106" s="355"/>
      <c r="O106" s="364">
        <f t="shared" si="20"/>
        <v>835.2</v>
      </c>
      <c r="P106" s="375"/>
      <c r="Q106" s="375"/>
      <c r="R106" s="375"/>
      <c r="S106" s="375"/>
      <c r="T106" s="375"/>
      <c r="U106" s="375"/>
      <c r="V106" s="379"/>
      <c r="W106" s="392"/>
      <c r="X106" s="376"/>
      <c r="Y106" s="368">
        <v>81.63</v>
      </c>
      <c r="Z106" s="376"/>
      <c r="AA106" s="376"/>
      <c r="AB106" s="378"/>
      <c r="AC106" s="375"/>
      <c r="AD106" s="375"/>
      <c r="AE106" s="375"/>
    </row>
    <row r="107" s="264" customFormat="1" ht="12.75" spans="1:31">
      <c r="A107" s="354"/>
      <c r="B107" s="355"/>
      <c r="C107" s="356">
        <v>240815000013</v>
      </c>
      <c r="D107" s="357">
        <v>45516</v>
      </c>
      <c r="E107" s="355" t="s">
        <v>49</v>
      </c>
      <c r="F107" s="355" t="s">
        <v>108</v>
      </c>
      <c r="G107" s="355">
        <v>0.2945</v>
      </c>
      <c r="H107" s="355">
        <v>235</v>
      </c>
      <c r="I107" s="358">
        <v>1105</v>
      </c>
      <c r="J107" s="369"/>
      <c r="K107" s="360"/>
      <c r="L107" s="361"/>
      <c r="M107" s="360"/>
      <c r="N107" s="355"/>
      <c r="O107" s="364">
        <f t="shared" si="20"/>
        <v>1105</v>
      </c>
      <c r="P107" s="375"/>
      <c r="Q107" s="375"/>
      <c r="R107" s="375"/>
      <c r="S107" s="375"/>
      <c r="T107" s="375"/>
      <c r="U107" s="375"/>
      <c r="V107" s="367">
        <v>316</v>
      </c>
      <c r="W107" s="392"/>
      <c r="X107" s="376"/>
      <c r="Y107" s="368"/>
      <c r="Z107" s="376"/>
      <c r="AA107" s="376"/>
      <c r="AB107" s="378"/>
      <c r="AC107" s="375"/>
      <c r="AD107" s="375"/>
      <c r="AE107" s="375"/>
    </row>
    <row r="108" s="264" customFormat="1" ht="12.75" spans="1:31">
      <c r="A108" s="354"/>
      <c r="B108" s="355"/>
      <c r="C108" s="356">
        <v>240815000041</v>
      </c>
      <c r="D108" s="357">
        <v>45516</v>
      </c>
      <c r="E108" s="355" t="s">
        <v>37</v>
      </c>
      <c r="F108" s="355" t="s">
        <v>46</v>
      </c>
      <c r="G108" s="355">
        <v>6.6096</v>
      </c>
      <c r="H108" s="355">
        <v>2430</v>
      </c>
      <c r="I108" s="358">
        <v>20266.26</v>
      </c>
      <c r="J108" s="369"/>
      <c r="K108" s="360"/>
      <c r="L108" s="361"/>
      <c r="M108" s="360"/>
      <c r="N108" s="355"/>
      <c r="O108" s="364">
        <f t="shared" si="20"/>
        <v>20266.26</v>
      </c>
      <c r="P108" s="375"/>
      <c r="Q108" s="375"/>
      <c r="R108" s="375"/>
      <c r="S108" s="375"/>
      <c r="T108" s="375"/>
      <c r="U108" s="375"/>
      <c r="V108" s="367"/>
      <c r="W108" s="392"/>
      <c r="X108" s="376"/>
      <c r="Y108" s="368"/>
      <c r="Z108" s="376"/>
      <c r="AA108" s="376"/>
      <c r="AB108" s="378"/>
      <c r="AC108" s="375"/>
      <c r="AD108" s="375"/>
      <c r="AE108" s="375"/>
    </row>
    <row r="109" s="264" customFormat="1" ht="12.75" spans="1:31">
      <c r="A109" s="354"/>
      <c r="B109" s="355"/>
      <c r="C109" s="356">
        <v>240816000023</v>
      </c>
      <c r="D109" s="357">
        <v>45516</v>
      </c>
      <c r="E109" s="355" t="s">
        <v>49</v>
      </c>
      <c r="F109" s="355" t="s">
        <v>179</v>
      </c>
      <c r="G109" s="355">
        <v>1.9876</v>
      </c>
      <c r="H109" s="355">
        <v>92</v>
      </c>
      <c r="I109" s="358">
        <v>4277.5</v>
      </c>
      <c r="J109" s="369"/>
      <c r="K109" s="360"/>
      <c r="L109" s="361"/>
      <c r="M109" s="360"/>
      <c r="N109" s="355"/>
      <c r="O109" s="364">
        <f t="shared" si="20"/>
        <v>4277.5</v>
      </c>
      <c r="P109" s="375"/>
      <c r="Q109" s="375"/>
      <c r="R109" s="375"/>
      <c r="S109" s="375"/>
      <c r="T109" s="375"/>
      <c r="U109" s="375"/>
      <c r="V109" s="367">
        <v>99</v>
      </c>
      <c r="W109" s="392"/>
      <c r="X109" s="376"/>
      <c r="Y109" s="368">
        <v>47.2</v>
      </c>
      <c r="Z109" s="376"/>
      <c r="AA109" s="376"/>
      <c r="AB109" s="378"/>
      <c r="AC109" s="375"/>
      <c r="AD109" s="375"/>
      <c r="AE109" s="375"/>
    </row>
    <row r="110" s="264" customFormat="1" ht="12.75" spans="1:31">
      <c r="A110" s="354"/>
      <c r="B110" s="355"/>
      <c r="C110" s="356">
        <v>240818000009</v>
      </c>
      <c r="D110" s="357">
        <v>45516</v>
      </c>
      <c r="E110" s="355" t="s">
        <v>42</v>
      </c>
      <c r="F110" s="355" t="s">
        <v>180</v>
      </c>
      <c r="G110" s="355">
        <v>0.1955</v>
      </c>
      <c r="H110" s="355">
        <v>39</v>
      </c>
      <c r="I110" s="358">
        <v>468</v>
      </c>
      <c r="J110" s="369"/>
      <c r="K110" s="360"/>
      <c r="L110" s="361"/>
      <c r="M110" s="360"/>
      <c r="N110" s="355"/>
      <c r="O110" s="364">
        <f t="shared" si="20"/>
        <v>468</v>
      </c>
      <c r="P110" s="375"/>
      <c r="Q110" s="375"/>
      <c r="R110" s="375"/>
      <c r="S110" s="375"/>
      <c r="T110" s="375"/>
      <c r="U110" s="375"/>
      <c r="V110" s="371"/>
      <c r="W110" s="392"/>
      <c r="X110" s="376"/>
      <c r="Y110" s="368"/>
      <c r="Z110" s="376"/>
      <c r="AA110" s="376"/>
      <c r="AB110" s="378"/>
      <c r="AC110" s="375"/>
      <c r="AD110" s="375"/>
      <c r="AE110" s="375"/>
    </row>
    <row r="111" s="264" customFormat="1" ht="12.75" spans="1:31">
      <c r="A111" s="354"/>
      <c r="B111" s="355"/>
      <c r="C111" s="356">
        <v>240818000013</v>
      </c>
      <c r="D111" s="357">
        <v>45516</v>
      </c>
      <c r="E111" s="355" t="s">
        <v>42</v>
      </c>
      <c r="F111" s="355" t="s">
        <v>181</v>
      </c>
      <c r="G111" s="355">
        <v>1.5335</v>
      </c>
      <c r="H111" s="355">
        <v>305</v>
      </c>
      <c r="I111" s="364"/>
      <c r="J111" s="370">
        <v>1228413.6</v>
      </c>
      <c r="K111" s="360"/>
      <c r="L111" s="361">
        <f>SUM(J111/M111)</f>
        <v>1744.98004176314</v>
      </c>
      <c r="M111" s="362">
        <v>703.97</v>
      </c>
      <c r="N111" s="355">
        <v>7.15</v>
      </c>
      <c r="O111" s="364">
        <f>SUM(M111*N111)</f>
        <v>5033.3855</v>
      </c>
      <c r="P111" s="375"/>
      <c r="Q111" s="375"/>
      <c r="R111" s="375"/>
      <c r="S111" s="375"/>
      <c r="T111" s="375"/>
      <c r="U111" s="375"/>
      <c r="V111" s="375"/>
      <c r="W111" s="392"/>
      <c r="X111" s="376"/>
      <c r="Y111" s="368">
        <v>248</v>
      </c>
      <c r="Z111" s="376"/>
      <c r="AA111" s="376"/>
      <c r="AB111" s="378"/>
      <c r="AC111" s="375"/>
      <c r="AD111" s="375"/>
      <c r="AE111" s="375"/>
    </row>
    <row r="112" s="264" customFormat="1" ht="12.75" spans="1:31">
      <c r="A112" s="354"/>
      <c r="B112" s="355"/>
      <c r="C112" s="356">
        <v>240819000004</v>
      </c>
      <c r="D112" s="357">
        <v>45532</v>
      </c>
      <c r="E112" s="355" t="s">
        <v>37</v>
      </c>
      <c r="F112" s="355" t="s">
        <v>166</v>
      </c>
      <c r="G112" s="355">
        <v>4.6</v>
      </c>
      <c r="H112" s="355">
        <v>2063</v>
      </c>
      <c r="I112" s="358">
        <v>9940</v>
      </c>
      <c r="J112" s="369"/>
      <c r="K112" s="360"/>
      <c r="L112" s="361"/>
      <c r="M112" s="360"/>
      <c r="N112" s="355"/>
      <c r="O112" s="364">
        <f t="shared" ref="O112:O114" si="21">SUBTOTAL(9,I112)</f>
        <v>9940</v>
      </c>
      <c r="P112" s="375"/>
      <c r="Q112" s="375"/>
      <c r="R112" s="375"/>
      <c r="S112" s="375"/>
      <c r="T112" s="375"/>
      <c r="U112" s="379"/>
      <c r="V112" s="379"/>
      <c r="W112" s="392"/>
      <c r="X112" s="376"/>
      <c r="Y112" s="373"/>
      <c r="Z112" s="376"/>
      <c r="AA112" s="376"/>
      <c r="AB112" s="378"/>
      <c r="AC112" s="375"/>
      <c r="AD112" s="375"/>
      <c r="AE112" s="375"/>
    </row>
    <row r="113" s="264" customFormat="1" ht="12.75" spans="1:31">
      <c r="A113" s="354"/>
      <c r="B113" s="355"/>
      <c r="C113" s="356">
        <v>240819000017</v>
      </c>
      <c r="D113" s="357">
        <v>45516</v>
      </c>
      <c r="E113" s="355" t="s">
        <v>52</v>
      </c>
      <c r="F113" s="355" t="s">
        <v>139</v>
      </c>
      <c r="G113" s="355">
        <v>23.494</v>
      </c>
      <c r="H113" s="355">
        <v>2608</v>
      </c>
      <c r="I113" s="358">
        <v>50190.17</v>
      </c>
      <c r="J113" s="369"/>
      <c r="K113" s="360"/>
      <c r="L113" s="361"/>
      <c r="M113" s="360"/>
      <c r="N113" s="355"/>
      <c r="O113" s="364">
        <f t="shared" si="21"/>
        <v>50190.17</v>
      </c>
      <c r="P113" s="375"/>
      <c r="Q113" s="375"/>
      <c r="R113" s="375"/>
      <c r="S113" s="375"/>
      <c r="T113" s="375"/>
      <c r="U113" s="367">
        <v>960</v>
      </c>
      <c r="V113" s="367">
        <v>146.5</v>
      </c>
      <c r="W113" s="392"/>
      <c r="X113" s="376"/>
      <c r="Y113" s="376"/>
      <c r="Z113" s="376"/>
      <c r="AA113" s="376"/>
      <c r="AB113" s="378"/>
      <c r="AC113" s="375"/>
      <c r="AD113" s="375"/>
      <c r="AE113" s="375"/>
    </row>
    <row r="114" s="264" customFormat="1" ht="12.75" spans="1:31">
      <c r="A114" s="354"/>
      <c r="B114" s="355"/>
      <c r="C114" s="356">
        <v>240821000040</v>
      </c>
      <c r="D114" s="357">
        <v>45516</v>
      </c>
      <c r="E114" s="355" t="s">
        <v>40</v>
      </c>
      <c r="F114" s="355" t="s">
        <v>59</v>
      </c>
      <c r="G114" s="355">
        <v>17.568</v>
      </c>
      <c r="H114" s="355">
        <v>2034</v>
      </c>
      <c r="I114" s="358">
        <v>28822.6</v>
      </c>
      <c r="J114" s="369"/>
      <c r="K114" s="360"/>
      <c r="L114" s="361"/>
      <c r="M114" s="362"/>
      <c r="N114" s="355"/>
      <c r="O114" s="364">
        <f t="shared" si="21"/>
        <v>28822.6</v>
      </c>
      <c r="P114" s="379"/>
      <c r="Q114" s="379"/>
      <c r="R114" s="379"/>
      <c r="S114" s="379"/>
      <c r="T114" s="379"/>
      <c r="U114" s="367"/>
      <c r="V114" s="367"/>
      <c r="W114" s="479"/>
      <c r="X114" s="377"/>
      <c r="Y114" s="377"/>
      <c r="Z114" s="377"/>
      <c r="AA114" s="377"/>
      <c r="AB114" s="380"/>
      <c r="AC114" s="379"/>
      <c r="AD114" s="379"/>
      <c r="AE114" s="379"/>
    </row>
    <row r="115" s="263" customFormat="1" ht="17" customHeight="1" spans="1:31">
      <c r="A115" s="400" t="s">
        <v>69</v>
      </c>
      <c r="B115" s="401"/>
      <c r="C115" s="402"/>
      <c r="D115" s="403"/>
      <c r="E115" s="402"/>
      <c r="F115" s="402"/>
      <c r="G115" s="474">
        <f>SUM(G5:G114)</f>
        <v>664.175</v>
      </c>
      <c r="H115" s="474">
        <f t="shared" ref="H115:J115" si="22">SUM(H5:H114)</f>
        <v>191052.57</v>
      </c>
      <c r="I115" s="527">
        <f t="shared" si="22"/>
        <v>1199917.239</v>
      </c>
      <c r="J115" s="474">
        <f t="shared" si="22"/>
        <v>64402236.99</v>
      </c>
      <c r="K115" s="406">
        <f t="shared" ref="K115" si="23">SUM(K5:K114)</f>
        <v>827</v>
      </c>
      <c r="L115" s="474"/>
      <c r="M115" s="406">
        <f t="shared" ref="M115" si="24">SUM(M5:M114)</f>
        <v>38626.5958</v>
      </c>
      <c r="N115" s="528">
        <v>7.13010128363421</v>
      </c>
      <c r="O115" s="508">
        <f>SUM(O5:O114)</f>
        <v>1475328.779296</v>
      </c>
      <c r="P115" s="508">
        <f>SUM(P5:P114)</f>
        <v>1475328.779296</v>
      </c>
      <c r="Q115" s="476"/>
      <c r="R115" s="476">
        <f>SUM(R5:R114)</f>
        <v>540866.25</v>
      </c>
      <c r="S115" s="476">
        <f t="shared" ref="S115:X115" si="25">SUM(S5:S114)</f>
        <v>451.25</v>
      </c>
      <c r="T115" s="476">
        <f t="shared" si="25"/>
        <v>12100</v>
      </c>
      <c r="U115" s="476">
        <f t="shared" si="25"/>
        <v>4790</v>
      </c>
      <c r="V115" s="476">
        <f t="shared" si="25"/>
        <v>1616.06</v>
      </c>
      <c r="W115" s="476">
        <f t="shared" si="25"/>
        <v>559823.56</v>
      </c>
      <c r="X115" s="407">
        <f t="shared" si="25"/>
        <v>83329.44</v>
      </c>
      <c r="Y115" s="407">
        <f t="shared" ref="Y115:AA115" si="26">SUM(Y5:Y114)</f>
        <v>4027.62</v>
      </c>
      <c r="Z115" s="407">
        <f t="shared" si="26"/>
        <v>957.1</v>
      </c>
      <c r="AA115" s="407">
        <f t="shared" si="26"/>
        <v>88314.16</v>
      </c>
      <c r="AB115" s="477">
        <v>7.13010128363421</v>
      </c>
      <c r="AC115" s="409">
        <f>SUM(AC5:AC114)</f>
        <v>626139.4908</v>
      </c>
      <c r="AD115" s="409">
        <f t="shared" ref="AD115:AE115" si="27">SUM(AD5:AD114)</f>
        <v>1185963.0508</v>
      </c>
      <c r="AE115" s="409">
        <f t="shared" si="27"/>
        <v>289365.728496</v>
      </c>
    </row>
    <row r="117" s="263" customFormat="1" ht="40" customHeight="1" spans="1:31">
      <c r="A117" s="302"/>
      <c r="D117" s="410"/>
      <c r="G117" s="411" t="s">
        <v>70</v>
      </c>
      <c r="H117" s="412" t="s">
        <v>71</v>
      </c>
      <c r="I117" s="413" t="s">
        <v>72</v>
      </c>
      <c r="J117" s="414" t="s">
        <v>73</v>
      </c>
      <c r="K117" s="411" t="s">
        <v>22</v>
      </c>
      <c r="L117" s="414" t="s">
        <v>74</v>
      </c>
      <c r="M117" s="415"/>
      <c r="N117" s="416"/>
      <c r="O117" s="416"/>
      <c r="P117" s="263"/>
      <c r="Q117" s="418"/>
      <c r="R117" s="263"/>
      <c r="S117" s="419"/>
      <c r="T117" s="263"/>
      <c r="U117" s="263"/>
      <c r="V117" s="263"/>
      <c r="W117" s="303"/>
      <c r="X117" s="298"/>
      <c r="Y117" s="420"/>
      <c r="Z117" s="420"/>
      <c r="AA117" s="421"/>
      <c r="AB117" s="422"/>
      <c r="AC117" s="422"/>
    </row>
    <row r="118" ht="28.5" customHeight="1" spans="1:31">
      <c r="G118" s="411">
        <v>8</v>
      </c>
      <c r="H118" s="423">
        <f>SUM(M115)</f>
        <v>38626.5958</v>
      </c>
      <c r="I118" s="423">
        <f>SUM(AA115)</f>
        <v>88314.16</v>
      </c>
      <c r="J118" s="423">
        <f>SUM(H118-I118)</f>
        <v>-49687.5642</v>
      </c>
      <c r="K118" s="222">
        <v>7.13010128363421</v>
      </c>
      <c r="L118" s="425">
        <f>SUM(J118*K118)</f>
        <v>-354277.365283077</v>
      </c>
      <c r="M118" s="426"/>
      <c r="N118" s="426"/>
      <c r="O118" s="426"/>
      <c r="P118" s="426"/>
      <c r="Q118" s="269"/>
      <c r="R118"/>
      <c r="S118" s="270"/>
      <c r="T118"/>
      <c r="U118"/>
      <c r="V118"/>
      <c r="X118" s="427"/>
      <c r="Y118" s="428"/>
      <c r="Z118" s="428"/>
      <c r="AA118" s="428"/>
      <c r="AB118" s="429"/>
      <c r="AC118" s="429"/>
    </row>
    <row r="119" ht="28.5" customHeight="1" spans="1:31">
      <c r="H119" s="430"/>
      <c r="I119" s="430"/>
      <c r="J119" s="431"/>
      <c r="K119" s="432"/>
      <c r="L119" s="433"/>
      <c r="M119" s="426"/>
      <c r="N119" s="434"/>
      <c r="O119" s="435"/>
      <c r="P119" s="426"/>
      <c r="Q119" s="269"/>
      <c r="R119"/>
      <c r="S119" s="270"/>
      <c r="T119"/>
      <c r="U119"/>
      <c r="V119"/>
      <c r="X119" s="427"/>
      <c r="Y119" s="428"/>
      <c r="Z119" s="428"/>
      <c r="AA119" s="428"/>
      <c r="AB119" s="429"/>
      <c r="AC119" s="429"/>
    </row>
    <row r="120" s="263" customFormat="1" ht="26" customHeight="1" spans="1:31">
      <c r="A120" s="302"/>
      <c r="D120" s="410"/>
      <c r="G120" s="436" t="s">
        <v>70</v>
      </c>
      <c r="H120" s="437" t="s">
        <v>75</v>
      </c>
      <c r="I120" s="438"/>
      <c r="J120" s="438"/>
      <c r="K120" s="439"/>
      <c r="L120" s="440" t="s">
        <v>10</v>
      </c>
      <c r="M120" s="441" t="s">
        <v>76</v>
      </c>
      <c r="N120" s="441" t="s">
        <v>77</v>
      </c>
      <c r="O120" s="442" t="s">
        <v>16</v>
      </c>
      <c r="Q120" s="418"/>
      <c r="R120" s="263"/>
      <c r="S120" s="419"/>
      <c r="T120" s="263"/>
      <c r="U120" s="263"/>
      <c r="V120" s="263"/>
      <c r="W120" s="303"/>
      <c r="X120" s="298"/>
      <c r="Y120" s="420"/>
      <c r="Z120" s="420"/>
      <c r="AA120" s="263"/>
      <c r="AB120" s="422"/>
      <c r="AC120" s="422"/>
    </row>
    <row r="121" s="263" customFormat="1" ht="26" customHeight="1" spans="1:31">
      <c r="A121" s="302"/>
      <c r="D121" s="410"/>
      <c r="G121" s="443"/>
      <c r="H121" s="413" t="s">
        <v>17</v>
      </c>
      <c r="I121" s="412" t="s">
        <v>78</v>
      </c>
      <c r="J121" s="411" t="s">
        <v>22</v>
      </c>
      <c r="K121" s="444" t="s">
        <v>79</v>
      </c>
      <c r="L121" s="445"/>
      <c r="M121" s="446"/>
      <c r="N121" s="446"/>
      <c r="O121" s="447"/>
      <c r="Q121" s="418"/>
      <c r="R121" s="263"/>
      <c r="S121" s="419"/>
      <c r="T121" s="263"/>
      <c r="U121" s="263"/>
      <c r="V121" s="263"/>
      <c r="W121" s="303"/>
      <c r="X121" s="298"/>
      <c r="Y121" s="420"/>
      <c r="Z121" s="420"/>
      <c r="AA121" s="263"/>
      <c r="AB121" s="422"/>
      <c r="AC121" s="422"/>
    </row>
    <row r="122" s="262" customFormat="1" ht="28.5" customHeight="1" spans="1:31">
      <c r="A122" s="301"/>
      <c r="D122" s="410"/>
      <c r="G122" s="411">
        <v>8</v>
      </c>
      <c r="H122" s="448">
        <f>SUM(I115)</f>
        <v>1199917.239</v>
      </c>
      <c r="I122" s="407">
        <f>SUM(M115)</f>
        <v>38626.5958</v>
      </c>
      <c r="J122" s="222">
        <v>7.13010128363421</v>
      </c>
      <c r="K122" s="448">
        <f>SUM(I122*J122)</f>
        <v>275411.540296</v>
      </c>
      <c r="L122" s="449">
        <f>SUM(H122+K122)</f>
        <v>1475328.779296</v>
      </c>
      <c r="M122" s="448">
        <f>SUM(W115)</f>
        <v>559823.56</v>
      </c>
      <c r="N122" s="450">
        <f>SUM(AC115)</f>
        <v>626139.4908</v>
      </c>
      <c r="O122" s="451">
        <f>SUM(L122-M122-N122)</f>
        <v>289365.728496</v>
      </c>
      <c r="Q122" s="452"/>
      <c r="S122" s="453"/>
      <c r="W122" s="298"/>
      <c r="X122" s="454"/>
      <c r="Y122" s="454"/>
      <c r="Z122" s="454"/>
      <c r="AA122" s="454"/>
      <c r="AB122" s="455"/>
      <c r="AC122" s="455"/>
    </row>
  </sheetData>
  <autoFilter xmlns:etc="http://www.wps.cn/officeDocument/2017/etCustomData" ref="H4:K115" etc:filterBottomFollowUsedRange="0">
    <extLst/>
  </autoFilter>
  <mergeCells count="197">
    <mergeCell ref="A1:AA1"/>
    <mergeCell ref="I3:O3"/>
    <mergeCell ref="Q3:U3"/>
    <mergeCell ref="X3:AC3"/>
    <mergeCell ref="A115:B115"/>
    <mergeCell ref="H120:K120"/>
    <mergeCell ref="A3:A4"/>
    <mergeCell ref="A5:A9"/>
    <mergeCell ref="A10:A21"/>
    <mergeCell ref="A22:A42"/>
    <mergeCell ref="A43:A46"/>
    <mergeCell ref="A47:A56"/>
    <mergeCell ref="A57:A68"/>
    <mergeCell ref="A69:A84"/>
    <mergeCell ref="A85:A94"/>
    <mergeCell ref="A96:A114"/>
    <mergeCell ref="B3:B4"/>
    <mergeCell ref="B5:B9"/>
    <mergeCell ref="B10:B21"/>
    <mergeCell ref="B22:B42"/>
    <mergeCell ref="B43:B46"/>
    <mergeCell ref="B47:B56"/>
    <mergeCell ref="B57:B68"/>
    <mergeCell ref="B69:B84"/>
    <mergeCell ref="B85:B94"/>
    <mergeCell ref="B96:B114"/>
    <mergeCell ref="C3:C4"/>
    <mergeCell ref="D3:D4"/>
    <mergeCell ref="E3:E4"/>
    <mergeCell ref="F3:F4"/>
    <mergeCell ref="G3:G4"/>
    <mergeCell ref="G120:G121"/>
    <mergeCell ref="H3:H4"/>
    <mergeCell ref="L120:L121"/>
    <mergeCell ref="M120:M121"/>
    <mergeCell ref="N120:N121"/>
    <mergeCell ref="O120:O121"/>
    <mergeCell ref="P3:P4"/>
    <mergeCell ref="P5:P9"/>
    <mergeCell ref="P10:P21"/>
    <mergeCell ref="P22:P42"/>
    <mergeCell ref="P43:P46"/>
    <mergeCell ref="P47:P56"/>
    <mergeCell ref="P57:P68"/>
    <mergeCell ref="P69:P84"/>
    <mergeCell ref="P85:P94"/>
    <mergeCell ref="P96:P114"/>
    <mergeCell ref="Q5:Q9"/>
    <mergeCell ref="Q10:Q21"/>
    <mergeCell ref="Q22:Q42"/>
    <mergeCell ref="Q43:Q46"/>
    <mergeCell ref="Q47:Q56"/>
    <mergeCell ref="Q57:Q68"/>
    <mergeCell ref="Q69:Q84"/>
    <mergeCell ref="Q85:Q94"/>
    <mergeCell ref="Q96:Q114"/>
    <mergeCell ref="R5:R9"/>
    <mergeCell ref="R10:R21"/>
    <mergeCell ref="R22:R42"/>
    <mergeCell ref="R43:R46"/>
    <mergeCell ref="R47:R56"/>
    <mergeCell ref="R57:R68"/>
    <mergeCell ref="R69:R84"/>
    <mergeCell ref="R85:R94"/>
    <mergeCell ref="R96:R114"/>
    <mergeCell ref="S5:S9"/>
    <mergeCell ref="S10:S21"/>
    <mergeCell ref="S22:S42"/>
    <mergeCell ref="S43:S46"/>
    <mergeCell ref="S47:S56"/>
    <mergeCell ref="S57:S68"/>
    <mergeCell ref="S69:S84"/>
    <mergeCell ref="S85:S87"/>
    <mergeCell ref="S89:S94"/>
    <mergeCell ref="S96:S114"/>
    <mergeCell ref="T5:T9"/>
    <mergeCell ref="T10:T21"/>
    <mergeCell ref="T22:T42"/>
    <mergeCell ref="T43:T46"/>
    <mergeCell ref="T47:T56"/>
    <mergeCell ref="T57:T68"/>
    <mergeCell ref="T69:T84"/>
    <mergeCell ref="T85:T94"/>
    <mergeCell ref="T96:T114"/>
    <mergeCell ref="U6:U8"/>
    <mergeCell ref="U10:U21"/>
    <mergeCell ref="U22:U42"/>
    <mergeCell ref="U43:U46"/>
    <mergeCell ref="U49:U54"/>
    <mergeCell ref="U57:U68"/>
    <mergeCell ref="U70:U84"/>
    <mergeCell ref="U85:U94"/>
    <mergeCell ref="U96:U112"/>
    <mergeCell ref="V3:V4"/>
    <mergeCell ref="V5:V9"/>
    <mergeCell ref="V10:V21"/>
    <mergeCell ref="V22:V42"/>
    <mergeCell ref="V43:V46"/>
    <mergeCell ref="V47:V56"/>
    <mergeCell ref="V57:V68"/>
    <mergeCell ref="V69:V77"/>
    <mergeCell ref="V79:V84"/>
    <mergeCell ref="V85:V87"/>
    <mergeCell ref="V89:V94"/>
    <mergeCell ref="V96:V106"/>
    <mergeCell ref="V110:V112"/>
    <mergeCell ref="W3:W4"/>
    <mergeCell ref="W5:W9"/>
    <mergeCell ref="W10:W21"/>
    <mergeCell ref="W22:W42"/>
    <mergeCell ref="W43:W46"/>
    <mergeCell ref="W47:W56"/>
    <mergeCell ref="W57:W68"/>
    <mergeCell ref="W69:W84"/>
    <mergeCell ref="W85:W94"/>
    <mergeCell ref="W96:W114"/>
    <mergeCell ref="X5:X9"/>
    <mergeCell ref="X10:X21"/>
    <mergeCell ref="X22:X42"/>
    <mergeCell ref="X43:X46"/>
    <mergeCell ref="X47:X56"/>
    <mergeCell ref="X57:X68"/>
    <mergeCell ref="X69:X84"/>
    <mergeCell ref="X85:X94"/>
    <mergeCell ref="X96:X114"/>
    <mergeCell ref="Y5:Y6"/>
    <mergeCell ref="Y11:Y14"/>
    <mergeCell ref="Y16:Y21"/>
    <mergeCell ref="Y24:Y28"/>
    <mergeCell ref="Y30:Y36"/>
    <mergeCell ref="Y38:Y42"/>
    <mergeCell ref="Y43:Y45"/>
    <mergeCell ref="Y50:Y52"/>
    <mergeCell ref="Y54:Y55"/>
    <mergeCell ref="Y57:Y68"/>
    <mergeCell ref="Y71:Y72"/>
    <mergeCell ref="Y74:Y76"/>
    <mergeCell ref="Y78:Y84"/>
    <mergeCell ref="Y85:Y87"/>
    <mergeCell ref="Y89:Y93"/>
    <mergeCell ref="Y112:Y114"/>
    <mergeCell ref="Z5:Z9"/>
    <mergeCell ref="Z10:Z21"/>
    <mergeCell ref="Z22:Z42"/>
    <mergeCell ref="Z43:Z46"/>
    <mergeCell ref="Z47:Z56"/>
    <mergeCell ref="Z57:Z65"/>
    <mergeCell ref="Z67:Z68"/>
    <mergeCell ref="Z69:Z84"/>
    <mergeCell ref="Z85:Z94"/>
    <mergeCell ref="Z96:Z114"/>
    <mergeCell ref="AA5:AA9"/>
    <mergeCell ref="AA10:AA21"/>
    <mergeCell ref="AA22:AA42"/>
    <mergeCell ref="AA43:AA46"/>
    <mergeCell ref="AA47:AA56"/>
    <mergeCell ref="AA57:AA68"/>
    <mergeCell ref="AA69:AA84"/>
    <mergeCell ref="AA85:AA94"/>
    <mergeCell ref="AA96:AA114"/>
    <mergeCell ref="AB5:AB9"/>
    <mergeCell ref="AB10:AB21"/>
    <mergeCell ref="AB22:AB42"/>
    <mergeCell ref="AB43:AB46"/>
    <mergeCell ref="AB47:AB56"/>
    <mergeCell ref="AB57:AB68"/>
    <mergeCell ref="AB69:AB84"/>
    <mergeCell ref="AB85:AB94"/>
    <mergeCell ref="AB96:AB114"/>
    <mergeCell ref="AC5:AC9"/>
    <mergeCell ref="AC10:AC21"/>
    <mergeCell ref="AC22:AC42"/>
    <mergeCell ref="AC43:AC46"/>
    <mergeCell ref="AC47:AC56"/>
    <mergeCell ref="AC57:AC68"/>
    <mergeCell ref="AC69:AC84"/>
    <mergeCell ref="AC85:AC94"/>
    <mergeCell ref="AC96:AC114"/>
    <mergeCell ref="AD5:AD9"/>
    <mergeCell ref="AD10:AD21"/>
    <mergeCell ref="AD22:AD42"/>
    <mergeCell ref="AD43:AD46"/>
    <mergeCell ref="AD47:AD56"/>
    <mergeCell ref="AD57:AD68"/>
    <mergeCell ref="AD69:AD84"/>
    <mergeCell ref="AD85:AD94"/>
    <mergeCell ref="AD96:AD114"/>
    <mergeCell ref="AE3:AE4"/>
    <mergeCell ref="AE5:AE9"/>
    <mergeCell ref="AE10:AE21"/>
    <mergeCell ref="AE22:AE42"/>
    <mergeCell ref="AE43:AE46"/>
    <mergeCell ref="AE47:AE56"/>
    <mergeCell ref="AE57:AE68"/>
    <mergeCell ref="AE69:AE84"/>
    <mergeCell ref="AE85:AE94"/>
    <mergeCell ref="AE96:AE114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E113"/>
  <sheetViews>
    <sheetView workbookViewId="0">
      <pane xSplit="6" ySplit="4" topLeftCell="P88" activePane="bottomRight" state="frozen"/>
      <selection/>
      <selection pane="topRight"/>
      <selection pane="bottomLeft"/>
      <selection pane="bottomRight" activeCell="AB106" sqref="AB106"/>
    </sheetView>
  </sheetViews>
  <sheetFormatPr defaultColWidth="9" defaultRowHeight="21" customHeight="1"/>
  <cols>
    <col min="1" max="1" width="9.36666666666667" style="266" customWidth="1"/>
    <col min="2" max="2" width="10.3666666666667" customWidth="1"/>
    <col min="3" max="3" width="11.3666666666667" customWidth="1"/>
    <col min="4" max="4" width="7.26666666666667" style="267" customWidth="1"/>
    <col min="5" max="5" width="5.725" customWidth="1"/>
    <col min="6" max="6" width="5.63333333333333" customWidth="1"/>
    <col min="7" max="7" width="8.26666666666667" customWidth="1"/>
    <col min="8" max="8" width="12.9083333333333" customWidth="1"/>
    <col min="9" max="9" width="14.3666666666667" style="268" customWidth="1"/>
    <col min="10" max="10" width="16.6333333333333" customWidth="1"/>
    <col min="11" max="11" width="12.725" style="269" customWidth="1"/>
    <col min="12" max="12" width="14.875" customWidth="1"/>
    <col min="13" max="13" width="12.0916666666667" style="270" customWidth="1"/>
    <col min="14" max="14" width="12.0916666666667" customWidth="1"/>
    <col min="15" max="16" width="13.8166666666667" customWidth="1"/>
    <col min="17" max="17" width="9.26666666666667" customWidth="1"/>
    <col min="18" max="18" width="12.0916666666667" style="98" customWidth="1"/>
    <col min="19" max="19" width="9" customWidth="1"/>
    <col min="20" max="22" width="10.2666666666667" style="271" customWidth="1"/>
    <col min="23" max="23" width="12.0916666666667" style="271" customWidth="1"/>
    <col min="24" max="24" width="11.1833333333333" customWidth="1"/>
    <col min="25" max="25" width="10.0916666666667" customWidth="1"/>
    <col min="26" max="27" width="12.2666666666667" customWidth="1"/>
    <col min="28" max="28" width="9.09166666666667" customWidth="1"/>
    <col min="29" max="29" width="11.1833333333333" customWidth="1"/>
    <col min="30" max="30" width="10.8166666666667" customWidth="1"/>
    <col min="31" max="31" width="11.1833333333333" customWidth="1"/>
  </cols>
  <sheetData>
    <row r="1" ht="32" customHeight="1" spans="1:31">
      <c r="A1" s="272" t="s">
        <v>0</v>
      </c>
      <c r="B1" s="273"/>
      <c r="C1" s="274"/>
      <c r="D1" s="275"/>
      <c r="E1" s="276"/>
      <c r="F1" s="276"/>
      <c r="G1" s="275"/>
      <c r="H1" s="277"/>
      <c r="I1" s="278"/>
      <c r="J1" s="279"/>
      <c r="K1" s="280"/>
      <c r="L1" s="279"/>
      <c r="M1" s="281"/>
      <c r="N1" s="282"/>
      <c r="O1" s="283"/>
      <c r="P1" s="284"/>
      <c r="Q1" s="276"/>
      <c r="R1" s="285"/>
      <c r="S1" s="276"/>
      <c r="T1" s="285"/>
      <c r="U1" s="276"/>
      <c r="V1" s="285"/>
      <c r="W1" s="286"/>
      <c r="X1" s="281"/>
      <c r="Y1" s="280"/>
      <c r="Z1" s="281"/>
      <c r="AA1" s="281"/>
      <c r="AB1" s="287"/>
      <c r="AC1" s="288"/>
      <c r="AD1" s="289"/>
      <c r="AE1" s="289"/>
    </row>
    <row r="2" s="263" customFormat="1" ht="3.5" customHeight="1" spans="1:31">
      <c r="A2" s="290"/>
      <c r="B2" s="273"/>
      <c r="C2" s="291"/>
      <c r="D2" s="292"/>
      <c r="E2" s="273"/>
      <c r="F2" s="273"/>
      <c r="G2" s="292"/>
      <c r="H2" s="293"/>
      <c r="I2" s="294"/>
      <c r="J2" s="295"/>
      <c r="K2" s="296"/>
      <c r="L2" s="297"/>
      <c r="M2" s="298"/>
      <c r="N2" s="299"/>
      <c r="O2" s="300"/>
      <c r="P2" s="288"/>
      <c r="Q2" s="301"/>
      <c r="R2" s="288"/>
      <c r="S2" s="302"/>
      <c r="T2" s="288"/>
      <c r="U2" s="302"/>
      <c r="V2" s="303"/>
      <c r="W2" s="304"/>
      <c r="X2" s="298"/>
      <c r="Y2" s="305"/>
      <c r="Z2" s="298"/>
      <c r="AA2" s="298"/>
      <c r="AB2" s="287"/>
      <c r="AC2" s="288"/>
      <c r="AD2" s="288"/>
      <c r="AE2" s="288"/>
    </row>
    <row r="3" s="231" customFormat="1" ht="13.5" spans="1:31">
      <c r="A3" s="306" t="s">
        <v>1</v>
      </c>
      <c r="B3" s="307" t="s">
        <v>2</v>
      </c>
      <c r="C3" s="308" t="s">
        <v>3</v>
      </c>
      <c r="D3" s="309" t="s">
        <v>4</v>
      </c>
      <c r="E3" s="310" t="s">
        <v>5</v>
      </c>
      <c r="F3" s="310" t="s">
        <v>6</v>
      </c>
      <c r="G3" s="311" t="s">
        <v>7</v>
      </c>
      <c r="H3" s="312" t="s">
        <v>8</v>
      </c>
      <c r="I3" s="313" t="s">
        <v>9</v>
      </c>
      <c r="J3" s="314"/>
      <c r="K3" s="315"/>
      <c r="L3" s="316"/>
      <c r="M3" s="315"/>
      <c r="N3" s="317"/>
      <c r="O3" s="318"/>
      <c r="P3" s="319" t="s">
        <v>10</v>
      </c>
      <c r="Q3" s="320" t="s">
        <v>11</v>
      </c>
      <c r="R3" s="321"/>
      <c r="S3" s="322"/>
      <c r="T3" s="321"/>
      <c r="U3" s="323"/>
      <c r="V3" s="324" t="s">
        <v>12</v>
      </c>
      <c r="W3" s="325" t="s">
        <v>13</v>
      </c>
      <c r="X3" s="326" t="s">
        <v>14</v>
      </c>
      <c r="Y3" s="327"/>
      <c r="Z3" s="326"/>
      <c r="AA3" s="326"/>
      <c r="AB3" s="328"/>
      <c r="AC3" s="326"/>
      <c r="AD3" s="329" t="s">
        <v>15</v>
      </c>
      <c r="AE3" s="330" t="s">
        <v>16</v>
      </c>
    </row>
    <row r="4" s="231" customFormat="1" ht="40.5" spans="1:31">
      <c r="A4" s="331"/>
      <c r="B4" s="332"/>
      <c r="C4" s="308"/>
      <c r="D4" s="309"/>
      <c r="E4" s="333"/>
      <c r="F4" s="333"/>
      <c r="G4" s="334"/>
      <c r="H4" s="333"/>
      <c r="I4" s="335" t="s">
        <v>17</v>
      </c>
      <c r="J4" s="336" t="s">
        <v>18</v>
      </c>
      <c r="K4" s="337" t="s">
        <v>19</v>
      </c>
      <c r="L4" s="338" t="s">
        <v>20</v>
      </c>
      <c r="M4" s="339" t="s">
        <v>21</v>
      </c>
      <c r="N4" s="340" t="s">
        <v>22</v>
      </c>
      <c r="O4" s="341" t="s">
        <v>23</v>
      </c>
      <c r="P4" s="342"/>
      <c r="Q4" s="343" t="s">
        <v>24</v>
      </c>
      <c r="R4" s="457" t="s">
        <v>81</v>
      </c>
      <c r="S4" s="345" t="s">
        <v>26</v>
      </c>
      <c r="T4" s="344" t="s">
        <v>27</v>
      </c>
      <c r="U4" s="345" t="s">
        <v>28</v>
      </c>
      <c r="V4" s="346"/>
      <c r="W4" s="347"/>
      <c r="X4" s="348" t="s">
        <v>29</v>
      </c>
      <c r="Y4" s="349" t="s">
        <v>30</v>
      </c>
      <c r="Z4" s="348" t="s">
        <v>31</v>
      </c>
      <c r="AA4" s="326" t="s">
        <v>32</v>
      </c>
      <c r="AB4" s="350" t="s">
        <v>33</v>
      </c>
      <c r="AC4" s="351" t="s">
        <v>23</v>
      </c>
      <c r="AD4" s="352" t="s">
        <v>34</v>
      </c>
      <c r="AE4" s="353"/>
    </row>
    <row r="5" s="264" customFormat="1" ht="12.75" spans="1:31">
      <c r="A5" s="354" t="s">
        <v>182</v>
      </c>
      <c r="B5" s="355" t="s">
        <v>183</v>
      </c>
      <c r="C5" s="356">
        <v>240807000019</v>
      </c>
      <c r="D5" s="357">
        <v>45539</v>
      </c>
      <c r="E5" s="355" t="s">
        <v>40</v>
      </c>
      <c r="F5" s="355" t="s">
        <v>130</v>
      </c>
      <c r="G5" s="355">
        <v>55.0796</v>
      </c>
      <c r="H5" s="355">
        <v>14200</v>
      </c>
      <c r="I5" s="358">
        <v>26216.12</v>
      </c>
      <c r="J5" s="370">
        <v>21550555</v>
      </c>
      <c r="K5" s="360"/>
      <c r="L5" s="361">
        <f t="shared" ref="L5:L7" si="0">SUM(J5/M5)</f>
        <v>1560.26071248864</v>
      </c>
      <c r="M5" s="362">
        <v>13812.15</v>
      </c>
      <c r="N5" s="355">
        <v>7.24</v>
      </c>
      <c r="O5" s="364">
        <f>SUM(M5*N5+I5)</f>
        <v>126216.086</v>
      </c>
      <c r="P5" s="371">
        <f>SUM(O5:O17)</f>
        <v>196493.638775</v>
      </c>
      <c r="Q5" s="372" t="s">
        <v>184</v>
      </c>
      <c r="R5" s="371">
        <v>51391</v>
      </c>
      <c r="S5" s="371"/>
      <c r="T5" s="371">
        <v>1450</v>
      </c>
      <c r="U5" s="367">
        <v>600</v>
      </c>
      <c r="V5" s="367">
        <f>SUM(235.5+800)</f>
        <v>1035.5</v>
      </c>
      <c r="W5" s="478">
        <f>SUM(R5:V17)</f>
        <v>54716.5</v>
      </c>
      <c r="X5" s="373">
        <v>10737.46</v>
      </c>
      <c r="Y5" s="368">
        <v>1858.41</v>
      </c>
      <c r="Z5" s="373"/>
      <c r="AA5" s="373">
        <f>SUM(X5:Z17)</f>
        <v>12805.3</v>
      </c>
      <c r="AB5" s="374">
        <v>7.12</v>
      </c>
      <c r="AC5" s="371">
        <f>SUM(AA5*AB5)</f>
        <v>91173.736</v>
      </c>
      <c r="AD5" s="371">
        <f>SUM(W5+AC5)</f>
        <v>145890.236</v>
      </c>
      <c r="AE5" s="371">
        <f>SUM(P5-AD5)</f>
        <v>50603.4027750001</v>
      </c>
    </row>
    <row r="6" s="264" customFormat="1" ht="12.75" spans="1:31">
      <c r="A6" s="354"/>
      <c r="B6" s="355"/>
      <c r="C6" s="356">
        <v>240827000016</v>
      </c>
      <c r="D6" s="357">
        <v>45539</v>
      </c>
      <c r="E6" s="355" t="s">
        <v>37</v>
      </c>
      <c r="F6" s="355" t="s">
        <v>142</v>
      </c>
      <c r="G6" s="355">
        <v>0.2537</v>
      </c>
      <c r="H6" s="355">
        <v>138</v>
      </c>
      <c r="I6" s="364"/>
      <c r="J6" s="370">
        <v>202127.5</v>
      </c>
      <c r="K6" s="360"/>
      <c r="L6" s="361">
        <f t="shared" si="0"/>
        <v>1735</v>
      </c>
      <c r="M6" s="362">
        <v>116.5</v>
      </c>
      <c r="N6" s="355">
        <v>7.12</v>
      </c>
      <c r="O6" s="364">
        <f t="shared" ref="O6:O9" si="1">SUM(M6*N6)</f>
        <v>829.48</v>
      </c>
      <c r="P6" s="375"/>
      <c r="Q6" s="375"/>
      <c r="R6" s="375"/>
      <c r="S6" s="375"/>
      <c r="T6" s="375"/>
      <c r="U6" s="371"/>
      <c r="V6" s="367">
        <v>240</v>
      </c>
      <c r="W6" s="392"/>
      <c r="X6" s="376"/>
      <c r="Y6" s="368"/>
      <c r="Z6" s="376"/>
      <c r="AA6" s="376"/>
      <c r="AB6" s="378"/>
      <c r="AC6" s="375"/>
      <c r="AD6" s="375"/>
      <c r="AE6" s="375"/>
    </row>
    <row r="7" s="264" customFormat="1" ht="12.75" spans="1:31">
      <c r="A7" s="354"/>
      <c r="B7" s="355"/>
      <c r="C7" s="356">
        <v>240827000023</v>
      </c>
      <c r="D7" s="357">
        <v>45539</v>
      </c>
      <c r="E7" s="355" t="s">
        <v>40</v>
      </c>
      <c r="F7" s="355" t="s">
        <v>185</v>
      </c>
      <c r="G7" s="355">
        <v>3.027</v>
      </c>
      <c r="H7" s="355">
        <v>2480</v>
      </c>
      <c r="I7" s="364"/>
      <c r="J7" s="370">
        <v>1916044.9</v>
      </c>
      <c r="K7" s="360"/>
      <c r="L7" s="361">
        <f t="shared" si="0"/>
        <v>1745</v>
      </c>
      <c r="M7" s="362">
        <v>1098.02</v>
      </c>
      <c r="N7" s="355">
        <v>7.12</v>
      </c>
      <c r="O7" s="364">
        <f t="shared" si="1"/>
        <v>7817.9024</v>
      </c>
      <c r="P7" s="375"/>
      <c r="Q7" s="375"/>
      <c r="R7" s="375"/>
      <c r="S7" s="375"/>
      <c r="T7" s="375"/>
      <c r="U7" s="375"/>
      <c r="V7" s="371"/>
      <c r="W7" s="392"/>
      <c r="X7" s="376"/>
      <c r="Y7" s="368"/>
      <c r="Z7" s="376"/>
      <c r="AA7" s="376"/>
      <c r="AB7" s="378"/>
      <c r="AC7" s="375"/>
      <c r="AD7" s="375"/>
      <c r="AE7" s="375"/>
    </row>
    <row r="8" s="264" customFormat="1" ht="12.75" spans="1:31">
      <c r="A8" s="354"/>
      <c r="B8" s="355"/>
      <c r="C8" s="356">
        <v>240828000016</v>
      </c>
      <c r="D8" s="357">
        <v>45539</v>
      </c>
      <c r="E8" s="355" t="s">
        <v>52</v>
      </c>
      <c r="F8" s="355" t="s">
        <v>186</v>
      </c>
      <c r="G8" s="355">
        <v>0.1625</v>
      </c>
      <c r="H8" s="355">
        <v>169</v>
      </c>
      <c r="I8" s="358">
        <v>1258.39</v>
      </c>
      <c r="J8" s="369"/>
      <c r="K8" s="360"/>
      <c r="L8" s="361"/>
      <c r="M8" s="360"/>
      <c r="N8" s="355"/>
      <c r="O8" s="364">
        <f t="shared" ref="O8:O11" si="2">SUBTOTAL(9,I8)</f>
        <v>1258.39</v>
      </c>
      <c r="P8" s="375"/>
      <c r="Q8" s="375"/>
      <c r="R8" s="375"/>
      <c r="S8" s="375"/>
      <c r="T8" s="375"/>
      <c r="U8" s="375"/>
      <c r="V8" s="375"/>
      <c r="W8" s="392"/>
      <c r="X8" s="376"/>
      <c r="Y8" s="368">
        <v>93.95</v>
      </c>
      <c r="Z8" s="376"/>
      <c r="AA8" s="376"/>
      <c r="AB8" s="378"/>
      <c r="AC8" s="375"/>
      <c r="AD8" s="375"/>
      <c r="AE8" s="375"/>
    </row>
    <row r="9" s="264" customFormat="1" ht="12.75" spans="1:31">
      <c r="A9" s="354"/>
      <c r="B9" s="355"/>
      <c r="C9" s="356">
        <v>240828000064</v>
      </c>
      <c r="D9" s="357">
        <v>45539</v>
      </c>
      <c r="E9" s="355" t="s">
        <v>37</v>
      </c>
      <c r="F9" s="355" t="s">
        <v>121</v>
      </c>
      <c r="G9" s="355">
        <v>2.368</v>
      </c>
      <c r="H9" s="355">
        <v>2617</v>
      </c>
      <c r="I9" s="364"/>
      <c r="J9" s="370">
        <v>2020000</v>
      </c>
      <c r="K9" s="360"/>
      <c r="L9" s="361">
        <f>SUM(J9/M9)</f>
        <v>1688.52202079306</v>
      </c>
      <c r="M9" s="362">
        <v>1196.3125</v>
      </c>
      <c r="N9" s="355">
        <v>7.23</v>
      </c>
      <c r="O9" s="364">
        <f t="shared" si="1"/>
        <v>8649.339375</v>
      </c>
      <c r="P9" s="375"/>
      <c r="Q9" s="375"/>
      <c r="R9" s="375"/>
      <c r="S9" s="375"/>
      <c r="T9" s="375"/>
      <c r="U9" s="375"/>
      <c r="V9" s="375"/>
      <c r="W9" s="392"/>
      <c r="X9" s="376"/>
      <c r="Y9" s="368">
        <v>70.8</v>
      </c>
      <c r="Z9" s="376"/>
      <c r="AA9" s="376"/>
      <c r="AB9" s="378"/>
      <c r="AC9" s="375"/>
      <c r="AD9" s="375"/>
      <c r="AE9" s="375"/>
    </row>
    <row r="10" s="264" customFormat="1" ht="12.75" spans="1:31">
      <c r="A10" s="354"/>
      <c r="B10" s="355"/>
      <c r="C10" s="356">
        <v>240830000003</v>
      </c>
      <c r="D10" s="357">
        <v>45539</v>
      </c>
      <c r="E10" s="355" t="s">
        <v>40</v>
      </c>
      <c r="F10" s="355" t="s">
        <v>187</v>
      </c>
      <c r="G10" s="355">
        <v>0.1448</v>
      </c>
      <c r="H10" s="355">
        <v>20</v>
      </c>
      <c r="I10" s="358">
        <v>333.6</v>
      </c>
      <c r="J10" s="369"/>
      <c r="K10" s="360"/>
      <c r="L10" s="361"/>
      <c r="M10" s="360"/>
      <c r="N10" s="355"/>
      <c r="O10" s="364">
        <f t="shared" si="2"/>
        <v>333.6</v>
      </c>
      <c r="P10" s="375"/>
      <c r="Q10" s="375"/>
      <c r="R10" s="375"/>
      <c r="S10" s="375"/>
      <c r="T10" s="375"/>
      <c r="U10" s="375"/>
      <c r="V10" s="375"/>
      <c r="W10" s="392"/>
      <c r="X10" s="376"/>
      <c r="Y10" s="368">
        <v>5.9</v>
      </c>
      <c r="Z10" s="376"/>
      <c r="AA10" s="376"/>
      <c r="AB10" s="378"/>
      <c r="AC10" s="375"/>
      <c r="AD10" s="375"/>
      <c r="AE10" s="375"/>
    </row>
    <row r="11" s="264" customFormat="1" ht="12.75" spans="1:31">
      <c r="A11" s="354"/>
      <c r="B11" s="355"/>
      <c r="C11" s="356">
        <v>240830000027</v>
      </c>
      <c r="D11" s="357">
        <v>45539</v>
      </c>
      <c r="E11" s="355" t="s">
        <v>119</v>
      </c>
      <c r="F11" s="355" t="s">
        <v>188</v>
      </c>
      <c r="G11" s="355">
        <v>0.866</v>
      </c>
      <c r="H11" s="355">
        <v>98</v>
      </c>
      <c r="I11" s="358">
        <v>1871</v>
      </c>
      <c r="J11" s="369"/>
      <c r="K11" s="360"/>
      <c r="L11" s="361"/>
      <c r="M11" s="360"/>
      <c r="N11" s="355"/>
      <c r="O11" s="364">
        <f t="shared" si="2"/>
        <v>1871</v>
      </c>
      <c r="P11" s="375"/>
      <c r="Q11" s="375"/>
      <c r="R11" s="375"/>
      <c r="S11" s="375"/>
      <c r="T11" s="375"/>
      <c r="U11" s="375"/>
      <c r="V11" s="375"/>
      <c r="W11" s="392"/>
      <c r="X11" s="376"/>
      <c r="Y11" s="368"/>
      <c r="Z11" s="376"/>
      <c r="AA11" s="376"/>
      <c r="AB11" s="378"/>
      <c r="AC11" s="375"/>
      <c r="AD11" s="375"/>
      <c r="AE11" s="375"/>
    </row>
    <row r="12" s="264" customFormat="1" ht="12.75" spans="1:31">
      <c r="A12" s="354"/>
      <c r="B12" s="355"/>
      <c r="C12" s="356">
        <v>240830000048</v>
      </c>
      <c r="D12" s="357">
        <v>45539</v>
      </c>
      <c r="E12" s="355" t="s">
        <v>189</v>
      </c>
      <c r="F12" s="355" t="s">
        <v>111</v>
      </c>
      <c r="G12" s="355">
        <v>2.146</v>
      </c>
      <c r="H12" s="355">
        <v>268</v>
      </c>
      <c r="I12" s="364"/>
      <c r="J12" s="369"/>
      <c r="K12" s="362">
        <v>640.17</v>
      </c>
      <c r="L12" s="361">
        <f>SUM(J12/M12)</f>
        <v>0</v>
      </c>
      <c r="M12" s="362">
        <v>640.17</v>
      </c>
      <c r="N12" s="355">
        <v>7.3</v>
      </c>
      <c r="O12" s="364">
        <f>SUM(M12*N12)</f>
        <v>4673.241</v>
      </c>
      <c r="P12" s="375"/>
      <c r="Q12" s="375"/>
      <c r="R12" s="375"/>
      <c r="S12" s="375"/>
      <c r="T12" s="375"/>
      <c r="U12" s="375"/>
      <c r="V12" s="375"/>
      <c r="W12" s="392"/>
      <c r="X12" s="376"/>
      <c r="Y12" s="368"/>
      <c r="Z12" s="376"/>
      <c r="AA12" s="376"/>
      <c r="AB12" s="378"/>
      <c r="AC12" s="375"/>
      <c r="AD12" s="375"/>
      <c r="AE12" s="375"/>
    </row>
    <row r="13" s="264" customFormat="1" ht="12.75" spans="1:31">
      <c r="A13" s="354"/>
      <c r="B13" s="355"/>
      <c r="C13" s="356">
        <v>240728000003</v>
      </c>
      <c r="D13" s="357">
        <v>45506</v>
      </c>
      <c r="E13" s="355" t="s">
        <v>40</v>
      </c>
      <c r="F13" s="355" t="s">
        <v>130</v>
      </c>
      <c r="G13" s="355">
        <v>0.42</v>
      </c>
      <c r="H13" s="355">
        <v>160</v>
      </c>
      <c r="I13" s="358">
        <v>1132</v>
      </c>
      <c r="J13" s="369"/>
      <c r="K13" s="360"/>
      <c r="L13" s="361"/>
      <c r="M13" s="360"/>
      <c r="N13" s="355"/>
      <c r="O13" s="364">
        <f t="shared" ref="O13:O17" si="3">SUBTOTAL(9,I13)</f>
        <v>1132</v>
      </c>
      <c r="P13" s="375"/>
      <c r="Q13" s="375"/>
      <c r="R13" s="375"/>
      <c r="S13" s="375"/>
      <c r="T13" s="375"/>
      <c r="U13" s="375"/>
      <c r="V13" s="375"/>
      <c r="W13" s="392"/>
      <c r="X13" s="376"/>
      <c r="Y13" s="368">
        <v>31.76</v>
      </c>
      <c r="Z13" s="376"/>
      <c r="AA13" s="376"/>
      <c r="AB13" s="378"/>
      <c r="AC13" s="375"/>
      <c r="AD13" s="375"/>
      <c r="AE13" s="375"/>
    </row>
    <row r="14" s="264" customFormat="1" ht="12.75" spans="1:31">
      <c r="A14" s="354"/>
      <c r="B14" s="355"/>
      <c r="C14" s="356">
        <v>240904000001</v>
      </c>
      <c r="D14" s="357">
        <v>45539</v>
      </c>
      <c r="E14" s="355" t="s">
        <v>40</v>
      </c>
      <c r="F14" s="355" t="s">
        <v>59</v>
      </c>
      <c r="G14" s="355">
        <v>19.05</v>
      </c>
      <c r="H14" s="355">
        <v>2484</v>
      </c>
      <c r="I14" s="358">
        <v>25671.21</v>
      </c>
      <c r="J14" s="369"/>
      <c r="K14" s="360"/>
      <c r="L14" s="361"/>
      <c r="M14" s="362"/>
      <c r="N14" s="355"/>
      <c r="O14" s="364">
        <f t="shared" si="3"/>
        <v>25671.21</v>
      </c>
      <c r="P14" s="375"/>
      <c r="Q14" s="375"/>
      <c r="R14" s="375"/>
      <c r="S14" s="375"/>
      <c r="T14" s="375"/>
      <c r="U14" s="375"/>
      <c r="V14" s="375"/>
      <c r="W14" s="392"/>
      <c r="X14" s="376"/>
      <c r="Y14" s="368"/>
      <c r="Z14" s="376"/>
      <c r="AA14" s="376"/>
      <c r="AB14" s="378"/>
      <c r="AC14" s="375"/>
      <c r="AD14" s="375"/>
      <c r="AE14" s="375"/>
    </row>
    <row r="15" s="264" customFormat="1" ht="12.75" spans="1:31">
      <c r="A15" s="354"/>
      <c r="B15" s="355"/>
      <c r="C15" s="356">
        <v>240904000027</v>
      </c>
      <c r="D15" s="357">
        <v>45539</v>
      </c>
      <c r="E15" s="355" t="s">
        <v>49</v>
      </c>
      <c r="F15" s="355" t="s">
        <v>140</v>
      </c>
      <c r="G15" s="355">
        <v>0.057</v>
      </c>
      <c r="H15" s="355">
        <v>22</v>
      </c>
      <c r="I15" s="364"/>
      <c r="J15" s="370">
        <v>55920</v>
      </c>
      <c r="K15" s="360"/>
      <c r="L15" s="361">
        <f>SUM(J15/M15)</f>
        <v>1679.27927927928</v>
      </c>
      <c r="M15" s="362">
        <v>33.3</v>
      </c>
      <c r="N15" s="355">
        <v>7.12</v>
      </c>
      <c r="O15" s="364">
        <v>237.1</v>
      </c>
      <c r="P15" s="379"/>
      <c r="Q15" s="379"/>
      <c r="R15" s="379"/>
      <c r="S15" s="379"/>
      <c r="T15" s="379"/>
      <c r="U15" s="379"/>
      <c r="V15" s="375"/>
      <c r="W15" s="479"/>
      <c r="X15" s="377"/>
      <c r="Y15" s="368">
        <v>7.02</v>
      </c>
      <c r="Z15" s="377"/>
      <c r="AA15" s="377"/>
      <c r="AB15" s="380"/>
      <c r="AC15" s="379"/>
      <c r="AD15" s="379"/>
      <c r="AE15" s="379"/>
    </row>
    <row r="16" s="264" customFormat="1" ht="12.75" spans="1:31">
      <c r="A16" s="354"/>
      <c r="B16" s="355"/>
      <c r="C16" s="356">
        <v>240904000002</v>
      </c>
      <c r="D16" s="357">
        <v>45539</v>
      </c>
      <c r="E16" s="355" t="s">
        <v>40</v>
      </c>
      <c r="F16" s="355" t="s">
        <v>59</v>
      </c>
      <c r="G16" s="355">
        <v>12.5</v>
      </c>
      <c r="H16" s="355">
        <v>19</v>
      </c>
      <c r="I16" s="358">
        <v>16844.63</v>
      </c>
      <c r="J16" s="369"/>
      <c r="K16" s="360"/>
      <c r="L16" s="361"/>
      <c r="M16" s="362"/>
      <c r="N16" s="355"/>
      <c r="O16" s="364">
        <f t="shared" si="3"/>
        <v>16844.63</v>
      </c>
      <c r="P16" s="375"/>
      <c r="Q16" s="375"/>
      <c r="R16" s="375"/>
      <c r="S16" s="375"/>
      <c r="T16" s="375"/>
      <c r="U16" s="375"/>
      <c r="V16" s="375"/>
      <c r="W16" s="392"/>
      <c r="X16" s="376"/>
      <c r="Y16" s="368"/>
      <c r="Z16" s="376"/>
      <c r="AA16" s="376"/>
      <c r="AB16" s="378"/>
      <c r="AC16" s="375"/>
      <c r="AD16" s="375"/>
      <c r="AE16" s="375"/>
    </row>
    <row r="17" s="264" customFormat="1" ht="12.75" spans="1:31">
      <c r="A17" s="354"/>
      <c r="B17" s="355"/>
      <c r="C17" s="356">
        <v>240904000021</v>
      </c>
      <c r="D17" s="357">
        <v>45539</v>
      </c>
      <c r="E17" s="355" t="s">
        <v>190</v>
      </c>
      <c r="F17" s="355" t="s">
        <v>191</v>
      </c>
      <c r="G17" s="355">
        <v>0.469</v>
      </c>
      <c r="H17" s="355">
        <v>105</v>
      </c>
      <c r="I17" s="358">
        <v>959.66</v>
      </c>
      <c r="J17" s="369"/>
      <c r="K17" s="360"/>
      <c r="L17" s="361"/>
      <c r="M17" s="360"/>
      <c r="N17" s="355"/>
      <c r="O17" s="364">
        <f t="shared" si="3"/>
        <v>959.66</v>
      </c>
      <c r="P17" s="379"/>
      <c r="Q17" s="379"/>
      <c r="R17" s="379"/>
      <c r="S17" s="379"/>
      <c r="T17" s="379"/>
      <c r="U17" s="379"/>
      <c r="V17" s="379"/>
      <c r="W17" s="479"/>
      <c r="X17" s="377"/>
      <c r="Y17" s="368"/>
      <c r="Z17" s="377"/>
      <c r="AA17" s="377"/>
      <c r="AB17" s="380"/>
      <c r="AC17" s="379"/>
      <c r="AD17" s="379"/>
      <c r="AE17" s="379"/>
    </row>
    <row r="18" s="264" customFormat="1" ht="12.75" spans="1:31">
      <c r="A18" s="354" t="s">
        <v>192</v>
      </c>
      <c r="B18" s="355" t="s">
        <v>193</v>
      </c>
      <c r="C18" s="356">
        <v>240828000043</v>
      </c>
      <c r="D18" s="357">
        <v>45539</v>
      </c>
      <c r="E18" s="355" t="s">
        <v>52</v>
      </c>
      <c r="F18" s="355" t="s">
        <v>194</v>
      </c>
      <c r="G18" s="355">
        <v>6.8939</v>
      </c>
      <c r="H18" s="355">
        <v>3722</v>
      </c>
      <c r="I18" s="364"/>
      <c r="J18" s="370">
        <v>3417687</v>
      </c>
      <c r="K18" s="360"/>
      <c r="L18" s="361">
        <f>SUM(J18/M18)</f>
        <v>1690</v>
      </c>
      <c r="M18" s="362">
        <v>2022.3</v>
      </c>
      <c r="N18" s="355">
        <v>7.3</v>
      </c>
      <c r="O18" s="364">
        <f>SUM(M18*N18)</f>
        <v>14762.79</v>
      </c>
      <c r="P18" s="371">
        <f>SUM(O18:O28)</f>
        <v>153607.2887292</v>
      </c>
      <c r="Q18" s="372" t="s">
        <v>195</v>
      </c>
      <c r="R18" s="371">
        <v>50249</v>
      </c>
      <c r="S18" s="371">
        <v>116.62</v>
      </c>
      <c r="T18" s="371">
        <v>1750</v>
      </c>
      <c r="U18" s="371"/>
      <c r="V18" s="371"/>
      <c r="W18" s="478">
        <f>SUM(R18:V28)</f>
        <v>52615.62</v>
      </c>
      <c r="X18" s="373">
        <v>10737.46</v>
      </c>
      <c r="Y18" s="368">
        <v>91.45</v>
      </c>
      <c r="Z18" s="373">
        <v>70.8</v>
      </c>
      <c r="AA18" s="373">
        <f>SUM(X18:Z28)</f>
        <v>12415.93</v>
      </c>
      <c r="AB18" s="374">
        <v>7.12</v>
      </c>
      <c r="AC18" s="371">
        <f>SUM(AA18*AB18)</f>
        <v>88401.4216</v>
      </c>
      <c r="AD18" s="371">
        <f>SUM(W18+AC18)</f>
        <v>141017.0416</v>
      </c>
      <c r="AE18" s="371">
        <f>SUM(P18-AD18)</f>
        <v>12590.2471292</v>
      </c>
    </row>
    <row r="19" s="264" customFormat="1" ht="12.75" spans="1:31">
      <c r="A19" s="354"/>
      <c r="B19" s="355"/>
      <c r="C19" s="356">
        <v>240828000069</v>
      </c>
      <c r="D19" s="357">
        <v>45539</v>
      </c>
      <c r="E19" s="355" t="s">
        <v>190</v>
      </c>
      <c r="F19" s="355" t="s">
        <v>196</v>
      </c>
      <c r="G19" s="355">
        <v>3.615</v>
      </c>
      <c r="H19" s="355">
        <v>1442</v>
      </c>
      <c r="I19" s="358">
        <v>9176.76</v>
      </c>
      <c r="J19" s="369"/>
      <c r="K19" s="360"/>
      <c r="L19" s="361"/>
      <c r="M19" s="360"/>
      <c r="N19" s="355"/>
      <c r="O19" s="364">
        <f t="shared" ref="O19:O24" si="4">SUBTOTAL(9,I19)</f>
        <v>9176.76</v>
      </c>
      <c r="P19" s="375"/>
      <c r="Q19" s="375"/>
      <c r="R19" s="375"/>
      <c r="S19" s="375"/>
      <c r="T19" s="375"/>
      <c r="U19" s="375"/>
      <c r="V19" s="375"/>
      <c r="W19" s="392"/>
      <c r="X19" s="376"/>
      <c r="Y19" s="368">
        <v>100.29</v>
      </c>
      <c r="Z19" s="376"/>
      <c r="AA19" s="376"/>
      <c r="AB19" s="378"/>
      <c r="AC19" s="375"/>
      <c r="AD19" s="375"/>
      <c r="AE19" s="375"/>
    </row>
    <row r="20" s="264" customFormat="1" ht="12.75" spans="1:31">
      <c r="A20" s="354"/>
      <c r="B20" s="355"/>
      <c r="C20" s="356">
        <v>240819000017</v>
      </c>
      <c r="D20" s="357">
        <v>45516</v>
      </c>
      <c r="E20" s="355" t="s">
        <v>52</v>
      </c>
      <c r="F20" s="355" t="s">
        <v>139</v>
      </c>
      <c r="G20" s="355">
        <v>4.904</v>
      </c>
      <c r="H20" s="355">
        <v>848</v>
      </c>
      <c r="I20" s="358">
        <v>10475</v>
      </c>
      <c r="J20" s="369"/>
      <c r="K20" s="360"/>
      <c r="L20" s="361"/>
      <c r="M20" s="360"/>
      <c r="N20" s="355"/>
      <c r="O20" s="364">
        <f t="shared" si="4"/>
        <v>10475</v>
      </c>
      <c r="P20" s="375"/>
      <c r="Q20" s="375"/>
      <c r="R20" s="375"/>
      <c r="S20" s="375"/>
      <c r="T20" s="375"/>
      <c r="U20" s="375"/>
      <c r="V20" s="375"/>
      <c r="W20" s="392"/>
      <c r="X20" s="376"/>
      <c r="Y20" s="368"/>
      <c r="Z20" s="376"/>
      <c r="AA20" s="376"/>
      <c r="AB20" s="378"/>
      <c r="AC20" s="375"/>
      <c r="AD20" s="375"/>
      <c r="AE20" s="375"/>
    </row>
    <row r="21" s="264" customFormat="1" ht="12.75" spans="1:31">
      <c r="A21" s="354"/>
      <c r="B21" s="355"/>
      <c r="C21" s="356">
        <v>240902000041</v>
      </c>
      <c r="D21" s="357">
        <v>45539</v>
      </c>
      <c r="E21" s="355" t="s">
        <v>42</v>
      </c>
      <c r="F21" s="355" t="s">
        <v>197</v>
      </c>
      <c r="G21" s="355">
        <v>0.5458</v>
      </c>
      <c r="H21" s="355">
        <v>230</v>
      </c>
      <c r="I21" s="364"/>
      <c r="J21" s="370">
        <v>436950</v>
      </c>
      <c r="K21" s="360"/>
      <c r="L21" s="361">
        <f>SUM(J21/M21)</f>
        <v>1779.040013804</v>
      </c>
      <c r="M21" s="362">
        <v>245.60999</v>
      </c>
      <c r="N21" s="355">
        <v>7.08</v>
      </c>
      <c r="O21" s="364">
        <f>SUM(M21*N21)</f>
        <v>1738.9187292</v>
      </c>
      <c r="P21" s="375"/>
      <c r="Q21" s="375"/>
      <c r="R21" s="375"/>
      <c r="S21" s="375"/>
      <c r="T21" s="375"/>
      <c r="U21" s="375"/>
      <c r="V21" s="375"/>
      <c r="W21" s="392"/>
      <c r="X21" s="376"/>
      <c r="Y21" s="368"/>
      <c r="Z21" s="376"/>
      <c r="AA21" s="376"/>
      <c r="AB21" s="378"/>
      <c r="AC21" s="375"/>
      <c r="AD21" s="375"/>
      <c r="AE21" s="375"/>
    </row>
    <row r="22" s="264" customFormat="1" ht="12.75" spans="1:31">
      <c r="A22" s="354"/>
      <c r="B22" s="355"/>
      <c r="C22" s="356">
        <v>240902000057</v>
      </c>
      <c r="D22" s="357">
        <v>45539</v>
      </c>
      <c r="E22" s="355" t="s">
        <v>190</v>
      </c>
      <c r="F22" s="355" t="s">
        <v>198</v>
      </c>
      <c r="G22" s="355">
        <v>0.2102</v>
      </c>
      <c r="H22" s="355">
        <v>74</v>
      </c>
      <c r="I22" s="358">
        <v>573.06</v>
      </c>
      <c r="J22" s="369"/>
      <c r="K22" s="360"/>
      <c r="L22" s="361"/>
      <c r="M22" s="360"/>
      <c r="N22" s="355"/>
      <c r="O22" s="364">
        <f t="shared" si="4"/>
        <v>573.06</v>
      </c>
      <c r="P22" s="375"/>
      <c r="Q22" s="375"/>
      <c r="R22" s="375"/>
      <c r="S22" s="375"/>
      <c r="T22" s="375"/>
      <c r="U22" s="375"/>
      <c r="V22" s="375"/>
      <c r="W22" s="392"/>
      <c r="X22" s="376"/>
      <c r="Y22" s="368"/>
      <c r="Z22" s="376"/>
      <c r="AA22" s="376"/>
      <c r="AB22" s="378"/>
      <c r="AC22" s="375"/>
      <c r="AD22" s="375"/>
      <c r="AE22" s="375"/>
    </row>
    <row r="23" s="264" customFormat="1" ht="12.75" spans="1:31">
      <c r="A23" s="354"/>
      <c r="B23" s="355"/>
      <c r="C23" s="356">
        <v>240903000009</v>
      </c>
      <c r="D23" s="357">
        <v>45539</v>
      </c>
      <c r="E23" s="355" t="s">
        <v>40</v>
      </c>
      <c r="F23" s="355" t="s">
        <v>41</v>
      </c>
      <c r="G23" s="355">
        <v>0.2574</v>
      </c>
      <c r="H23" s="355">
        <v>150</v>
      </c>
      <c r="I23" s="358">
        <v>630.11</v>
      </c>
      <c r="J23" s="369"/>
      <c r="K23" s="360"/>
      <c r="L23" s="361"/>
      <c r="M23" s="360"/>
      <c r="N23" s="355"/>
      <c r="O23" s="364">
        <f t="shared" si="4"/>
        <v>630.11</v>
      </c>
      <c r="P23" s="375"/>
      <c r="Q23" s="375"/>
      <c r="R23" s="375"/>
      <c r="S23" s="375"/>
      <c r="T23" s="375"/>
      <c r="U23" s="375"/>
      <c r="V23" s="375"/>
      <c r="W23" s="392"/>
      <c r="X23" s="376"/>
      <c r="Y23" s="368"/>
      <c r="Z23" s="376"/>
      <c r="AA23" s="376"/>
      <c r="AB23" s="378"/>
      <c r="AC23" s="375"/>
      <c r="AD23" s="375"/>
      <c r="AE23" s="375"/>
    </row>
    <row r="24" s="264" customFormat="1" ht="12.75" spans="1:31">
      <c r="A24" s="354"/>
      <c r="B24" s="355"/>
      <c r="C24" s="356">
        <v>240903000015</v>
      </c>
      <c r="D24" s="357">
        <v>45539</v>
      </c>
      <c r="E24" s="355" t="s">
        <v>42</v>
      </c>
      <c r="F24" s="355" t="s">
        <v>43</v>
      </c>
      <c r="G24" s="355">
        <v>0.42</v>
      </c>
      <c r="H24" s="355">
        <v>62</v>
      </c>
      <c r="I24" s="358">
        <v>959.18</v>
      </c>
      <c r="J24" s="369"/>
      <c r="K24" s="360"/>
      <c r="L24" s="361"/>
      <c r="M24" s="360"/>
      <c r="N24" s="355"/>
      <c r="O24" s="364">
        <f t="shared" si="4"/>
        <v>959.18</v>
      </c>
      <c r="P24" s="375"/>
      <c r="Q24" s="375"/>
      <c r="R24" s="375"/>
      <c r="S24" s="375"/>
      <c r="T24" s="375"/>
      <c r="U24" s="379"/>
      <c r="V24" s="375"/>
      <c r="W24" s="392"/>
      <c r="X24" s="376"/>
      <c r="Y24" s="368"/>
      <c r="Z24" s="376"/>
      <c r="AA24" s="376"/>
      <c r="AB24" s="378"/>
      <c r="AC24" s="375"/>
      <c r="AD24" s="375"/>
      <c r="AE24" s="375"/>
    </row>
    <row r="25" s="264" customFormat="1" ht="12.75" spans="1:31">
      <c r="A25" s="354"/>
      <c r="B25" s="355"/>
      <c r="C25" s="356">
        <v>240902000056</v>
      </c>
      <c r="D25" s="357">
        <v>45547</v>
      </c>
      <c r="E25" s="355" t="s">
        <v>52</v>
      </c>
      <c r="F25" s="355" t="s">
        <v>137</v>
      </c>
      <c r="G25" s="355">
        <v>0.512</v>
      </c>
      <c r="H25" s="355">
        <v>51</v>
      </c>
      <c r="I25" s="364"/>
      <c r="J25" s="370">
        <v>289240</v>
      </c>
      <c r="K25" s="360"/>
      <c r="L25" s="361">
        <f>SUM(J25/M25)</f>
        <v>1752.9696969697</v>
      </c>
      <c r="M25" s="362">
        <v>165</v>
      </c>
      <c r="N25" s="355">
        <v>7.23</v>
      </c>
      <c r="O25" s="364">
        <f>SUM(M25*N25)</f>
        <v>1192.95</v>
      </c>
      <c r="P25" s="375"/>
      <c r="Q25" s="375"/>
      <c r="R25" s="375"/>
      <c r="S25" s="375"/>
      <c r="T25" s="375"/>
      <c r="U25" s="367"/>
      <c r="V25" s="375"/>
      <c r="W25" s="375"/>
      <c r="X25" s="376"/>
      <c r="Y25" s="368"/>
      <c r="Z25" s="376"/>
      <c r="AA25" s="376"/>
      <c r="AB25" s="378"/>
      <c r="AC25" s="375"/>
      <c r="AD25" s="375"/>
      <c r="AE25" s="375"/>
    </row>
    <row r="26" s="264" customFormat="1" ht="12.75" spans="1:31">
      <c r="A26" s="354"/>
      <c r="B26" s="355"/>
      <c r="C26" s="356">
        <v>240813000017</v>
      </c>
      <c r="D26" s="357">
        <v>45539</v>
      </c>
      <c r="E26" s="355" t="s">
        <v>40</v>
      </c>
      <c r="F26" s="355" t="s">
        <v>199</v>
      </c>
      <c r="G26" s="355">
        <v>21.51</v>
      </c>
      <c r="H26" s="355">
        <v>13906</v>
      </c>
      <c r="I26" s="358">
        <v>59293</v>
      </c>
      <c r="J26" s="369"/>
      <c r="K26" s="360"/>
      <c r="L26" s="361"/>
      <c r="M26" s="360"/>
      <c r="N26" s="355"/>
      <c r="O26" s="364">
        <f t="shared" ref="O26:O31" si="5">SUBTOTAL(9,I26)</f>
        <v>59293</v>
      </c>
      <c r="P26" s="379"/>
      <c r="Q26" s="379"/>
      <c r="R26" s="379"/>
      <c r="S26" s="379"/>
      <c r="T26" s="379"/>
      <c r="U26" s="367">
        <v>500</v>
      </c>
      <c r="V26" s="379"/>
      <c r="W26" s="479"/>
      <c r="X26" s="377"/>
      <c r="Y26" s="368">
        <v>1415.93</v>
      </c>
      <c r="Z26" s="377"/>
      <c r="AA26" s="377"/>
      <c r="AB26" s="380"/>
      <c r="AC26" s="379"/>
      <c r="AD26" s="379"/>
      <c r="AE26" s="379"/>
    </row>
    <row r="27" s="264" customFormat="1" ht="12.75" spans="1:31">
      <c r="A27" s="354"/>
      <c r="B27" s="355"/>
      <c r="C27" s="356">
        <v>240828000061</v>
      </c>
      <c r="D27" s="357">
        <v>45539</v>
      </c>
      <c r="E27" s="355" t="s">
        <v>40</v>
      </c>
      <c r="F27" s="355" t="s">
        <v>62</v>
      </c>
      <c r="G27" s="355">
        <v>2.6171</v>
      </c>
      <c r="H27" s="355">
        <v>719.5</v>
      </c>
      <c r="I27" s="358">
        <v>5838</v>
      </c>
      <c r="J27" s="369"/>
      <c r="K27" s="360"/>
      <c r="L27" s="361"/>
      <c r="M27" s="360"/>
      <c r="N27" s="355"/>
      <c r="O27" s="364">
        <f t="shared" si="5"/>
        <v>5838</v>
      </c>
      <c r="P27" s="379"/>
      <c r="Q27" s="379"/>
      <c r="R27" s="379"/>
      <c r="S27" s="379"/>
      <c r="T27" s="379"/>
      <c r="U27" s="371"/>
      <c r="V27" s="379"/>
      <c r="W27" s="479"/>
      <c r="X27" s="377"/>
      <c r="Y27" s="368"/>
      <c r="Z27" s="377"/>
      <c r="AA27" s="377"/>
      <c r="AB27" s="380"/>
      <c r="AC27" s="379"/>
      <c r="AD27" s="379"/>
      <c r="AE27" s="379"/>
    </row>
    <row r="28" s="264" customFormat="1" ht="12.75" spans="1:31">
      <c r="A28" s="354"/>
      <c r="B28" s="355"/>
      <c r="C28" s="356">
        <v>240904000002</v>
      </c>
      <c r="D28" s="357">
        <v>45539</v>
      </c>
      <c r="E28" s="355" t="s">
        <v>40</v>
      </c>
      <c r="F28" s="355" t="s">
        <v>59</v>
      </c>
      <c r="G28" s="355">
        <v>30.96</v>
      </c>
      <c r="H28" s="355">
        <v>3682.5</v>
      </c>
      <c r="I28" s="358">
        <v>48967.52</v>
      </c>
      <c r="J28" s="369"/>
      <c r="K28" s="360"/>
      <c r="L28" s="361"/>
      <c r="M28" s="362"/>
      <c r="N28" s="355"/>
      <c r="O28" s="364">
        <f t="shared" si="5"/>
        <v>48967.52</v>
      </c>
      <c r="P28" s="379"/>
      <c r="Q28" s="379"/>
      <c r="R28" s="379"/>
      <c r="S28" s="379"/>
      <c r="T28" s="379"/>
      <c r="U28" s="379"/>
      <c r="V28" s="379"/>
      <c r="W28" s="479"/>
      <c r="X28" s="377"/>
      <c r="Y28" s="368"/>
      <c r="Z28" s="377"/>
      <c r="AA28" s="377"/>
      <c r="AB28" s="380"/>
      <c r="AC28" s="379"/>
      <c r="AD28" s="379"/>
      <c r="AE28" s="379"/>
    </row>
    <row r="29" s="264" customFormat="1" ht="12.75" spans="1:31">
      <c r="A29" s="354" t="s">
        <v>200</v>
      </c>
      <c r="B29" s="355" t="s">
        <v>201</v>
      </c>
      <c r="C29" s="356">
        <v>240726000055</v>
      </c>
      <c r="D29" s="357">
        <v>45547</v>
      </c>
      <c r="E29" s="355" t="s">
        <v>40</v>
      </c>
      <c r="F29" s="355" t="s">
        <v>134</v>
      </c>
      <c r="G29" s="355">
        <v>5.09</v>
      </c>
      <c r="H29" s="355">
        <v>677</v>
      </c>
      <c r="I29" s="358">
        <v>13067</v>
      </c>
      <c r="J29" s="369"/>
      <c r="K29" s="360"/>
      <c r="L29" s="361"/>
      <c r="M29" s="360"/>
      <c r="N29" s="355"/>
      <c r="O29" s="364">
        <f t="shared" si="5"/>
        <v>13067</v>
      </c>
      <c r="P29" s="371">
        <f>SUM(O29:O53)</f>
        <v>158115.1681396</v>
      </c>
      <c r="Q29" s="372" t="s">
        <v>202</v>
      </c>
      <c r="R29" s="371">
        <v>44738</v>
      </c>
      <c r="S29" s="371"/>
      <c r="T29" s="371">
        <v>1300</v>
      </c>
      <c r="U29" s="367"/>
      <c r="V29" s="371"/>
      <c r="W29" s="371">
        <f>SUM(R29:V53)</f>
        <v>46618</v>
      </c>
      <c r="X29" s="373">
        <v>10737.46</v>
      </c>
      <c r="Y29" s="368">
        <v>47.2</v>
      </c>
      <c r="Z29" s="373"/>
      <c r="AA29" s="373">
        <f>SUM(X29:Z53)</f>
        <v>10791.72</v>
      </c>
      <c r="AB29" s="374">
        <v>7.12</v>
      </c>
      <c r="AC29" s="371">
        <f>SUM(AA29*AB29)</f>
        <v>76837.0464</v>
      </c>
      <c r="AD29" s="371">
        <f>SUM(W29+AC29)</f>
        <v>123455.0464</v>
      </c>
      <c r="AE29" s="371">
        <f>SUM(P29-AD29)</f>
        <v>34660.1217396</v>
      </c>
    </row>
    <row r="30" s="264" customFormat="1" ht="12.75" spans="1:31">
      <c r="A30" s="354"/>
      <c r="B30" s="355"/>
      <c r="C30" s="356">
        <v>240813000017</v>
      </c>
      <c r="D30" s="357">
        <v>45547</v>
      </c>
      <c r="E30" s="355" t="s">
        <v>40</v>
      </c>
      <c r="F30" s="355" t="s">
        <v>199</v>
      </c>
      <c r="G30" s="355">
        <v>2.1368</v>
      </c>
      <c r="H30" s="355">
        <v>256</v>
      </c>
      <c r="I30" s="358">
        <v>5889</v>
      </c>
      <c r="J30" s="369"/>
      <c r="K30" s="360"/>
      <c r="L30" s="361"/>
      <c r="M30" s="360"/>
      <c r="N30" s="355"/>
      <c r="O30" s="364">
        <f t="shared" si="5"/>
        <v>5889</v>
      </c>
      <c r="P30" s="375"/>
      <c r="Q30" s="375"/>
      <c r="R30" s="375"/>
      <c r="S30" s="375"/>
      <c r="T30" s="375"/>
      <c r="U30" s="367"/>
      <c r="V30" s="375"/>
      <c r="W30" s="375"/>
      <c r="X30" s="376"/>
      <c r="Y30" s="368"/>
      <c r="Z30" s="376"/>
      <c r="AA30" s="376"/>
      <c r="AB30" s="378"/>
      <c r="AC30" s="375"/>
      <c r="AD30" s="375"/>
      <c r="AE30" s="375"/>
    </row>
    <row r="31" s="264" customFormat="1" ht="12.75" spans="1:31">
      <c r="A31" s="354"/>
      <c r="B31" s="355"/>
      <c r="C31" s="356">
        <v>240902000015</v>
      </c>
      <c r="D31" s="357">
        <v>45547</v>
      </c>
      <c r="E31" s="355" t="s">
        <v>49</v>
      </c>
      <c r="F31" s="355" t="s">
        <v>203</v>
      </c>
      <c r="G31" s="355">
        <v>3.028</v>
      </c>
      <c r="H31" s="355">
        <v>338</v>
      </c>
      <c r="I31" s="358">
        <v>7000</v>
      </c>
      <c r="J31" s="369"/>
      <c r="K31" s="360"/>
      <c r="L31" s="361"/>
      <c r="M31" s="360"/>
      <c r="N31" s="355"/>
      <c r="O31" s="364">
        <f t="shared" si="5"/>
        <v>7000</v>
      </c>
      <c r="P31" s="375"/>
      <c r="Q31" s="375"/>
      <c r="R31" s="375"/>
      <c r="S31" s="375"/>
      <c r="T31" s="375"/>
      <c r="U31" s="367"/>
      <c r="V31" s="375"/>
      <c r="W31" s="375"/>
      <c r="X31" s="376"/>
      <c r="Y31" s="368"/>
      <c r="Z31" s="376"/>
      <c r="AA31" s="376"/>
      <c r="AB31" s="378"/>
      <c r="AC31" s="375"/>
      <c r="AD31" s="375"/>
      <c r="AE31" s="375"/>
    </row>
    <row r="32" s="264" customFormat="1" ht="12.75" spans="1:31">
      <c r="A32" s="354"/>
      <c r="B32" s="355"/>
      <c r="C32" s="356">
        <v>240902000056</v>
      </c>
      <c r="D32" s="357">
        <v>45547</v>
      </c>
      <c r="E32" s="355" t="s">
        <v>52</v>
      </c>
      <c r="F32" s="355" t="s">
        <v>137</v>
      </c>
      <c r="G32" s="355">
        <v>3.078</v>
      </c>
      <c r="H32" s="355">
        <v>521</v>
      </c>
      <c r="I32" s="364"/>
      <c r="J32" s="370">
        <v>1738835</v>
      </c>
      <c r="K32" s="360"/>
      <c r="L32" s="361">
        <f t="shared" ref="L32:L35" si="6">SUM(J32/M32)</f>
        <v>1754.43189958733</v>
      </c>
      <c r="M32" s="362">
        <v>991.11</v>
      </c>
      <c r="N32" s="355">
        <v>7.23</v>
      </c>
      <c r="O32" s="364">
        <f>SUM(M32*N32)</f>
        <v>7165.7253</v>
      </c>
      <c r="P32" s="375"/>
      <c r="Q32" s="375"/>
      <c r="R32" s="375"/>
      <c r="S32" s="375"/>
      <c r="T32" s="375"/>
      <c r="U32" s="367">
        <v>580</v>
      </c>
      <c r="V32" s="375"/>
      <c r="W32" s="375"/>
      <c r="X32" s="376"/>
      <c r="Y32" s="368"/>
      <c r="Z32" s="376"/>
      <c r="AA32" s="376"/>
      <c r="AB32" s="378"/>
      <c r="AC32" s="375"/>
      <c r="AD32" s="375"/>
      <c r="AE32" s="375"/>
    </row>
    <row r="33" s="264" customFormat="1" ht="12.75" spans="1:31">
      <c r="A33" s="354"/>
      <c r="B33" s="355"/>
      <c r="C33" s="356">
        <v>240904000027</v>
      </c>
      <c r="D33" s="357">
        <v>45547</v>
      </c>
      <c r="E33" s="355" t="s">
        <v>49</v>
      </c>
      <c r="F33" s="355" t="s">
        <v>140</v>
      </c>
      <c r="G33" s="355">
        <v>0.0074</v>
      </c>
      <c r="H33" s="355">
        <v>6</v>
      </c>
      <c r="I33" s="364"/>
      <c r="J33" s="370">
        <v>7260</v>
      </c>
      <c r="K33" s="360"/>
      <c r="L33" s="361">
        <f t="shared" si="6"/>
        <v>2261.68224299065</v>
      </c>
      <c r="M33" s="362">
        <v>3.21</v>
      </c>
      <c r="N33" s="355">
        <v>7.12</v>
      </c>
      <c r="O33" s="364">
        <v>22.9</v>
      </c>
      <c r="P33" s="375"/>
      <c r="Q33" s="375"/>
      <c r="R33" s="375"/>
      <c r="S33" s="375"/>
      <c r="T33" s="375"/>
      <c r="U33" s="371"/>
      <c r="V33" s="375"/>
      <c r="W33" s="375"/>
      <c r="X33" s="376"/>
      <c r="Y33" s="368"/>
      <c r="Z33" s="376"/>
      <c r="AA33" s="376"/>
      <c r="AB33" s="378"/>
      <c r="AC33" s="375"/>
      <c r="AD33" s="375"/>
      <c r="AE33" s="375"/>
    </row>
    <row r="34" s="264" customFormat="1" ht="12.75" spans="1:31">
      <c r="A34" s="354"/>
      <c r="B34" s="355"/>
      <c r="C34" s="356">
        <v>240904000032</v>
      </c>
      <c r="D34" s="357">
        <v>45547</v>
      </c>
      <c r="E34" s="355" t="s">
        <v>49</v>
      </c>
      <c r="F34" s="355" t="s">
        <v>204</v>
      </c>
      <c r="G34" s="355">
        <v>2.736</v>
      </c>
      <c r="H34" s="355">
        <v>1216</v>
      </c>
      <c r="I34" s="358">
        <v>5623</v>
      </c>
      <c r="J34" s="369"/>
      <c r="K34" s="360"/>
      <c r="L34" s="361"/>
      <c r="M34" s="360"/>
      <c r="N34" s="355"/>
      <c r="O34" s="364">
        <f t="shared" ref="O34:O39" si="7">SUBTOTAL(9,I34)</f>
        <v>5623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68"/>
      <c r="Z34" s="376"/>
      <c r="AA34" s="376"/>
      <c r="AB34" s="378"/>
      <c r="AC34" s="375"/>
      <c r="AD34" s="375"/>
      <c r="AE34" s="375"/>
    </row>
    <row r="35" s="264" customFormat="1" ht="12.75" spans="1:31">
      <c r="A35" s="354"/>
      <c r="B35" s="355"/>
      <c r="C35" s="356">
        <v>240904000040</v>
      </c>
      <c r="D35" s="357">
        <v>45547</v>
      </c>
      <c r="E35" s="355" t="s">
        <v>42</v>
      </c>
      <c r="F35" s="355" t="s">
        <v>61</v>
      </c>
      <c r="G35" s="355">
        <v>1.449</v>
      </c>
      <c r="H35" s="355">
        <v>227</v>
      </c>
      <c r="I35" s="364"/>
      <c r="J35" s="370">
        <v>761250</v>
      </c>
      <c r="K35" s="360"/>
      <c r="L35" s="361">
        <f t="shared" si="6"/>
        <v>1751.19516050402</v>
      </c>
      <c r="M35" s="362">
        <v>434.70312</v>
      </c>
      <c r="N35" s="355">
        <v>7.08</v>
      </c>
      <c r="O35" s="364">
        <f>SUM(M35*N35)</f>
        <v>3077.6980896</v>
      </c>
      <c r="P35" s="375"/>
      <c r="Q35" s="375"/>
      <c r="R35" s="375"/>
      <c r="S35" s="375"/>
      <c r="T35" s="375"/>
      <c r="U35" s="375"/>
      <c r="V35" s="375"/>
      <c r="W35" s="375"/>
      <c r="X35" s="376"/>
      <c r="Y35" s="368"/>
      <c r="Z35" s="376"/>
      <c r="AA35" s="376"/>
      <c r="AB35" s="378"/>
      <c r="AC35" s="375"/>
      <c r="AD35" s="375"/>
      <c r="AE35" s="375"/>
    </row>
    <row r="36" s="264" customFormat="1" ht="12.75" spans="1:31">
      <c r="A36" s="354"/>
      <c r="B36" s="355"/>
      <c r="C36" s="356">
        <v>240828000061</v>
      </c>
      <c r="D36" s="357">
        <v>45539</v>
      </c>
      <c r="E36" s="355" t="s">
        <v>40</v>
      </c>
      <c r="F36" s="355" t="s">
        <v>62</v>
      </c>
      <c r="G36" s="355">
        <v>5.2294</v>
      </c>
      <c r="H36" s="355">
        <v>555</v>
      </c>
      <c r="I36" s="358">
        <v>11683.3</v>
      </c>
      <c r="J36" s="369"/>
      <c r="K36" s="360"/>
      <c r="L36" s="361"/>
      <c r="M36" s="495"/>
      <c r="N36" s="355"/>
      <c r="O36" s="364">
        <f t="shared" si="7"/>
        <v>11683.3</v>
      </c>
      <c r="P36" s="379"/>
      <c r="Q36" s="379"/>
      <c r="R36" s="379"/>
      <c r="S36" s="379"/>
      <c r="T36" s="379"/>
      <c r="U36" s="375"/>
      <c r="V36" s="379"/>
      <c r="W36" s="479"/>
      <c r="X36" s="377"/>
      <c r="Y36" s="368"/>
      <c r="Z36" s="377"/>
      <c r="AA36" s="377"/>
      <c r="AB36" s="380"/>
      <c r="AC36" s="379"/>
      <c r="AD36" s="379"/>
      <c r="AE36" s="379"/>
    </row>
    <row r="37" s="264" customFormat="1" ht="12.75" spans="1:31">
      <c r="A37" s="354"/>
      <c r="B37" s="355"/>
      <c r="C37" s="356">
        <v>240905000026</v>
      </c>
      <c r="D37" s="357">
        <v>45547</v>
      </c>
      <c r="E37" s="355" t="s">
        <v>190</v>
      </c>
      <c r="F37" s="355" t="s">
        <v>196</v>
      </c>
      <c r="G37" s="394">
        <v>6.2</v>
      </c>
      <c r="H37" s="355">
        <v>4920</v>
      </c>
      <c r="I37" s="358">
        <v>14483.2</v>
      </c>
      <c r="J37" s="369"/>
      <c r="K37" s="360"/>
      <c r="L37" s="361"/>
      <c r="M37" s="360"/>
      <c r="N37" s="355"/>
      <c r="O37" s="364">
        <f t="shared" si="7"/>
        <v>14483.2</v>
      </c>
      <c r="P37" s="375"/>
      <c r="Q37" s="375"/>
      <c r="R37" s="375"/>
      <c r="S37" s="375"/>
      <c r="T37" s="375"/>
      <c r="U37" s="375"/>
      <c r="V37" s="375"/>
      <c r="W37" s="375"/>
      <c r="X37" s="376"/>
      <c r="Y37" s="368"/>
      <c r="Z37" s="376"/>
      <c r="AA37" s="376"/>
      <c r="AB37" s="378"/>
      <c r="AC37" s="375"/>
      <c r="AD37" s="375"/>
      <c r="AE37" s="375"/>
    </row>
    <row r="38" s="264" customFormat="1" ht="12.75" spans="1:31">
      <c r="A38" s="354"/>
      <c r="B38" s="355"/>
      <c r="C38" s="356">
        <v>240905000027</v>
      </c>
      <c r="D38" s="357">
        <v>45547</v>
      </c>
      <c r="E38" s="355" t="s">
        <v>190</v>
      </c>
      <c r="F38" s="355" t="s">
        <v>191</v>
      </c>
      <c r="G38" s="355">
        <v>0.3485</v>
      </c>
      <c r="H38" s="355">
        <v>70</v>
      </c>
      <c r="I38" s="358">
        <v>686.93</v>
      </c>
      <c r="J38" s="369"/>
      <c r="K38" s="360"/>
      <c r="L38" s="361"/>
      <c r="M38" s="360"/>
      <c r="N38" s="355"/>
      <c r="O38" s="364">
        <f t="shared" si="7"/>
        <v>686.93</v>
      </c>
      <c r="P38" s="375"/>
      <c r="Q38" s="375"/>
      <c r="R38" s="375"/>
      <c r="S38" s="375"/>
      <c r="T38" s="375"/>
      <c r="U38" s="375"/>
      <c r="V38" s="375"/>
      <c r="W38" s="375"/>
      <c r="X38" s="376"/>
      <c r="Y38" s="368"/>
      <c r="Z38" s="376"/>
      <c r="AA38" s="376"/>
      <c r="AB38" s="378"/>
      <c r="AC38" s="375"/>
      <c r="AD38" s="375"/>
      <c r="AE38" s="375"/>
    </row>
    <row r="39" s="264" customFormat="1" ht="12.75" spans="1:31">
      <c r="A39" s="354"/>
      <c r="B39" s="355"/>
      <c r="C39" s="356">
        <v>240905000028</v>
      </c>
      <c r="D39" s="357">
        <v>45547</v>
      </c>
      <c r="E39" s="355" t="s">
        <v>49</v>
      </c>
      <c r="F39" s="355" t="s">
        <v>204</v>
      </c>
      <c r="G39" s="355">
        <v>2.499</v>
      </c>
      <c r="H39" s="355">
        <v>970</v>
      </c>
      <c r="I39" s="358">
        <v>5265</v>
      </c>
      <c r="J39" s="369"/>
      <c r="K39" s="360"/>
      <c r="L39" s="361"/>
      <c r="M39" s="360"/>
      <c r="N39" s="355"/>
      <c r="O39" s="364">
        <f t="shared" si="7"/>
        <v>5265</v>
      </c>
      <c r="P39" s="375"/>
      <c r="Q39" s="375"/>
      <c r="R39" s="375"/>
      <c r="S39" s="375"/>
      <c r="T39" s="375"/>
      <c r="U39" s="375"/>
      <c r="V39" s="375"/>
      <c r="W39" s="375"/>
      <c r="X39" s="376"/>
      <c r="Y39" s="368"/>
      <c r="Z39" s="376"/>
      <c r="AA39" s="376"/>
      <c r="AB39" s="378"/>
      <c r="AC39" s="375"/>
      <c r="AD39" s="375"/>
      <c r="AE39" s="375"/>
    </row>
    <row r="40" s="264" customFormat="1" ht="12.75" spans="1:31">
      <c r="A40" s="354"/>
      <c r="B40" s="355"/>
      <c r="C40" s="356">
        <v>240905000029</v>
      </c>
      <c r="D40" s="357">
        <v>45547</v>
      </c>
      <c r="E40" s="355" t="s">
        <v>49</v>
      </c>
      <c r="F40" s="355" t="s">
        <v>140</v>
      </c>
      <c r="G40" s="355">
        <v>0.0359</v>
      </c>
      <c r="H40" s="355">
        <v>12</v>
      </c>
      <c r="I40" s="364"/>
      <c r="J40" s="370">
        <v>63180</v>
      </c>
      <c r="K40" s="360"/>
      <c r="L40" s="361">
        <f t="shared" ref="L40:L43" si="8">SUM(J40/M40)</f>
        <v>1730.48479868529</v>
      </c>
      <c r="M40" s="362">
        <v>36.51</v>
      </c>
      <c r="N40" s="355">
        <v>7.12</v>
      </c>
      <c r="O40" s="364">
        <f t="shared" ref="O40:O43" si="9">SUM(M40*N40)</f>
        <v>259.9512</v>
      </c>
      <c r="P40" s="375"/>
      <c r="Q40" s="375"/>
      <c r="R40" s="375"/>
      <c r="S40" s="375"/>
      <c r="T40" s="375"/>
      <c r="U40" s="375"/>
      <c r="V40" s="375"/>
      <c r="W40" s="375"/>
      <c r="X40" s="376"/>
      <c r="Y40" s="368">
        <v>7.06</v>
      </c>
      <c r="Z40" s="376"/>
      <c r="AA40" s="376"/>
      <c r="AB40" s="378"/>
      <c r="AC40" s="375"/>
      <c r="AD40" s="375"/>
      <c r="AE40" s="375"/>
    </row>
    <row r="41" s="264" customFormat="1" ht="12.75" spans="1:31">
      <c r="A41" s="354"/>
      <c r="B41" s="355"/>
      <c r="C41" s="356">
        <v>240905000039</v>
      </c>
      <c r="D41" s="357">
        <v>45547</v>
      </c>
      <c r="E41" s="355" t="s">
        <v>52</v>
      </c>
      <c r="F41" s="355" t="s">
        <v>205</v>
      </c>
      <c r="G41" s="355">
        <v>1.0166</v>
      </c>
      <c r="H41" s="355">
        <v>193</v>
      </c>
      <c r="I41" s="364"/>
      <c r="J41" s="370">
        <v>466616</v>
      </c>
      <c r="K41" s="360"/>
      <c r="L41" s="361">
        <f t="shared" si="8"/>
        <v>1700</v>
      </c>
      <c r="M41" s="362">
        <v>274.48</v>
      </c>
      <c r="N41" s="355">
        <v>7.27</v>
      </c>
      <c r="O41" s="364">
        <f t="shared" si="9"/>
        <v>1995.4696</v>
      </c>
      <c r="P41" s="375"/>
      <c r="Q41" s="375"/>
      <c r="R41" s="375"/>
      <c r="S41" s="375"/>
      <c r="T41" s="375"/>
      <c r="U41" s="375"/>
      <c r="V41" s="375"/>
      <c r="W41" s="375"/>
      <c r="X41" s="376"/>
      <c r="Y41" s="368"/>
      <c r="Z41" s="376"/>
      <c r="AA41" s="376"/>
      <c r="AB41" s="378"/>
      <c r="AC41" s="375"/>
      <c r="AD41" s="375"/>
      <c r="AE41" s="375"/>
    </row>
    <row r="42" s="264" customFormat="1" ht="12.75" spans="1:31">
      <c r="A42" s="354"/>
      <c r="B42" s="355"/>
      <c r="C42" s="356">
        <v>240816000024</v>
      </c>
      <c r="D42" s="357">
        <v>45554</v>
      </c>
      <c r="E42" s="355" t="s">
        <v>49</v>
      </c>
      <c r="F42" s="355" t="s">
        <v>86</v>
      </c>
      <c r="G42" s="355">
        <v>22.5</v>
      </c>
      <c r="H42" s="355">
        <v>11357</v>
      </c>
      <c r="I42" s="358">
        <v>51447.45</v>
      </c>
      <c r="J42" s="369"/>
      <c r="K42" s="362"/>
      <c r="L42" s="361"/>
      <c r="M42" s="362"/>
      <c r="N42" s="355"/>
      <c r="O42" s="364">
        <f t="shared" ref="O42:O46" si="10">SUBTOTAL(9,I42)</f>
        <v>51447.45</v>
      </c>
      <c r="P42" s="371"/>
      <c r="Q42" s="371"/>
      <c r="R42" s="371"/>
      <c r="S42" s="371"/>
      <c r="T42" s="371"/>
      <c r="U42" s="375"/>
      <c r="V42" s="371"/>
      <c r="W42" s="371"/>
      <c r="X42" s="373"/>
      <c r="Y42" s="368"/>
      <c r="Z42" s="373"/>
      <c r="AA42" s="373"/>
      <c r="AB42" s="374"/>
      <c r="AC42" s="371"/>
      <c r="AD42" s="371"/>
      <c r="AE42" s="371"/>
    </row>
    <row r="43" s="264" customFormat="1" ht="12.75" spans="1:31">
      <c r="A43" s="354"/>
      <c r="B43" s="355"/>
      <c r="C43" s="356">
        <v>240906000030</v>
      </c>
      <c r="D43" s="357">
        <v>45547</v>
      </c>
      <c r="E43" s="355" t="s">
        <v>189</v>
      </c>
      <c r="F43" s="355" t="s">
        <v>111</v>
      </c>
      <c r="G43" s="355">
        <v>1.934</v>
      </c>
      <c r="H43" s="355">
        <v>395</v>
      </c>
      <c r="I43" s="364"/>
      <c r="J43" s="369"/>
      <c r="K43" s="362">
        <v>580.5</v>
      </c>
      <c r="L43" s="361">
        <f t="shared" si="8"/>
        <v>0</v>
      </c>
      <c r="M43" s="362">
        <v>580.5</v>
      </c>
      <c r="N43" s="355">
        <v>7.08</v>
      </c>
      <c r="O43" s="364">
        <f t="shared" si="9"/>
        <v>4109.94</v>
      </c>
      <c r="P43" s="375"/>
      <c r="Q43" s="375"/>
      <c r="R43" s="375"/>
      <c r="S43" s="375"/>
      <c r="T43" s="375"/>
      <c r="U43" s="375"/>
      <c r="V43" s="375"/>
      <c r="W43" s="375"/>
      <c r="X43" s="376"/>
      <c r="Y43" s="368"/>
      <c r="Z43" s="376"/>
      <c r="AA43" s="376"/>
      <c r="AB43" s="378"/>
      <c r="AC43" s="375"/>
      <c r="AD43" s="375"/>
      <c r="AE43" s="375"/>
    </row>
    <row r="44" s="264" customFormat="1" ht="12.75" spans="1:31">
      <c r="A44" s="354"/>
      <c r="B44" s="355"/>
      <c r="C44" s="356">
        <v>240906000035</v>
      </c>
      <c r="D44" s="357">
        <v>45547</v>
      </c>
      <c r="E44" s="355" t="s">
        <v>49</v>
      </c>
      <c r="F44" s="355" t="s">
        <v>206</v>
      </c>
      <c r="G44" s="355">
        <v>2.343</v>
      </c>
      <c r="H44" s="355">
        <v>480</v>
      </c>
      <c r="I44" s="358">
        <v>5181.75</v>
      </c>
      <c r="J44" s="369"/>
      <c r="K44" s="360"/>
      <c r="L44" s="361"/>
      <c r="M44" s="360"/>
      <c r="N44" s="355"/>
      <c r="O44" s="364">
        <f t="shared" si="10"/>
        <v>5181.75</v>
      </c>
      <c r="P44" s="375"/>
      <c r="Q44" s="375"/>
      <c r="R44" s="375"/>
      <c r="S44" s="375"/>
      <c r="T44" s="375"/>
      <c r="U44" s="375"/>
      <c r="V44" s="375"/>
      <c r="W44" s="375"/>
      <c r="X44" s="376"/>
      <c r="Y44" s="368"/>
      <c r="Z44" s="376"/>
      <c r="AA44" s="376"/>
      <c r="AB44" s="378"/>
      <c r="AC44" s="375"/>
      <c r="AD44" s="375"/>
      <c r="AE44" s="375"/>
    </row>
    <row r="45" s="264" customFormat="1" ht="12.75" spans="1:31">
      <c r="A45" s="354"/>
      <c r="B45" s="355"/>
      <c r="C45" s="356">
        <v>240906000040</v>
      </c>
      <c r="D45" s="357">
        <v>45547</v>
      </c>
      <c r="E45" s="355" t="s">
        <v>190</v>
      </c>
      <c r="F45" s="355" t="s">
        <v>207</v>
      </c>
      <c r="G45" s="355">
        <v>0.714</v>
      </c>
      <c r="H45" s="355">
        <v>240</v>
      </c>
      <c r="I45" s="358">
        <v>1563.66</v>
      </c>
      <c r="J45" s="369"/>
      <c r="K45" s="360"/>
      <c r="L45" s="361"/>
      <c r="M45" s="360"/>
      <c r="N45" s="355"/>
      <c r="O45" s="364">
        <f t="shared" si="10"/>
        <v>1563.66</v>
      </c>
      <c r="P45" s="375"/>
      <c r="Q45" s="375"/>
      <c r="R45" s="375"/>
      <c r="S45" s="375"/>
      <c r="T45" s="375"/>
      <c r="U45" s="375"/>
      <c r="V45" s="375"/>
      <c r="W45" s="375"/>
      <c r="X45" s="376"/>
      <c r="Y45" s="368"/>
      <c r="Z45" s="376"/>
      <c r="AA45" s="376"/>
      <c r="AB45" s="378"/>
      <c r="AC45" s="375"/>
      <c r="AD45" s="375"/>
      <c r="AE45" s="375"/>
    </row>
    <row r="46" s="264" customFormat="1" ht="12.75" spans="1:31">
      <c r="A46" s="354"/>
      <c r="B46" s="355"/>
      <c r="C46" s="356">
        <v>240908000020</v>
      </c>
      <c r="D46" s="357">
        <v>45547</v>
      </c>
      <c r="E46" s="355" t="s">
        <v>40</v>
      </c>
      <c r="F46" s="355" t="s">
        <v>41</v>
      </c>
      <c r="G46" s="355">
        <v>0.164</v>
      </c>
      <c r="H46" s="355">
        <v>156</v>
      </c>
      <c r="I46" s="358">
        <v>569.4</v>
      </c>
      <c r="J46" s="369"/>
      <c r="K46" s="360"/>
      <c r="L46" s="361"/>
      <c r="M46" s="360"/>
      <c r="N46" s="355"/>
      <c r="O46" s="364">
        <f t="shared" si="10"/>
        <v>569.4</v>
      </c>
      <c r="P46" s="375"/>
      <c r="Q46" s="375"/>
      <c r="R46" s="375"/>
      <c r="S46" s="375"/>
      <c r="T46" s="375"/>
      <c r="U46" s="375"/>
      <c r="V46" s="375"/>
      <c r="W46" s="375"/>
      <c r="X46" s="376"/>
      <c r="Y46" s="368"/>
      <c r="Z46" s="376"/>
      <c r="AA46" s="376"/>
      <c r="AB46" s="378"/>
      <c r="AC46" s="375"/>
      <c r="AD46" s="375"/>
      <c r="AE46" s="375"/>
    </row>
    <row r="47" s="264" customFormat="1" ht="12.75" spans="1:31">
      <c r="A47" s="354"/>
      <c r="B47" s="355"/>
      <c r="C47" s="356">
        <v>240909000018</v>
      </c>
      <c r="D47" s="357">
        <v>45547</v>
      </c>
      <c r="E47" s="355" t="s">
        <v>119</v>
      </c>
      <c r="F47" s="355" t="s">
        <v>167</v>
      </c>
      <c r="G47" s="355">
        <v>0.42</v>
      </c>
      <c r="H47" s="355">
        <v>106</v>
      </c>
      <c r="I47" s="358">
        <v>500</v>
      </c>
      <c r="J47" s="370">
        <v>214855</v>
      </c>
      <c r="K47" s="360"/>
      <c r="L47" s="361">
        <f t="shared" ref="L47:L51" si="11">SUM(J47/M47)</f>
        <v>1802.62605923316</v>
      </c>
      <c r="M47" s="362">
        <v>119.19</v>
      </c>
      <c r="N47" s="355">
        <v>7.08</v>
      </c>
      <c r="O47" s="364">
        <f>SUM(M47*N47)+I47</f>
        <v>1343.8652</v>
      </c>
      <c r="P47" s="375"/>
      <c r="Q47" s="375"/>
      <c r="R47" s="375"/>
      <c r="S47" s="375"/>
      <c r="T47" s="375"/>
      <c r="U47" s="375"/>
      <c r="V47" s="375"/>
      <c r="W47" s="375"/>
      <c r="X47" s="376"/>
      <c r="Y47" s="368"/>
      <c r="Z47" s="376"/>
      <c r="AA47" s="376"/>
      <c r="AB47" s="378"/>
      <c r="AC47" s="375"/>
      <c r="AD47" s="375"/>
      <c r="AE47" s="375"/>
    </row>
    <row r="48" s="264" customFormat="1" ht="12.75" spans="1:31">
      <c r="A48" s="354"/>
      <c r="B48" s="355"/>
      <c r="C48" s="356">
        <v>240909000038</v>
      </c>
      <c r="D48" s="357">
        <v>45547</v>
      </c>
      <c r="E48" s="355" t="s">
        <v>42</v>
      </c>
      <c r="F48" s="355" t="s">
        <v>181</v>
      </c>
      <c r="G48" s="355">
        <v>0.577</v>
      </c>
      <c r="H48" s="355">
        <v>154</v>
      </c>
      <c r="I48" s="364"/>
      <c r="J48" s="370">
        <v>305348.4</v>
      </c>
      <c r="K48" s="360"/>
      <c r="L48" s="361">
        <f t="shared" si="11"/>
        <v>1762.79069096157</v>
      </c>
      <c r="M48" s="362">
        <v>173.21875</v>
      </c>
      <c r="N48" s="355">
        <v>7.08</v>
      </c>
      <c r="O48" s="364">
        <f>SUM(M48*N48)</f>
        <v>1226.38875</v>
      </c>
      <c r="P48" s="375"/>
      <c r="Q48" s="375"/>
      <c r="R48" s="375"/>
      <c r="S48" s="375"/>
      <c r="T48" s="375"/>
      <c r="U48" s="375"/>
      <c r="V48" s="375"/>
      <c r="W48" s="375"/>
      <c r="X48" s="376"/>
      <c r="Y48" s="368"/>
      <c r="Z48" s="376"/>
      <c r="AA48" s="376"/>
      <c r="AB48" s="378"/>
      <c r="AC48" s="375"/>
      <c r="AD48" s="375"/>
      <c r="AE48" s="375"/>
    </row>
    <row r="49" s="264" customFormat="1" ht="12.75" spans="1:31">
      <c r="A49" s="354"/>
      <c r="B49" s="355"/>
      <c r="C49" s="356">
        <v>240909000047</v>
      </c>
      <c r="D49" s="357">
        <v>45547</v>
      </c>
      <c r="E49" s="355" t="s">
        <v>49</v>
      </c>
      <c r="F49" s="355" t="s">
        <v>204</v>
      </c>
      <c r="G49" s="355">
        <v>2.709</v>
      </c>
      <c r="H49" s="355">
        <v>1034</v>
      </c>
      <c r="I49" s="358">
        <v>5562</v>
      </c>
      <c r="J49" s="369"/>
      <c r="K49" s="360"/>
      <c r="L49" s="361"/>
      <c r="M49" s="360"/>
      <c r="N49" s="355"/>
      <c r="O49" s="364">
        <f>SUM(I49)</f>
        <v>5562</v>
      </c>
      <c r="P49" s="375"/>
      <c r="Q49" s="375"/>
      <c r="R49" s="375"/>
      <c r="S49" s="375"/>
      <c r="T49" s="375"/>
      <c r="U49" s="375"/>
      <c r="V49" s="375"/>
      <c r="W49" s="375"/>
      <c r="X49" s="376"/>
      <c r="Y49" s="368"/>
      <c r="Z49" s="376"/>
      <c r="AA49" s="376"/>
      <c r="AB49" s="378"/>
      <c r="AC49" s="375"/>
      <c r="AD49" s="375"/>
      <c r="AE49" s="375"/>
    </row>
    <row r="50" s="264" customFormat="1" ht="12.75" spans="1:31">
      <c r="A50" s="354"/>
      <c r="B50" s="355"/>
      <c r="C50" s="356">
        <v>240728000003</v>
      </c>
      <c r="D50" s="357">
        <v>45506</v>
      </c>
      <c r="E50" s="355" t="s">
        <v>40</v>
      </c>
      <c r="F50" s="355" t="s">
        <v>130</v>
      </c>
      <c r="G50" s="355">
        <v>0.145</v>
      </c>
      <c r="H50" s="355">
        <v>52</v>
      </c>
      <c r="I50" s="358">
        <v>396</v>
      </c>
      <c r="J50" s="369"/>
      <c r="K50" s="360"/>
      <c r="L50" s="361"/>
      <c r="M50" s="495"/>
      <c r="N50" s="355"/>
      <c r="O50" s="364">
        <f t="shared" ref="O50:O53" si="12">SUBTOTAL(9,I50)</f>
        <v>396</v>
      </c>
      <c r="P50" s="375"/>
      <c r="Q50" s="375"/>
      <c r="R50" s="375"/>
      <c r="S50" s="375"/>
      <c r="T50" s="375"/>
      <c r="U50" s="375"/>
      <c r="V50" s="375"/>
      <c r="W50" s="392"/>
      <c r="X50" s="376"/>
      <c r="Y50" s="368"/>
      <c r="Z50" s="376"/>
      <c r="AA50" s="376"/>
      <c r="AB50" s="378"/>
      <c r="AC50" s="375"/>
      <c r="AD50" s="375"/>
      <c r="AE50" s="375"/>
    </row>
    <row r="51" s="264" customFormat="1" ht="12.75" spans="1:31">
      <c r="A51" s="354"/>
      <c r="B51" s="355"/>
      <c r="C51" s="356">
        <v>240910000031</v>
      </c>
      <c r="D51" s="357">
        <v>45547</v>
      </c>
      <c r="E51" s="355" t="s">
        <v>119</v>
      </c>
      <c r="F51" s="355" t="s">
        <v>167</v>
      </c>
      <c r="G51" s="355">
        <v>2.926</v>
      </c>
      <c r="H51" s="355">
        <v>2628</v>
      </c>
      <c r="I51" s="364"/>
      <c r="J51" s="370">
        <v>2040383</v>
      </c>
      <c r="K51" s="360"/>
      <c r="L51" s="361">
        <f t="shared" si="11"/>
        <v>1763.89280311217</v>
      </c>
      <c r="M51" s="362">
        <v>1156.75</v>
      </c>
      <c r="N51" s="355">
        <v>7.08</v>
      </c>
      <c r="O51" s="364">
        <f t="shared" ref="O51:O57" si="13">SUM(M51*N51)</f>
        <v>8189.79</v>
      </c>
      <c r="P51" s="375"/>
      <c r="Q51" s="375"/>
      <c r="R51" s="375"/>
      <c r="S51" s="375"/>
      <c r="T51" s="375"/>
      <c r="U51" s="375"/>
      <c r="V51" s="375"/>
      <c r="W51" s="375"/>
      <c r="X51" s="376"/>
      <c r="Y51" s="368"/>
      <c r="Z51" s="376"/>
      <c r="AA51" s="376"/>
      <c r="AB51" s="378"/>
      <c r="AC51" s="375"/>
      <c r="AD51" s="375"/>
      <c r="AE51" s="375"/>
    </row>
    <row r="52" s="264" customFormat="1" ht="12.75" spans="1:31">
      <c r="A52" s="354"/>
      <c r="B52" s="355"/>
      <c r="C52" s="356">
        <v>240911000011</v>
      </c>
      <c r="D52" s="357">
        <v>45547</v>
      </c>
      <c r="E52" s="355" t="s">
        <v>49</v>
      </c>
      <c r="F52" s="355" t="s">
        <v>204</v>
      </c>
      <c r="G52" s="355">
        <v>1.019</v>
      </c>
      <c r="H52" s="355">
        <v>374</v>
      </c>
      <c r="I52" s="358">
        <v>2095</v>
      </c>
      <c r="J52" s="369"/>
      <c r="K52" s="360"/>
      <c r="L52" s="361"/>
      <c r="M52" s="360"/>
      <c r="N52" s="355"/>
      <c r="O52" s="364">
        <f t="shared" si="12"/>
        <v>2095</v>
      </c>
      <c r="P52" s="375"/>
      <c r="Q52" s="375"/>
      <c r="R52" s="375"/>
      <c r="S52" s="375"/>
      <c r="T52" s="375"/>
      <c r="U52" s="375"/>
      <c r="V52" s="375"/>
      <c r="W52" s="375"/>
      <c r="X52" s="376"/>
      <c r="Y52" s="368"/>
      <c r="Z52" s="376"/>
      <c r="AA52" s="376"/>
      <c r="AB52" s="378"/>
      <c r="AC52" s="375"/>
      <c r="AD52" s="375"/>
      <c r="AE52" s="375"/>
    </row>
    <row r="53" s="264" customFormat="1" ht="12.75" spans="1:31">
      <c r="A53" s="354"/>
      <c r="B53" s="355"/>
      <c r="C53" s="356">
        <v>240911000023</v>
      </c>
      <c r="D53" s="357">
        <v>45547</v>
      </c>
      <c r="E53" s="355" t="s">
        <v>190</v>
      </c>
      <c r="F53" s="355" t="s">
        <v>191</v>
      </c>
      <c r="G53" s="355">
        <v>0.0849</v>
      </c>
      <c r="H53" s="355">
        <v>40</v>
      </c>
      <c r="I53" s="358">
        <v>210.75</v>
      </c>
      <c r="J53" s="369"/>
      <c r="K53" s="360"/>
      <c r="L53" s="361"/>
      <c r="M53" s="360"/>
      <c r="N53" s="355"/>
      <c r="O53" s="364">
        <f t="shared" si="12"/>
        <v>210.75</v>
      </c>
      <c r="P53" s="379"/>
      <c r="Q53" s="379"/>
      <c r="R53" s="379"/>
      <c r="S53" s="379"/>
      <c r="T53" s="379"/>
      <c r="U53" s="379"/>
      <c r="V53" s="379"/>
      <c r="W53" s="379"/>
      <c r="X53" s="377"/>
      <c r="Y53" s="368"/>
      <c r="Z53" s="377"/>
      <c r="AA53" s="377"/>
      <c r="AB53" s="380"/>
      <c r="AC53" s="379"/>
      <c r="AD53" s="379"/>
      <c r="AE53" s="379"/>
    </row>
    <row r="54" s="264" customFormat="1" ht="12.75" spans="1:31">
      <c r="A54" s="354" t="s">
        <v>208</v>
      </c>
      <c r="B54" s="355" t="s">
        <v>209</v>
      </c>
      <c r="C54" s="356">
        <v>240812000038</v>
      </c>
      <c r="D54" s="496">
        <v>45518</v>
      </c>
      <c r="E54" s="355" t="s">
        <v>52</v>
      </c>
      <c r="F54" s="355" t="s">
        <v>110</v>
      </c>
      <c r="G54" s="355">
        <v>3.8495</v>
      </c>
      <c r="H54" s="355">
        <v>2234</v>
      </c>
      <c r="I54" s="364"/>
      <c r="J54" s="383">
        <v>2249445</v>
      </c>
      <c r="K54" s="360"/>
      <c r="L54" s="361">
        <f t="shared" ref="L54:L57" si="14">SUM(J54/M54)</f>
        <v>1750.28546418324</v>
      </c>
      <c r="M54" s="362">
        <v>1285.1875</v>
      </c>
      <c r="N54" s="355">
        <v>7.1</v>
      </c>
      <c r="O54" s="364">
        <f t="shared" si="13"/>
        <v>9124.83125</v>
      </c>
      <c r="P54" s="371">
        <f>SUM(O54:O58)</f>
        <v>23926.7961652</v>
      </c>
      <c r="Q54" s="371" t="s">
        <v>66</v>
      </c>
      <c r="R54" s="497">
        <v>20857</v>
      </c>
      <c r="S54" s="371">
        <v>351</v>
      </c>
      <c r="T54" s="371"/>
      <c r="U54" s="371"/>
      <c r="V54" s="371"/>
      <c r="W54" s="371">
        <f>SUM(R54:V58)</f>
        <v>21208</v>
      </c>
      <c r="X54" s="373"/>
      <c r="Y54" s="368">
        <v>53.1</v>
      </c>
      <c r="Z54" s="373">
        <v>82.6</v>
      </c>
      <c r="AA54" s="373">
        <f>SUM(X54:Z58)</f>
        <v>135.7</v>
      </c>
      <c r="AB54" s="374">
        <v>7.12</v>
      </c>
      <c r="AC54" s="371">
        <f>SUM(AA54*AB54)</f>
        <v>966.184</v>
      </c>
      <c r="AD54" s="371">
        <f>SUM(W54+AC54)</f>
        <v>22174.184</v>
      </c>
      <c r="AE54" s="371">
        <f>SUM(P54-AD54)</f>
        <v>1752.6121652</v>
      </c>
    </row>
    <row r="55" s="264" customFormat="1" ht="12.75" spans="1:31">
      <c r="A55" s="354"/>
      <c r="B55" s="355"/>
      <c r="C55" s="356">
        <v>240812000053</v>
      </c>
      <c r="D55" s="496">
        <v>45518</v>
      </c>
      <c r="E55" s="355" t="s">
        <v>40</v>
      </c>
      <c r="F55" s="355" t="s">
        <v>112</v>
      </c>
      <c r="G55" s="355">
        <v>1.2271</v>
      </c>
      <c r="H55" s="355">
        <v>166</v>
      </c>
      <c r="I55" s="358">
        <v>2491.03</v>
      </c>
      <c r="J55" s="382"/>
      <c r="K55" s="360"/>
      <c r="L55" s="361"/>
      <c r="M55" s="360"/>
      <c r="N55" s="355"/>
      <c r="O55" s="364">
        <f>SUBTOTAL(9,I55)</f>
        <v>2491.03</v>
      </c>
      <c r="P55" s="375"/>
      <c r="Q55" s="375"/>
      <c r="R55" s="498"/>
      <c r="S55" s="375"/>
      <c r="T55" s="375"/>
      <c r="U55" s="375"/>
      <c r="V55" s="375"/>
      <c r="W55" s="375"/>
      <c r="X55" s="376"/>
      <c r="Y55" s="368"/>
      <c r="Z55" s="376"/>
      <c r="AA55" s="376"/>
      <c r="AB55" s="378"/>
      <c r="AC55" s="375"/>
      <c r="AD55" s="375"/>
      <c r="AE55" s="375"/>
    </row>
    <row r="56" s="264" customFormat="1" ht="12.75" spans="1:31">
      <c r="A56" s="354"/>
      <c r="B56" s="355"/>
      <c r="C56" s="356">
        <v>240812000057</v>
      </c>
      <c r="D56" s="496">
        <v>45518</v>
      </c>
      <c r="E56" s="355" t="s">
        <v>37</v>
      </c>
      <c r="F56" s="355" t="s">
        <v>121</v>
      </c>
      <c r="G56" s="355">
        <v>2.0765</v>
      </c>
      <c r="H56" s="355">
        <v>1506</v>
      </c>
      <c r="I56" s="364"/>
      <c r="J56" s="370">
        <v>1325000</v>
      </c>
      <c r="K56" s="360"/>
      <c r="L56" s="361">
        <f t="shared" si="14"/>
        <v>1924.58541815562</v>
      </c>
      <c r="M56" s="362">
        <v>688.45996</v>
      </c>
      <c r="N56" s="355">
        <v>7.12</v>
      </c>
      <c r="O56" s="364">
        <f t="shared" si="13"/>
        <v>4901.8349152</v>
      </c>
      <c r="P56" s="375"/>
      <c r="Q56" s="375"/>
      <c r="R56" s="498"/>
      <c r="S56" s="375"/>
      <c r="T56" s="375"/>
      <c r="U56" s="375"/>
      <c r="V56" s="375"/>
      <c r="W56" s="375"/>
      <c r="X56" s="376"/>
      <c r="Y56" s="368"/>
      <c r="Z56" s="376"/>
      <c r="AA56" s="376"/>
      <c r="AB56" s="378"/>
      <c r="AC56" s="375"/>
      <c r="AD56" s="375"/>
      <c r="AE56" s="375"/>
    </row>
    <row r="57" s="264" customFormat="1" ht="12.75" spans="1:31">
      <c r="A57" s="354"/>
      <c r="B57" s="355"/>
      <c r="C57" s="356">
        <v>240813000031</v>
      </c>
      <c r="D57" s="496">
        <v>45518</v>
      </c>
      <c r="E57" s="355" t="s">
        <v>40</v>
      </c>
      <c r="F57" s="355" t="s">
        <v>112</v>
      </c>
      <c r="G57" s="355">
        <v>2.3157</v>
      </c>
      <c r="H57" s="355">
        <v>122</v>
      </c>
      <c r="I57" s="358"/>
      <c r="J57" s="370">
        <v>1057540</v>
      </c>
      <c r="K57" s="360"/>
      <c r="L57" s="361">
        <f t="shared" si="14"/>
        <v>1630.99938309685</v>
      </c>
      <c r="M57" s="362">
        <v>648.4</v>
      </c>
      <c r="N57" s="355">
        <v>7.35</v>
      </c>
      <c r="O57" s="364">
        <f t="shared" si="13"/>
        <v>4765.74</v>
      </c>
      <c r="P57" s="375"/>
      <c r="Q57" s="375"/>
      <c r="R57" s="498"/>
      <c r="S57" s="375"/>
      <c r="T57" s="375"/>
      <c r="U57" s="375"/>
      <c r="V57" s="375"/>
      <c r="W57" s="375"/>
      <c r="X57" s="376"/>
      <c r="Y57" s="368"/>
      <c r="Z57" s="376"/>
      <c r="AA57" s="376"/>
      <c r="AB57" s="378"/>
      <c r="AC57" s="375"/>
      <c r="AD57" s="375"/>
      <c r="AE57" s="375"/>
    </row>
    <row r="58" s="264" customFormat="1" ht="12.75" spans="1:31">
      <c r="A58" s="354"/>
      <c r="B58" s="355"/>
      <c r="C58" s="356">
        <v>240814000030</v>
      </c>
      <c r="D58" s="496">
        <v>45518</v>
      </c>
      <c r="E58" s="355" t="s">
        <v>40</v>
      </c>
      <c r="F58" s="355" t="s">
        <v>60</v>
      </c>
      <c r="G58" s="355">
        <v>1.5403</v>
      </c>
      <c r="H58" s="355">
        <v>189.9</v>
      </c>
      <c r="I58" s="358">
        <v>2643.36</v>
      </c>
      <c r="J58" s="382"/>
      <c r="K58" s="360"/>
      <c r="L58" s="361"/>
      <c r="M58" s="360"/>
      <c r="N58" s="355"/>
      <c r="O58" s="364">
        <f t="shared" ref="O58:O62" si="15">SUBTOTAL(9,I58)</f>
        <v>2643.36</v>
      </c>
      <c r="P58" s="379"/>
      <c r="Q58" s="379"/>
      <c r="R58" s="499"/>
      <c r="S58" s="379"/>
      <c r="T58" s="379"/>
      <c r="U58" s="379"/>
      <c r="V58" s="379"/>
      <c r="W58" s="379"/>
      <c r="X58" s="377"/>
      <c r="Y58" s="368"/>
      <c r="Z58" s="377"/>
      <c r="AA58" s="377"/>
      <c r="AB58" s="380"/>
      <c r="AC58" s="379"/>
      <c r="AD58" s="379"/>
      <c r="AE58" s="379"/>
    </row>
    <row r="59" s="264" customFormat="1" ht="12.75" spans="1:31">
      <c r="A59" s="500" t="s">
        <v>210</v>
      </c>
      <c r="B59" s="390" t="s">
        <v>211</v>
      </c>
      <c r="C59" s="356">
        <v>240830000002</v>
      </c>
      <c r="D59" s="357">
        <v>45583</v>
      </c>
      <c r="E59" s="390" t="s">
        <v>40</v>
      </c>
      <c r="F59" s="390" t="s">
        <v>212</v>
      </c>
      <c r="G59" s="390" t="s">
        <v>213</v>
      </c>
      <c r="H59" s="390"/>
      <c r="I59" s="364"/>
      <c r="J59" s="370">
        <v>18000000</v>
      </c>
      <c r="K59" s="360"/>
      <c r="L59" s="361">
        <f t="shared" ref="L59:L64" si="16">SUM(J59/M59)</f>
        <v>1744.9909066585</v>
      </c>
      <c r="M59" s="362">
        <v>10315.24</v>
      </c>
      <c r="N59" s="355">
        <v>7.12</v>
      </c>
      <c r="O59" s="364">
        <f t="shared" ref="O59:O64" si="17">SUM(M59*N59)</f>
        <v>73444.5088</v>
      </c>
      <c r="P59" s="367">
        <f>SUM(O59)</f>
        <v>73444.5088</v>
      </c>
      <c r="Q59" s="367"/>
      <c r="R59" s="367"/>
      <c r="S59" s="367"/>
      <c r="T59" s="367"/>
      <c r="U59" s="367"/>
      <c r="V59" s="367"/>
      <c r="W59" s="367">
        <f>SUM(Q59:V59)</f>
        <v>0</v>
      </c>
      <c r="X59" s="368">
        <v>10324.48</v>
      </c>
      <c r="Y59" s="368"/>
      <c r="Z59" s="368"/>
      <c r="AA59" s="368">
        <f>SUM(X59:Z59)</f>
        <v>10324.48</v>
      </c>
      <c r="AB59" s="369">
        <v>7.12</v>
      </c>
      <c r="AC59" s="367">
        <f t="shared" ref="AC59:AC61" si="18">SUM(AA59*AB59)</f>
        <v>73510.2976</v>
      </c>
      <c r="AD59" s="367">
        <f t="shared" ref="AD59:AD61" si="19">SUM(W59+AC59)</f>
        <v>73510.2976</v>
      </c>
      <c r="AE59" s="367">
        <f t="shared" ref="AE59:AE61" si="20">SUM(P59-AD59)</f>
        <v>-65.7887999999948</v>
      </c>
    </row>
    <row r="60" s="264" customFormat="1" ht="12.75" spans="1:31">
      <c r="A60" s="354" t="s">
        <v>214</v>
      </c>
      <c r="B60" s="355" t="s">
        <v>215</v>
      </c>
      <c r="C60" s="356">
        <v>240830000001</v>
      </c>
      <c r="D60" s="357">
        <v>45583</v>
      </c>
      <c r="E60" s="355" t="s">
        <v>40</v>
      </c>
      <c r="F60" s="355" t="s">
        <v>212</v>
      </c>
      <c r="G60" s="390" t="s">
        <v>213</v>
      </c>
      <c r="H60" s="390"/>
      <c r="I60" s="364"/>
      <c r="J60" s="370">
        <v>15200000</v>
      </c>
      <c r="K60" s="360"/>
      <c r="L60" s="361">
        <f t="shared" si="16"/>
        <v>1710.99898814672</v>
      </c>
      <c r="M60" s="362">
        <v>8883.699</v>
      </c>
      <c r="N60" s="355">
        <v>7.12</v>
      </c>
      <c r="O60" s="364">
        <f t="shared" si="17"/>
        <v>63251.93688</v>
      </c>
      <c r="P60" s="367">
        <f>SUM(O60)</f>
        <v>63251.93688</v>
      </c>
      <c r="Q60" s="367"/>
      <c r="R60" s="367"/>
      <c r="S60" s="367"/>
      <c r="T60" s="367"/>
      <c r="U60" s="367"/>
      <c r="V60" s="367"/>
      <c r="W60" s="367">
        <f>SUM(Q60:V60)</f>
        <v>0</v>
      </c>
      <c r="X60" s="368">
        <v>7374.63</v>
      </c>
      <c r="Y60" s="368"/>
      <c r="Z60" s="368"/>
      <c r="AA60" s="368">
        <f>SUM(X60:Z60)</f>
        <v>7374.63</v>
      </c>
      <c r="AB60" s="369">
        <v>7.12</v>
      </c>
      <c r="AC60" s="367">
        <f t="shared" si="18"/>
        <v>52507.3656</v>
      </c>
      <c r="AD60" s="367">
        <f t="shared" si="19"/>
        <v>52507.3656</v>
      </c>
      <c r="AE60" s="367">
        <f t="shared" si="20"/>
        <v>10744.57128</v>
      </c>
    </row>
    <row r="61" s="264" customFormat="1" ht="12.75" spans="1:31">
      <c r="A61" s="354" t="s">
        <v>216</v>
      </c>
      <c r="B61" s="355" t="s">
        <v>217</v>
      </c>
      <c r="C61" s="356">
        <v>240816000024</v>
      </c>
      <c r="D61" s="357">
        <v>45554</v>
      </c>
      <c r="E61" s="355" t="s">
        <v>49</v>
      </c>
      <c r="F61" s="355" t="s">
        <v>86</v>
      </c>
      <c r="G61" s="355">
        <v>4.5226</v>
      </c>
      <c r="H61" s="355">
        <v>5204</v>
      </c>
      <c r="I61" s="358">
        <v>10335.77</v>
      </c>
      <c r="J61" s="369"/>
      <c r="K61" s="362"/>
      <c r="L61" s="361"/>
      <c r="M61" s="362"/>
      <c r="N61" s="355"/>
      <c r="O61" s="364">
        <f t="shared" si="15"/>
        <v>10335.77</v>
      </c>
      <c r="P61" s="371">
        <f>SUM(O61:O81)</f>
        <v>147850.33616548</v>
      </c>
      <c r="Q61" s="372" t="s">
        <v>218</v>
      </c>
      <c r="R61" s="371">
        <v>45623</v>
      </c>
      <c r="S61" s="371"/>
      <c r="T61" s="371">
        <v>1600</v>
      </c>
      <c r="U61" s="371"/>
      <c r="V61" s="371"/>
      <c r="W61" s="371">
        <f>SUM(R61:V81)</f>
        <v>47623</v>
      </c>
      <c r="X61" s="373">
        <v>10737.46</v>
      </c>
      <c r="Y61" s="373"/>
      <c r="Z61" s="373">
        <v>53.1</v>
      </c>
      <c r="AA61" s="373">
        <f>SUM(X61:Z81)</f>
        <v>10790.56</v>
      </c>
      <c r="AB61" s="374">
        <v>7.18</v>
      </c>
      <c r="AC61" s="371">
        <f t="shared" si="18"/>
        <v>77476.2208</v>
      </c>
      <c r="AD61" s="371">
        <f t="shared" si="19"/>
        <v>125099.2208</v>
      </c>
      <c r="AE61" s="371">
        <f t="shared" si="20"/>
        <v>22751.11536548</v>
      </c>
    </row>
    <row r="62" s="264" customFormat="1" ht="12.75" spans="1:31">
      <c r="A62" s="354"/>
      <c r="B62" s="355"/>
      <c r="C62" s="356">
        <v>240828000061</v>
      </c>
      <c r="D62" s="357">
        <v>45554</v>
      </c>
      <c r="E62" s="355" t="s">
        <v>40</v>
      </c>
      <c r="F62" s="355" t="s">
        <v>62</v>
      </c>
      <c r="G62" s="355">
        <v>8.526</v>
      </c>
      <c r="H62" s="355">
        <v>1229</v>
      </c>
      <c r="I62" s="358">
        <v>19021</v>
      </c>
      <c r="J62" s="369"/>
      <c r="K62" s="360"/>
      <c r="L62" s="361"/>
      <c r="M62" s="360"/>
      <c r="N62" s="355"/>
      <c r="O62" s="364">
        <f t="shared" si="15"/>
        <v>19021</v>
      </c>
      <c r="P62" s="375"/>
      <c r="Q62" s="501"/>
      <c r="R62" s="375"/>
      <c r="S62" s="375"/>
      <c r="T62" s="375"/>
      <c r="U62" s="375"/>
      <c r="V62" s="375"/>
      <c r="W62" s="375"/>
      <c r="X62" s="376"/>
      <c r="Y62" s="376"/>
      <c r="Z62" s="376"/>
      <c r="AA62" s="376"/>
      <c r="AB62" s="378"/>
      <c r="AC62" s="375"/>
      <c r="AD62" s="375"/>
      <c r="AE62" s="375"/>
    </row>
    <row r="63" s="264" customFormat="1" ht="12.75" spans="1:31">
      <c r="A63" s="354"/>
      <c r="B63" s="355"/>
      <c r="C63" s="356">
        <v>240905000030</v>
      </c>
      <c r="D63" s="357">
        <v>45554</v>
      </c>
      <c r="E63" s="355" t="s">
        <v>52</v>
      </c>
      <c r="F63" s="355" t="s">
        <v>137</v>
      </c>
      <c r="G63" s="355">
        <v>6.5636</v>
      </c>
      <c r="H63" s="355">
        <v>3760</v>
      </c>
      <c r="I63" s="364"/>
      <c r="J63" s="370">
        <v>3334275</v>
      </c>
      <c r="K63" s="360"/>
      <c r="L63" s="361">
        <f t="shared" si="16"/>
        <v>1750.04592573153</v>
      </c>
      <c r="M63" s="362">
        <v>1905.25</v>
      </c>
      <c r="N63" s="355">
        <v>7.23</v>
      </c>
      <c r="O63" s="364">
        <f t="shared" si="17"/>
        <v>13774.9575</v>
      </c>
      <c r="P63" s="375"/>
      <c r="Q63" s="501"/>
      <c r="R63" s="375"/>
      <c r="S63" s="375"/>
      <c r="T63" s="375"/>
      <c r="U63" s="375"/>
      <c r="V63" s="375"/>
      <c r="W63" s="375"/>
      <c r="X63" s="376"/>
      <c r="Y63" s="376"/>
      <c r="Z63" s="376"/>
      <c r="AA63" s="376"/>
      <c r="AB63" s="378"/>
      <c r="AC63" s="375"/>
      <c r="AD63" s="375"/>
      <c r="AE63" s="375"/>
    </row>
    <row r="64" s="264" customFormat="1" ht="12.75" spans="1:31">
      <c r="A64" s="354"/>
      <c r="B64" s="355"/>
      <c r="C64" s="356">
        <v>240909000050</v>
      </c>
      <c r="D64" s="357">
        <v>45554</v>
      </c>
      <c r="E64" s="355" t="s">
        <v>189</v>
      </c>
      <c r="F64" s="355" t="s">
        <v>111</v>
      </c>
      <c r="G64" s="355">
        <v>0.0321</v>
      </c>
      <c r="H64" s="355">
        <v>3.5</v>
      </c>
      <c r="I64" s="364"/>
      <c r="J64" s="369"/>
      <c r="K64" s="362">
        <v>8.99</v>
      </c>
      <c r="L64" s="361">
        <f t="shared" si="16"/>
        <v>0</v>
      </c>
      <c r="M64" s="362">
        <v>8.990002</v>
      </c>
      <c r="N64" s="355">
        <v>7.08</v>
      </c>
      <c r="O64" s="364">
        <f t="shared" si="17"/>
        <v>63.64921416</v>
      </c>
      <c r="P64" s="375"/>
      <c r="Q64" s="501"/>
      <c r="R64" s="375"/>
      <c r="S64" s="375"/>
      <c r="T64" s="375"/>
      <c r="U64" s="375"/>
      <c r="V64" s="375"/>
      <c r="W64" s="375"/>
      <c r="X64" s="376"/>
      <c r="Y64" s="376"/>
      <c r="Z64" s="376"/>
      <c r="AA64" s="376"/>
      <c r="AB64" s="378"/>
      <c r="AC64" s="375"/>
      <c r="AD64" s="375"/>
      <c r="AE64" s="375"/>
    </row>
    <row r="65" s="264" customFormat="1" ht="12.75" spans="1:31">
      <c r="A65" s="354"/>
      <c r="B65" s="355"/>
      <c r="C65" s="356">
        <v>240911000014</v>
      </c>
      <c r="D65" s="357">
        <v>45554</v>
      </c>
      <c r="E65" s="355" t="s">
        <v>49</v>
      </c>
      <c r="F65" s="355" t="s">
        <v>219</v>
      </c>
      <c r="G65" s="355">
        <v>0.546</v>
      </c>
      <c r="H65" s="355">
        <v>153</v>
      </c>
      <c r="I65" s="358">
        <v>1212.75</v>
      </c>
      <c r="J65" s="369"/>
      <c r="K65" s="360"/>
      <c r="L65" s="361"/>
      <c r="M65" s="360"/>
      <c r="N65" s="355"/>
      <c r="O65" s="364">
        <f t="shared" ref="O65:O68" si="21">SUBTOTAL(9,I65)</f>
        <v>1212.75</v>
      </c>
      <c r="P65" s="375"/>
      <c r="Q65" s="501"/>
      <c r="R65" s="375"/>
      <c r="S65" s="375"/>
      <c r="T65" s="375"/>
      <c r="U65" s="375"/>
      <c r="V65" s="375"/>
      <c r="W65" s="375"/>
      <c r="X65" s="376"/>
      <c r="Y65" s="376"/>
      <c r="Z65" s="376"/>
      <c r="AA65" s="376"/>
      <c r="AB65" s="378"/>
      <c r="AC65" s="375"/>
      <c r="AD65" s="375"/>
      <c r="AE65" s="375"/>
    </row>
    <row r="66" s="264" customFormat="1" ht="12.75" spans="1:31">
      <c r="A66" s="354"/>
      <c r="B66" s="355"/>
      <c r="C66" s="356">
        <v>240912000025</v>
      </c>
      <c r="D66" s="357">
        <v>45554</v>
      </c>
      <c r="E66" s="355" t="s">
        <v>42</v>
      </c>
      <c r="F66" s="355" t="s">
        <v>43</v>
      </c>
      <c r="G66" s="355">
        <v>0.0329</v>
      </c>
      <c r="H66" s="355">
        <v>7.28</v>
      </c>
      <c r="I66" s="358">
        <v>221.13</v>
      </c>
      <c r="J66" s="369"/>
      <c r="K66" s="360"/>
      <c r="L66" s="361"/>
      <c r="M66" s="360"/>
      <c r="N66" s="355"/>
      <c r="O66" s="364">
        <f t="shared" si="21"/>
        <v>221.13</v>
      </c>
      <c r="P66" s="375"/>
      <c r="Q66" s="501"/>
      <c r="R66" s="375"/>
      <c r="S66" s="375"/>
      <c r="T66" s="375"/>
      <c r="U66" s="375"/>
      <c r="V66" s="375"/>
      <c r="W66" s="375"/>
      <c r="X66" s="376"/>
      <c r="Y66" s="376"/>
      <c r="Z66" s="376"/>
      <c r="AA66" s="376"/>
      <c r="AB66" s="378"/>
      <c r="AC66" s="375"/>
      <c r="AD66" s="375"/>
      <c r="AE66" s="375"/>
    </row>
    <row r="67" s="264" customFormat="1" ht="12.75" spans="1:31">
      <c r="A67" s="354"/>
      <c r="B67" s="355"/>
      <c r="C67" s="356">
        <v>240912000029</v>
      </c>
      <c r="D67" s="357">
        <v>45554</v>
      </c>
      <c r="E67" s="355" t="s">
        <v>49</v>
      </c>
      <c r="F67" s="355" t="s">
        <v>204</v>
      </c>
      <c r="G67" s="355">
        <v>1.2975</v>
      </c>
      <c r="H67" s="355">
        <v>506</v>
      </c>
      <c r="I67" s="358">
        <v>2649</v>
      </c>
      <c r="J67" s="369"/>
      <c r="K67" s="360"/>
      <c r="L67" s="361"/>
      <c r="M67" s="360"/>
      <c r="N67" s="355"/>
      <c r="O67" s="364">
        <f t="shared" si="21"/>
        <v>2649</v>
      </c>
      <c r="P67" s="375"/>
      <c r="Q67" s="501"/>
      <c r="R67" s="375"/>
      <c r="S67" s="375"/>
      <c r="T67" s="375"/>
      <c r="U67" s="375"/>
      <c r="V67" s="375"/>
      <c r="W67" s="375"/>
      <c r="X67" s="376"/>
      <c r="Y67" s="376"/>
      <c r="Z67" s="376"/>
      <c r="AA67" s="376"/>
      <c r="AB67" s="378"/>
      <c r="AC67" s="375"/>
      <c r="AD67" s="375"/>
      <c r="AE67" s="375"/>
    </row>
    <row r="68" s="264" customFormat="1" ht="12.75" spans="1:31">
      <c r="A68" s="354"/>
      <c r="B68" s="355"/>
      <c r="C68" s="356">
        <v>240912000039</v>
      </c>
      <c r="D68" s="357">
        <v>45554</v>
      </c>
      <c r="E68" s="355" t="s">
        <v>49</v>
      </c>
      <c r="F68" s="355" t="s">
        <v>86</v>
      </c>
      <c r="G68" s="355">
        <v>2.7009</v>
      </c>
      <c r="H68" s="355">
        <v>1774</v>
      </c>
      <c r="I68" s="358">
        <v>5427.88</v>
      </c>
      <c r="J68" s="369"/>
      <c r="K68" s="362"/>
      <c r="L68" s="361"/>
      <c r="M68" s="362"/>
      <c r="N68" s="355"/>
      <c r="O68" s="364">
        <f t="shared" si="21"/>
        <v>5427.88</v>
      </c>
      <c r="P68" s="375"/>
      <c r="Q68" s="501"/>
      <c r="R68" s="375"/>
      <c r="S68" s="375"/>
      <c r="T68" s="375"/>
      <c r="U68" s="375"/>
      <c r="V68" s="375"/>
      <c r="W68" s="375"/>
      <c r="X68" s="376"/>
      <c r="Y68" s="376"/>
      <c r="Z68" s="376"/>
      <c r="AA68" s="376"/>
      <c r="AB68" s="378"/>
      <c r="AC68" s="375"/>
      <c r="AD68" s="375"/>
      <c r="AE68" s="375"/>
    </row>
    <row r="69" s="264" customFormat="1" ht="12.75" spans="1:31">
      <c r="A69" s="354"/>
      <c r="B69" s="355"/>
      <c r="C69" s="356">
        <v>240913000002</v>
      </c>
      <c r="D69" s="357">
        <v>45554</v>
      </c>
      <c r="E69" s="355" t="s">
        <v>42</v>
      </c>
      <c r="F69" s="355" t="s">
        <v>181</v>
      </c>
      <c r="G69" s="355">
        <v>0.64</v>
      </c>
      <c r="H69" s="355">
        <v>208</v>
      </c>
      <c r="I69" s="364"/>
      <c r="J69" s="370">
        <v>485452.8</v>
      </c>
      <c r="K69" s="360"/>
      <c r="L69" s="361">
        <f>SUM(J69/M69)</f>
        <v>1764.00012819768</v>
      </c>
      <c r="M69" s="362">
        <v>275.19998</v>
      </c>
      <c r="N69" s="355">
        <v>7.08</v>
      </c>
      <c r="O69" s="364">
        <f>SUM(M69*N69)</f>
        <v>1948.4158584</v>
      </c>
      <c r="P69" s="375"/>
      <c r="Q69" s="501"/>
      <c r="R69" s="375"/>
      <c r="S69" s="375"/>
      <c r="T69" s="375"/>
      <c r="U69" s="375"/>
      <c r="V69" s="375"/>
      <c r="W69" s="375"/>
      <c r="X69" s="376"/>
      <c r="Y69" s="376"/>
      <c r="Z69" s="376"/>
      <c r="AA69" s="376"/>
      <c r="AB69" s="378"/>
      <c r="AC69" s="375"/>
      <c r="AD69" s="375"/>
      <c r="AE69" s="375"/>
    </row>
    <row r="70" s="264" customFormat="1" ht="12.75" spans="1:31">
      <c r="A70" s="354"/>
      <c r="B70" s="355"/>
      <c r="C70" s="356">
        <v>240913000030</v>
      </c>
      <c r="D70" s="357">
        <v>45554</v>
      </c>
      <c r="E70" s="355" t="s">
        <v>49</v>
      </c>
      <c r="F70" s="355" t="s">
        <v>219</v>
      </c>
      <c r="G70" s="355">
        <v>0.6324</v>
      </c>
      <c r="H70" s="355">
        <v>181</v>
      </c>
      <c r="I70" s="358">
        <v>1411.2</v>
      </c>
      <c r="J70" s="369"/>
      <c r="K70" s="360"/>
      <c r="L70" s="361"/>
      <c r="M70" s="360"/>
      <c r="N70" s="355"/>
      <c r="O70" s="364">
        <f t="shared" ref="O70:O74" si="22">SUBTOTAL(9,I70)</f>
        <v>1411.2</v>
      </c>
      <c r="P70" s="375"/>
      <c r="Q70" s="501"/>
      <c r="R70" s="375"/>
      <c r="S70" s="375"/>
      <c r="T70" s="375"/>
      <c r="U70" s="375"/>
      <c r="V70" s="375"/>
      <c r="W70" s="375"/>
      <c r="X70" s="376"/>
      <c r="Y70" s="376"/>
      <c r="Z70" s="376"/>
      <c r="AA70" s="376"/>
      <c r="AB70" s="378"/>
      <c r="AC70" s="375"/>
      <c r="AD70" s="375"/>
      <c r="AE70" s="375"/>
    </row>
    <row r="71" s="264" customFormat="1" ht="12.75" spans="1:31">
      <c r="A71" s="354"/>
      <c r="B71" s="355"/>
      <c r="C71" s="356">
        <v>240913000032</v>
      </c>
      <c r="D71" s="357">
        <v>45554</v>
      </c>
      <c r="E71" s="355" t="s">
        <v>42</v>
      </c>
      <c r="F71" s="355" t="s">
        <v>220</v>
      </c>
      <c r="G71" s="355">
        <v>0.2805</v>
      </c>
      <c r="H71" s="355">
        <v>35</v>
      </c>
      <c r="I71" s="364"/>
      <c r="J71" s="370">
        <v>156631</v>
      </c>
      <c r="K71" s="360"/>
      <c r="L71" s="361">
        <f>SUM(J71/M71)</f>
        <v>1744.99786903954</v>
      </c>
      <c r="M71" s="362">
        <v>89.759995</v>
      </c>
      <c r="N71" s="355">
        <v>7.08</v>
      </c>
      <c r="O71" s="364">
        <f>SUM(M71*N71)</f>
        <v>635.5007646</v>
      </c>
      <c r="P71" s="375"/>
      <c r="Q71" s="501"/>
      <c r="R71" s="375"/>
      <c r="S71" s="375"/>
      <c r="T71" s="375"/>
      <c r="U71" s="375"/>
      <c r="V71" s="375"/>
      <c r="W71" s="375"/>
      <c r="X71" s="376"/>
      <c r="Y71" s="376"/>
      <c r="Z71" s="376"/>
      <c r="AA71" s="376"/>
      <c r="AB71" s="378"/>
      <c r="AC71" s="375"/>
      <c r="AD71" s="375"/>
      <c r="AE71" s="375"/>
    </row>
    <row r="72" s="264" customFormat="1" ht="12.75" spans="1:31">
      <c r="A72" s="354"/>
      <c r="B72" s="355"/>
      <c r="C72" s="356">
        <v>240911000008</v>
      </c>
      <c r="D72" s="357">
        <v>45559</v>
      </c>
      <c r="E72" s="355" t="s">
        <v>190</v>
      </c>
      <c r="F72" s="355" t="s">
        <v>207</v>
      </c>
      <c r="G72" s="355">
        <v>6.1104</v>
      </c>
      <c r="H72" s="355">
        <v>5000</v>
      </c>
      <c r="I72" s="358">
        <v>15665.8</v>
      </c>
      <c r="J72" s="369"/>
      <c r="K72" s="360"/>
      <c r="L72" s="361"/>
      <c r="M72" s="360"/>
      <c r="N72" s="355"/>
      <c r="O72" s="364">
        <f t="shared" si="22"/>
        <v>15665.8</v>
      </c>
      <c r="P72" s="375"/>
      <c r="Q72" s="501"/>
      <c r="R72" s="375"/>
      <c r="S72" s="375"/>
      <c r="T72" s="375"/>
      <c r="U72" s="375"/>
      <c r="V72" s="375"/>
      <c r="W72" s="375"/>
      <c r="X72" s="376"/>
      <c r="Y72" s="376"/>
      <c r="Z72" s="376"/>
      <c r="AA72" s="376"/>
      <c r="AB72" s="378"/>
      <c r="AC72" s="375"/>
      <c r="AD72" s="375"/>
      <c r="AE72" s="375"/>
    </row>
    <row r="73" s="264" customFormat="1" ht="12.75" spans="1:31">
      <c r="A73" s="354"/>
      <c r="B73" s="355"/>
      <c r="C73" s="356">
        <v>240914000051</v>
      </c>
      <c r="D73" s="357">
        <v>45554</v>
      </c>
      <c r="E73" s="355" t="s">
        <v>37</v>
      </c>
      <c r="F73" s="355" t="s">
        <v>46</v>
      </c>
      <c r="G73" s="355">
        <v>0.3911</v>
      </c>
      <c r="H73" s="355">
        <v>120</v>
      </c>
      <c r="I73" s="358">
        <v>907.12</v>
      </c>
      <c r="J73" s="369"/>
      <c r="K73" s="360"/>
      <c r="L73" s="361"/>
      <c r="M73" s="360"/>
      <c r="N73" s="355"/>
      <c r="O73" s="364">
        <f t="shared" si="22"/>
        <v>907.12</v>
      </c>
      <c r="P73" s="375"/>
      <c r="Q73" s="501"/>
      <c r="R73" s="375"/>
      <c r="S73" s="375"/>
      <c r="T73" s="375"/>
      <c r="U73" s="375"/>
      <c r="V73" s="375"/>
      <c r="W73" s="375"/>
      <c r="X73" s="376"/>
      <c r="Y73" s="376"/>
      <c r="Z73" s="376"/>
      <c r="AA73" s="376"/>
      <c r="AB73" s="378"/>
      <c r="AC73" s="375"/>
      <c r="AD73" s="375"/>
      <c r="AE73" s="375"/>
    </row>
    <row r="74" s="264" customFormat="1" ht="12.75" spans="1:31">
      <c r="A74" s="354"/>
      <c r="B74" s="355"/>
      <c r="C74" s="356">
        <v>240917000017</v>
      </c>
      <c r="D74" s="357">
        <v>45554</v>
      </c>
      <c r="E74" s="355" t="s">
        <v>49</v>
      </c>
      <c r="F74" s="355" t="s">
        <v>221</v>
      </c>
      <c r="G74" s="355">
        <v>1.7265</v>
      </c>
      <c r="H74" s="355">
        <v>349</v>
      </c>
      <c r="I74" s="358">
        <v>4987.5</v>
      </c>
      <c r="J74" s="369"/>
      <c r="K74" s="360"/>
      <c r="L74" s="361"/>
      <c r="M74" s="360"/>
      <c r="N74" s="355"/>
      <c r="O74" s="364">
        <f t="shared" si="22"/>
        <v>4987.5</v>
      </c>
      <c r="P74" s="375"/>
      <c r="Q74" s="501"/>
      <c r="R74" s="375"/>
      <c r="S74" s="375"/>
      <c r="T74" s="375"/>
      <c r="U74" s="375"/>
      <c r="V74" s="375"/>
      <c r="W74" s="375"/>
      <c r="X74" s="376"/>
      <c r="Y74" s="376"/>
      <c r="Z74" s="376"/>
      <c r="AA74" s="376"/>
      <c r="AB74" s="378"/>
      <c r="AC74" s="375"/>
      <c r="AD74" s="375"/>
      <c r="AE74" s="375"/>
    </row>
    <row r="75" s="264" customFormat="1" ht="12.75" spans="1:31">
      <c r="A75" s="354"/>
      <c r="B75" s="355"/>
      <c r="C75" s="356">
        <v>240917000018</v>
      </c>
      <c r="D75" s="357">
        <v>45554</v>
      </c>
      <c r="E75" s="355" t="s">
        <v>91</v>
      </c>
      <c r="F75" s="355" t="s">
        <v>222</v>
      </c>
      <c r="G75" s="355">
        <v>0.1378</v>
      </c>
      <c r="H75" s="355">
        <v>49</v>
      </c>
      <c r="I75" s="364"/>
      <c r="J75" s="370">
        <v>77059.2</v>
      </c>
      <c r="K75" s="360"/>
      <c r="L75" s="361">
        <f>SUM(J75/M75)</f>
        <v>1744.99984193842</v>
      </c>
      <c r="M75" s="362">
        <v>44.160004</v>
      </c>
      <c r="N75" s="355">
        <v>7.08</v>
      </c>
      <c r="O75" s="364">
        <f>SUM(M75*N75)</f>
        <v>312.65282832</v>
      </c>
      <c r="P75" s="375"/>
      <c r="Q75" s="501"/>
      <c r="R75" s="375"/>
      <c r="S75" s="375"/>
      <c r="T75" s="375"/>
      <c r="U75" s="375"/>
      <c r="V75" s="375"/>
      <c r="W75" s="375"/>
      <c r="X75" s="376"/>
      <c r="Y75" s="376"/>
      <c r="Z75" s="376"/>
      <c r="AA75" s="376"/>
      <c r="AB75" s="378"/>
      <c r="AC75" s="375"/>
      <c r="AD75" s="375"/>
      <c r="AE75" s="375"/>
    </row>
    <row r="76" s="264" customFormat="1" ht="12.75" spans="1:31">
      <c r="A76" s="354"/>
      <c r="B76" s="355"/>
      <c r="C76" s="356">
        <v>240918000048</v>
      </c>
      <c r="D76" s="357">
        <v>45554</v>
      </c>
      <c r="E76" s="355" t="s">
        <v>190</v>
      </c>
      <c r="F76" s="355" t="s">
        <v>191</v>
      </c>
      <c r="G76" s="355">
        <v>7.1974</v>
      </c>
      <c r="H76" s="355">
        <v>2213</v>
      </c>
      <c r="I76" s="358">
        <v>16287.69</v>
      </c>
      <c r="J76" s="369"/>
      <c r="K76" s="360"/>
      <c r="L76" s="361"/>
      <c r="M76" s="360"/>
      <c r="N76" s="355"/>
      <c r="O76" s="364">
        <f t="shared" ref="O76:O85" si="23">SUBTOTAL(9,I76)</f>
        <v>16287.69</v>
      </c>
      <c r="P76" s="375"/>
      <c r="Q76" s="501"/>
      <c r="R76" s="375"/>
      <c r="S76" s="375"/>
      <c r="T76" s="375"/>
      <c r="U76" s="375"/>
      <c r="V76" s="375"/>
      <c r="W76" s="375"/>
      <c r="X76" s="376"/>
      <c r="Y76" s="376"/>
      <c r="Z76" s="376"/>
      <c r="AA76" s="376"/>
      <c r="AB76" s="378"/>
      <c r="AC76" s="375"/>
      <c r="AD76" s="375"/>
      <c r="AE76" s="375"/>
    </row>
    <row r="77" s="264" customFormat="1" ht="12.75" spans="1:31">
      <c r="A77" s="354"/>
      <c r="B77" s="355"/>
      <c r="C77" s="356">
        <v>240918000051</v>
      </c>
      <c r="D77" s="357">
        <v>45554</v>
      </c>
      <c r="E77" s="355" t="s">
        <v>40</v>
      </c>
      <c r="F77" s="355" t="s">
        <v>59</v>
      </c>
      <c r="G77" s="355">
        <v>13.66</v>
      </c>
      <c r="H77" s="355">
        <v>2003</v>
      </c>
      <c r="I77" s="358">
        <v>21916.92</v>
      </c>
      <c r="J77" s="369"/>
      <c r="K77" s="360"/>
      <c r="L77" s="361"/>
      <c r="M77" s="362"/>
      <c r="N77" s="355"/>
      <c r="O77" s="364">
        <f t="shared" si="23"/>
        <v>21916.92</v>
      </c>
      <c r="P77" s="375"/>
      <c r="Q77" s="501"/>
      <c r="R77" s="375"/>
      <c r="S77" s="375"/>
      <c r="T77" s="375"/>
      <c r="U77" s="375"/>
      <c r="V77" s="375"/>
      <c r="W77" s="375"/>
      <c r="X77" s="376"/>
      <c r="Y77" s="376"/>
      <c r="Z77" s="376"/>
      <c r="AA77" s="376"/>
      <c r="AB77" s="378"/>
      <c r="AC77" s="375"/>
      <c r="AD77" s="375"/>
      <c r="AE77" s="375"/>
    </row>
    <row r="78" s="264" customFormat="1" ht="12.75" spans="1:31">
      <c r="A78" s="354"/>
      <c r="B78" s="355"/>
      <c r="C78" s="356">
        <v>240728000003</v>
      </c>
      <c r="D78" s="357">
        <v>45506</v>
      </c>
      <c r="E78" s="355" t="s">
        <v>40</v>
      </c>
      <c r="F78" s="355" t="s">
        <v>130</v>
      </c>
      <c r="G78" s="355">
        <v>0.183</v>
      </c>
      <c r="H78" s="355">
        <v>74</v>
      </c>
      <c r="I78" s="358">
        <v>493</v>
      </c>
      <c r="J78" s="369"/>
      <c r="K78" s="360"/>
      <c r="L78" s="361"/>
      <c r="M78" s="495"/>
      <c r="N78" s="355"/>
      <c r="O78" s="364">
        <f t="shared" si="23"/>
        <v>493</v>
      </c>
      <c r="P78" s="375"/>
      <c r="Q78" s="501"/>
      <c r="R78" s="375"/>
      <c r="S78" s="375"/>
      <c r="T78" s="375"/>
      <c r="U78" s="379"/>
      <c r="V78" s="375"/>
      <c r="W78" s="392"/>
      <c r="X78" s="376"/>
      <c r="Y78" s="376"/>
      <c r="Z78" s="376"/>
      <c r="AA78" s="376"/>
      <c r="AB78" s="378"/>
      <c r="AC78" s="375"/>
      <c r="AD78" s="375"/>
      <c r="AE78" s="375"/>
    </row>
    <row r="79" s="264" customFormat="1" ht="12.75" spans="1:31">
      <c r="A79" s="354"/>
      <c r="B79" s="355"/>
      <c r="C79" s="356">
        <v>240910000011</v>
      </c>
      <c r="D79" s="357">
        <v>45559</v>
      </c>
      <c r="E79" s="355" t="s">
        <v>49</v>
      </c>
      <c r="F79" s="355" t="s">
        <v>86</v>
      </c>
      <c r="G79" s="355">
        <v>4.9278</v>
      </c>
      <c r="H79" s="355">
        <v>2354</v>
      </c>
      <c r="I79" s="358">
        <v>10516</v>
      </c>
      <c r="J79" s="369"/>
      <c r="K79" s="360"/>
      <c r="L79" s="361"/>
      <c r="M79" s="360"/>
      <c r="N79" s="355"/>
      <c r="O79" s="364">
        <f t="shared" si="23"/>
        <v>10516</v>
      </c>
      <c r="P79" s="375"/>
      <c r="Q79" s="501"/>
      <c r="R79" s="375"/>
      <c r="S79" s="375"/>
      <c r="T79" s="375"/>
      <c r="U79" s="367">
        <v>400</v>
      </c>
      <c r="V79" s="375"/>
      <c r="W79" s="375"/>
      <c r="X79" s="376"/>
      <c r="Y79" s="376"/>
      <c r="Z79" s="376"/>
      <c r="AA79" s="376"/>
      <c r="AB79" s="378"/>
      <c r="AC79" s="375"/>
      <c r="AD79" s="375"/>
      <c r="AE79" s="375"/>
    </row>
    <row r="80" s="264" customFormat="1" ht="12.75" spans="1:31">
      <c r="A80" s="354"/>
      <c r="B80" s="355"/>
      <c r="C80" s="356">
        <v>240912000038</v>
      </c>
      <c r="D80" s="357">
        <v>45559</v>
      </c>
      <c r="E80" s="355" t="s">
        <v>49</v>
      </c>
      <c r="F80" s="355" t="s">
        <v>117</v>
      </c>
      <c r="G80" s="355">
        <v>6.5307</v>
      </c>
      <c r="H80" s="355">
        <v>1272</v>
      </c>
      <c r="I80" s="358">
        <v>13726</v>
      </c>
      <c r="J80" s="369"/>
      <c r="K80" s="360"/>
      <c r="L80" s="361"/>
      <c r="M80" s="360"/>
      <c r="N80" s="355"/>
      <c r="O80" s="364">
        <f t="shared" si="23"/>
        <v>13726</v>
      </c>
      <c r="P80" s="375"/>
      <c r="Q80" s="501"/>
      <c r="R80" s="375"/>
      <c r="S80" s="375"/>
      <c r="T80" s="375"/>
      <c r="U80" s="371"/>
      <c r="V80" s="375"/>
      <c r="W80" s="375"/>
      <c r="X80" s="376"/>
      <c r="Y80" s="376"/>
      <c r="Z80" s="376"/>
      <c r="AA80" s="376"/>
      <c r="AB80" s="378"/>
      <c r="AC80" s="375"/>
      <c r="AD80" s="375"/>
      <c r="AE80" s="375"/>
    </row>
    <row r="81" s="264" customFormat="1" ht="12.75" spans="1:31">
      <c r="A81" s="354"/>
      <c r="B81" s="355"/>
      <c r="C81" s="356">
        <v>240919000029</v>
      </c>
      <c r="D81" s="357">
        <v>45554</v>
      </c>
      <c r="E81" s="355" t="s">
        <v>190</v>
      </c>
      <c r="F81" s="355" t="s">
        <v>207</v>
      </c>
      <c r="G81" s="355">
        <v>3.1</v>
      </c>
      <c r="H81" s="355">
        <v>472</v>
      </c>
      <c r="I81" s="358">
        <v>6336.4</v>
      </c>
      <c r="J81" s="369"/>
      <c r="K81" s="360"/>
      <c r="L81" s="361"/>
      <c r="M81" s="360"/>
      <c r="N81" s="355"/>
      <c r="O81" s="364">
        <f t="shared" si="23"/>
        <v>6336.4</v>
      </c>
      <c r="P81" s="379"/>
      <c r="Q81" s="502"/>
      <c r="R81" s="379"/>
      <c r="S81" s="379"/>
      <c r="T81" s="379"/>
      <c r="U81" s="379"/>
      <c r="V81" s="379"/>
      <c r="W81" s="379"/>
      <c r="X81" s="377"/>
      <c r="Y81" s="377"/>
      <c r="Z81" s="377"/>
      <c r="AA81" s="377"/>
      <c r="AB81" s="380"/>
      <c r="AC81" s="379"/>
      <c r="AD81" s="379"/>
      <c r="AE81" s="379"/>
    </row>
    <row r="82" s="264" customFormat="1" ht="12.75" spans="1:31">
      <c r="A82" s="395" t="s">
        <v>223</v>
      </c>
      <c r="B82" s="395" t="s">
        <v>224</v>
      </c>
      <c r="C82" s="356">
        <v>240919000028</v>
      </c>
      <c r="D82" s="357">
        <v>45559</v>
      </c>
      <c r="E82" s="355" t="s">
        <v>190</v>
      </c>
      <c r="F82" s="355" t="s">
        <v>207</v>
      </c>
      <c r="G82" s="355">
        <v>4.5</v>
      </c>
      <c r="H82" s="355">
        <v>3775</v>
      </c>
      <c r="I82" s="358">
        <v>10643.4</v>
      </c>
      <c r="J82" s="369"/>
      <c r="K82" s="360"/>
      <c r="L82" s="361"/>
      <c r="M82" s="360"/>
      <c r="N82" s="355"/>
      <c r="O82" s="364">
        <f t="shared" si="23"/>
        <v>10643.4</v>
      </c>
      <c r="P82" s="375">
        <f>SUM(O82:O95)</f>
        <v>139953.87</v>
      </c>
      <c r="Q82" s="501" t="s">
        <v>225</v>
      </c>
      <c r="R82" s="375">
        <v>42769.7</v>
      </c>
      <c r="S82" s="375"/>
      <c r="T82" s="375">
        <v>1500</v>
      </c>
      <c r="U82" s="375"/>
      <c r="V82" s="375"/>
      <c r="W82" s="375">
        <f>SUBTOTAL(9,R82:V95)</f>
        <v>44269.7</v>
      </c>
      <c r="X82" s="376">
        <v>10737.46</v>
      </c>
      <c r="Y82" s="368"/>
      <c r="Z82" s="376">
        <v>53.1</v>
      </c>
      <c r="AA82" s="376">
        <f>SUM(X82:Z95)</f>
        <v>10790.56</v>
      </c>
      <c r="AB82" s="378">
        <v>7.18</v>
      </c>
      <c r="AC82" s="375">
        <f>SUM(AA82*AB82)</f>
        <v>77476.2208</v>
      </c>
      <c r="AD82" s="375">
        <f>SUM(W82+AC82)</f>
        <v>121745.9208</v>
      </c>
      <c r="AE82" s="375">
        <f>SUM(P82-AD82)</f>
        <v>18207.9492</v>
      </c>
    </row>
    <row r="83" s="264" customFormat="1" ht="12.75" spans="1:31">
      <c r="A83" s="503"/>
      <c r="B83" s="503"/>
      <c r="C83" s="356">
        <v>240910000011</v>
      </c>
      <c r="D83" s="357">
        <v>45559</v>
      </c>
      <c r="E83" s="355" t="s">
        <v>49</v>
      </c>
      <c r="F83" s="355" t="s">
        <v>86</v>
      </c>
      <c r="G83" s="355">
        <v>1.8876</v>
      </c>
      <c r="H83" s="355">
        <v>1002</v>
      </c>
      <c r="I83" s="358">
        <v>4020.83</v>
      </c>
      <c r="J83" s="369"/>
      <c r="K83" s="360"/>
      <c r="L83" s="361"/>
      <c r="M83" s="360"/>
      <c r="N83" s="355"/>
      <c r="O83" s="364">
        <f t="shared" si="23"/>
        <v>4020.83</v>
      </c>
      <c r="P83" s="375"/>
      <c r="Q83" s="501"/>
      <c r="R83" s="375"/>
      <c r="S83" s="375"/>
      <c r="T83" s="375"/>
      <c r="U83" s="375"/>
      <c r="V83" s="375"/>
      <c r="W83" s="375"/>
      <c r="X83" s="376"/>
      <c r="Y83" s="368"/>
      <c r="Z83" s="376"/>
      <c r="AA83" s="376"/>
      <c r="AB83" s="378"/>
      <c r="AC83" s="375"/>
      <c r="AD83" s="375"/>
      <c r="AE83" s="375"/>
    </row>
    <row r="84" s="264" customFormat="1" ht="12.75" spans="1:31">
      <c r="A84" s="503"/>
      <c r="B84" s="503"/>
      <c r="C84" s="356">
        <v>240911000008</v>
      </c>
      <c r="D84" s="357">
        <v>45559</v>
      </c>
      <c r="E84" s="355" t="s">
        <v>190</v>
      </c>
      <c r="F84" s="355" t="s">
        <v>207</v>
      </c>
      <c r="G84" s="355">
        <v>3.0552</v>
      </c>
      <c r="H84" s="355">
        <v>2500</v>
      </c>
      <c r="I84" s="358">
        <v>7840.2</v>
      </c>
      <c r="J84" s="369"/>
      <c r="K84" s="360"/>
      <c r="L84" s="361"/>
      <c r="M84" s="360"/>
      <c r="N84" s="355"/>
      <c r="O84" s="364">
        <f t="shared" si="23"/>
        <v>7840.2</v>
      </c>
      <c r="P84" s="375"/>
      <c r="Q84" s="501"/>
      <c r="R84" s="375"/>
      <c r="S84" s="375"/>
      <c r="T84" s="375"/>
      <c r="U84" s="375"/>
      <c r="V84" s="375"/>
      <c r="W84" s="375"/>
      <c r="X84" s="376"/>
      <c r="Y84" s="368"/>
      <c r="Z84" s="376"/>
      <c r="AA84" s="376"/>
      <c r="AB84" s="378"/>
      <c r="AC84" s="375"/>
      <c r="AD84" s="375"/>
      <c r="AE84" s="375"/>
    </row>
    <row r="85" s="264" customFormat="1" ht="12.75" spans="1:31">
      <c r="A85" s="503"/>
      <c r="B85" s="503"/>
      <c r="C85" s="356">
        <v>240913000016</v>
      </c>
      <c r="D85" s="357">
        <v>45559</v>
      </c>
      <c r="E85" s="355" t="s">
        <v>190</v>
      </c>
      <c r="F85" s="355" t="s">
        <v>226</v>
      </c>
      <c r="G85" s="355">
        <v>2.9348</v>
      </c>
      <c r="H85" s="355">
        <v>1250</v>
      </c>
      <c r="I85" s="358">
        <v>5998.7</v>
      </c>
      <c r="J85" s="369"/>
      <c r="K85" s="360"/>
      <c r="L85" s="361"/>
      <c r="M85" s="360"/>
      <c r="N85" s="355"/>
      <c r="O85" s="364">
        <f t="shared" si="23"/>
        <v>5998.7</v>
      </c>
      <c r="P85" s="375"/>
      <c r="Q85" s="501"/>
      <c r="R85" s="375"/>
      <c r="S85" s="375"/>
      <c r="T85" s="375"/>
      <c r="U85" s="375"/>
      <c r="V85" s="375"/>
      <c r="W85" s="375"/>
      <c r="X85" s="376"/>
      <c r="Y85" s="368"/>
      <c r="Z85" s="376"/>
      <c r="AA85" s="376"/>
      <c r="AB85" s="378"/>
      <c r="AC85" s="375"/>
      <c r="AD85" s="375"/>
      <c r="AE85" s="375"/>
    </row>
    <row r="86" s="264" customFormat="1" ht="12.75" spans="1:31">
      <c r="A86" s="503"/>
      <c r="B86" s="503"/>
      <c r="C86" s="356">
        <v>240915000008</v>
      </c>
      <c r="D86" s="357">
        <v>45559</v>
      </c>
      <c r="E86" s="355" t="s">
        <v>52</v>
      </c>
      <c r="F86" s="355" t="s">
        <v>162</v>
      </c>
      <c r="G86" s="355">
        <v>0.5143</v>
      </c>
      <c r="H86" s="355">
        <v>152</v>
      </c>
      <c r="I86" s="364"/>
      <c r="J86" s="370">
        <v>248724</v>
      </c>
      <c r="K86" s="360"/>
      <c r="L86" s="361">
        <f>SUM(J86/M86)</f>
        <v>1727.25</v>
      </c>
      <c r="M86" s="362">
        <v>144</v>
      </c>
      <c r="N86" s="355">
        <v>7.27</v>
      </c>
      <c r="O86" s="364">
        <f>SUM(M86*N86)</f>
        <v>1046.88</v>
      </c>
      <c r="P86" s="375"/>
      <c r="Q86" s="501"/>
      <c r="R86" s="375"/>
      <c r="S86" s="375"/>
      <c r="T86" s="375"/>
      <c r="U86" s="375"/>
      <c r="V86" s="375"/>
      <c r="W86" s="375"/>
      <c r="X86" s="376"/>
      <c r="Y86" s="368"/>
      <c r="Z86" s="376"/>
      <c r="AA86" s="376"/>
      <c r="AB86" s="378"/>
      <c r="AC86" s="375"/>
      <c r="AD86" s="375"/>
      <c r="AE86" s="375"/>
    </row>
    <row r="87" s="264" customFormat="1" ht="12.75" spans="1:31">
      <c r="A87" s="503"/>
      <c r="B87" s="503"/>
      <c r="C87" s="356">
        <v>240921000018</v>
      </c>
      <c r="D87" s="357">
        <v>45559</v>
      </c>
      <c r="E87" s="355" t="s">
        <v>119</v>
      </c>
      <c r="F87" s="355" t="s">
        <v>227</v>
      </c>
      <c r="G87" s="355">
        <v>3.6205</v>
      </c>
      <c r="H87" s="355">
        <v>786</v>
      </c>
      <c r="I87" s="358">
        <v>7297</v>
      </c>
      <c r="J87" s="369"/>
      <c r="K87" s="360"/>
      <c r="L87" s="361"/>
      <c r="M87" s="360"/>
      <c r="N87" s="355"/>
      <c r="O87" s="364">
        <f t="shared" ref="O87:O99" si="24">SUBTOTAL(9,I87)</f>
        <v>7297</v>
      </c>
      <c r="P87" s="375"/>
      <c r="Q87" s="501"/>
      <c r="R87" s="375"/>
      <c r="S87" s="375"/>
      <c r="T87" s="375"/>
      <c r="U87" s="375"/>
      <c r="V87" s="375"/>
      <c r="W87" s="375"/>
      <c r="X87" s="376"/>
      <c r="Y87" s="368"/>
      <c r="Z87" s="376"/>
      <c r="AA87" s="376"/>
      <c r="AB87" s="378"/>
      <c r="AC87" s="375"/>
      <c r="AD87" s="375"/>
      <c r="AE87" s="375"/>
    </row>
    <row r="88" s="264" customFormat="1" ht="12.75" spans="1:31">
      <c r="A88" s="503"/>
      <c r="B88" s="503"/>
      <c r="C88" s="356">
        <v>240906000023</v>
      </c>
      <c r="D88" s="357">
        <v>45559</v>
      </c>
      <c r="E88" s="355" t="s">
        <v>40</v>
      </c>
      <c r="F88" s="355" t="s">
        <v>158</v>
      </c>
      <c r="G88" s="355">
        <v>10.189</v>
      </c>
      <c r="H88" s="355">
        <v>4334</v>
      </c>
      <c r="I88" s="364">
        <v>20928</v>
      </c>
      <c r="J88" s="369"/>
      <c r="K88" s="360"/>
      <c r="L88" s="361"/>
      <c r="M88" s="360"/>
      <c r="N88" s="355"/>
      <c r="O88" s="364">
        <f t="shared" si="24"/>
        <v>20928</v>
      </c>
      <c r="P88" s="375"/>
      <c r="Q88" s="501"/>
      <c r="R88" s="375"/>
      <c r="S88" s="375"/>
      <c r="T88" s="375"/>
      <c r="U88" s="375"/>
      <c r="V88" s="375"/>
      <c r="W88" s="375"/>
      <c r="X88" s="376"/>
      <c r="Y88" s="368"/>
      <c r="Z88" s="376"/>
      <c r="AA88" s="376"/>
      <c r="AB88" s="378"/>
      <c r="AC88" s="375"/>
      <c r="AD88" s="375"/>
      <c r="AE88" s="375"/>
    </row>
    <row r="89" s="264" customFormat="1" ht="12.75" spans="1:31">
      <c r="A89" s="503"/>
      <c r="B89" s="503"/>
      <c r="C89" s="356">
        <v>240924000002</v>
      </c>
      <c r="D89" s="357">
        <v>45559</v>
      </c>
      <c r="E89" s="355" t="s">
        <v>40</v>
      </c>
      <c r="F89" s="355" t="s">
        <v>112</v>
      </c>
      <c r="G89" s="355">
        <v>2.1628</v>
      </c>
      <c r="H89" s="355">
        <v>650</v>
      </c>
      <c r="I89" s="358">
        <v>4123.95</v>
      </c>
      <c r="J89" s="369"/>
      <c r="K89" s="360"/>
      <c r="L89" s="361"/>
      <c r="M89" s="360"/>
      <c r="N89" s="355"/>
      <c r="O89" s="364">
        <f t="shared" si="24"/>
        <v>4123.95</v>
      </c>
      <c r="P89" s="375"/>
      <c r="Q89" s="501"/>
      <c r="R89" s="375"/>
      <c r="S89" s="375"/>
      <c r="T89" s="375"/>
      <c r="U89" s="375"/>
      <c r="V89" s="375"/>
      <c r="W89" s="375"/>
      <c r="X89" s="376"/>
      <c r="Y89" s="368"/>
      <c r="Z89" s="376"/>
      <c r="AA89" s="376"/>
      <c r="AB89" s="378"/>
      <c r="AC89" s="375"/>
      <c r="AD89" s="375"/>
      <c r="AE89" s="375"/>
    </row>
    <row r="90" s="264" customFormat="1" ht="12.75" spans="1:31">
      <c r="A90" s="503"/>
      <c r="B90" s="503"/>
      <c r="C90" s="356">
        <v>240924000003</v>
      </c>
      <c r="D90" s="357">
        <v>45559</v>
      </c>
      <c r="E90" s="355" t="s">
        <v>40</v>
      </c>
      <c r="F90" s="355" t="s">
        <v>112</v>
      </c>
      <c r="G90" s="355">
        <v>7.5034</v>
      </c>
      <c r="H90" s="355">
        <v>1232</v>
      </c>
      <c r="I90" s="358">
        <v>14307.08</v>
      </c>
      <c r="J90" s="369"/>
      <c r="K90" s="360"/>
      <c r="L90" s="361"/>
      <c r="M90" s="360"/>
      <c r="N90" s="355"/>
      <c r="O90" s="364">
        <f t="shared" si="24"/>
        <v>14307.08</v>
      </c>
      <c r="P90" s="375"/>
      <c r="Q90" s="501"/>
      <c r="R90" s="375"/>
      <c r="S90" s="375"/>
      <c r="T90" s="375"/>
      <c r="U90" s="375"/>
      <c r="V90" s="375"/>
      <c r="W90" s="375"/>
      <c r="X90" s="376"/>
      <c r="Y90" s="368"/>
      <c r="Z90" s="376"/>
      <c r="AA90" s="376"/>
      <c r="AB90" s="378"/>
      <c r="AC90" s="375"/>
      <c r="AD90" s="375"/>
      <c r="AE90" s="375"/>
    </row>
    <row r="91" s="264" customFormat="1" ht="12.75" spans="1:31">
      <c r="A91" s="503"/>
      <c r="B91" s="503"/>
      <c r="C91" s="356">
        <v>240924000004</v>
      </c>
      <c r="D91" s="357">
        <v>45559</v>
      </c>
      <c r="E91" s="355" t="s">
        <v>40</v>
      </c>
      <c r="F91" s="355" t="s">
        <v>112</v>
      </c>
      <c r="G91" s="355">
        <v>0.1491</v>
      </c>
      <c r="H91" s="355">
        <v>143</v>
      </c>
      <c r="I91" s="358">
        <v>284.49</v>
      </c>
      <c r="J91" s="369"/>
      <c r="K91" s="360"/>
      <c r="L91" s="361"/>
      <c r="M91" s="360"/>
      <c r="N91" s="355"/>
      <c r="O91" s="364">
        <f t="shared" si="24"/>
        <v>284.49</v>
      </c>
      <c r="P91" s="375"/>
      <c r="Q91" s="501"/>
      <c r="R91" s="375"/>
      <c r="S91" s="375"/>
      <c r="T91" s="375"/>
      <c r="U91" s="375"/>
      <c r="V91" s="375"/>
      <c r="W91" s="375"/>
      <c r="X91" s="376"/>
      <c r="Y91" s="368"/>
      <c r="Z91" s="376"/>
      <c r="AA91" s="376"/>
      <c r="AB91" s="378"/>
      <c r="AC91" s="375"/>
      <c r="AD91" s="375"/>
      <c r="AE91" s="375"/>
    </row>
    <row r="92" s="264" customFormat="1" ht="12.75" spans="1:31">
      <c r="A92" s="503"/>
      <c r="B92" s="503"/>
      <c r="C92" s="356">
        <v>240924000005</v>
      </c>
      <c r="D92" s="357">
        <v>45559</v>
      </c>
      <c r="E92" s="355" t="s">
        <v>40</v>
      </c>
      <c r="F92" s="355" t="s">
        <v>112</v>
      </c>
      <c r="G92" s="389">
        <v>0.817</v>
      </c>
      <c r="H92" s="390">
        <v>358</v>
      </c>
      <c r="I92" s="358">
        <v>1558.03</v>
      </c>
      <c r="J92" s="369"/>
      <c r="K92" s="360"/>
      <c r="L92" s="361"/>
      <c r="M92" s="360"/>
      <c r="N92" s="355"/>
      <c r="O92" s="364">
        <f t="shared" si="24"/>
        <v>1558.03</v>
      </c>
      <c r="P92" s="375"/>
      <c r="Q92" s="501"/>
      <c r="R92" s="375"/>
      <c r="S92" s="375"/>
      <c r="T92" s="375"/>
      <c r="U92" s="375"/>
      <c r="V92" s="375"/>
      <c r="W92" s="375"/>
      <c r="X92" s="376"/>
      <c r="Y92" s="368"/>
      <c r="Z92" s="376"/>
      <c r="AA92" s="376"/>
      <c r="AB92" s="378"/>
      <c r="AC92" s="375"/>
      <c r="AD92" s="375"/>
      <c r="AE92" s="375"/>
    </row>
    <row r="93" s="264" customFormat="1" ht="12.75" spans="1:31">
      <c r="A93" s="503"/>
      <c r="B93" s="503"/>
      <c r="C93" s="356">
        <v>240924000006</v>
      </c>
      <c r="D93" s="357">
        <v>45559</v>
      </c>
      <c r="E93" s="355" t="s">
        <v>40</v>
      </c>
      <c r="F93" s="355" t="s">
        <v>112</v>
      </c>
      <c r="G93" s="355">
        <v>4.261</v>
      </c>
      <c r="H93" s="355">
        <v>638</v>
      </c>
      <c r="I93" s="358">
        <v>8122.76</v>
      </c>
      <c r="J93" s="369"/>
      <c r="K93" s="360"/>
      <c r="L93" s="361"/>
      <c r="M93" s="360"/>
      <c r="N93" s="355"/>
      <c r="O93" s="364">
        <f t="shared" si="24"/>
        <v>8122.76</v>
      </c>
      <c r="P93" s="375"/>
      <c r="Q93" s="501"/>
      <c r="R93" s="375"/>
      <c r="S93" s="375"/>
      <c r="T93" s="375"/>
      <c r="U93" s="375"/>
      <c r="V93" s="375"/>
      <c r="W93" s="375"/>
      <c r="X93" s="376"/>
      <c r="Y93" s="368"/>
      <c r="Z93" s="376"/>
      <c r="AA93" s="376"/>
      <c r="AB93" s="378"/>
      <c r="AC93" s="375"/>
      <c r="AD93" s="375"/>
      <c r="AE93" s="375"/>
    </row>
    <row r="94" s="264" customFormat="1" ht="12.75" spans="1:31">
      <c r="A94" s="503"/>
      <c r="B94" s="503"/>
      <c r="C94" s="356">
        <v>240924000007</v>
      </c>
      <c r="D94" s="357">
        <v>45559</v>
      </c>
      <c r="E94" s="355" t="s">
        <v>40</v>
      </c>
      <c r="F94" s="355" t="s">
        <v>112</v>
      </c>
      <c r="G94" s="355">
        <v>3.099</v>
      </c>
      <c r="H94" s="355">
        <v>438</v>
      </c>
      <c r="I94" s="358">
        <v>5908.61</v>
      </c>
      <c r="J94" s="369"/>
      <c r="K94" s="360"/>
      <c r="L94" s="361"/>
      <c r="M94" s="360"/>
      <c r="N94" s="355"/>
      <c r="O94" s="364">
        <f t="shared" si="24"/>
        <v>5908.61</v>
      </c>
      <c r="P94" s="375"/>
      <c r="Q94" s="501"/>
      <c r="R94" s="375"/>
      <c r="S94" s="375"/>
      <c r="T94" s="375"/>
      <c r="U94" s="375"/>
      <c r="V94" s="375"/>
      <c r="W94" s="375"/>
      <c r="X94" s="376"/>
      <c r="Y94" s="368"/>
      <c r="Z94" s="376"/>
      <c r="AA94" s="376"/>
      <c r="AB94" s="378"/>
      <c r="AC94" s="375"/>
      <c r="AD94" s="375"/>
      <c r="AE94" s="375"/>
    </row>
    <row r="95" s="264" customFormat="1" ht="12.75" spans="1:31">
      <c r="A95" s="504"/>
      <c r="B95" s="504"/>
      <c r="C95" s="356">
        <v>240925000014</v>
      </c>
      <c r="D95" s="357">
        <v>45559</v>
      </c>
      <c r="E95" s="355" t="s">
        <v>44</v>
      </c>
      <c r="F95" s="355" t="s">
        <v>112</v>
      </c>
      <c r="G95" s="355">
        <v>25.12</v>
      </c>
      <c r="H95" s="355">
        <v>4000</v>
      </c>
      <c r="I95" s="358">
        <v>47873.94</v>
      </c>
      <c r="J95" s="369"/>
      <c r="K95" s="360"/>
      <c r="L95" s="361"/>
      <c r="M95" s="360"/>
      <c r="N95" s="355"/>
      <c r="O95" s="364">
        <f t="shared" si="24"/>
        <v>47873.94</v>
      </c>
      <c r="P95" s="379"/>
      <c r="Q95" s="502"/>
      <c r="R95" s="379"/>
      <c r="S95" s="379"/>
      <c r="T95" s="379"/>
      <c r="U95" s="379"/>
      <c r="V95" s="379"/>
      <c r="W95" s="379"/>
      <c r="X95" s="377"/>
      <c r="Y95" s="368"/>
      <c r="Z95" s="377"/>
      <c r="AA95" s="377"/>
      <c r="AB95" s="380"/>
      <c r="AC95" s="379"/>
      <c r="AD95" s="379"/>
      <c r="AE95" s="379"/>
    </row>
    <row r="96" s="264" customFormat="1" ht="12.75" spans="1:31">
      <c r="A96" s="354" t="s">
        <v>228</v>
      </c>
      <c r="B96" s="355" t="s">
        <v>229</v>
      </c>
      <c r="C96" s="356">
        <v>240912000038</v>
      </c>
      <c r="D96" s="357">
        <v>45560</v>
      </c>
      <c r="E96" s="355" t="s">
        <v>49</v>
      </c>
      <c r="F96" s="355" t="s">
        <v>117</v>
      </c>
      <c r="G96" s="355">
        <v>6.0188</v>
      </c>
      <c r="H96" s="355">
        <v>1018</v>
      </c>
      <c r="I96" s="358">
        <v>12660</v>
      </c>
      <c r="J96" s="369"/>
      <c r="K96" s="360"/>
      <c r="L96" s="361"/>
      <c r="M96" s="360"/>
      <c r="N96" s="355"/>
      <c r="O96" s="364">
        <f t="shared" si="24"/>
        <v>12660</v>
      </c>
      <c r="P96" s="371">
        <f>SUM(O96:O105)</f>
        <v>155300.8834</v>
      </c>
      <c r="Q96" s="372" t="s">
        <v>230</v>
      </c>
      <c r="R96" s="371">
        <v>41943</v>
      </c>
      <c r="S96" s="371"/>
      <c r="T96" s="371">
        <v>1300</v>
      </c>
      <c r="U96" s="371"/>
      <c r="V96" s="371"/>
      <c r="W96" s="371">
        <f>SUM(R96:V105)</f>
        <v>43243</v>
      </c>
      <c r="X96" s="373">
        <v>10737.46</v>
      </c>
      <c r="Y96" s="373"/>
      <c r="Z96" s="373">
        <v>53.1</v>
      </c>
      <c r="AA96" s="373">
        <f>SUM(X96:Z105)</f>
        <v>10790.56</v>
      </c>
      <c r="AB96" s="374">
        <v>7.18</v>
      </c>
      <c r="AC96" s="371">
        <f>SUM(AA96*AB96)</f>
        <v>77476.2208</v>
      </c>
      <c r="AD96" s="371">
        <f>SUM(W96+AC96)</f>
        <v>120719.2208</v>
      </c>
      <c r="AE96" s="371">
        <f>SUM(P96-AD96)</f>
        <v>34581.6626</v>
      </c>
    </row>
    <row r="97" s="264" customFormat="1" ht="12.75" spans="1:31">
      <c r="A97" s="354"/>
      <c r="B97" s="355"/>
      <c r="C97" s="356">
        <v>240914000053</v>
      </c>
      <c r="D97" s="357">
        <v>45560</v>
      </c>
      <c r="E97" s="355" t="s">
        <v>49</v>
      </c>
      <c r="F97" s="355" t="s">
        <v>117</v>
      </c>
      <c r="G97" s="355">
        <v>0.3137</v>
      </c>
      <c r="H97" s="355">
        <v>144.5</v>
      </c>
      <c r="I97" s="505">
        <v>672.8</v>
      </c>
      <c r="J97" s="369"/>
      <c r="K97" s="360"/>
      <c r="L97" s="361"/>
      <c r="M97" s="506"/>
      <c r="N97" s="355"/>
      <c r="O97" s="364">
        <f t="shared" si="24"/>
        <v>672.8</v>
      </c>
      <c r="P97" s="371"/>
      <c r="Q97" s="372"/>
      <c r="R97" s="371"/>
      <c r="S97" s="371"/>
      <c r="T97" s="371"/>
      <c r="U97" s="371"/>
      <c r="V97" s="371"/>
      <c r="W97" s="371"/>
      <c r="X97" s="373"/>
      <c r="Y97" s="373"/>
      <c r="Z97" s="373"/>
      <c r="AA97" s="373"/>
      <c r="AB97" s="374"/>
      <c r="AC97" s="371"/>
      <c r="AD97" s="371"/>
      <c r="AE97" s="371"/>
    </row>
    <row r="98" s="264" customFormat="1" ht="12.75" spans="1:31">
      <c r="A98" s="354"/>
      <c r="B98" s="355"/>
      <c r="C98" s="356">
        <v>240923000035</v>
      </c>
      <c r="D98" s="357">
        <v>45547</v>
      </c>
      <c r="E98" s="355" t="s">
        <v>49</v>
      </c>
      <c r="F98" s="355" t="s">
        <v>204</v>
      </c>
      <c r="G98" s="355">
        <v>0.7148</v>
      </c>
      <c r="H98" s="355">
        <v>310</v>
      </c>
      <c r="I98" s="358">
        <v>1406</v>
      </c>
      <c r="J98" s="369"/>
      <c r="K98" s="360"/>
      <c r="L98" s="361"/>
      <c r="M98" s="368"/>
      <c r="N98" s="355"/>
      <c r="O98" s="364">
        <f t="shared" si="24"/>
        <v>1406</v>
      </c>
      <c r="P98" s="375"/>
      <c r="Q98" s="375"/>
      <c r="R98" s="375"/>
      <c r="S98" s="375"/>
      <c r="T98" s="375"/>
      <c r="U98" s="375"/>
      <c r="V98" s="375"/>
      <c r="W98" s="375"/>
      <c r="X98" s="376"/>
      <c r="Y98" s="376"/>
      <c r="Z98" s="376"/>
      <c r="AA98" s="376"/>
      <c r="AB98" s="378"/>
      <c r="AC98" s="375"/>
      <c r="AD98" s="375"/>
      <c r="AE98" s="375"/>
    </row>
    <row r="99" s="264" customFormat="1" ht="12.75" spans="1:31">
      <c r="A99" s="354"/>
      <c r="B99" s="355"/>
      <c r="C99" s="356">
        <v>240912000064</v>
      </c>
      <c r="D99" s="357">
        <v>45560</v>
      </c>
      <c r="E99" s="355" t="s">
        <v>40</v>
      </c>
      <c r="F99" s="355" t="s">
        <v>231</v>
      </c>
      <c r="G99" s="355">
        <v>5.0147</v>
      </c>
      <c r="H99" s="355">
        <v>766</v>
      </c>
      <c r="I99" s="358">
        <v>10109.64</v>
      </c>
      <c r="J99" s="369"/>
      <c r="K99" s="360"/>
      <c r="L99" s="361"/>
      <c r="M99" s="360"/>
      <c r="N99" s="355"/>
      <c r="O99" s="364">
        <f t="shared" si="24"/>
        <v>10109.64</v>
      </c>
      <c r="P99" s="375"/>
      <c r="Q99" s="375"/>
      <c r="R99" s="375"/>
      <c r="S99" s="375"/>
      <c r="T99" s="375"/>
      <c r="U99" s="375"/>
      <c r="V99" s="375"/>
      <c r="W99" s="375"/>
      <c r="X99" s="376"/>
      <c r="Y99" s="376"/>
      <c r="Z99" s="376"/>
      <c r="AA99" s="376"/>
      <c r="AB99" s="378"/>
      <c r="AC99" s="375"/>
      <c r="AD99" s="375"/>
      <c r="AE99" s="375"/>
    </row>
    <row r="100" s="264" customFormat="1" ht="12.75" spans="1:31">
      <c r="A100" s="354"/>
      <c r="B100" s="355"/>
      <c r="C100" s="356">
        <v>240918000030</v>
      </c>
      <c r="D100" s="357">
        <v>45560</v>
      </c>
      <c r="E100" s="355" t="s">
        <v>52</v>
      </c>
      <c r="F100" s="355" t="s">
        <v>232</v>
      </c>
      <c r="G100" s="355">
        <v>6.4512</v>
      </c>
      <c r="H100" s="355">
        <v>2312</v>
      </c>
      <c r="I100" s="364"/>
      <c r="J100" s="370">
        <v>3152063.3</v>
      </c>
      <c r="K100" s="360"/>
      <c r="L100" s="361">
        <f>SUM(J100/M100)</f>
        <v>1745</v>
      </c>
      <c r="M100" s="362">
        <v>1806.34</v>
      </c>
      <c r="N100" s="355">
        <v>7.21</v>
      </c>
      <c r="O100" s="364">
        <f>SUM(M100*N100)</f>
        <v>13023.7114</v>
      </c>
      <c r="P100" s="375"/>
      <c r="Q100" s="375"/>
      <c r="R100" s="375"/>
      <c r="S100" s="375"/>
      <c r="T100" s="375"/>
      <c r="U100" s="375"/>
      <c r="V100" s="375"/>
      <c r="W100" s="375"/>
      <c r="X100" s="376"/>
      <c r="Y100" s="376"/>
      <c r="Z100" s="376"/>
      <c r="AA100" s="376"/>
      <c r="AB100" s="378"/>
      <c r="AC100" s="375"/>
      <c r="AD100" s="375"/>
      <c r="AE100" s="375"/>
    </row>
    <row r="101" s="264" customFormat="1" ht="12.75" spans="1:31">
      <c r="A101" s="354"/>
      <c r="B101" s="355"/>
      <c r="C101" s="356">
        <v>240924000002</v>
      </c>
      <c r="D101" s="357">
        <v>45560</v>
      </c>
      <c r="E101" s="355" t="s">
        <v>40</v>
      </c>
      <c r="F101" s="355" t="s">
        <v>112</v>
      </c>
      <c r="G101" s="355">
        <v>1.6316</v>
      </c>
      <c r="H101" s="355">
        <v>279.5</v>
      </c>
      <c r="I101" s="358">
        <v>2779.87</v>
      </c>
      <c r="J101" s="369"/>
      <c r="K101" s="360"/>
      <c r="L101" s="361"/>
      <c r="M101" s="360"/>
      <c r="N101" s="355"/>
      <c r="O101" s="364">
        <f t="shared" ref="O101:O104" si="25">SUBTOTAL(9,I101)</f>
        <v>2779.87</v>
      </c>
      <c r="P101" s="375"/>
      <c r="Q101" s="375"/>
      <c r="R101" s="375"/>
      <c r="S101" s="375"/>
      <c r="T101" s="375"/>
      <c r="U101" s="379"/>
      <c r="V101" s="375"/>
      <c r="W101" s="375"/>
      <c r="X101" s="376"/>
      <c r="Y101" s="376"/>
      <c r="Z101" s="376"/>
      <c r="AA101" s="376"/>
      <c r="AB101" s="378"/>
      <c r="AC101" s="375"/>
      <c r="AD101" s="375"/>
      <c r="AE101" s="375"/>
    </row>
    <row r="102" s="264" customFormat="1" ht="12.75" spans="1:31">
      <c r="A102" s="354"/>
      <c r="B102" s="355"/>
      <c r="C102" s="356">
        <v>240921000019</v>
      </c>
      <c r="D102" s="357">
        <v>45547</v>
      </c>
      <c r="E102" s="355" t="s">
        <v>190</v>
      </c>
      <c r="F102" s="355" t="s">
        <v>196</v>
      </c>
      <c r="G102" s="355">
        <v>9.0628</v>
      </c>
      <c r="H102" s="355">
        <v>3434.65</v>
      </c>
      <c r="I102" s="358">
        <v>18527.4</v>
      </c>
      <c r="J102" s="369"/>
      <c r="K102" s="360"/>
      <c r="L102" s="361"/>
      <c r="M102" s="368"/>
      <c r="N102" s="355"/>
      <c r="O102" s="364">
        <f t="shared" si="25"/>
        <v>18527.4</v>
      </c>
      <c r="P102" s="375"/>
      <c r="Q102" s="375"/>
      <c r="R102" s="375"/>
      <c r="S102" s="375"/>
      <c r="T102" s="375"/>
      <c r="U102" s="367"/>
      <c r="V102" s="375"/>
      <c r="W102" s="375"/>
      <c r="X102" s="376"/>
      <c r="Y102" s="376"/>
      <c r="Z102" s="376"/>
      <c r="AA102" s="376"/>
      <c r="AB102" s="378"/>
      <c r="AC102" s="375"/>
      <c r="AD102" s="375"/>
      <c r="AE102" s="375"/>
    </row>
    <row r="103" s="264" customFormat="1" ht="12.75" spans="1:31">
      <c r="A103" s="354"/>
      <c r="B103" s="355"/>
      <c r="C103" s="356">
        <v>240924000001</v>
      </c>
      <c r="D103" s="357">
        <v>45560</v>
      </c>
      <c r="E103" s="355" t="s">
        <v>40</v>
      </c>
      <c r="F103" s="355" t="s">
        <v>112</v>
      </c>
      <c r="G103" s="355">
        <v>29.32</v>
      </c>
      <c r="H103" s="355">
        <v>1291</v>
      </c>
      <c r="I103" s="358">
        <v>49953.95</v>
      </c>
      <c r="J103" s="369"/>
      <c r="K103" s="360"/>
      <c r="L103" s="361"/>
      <c r="M103" s="360"/>
      <c r="N103" s="355"/>
      <c r="O103" s="364">
        <f t="shared" si="25"/>
        <v>49953.95</v>
      </c>
      <c r="P103" s="375"/>
      <c r="Q103" s="375"/>
      <c r="R103" s="375"/>
      <c r="S103" s="375"/>
      <c r="T103" s="375"/>
      <c r="U103" s="371"/>
      <c r="V103" s="375"/>
      <c r="W103" s="375"/>
      <c r="X103" s="376"/>
      <c r="Y103" s="376"/>
      <c r="Z103" s="376"/>
      <c r="AA103" s="376"/>
      <c r="AB103" s="378"/>
      <c r="AC103" s="375"/>
      <c r="AD103" s="375"/>
      <c r="AE103" s="375"/>
    </row>
    <row r="104" s="264" customFormat="1" ht="12.75" spans="1:31">
      <c r="A104" s="354"/>
      <c r="B104" s="355"/>
      <c r="C104" s="356">
        <v>240924000008</v>
      </c>
      <c r="D104" s="357">
        <v>45560</v>
      </c>
      <c r="E104" s="355" t="s">
        <v>40</v>
      </c>
      <c r="F104" s="355" t="s">
        <v>112</v>
      </c>
      <c r="G104" s="355">
        <v>6.42</v>
      </c>
      <c r="H104" s="355">
        <v>1637</v>
      </c>
      <c r="I104" s="358">
        <v>11242.58</v>
      </c>
      <c r="J104" s="369"/>
      <c r="K104" s="360"/>
      <c r="L104" s="361"/>
      <c r="M104" s="360"/>
      <c r="N104" s="355"/>
      <c r="O104" s="364">
        <f t="shared" si="25"/>
        <v>11242.58</v>
      </c>
      <c r="P104" s="375"/>
      <c r="Q104" s="375"/>
      <c r="R104" s="375"/>
      <c r="S104" s="375"/>
      <c r="T104" s="375"/>
      <c r="U104" s="375"/>
      <c r="V104" s="375"/>
      <c r="W104" s="375"/>
      <c r="X104" s="376"/>
      <c r="Y104" s="376"/>
      <c r="Z104" s="376"/>
      <c r="AA104" s="376"/>
      <c r="AB104" s="378"/>
      <c r="AC104" s="375"/>
      <c r="AD104" s="375"/>
      <c r="AE104" s="375"/>
    </row>
    <row r="105" s="264" customFormat="1" ht="12.75" spans="1:31">
      <c r="A105" s="354"/>
      <c r="B105" s="355"/>
      <c r="C105" s="356">
        <v>240924000028</v>
      </c>
      <c r="D105" s="357">
        <v>45560</v>
      </c>
      <c r="E105" s="355" t="s">
        <v>40</v>
      </c>
      <c r="F105" s="355" t="s">
        <v>233</v>
      </c>
      <c r="G105" s="355">
        <v>15.66</v>
      </c>
      <c r="H105" s="355">
        <v>10000</v>
      </c>
      <c r="I105" s="364"/>
      <c r="J105" s="370">
        <v>8627642.1</v>
      </c>
      <c r="K105" s="360"/>
      <c r="L105" s="361">
        <f>SUM(J105/M105)</f>
        <v>1749</v>
      </c>
      <c r="M105" s="362">
        <v>4932.9</v>
      </c>
      <c r="N105" s="355">
        <v>7.08</v>
      </c>
      <c r="O105" s="364">
        <f>SUM(M105*N105)</f>
        <v>34924.932</v>
      </c>
      <c r="P105" s="379"/>
      <c r="Q105" s="379"/>
      <c r="R105" s="379"/>
      <c r="S105" s="379"/>
      <c r="T105" s="379"/>
      <c r="U105" s="379"/>
      <c r="V105" s="379"/>
      <c r="W105" s="379"/>
      <c r="X105" s="377"/>
      <c r="Y105" s="377"/>
      <c r="Z105" s="377"/>
      <c r="AA105" s="377"/>
      <c r="AB105" s="380"/>
      <c r="AC105" s="379"/>
      <c r="AD105" s="379"/>
      <c r="AE105" s="379"/>
    </row>
    <row r="106" s="263" customFormat="1" ht="18" customHeight="1" spans="1:31">
      <c r="A106" s="488" t="s">
        <v>69</v>
      </c>
      <c r="B106" s="488"/>
      <c r="C106" s="402"/>
      <c r="D106" s="403"/>
      <c r="E106" s="402"/>
      <c r="F106" s="402"/>
      <c r="G106" s="474">
        <f>SUM(G5:G105)</f>
        <v>468.5491</v>
      </c>
      <c r="H106" s="474">
        <f t="shared" ref="H106:M106" si="26">SUM(H5:H105)</f>
        <v>148279.33</v>
      </c>
      <c r="I106" s="489">
        <f t="shared" si="26"/>
        <v>723931.46</v>
      </c>
      <c r="J106" s="474">
        <f t="shared" si="26"/>
        <v>89400084.2</v>
      </c>
      <c r="K106" s="406">
        <f t="shared" si="26"/>
        <v>1229.66</v>
      </c>
      <c r="L106" s="474"/>
      <c r="M106" s="406">
        <f t="shared" si="26"/>
        <v>54126.620801</v>
      </c>
      <c r="N106" s="507">
        <v>7.16861</v>
      </c>
      <c r="O106" s="508">
        <f>SUM(O5:O105)</f>
        <v>1111944.42705448</v>
      </c>
      <c r="P106" s="508">
        <f>SUM(P5:P105)</f>
        <v>1111944.42705448</v>
      </c>
      <c r="Q106" s="476"/>
      <c r="R106" s="476">
        <f>SUM(R5:R105)</f>
        <v>297570.7</v>
      </c>
      <c r="S106" s="476">
        <f t="shared" ref="S106:X106" si="27">SUM(S5:S105)</f>
        <v>467.62</v>
      </c>
      <c r="T106" s="476">
        <f t="shared" si="27"/>
        <v>8900</v>
      </c>
      <c r="U106" s="476">
        <f t="shared" si="27"/>
        <v>2080</v>
      </c>
      <c r="V106" s="476">
        <f t="shared" si="27"/>
        <v>1275.5</v>
      </c>
      <c r="W106" s="476">
        <f t="shared" si="27"/>
        <v>310293.82</v>
      </c>
      <c r="X106" s="407">
        <f t="shared" si="27"/>
        <v>82123.87</v>
      </c>
      <c r="Y106" s="407">
        <f t="shared" ref="Y106:AA106" si="28">SUM(Y5:Y105)</f>
        <v>3782.87</v>
      </c>
      <c r="Z106" s="407">
        <f t="shared" si="28"/>
        <v>312.7</v>
      </c>
      <c r="AA106" s="509">
        <f t="shared" si="28"/>
        <v>86219.44</v>
      </c>
      <c r="AB106" s="222">
        <v>7.16861</v>
      </c>
      <c r="AC106" s="409">
        <f>SUM(AC5:AC105)</f>
        <v>615824.7136</v>
      </c>
      <c r="AD106" s="409">
        <f t="shared" ref="AD106:AE106" si="29">SUM(AD5:AD105)</f>
        <v>926118.5336</v>
      </c>
      <c r="AE106" s="409">
        <f t="shared" si="29"/>
        <v>185825.89345448</v>
      </c>
    </row>
    <row r="107" ht="17.5" customHeight="1"/>
    <row r="108" s="263" customFormat="1" ht="40" customHeight="1" spans="1:31">
      <c r="A108" s="302"/>
      <c r="D108" s="410"/>
      <c r="G108" s="411" t="s">
        <v>70</v>
      </c>
      <c r="H108" s="412" t="s">
        <v>71</v>
      </c>
      <c r="I108" s="413" t="s">
        <v>72</v>
      </c>
      <c r="J108" s="414" t="s">
        <v>73</v>
      </c>
      <c r="K108" s="411" t="s">
        <v>22</v>
      </c>
      <c r="L108" s="414" t="s">
        <v>74</v>
      </c>
      <c r="M108" s="415"/>
      <c r="N108" s="416"/>
      <c r="O108" s="417"/>
      <c r="P108" s="263"/>
      <c r="Q108" s="418"/>
      <c r="R108" s="263"/>
      <c r="S108" s="419"/>
      <c r="T108" s="263"/>
      <c r="U108" s="263"/>
      <c r="V108" s="263"/>
      <c r="W108" s="303"/>
      <c r="X108" s="298"/>
      <c r="Y108" s="420"/>
      <c r="Z108" s="420"/>
      <c r="AA108" s="421"/>
      <c r="AB108" s="422"/>
      <c r="AC108" s="422"/>
    </row>
    <row r="109" ht="28.5" customHeight="1" spans="1:31">
      <c r="G109" s="411">
        <v>9</v>
      </c>
      <c r="H109" s="423">
        <f>SUM(M106)</f>
        <v>54126.620801</v>
      </c>
      <c r="I109" s="423">
        <f>SUM(AA106)</f>
        <v>86219.44</v>
      </c>
      <c r="J109" s="424">
        <f>SUM(H109-I109)</f>
        <v>-32092.819199</v>
      </c>
      <c r="K109" s="222">
        <v>7.16861</v>
      </c>
      <c r="L109" s="425">
        <f>SUM(J109*K109)</f>
        <v>-230060.904638143</v>
      </c>
      <c r="M109" s="426"/>
      <c r="N109" s="426"/>
      <c r="O109" s="426"/>
      <c r="P109" s="426"/>
      <c r="Q109" s="269"/>
      <c r="R109"/>
      <c r="S109" s="270"/>
      <c r="T109"/>
      <c r="U109"/>
      <c r="V109"/>
      <c r="X109" s="427"/>
      <c r="Y109" s="428"/>
      <c r="Z109" s="428"/>
      <c r="AA109" s="428"/>
      <c r="AB109" s="429"/>
      <c r="AC109" s="429"/>
    </row>
    <row r="110" ht="20.5" customHeight="1" spans="1:31">
      <c r="H110" s="430"/>
      <c r="I110" s="430"/>
      <c r="J110" s="431"/>
      <c r="K110" s="432"/>
      <c r="L110" s="433"/>
      <c r="M110" s="426"/>
      <c r="N110" s="434"/>
      <c r="O110" s="435"/>
      <c r="P110" s="426"/>
      <c r="Q110" s="269"/>
      <c r="R110"/>
      <c r="S110" s="270"/>
      <c r="T110"/>
      <c r="U110"/>
      <c r="V110"/>
      <c r="X110" s="427"/>
      <c r="Y110" s="428"/>
      <c r="Z110" s="428"/>
      <c r="AA110" s="428"/>
      <c r="AB110" s="429"/>
      <c r="AC110" s="429"/>
    </row>
    <row r="111" s="263" customFormat="1" ht="26" customHeight="1" spans="1:31">
      <c r="A111" s="302"/>
      <c r="D111" s="410"/>
      <c r="G111" s="436" t="s">
        <v>70</v>
      </c>
      <c r="H111" s="437" t="s">
        <v>75</v>
      </c>
      <c r="I111" s="438"/>
      <c r="J111" s="438"/>
      <c r="K111" s="439"/>
      <c r="L111" s="440" t="s">
        <v>10</v>
      </c>
      <c r="M111" s="441" t="s">
        <v>76</v>
      </c>
      <c r="N111" s="441" t="s">
        <v>77</v>
      </c>
      <c r="O111" s="442" t="s">
        <v>16</v>
      </c>
      <c r="Q111" s="418"/>
      <c r="R111" s="263"/>
      <c r="S111" s="419"/>
      <c r="T111" s="263"/>
      <c r="U111" s="263"/>
      <c r="V111" s="263"/>
      <c r="W111" s="303"/>
      <c r="X111" s="298"/>
      <c r="Y111" s="420"/>
      <c r="Z111" s="420"/>
      <c r="AA111" s="263"/>
      <c r="AB111" s="422"/>
      <c r="AC111" s="422"/>
    </row>
    <row r="112" s="263" customFormat="1" ht="26" customHeight="1" spans="1:31">
      <c r="A112" s="302"/>
      <c r="D112" s="410"/>
      <c r="G112" s="443"/>
      <c r="H112" s="413" t="s">
        <v>17</v>
      </c>
      <c r="I112" s="412" t="s">
        <v>78</v>
      </c>
      <c r="J112" s="411" t="s">
        <v>22</v>
      </c>
      <c r="K112" s="444" t="s">
        <v>79</v>
      </c>
      <c r="L112" s="445"/>
      <c r="M112" s="446"/>
      <c r="N112" s="446"/>
      <c r="O112" s="447"/>
      <c r="Q112" s="418"/>
      <c r="R112" s="263"/>
      <c r="S112" s="419"/>
      <c r="T112" s="263"/>
      <c r="U112" s="263"/>
      <c r="V112" s="263"/>
      <c r="W112" s="303"/>
      <c r="X112" s="298"/>
      <c r="Y112" s="420"/>
      <c r="Z112" s="420"/>
      <c r="AA112" s="263"/>
      <c r="AB112" s="422"/>
      <c r="AC112" s="422"/>
    </row>
    <row r="113" s="262" customFormat="1" ht="28.5" customHeight="1" spans="1:29">
      <c r="A113" s="301"/>
      <c r="D113" s="410"/>
      <c r="G113" s="411">
        <v>9</v>
      </c>
      <c r="H113" s="448">
        <f>SUM(I106)</f>
        <v>723931.46</v>
      </c>
      <c r="I113" s="407">
        <f>SUM(M106)</f>
        <v>54126.620801</v>
      </c>
      <c r="J113" s="222">
        <v>7.16861</v>
      </c>
      <c r="K113" s="448">
        <f>SUM(I113*J113)</f>
        <v>388012.635140257</v>
      </c>
      <c r="L113" s="449">
        <f>SUM(H113+K113)</f>
        <v>1111944.09514026</v>
      </c>
      <c r="M113" s="448">
        <f>SUM(W106)</f>
        <v>310293.82</v>
      </c>
      <c r="N113" s="450">
        <f>SUM(AC106)</f>
        <v>615824.7136</v>
      </c>
      <c r="O113" s="451">
        <f>SUM(L113-M113-N113)</f>
        <v>185825.561540256</v>
      </c>
      <c r="Q113" s="452"/>
      <c r="S113" s="453"/>
      <c r="W113" s="298"/>
      <c r="X113" s="454"/>
      <c r="Y113" s="454"/>
      <c r="Z113" s="454"/>
      <c r="AA113" s="454"/>
      <c r="AB113" s="455"/>
      <c r="AC113" s="455"/>
    </row>
  </sheetData>
  <autoFilter xmlns:etc="http://www.wps.cn/officeDocument/2017/etCustomData" ref="H4:K109" etc:filterBottomFollowUsedRange="0">
    <extLst/>
  </autoFilter>
  <mergeCells count="147">
    <mergeCell ref="A1:AA1"/>
    <mergeCell ref="I3:O3"/>
    <mergeCell ref="Q3:U3"/>
    <mergeCell ref="X3:AC3"/>
    <mergeCell ref="A106:B106"/>
    <mergeCell ref="H111:K111"/>
    <mergeCell ref="A3:A4"/>
    <mergeCell ref="A5:A17"/>
    <mergeCell ref="A18:A28"/>
    <mergeCell ref="A29:A53"/>
    <mergeCell ref="A54:A58"/>
    <mergeCell ref="A61:A81"/>
    <mergeCell ref="A82:A95"/>
    <mergeCell ref="A96:A105"/>
    <mergeCell ref="B3:B4"/>
    <mergeCell ref="B5:B17"/>
    <mergeCell ref="B18:B28"/>
    <mergeCell ref="B29:B53"/>
    <mergeCell ref="B54:B58"/>
    <mergeCell ref="B61:B81"/>
    <mergeCell ref="B82:B95"/>
    <mergeCell ref="B96:B105"/>
    <mergeCell ref="C3:C4"/>
    <mergeCell ref="D3:D4"/>
    <mergeCell ref="E3:E4"/>
    <mergeCell ref="F3:F4"/>
    <mergeCell ref="G3:G4"/>
    <mergeCell ref="G111:G112"/>
    <mergeCell ref="H3:H4"/>
    <mergeCell ref="L111:L112"/>
    <mergeCell ref="M111:M112"/>
    <mergeCell ref="N111:N112"/>
    <mergeCell ref="O111:O112"/>
    <mergeCell ref="P3:P4"/>
    <mergeCell ref="P5:P17"/>
    <mergeCell ref="P18:P28"/>
    <mergeCell ref="P29:P53"/>
    <mergeCell ref="P54:P58"/>
    <mergeCell ref="P61:P81"/>
    <mergeCell ref="P82:P95"/>
    <mergeCell ref="P96:P105"/>
    <mergeCell ref="Q5:Q17"/>
    <mergeCell ref="Q18:Q28"/>
    <mergeCell ref="Q29:Q53"/>
    <mergeCell ref="Q54:Q58"/>
    <mergeCell ref="Q61:Q81"/>
    <mergeCell ref="Q82:Q95"/>
    <mergeCell ref="Q96:Q105"/>
    <mergeCell ref="R5:R17"/>
    <mergeCell ref="R18:R28"/>
    <mergeCell ref="R29:R53"/>
    <mergeCell ref="R54:R58"/>
    <mergeCell ref="R61:R81"/>
    <mergeCell ref="R82:R95"/>
    <mergeCell ref="R96:R105"/>
    <mergeCell ref="S5:S17"/>
    <mergeCell ref="S18:S28"/>
    <mergeCell ref="S29:S53"/>
    <mergeCell ref="S54:S58"/>
    <mergeCell ref="S61:S81"/>
    <mergeCell ref="S82:S95"/>
    <mergeCell ref="S96:S105"/>
    <mergeCell ref="T5:T17"/>
    <mergeCell ref="T18:T28"/>
    <mergeCell ref="T29:T53"/>
    <mergeCell ref="T54:T58"/>
    <mergeCell ref="T61:T81"/>
    <mergeCell ref="T82:T95"/>
    <mergeCell ref="T96:T105"/>
    <mergeCell ref="U6:U17"/>
    <mergeCell ref="U18:U24"/>
    <mergeCell ref="U27:U28"/>
    <mergeCell ref="U33:U53"/>
    <mergeCell ref="U54:U58"/>
    <mergeCell ref="U61:U78"/>
    <mergeCell ref="U80:U81"/>
    <mergeCell ref="U82:U95"/>
    <mergeCell ref="U96:U101"/>
    <mergeCell ref="U103:U105"/>
    <mergeCell ref="V3:V4"/>
    <mergeCell ref="V7:V17"/>
    <mergeCell ref="V18:V28"/>
    <mergeCell ref="V29:V53"/>
    <mergeCell ref="V54:V58"/>
    <mergeCell ref="V61:V81"/>
    <mergeCell ref="V82:V95"/>
    <mergeCell ref="V96:V105"/>
    <mergeCell ref="W3:W4"/>
    <mergeCell ref="W5:W17"/>
    <mergeCell ref="W18:W28"/>
    <mergeCell ref="W29:W53"/>
    <mergeCell ref="W54:W58"/>
    <mergeCell ref="W61:W81"/>
    <mergeCell ref="W82:W95"/>
    <mergeCell ref="W96:W105"/>
    <mergeCell ref="X5:X17"/>
    <mergeCell ref="X18:X28"/>
    <mergeCell ref="X29:X53"/>
    <mergeCell ref="X54:X58"/>
    <mergeCell ref="X61:X81"/>
    <mergeCell ref="X82:X95"/>
    <mergeCell ref="X96:X105"/>
    <mergeCell ref="Y61:Y81"/>
    <mergeCell ref="Y96:Y105"/>
    <mergeCell ref="Z5:Z17"/>
    <mergeCell ref="Z18:Z28"/>
    <mergeCell ref="Z29:Z53"/>
    <mergeCell ref="Z54:Z58"/>
    <mergeCell ref="Z61:Z81"/>
    <mergeCell ref="Z82:Z95"/>
    <mergeCell ref="Z96:Z105"/>
    <mergeCell ref="AA5:AA17"/>
    <mergeCell ref="AA18:AA28"/>
    <mergeCell ref="AA29:AA53"/>
    <mergeCell ref="AA54:AA58"/>
    <mergeCell ref="AA61:AA81"/>
    <mergeCell ref="AA82:AA95"/>
    <mergeCell ref="AA96:AA105"/>
    <mergeCell ref="AB5:AB17"/>
    <mergeCell ref="AB18:AB28"/>
    <mergeCell ref="AB29:AB53"/>
    <mergeCell ref="AB54:AB58"/>
    <mergeCell ref="AB61:AB81"/>
    <mergeCell ref="AB82:AB95"/>
    <mergeCell ref="AB96:AB105"/>
    <mergeCell ref="AC5:AC17"/>
    <mergeCell ref="AC18:AC28"/>
    <mergeCell ref="AC29:AC53"/>
    <mergeCell ref="AC54:AC58"/>
    <mergeCell ref="AC61:AC81"/>
    <mergeCell ref="AC82:AC95"/>
    <mergeCell ref="AC96:AC105"/>
    <mergeCell ref="AD5:AD17"/>
    <mergeCell ref="AD18:AD28"/>
    <mergeCell ref="AD29:AD53"/>
    <mergeCell ref="AD54:AD58"/>
    <mergeCell ref="AD61:AD81"/>
    <mergeCell ref="AD82:AD95"/>
    <mergeCell ref="AD96:AD105"/>
    <mergeCell ref="AE3:AE4"/>
    <mergeCell ref="AE5:AE17"/>
    <mergeCell ref="AE18:AE28"/>
    <mergeCell ref="AE29:AE53"/>
    <mergeCell ref="AE54:AE58"/>
    <mergeCell ref="AE61:AE81"/>
    <mergeCell ref="AE82:AE95"/>
    <mergeCell ref="AE96:AE105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E209"/>
  <sheetViews>
    <sheetView workbookViewId="0">
      <pane xSplit="6" ySplit="4" topLeftCell="Q190" activePane="bottomRight" state="frozen"/>
      <selection/>
      <selection pane="topRight"/>
      <selection pane="bottomLeft"/>
      <selection pane="bottomRight" activeCell="AB202" sqref="AB202"/>
    </sheetView>
  </sheetViews>
  <sheetFormatPr defaultColWidth="9" defaultRowHeight="21" customHeight="1"/>
  <cols>
    <col min="1" max="1" width="9.36666666666667" style="266" customWidth="1"/>
    <col min="2" max="2" width="10.3666666666667" customWidth="1"/>
    <col min="3" max="3" width="11.3666666666667" customWidth="1"/>
    <col min="4" max="4" width="7.26666666666667" style="267" customWidth="1"/>
    <col min="5" max="5" width="5.725" customWidth="1"/>
    <col min="6" max="6" width="5.63333333333333" customWidth="1"/>
    <col min="7" max="7" width="8.26666666666667" customWidth="1"/>
    <col min="8" max="8" width="15.2666666666667" customWidth="1"/>
    <col min="9" max="9" width="14.725" style="268" customWidth="1"/>
    <col min="10" max="10" width="17.5416666666667" style="98" customWidth="1"/>
    <col min="11" max="11" width="12.6333333333333" style="269" customWidth="1"/>
    <col min="12" max="12" width="14.725" customWidth="1"/>
    <col min="13" max="13" width="12.0916666666667" style="270" customWidth="1"/>
    <col min="14" max="14" width="12.9083333333333" customWidth="1"/>
    <col min="15" max="15" width="12.0916666666667" customWidth="1"/>
    <col min="16" max="16" width="12.875" customWidth="1"/>
    <col min="17" max="17" width="9.26666666666667" customWidth="1"/>
    <col min="18" max="18" width="12.0916666666667" style="98" customWidth="1"/>
    <col min="19" max="19" width="12.9083333333333" customWidth="1"/>
    <col min="20" max="20" width="11.1833333333333" style="271" customWidth="1"/>
    <col min="21" max="21" width="10.2666666666667" style="271" customWidth="1"/>
    <col min="22" max="22" width="9" style="271" customWidth="1"/>
    <col min="23" max="23" width="12.0916666666667" style="271" customWidth="1"/>
    <col min="24" max="24" width="13" customWidth="1"/>
    <col min="25" max="25" width="11.1833333333333" customWidth="1"/>
    <col min="26" max="27" width="12.2666666666667" customWidth="1"/>
    <col min="28" max="28" width="9.18333333333333" customWidth="1"/>
    <col min="29" max="30" width="13.8166666666667" customWidth="1"/>
    <col min="31" max="31" width="12.0916666666667" customWidth="1"/>
  </cols>
  <sheetData>
    <row r="1" ht="32" customHeight="1" spans="1:31">
      <c r="A1" s="272" t="s">
        <v>0</v>
      </c>
      <c r="B1" s="273"/>
      <c r="C1" s="274"/>
      <c r="D1" s="275"/>
      <c r="E1" s="276"/>
      <c r="F1" s="276"/>
      <c r="G1" s="275"/>
      <c r="H1" s="277"/>
      <c r="I1" s="278"/>
      <c r="J1" s="279"/>
      <c r="K1" s="280"/>
      <c r="L1" s="279"/>
      <c r="M1" s="281"/>
      <c r="N1" s="282"/>
      <c r="O1" s="283"/>
      <c r="P1" s="284"/>
      <c r="Q1" s="276"/>
      <c r="R1" s="285"/>
      <c r="S1" s="276"/>
      <c r="T1" s="285"/>
      <c r="U1" s="276"/>
      <c r="V1" s="285"/>
      <c r="W1" s="286"/>
      <c r="X1" s="281"/>
      <c r="Y1" s="280"/>
      <c r="Z1" s="281"/>
      <c r="AA1" s="281"/>
      <c r="AB1" s="287"/>
      <c r="AC1" s="288"/>
      <c r="AD1" s="289"/>
      <c r="AE1" s="289"/>
    </row>
    <row r="2" s="263" customFormat="1" ht="4.5" customHeight="1" spans="1:31">
      <c r="A2" s="290"/>
      <c r="B2" s="273"/>
      <c r="C2" s="291"/>
      <c r="D2" s="292"/>
      <c r="E2" s="273"/>
      <c r="F2" s="273"/>
      <c r="G2" s="292"/>
      <c r="H2" s="293"/>
      <c r="I2" s="294"/>
      <c r="J2" s="295"/>
      <c r="K2" s="296"/>
      <c r="L2" s="297"/>
      <c r="M2" s="298"/>
      <c r="N2" s="299"/>
      <c r="O2" s="300"/>
      <c r="P2" s="288"/>
      <c r="Q2" s="301"/>
      <c r="R2" s="288"/>
      <c r="S2" s="302"/>
      <c r="T2" s="288"/>
      <c r="U2" s="302"/>
      <c r="V2" s="303"/>
      <c r="W2" s="304"/>
      <c r="X2" s="298"/>
      <c r="Y2" s="305"/>
      <c r="Z2" s="298"/>
      <c r="AA2" s="298"/>
      <c r="AB2" s="287"/>
      <c r="AC2" s="288"/>
      <c r="AD2" s="288"/>
      <c r="AE2" s="288"/>
    </row>
    <row r="3" s="231" customFormat="1" ht="13.5" spans="1:31">
      <c r="A3" s="306" t="s">
        <v>1</v>
      </c>
      <c r="B3" s="307" t="s">
        <v>2</v>
      </c>
      <c r="C3" s="308" t="s">
        <v>3</v>
      </c>
      <c r="D3" s="309" t="s">
        <v>4</v>
      </c>
      <c r="E3" s="310" t="s">
        <v>5</v>
      </c>
      <c r="F3" s="310" t="s">
        <v>6</v>
      </c>
      <c r="G3" s="311" t="s">
        <v>7</v>
      </c>
      <c r="H3" s="312" t="s">
        <v>8</v>
      </c>
      <c r="I3" s="313" t="s">
        <v>9</v>
      </c>
      <c r="J3" s="314"/>
      <c r="K3" s="315"/>
      <c r="L3" s="316"/>
      <c r="M3" s="315"/>
      <c r="N3" s="317"/>
      <c r="O3" s="318"/>
      <c r="P3" s="319" t="s">
        <v>10</v>
      </c>
      <c r="Q3" s="320" t="s">
        <v>11</v>
      </c>
      <c r="R3" s="321"/>
      <c r="S3" s="322"/>
      <c r="T3" s="321"/>
      <c r="U3" s="323"/>
      <c r="V3" s="324" t="s">
        <v>12</v>
      </c>
      <c r="W3" s="325" t="s">
        <v>13</v>
      </c>
      <c r="X3" s="326" t="s">
        <v>14</v>
      </c>
      <c r="Y3" s="327"/>
      <c r="Z3" s="326"/>
      <c r="AA3" s="326"/>
      <c r="AB3" s="328"/>
      <c r="AC3" s="326"/>
      <c r="AD3" s="329" t="s">
        <v>15</v>
      </c>
      <c r="AE3" s="330" t="s">
        <v>16</v>
      </c>
    </row>
    <row r="4" s="231" customFormat="1" ht="40.5" spans="1:31">
      <c r="A4" s="331"/>
      <c r="B4" s="332"/>
      <c r="C4" s="308"/>
      <c r="D4" s="309"/>
      <c r="E4" s="333"/>
      <c r="F4" s="333"/>
      <c r="G4" s="334"/>
      <c r="H4" s="333"/>
      <c r="I4" s="335" t="s">
        <v>17</v>
      </c>
      <c r="J4" s="336" t="s">
        <v>18</v>
      </c>
      <c r="K4" s="337" t="s">
        <v>19</v>
      </c>
      <c r="L4" s="338" t="s">
        <v>20</v>
      </c>
      <c r="M4" s="339" t="s">
        <v>21</v>
      </c>
      <c r="N4" s="340" t="s">
        <v>22</v>
      </c>
      <c r="O4" s="341" t="s">
        <v>23</v>
      </c>
      <c r="P4" s="342"/>
      <c r="Q4" s="343" t="s">
        <v>24</v>
      </c>
      <c r="R4" s="457" t="s">
        <v>81</v>
      </c>
      <c r="S4" s="345" t="s">
        <v>26</v>
      </c>
      <c r="T4" s="344" t="s">
        <v>27</v>
      </c>
      <c r="U4" s="345" t="s">
        <v>28</v>
      </c>
      <c r="V4" s="346"/>
      <c r="W4" s="347"/>
      <c r="X4" s="348" t="s">
        <v>29</v>
      </c>
      <c r="Y4" s="349" t="s">
        <v>30</v>
      </c>
      <c r="Z4" s="348" t="s">
        <v>31</v>
      </c>
      <c r="AA4" s="326" t="s">
        <v>32</v>
      </c>
      <c r="AB4" s="350" t="s">
        <v>33</v>
      </c>
      <c r="AC4" s="351" t="s">
        <v>23</v>
      </c>
      <c r="AD4" s="352" t="s">
        <v>34</v>
      </c>
      <c r="AE4" s="353"/>
    </row>
    <row r="5" s="264" customFormat="1" ht="12.75" spans="1:31">
      <c r="A5" s="354" t="s">
        <v>234</v>
      </c>
      <c r="B5" s="355" t="s">
        <v>235</v>
      </c>
      <c r="C5" s="356">
        <v>240613000018</v>
      </c>
      <c r="D5" s="357">
        <v>45532</v>
      </c>
      <c r="E5" s="355" t="s">
        <v>40</v>
      </c>
      <c r="F5" s="355" t="s">
        <v>158</v>
      </c>
      <c r="G5" s="355">
        <v>21.6755</v>
      </c>
      <c r="H5" s="355">
        <v>6691</v>
      </c>
      <c r="I5" s="358">
        <v>46755</v>
      </c>
      <c r="J5" s="369"/>
      <c r="K5" s="360"/>
      <c r="L5" s="361"/>
      <c r="M5" s="360"/>
      <c r="N5" s="355"/>
      <c r="O5" s="364">
        <f t="shared" ref="O5:O10" si="0">SUBTOTAL(9,I5)</f>
        <v>46755</v>
      </c>
      <c r="P5" s="371">
        <f>SUM(O5:O29)</f>
        <v>179091.8261212</v>
      </c>
      <c r="Q5" s="372" t="s">
        <v>236</v>
      </c>
      <c r="R5" s="371">
        <v>52856.5</v>
      </c>
      <c r="S5" s="371"/>
      <c r="T5" s="371">
        <v>1500</v>
      </c>
      <c r="U5" s="367">
        <v>420</v>
      </c>
      <c r="V5" s="371"/>
      <c r="W5" s="478">
        <f>SUM(R5:V29)</f>
        <v>55076.5</v>
      </c>
      <c r="X5" s="373">
        <v>10737.46</v>
      </c>
      <c r="Y5" s="368"/>
      <c r="Z5" s="373">
        <f>SUM(176.99+70.8)</f>
        <v>247.79</v>
      </c>
      <c r="AA5" s="373">
        <f>SUM(X5:Z29)</f>
        <v>11108.92</v>
      </c>
      <c r="AB5" s="374">
        <v>7.12</v>
      </c>
      <c r="AC5" s="371">
        <f>SUM(AA5*AB5)</f>
        <v>79095.5104</v>
      </c>
      <c r="AD5" s="371">
        <f>SUM(W5+AC5)</f>
        <v>134172.0104</v>
      </c>
      <c r="AE5" s="371">
        <f>SUM(P5-AD5)</f>
        <v>44919.8157212</v>
      </c>
    </row>
    <row r="6" s="264" customFormat="1" ht="12.75" spans="1:31">
      <c r="A6" s="354"/>
      <c r="B6" s="355"/>
      <c r="C6" s="356">
        <v>240816000038</v>
      </c>
      <c r="D6" s="357">
        <v>45532</v>
      </c>
      <c r="E6" s="355" t="s">
        <v>42</v>
      </c>
      <c r="F6" s="355" t="s">
        <v>237</v>
      </c>
      <c r="G6" s="355">
        <v>0.1557</v>
      </c>
      <c r="H6" s="355">
        <v>40.2</v>
      </c>
      <c r="I6" s="358">
        <v>602</v>
      </c>
      <c r="J6" s="369"/>
      <c r="K6" s="360"/>
      <c r="L6" s="361"/>
      <c r="M6" s="360"/>
      <c r="N6" s="355"/>
      <c r="O6" s="364">
        <f>SUM(I6)</f>
        <v>602</v>
      </c>
      <c r="P6" s="375"/>
      <c r="Q6" s="375"/>
      <c r="R6" s="375"/>
      <c r="S6" s="375"/>
      <c r="T6" s="375"/>
      <c r="U6" s="371"/>
      <c r="V6" s="375"/>
      <c r="W6" s="392"/>
      <c r="X6" s="376"/>
      <c r="Y6" s="368">
        <v>21.12</v>
      </c>
      <c r="Z6" s="376"/>
      <c r="AA6" s="376"/>
      <c r="AB6" s="378"/>
      <c r="AC6" s="375"/>
      <c r="AD6" s="375"/>
      <c r="AE6" s="375"/>
    </row>
    <row r="7" s="264" customFormat="1" ht="12.75" spans="1:31">
      <c r="A7" s="354"/>
      <c r="B7" s="355"/>
      <c r="C7" s="356">
        <v>240818000042</v>
      </c>
      <c r="D7" s="357">
        <v>45532</v>
      </c>
      <c r="E7" s="355" t="s">
        <v>49</v>
      </c>
      <c r="F7" s="355" t="s">
        <v>140</v>
      </c>
      <c r="G7" s="355">
        <v>0.0276</v>
      </c>
      <c r="H7" s="355">
        <v>60</v>
      </c>
      <c r="I7" s="364"/>
      <c r="J7" s="370">
        <v>120050</v>
      </c>
      <c r="K7" s="360"/>
      <c r="L7" s="361">
        <f t="shared" ref="L7:L11" si="1">SUM(J7/M7)</f>
        <v>1800.65996700165</v>
      </c>
      <c r="M7" s="362">
        <v>66.67</v>
      </c>
      <c r="N7" s="355">
        <v>7.12</v>
      </c>
      <c r="O7" s="364">
        <f t="shared" ref="O7:O11" si="2">SUM(M7*N7)</f>
        <v>474.6904</v>
      </c>
      <c r="P7" s="375"/>
      <c r="Q7" s="375"/>
      <c r="R7" s="375"/>
      <c r="S7" s="375"/>
      <c r="T7" s="375"/>
      <c r="U7" s="375"/>
      <c r="V7" s="375"/>
      <c r="W7" s="392"/>
      <c r="X7" s="376"/>
      <c r="Y7" s="368">
        <v>35.4</v>
      </c>
      <c r="Z7" s="376"/>
      <c r="AA7" s="376"/>
      <c r="AB7" s="378"/>
      <c r="AC7" s="375"/>
      <c r="AD7" s="375"/>
      <c r="AE7" s="375"/>
    </row>
    <row r="8" s="264" customFormat="1" ht="12.75" spans="1:31">
      <c r="A8" s="354"/>
      <c r="B8" s="355"/>
      <c r="C8" s="356">
        <v>240819000004</v>
      </c>
      <c r="D8" s="357">
        <v>45532</v>
      </c>
      <c r="E8" s="355" t="s">
        <v>37</v>
      </c>
      <c r="F8" s="355" t="s">
        <v>166</v>
      </c>
      <c r="G8" s="355">
        <v>0.0982</v>
      </c>
      <c r="H8" s="355">
        <v>59</v>
      </c>
      <c r="I8" s="358">
        <v>212</v>
      </c>
      <c r="J8" s="369"/>
      <c r="K8" s="360"/>
      <c r="L8" s="361"/>
      <c r="M8" s="360"/>
      <c r="N8" s="355"/>
      <c r="O8" s="364">
        <f t="shared" si="0"/>
        <v>212</v>
      </c>
      <c r="P8" s="375"/>
      <c r="Q8" s="375"/>
      <c r="R8" s="375"/>
      <c r="S8" s="375"/>
      <c r="T8" s="375"/>
      <c r="U8" s="375"/>
      <c r="V8" s="375"/>
      <c r="W8" s="392"/>
      <c r="X8" s="376"/>
      <c r="Y8" s="368"/>
      <c r="Z8" s="376"/>
      <c r="AA8" s="376"/>
      <c r="AB8" s="378"/>
      <c r="AC8" s="375"/>
      <c r="AD8" s="375"/>
      <c r="AE8" s="375"/>
    </row>
    <row r="9" s="264" customFormat="1" ht="12.75" spans="1:31">
      <c r="A9" s="354"/>
      <c r="B9" s="355"/>
      <c r="C9" s="356">
        <v>240819000033</v>
      </c>
      <c r="D9" s="357">
        <v>45532</v>
      </c>
      <c r="E9" s="355" t="s">
        <v>52</v>
      </c>
      <c r="F9" s="355" t="s">
        <v>110</v>
      </c>
      <c r="G9" s="355">
        <v>0.2086</v>
      </c>
      <c r="H9" s="355">
        <v>344</v>
      </c>
      <c r="I9" s="364"/>
      <c r="J9" s="370">
        <v>383195</v>
      </c>
      <c r="K9" s="360"/>
      <c r="L9" s="361">
        <f t="shared" si="1"/>
        <v>1811.79669030733</v>
      </c>
      <c r="M9" s="362">
        <v>211.5</v>
      </c>
      <c r="N9" s="355">
        <v>7.3</v>
      </c>
      <c r="O9" s="364">
        <f t="shared" si="2"/>
        <v>1543.95</v>
      </c>
      <c r="P9" s="375"/>
      <c r="Q9" s="375"/>
      <c r="R9" s="375"/>
      <c r="S9" s="375"/>
      <c r="T9" s="375"/>
      <c r="U9" s="379"/>
      <c r="V9" s="379"/>
      <c r="W9" s="392"/>
      <c r="X9" s="376"/>
      <c r="Y9" s="368">
        <v>46.5</v>
      </c>
      <c r="Z9" s="376"/>
      <c r="AA9" s="376"/>
      <c r="AB9" s="378"/>
      <c r="AC9" s="375"/>
      <c r="AD9" s="375"/>
      <c r="AE9" s="375"/>
    </row>
    <row r="10" s="264" customFormat="1" ht="12.75" spans="1:31">
      <c r="A10" s="354"/>
      <c r="B10" s="355"/>
      <c r="C10" s="356">
        <v>240820000001</v>
      </c>
      <c r="D10" s="357">
        <v>45532</v>
      </c>
      <c r="E10" s="355" t="s">
        <v>42</v>
      </c>
      <c r="F10" s="355" t="s">
        <v>118</v>
      </c>
      <c r="G10" s="355">
        <v>7.0865</v>
      </c>
      <c r="H10" s="355">
        <v>599</v>
      </c>
      <c r="I10" s="358">
        <v>17258.7</v>
      </c>
      <c r="J10" s="369"/>
      <c r="K10" s="360"/>
      <c r="L10" s="361"/>
      <c r="M10" s="360"/>
      <c r="N10" s="355"/>
      <c r="O10" s="364">
        <f t="shared" si="0"/>
        <v>17258.7</v>
      </c>
      <c r="P10" s="375"/>
      <c r="Q10" s="375"/>
      <c r="R10" s="375"/>
      <c r="S10" s="375"/>
      <c r="T10" s="375"/>
      <c r="U10" s="367">
        <v>300</v>
      </c>
      <c r="V10" s="367"/>
      <c r="W10" s="392"/>
      <c r="X10" s="376"/>
      <c r="Y10" s="373"/>
      <c r="Z10" s="376"/>
      <c r="AA10" s="376"/>
      <c r="AB10" s="378"/>
      <c r="AC10" s="375"/>
      <c r="AD10" s="375"/>
      <c r="AE10" s="375"/>
    </row>
    <row r="11" s="264" customFormat="1" ht="12.75" spans="1:31">
      <c r="A11" s="354"/>
      <c r="B11" s="355"/>
      <c r="C11" s="356">
        <v>240823000021</v>
      </c>
      <c r="D11" s="357">
        <v>45532</v>
      </c>
      <c r="E11" s="355" t="s">
        <v>52</v>
      </c>
      <c r="F11" s="355" t="s">
        <v>162</v>
      </c>
      <c r="G11" s="355">
        <v>7.4589</v>
      </c>
      <c r="H11" s="355">
        <v>3300</v>
      </c>
      <c r="I11" s="364"/>
      <c r="J11" s="370">
        <v>3229875</v>
      </c>
      <c r="K11" s="360"/>
      <c r="L11" s="361">
        <f t="shared" si="1"/>
        <v>1650</v>
      </c>
      <c r="M11" s="362">
        <v>1957.5</v>
      </c>
      <c r="N11" s="355">
        <v>7.12</v>
      </c>
      <c r="O11" s="364">
        <f t="shared" si="2"/>
        <v>13937.4</v>
      </c>
      <c r="P11" s="375"/>
      <c r="Q11" s="375"/>
      <c r="R11" s="375"/>
      <c r="S11" s="375"/>
      <c r="T11" s="375"/>
      <c r="U11" s="371"/>
      <c r="V11" s="371"/>
      <c r="W11" s="392"/>
      <c r="X11" s="376"/>
      <c r="Y11" s="376"/>
      <c r="Z11" s="376"/>
      <c r="AA11" s="376"/>
      <c r="AB11" s="378"/>
      <c r="AC11" s="375"/>
      <c r="AD11" s="375"/>
      <c r="AE11" s="375"/>
    </row>
    <row r="12" s="264" customFormat="1" ht="12.75" spans="1:31">
      <c r="A12" s="354"/>
      <c r="B12" s="355"/>
      <c r="C12" s="356">
        <v>240826000011</v>
      </c>
      <c r="D12" s="357">
        <v>45532</v>
      </c>
      <c r="E12" s="355" t="s">
        <v>44</v>
      </c>
      <c r="F12" s="355" t="s">
        <v>112</v>
      </c>
      <c r="G12" s="355">
        <v>6.3305</v>
      </c>
      <c r="H12" s="355">
        <v>880</v>
      </c>
      <c r="I12" s="358">
        <v>10555.28</v>
      </c>
      <c r="J12" s="369"/>
      <c r="K12" s="360"/>
      <c r="L12" s="361"/>
      <c r="M12" s="360"/>
      <c r="N12" s="355"/>
      <c r="O12" s="364">
        <f t="shared" ref="O12:O18" si="3">SUBTOTAL(9,I12)</f>
        <v>10555.28</v>
      </c>
      <c r="P12" s="375"/>
      <c r="Q12" s="375"/>
      <c r="R12" s="375"/>
      <c r="S12" s="375"/>
      <c r="T12" s="375"/>
      <c r="U12" s="375"/>
      <c r="V12" s="375"/>
      <c r="W12" s="392"/>
      <c r="X12" s="376"/>
      <c r="Y12" s="376"/>
      <c r="Z12" s="376"/>
      <c r="AA12" s="376"/>
      <c r="AB12" s="378"/>
      <c r="AC12" s="375"/>
      <c r="AD12" s="375"/>
      <c r="AE12" s="375"/>
    </row>
    <row r="13" s="264" customFormat="1" ht="12.75" spans="1:31">
      <c r="A13" s="354"/>
      <c r="B13" s="355"/>
      <c r="C13" s="356">
        <v>240826000013</v>
      </c>
      <c r="D13" s="357">
        <v>45532</v>
      </c>
      <c r="E13" s="355" t="s">
        <v>44</v>
      </c>
      <c r="F13" s="355" t="s">
        <v>112</v>
      </c>
      <c r="G13" s="355">
        <v>0.699</v>
      </c>
      <c r="H13" s="355">
        <v>105</v>
      </c>
      <c r="I13" s="358">
        <v>1165.58</v>
      </c>
      <c r="J13" s="369"/>
      <c r="K13" s="360"/>
      <c r="L13" s="361"/>
      <c r="M13" s="360"/>
      <c r="N13" s="355"/>
      <c r="O13" s="364">
        <f t="shared" si="3"/>
        <v>1165.58</v>
      </c>
      <c r="P13" s="375"/>
      <c r="Q13" s="375"/>
      <c r="R13" s="375"/>
      <c r="S13" s="375"/>
      <c r="T13" s="375"/>
      <c r="U13" s="375"/>
      <c r="V13" s="375"/>
      <c r="W13" s="392"/>
      <c r="X13" s="376"/>
      <c r="Y13" s="376"/>
      <c r="Z13" s="376"/>
      <c r="AA13" s="376"/>
      <c r="AB13" s="378"/>
      <c r="AC13" s="375"/>
      <c r="AD13" s="375"/>
      <c r="AE13" s="375"/>
    </row>
    <row r="14" s="264" customFormat="1" ht="12.75" spans="1:31">
      <c r="A14" s="354"/>
      <c r="B14" s="355"/>
      <c r="C14" s="356">
        <v>240826000015</v>
      </c>
      <c r="D14" s="357">
        <v>45532</v>
      </c>
      <c r="E14" s="355" t="s">
        <v>44</v>
      </c>
      <c r="F14" s="355" t="s">
        <v>112</v>
      </c>
      <c r="G14" s="355">
        <v>0.2907</v>
      </c>
      <c r="H14" s="355">
        <v>36</v>
      </c>
      <c r="I14" s="358">
        <v>483.58</v>
      </c>
      <c r="J14" s="369"/>
      <c r="K14" s="360"/>
      <c r="L14" s="361"/>
      <c r="M14" s="360"/>
      <c r="N14" s="355"/>
      <c r="O14" s="364">
        <f t="shared" si="3"/>
        <v>483.58</v>
      </c>
      <c r="P14" s="375"/>
      <c r="Q14" s="375"/>
      <c r="R14" s="375"/>
      <c r="S14" s="375"/>
      <c r="T14" s="375"/>
      <c r="U14" s="375"/>
      <c r="V14" s="375"/>
      <c r="W14" s="392"/>
      <c r="X14" s="376"/>
      <c r="Y14" s="376"/>
      <c r="Z14" s="376"/>
      <c r="AA14" s="376"/>
      <c r="AB14" s="378"/>
      <c r="AC14" s="375"/>
      <c r="AD14" s="375"/>
      <c r="AE14" s="375"/>
    </row>
    <row r="15" s="264" customFormat="1" ht="12.75" spans="1:31">
      <c r="A15" s="354"/>
      <c r="B15" s="355"/>
      <c r="C15" s="356">
        <v>240826000016</v>
      </c>
      <c r="D15" s="357">
        <v>45532</v>
      </c>
      <c r="E15" s="355" t="s">
        <v>44</v>
      </c>
      <c r="F15" s="355" t="s">
        <v>112</v>
      </c>
      <c r="G15" s="355">
        <v>0.5572</v>
      </c>
      <c r="H15" s="355">
        <v>42</v>
      </c>
      <c r="I15" s="358">
        <v>928.8</v>
      </c>
      <c r="J15" s="369"/>
      <c r="K15" s="360"/>
      <c r="L15" s="361"/>
      <c r="M15" s="360"/>
      <c r="N15" s="355"/>
      <c r="O15" s="364">
        <f t="shared" si="3"/>
        <v>928.8</v>
      </c>
      <c r="P15" s="375"/>
      <c r="Q15" s="375"/>
      <c r="R15" s="375"/>
      <c r="S15" s="375"/>
      <c r="T15" s="375"/>
      <c r="U15" s="375"/>
      <c r="V15" s="375"/>
      <c r="W15" s="392"/>
      <c r="X15" s="376"/>
      <c r="Y15" s="376"/>
      <c r="Z15" s="376"/>
      <c r="AA15" s="376"/>
      <c r="AB15" s="378"/>
      <c r="AC15" s="375"/>
      <c r="AD15" s="375"/>
      <c r="AE15" s="375"/>
    </row>
    <row r="16" s="264" customFormat="1" ht="12.75" spans="1:31">
      <c r="A16" s="354"/>
      <c r="B16" s="355"/>
      <c r="C16" s="356">
        <v>240826000017</v>
      </c>
      <c r="D16" s="357">
        <v>45532</v>
      </c>
      <c r="E16" s="355" t="s">
        <v>44</v>
      </c>
      <c r="F16" s="355" t="s">
        <v>112</v>
      </c>
      <c r="G16" s="355">
        <v>0.1598</v>
      </c>
      <c r="H16" s="355">
        <v>78</v>
      </c>
      <c r="I16" s="358">
        <v>266.44</v>
      </c>
      <c r="J16" s="369"/>
      <c r="K16" s="360"/>
      <c r="L16" s="361"/>
      <c r="M16" s="360"/>
      <c r="N16" s="355"/>
      <c r="O16" s="364">
        <f t="shared" si="3"/>
        <v>266.44</v>
      </c>
      <c r="P16" s="375"/>
      <c r="Q16" s="375"/>
      <c r="R16" s="375"/>
      <c r="S16" s="375"/>
      <c r="T16" s="375"/>
      <c r="U16" s="375"/>
      <c r="V16" s="375"/>
      <c r="W16" s="392"/>
      <c r="X16" s="376"/>
      <c r="Y16" s="376"/>
      <c r="Z16" s="376"/>
      <c r="AA16" s="376"/>
      <c r="AB16" s="378"/>
      <c r="AC16" s="375"/>
      <c r="AD16" s="375"/>
      <c r="AE16" s="375"/>
    </row>
    <row r="17" s="264" customFormat="1" ht="12.75" spans="1:31">
      <c r="A17" s="354"/>
      <c r="B17" s="355"/>
      <c r="C17" s="356">
        <v>240826000018</v>
      </c>
      <c r="D17" s="357">
        <v>45532</v>
      </c>
      <c r="E17" s="355" t="s">
        <v>44</v>
      </c>
      <c r="F17" s="355" t="s">
        <v>112</v>
      </c>
      <c r="G17" s="355">
        <v>0.141</v>
      </c>
      <c r="H17" s="355">
        <v>37</v>
      </c>
      <c r="I17" s="358">
        <v>235.26</v>
      </c>
      <c r="J17" s="369"/>
      <c r="K17" s="360"/>
      <c r="L17" s="361"/>
      <c r="M17" s="360"/>
      <c r="N17" s="355"/>
      <c r="O17" s="364">
        <f t="shared" si="3"/>
        <v>235.26</v>
      </c>
      <c r="P17" s="375"/>
      <c r="Q17" s="375"/>
      <c r="R17" s="375"/>
      <c r="S17" s="375"/>
      <c r="T17" s="375"/>
      <c r="U17" s="375"/>
      <c r="V17" s="375"/>
      <c r="W17" s="392"/>
      <c r="X17" s="376"/>
      <c r="Y17" s="376"/>
      <c r="Z17" s="376"/>
      <c r="AA17" s="376"/>
      <c r="AB17" s="378"/>
      <c r="AC17" s="375"/>
      <c r="AD17" s="375"/>
      <c r="AE17" s="375"/>
    </row>
    <row r="18" s="264" customFormat="1" ht="12.75" spans="1:31">
      <c r="A18" s="354"/>
      <c r="B18" s="355"/>
      <c r="C18" s="356">
        <v>240826000019</v>
      </c>
      <c r="D18" s="357">
        <v>45532</v>
      </c>
      <c r="E18" s="355" t="s">
        <v>44</v>
      </c>
      <c r="F18" s="355" t="s">
        <v>112</v>
      </c>
      <c r="G18" s="355">
        <v>1.4354</v>
      </c>
      <c r="H18" s="355">
        <v>186</v>
      </c>
      <c r="I18" s="358">
        <v>2392.86</v>
      </c>
      <c r="J18" s="369"/>
      <c r="K18" s="360"/>
      <c r="L18" s="361"/>
      <c r="M18" s="360"/>
      <c r="N18" s="355"/>
      <c r="O18" s="364">
        <f t="shared" si="3"/>
        <v>2392.86</v>
      </c>
      <c r="P18" s="375"/>
      <c r="Q18" s="375"/>
      <c r="R18" s="375"/>
      <c r="S18" s="375"/>
      <c r="T18" s="375"/>
      <c r="U18" s="375"/>
      <c r="V18" s="375"/>
      <c r="W18" s="392"/>
      <c r="X18" s="376"/>
      <c r="Y18" s="376"/>
      <c r="Z18" s="376"/>
      <c r="AA18" s="376"/>
      <c r="AB18" s="378"/>
      <c r="AC18" s="375"/>
      <c r="AD18" s="375"/>
      <c r="AE18" s="375"/>
    </row>
    <row r="19" s="264" customFormat="1" ht="12.75" spans="1:31">
      <c r="A19" s="354"/>
      <c r="B19" s="355"/>
      <c r="C19" s="356">
        <v>240826000039</v>
      </c>
      <c r="D19" s="357">
        <v>45532</v>
      </c>
      <c r="E19" s="355" t="s">
        <v>42</v>
      </c>
      <c r="F19" s="355" t="s">
        <v>181</v>
      </c>
      <c r="G19" s="355">
        <v>1.823</v>
      </c>
      <c r="H19" s="355">
        <v>321</v>
      </c>
      <c r="I19" s="364"/>
      <c r="J19" s="370">
        <v>964731.6</v>
      </c>
      <c r="K19" s="360"/>
      <c r="L19" s="361">
        <f>SUM(J19/M19)</f>
        <v>1764.00503172033</v>
      </c>
      <c r="M19" s="362">
        <v>546.89844</v>
      </c>
      <c r="N19" s="355">
        <v>7.23</v>
      </c>
      <c r="O19" s="364">
        <f>SUM(M19*N19)</f>
        <v>3954.0757212</v>
      </c>
      <c r="P19" s="375"/>
      <c r="Q19" s="375"/>
      <c r="R19" s="375"/>
      <c r="S19" s="375"/>
      <c r="T19" s="375"/>
      <c r="U19" s="375"/>
      <c r="V19" s="375"/>
      <c r="W19" s="392"/>
      <c r="X19" s="376"/>
      <c r="Y19" s="376"/>
      <c r="Z19" s="376"/>
      <c r="AA19" s="376"/>
      <c r="AB19" s="378"/>
      <c r="AC19" s="375"/>
      <c r="AD19" s="375"/>
      <c r="AE19" s="375"/>
    </row>
    <row r="20" s="264" customFormat="1" ht="12.75" spans="1:31">
      <c r="A20" s="354"/>
      <c r="B20" s="355"/>
      <c r="C20" s="356">
        <v>240826000045</v>
      </c>
      <c r="D20" s="357">
        <v>45532</v>
      </c>
      <c r="E20" s="355" t="s">
        <v>49</v>
      </c>
      <c r="F20" s="355" t="s">
        <v>117</v>
      </c>
      <c r="G20" s="355">
        <v>0.4085</v>
      </c>
      <c r="H20" s="355">
        <v>179</v>
      </c>
      <c r="I20" s="358">
        <v>904</v>
      </c>
      <c r="J20" s="369"/>
      <c r="K20" s="360"/>
      <c r="L20" s="361"/>
      <c r="M20" s="360"/>
      <c r="N20" s="355"/>
      <c r="O20" s="364">
        <f t="shared" ref="O20:O27" si="4">SUBTOTAL(9,I20)</f>
        <v>904</v>
      </c>
      <c r="P20" s="375"/>
      <c r="Q20" s="375"/>
      <c r="R20" s="375"/>
      <c r="S20" s="375"/>
      <c r="T20" s="375"/>
      <c r="U20" s="375"/>
      <c r="V20" s="375"/>
      <c r="W20" s="392"/>
      <c r="X20" s="376"/>
      <c r="Y20" s="376"/>
      <c r="Z20" s="376"/>
      <c r="AA20" s="376"/>
      <c r="AB20" s="378"/>
      <c r="AC20" s="375"/>
      <c r="AD20" s="375"/>
      <c r="AE20" s="375"/>
    </row>
    <row r="21" s="264" customFormat="1" ht="12.75" spans="1:31">
      <c r="A21" s="354"/>
      <c r="B21" s="355"/>
      <c r="C21" s="356">
        <v>240827000034</v>
      </c>
      <c r="D21" s="357">
        <v>45532</v>
      </c>
      <c r="E21" s="355" t="s">
        <v>190</v>
      </c>
      <c r="F21" s="355" t="s">
        <v>207</v>
      </c>
      <c r="G21" s="394">
        <v>9.2</v>
      </c>
      <c r="H21" s="394">
        <v>7350</v>
      </c>
      <c r="I21" s="358">
        <v>24057.26</v>
      </c>
      <c r="J21" s="369"/>
      <c r="K21" s="360"/>
      <c r="L21" s="361"/>
      <c r="M21" s="360"/>
      <c r="N21" s="355"/>
      <c r="O21" s="364">
        <f t="shared" si="4"/>
        <v>24057.26</v>
      </c>
      <c r="P21" s="375"/>
      <c r="Q21" s="375"/>
      <c r="R21" s="375"/>
      <c r="S21" s="375"/>
      <c r="T21" s="375"/>
      <c r="U21" s="375"/>
      <c r="V21" s="375"/>
      <c r="W21" s="392"/>
      <c r="X21" s="376"/>
      <c r="Y21" s="376"/>
      <c r="Z21" s="376"/>
      <c r="AA21" s="376"/>
      <c r="AB21" s="378"/>
      <c r="AC21" s="375"/>
      <c r="AD21" s="375"/>
      <c r="AE21" s="375"/>
    </row>
    <row r="22" s="264" customFormat="1" ht="12.75" spans="1:31">
      <c r="A22" s="354"/>
      <c r="B22" s="355"/>
      <c r="C22" s="356">
        <v>240807000019</v>
      </c>
      <c r="D22" s="357">
        <v>45506</v>
      </c>
      <c r="E22" s="355" t="s">
        <v>40</v>
      </c>
      <c r="F22" s="355" t="s">
        <v>130</v>
      </c>
      <c r="G22" s="355">
        <v>7.5437</v>
      </c>
      <c r="H22" s="355">
        <v>1504</v>
      </c>
      <c r="I22" s="358">
        <v>17283</v>
      </c>
      <c r="J22" s="369"/>
      <c r="K22" s="360"/>
      <c r="L22" s="361"/>
      <c r="M22" s="360"/>
      <c r="N22" s="355"/>
      <c r="O22" s="364">
        <f t="shared" si="4"/>
        <v>17283</v>
      </c>
      <c r="P22" s="375"/>
      <c r="Q22" s="375"/>
      <c r="R22" s="375"/>
      <c r="S22" s="375"/>
      <c r="T22" s="375"/>
      <c r="U22" s="375"/>
      <c r="V22" s="375"/>
      <c r="W22" s="392"/>
      <c r="X22" s="376"/>
      <c r="Y22" s="376"/>
      <c r="Z22" s="376"/>
      <c r="AA22" s="376"/>
      <c r="AB22" s="378"/>
      <c r="AC22" s="375"/>
      <c r="AD22" s="375"/>
      <c r="AE22" s="375"/>
    </row>
    <row r="23" s="264" customFormat="1" ht="12.75" spans="1:31">
      <c r="A23" s="354"/>
      <c r="B23" s="355"/>
      <c r="C23" s="356">
        <v>240728000003</v>
      </c>
      <c r="D23" s="357">
        <v>45506</v>
      </c>
      <c r="E23" s="355" t="s">
        <v>40</v>
      </c>
      <c r="F23" s="355" t="s">
        <v>130</v>
      </c>
      <c r="G23" s="355">
        <v>0.193</v>
      </c>
      <c r="H23" s="355">
        <v>47</v>
      </c>
      <c r="I23" s="358">
        <v>520</v>
      </c>
      <c r="J23" s="369"/>
      <c r="K23" s="360"/>
      <c r="L23" s="361"/>
      <c r="M23" s="360"/>
      <c r="N23" s="355"/>
      <c r="O23" s="364">
        <f t="shared" si="4"/>
        <v>520</v>
      </c>
      <c r="P23" s="375"/>
      <c r="Q23" s="375"/>
      <c r="R23" s="375"/>
      <c r="S23" s="375"/>
      <c r="T23" s="375"/>
      <c r="U23" s="375"/>
      <c r="V23" s="375"/>
      <c r="W23" s="392"/>
      <c r="X23" s="376"/>
      <c r="Y23" s="377"/>
      <c r="Z23" s="376"/>
      <c r="AA23" s="376"/>
      <c r="AB23" s="378"/>
      <c r="AC23" s="375"/>
      <c r="AD23" s="375"/>
      <c r="AE23" s="375"/>
    </row>
    <row r="24" s="264" customFormat="1" ht="12.75" spans="1:31">
      <c r="A24" s="354"/>
      <c r="B24" s="355"/>
      <c r="C24" s="356">
        <v>240828000002</v>
      </c>
      <c r="D24" s="357">
        <v>45532</v>
      </c>
      <c r="E24" s="355" t="s">
        <v>40</v>
      </c>
      <c r="F24" s="355" t="s">
        <v>59</v>
      </c>
      <c r="G24" s="355">
        <v>17.63</v>
      </c>
      <c r="H24" s="355">
        <v>2193</v>
      </c>
      <c r="I24" s="358">
        <v>25894.59</v>
      </c>
      <c r="J24" s="369"/>
      <c r="K24" s="360"/>
      <c r="L24" s="361"/>
      <c r="M24" s="362"/>
      <c r="N24" s="355"/>
      <c r="O24" s="364">
        <f t="shared" si="4"/>
        <v>25894.59</v>
      </c>
      <c r="P24" s="375"/>
      <c r="Q24" s="375"/>
      <c r="R24" s="375"/>
      <c r="S24" s="375"/>
      <c r="T24" s="375"/>
      <c r="U24" s="375"/>
      <c r="V24" s="375"/>
      <c r="W24" s="392"/>
      <c r="X24" s="376"/>
      <c r="Y24" s="368"/>
      <c r="Z24" s="376"/>
      <c r="AA24" s="376"/>
      <c r="AB24" s="378"/>
      <c r="AC24" s="375"/>
      <c r="AD24" s="375"/>
      <c r="AE24" s="375"/>
    </row>
    <row r="25" s="264" customFormat="1" ht="12.75" spans="1:31">
      <c r="A25" s="354"/>
      <c r="B25" s="355"/>
      <c r="C25" s="356">
        <v>240828000003</v>
      </c>
      <c r="D25" s="357">
        <v>45532</v>
      </c>
      <c r="E25" s="355" t="s">
        <v>44</v>
      </c>
      <c r="F25" s="355" t="s">
        <v>112</v>
      </c>
      <c r="G25" s="355">
        <v>0.807</v>
      </c>
      <c r="H25" s="355">
        <v>46</v>
      </c>
      <c r="I25" s="358">
        <v>1345.67</v>
      </c>
      <c r="J25" s="369"/>
      <c r="K25" s="360"/>
      <c r="L25" s="361"/>
      <c r="M25" s="360"/>
      <c r="N25" s="355"/>
      <c r="O25" s="364">
        <f t="shared" si="4"/>
        <v>1345.67</v>
      </c>
      <c r="P25" s="375"/>
      <c r="Q25" s="375"/>
      <c r="R25" s="375"/>
      <c r="S25" s="375"/>
      <c r="T25" s="375"/>
      <c r="U25" s="375"/>
      <c r="V25" s="375"/>
      <c r="W25" s="392"/>
      <c r="X25" s="376"/>
      <c r="Y25" s="373"/>
      <c r="Z25" s="376"/>
      <c r="AA25" s="376"/>
      <c r="AB25" s="378"/>
      <c r="AC25" s="375"/>
      <c r="AD25" s="375"/>
      <c r="AE25" s="375"/>
    </row>
    <row r="26" s="264" customFormat="1" ht="12.75" spans="1:31">
      <c r="A26" s="354"/>
      <c r="B26" s="355"/>
      <c r="C26" s="356">
        <v>240828000005</v>
      </c>
      <c r="D26" s="357">
        <v>45532</v>
      </c>
      <c r="E26" s="355" t="s">
        <v>44</v>
      </c>
      <c r="F26" s="355" t="s">
        <v>112</v>
      </c>
      <c r="G26" s="355">
        <v>0.6964</v>
      </c>
      <c r="H26" s="355">
        <v>42</v>
      </c>
      <c r="I26" s="358">
        <v>1161.45</v>
      </c>
      <c r="J26" s="369"/>
      <c r="K26" s="360"/>
      <c r="L26" s="361"/>
      <c r="M26" s="360"/>
      <c r="N26" s="355"/>
      <c r="O26" s="364">
        <f t="shared" si="4"/>
        <v>1161.45</v>
      </c>
      <c r="P26" s="375"/>
      <c r="Q26" s="375"/>
      <c r="R26" s="375"/>
      <c r="S26" s="375"/>
      <c r="T26" s="375"/>
      <c r="U26" s="375"/>
      <c r="V26" s="375"/>
      <c r="W26" s="392"/>
      <c r="X26" s="376"/>
      <c r="Y26" s="376"/>
      <c r="Z26" s="376"/>
      <c r="AA26" s="376"/>
      <c r="AB26" s="378"/>
      <c r="AC26" s="375"/>
      <c r="AD26" s="375"/>
      <c r="AE26" s="375"/>
    </row>
    <row r="27" s="264" customFormat="1" ht="12.75" spans="1:31">
      <c r="A27" s="354"/>
      <c r="B27" s="355"/>
      <c r="C27" s="356">
        <v>240828000008</v>
      </c>
      <c r="D27" s="357">
        <v>45532</v>
      </c>
      <c r="E27" s="355" t="s">
        <v>44</v>
      </c>
      <c r="F27" s="355" t="s">
        <v>112</v>
      </c>
      <c r="G27" s="355">
        <v>0.0844</v>
      </c>
      <c r="H27" s="355">
        <v>25</v>
      </c>
      <c r="I27" s="358">
        <v>140.94</v>
      </c>
      <c r="J27" s="369"/>
      <c r="K27" s="360"/>
      <c r="L27" s="361"/>
      <c r="M27" s="360"/>
      <c r="N27" s="355"/>
      <c r="O27" s="364">
        <f t="shared" si="4"/>
        <v>140.94</v>
      </c>
      <c r="P27" s="375"/>
      <c r="Q27" s="375"/>
      <c r="R27" s="375"/>
      <c r="S27" s="375"/>
      <c r="T27" s="375"/>
      <c r="U27" s="375"/>
      <c r="V27" s="375"/>
      <c r="W27" s="392"/>
      <c r="X27" s="376"/>
      <c r="Y27" s="377"/>
      <c r="Z27" s="376"/>
      <c r="AA27" s="376"/>
      <c r="AB27" s="378"/>
      <c r="AC27" s="375"/>
      <c r="AD27" s="375"/>
      <c r="AE27" s="375"/>
    </row>
    <row r="28" s="264" customFormat="1" ht="12.75" spans="1:31">
      <c r="A28" s="354"/>
      <c r="B28" s="355"/>
      <c r="C28" s="356">
        <v>240828000017</v>
      </c>
      <c r="D28" s="357">
        <v>45532</v>
      </c>
      <c r="E28" s="355" t="s">
        <v>52</v>
      </c>
      <c r="F28" s="355" t="s">
        <v>238</v>
      </c>
      <c r="G28" s="355">
        <v>0.1138</v>
      </c>
      <c r="H28" s="355">
        <v>45</v>
      </c>
      <c r="I28" s="358">
        <v>421</v>
      </c>
      <c r="J28" s="369"/>
      <c r="K28" s="360"/>
      <c r="L28" s="361"/>
      <c r="M28" s="362"/>
      <c r="N28" s="355"/>
      <c r="O28" s="364">
        <f>SUM(I28)</f>
        <v>421</v>
      </c>
      <c r="P28" s="375"/>
      <c r="Q28" s="375"/>
      <c r="R28" s="375"/>
      <c r="S28" s="375"/>
      <c r="T28" s="375"/>
      <c r="U28" s="375"/>
      <c r="V28" s="375"/>
      <c r="W28" s="392"/>
      <c r="X28" s="376"/>
      <c r="Y28" s="368">
        <v>20.65</v>
      </c>
      <c r="Z28" s="376"/>
      <c r="AA28" s="376"/>
      <c r="AB28" s="378"/>
      <c r="AC28" s="375"/>
      <c r="AD28" s="375"/>
      <c r="AE28" s="375"/>
    </row>
    <row r="29" s="264" customFormat="1" ht="12.75" spans="1:31">
      <c r="A29" s="354"/>
      <c r="B29" s="355"/>
      <c r="C29" s="356">
        <v>240828000062</v>
      </c>
      <c r="D29" s="357">
        <v>45532</v>
      </c>
      <c r="E29" s="355" t="s">
        <v>44</v>
      </c>
      <c r="F29" s="355" t="s">
        <v>112</v>
      </c>
      <c r="G29" s="355">
        <v>1.8606</v>
      </c>
      <c r="H29" s="355">
        <v>279</v>
      </c>
      <c r="I29" s="358">
        <v>6598.3</v>
      </c>
      <c r="J29" s="369"/>
      <c r="K29" s="360"/>
      <c r="L29" s="361"/>
      <c r="M29" s="360"/>
      <c r="N29" s="355"/>
      <c r="O29" s="364">
        <f t="shared" ref="O29:O35" si="5">SUBTOTAL(9,I29)</f>
        <v>6598.3</v>
      </c>
      <c r="P29" s="379"/>
      <c r="Q29" s="379"/>
      <c r="R29" s="379"/>
      <c r="S29" s="379"/>
      <c r="T29" s="379"/>
      <c r="U29" s="379"/>
      <c r="V29" s="379"/>
      <c r="W29" s="479"/>
      <c r="X29" s="377"/>
      <c r="Y29" s="368"/>
      <c r="Z29" s="377"/>
      <c r="AA29" s="377"/>
      <c r="AB29" s="380"/>
      <c r="AC29" s="379"/>
      <c r="AD29" s="379"/>
      <c r="AE29" s="379"/>
    </row>
    <row r="30" s="264" customFormat="1" ht="51" spans="1:31">
      <c r="A30" s="480" t="s">
        <v>239</v>
      </c>
      <c r="B30" s="481" t="s">
        <v>240</v>
      </c>
      <c r="C30" s="356">
        <v>241015000029</v>
      </c>
      <c r="D30" s="357">
        <v>45547</v>
      </c>
      <c r="E30" s="481" t="s">
        <v>37</v>
      </c>
      <c r="F30" s="481" t="s">
        <v>241</v>
      </c>
      <c r="G30" s="481">
        <v>181.1178</v>
      </c>
      <c r="H30" s="481">
        <v>72959.88</v>
      </c>
      <c r="I30" s="358">
        <v>257973.5</v>
      </c>
      <c r="J30" s="370">
        <v>60800000</v>
      </c>
      <c r="K30" s="482" t="s">
        <v>242</v>
      </c>
      <c r="L30" s="361">
        <f>SUM(J30/M30)</f>
        <v>1770.00012809211</v>
      </c>
      <c r="M30" s="362">
        <v>34350.28</v>
      </c>
      <c r="N30" s="355">
        <v>7.12</v>
      </c>
      <c r="O30" s="364">
        <f>SUM(M30*N30)+I30</f>
        <v>502547.4936</v>
      </c>
      <c r="P30" s="367">
        <f>SUM(O30)</f>
        <v>502547.4936</v>
      </c>
      <c r="Q30" s="366" t="s">
        <v>243</v>
      </c>
      <c r="R30" s="367">
        <v>246436.66</v>
      </c>
      <c r="S30" s="367"/>
      <c r="T30" s="367"/>
      <c r="U30" s="367"/>
      <c r="V30" s="367"/>
      <c r="W30" s="367">
        <f>SUM(R30:V30)</f>
        <v>246436.66</v>
      </c>
      <c r="X30" s="368">
        <v>31498.56</v>
      </c>
      <c r="Y30" s="368"/>
      <c r="Z30" s="368"/>
      <c r="AA30" s="368">
        <f>SUM(X30:Z30)</f>
        <v>31498.56</v>
      </c>
      <c r="AB30" s="369">
        <v>7.12</v>
      </c>
      <c r="AC30" s="367">
        <f>SUM(AA30*AB30)</f>
        <v>224269.7472</v>
      </c>
      <c r="AD30" s="367">
        <f>SUM(W30+AC30)</f>
        <v>470706.4072</v>
      </c>
      <c r="AE30" s="367">
        <f>SUM(P30-AD30)</f>
        <v>31841.0864</v>
      </c>
    </row>
    <row r="31" s="264" customFormat="1" ht="12.75" spans="1:31">
      <c r="A31" s="354" t="s">
        <v>244</v>
      </c>
      <c r="B31" s="355" t="s">
        <v>245</v>
      </c>
      <c r="C31" s="356">
        <v>240907000011</v>
      </c>
      <c r="D31" s="357">
        <v>45563</v>
      </c>
      <c r="E31" s="355" t="s">
        <v>52</v>
      </c>
      <c r="F31" s="355" t="s">
        <v>246</v>
      </c>
      <c r="G31" s="355">
        <v>0.4074</v>
      </c>
      <c r="H31" s="355">
        <v>404</v>
      </c>
      <c r="I31" s="358">
        <v>1549.3</v>
      </c>
      <c r="J31" s="369"/>
      <c r="K31" s="360"/>
      <c r="L31" s="361"/>
      <c r="M31" s="360"/>
      <c r="N31" s="355"/>
      <c r="O31" s="364">
        <f t="shared" si="5"/>
        <v>1549.3</v>
      </c>
      <c r="P31" s="371">
        <f>SUM(O31:O51)</f>
        <v>163992.93964578</v>
      </c>
      <c r="Q31" s="372" t="s">
        <v>247</v>
      </c>
      <c r="R31" s="371">
        <v>40515</v>
      </c>
      <c r="S31" s="371"/>
      <c r="T31" s="371">
        <v>2200</v>
      </c>
      <c r="U31" s="371"/>
      <c r="V31" s="371"/>
      <c r="W31" s="371">
        <f>SUM(R31:V51)</f>
        <v>42775</v>
      </c>
      <c r="X31" s="373">
        <v>10381.23</v>
      </c>
      <c r="Y31" s="368">
        <v>48.54</v>
      </c>
      <c r="Z31" s="368"/>
      <c r="AA31" s="373">
        <f>SUM(X31:Z51)</f>
        <v>10856.01</v>
      </c>
      <c r="AB31" s="374">
        <v>7.23</v>
      </c>
      <c r="AC31" s="371">
        <f>SUM(AA31*AB31)</f>
        <v>78488.9523</v>
      </c>
      <c r="AD31" s="371">
        <f>SUM(W31+AC31)</f>
        <v>121263.9523</v>
      </c>
      <c r="AE31" s="371">
        <f>SUM(P31-AD31)</f>
        <v>42728.98734578</v>
      </c>
    </row>
    <row r="32" s="264" customFormat="1" ht="12.75" spans="1:31">
      <c r="A32" s="354"/>
      <c r="B32" s="355"/>
      <c r="C32" s="356">
        <v>240909000011</v>
      </c>
      <c r="D32" s="357">
        <v>45563</v>
      </c>
      <c r="E32" s="355" t="s">
        <v>49</v>
      </c>
      <c r="F32" s="355" t="s">
        <v>49</v>
      </c>
      <c r="G32" s="355">
        <v>0.036</v>
      </c>
      <c r="H32" s="355">
        <v>12</v>
      </c>
      <c r="I32" s="364"/>
      <c r="J32" s="370">
        <v>87324</v>
      </c>
      <c r="K32" s="360"/>
      <c r="L32" s="361">
        <f t="shared" ref="L32:L37" si="6">SUM(J32/M32)</f>
        <v>5916.25936094047</v>
      </c>
      <c r="M32" s="362">
        <v>14.760002</v>
      </c>
      <c r="N32" s="355">
        <v>7.24</v>
      </c>
      <c r="O32" s="364">
        <f t="shared" ref="O32:O37" si="7">SUM(M32*N32)</f>
        <v>106.86241448</v>
      </c>
      <c r="P32" s="375"/>
      <c r="Q32" s="375"/>
      <c r="R32" s="375"/>
      <c r="S32" s="375"/>
      <c r="T32" s="375"/>
      <c r="U32" s="379"/>
      <c r="V32" s="375"/>
      <c r="W32" s="375"/>
      <c r="X32" s="376"/>
      <c r="Y32" s="368">
        <v>0.54</v>
      </c>
      <c r="Z32" s="368"/>
      <c r="AA32" s="376"/>
      <c r="AB32" s="378"/>
      <c r="AC32" s="375"/>
      <c r="AD32" s="375"/>
      <c r="AE32" s="375"/>
    </row>
    <row r="33" s="264" customFormat="1" ht="12.75" spans="1:31">
      <c r="A33" s="354"/>
      <c r="B33" s="355"/>
      <c r="C33" s="356">
        <v>240915000027</v>
      </c>
      <c r="D33" s="357">
        <v>45563</v>
      </c>
      <c r="E33" s="355" t="s">
        <v>52</v>
      </c>
      <c r="F33" s="355" t="s">
        <v>248</v>
      </c>
      <c r="G33" s="355">
        <v>0.554</v>
      </c>
      <c r="H33" s="355">
        <v>177</v>
      </c>
      <c r="I33" s="358">
        <v>1986.97</v>
      </c>
      <c r="J33" s="369"/>
      <c r="K33" s="360"/>
      <c r="L33" s="361"/>
      <c r="M33" s="360"/>
      <c r="N33" s="355"/>
      <c r="O33" s="364">
        <f>SUM(I33)</f>
        <v>1986.97</v>
      </c>
      <c r="P33" s="375"/>
      <c r="Q33" s="375"/>
      <c r="R33" s="375"/>
      <c r="S33" s="375"/>
      <c r="T33" s="375"/>
      <c r="U33" s="367">
        <v>60</v>
      </c>
      <c r="V33" s="375"/>
      <c r="W33" s="375"/>
      <c r="X33" s="376"/>
      <c r="Y33" s="368"/>
      <c r="Z33" s="368">
        <v>83.97</v>
      </c>
      <c r="AA33" s="376"/>
      <c r="AB33" s="378"/>
      <c r="AC33" s="375"/>
      <c r="AD33" s="375"/>
      <c r="AE33" s="375"/>
    </row>
    <row r="34" s="264" customFormat="1" ht="12.75" spans="1:31">
      <c r="A34" s="354"/>
      <c r="B34" s="355"/>
      <c r="C34" s="356">
        <v>240919000042</v>
      </c>
      <c r="D34" s="357">
        <v>45563</v>
      </c>
      <c r="E34" s="355" t="s">
        <v>49</v>
      </c>
      <c r="F34" s="355" t="s">
        <v>249</v>
      </c>
      <c r="G34" s="355">
        <v>0.2211</v>
      </c>
      <c r="H34" s="355">
        <v>118</v>
      </c>
      <c r="I34" s="358">
        <v>468.7</v>
      </c>
      <c r="J34" s="369"/>
      <c r="K34" s="360"/>
      <c r="L34" s="361"/>
      <c r="M34" s="360"/>
      <c r="N34" s="355"/>
      <c r="O34" s="364">
        <f t="shared" si="5"/>
        <v>468.7</v>
      </c>
      <c r="P34" s="375"/>
      <c r="Q34" s="375"/>
      <c r="R34" s="375"/>
      <c r="S34" s="375"/>
      <c r="T34" s="375"/>
      <c r="U34" s="371"/>
      <c r="V34" s="379"/>
      <c r="W34" s="375"/>
      <c r="X34" s="376"/>
      <c r="Y34" s="368"/>
      <c r="Z34" s="368"/>
      <c r="AA34" s="376"/>
      <c r="AB34" s="378"/>
      <c r="AC34" s="375"/>
      <c r="AD34" s="375"/>
      <c r="AE34" s="375"/>
    </row>
    <row r="35" s="264" customFormat="1" ht="12.75" spans="1:31">
      <c r="A35" s="354"/>
      <c r="B35" s="355"/>
      <c r="C35" s="356">
        <v>240920000027</v>
      </c>
      <c r="D35" s="357">
        <v>45563</v>
      </c>
      <c r="E35" s="355" t="s">
        <v>52</v>
      </c>
      <c r="F35" s="355" t="s">
        <v>89</v>
      </c>
      <c r="G35" s="355">
        <v>1.1252</v>
      </c>
      <c r="H35" s="355">
        <v>111</v>
      </c>
      <c r="I35" s="358">
        <v>3500.8</v>
      </c>
      <c r="J35" s="369"/>
      <c r="K35" s="360"/>
      <c r="L35" s="361"/>
      <c r="M35" s="360"/>
      <c r="N35" s="355"/>
      <c r="O35" s="364">
        <f t="shared" si="5"/>
        <v>3500.8</v>
      </c>
      <c r="P35" s="375"/>
      <c r="Q35" s="375"/>
      <c r="R35" s="375"/>
      <c r="S35" s="375"/>
      <c r="T35" s="375"/>
      <c r="U35" s="375"/>
      <c r="V35" s="367"/>
      <c r="W35" s="375"/>
      <c r="X35" s="376"/>
      <c r="Y35" s="368">
        <v>8.31</v>
      </c>
      <c r="Z35" s="368">
        <v>117.69</v>
      </c>
      <c r="AA35" s="376"/>
      <c r="AB35" s="378"/>
      <c r="AC35" s="375"/>
      <c r="AD35" s="375"/>
      <c r="AE35" s="375"/>
    </row>
    <row r="36" s="264" customFormat="1" ht="12.75" spans="1:31">
      <c r="A36" s="354"/>
      <c r="B36" s="355"/>
      <c r="C36" s="356">
        <v>240920000030</v>
      </c>
      <c r="D36" s="357">
        <v>45563</v>
      </c>
      <c r="E36" s="355" t="s">
        <v>49</v>
      </c>
      <c r="F36" s="355" t="s">
        <v>84</v>
      </c>
      <c r="G36" s="355">
        <v>0.319</v>
      </c>
      <c r="H36" s="355">
        <v>321</v>
      </c>
      <c r="I36" s="364"/>
      <c r="J36" s="370">
        <v>385317</v>
      </c>
      <c r="K36" s="360"/>
      <c r="L36" s="361">
        <f t="shared" si="6"/>
        <v>1767.34703238235</v>
      </c>
      <c r="M36" s="362">
        <v>218.02</v>
      </c>
      <c r="N36" s="355">
        <v>7.24</v>
      </c>
      <c r="O36" s="364">
        <f t="shared" si="7"/>
        <v>1578.4648</v>
      </c>
      <c r="P36" s="375"/>
      <c r="Q36" s="375"/>
      <c r="R36" s="375"/>
      <c r="S36" s="375"/>
      <c r="T36" s="375"/>
      <c r="U36" s="375"/>
      <c r="V36" s="371"/>
      <c r="W36" s="375"/>
      <c r="X36" s="376"/>
      <c r="Y36" s="368">
        <v>85.03</v>
      </c>
      <c r="Z36" s="368"/>
      <c r="AA36" s="376"/>
      <c r="AB36" s="378"/>
      <c r="AC36" s="375"/>
      <c r="AD36" s="375"/>
      <c r="AE36" s="375"/>
    </row>
    <row r="37" s="264" customFormat="1" ht="12.75" spans="1:31">
      <c r="A37" s="354"/>
      <c r="B37" s="355"/>
      <c r="C37" s="356">
        <v>240923000009</v>
      </c>
      <c r="D37" s="357">
        <v>45563</v>
      </c>
      <c r="E37" s="355" t="s">
        <v>42</v>
      </c>
      <c r="F37" s="355" t="s">
        <v>180</v>
      </c>
      <c r="G37" s="355">
        <v>0.5281</v>
      </c>
      <c r="H37" s="355">
        <v>104.5</v>
      </c>
      <c r="I37" s="364"/>
      <c r="J37" s="370">
        <v>313621.07</v>
      </c>
      <c r="K37" s="360"/>
      <c r="L37" s="361">
        <f t="shared" si="6"/>
        <v>1855.85590010391</v>
      </c>
      <c r="M37" s="362">
        <v>168.98999</v>
      </c>
      <c r="N37" s="355">
        <v>7.26</v>
      </c>
      <c r="O37" s="364">
        <f t="shared" si="7"/>
        <v>1226.8673274</v>
      </c>
      <c r="P37" s="375"/>
      <c r="Q37" s="375"/>
      <c r="R37" s="375"/>
      <c r="S37" s="375"/>
      <c r="T37" s="375"/>
      <c r="U37" s="375"/>
      <c r="V37" s="375"/>
      <c r="W37" s="375"/>
      <c r="X37" s="376"/>
      <c r="Y37" s="368"/>
      <c r="Z37" s="368"/>
      <c r="AA37" s="376"/>
      <c r="AB37" s="378"/>
      <c r="AC37" s="375"/>
      <c r="AD37" s="375"/>
      <c r="AE37" s="375"/>
    </row>
    <row r="38" s="264" customFormat="1" ht="12.75" spans="1:31">
      <c r="A38" s="354"/>
      <c r="B38" s="355"/>
      <c r="C38" s="356">
        <v>240923000035</v>
      </c>
      <c r="D38" s="357">
        <v>45547</v>
      </c>
      <c r="E38" s="355" t="s">
        <v>49</v>
      </c>
      <c r="F38" s="355" t="s">
        <v>204</v>
      </c>
      <c r="G38" s="355">
        <v>1.0584</v>
      </c>
      <c r="H38" s="355">
        <v>465</v>
      </c>
      <c r="I38" s="358">
        <v>2082</v>
      </c>
      <c r="J38" s="369"/>
      <c r="K38" s="360"/>
      <c r="L38" s="361"/>
      <c r="M38" s="368"/>
      <c r="N38" s="355"/>
      <c r="O38" s="364">
        <f t="shared" ref="O38:O45" si="8">SUBTOTAL(9,I38)</f>
        <v>2082</v>
      </c>
      <c r="P38" s="375"/>
      <c r="Q38" s="375"/>
      <c r="R38" s="375"/>
      <c r="S38" s="375"/>
      <c r="T38" s="375"/>
      <c r="U38" s="375"/>
      <c r="V38" s="375"/>
      <c r="W38" s="375"/>
      <c r="X38" s="376"/>
      <c r="Y38" s="368"/>
      <c r="Z38" s="368"/>
      <c r="AA38" s="376"/>
      <c r="AB38" s="378"/>
      <c r="AC38" s="375"/>
      <c r="AD38" s="375"/>
      <c r="AE38" s="375"/>
    </row>
    <row r="39" s="264" customFormat="1" ht="12.75" spans="1:31">
      <c r="A39" s="354"/>
      <c r="B39" s="355"/>
      <c r="C39" s="356">
        <v>240923000047</v>
      </c>
      <c r="D39" s="357">
        <v>45563</v>
      </c>
      <c r="E39" s="355" t="s">
        <v>52</v>
      </c>
      <c r="F39" s="355" t="s">
        <v>232</v>
      </c>
      <c r="G39" s="355">
        <v>0.8</v>
      </c>
      <c r="H39" s="355">
        <v>197</v>
      </c>
      <c r="I39" s="364"/>
      <c r="J39" s="370">
        <v>390880</v>
      </c>
      <c r="K39" s="360"/>
      <c r="L39" s="361">
        <f>SUM(J39/M39)</f>
        <v>1744.99976629467</v>
      </c>
      <c r="M39" s="362">
        <v>224.00003</v>
      </c>
      <c r="N39" s="355">
        <v>7.21</v>
      </c>
      <c r="O39" s="364">
        <f>SUM(M39*N39)</f>
        <v>1615.0402163</v>
      </c>
      <c r="P39" s="375"/>
      <c r="Q39" s="375"/>
      <c r="R39" s="375"/>
      <c r="S39" s="375"/>
      <c r="T39" s="375"/>
      <c r="U39" s="375"/>
      <c r="V39" s="375"/>
      <c r="W39" s="375"/>
      <c r="X39" s="376"/>
      <c r="Y39" s="368"/>
      <c r="Z39" s="368"/>
      <c r="AA39" s="376"/>
      <c r="AB39" s="378"/>
      <c r="AC39" s="375"/>
      <c r="AD39" s="375"/>
      <c r="AE39" s="375"/>
    </row>
    <row r="40" s="264" customFormat="1" ht="12.75" spans="1:31">
      <c r="A40" s="354"/>
      <c r="B40" s="355"/>
      <c r="C40" s="356">
        <v>240924000001</v>
      </c>
      <c r="D40" s="357">
        <v>45563</v>
      </c>
      <c r="E40" s="355" t="s">
        <v>40</v>
      </c>
      <c r="F40" s="355" t="s">
        <v>112</v>
      </c>
      <c r="G40" s="355">
        <v>8.51</v>
      </c>
      <c r="H40" s="355">
        <v>209</v>
      </c>
      <c r="I40" s="358">
        <v>14859.77</v>
      </c>
      <c r="J40" s="369"/>
      <c r="K40" s="360"/>
      <c r="L40" s="361"/>
      <c r="M40" s="360"/>
      <c r="N40" s="355"/>
      <c r="O40" s="364">
        <f t="shared" si="8"/>
        <v>14859.77</v>
      </c>
      <c r="P40" s="375"/>
      <c r="Q40" s="375"/>
      <c r="R40" s="375"/>
      <c r="S40" s="375"/>
      <c r="T40" s="375"/>
      <c r="U40" s="375"/>
      <c r="V40" s="375"/>
      <c r="W40" s="375"/>
      <c r="X40" s="376"/>
      <c r="Y40" s="368"/>
      <c r="Z40" s="368"/>
      <c r="AA40" s="376"/>
      <c r="AB40" s="378"/>
      <c r="AC40" s="375"/>
      <c r="AD40" s="375"/>
      <c r="AE40" s="375"/>
    </row>
    <row r="41" s="264" customFormat="1" ht="12.75" spans="1:31">
      <c r="A41" s="354"/>
      <c r="B41" s="355"/>
      <c r="C41" s="356">
        <v>240925000028</v>
      </c>
      <c r="D41" s="357">
        <v>45563</v>
      </c>
      <c r="E41" s="355" t="s">
        <v>42</v>
      </c>
      <c r="F41" s="355" t="s">
        <v>43</v>
      </c>
      <c r="G41" s="355">
        <v>1.2354</v>
      </c>
      <c r="H41" s="355">
        <v>125</v>
      </c>
      <c r="I41" s="358">
        <v>2382.35</v>
      </c>
      <c r="J41" s="369"/>
      <c r="K41" s="360"/>
      <c r="L41" s="361"/>
      <c r="M41" s="360"/>
      <c r="N41" s="355"/>
      <c r="O41" s="364">
        <f t="shared" si="8"/>
        <v>2382.35</v>
      </c>
      <c r="P41" s="375"/>
      <c r="Q41" s="375"/>
      <c r="R41" s="375"/>
      <c r="S41" s="375"/>
      <c r="T41" s="375"/>
      <c r="U41" s="375"/>
      <c r="V41" s="375"/>
      <c r="W41" s="375"/>
      <c r="X41" s="376"/>
      <c r="Y41" s="368"/>
      <c r="Z41" s="368"/>
      <c r="AA41" s="376"/>
      <c r="AB41" s="378"/>
      <c r="AC41" s="375"/>
      <c r="AD41" s="375"/>
      <c r="AE41" s="375"/>
    </row>
    <row r="42" s="264" customFormat="1" ht="12.75" spans="1:31">
      <c r="A42" s="354"/>
      <c r="B42" s="355"/>
      <c r="C42" s="356">
        <v>240926000027</v>
      </c>
      <c r="D42" s="357">
        <v>45563</v>
      </c>
      <c r="E42" s="355" t="s">
        <v>40</v>
      </c>
      <c r="F42" s="355" t="s">
        <v>134</v>
      </c>
      <c r="G42" s="355">
        <v>1.555</v>
      </c>
      <c r="H42" s="355">
        <v>237</v>
      </c>
      <c r="I42" s="358">
        <v>3879</v>
      </c>
      <c r="J42" s="369"/>
      <c r="K42" s="360"/>
      <c r="L42" s="361"/>
      <c r="M42" s="360"/>
      <c r="N42" s="355"/>
      <c r="O42" s="364">
        <f t="shared" si="8"/>
        <v>3879</v>
      </c>
      <c r="P42" s="375"/>
      <c r="Q42" s="375"/>
      <c r="R42" s="375"/>
      <c r="S42" s="375"/>
      <c r="T42" s="375"/>
      <c r="U42" s="375"/>
      <c r="V42" s="375"/>
      <c r="W42" s="375"/>
      <c r="X42" s="376"/>
      <c r="Y42" s="368">
        <v>36.85</v>
      </c>
      <c r="Z42" s="368"/>
      <c r="AA42" s="376"/>
      <c r="AB42" s="378"/>
      <c r="AC42" s="375"/>
      <c r="AD42" s="375"/>
      <c r="AE42" s="375"/>
    </row>
    <row r="43" s="264" customFormat="1" ht="12.75" spans="1:31">
      <c r="A43" s="354"/>
      <c r="B43" s="355"/>
      <c r="C43" s="356">
        <v>240924000057</v>
      </c>
      <c r="D43" s="357">
        <v>45564</v>
      </c>
      <c r="E43" s="355" t="s">
        <v>40</v>
      </c>
      <c r="F43" s="355" t="s">
        <v>250</v>
      </c>
      <c r="G43" s="355">
        <v>5.543</v>
      </c>
      <c r="H43" s="355">
        <v>3101</v>
      </c>
      <c r="I43" s="358">
        <v>12233</v>
      </c>
      <c r="J43" s="369"/>
      <c r="K43" s="360"/>
      <c r="L43" s="361"/>
      <c r="M43" s="360"/>
      <c r="N43" s="355"/>
      <c r="O43" s="364">
        <f t="shared" si="8"/>
        <v>12233</v>
      </c>
      <c r="P43" s="375"/>
      <c r="Q43" s="375"/>
      <c r="R43" s="375"/>
      <c r="S43" s="375"/>
      <c r="T43" s="375"/>
      <c r="U43" s="375"/>
      <c r="V43" s="375"/>
      <c r="W43" s="375"/>
      <c r="X43" s="376"/>
      <c r="Y43" s="368"/>
      <c r="Z43" s="368"/>
      <c r="AA43" s="376"/>
      <c r="AB43" s="378"/>
      <c r="AC43" s="375"/>
      <c r="AD43" s="375"/>
      <c r="AE43" s="375"/>
    </row>
    <row r="44" s="264" customFormat="1" ht="12.75" spans="1:31">
      <c r="A44" s="354"/>
      <c r="B44" s="355"/>
      <c r="C44" s="356">
        <v>240906000023</v>
      </c>
      <c r="D44" s="357">
        <v>45559</v>
      </c>
      <c r="E44" s="355" t="s">
        <v>40</v>
      </c>
      <c r="F44" s="355" t="s">
        <v>158</v>
      </c>
      <c r="G44" s="355">
        <v>33.5175</v>
      </c>
      <c r="H44" s="355">
        <v>8313</v>
      </c>
      <c r="I44" s="364">
        <v>68845</v>
      </c>
      <c r="J44" s="369"/>
      <c r="K44" s="360"/>
      <c r="L44" s="361"/>
      <c r="M44" s="360"/>
      <c r="N44" s="355"/>
      <c r="O44" s="364">
        <f t="shared" si="8"/>
        <v>68845</v>
      </c>
      <c r="P44" s="375"/>
      <c r="Q44" s="375"/>
      <c r="R44" s="375"/>
      <c r="S44" s="375"/>
      <c r="T44" s="375"/>
      <c r="U44" s="375"/>
      <c r="V44" s="375"/>
      <c r="W44" s="375"/>
      <c r="X44" s="376"/>
      <c r="Y44" s="368"/>
      <c r="Z44" s="368"/>
      <c r="AA44" s="376"/>
      <c r="AB44" s="378"/>
      <c r="AC44" s="375"/>
      <c r="AD44" s="375"/>
      <c r="AE44" s="375"/>
    </row>
    <row r="45" s="264" customFormat="1" ht="12.75" spans="1:31">
      <c r="A45" s="354"/>
      <c r="B45" s="355"/>
      <c r="C45" s="356">
        <v>240927000007</v>
      </c>
      <c r="D45" s="357">
        <v>45563</v>
      </c>
      <c r="E45" s="355" t="s">
        <v>49</v>
      </c>
      <c r="F45" s="355" t="s">
        <v>249</v>
      </c>
      <c r="G45" s="355">
        <v>1.745</v>
      </c>
      <c r="H45" s="355">
        <v>656</v>
      </c>
      <c r="I45" s="358">
        <v>3441</v>
      </c>
      <c r="J45" s="369"/>
      <c r="K45" s="360"/>
      <c r="L45" s="361"/>
      <c r="M45" s="360"/>
      <c r="N45" s="355"/>
      <c r="O45" s="364">
        <f t="shared" si="8"/>
        <v>3441</v>
      </c>
      <c r="P45" s="375"/>
      <c r="Q45" s="375"/>
      <c r="R45" s="375"/>
      <c r="S45" s="375"/>
      <c r="T45" s="375"/>
      <c r="U45" s="375"/>
      <c r="V45" s="375"/>
      <c r="W45" s="375"/>
      <c r="X45" s="376"/>
      <c r="Y45" s="368"/>
      <c r="Z45" s="368"/>
      <c r="AA45" s="376"/>
      <c r="AB45" s="378"/>
      <c r="AC45" s="375"/>
      <c r="AD45" s="375"/>
      <c r="AE45" s="375"/>
    </row>
    <row r="46" s="264" customFormat="1" ht="12.75" spans="1:31">
      <c r="A46" s="354"/>
      <c r="B46" s="355"/>
      <c r="C46" s="356">
        <v>240927000017</v>
      </c>
      <c r="D46" s="357">
        <v>45563</v>
      </c>
      <c r="E46" s="355" t="s">
        <v>42</v>
      </c>
      <c r="F46" s="355" t="s">
        <v>181</v>
      </c>
      <c r="G46" s="355">
        <v>1.1235</v>
      </c>
      <c r="H46" s="355">
        <v>241</v>
      </c>
      <c r="I46" s="364"/>
      <c r="J46" s="370">
        <v>594820.8</v>
      </c>
      <c r="K46" s="360"/>
      <c r="L46" s="361">
        <f>SUM(J46/M46)</f>
        <v>1891.02133899085</v>
      </c>
      <c r="M46" s="362">
        <v>314.55002</v>
      </c>
      <c r="N46" s="355">
        <v>7.26</v>
      </c>
      <c r="O46" s="364">
        <f>SUM(M46*N46)</f>
        <v>2283.6331452</v>
      </c>
      <c r="P46" s="375"/>
      <c r="Q46" s="375"/>
      <c r="R46" s="375"/>
      <c r="S46" s="375"/>
      <c r="T46" s="375"/>
      <c r="U46" s="375"/>
      <c r="V46" s="375"/>
      <c r="W46" s="375"/>
      <c r="X46" s="376"/>
      <c r="Y46" s="368"/>
      <c r="Z46" s="368"/>
      <c r="AA46" s="376"/>
      <c r="AB46" s="378"/>
      <c r="AC46" s="375"/>
      <c r="AD46" s="375"/>
      <c r="AE46" s="375"/>
    </row>
    <row r="47" s="264" customFormat="1" ht="12.75" spans="1:31">
      <c r="A47" s="354"/>
      <c r="B47" s="355"/>
      <c r="C47" s="356">
        <v>240927000029</v>
      </c>
      <c r="D47" s="357">
        <v>45563</v>
      </c>
      <c r="E47" s="355" t="s">
        <v>42</v>
      </c>
      <c r="F47" s="355" t="s">
        <v>131</v>
      </c>
      <c r="G47" s="355">
        <v>1.7289</v>
      </c>
      <c r="H47" s="355">
        <v>1316</v>
      </c>
      <c r="I47" s="364"/>
      <c r="J47" s="370">
        <v>1061222.4</v>
      </c>
      <c r="K47" s="360"/>
      <c r="L47" s="361">
        <f>SUM(J47/M47)</f>
        <v>1612.7994117449</v>
      </c>
      <c r="M47" s="362">
        <v>658.00024</v>
      </c>
      <c r="N47" s="355">
        <v>7.26</v>
      </c>
      <c r="O47" s="364">
        <f>SUM(M47*N47)</f>
        <v>4777.0817424</v>
      </c>
      <c r="P47" s="375"/>
      <c r="Q47" s="375"/>
      <c r="R47" s="375"/>
      <c r="S47" s="375"/>
      <c r="T47" s="375"/>
      <c r="U47" s="375"/>
      <c r="V47" s="375"/>
      <c r="W47" s="375"/>
      <c r="X47" s="376"/>
      <c r="Y47" s="368">
        <v>7.97</v>
      </c>
      <c r="Z47" s="368"/>
      <c r="AA47" s="376"/>
      <c r="AB47" s="378"/>
      <c r="AC47" s="375"/>
      <c r="AD47" s="375"/>
      <c r="AE47" s="375"/>
    </row>
    <row r="48" s="264" customFormat="1" ht="12.75" spans="1:31">
      <c r="A48" s="354"/>
      <c r="B48" s="355"/>
      <c r="C48" s="356">
        <v>240921000019</v>
      </c>
      <c r="D48" s="357">
        <v>45563</v>
      </c>
      <c r="E48" s="355" t="s">
        <v>190</v>
      </c>
      <c r="F48" s="355" t="s">
        <v>196</v>
      </c>
      <c r="G48" s="355">
        <v>0.3318</v>
      </c>
      <c r="H48" s="355">
        <v>185</v>
      </c>
      <c r="I48" s="358">
        <v>678.17</v>
      </c>
      <c r="J48" s="369"/>
      <c r="K48" s="360"/>
      <c r="L48" s="361"/>
      <c r="M48" s="368"/>
      <c r="N48" s="355"/>
      <c r="O48" s="364">
        <f t="shared" ref="O48:O51" si="9">SUBTOTAL(9,I48)</f>
        <v>678.17</v>
      </c>
      <c r="P48" s="375"/>
      <c r="Q48" s="375"/>
      <c r="R48" s="375"/>
      <c r="S48" s="375"/>
      <c r="T48" s="375"/>
      <c r="U48" s="375"/>
      <c r="V48" s="375"/>
      <c r="W48" s="375"/>
      <c r="X48" s="376"/>
      <c r="Y48" s="368"/>
      <c r="Z48" s="368"/>
      <c r="AA48" s="376"/>
      <c r="AB48" s="378"/>
      <c r="AC48" s="375"/>
      <c r="AD48" s="375"/>
      <c r="AE48" s="375"/>
    </row>
    <row r="49" s="264" customFormat="1" ht="12.75" spans="1:31">
      <c r="A49" s="354"/>
      <c r="B49" s="355"/>
      <c r="C49" s="356">
        <v>240927000032</v>
      </c>
      <c r="D49" s="357">
        <v>45563</v>
      </c>
      <c r="E49" s="355" t="s">
        <v>44</v>
      </c>
      <c r="F49" s="355" t="s">
        <v>112</v>
      </c>
      <c r="G49" s="355">
        <v>0.4929</v>
      </c>
      <c r="H49" s="355">
        <v>47.1</v>
      </c>
      <c r="I49" s="358">
        <v>860.11</v>
      </c>
      <c r="J49" s="369"/>
      <c r="K49" s="360"/>
      <c r="L49" s="361"/>
      <c r="M49" s="360"/>
      <c r="N49" s="355"/>
      <c r="O49" s="364">
        <f t="shared" si="9"/>
        <v>860.11</v>
      </c>
      <c r="P49" s="375"/>
      <c r="Q49" s="375"/>
      <c r="R49" s="375"/>
      <c r="S49" s="375"/>
      <c r="T49" s="375"/>
      <c r="U49" s="375"/>
      <c r="V49" s="375"/>
      <c r="W49" s="375"/>
      <c r="X49" s="376"/>
      <c r="Y49" s="368"/>
      <c r="Z49" s="368"/>
      <c r="AA49" s="376"/>
      <c r="AB49" s="378"/>
      <c r="AC49" s="375"/>
      <c r="AD49" s="375"/>
      <c r="AE49" s="375"/>
    </row>
    <row r="50" s="264" customFormat="1" ht="12.75" spans="1:31">
      <c r="A50" s="354"/>
      <c r="B50" s="355"/>
      <c r="C50" s="356">
        <v>240927000070</v>
      </c>
      <c r="D50" s="357">
        <v>45563</v>
      </c>
      <c r="E50" s="355" t="s">
        <v>190</v>
      </c>
      <c r="F50" s="355" t="s">
        <v>251</v>
      </c>
      <c r="G50" s="355">
        <v>17.4127</v>
      </c>
      <c r="H50" s="355">
        <v>10650</v>
      </c>
      <c r="I50" s="358">
        <v>29515.58</v>
      </c>
      <c r="J50" s="369"/>
      <c r="K50" s="360"/>
      <c r="L50" s="361"/>
      <c r="M50" s="360"/>
      <c r="N50" s="355"/>
      <c r="O50" s="364">
        <f t="shared" si="9"/>
        <v>29515.58</v>
      </c>
      <c r="P50" s="375"/>
      <c r="Q50" s="375"/>
      <c r="R50" s="375"/>
      <c r="S50" s="375"/>
      <c r="T50" s="375"/>
      <c r="U50" s="375"/>
      <c r="V50" s="375"/>
      <c r="W50" s="375"/>
      <c r="X50" s="376"/>
      <c r="Y50" s="368">
        <v>85.88</v>
      </c>
      <c r="Z50" s="368"/>
      <c r="AA50" s="376"/>
      <c r="AB50" s="378"/>
      <c r="AC50" s="375"/>
      <c r="AD50" s="375"/>
      <c r="AE50" s="375"/>
    </row>
    <row r="51" s="264" customFormat="1" ht="12.75" spans="1:31">
      <c r="A51" s="354"/>
      <c r="B51" s="355"/>
      <c r="C51" s="356">
        <v>240928000018</v>
      </c>
      <c r="D51" s="357">
        <v>45563</v>
      </c>
      <c r="E51" s="355" t="s">
        <v>190</v>
      </c>
      <c r="F51" s="355" t="s">
        <v>252</v>
      </c>
      <c r="G51" s="355">
        <v>3.3552</v>
      </c>
      <c r="H51" s="355">
        <v>1105</v>
      </c>
      <c r="I51" s="358">
        <v>6123.24</v>
      </c>
      <c r="J51" s="369"/>
      <c r="K51" s="360"/>
      <c r="L51" s="361"/>
      <c r="M51" s="360"/>
      <c r="N51" s="355"/>
      <c r="O51" s="364">
        <f t="shared" si="9"/>
        <v>6123.24</v>
      </c>
      <c r="P51" s="379"/>
      <c r="Q51" s="379"/>
      <c r="R51" s="379"/>
      <c r="S51" s="379"/>
      <c r="T51" s="379"/>
      <c r="U51" s="379"/>
      <c r="V51" s="379"/>
      <c r="W51" s="379"/>
      <c r="X51" s="377"/>
      <c r="Y51" s="368"/>
      <c r="Z51" s="368"/>
      <c r="AA51" s="377"/>
      <c r="AB51" s="380"/>
      <c r="AC51" s="379"/>
      <c r="AD51" s="379"/>
      <c r="AE51" s="379"/>
    </row>
    <row r="52" s="264" customFormat="1" ht="12.75" spans="1:31">
      <c r="A52" s="354" t="s">
        <v>253</v>
      </c>
      <c r="B52" s="355" t="s">
        <v>254</v>
      </c>
      <c r="C52" s="356">
        <v>240919000034</v>
      </c>
      <c r="D52" s="357">
        <v>45563</v>
      </c>
      <c r="E52" s="355" t="s">
        <v>42</v>
      </c>
      <c r="F52" s="355" t="s">
        <v>180</v>
      </c>
      <c r="G52" s="355">
        <v>0.8132</v>
      </c>
      <c r="H52" s="355">
        <v>104</v>
      </c>
      <c r="I52" s="364"/>
      <c r="J52" s="370">
        <v>607758.93</v>
      </c>
      <c r="K52" s="360"/>
      <c r="L52" s="361">
        <f>SUM(J52/M52)</f>
        <v>1737</v>
      </c>
      <c r="M52" s="362">
        <v>349.89</v>
      </c>
      <c r="N52" s="355">
        <v>7.26</v>
      </c>
      <c r="O52" s="364">
        <f>SUM(M52*N52)</f>
        <v>2540.2014</v>
      </c>
      <c r="P52" s="371">
        <f>SUM(O52:O61)</f>
        <v>148903.0014</v>
      </c>
      <c r="Q52" s="372" t="s">
        <v>255</v>
      </c>
      <c r="R52" s="371">
        <v>40661</v>
      </c>
      <c r="S52" s="371">
        <v>94.72</v>
      </c>
      <c r="T52" s="371">
        <v>2000</v>
      </c>
      <c r="U52" s="367">
        <v>420</v>
      </c>
      <c r="V52" s="371"/>
      <c r="W52" s="371">
        <f>SUM(R52:V61)</f>
        <v>43975.72</v>
      </c>
      <c r="X52" s="373">
        <v>10381.24</v>
      </c>
      <c r="Y52" s="368"/>
      <c r="Z52" s="373"/>
      <c r="AA52" s="373">
        <f>SUM(X52:Z61)</f>
        <v>10465.42</v>
      </c>
      <c r="AB52" s="374">
        <v>7.24</v>
      </c>
      <c r="AC52" s="371">
        <f>SUM(AA52*AB52)</f>
        <v>75769.6408</v>
      </c>
      <c r="AD52" s="371">
        <f>SUM(W52+AC52)</f>
        <v>119745.3608</v>
      </c>
      <c r="AE52" s="371">
        <f>SUM(P52-AD52)</f>
        <v>29157.6406</v>
      </c>
    </row>
    <row r="53" s="264" customFormat="1" ht="12.75" spans="1:31">
      <c r="A53" s="354"/>
      <c r="B53" s="355"/>
      <c r="C53" s="356">
        <v>240921000009</v>
      </c>
      <c r="D53" s="357">
        <v>45563</v>
      </c>
      <c r="E53" s="355" t="s">
        <v>256</v>
      </c>
      <c r="F53" s="355" t="s">
        <v>257</v>
      </c>
      <c r="G53" s="355">
        <v>0.075</v>
      </c>
      <c r="H53" s="355">
        <v>19</v>
      </c>
      <c r="I53" s="358">
        <v>318</v>
      </c>
      <c r="J53" s="369"/>
      <c r="K53" s="360"/>
      <c r="L53" s="361"/>
      <c r="M53" s="360"/>
      <c r="N53" s="355"/>
      <c r="O53" s="364">
        <f>SUM(I53)</f>
        <v>318</v>
      </c>
      <c r="P53" s="375"/>
      <c r="Q53" s="375"/>
      <c r="R53" s="375"/>
      <c r="S53" s="375"/>
      <c r="T53" s="375"/>
      <c r="U53" s="367"/>
      <c r="V53" s="375"/>
      <c r="W53" s="375"/>
      <c r="X53" s="376"/>
      <c r="Y53" s="368"/>
      <c r="Z53" s="376"/>
      <c r="AA53" s="376"/>
      <c r="AB53" s="378"/>
      <c r="AC53" s="375"/>
      <c r="AD53" s="375"/>
      <c r="AE53" s="375"/>
    </row>
    <row r="54" s="264" customFormat="1" ht="12.75" spans="1:31">
      <c r="A54" s="354"/>
      <c r="B54" s="355"/>
      <c r="C54" s="356">
        <v>240921000019</v>
      </c>
      <c r="D54" s="357">
        <v>45563</v>
      </c>
      <c r="E54" s="355" t="s">
        <v>190</v>
      </c>
      <c r="F54" s="355" t="s">
        <v>196</v>
      </c>
      <c r="G54" s="355">
        <v>10.1452</v>
      </c>
      <c r="H54" s="355">
        <v>2149.35</v>
      </c>
      <c r="I54" s="358">
        <v>20732</v>
      </c>
      <c r="J54" s="369"/>
      <c r="K54" s="360"/>
      <c r="L54" s="361"/>
      <c r="M54" s="368"/>
      <c r="N54" s="355"/>
      <c r="O54" s="364">
        <f t="shared" ref="O54:O61" si="10">SUBTOTAL(9,I54)</f>
        <v>20732</v>
      </c>
      <c r="P54" s="375"/>
      <c r="Q54" s="375"/>
      <c r="R54" s="375"/>
      <c r="S54" s="375"/>
      <c r="T54" s="375"/>
      <c r="U54" s="367">
        <f>SUM(450+350)</f>
        <v>800</v>
      </c>
      <c r="V54" s="375"/>
      <c r="W54" s="375"/>
      <c r="X54" s="376"/>
      <c r="Y54" s="368"/>
      <c r="Z54" s="376"/>
      <c r="AA54" s="376"/>
      <c r="AB54" s="378"/>
      <c r="AC54" s="375"/>
      <c r="AD54" s="375"/>
      <c r="AE54" s="375"/>
    </row>
    <row r="55" s="264" customFormat="1" ht="12.75" spans="1:31">
      <c r="A55" s="354"/>
      <c r="B55" s="355"/>
      <c r="C55" s="356">
        <v>240923000035</v>
      </c>
      <c r="D55" s="357">
        <v>45563</v>
      </c>
      <c r="E55" s="355" t="s">
        <v>49</v>
      </c>
      <c r="F55" s="355" t="s">
        <v>204</v>
      </c>
      <c r="G55" s="355">
        <v>7.0714</v>
      </c>
      <c r="H55" s="355">
        <v>3083</v>
      </c>
      <c r="I55" s="358">
        <v>13913.3</v>
      </c>
      <c r="J55" s="369"/>
      <c r="K55" s="360"/>
      <c r="L55" s="361"/>
      <c r="M55" s="360"/>
      <c r="N55" s="355"/>
      <c r="O55" s="364">
        <f t="shared" si="10"/>
        <v>13913.3</v>
      </c>
      <c r="P55" s="375"/>
      <c r="Q55" s="375"/>
      <c r="R55" s="375"/>
      <c r="S55" s="375"/>
      <c r="T55" s="375"/>
      <c r="U55" s="371"/>
      <c r="V55" s="375"/>
      <c r="W55" s="375"/>
      <c r="X55" s="376"/>
      <c r="Y55" s="368"/>
      <c r="Z55" s="376"/>
      <c r="AA55" s="376"/>
      <c r="AB55" s="378"/>
      <c r="AC55" s="375"/>
      <c r="AD55" s="375"/>
      <c r="AE55" s="375"/>
    </row>
    <row r="56" s="264" customFormat="1" ht="12.75" spans="1:31">
      <c r="A56" s="354"/>
      <c r="B56" s="355"/>
      <c r="C56" s="356">
        <v>240906000023</v>
      </c>
      <c r="D56" s="357">
        <v>45559</v>
      </c>
      <c r="E56" s="355" t="s">
        <v>40</v>
      </c>
      <c r="F56" s="355" t="s">
        <v>158</v>
      </c>
      <c r="G56" s="355">
        <v>24.9775</v>
      </c>
      <c r="H56" s="355">
        <v>6522</v>
      </c>
      <c r="I56" s="364">
        <v>51303</v>
      </c>
      <c r="J56" s="369"/>
      <c r="K56" s="360"/>
      <c r="L56" s="361"/>
      <c r="M56" s="360"/>
      <c r="N56" s="355"/>
      <c r="O56" s="364">
        <f t="shared" si="10"/>
        <v>51303</v>
      </c>
      <c r="P56" s="375"/>
      <c r="Q56" s="375"/>
      <c r="R56" s="375"/>
      <c r="S56" s="375"/>
      <c r="T56" s="375"/>
      <c r="U56" s="375"/>
      <c r="V56" s="375"/>
      <c r="W56" s="375"/>
      <c r="X56" s="376"/>
      <c r="Y56" s="368"/>
      <c r="Z56" s="376"/>
      <c r="AA56" s="376"/>
      <c r="AB56" s="378"/>
      <c r="AC56" s="375"/>
      <c r="AD56" s="375"/>
      <c r="AE56" s="375"/>
    </row>
    <row r="57" s="264" customFormat="1" ht="12.75" spans="1:31">
      <c r="A57" s="354"/>
      <c r="B57" s="355"/>
      <c r="C57" s="356">
        <v>240919000020</v>
      </c>
      <c r="D57" s="357">
        <v>45564</v>
      </c>
      <c r="E57" s="355" t="s">
        <v>52</v>
      </c>
      <c r="F57" s="355" t="s">
        <v>194</v>
      </c>
      <c r="G57" s="355">
        <v>1.06</v>
      </c>
      <c r="H57" s="355">
        <v>594</v>
      </c>
      <c r="I57" s="358">
        <v>2180</v>
      </c>
      <c r="J57" s="369"/>
      <c r="K57" s="360"/>
      <c r="L57" s="361"/>
      <c r="M57" s="360"/>
      <c r="N57" s="355"/>
      <c r="O57" s="364">
        <f t="shared" si="10"/>
        <v>2180</v>
      </c>
      <c r="P57" s="375"/>
      <c r="Q57" s="375"/>
      <c r="R57" s="375"/>
      <c r="S57" s="375"/>
      <c r="T57" s="375"/>
      <c r="U57" s="375"/>
      <c r="V57" s="375"/>
      <c r="W57" s="375"/>
      <c r="X57" s="376"/>
      <c r="Y57" s="368"/>
      <c r="Z57" s="376"/>
      <c r="AA57" s="376"/>
      <c r="AB57" s="378"/>
      <c r="AC57" s="375"/>
      <c r="AD57" s="375"/>
      <c r="AE57" s="375"/>
    </row>
    <row r="58" s="264" customFormat="1" ht="12.75" spans="1:31">
      <c r="A58" s="354"/>
      <c r="B58" s="355"/>
      <c r="C58" s="356">
        <v>240924000057</v>
      </c>
      <c r="D58" s="357">
        <v>45564</v>
      </c>
      <c r="E58" s="355" t="s">
        <v>40</v>
      </c>
      <c r="F58" s="355" t="s">
        <v>250</v>
      </c>
      <c r="G58" s="355">
        <v>5.543</v>
      </c>
      <c r="H58" s="355">
        <v>3097</v>
      </c>
      <c r="I58" s="358">
        <v>12233</v>
      </c>
      <c r="J58" s="369"/>
      <c r="K58" s="360"/>
      <c r="L58" s="361"/>
      <c r="M58" s="360"/>
      <c r="N58" s="355"/>
      <c r="O58" s="364">
        <f t="shared" si="10"/>
        <v>12233</v>
      </c>
      <c r="P58" s="375"/>
      <c r="Q58" s="375"/>
      <c r="R58" s="375"/>
      <c r="S58" s="375"/>
      <c r="T58" s="375"/>
      <c r="U58" s="375"/>
      <c r="V58" s="375"/>
      <c r="W58" s="375"/>
      <c r="X58" s="376"/>
      <c r="Y58" s="368"/>
      <c r="Z58" s="376"/>
      <c r="AA58" s="376"/>
      <c r="AB58" s="378"/>
      <c r="AC58" s="375"/>
      <c r="AD58" s="375"/>
      <c r="AE58" s="375"/>
    </row>
    <row r="59" s="264" customFormat="1" ht="12.75" spans="1:31">
      <c r="A59" s="354"/>
      <c r="B59" s="355"/>
      <c r="C59" s="356">
        <v>240928000023</v>
      </c>
      <c r="D59" s="357">
        <v>45564</v>
      </c>
      <c r="E59" s="355" t="s">
        <v>40</v>
      </c>
      <c r="F59" s="355" t="s">
        <v>59</v>
      </c>
      <c r="G59" s="355">
        <v>6.37</v>
      </c>
      <c r="H59" s="355">
        <v>908.5</v>
      </c>
      <c r="I59" s="358">
        <v>9341.73</v>
      </c>
      <c r="J59" s="369"/>
      <c r="K59" s="360"/>
      <c r="L59" s="361"/>
      <c r="M59" s="362"/>
      <c r="N59" s="355"/>
      <c r="O59" s="364">
        <f t="shared" si="10"/>
        <v>9341.73</v>
      </c>
      <c r="P59" s="375"/>
      <c r="Q59" s="375"/>
      <c r="R59" s="375"/>
      <c r="S59" s="375"/>
      <c r="T59" s="375"/>
      <c r="U59" s="375"/>
      <c r="V59" s="375"/>
      <c r="W59" s="375"/>
      <c r="X59" s="376"/>
      <c r="Y59" s="368"/>
      <c r="Z59" s="376"/>
      <c r="AA59" s="376"/>
      <c r="AB59" s="378"/>
      <c r="AC59" s="375"/>
      <c r="AD59" s="375"/>
      <c r="AE59" s="375"/>
    </row>
    <row r="60" s="264" customFormat="1" ht="12.75" spans="1:31">
      <c r="A60" s="354"/>
      <c r="B60" s="355"/>
      <c r="C60" s="356">
        <v>240927000032</v>
      </c>
      <c r="D60" s="357">
        <v>45563</v>
      </c>
      <c r="E60" s="355" t="s">
        <v>44</v>
      </c>
      <c r="F60" s="355" t="s">
        <v>112</v>
      </c>
      <c r="G60" s="355">
        <v>4.4364</v>
      </c>
      <c r="H60" s="355">
        <v>423.9</v>
      </c>
      <c r="I60" s="358">
        <v>7740.66</v>
      </c>
      <c r="J60" s="369"/>
      <c r="K60" s="360"/>
      <c r="L60" s="361"/>
      <c r="M60" s="360"/>
      <c r="N60" s="355"/>
      <c r="O60" s="364">
        <f t="shared" si="10"/>
        <v>7740.66</v>
      </c>
      <c r="P60" s="375"/>
      <c r="Q60" s="375"/>
      <c r="R60" s="375"/>
      <c r="S60" s="375"/>
      <c r="T60" s="375"/>
      <c r="U60" s="375"/>
      <c r="V60" s="375"/>
      <c r="W60" s="375"/>
      <c r="X60" s="376"/>
      <c r="Y60" s="368"/>
      <c r="Z60" s="376"/>
      <c r="AA60" s="376"/>
      <c r="AB60" s="378"/>
      <c r="AC60" s="375"/>
      <c r="AD60" s="375"/>
      <c r="AE60" s="375"/>
    </row>
    <row r="61" s="264" customFormat="1" ht="12.75" spans="1:31">
      <c r="A61" s="354"/>
      <c r="B61" s="355"/>
      <c r="C61" s="356">
        <v>240927000071</v>
      </c>
      <c r="D61" s="357">
        <v>45563</v>
      </c>
      <c r="E61" s="355" t="s">
        <v>190</v>
      </c>
      <c r="F61" s="355" t="s">
        <v>251</v>
      </c>
      <c r="G61" s="355">
        <v>16.8732</v>
      </c>
      <c r="H61" s="355">
        <v>10470</v>
      </c>
      <c r="I61" s="358">
        <v>28601.11</v>
      </c>
      <c r="J61" s="369"/>
      <c r="K61" s="360"/>
      <c r="L61" s="361"/>
      <c r="M61" s="360"/>
      <c r="N61" s="355"/>
      <c r="O61" s="364">
        <f t="shared" si="10"/>
        <v>28601.11</v>
      </c>
      <c r="P61" s="379"/>
      <c r="Q61" s="379"/>
      <c r="R61" s="379"/>
      <c r="S61" s="379"/>
      <c r="T61" s="379"/>
      <c r="U61" s="379"/>
      <c r="V61" s="379"/>
      <c r="W61" s="379"/>
      <c r="X61" s="377"/>
      <c r="Y61" s="368">
        <v>84.18</v>
      </c>
      <c r="Z61" s="377"/>
      <c r="AA61" s="377"/>
      <c r="AB61" s="380"/>
      <c r="AC61" s="379"/>
      <c r="AD61" s="379"/>
      <c r="AE61" s="379"/>
    </row>
    <row r="62" s="264" customFormat="1" ht="12.75" spans="1:31">
      <c r="A62" s="354" t="s">
        <v>258</v>
      </c>
      <c r="B62" s="355" t="s">
        <v>259</v>
      </c>
      <c r="C62" s="356">
        <v>240918000046</v>
      </c>
      <c r="D62" s="357">
        <v>45564</v>
      </c>
      <c r="E62" s="355" t="s">
        <v>42</v>
      </c>
      <c r="F62" s="355" t="s">
        <v>181</v>
      </c>
      <c r="G62" s="355">
        <v>11.5853</v>
      </c>
      <c r="H62" s="355">
        <v>3144</v>
      </c>
      <c r="I62" s="364"/>
      <c r="J62" s="370">
        <v>7151961.6</v>
      </c>
      <c r="K62" s="360"/>
      <c r="L62" s="361">
        <f>SUM(J62/M62)</f>
        <v>1754.97071376897</v>
      </c>
      <c r="M62" s="362">
        <v>4075.2598</v>
      </c>
      <c r="N62" s="355">
        <v>7.26</v>
      </c>
      <c r="O62" s="364">
        <f>SUM(M62*N62)</f>
        <v>29586.386148</v>
      </c>
      <c r="P62" s="371">
        <f>SUM(O62:O71)</f>
        <v>153384.0135658</v>
      </c>
      <c r="Q62" s="372" t="s">
        <v>260</v>
      </c>
      <c r="R62" s="371">
        <v>41933</v>
      </c>
      <c r="S62" s="371"/>
      <c r="T62" s="371">
        <v>1400</v>
      </c>
      <c r="U62" s="367">
        <v>150</v>
      </c>
      <c r="V62" s="371"/>
      <c r="W62" s="371">
        <f>SUM(R62:V71)</f>
        <v>43483</v>
      </c>
      <c r="X62" s="373">
        <v>10381.24</v>
      </c>
      <c r="Y62" s="368"/>
      <c r="Z62" s="373"/>
      <c r="AA62" s="373">
        <f>SUM(X62:Z71)</f>
        <v>10391.1</v>
      </c>
      <c r="AB62" s="374">
        <v>7.24</v>
      </c>
      <c r="AC62" s="371">
        <f>SUM(AA62*AB62)</f>
        <v>75231.564</v>
      </c>
      <c r="AD62" s="371">
        <f>SUM(W62+AC62)</f>
        <v>118714.564</v>
      </c>
      <c r="AE62" s="371">
        <f>SUM(P62-AD62)</f>
        <v>34669.4495658</v>
      </c>
    </row>
    <row r="63" s="264" customFormat="1" ht="12.75" spans="1:31">
      <c r="A63" s="354"/>
      <c r="B63" s="355"/>
      <c r="C63" s="356">
        <v>240919000028</v>
      </c>
      <c r="D63" s="357">
        <v>45564</v>
      </c>
      <c r="E63" s="355" t="s">
        <v>190</v>
      </c>
      <c r="F63" s="355" t="s">
        <v>207</v>
      </c>
      <c r="G63" s="355">
        <v>4.5828</v>
      </c>
      <c r="H63" s="355">
        <v>3750</v>
      </c>
      <c r="I63" s="358">
        <v>10847.8</v>
      </c>
      <c r="J63" s="369"/>
      <c r="K63" s="360"/>
      <c r="L63" s="361"/>
      <c r="M63" s="360"/>
      <c r="N63" s="355"/>
      <c r="O63" s="364">
        <f t="shared" ref="O63:O66" si="11">SUBTOTAL(9,I63)</f>
        <v>10847.8</v>
      </c>
      <c r="P63" s="375"/>
      <c r="Q63" s="375"/>
      <c r="R63" s="375"/>
      <c r="S63" s="375"/>
      <c r="T63" s="375"/>
      <c r="U63" s="371"/>
      <c r="V63" s="375"/>
      <c r="W63" s="375"/>
      <c r="X63" s="376"/>
      <c r="Y63" s="368"/>
      <c r="Z63" s="376"/>
      <c r="AA63" s="376"/>
      <c r="AB63" s="378"/>
      <c r="AC63" s="375"/>
      <c r="AD63" s="375"/>
      <c r="AE63" s="375"/>
    </row>
    <row r="64" s="264" customFormat="1" ht="12.75" spans="1:31">
      <c r="A64" s="354"/>
      <c r="B64" s="355"/>
      <c r="C64" s="356">
        <v>240906000023</v>
      </c>
      <c r="D64" s="357">
        <v>45559</v>
      </c>
      <c r="E64" s="355" t="s">
        <v>40</v>
      </c>
      <c r="F64" s="355" t="s">
        <v>158</v>
      </c>
      <c r="G64" s="355">
        <v>17.6195</v>
      </c>
      <c r="H64" s="355">
        <v>5514</v>
      </c>
      <c r="I64" s="364">
        <v>36190</v>
      </c>
      <c r="J64" s="369"/>
      <c r="K64" s="360"/>
      <c r="L64" s="361"/>
      <c r="M64" s="360"/>
      <c r="N64" s="355"/>
      <c r="O64" s="364">
        <f t="shared" si="11"/>
        <v>36190</v>
      </c>
      <c r="P64" s="375"/>
      <c r="Q64" s="375"/>
      <c r="R64" s="375"/>
      <c r="S64" s="375"/>
      <c r="T64" s="375"/>
      <c r="U64" s="375"/>
      <c r="V64" s="375"/>
      <c r="W64" s="375"/>
      <c r="X64" s="376"/>
      <c r="Y64" s="368"/>
      <c r="Z64" s="376"/>
      <c r="AA64" s="376"/>
      <c r="AB64" s="378"/>
      <c r="AC64" s="375"/>
      <c r="AD64" s="375"/>
      <c r="AE64" s="375"/>
    </row>
    <row r="65" s="264" customFormat="1" ht="12.75" spans="1:31">
      <c r="A65" s="354"/>
      <c r="B65" s="355"/>
      <c r="C65" s="356">
        <v>240924000057</v>
      </c>
      <c r="D65" s="357">
        <v>45564</v>
      </c>
      <c r="E65" s="355" t="s">
        <v>40</v>
      </c>
      <c r="F65" s="355" t="s">
        <v>250</v>
      </c>
      <c r="G65" s="355">
        <v>4.4869</v>
      </c>
      <c r="H65" s="355">
        <v>2510.11</v>
      </c>
      <c r="I65" s="358">
        <v>9902</v>
      </c>
      <c r="J65" s="369"/>
      <c r="K65" s="360"/>
      <c r="L65" s="361"/>
      <c r="M65" s="360"/>
      <c r="N65" s="355"/>
      <c r="O65" s="364">
        <f t="shared" si="11"/>
        <v>9902</v>
      </c>
      <c r="P65" s="375"/>
      <c r="Q65" s="375"/>
      <c r="R65" s="375"/>
      <c r="S65" s="375"/>
      <c r="T65" s="375"/>
      <c r="U65" s="375"/>
      <c r="V65" s="375"/>
      <c r="W65" s="375"/>
      <c r="X65" s="376"/>
      <c r="Y65" s="368"/>
      <c r="Z65" s="376"/>
      <c r="AA65" s="376"/>
      <c r="AB65" s="378"/>
      <c r="AC65" s="375"/>
      <c r="AD65" s="375"/>
      <c r="AE65" s="375"/>
    </row>
    <row r="66" s="264" customFormat="1" ht="12.75" spans="1:31">
      <c r="A66" s="354"/>
      <c r="B66" s="355"/>
      <c r="C66" s="356">
        <v>240919000020</v>
      </c>
      <c r="D66" s="357">
        <v>45564</v>
      </c>
      <c r="E66" s="355" t="s">
        <v>52</v>
      </c>
      <c r="F66" s="355" t="s">
        <v>194</v>
      </c>
      <c r="G66" s="355">
        <v>3.887</v>
      </c>
      <c r="H66" s="355">
        <v>1821.5</v>
      </c>
      <c r="I66" s="358">
        <v>8001.8</v>
      </c>
      <c r="J66" s="369"/>
      <c r="K66" s="360"/>
      <c r="L66" s="361"/>
      <c r="M66" s="360"/>
      <c r="N66" s="355"/>
      <c r="O66" s="364">
        <f t="shared" si="11"/>
        <v>8001.8</v>
      </c>
      <c r="P66" s="375"/>
      <c r="Q66" s="375"/>
      <c r="R66" s="375"/>
      <c r="S66" s="375"/>
      <c r="T66" s="375"/>
      <c r="U66" s="375"/>
      <c r="V66" s="375"/>
      <c r="W66" s="375"/>
      <c r="X66" s="376"/>
      <c r="Y66" s="368"/>
      <c r="Z66" s="376"/>
      <c r="AA66" s="376"/>
      <c r="AB66" s="378"/>
      <c r="AC66" s="375"/>
      <c r="AD66" s="375"/>
      <c r="AE66" s="375"/>
    </row>
    <row r="67" s="264" customFormat="1" ht="12.75" spans="1:31">
      <c r="A67" s="354"/>
      <c r="B67" s="355"/>
      <c r="C67" s="356">
        <v>240929000009</v>
      </c>
      <c r="D67" s="357">
        <v>45564</v>
      </c>
      <c r="E67" s="355" t="s">
        <v>42</v>
      </c>
      <c r="F67" s="355" t="s">
        <v>131</v>
      </c>
      <c r="G67" s="355">
        <v>6.7645</v>
      </c>
      <c r="H67" s="355">
        <v>2500</v>
      </c>
      <c r="I67" s="364"/>
      <c r="J67" s="370">
        <v>3821265</v>
      </c>
      <c r="K67" s="360"/>
      <c r="L67" s="361">
        <f t="shared" ref="L67:L70" si="12">SUM(J67/M67)</f>
        <v>1883.32429768359</v>
      </c>
      <c r="M67" s="362">
        <v>2029</v>
      </c>
      <c r="N67" s="355">
        <v>7.26</v>
      </c>
      <c r="O67" s="364">
        <f t="shared" ref="O67:O70" si="13">SUM(M67*N67)</f>
        <v>14730.54</v>
      </c>
      <c r="P67" s="375"/>
      <c r="Q67" s="375"/>
      <c r="R67" s="375"/>
      <c r="S67" s="375"/>
      <c r="T67" s="375"/>
      <c r="U67" s="375"/>
      <c r="V67" s="375"/>
      <c r="W67" s="375"/>
      <c r="X67" s="376"/>
      <c r="Y67" s="368"/>
      <c r="Z67" s="376"/>
      <c r="AA67" s="376"/>
      <c r="AB67" s="378"/>
      <c r="AC67" s="375"/>
      <c r="AD67" s="375"/>
      <c r="AE67" s="375"/>
    </row>
    <row r="68" s="264" customFormat="1" ht="12.75" spans="1:31">
      <c r="A68" s="354"/>
      <c r="B68" s="355"/>
      <c r="C68" s="356">
        <v>240928000023</v>
      </c>
      <c r="D68" s="357">
        <v>45564</v>
      </c>
      <c r="E68" s="355" t="s">
        <v>40</v>
      </c>
      <c r="F68" s="355" t="s">
        <v>59</v>
      </c>
      <c r="G68" s="355">
        <v>22.557</v>
      </c>
      <c r="H68" s="355">
        <v>3296</v>
      </c>
      <c r="I68" s="358">
        <v>33080.26</v>
      </c>
      <c r="J68" s="369"/>
      <c r="K68" s="360"/>
      <c r="L68" s="361"/>
      <c r="M68" s="362"/>
      <c r="N68" s="355"/>
      <c r="O68" s="364">
        <f t="shared" ref="O68:O83" si="14">SUBTOTAL(9,I68)</f>
        <v>33080.26</v>
      </c>
      <c r="P68" s="375"/>
      <c r="Q68" s="375"/>
      <c r="R68" s="375"/>
      <c r="S68" s="375"/>
      <c r="T68" s="375"/>
      <c r="U68" s="375"/>
      <c r="V68" s="375"/>
      <c r="W68" s="375"/>
      <c r="X68" s="376"/>
      <c r="Y68" s="368"/>
      <c r="Z68" s="376"/>
      <c r="AA68" s="376"/>
      <c r="AB68" s="378"/>
      <c r="AC68" s="375"/>
      <c r="AD68" s="375"/>
      <c r="AE68" s="375"/>
    </row>
    <row r="69" s="264" customFormat="1" ht="12.75" spans="1:31">
      <c r="A69" s="354"/>
      <c r="B69" s="355"/>
      <c r="C69" s="356">
        <v>240929000010</v>
      </c>
      <c r="D69" s="357">
        <v>45564</v>
      </c>
      <c r="E69" s="355" t="s">
        <v>42</v>
      </c>
      <c r="F69" s="355" t="s">
        <v>131</v>
      </c>
      <c r="G69" s="355">
        <v>1.3975</v>
      </c>
      <c r="H69" s="355">
        <v>377</v>
      </c>
      <c r="I69" s="364"/>
      <c r="J69" s="370">
        <v>790272</v>
      </c>
      <c r="K69" s="360"/>
      <c r="L69" s="361">
        <f t="shared" si="12"/>
        <v>1885.10076677395</v>
      </c>
      <c r="M69" s="362">
        <v>419.22003</v>
      </c>
      <c r="N69" s="355">
        <v>7.26</v>
      </c>
      <c r="O69" s="364">
        <f t="shared" si="13"/>
        <v>3043.5374178</v>
      </c>
      <c r="P69" s="375"/>
      <c r="Q69" s="375"/>
      <c r="R69" s="375"/>
      <c r="S69" s="375"/>
      <c r="T69" s="375"/>
      <c r="U69" s="375"/>
      <c r="V69" s="375"/>
      <c r="W69" s="375"/>
      <c r="X69" s="376"/>
      <c r="Y69" s="368">
        <v>9.86</v>
      </c>
      <c r="Z69" s="376"/>
      <c r="AA69" s="376"/>
      <c r="AB69" s="378"/>
      <c r="AC69" s="375"/>
      <c r="AD69" s="375"/>
      <c r="AE69" s="375"/>
    </row>
    <row r="70" s="264" customFormat="1" ht="12.75" spans="1:31">
      <c r="A70" s="354"/>
      <c r="B70" s="355"/>
      <c r="C70" s="356" t="s">
        <v>261</v>
      </c>
      <c r="D70" s="357">
        <v>45564</v>
      </c>
      <c r="E70" s="355" t="s">
        <v>42</v>
      </c>
      <c r="F70" s="355" t="s">
        <v>131</v>
      </c>
      <c r="G70" s="355">
        <v>2.4334</v>
      </c>
      <c r="H70" s="355">
        <v>2340</v>
      </c>
      <c r="I70" s="364"/>
      <c r="J70" s="370">
        <v>1822400</v>
      </c>
      <c r="K70" s="360"/>
      <c r="L70" s="361">
        <f t="shared" si="12"/>
        <v>1700</v>
      </c>
      <c r="M70" s="362">
        <v>1072</v>
      </c>
      <c r="N70" s="355">
        <v>7.29</v>
      </c>
      <c r="O70" s="364">
        <f t="shared" si="13"/>
        <v>7814.88</v>
      </c>
      <c r="P70" s="375"/>
      <c r="Q70" s="375"/>
      <c r="R70" s="375"/>
      <c r="S70" s="375"/>
      <c r="T70" s="375"/>
      <c r="U70" s="375"/>
      <c r="V70" s="375"/>
      <c r="W70" s="375"/>
      <c r="X70" s="376"/>
      <c r="Y70" s="368"/>
      <c r="Z70" s="376"/>
      <c r="AA70" s="376"/>
      <c r="AB70" s="378"/>
      <c r="AC70" s="375"/>
      <c r="AD70" s="375"/>
      <c r="AE70" s="375"/>
    </row>
    <row r="71" s="264" customFormat="1" ht="12.75" spans="1:31">
      <c r="A71" s="354"/>
      <c r="B71" s="355"/>
      <c r="C71" s="356">
        <v>240929000057</v>
      </c>
      <c r="D71" s="357">
        <v>45564</v>
      </c>
      <c r="E71" s="355" t="s">
        <v>190</v>
      </c>
      <c r="F71" s="355" t="s">
        <v>191</v>
      </c>
      <c r="G71" s="394">
        <v>0.0914</v>
      </c>
      <c r="H71" s="355">
        <v>64</v>
      </c>
      <c r="I71" s="358">
        <v>186.81</v>
      </c>
      <c r="J71" s="369"/>
      <c r="K71" s="360"/>
      <c r="L71" s="361"/>
      <c r="M71" s="360"/>
      <c r="N71" s="355"/>
      <c r="O71" s="364">
        <f t="shared" si="14"/>
        <v>186.81</v>
      </c>
      <c r="P71" s="379"/>
      <c r="Q71" s="379"/>
      <c r="R71" s="379"/>
      <c r="S71" s="379"/>
      <c r="T71" s="379"/>
      <c r="U71" s="379"/>
      <c r="V71" s="379"/>
      <c r="W71" s="379"/>
      <c r="X71" s="377"/>
      <c r="Y71" s="368"/>
      <c r="Z71" s="377"/>
      <c r="AA71" s="377"/>
      <c r="AB71" s="380"/>
      <c r="AC71" s="379"/>
      <c r="AD71" s="379"/>
      <c r="AE71" s="379"/>
    </row>
    <row r="72" s="264" customFormat="1" ht="12.75" spans="1:31">
      <c r="A72" s="354" t="s">
        <v>262</v>
      </c>
      <c r="B72" s="355" t="s">
        <v>263</v>
      </c>
      <c r="C72" s="356">
        <v>240906000023</v>
      </c>
      <c r="D72" s="357">
        <v>45564</v>
      </c>
      <c r="E72" s="355" t="s">
        <v>40</v>
      </c>
      <c r="F72" s="355" t="s">
        <v>158</v>
      </c>
      <c r="G72" s="355">
        <v>11.9955</v>
      </c>
      <c r="H72" s="355">
        <v>4372</v>
      </c>
      <c r="I72" s="364">
        <v>24695</v>
      </c>
      <c r="J72" s="369"/>
      <c r="K72" s="360"/>
      <c r="L72" s="361"/>
      <c r="M72" s="360"/>
      <c r="N72" s="355"/>
      <c r="O72" s="364">
        <f t="shared" si="14"/>
        <v>24695</v>
      </c>
      <c r="P72" s="371">
        <f>SUM(O72:O89)</f>
        <v>122040.478</v>
      </c>
      <c r="Q72" s="372" t="s">
        <v>264</v>
      </c>
      <c r="R72" s="371">
        <v>40914</v>
      </c>
      <c r="S72" s="371"/>
      <c r="T72" s="371">
        <v>1000</v>
      </c>
      <c r="U72" s="367">
        <f>SUM(800+800)</f>
        <v>1600</v>
      </c>
      <c r="V72" s="371"/>
      <c r="W72" s="371">
        <f>SUM(R72:V89)</f>
        <v>43514</v>
      </c>
      <c r="X72" s="373">
        <v>10381.24</v>
      </c>
      <c r="Y72" s="373"/>
      <c r="Z72" s="373">
        <f>SUM(63.26+51.02)</f>
        <v>114.28</v>
      </c>
      <c r="AA72" s="373">
        <f>SUM(X72:Z89)</f>
        <v>10763.23</v>
      </c>
      <c r="AB72" s="374">
        <v>7.27</v>
      </c>
      <c r="AC72" s="371">
        <f>SUM(AA72*AB72)</f>
        <v>78248.6821</v>
      </c>
      <c r="AD72" s="371">
        <f>SUM(W72+AC72)</f>
        <v>121762.6821</v>
      </c>
      <c r="AE72" s="371">
        <f>SUM(P72-AD72)</f>
        <v>277.795900000012</v>
      </c>
    </row>
    <row r="73" s="264" customFormat="1" ht="12.75" spans="1:31">
      <c r="A73" s="354"/>
      <c r="B73" s="355"/>
      <c r="C73" s="356">
        <v>240919000020</v>
      </c>
      <c r="D73" s="357">
        <v>45564</v>
      </c>
      <c r="E73" s="355" t="s">
        <v>52</v>
      </c>
      <c r="F73" s="355" t="s">
        <v>194</v>
      </c>
      <c r="G73" s="355">
        <v>1.4136</v>
      </c>
      <c r="H73" s="355">
        <v>664.5</v>
      </c>
      <c r="I73" s="358">
        <v>2907</v>
      </c>
      <c r="J73" s="369"/>
      <c r="K73" s="360"/>
      <c r="L73" s="361"/>
      <c r="M73" s="360"/>
      <c r="N73" s="355"/>
      <c r="O73" s="364">
        <f t="shared" si="14"/>
        <v>2907</v>
      </c>
      <c r="P73" s="375"/>
      <c r="Q73" s="375"/>
      <c r="R73" s="375"/>
      <c r="S73" s="375"/>
      <c r="T73" s="375"/>
      <c r="U73" s="371"/>
      <c r="V73" s="375"/>
      <c r="W73" s="375"/>
      <c r="X73" s="376"/>
      <c r="Y73" s="376"/>
      <c r="Z73" s="376"/>
      <c r="AA73" s="376"/>
      <c r="AB73" s="378"/>
      <c r="AC73" s="375"/>
      <c r="AD73" s="375"/>
      <c r="AE73" s="375"/>
    </row>
    <row r="74" s="264" customFormat="1" ht="12.75" spans="1:31">
      <c r="A74" s="354"/>
      <c r="B74" s="355"/>
      <c r="C74" s="356">
        <v>240924000057</v>
      </c>
      <c r="D74" s="357">
        <v>45564</v>
      </c>
      <c r="E74" s="355" t="s">
        <v>40</v>
      </c>
      <c r="F74" s="355" t="s">
        <v>250</v>
      </c>
      <c r="G74" s="355">
        <v>1.1877</v>
      </c>
      <c r="H74" s="355">
        <v>664.44</v>
      </c>
      <c r="I74" s="358">
        <v>2625</v>
      </c>
      <c r="J74" s="369"/>
      <c r="K74" s="360"/>
      <c r="L74" s="361"/>
      <c r="M74" s="360"/>
      <c r="N74" s="355"/>
      <c r="O74" s="364">
        <f t="shared" si="14"/>
        <v>2625</v>
      </c>
      <c r="P74" s="375"/>
      <c r="Q74" s="375"/>
      <c r="R74" s="375"/>
      <c r="S74" s="375"/>
      <c r="T74" s="375"/>
      <c r="U74" s="375"/>
      <c r="V74" s="375"/>
      <c r="W74" s="375"/>
      <c r="X74" s="376"/>
      <c r="Y74" s="377"/>
      <c r="Z74" s="376"/>
      <c r="AA74" s="376"/>
      <c r="AB74" s="378"/>
      <c r="AC74" s="375"/>
      <c r="AD74" s="375"/>
      <c r="AE74" s="375"/>
    </row>
    <row r="75" s="264" customFormat="1" ht="12.75" spans="1:31">
      <c r="A75" s="354"/>
      <c r="B75" s="355"/>
      <c r="C75" s="356">
        <v>240925000034</v>
      </c>
      <c r="D75" s="357">
        <v>45564</v>
      </c>
      <c r="E75" s="355" t="s">
        <v>189</v>
      </c>
      <c r="F75" s="355" t="s">
        <v>265</v>
      </c>
      <c r="G75" s="355">
        <v>0.8264</v>
      </c>
      <c r="H75" s="355">
        <v>605</v>
      </c>
      <c r="I75" s="358">
        <v>3329.79</v>
      </c>
      <c r="J75" s="369"/>
      <c r="K75" s="360"/>
      <c r="L75" s="361"/>
      <c r="M75" s="360"/>
      <c r="N75" s="355"/>
      <c r="O75" s="364">
        <f t="shared" si="14"/>
        <v>3329.79</v>
      </c>
      <c r="P75" s="375"/>
      <c r="Q75" s="375"/>
      <c r="R75" s="375"/>
      <c r="S75" s="375"/>
      <c r="T75" s="375"/>
      <c r="U75" s="375"/>
      <c r="V75" s="375"/>
      <c r="W75" s="375"/>
      <c r="X75" s="376"/>
      <c r="Y75" s="368">
        <v>194.84</v>
      </c>
      <c r="Z75" s="376"/>
      <c r="AA75" s="376"/>
      <c r="AB75" s="378"/>
      <c r="AC75" s="375"/>
      <c r="AD75" s="375"/>
      <c r="AE75" s="375"/>
    </row>
    <row r="76" s="264" customFormat="1" ht="12.75" spans="1:31">
      <c r="A76" s="354"/>
      <c r="B76" s="355"/>
      <c r="C76" s="356">
        <v>240926000001</v>
      </c>
      <c r="D76" s="357">
        <v>45564</v>
      </c>
      <c r="E76" s="355" t="s">
        <v>190</v>
      </c>
      <c r="F76" s="355" t="s">
        <v>207</v>
      </c>
      <c r="G76" s="355">
        <v>0.5358</v>
      </c>
      <c r="H76" s="355">
        <v>276</v>
      </c>
      <c r="I76" s="358">
        <v>1095.15</v>
      </c>
      <c r="J76" s="369"/>
      <c r="K76" s="360"/>
      <c r="L76" s="361"/>
      <c r="M76" s="360"/>
      <c r="N76" s="355"/>
      <c r="O76" s="364">
        <f t="shared" si="14"/>
        <v>1095.15</v>
      </c>
      <c r="P76" s="375"/>
      <c r="Q76" s="375"/>
      <c r="R76" s="375"/>
      <c r="S76" s="375"/>
      <c r="T76" s="375"/>
      <c r="U76" s="375"/>
      <c r="V76" s="375"/>
      <c r="W76" s="375"/>
      <c r="X76" s="376"/>
      <c r="Y76" s="373"/>
      <c r="Z76" s="376"/>
      <c r="AA76" s="376"/>
      <c r="AB76" s="378"/>
      <c r="AC76" s="375"/>
      <c r="AD76" s="375"/>
      <c r="AE76" s="375"/>
    </row>
    <row r="77" s="264" customFormat="1" ht="12.75" spans="1:31">
      <c r="A77" s="354"/>
      <c r="B77" s="355"/>
      <c r="C77" s="356">
        <v>240919000043</v>
      </c>
      <c r="D77" s="357">
        <v>45564</v>
      </c>
      <c r="E77" s="355" t="s">
        <v>49</v>
      </c>
      <c r="F77" s="355" t="s">
        <v>266</v>
      </c>
      <c r="G77" s="355">
        <v>0.4921</v>
      </c>
      <c r="H77" s="355">
        <v>109</v>
      </c>
      <c r="I77" s="358">
        <v>1159</v>
      </c>
      <c r="J77" s="369"/>
      <c r="K77" s="360"/>
      <c r="L77" s="361"/>
      <c r="M77" s="360"/>
      <c r="N77" s="355"/>
      <c r="O77" s="364">
        <f t="shared" si="14"/>
        <v>1159</v>
      </c>
      <c r="P77" s="375"/>
      <c r="Q77" s="375"/>
      <c r="R77" s="375"/>
      <c r="S77" s="375"/>
      <c r="T77" s="375"/>
      <c r="U77" s="375"/>
      <c r="V77" s="375"/>
      <c r="W77" s="375"/>
      <c r="X77" s="376"/>
      <c r="Y77" s="376"/>
      <c r="Z77" s="376"/>
      <c r="AA77" s="376"/>
      <c r="AB77" s="378"/>
      <c r="AC77" s="375"/>
      <c r="AD77" s="375"/>
      <c r="AE77" s="375"/>
    </row>
    <row r="78" s="264" customFormat="1" ht="12.75" spans="1:31">
      <c r="A78" s="354"/>
      <c r="B78" s="355"/>
      <c r="C78" s="356">
        <v>240926000008</v>
      </c>
      <c r="D78" s="357">
        <v>45564</v>
      </c>
      <c r="E78" s="355" t="s">
        <v>49</v>
      </c>
      <c r="F78" s="355" t="s">
        <v>117</v>
      </c>
      <c r="G78" s="355">
        <v>0.102</v>
      </c>
      <c r="H78" s="355">
        <v>67</v>
      </c>
      <c r="I78" s="358">
        <v>223.3</v>
      </c>
      <c r="J78" s="369"/>
      <c r="K78" s="360"/>
      <c r="L78" s="361"/>
      <c r="M78" s="360"/>
      <c r="N78" s="355"/>
      <c r="O78" s="364">
        <f t="shared" si="14"/>
        <v>223.3</v>
      </c>
      <c r="P78" s="375"/>
      <c r="Q78" s="375"/>
      <c r="R78" s="375"/>
      <c r="S78" s="375"/>
      <c r="T78" s="375"/>
      <c r="U78" s="375"/>
      <c r="V78" s="375"/>
      <c r="W78" s="375"/>
      <c r="X78" s="376"/>
      <c r="Y78" s="376"/>
      <c r="Z78" s="376"/>
      <c r="AA78" s="376"/>
      <c r="AB78" s="378"/>
      <c r="AC78" s="375"/>
      <c r="AD78" s="375"/>
      <c r="AE78" s="375"/>
    </row>
    <row r="79" s="264" customFormat="1" ht="12.75" spans="1:31">
      <c r="A79" s="354"/>
      <c r="B79" s="355"/>
      <c r="C79" s="356">
        <v>240928000014</v>
      </c>
      <c r="D79" s="357">
        <v>45564</v>
      </c>
      <c r="E79" s="355" t="s">
        <v>42</v>
      </c>
      <c r="F79" s="355" t="s">
        <v>43</v>
      </c>
      <c r="G79" s="355">
        <v>0.6152</v>
      </c>
      <c r="H79" s="355">
        <v>107</v>
      </c>
      <c r="I79" s="358">
        <v>1191.18</v>
      </c>
      <c r="J79" s="369"/>
      <c r="K79" s="360"/>
      <c r="L79" s="361"/>
      <c r="M79" s="360"/>
      <c r="N79" s="355"/>
      <c r="O79" s="364">
        <f t="shared" si="14"/>
        <v>1191.18</v>
      </c>
      <c r="P79" s="375"/>
      <c r="Q79" s="375"/>
      <c r="R79" s="375"/>
      <c r="S79" s="375"/>
      <c r="T79" s="375"/>
      <c r="U79" s="375"/>
      <c r="V79" s="375"/>
      <c r="W79" s="375"/>
      <c r="X79" s="376"/>
      <c r="Y79" s="376"/>
      <c r="Z79" s="376"/>
      <c r="AA79" s="376"/>
      <c r="AB79" s="378"/>
      <c r="AC79" s="375"/>
      <c r="AD79" s="375"/>
      <c r="AE79" s="375"/>
    </row>
    <row r="80" s="264" customFormat="1" ht="12.75" spans="1:31">
      <c r="A80" s="354"/>
      <c r="B80" s="355"/>
      <c r="C80" s="356">
        <v>240928000015</v>
      </c>
      <c r="D80" s="357">
        <v>45564</v>
      </c>
      <c r="E80" s="355" t="s">
        <v>42</v>
      </c>
      <c r="F80" s="355" t="s">
        <v>43</v>
      </c>
      <c r="G80" s="355">
        <v>0.1359</v>
      </c>
      <c r="H80" s="355">
        <v>19.5</v>
      </c>
      <c r="I80" s="358">
        <v>309.58</v>
      </c>
      <c r="J80" s="369"/>
      <c r="K80" s="360"/>
      <c r="L80" s="361"/>
      <c r="M80" s="360"/>
      <c r="N80" s="355"/>
      <c r="O80" s="364">
        <f t="shared" si="14"/>
        <v>309.58</v>
      </c>
      <c r="P80" s="375"/>
      <c r="Q80" s="375"/>
      <c r="R80" s="375"/>
      <c r="S80" s="375"/>
      <c r="T80" s="375"/>
      <c r="U80" s="375"/>
      <c r="V80" s="375"/>
      <c r="W80" s="375"/>
      <c r="X80" s="376"/>
      <c r="Y80" s="376"/>
      <c r="Z80" s="376"/>
      <c r="AA80" s="376"/>
      <c r="AB80" s="378"/>
      <c r="AC80" s="375"/>
      <c r="AD80" s="375"/>
      <c r="AE80" s="375"/>
    </row>
    <row r="81" s="264" customFormat="1" ht="12.75" spans="1:31">
      <c r="A81" s="354"/>
      <c r="B81" s="355"/>
      <c r="C81" s="356">
        <v>240929000070</v>
      </c>
      <c r="D81" s="357">
        <v>45564</v>
      </c>
      <c r="E81" s="355" t="s">
        <v>40</v>
      </c>
      <c r="F81" s="355" t="s">
        <v>59</v>
      </c>
      <c r="G81" s="355">
        <v>14.91</v>
      </c>
      <c r="H81" s="355">
        <v>1595</v>
      </c>
      <c r="I81" s="358">
        <v>21865.81</v>
      </c>
      <c r="J81" s="369"/>
      <c r="K81" s="360"/>
      <c r="L81" s="361"/>
      <c r="M81" s="362"/>
      <c r="N81" s="355"/>
      <c r="O81" s="364">
        <f t="shared" si="14"/>
        <v>21865.81</v>
      </c>
      <c r="P81" s="375"/>
      <c r="Q81" s="375"/>
      <c r="R81" s="375"/>
      <c r="S81" s="375"/>
      <c r="T81" s="375"/>
      <c r="U81" s="375"/>
      <c r="V81" s="375"/>
      <c r="W81" s="375"/>
      <c r="X81" s="376"/>
      <c r="Y81" s="377"/>
      <c r="Z81" s="376"/>
      <c r="AA81" s="376"/>
      <c r="AB81" s="378"/>
      <c r="AC81" s="375"/>
      <c r="AD81" s="375"/>
      <c r="AE81" s="375"/>
    </row>
    <row r="82" s="264" customFormat="1" ht="12.75" spans="1:31">
      <c r="A82" s="354"/>
      <c r="B82" s="355"/>
      <c r="C82" s="356">
        <v>240928000023</v>
      </c>
      <c r="D82" s="357">
        <v>45564</v>
      </c>
      <c r="E82" s="355" t="s">
        <v>40</v>
      </c>
      <c r="F82" s="355" t="s">
        <v>59</v>
      </c>
      <c r="G82" s="355">
        <v>0.8638</v>
      </c>
      <c r="H82" s="355">
        <v>110</v>
      </c>
      <c r="I82" s="358">
        <v>1266.8</v>
      </c>
      <c r="J82" s="369"/>
      <c r="K82" s="360"/>
      <c r="L82" s="361"/>
      <c r="M82" s="362"/>
      <c r="N82" s="355"/>
      <c r="O82" s="364">
        <f t="shared" si="14"/>
        <v>1266.8</v>
      </c>
      <c r="P82" s="375"/>
      <c r="Q82" s="375"/>
      <c r="R82" s="375"/>
      <c r="S82" s="375"/>
      <c r="T82" s="375"/>
      <c r="U82" s="375"/>
      <c r="V82" s="375"/>
      <c r="W82" s="375"/>
      <c r="X82" s="376"/>
      <c r="Y82" s="368"/>
      <c r="Z82" s="376"/>
      <c r="AA82" s="376"/>
      <c r="AB82" s="378"/>
      <c r="AC82" s="375"/>
      <c r="AD82" s="375"/>
      <c r="AE82" s="375"/>
    </row>
    <row r="83" s="264" customFormat="1" ht="12.75" spans="1:31">
      <c r="A83" s="354"/>
      <c r="B83" s="355"/>
      <c r="C83" s="356">
        <v>240929000001</v>
      </c>
      <c r="D83" s="357">
        <v>45564</v>
      </c>
      <c r="E83" s="355" t="s">
        <v>40</v>
      </c>
      <c r="F83" s="355" t="s">
        <v>59</v>
      </c>
      <c r="G83" s="355">
        <v>23.97</v>
      </c>
      <c r="H83" s="355">
        <v>2873</v>
      </c>
      <c r="I83" s="358">
        <v>35152.53</v>
      </c>
      <c r="J83" s="369"/>
      <c r="K83" s="360"/>
      <c r="L83" s="361"/>
      <c r="M83" s="362"/>
      <c r="N83" s="355"/>
      <c r="O83" s="364">
        <f t="shared" si="14"/>
        <v>35152.53</v>
      </c>
      <c r="P83" s="375"/>
      <c r="Q83" s="375"/>
      <c r="R83" s="375"/>
      <c r="S83" s="375"/>
      <c r="T83" s="375"/>
      <c r="U83" s="375"/>
      <c r="V83" s="375"/>
      <c r="W83" s="375"/>
      <c r="X83" s="376"/>
      <c r="Y83" s="368"/>
      <c r="Z83" s="376"/>
      <c r="AA83" s="376"/>
      <c r="AB83" s="378"/>
      <c r="AC83" s="375"/>
      <c r="AD83" s="375"/>
      <c r="AE83" s="375"/>
    </row>
    <row r="84" s="264" customFormat="1" ht="12.75" spans="1:31">
      <c r="A84" s="354"/>
      <c r="B84" s="355"/>
      <c r="C84" s="356">
        <v>240929000009</v>
      </c>
      <c r="D84" s="357">
        <v>45564</v>
      </c>
      <c r="E84" s="355" t="s">
        <v>42</v>
      </c>
      <c r="F84" s="355" t="s">
        <v>131</v>
      </c>
      <c r="G84" s="355">
        <v>6.006</v>
      </c>
      <c r="H84" s="355">
        <v>2236</v>
      </c>
      <c r="I84" s="364"/>
      <c r="J84" s="370">
        <v>3392789.4</v>
      </c>
      <c r="K84" s="360"/>
      <c r="L84" s="361">
        <f>SUM(J84/M84)</f>
        <v>1883</v>
      </c>
      <c r="M84" s="362">
        <v>1801.8</v>
      </c>
      <c r="N84" s="355">
        <v>7.26</v>
      </c>
      <c r="O84" s="364">
        <f>SUM(M84*N84)</f>
        <v>13081.068</v>
      </c>
      <c r="P84" s="375"/>
      <c r="Q84" s="375"/>
      <c r="R84" s="375"/>
      <c r="S84" s="375"/>
      <c r="T84" s="375"/>
      <c r="U84" s="375"/>
      <c r="V84" s="375"/>
      <c r="W84" s="375"/>
      <c r="X84" s="376"/>
      <c r="Y84" s="368">
        <v>72.87</v>
      </c>
      <c r="Z84" s="376"/>
      <c r="AA84" s="376"/>
      <c r="AB84" s="378"/>
      <c r="AC84" s="375"/>
      <c r="AD84" s="375"/>
      <c r="AE84" s="375"/>
    </row>
    <row r="85" s="264" customFormat="1" ht="12.75" spans="1:31">
      <c r="A85" s="354"/>
      <c r="B85" s="355"/>
      <c r="C85" s="356">
        <v>240929000042</v>
      </c>
      <c r="D85" s="357">
        <v>45564</v>
      </c>
      <c r="E85" s="355" t="s">
        <v>44</v>
      </c>
      <c r="F85" s="355" t="s">
        <v>112</v>
      </c>
      <c r="G85" s="355">
        <v>0.3433</v>
      </c>
      <c r="H85" s="355">
        <v>125</v>
      </c>
      <c r="I85" s="358">
        <v>643.9</v>
      </c>
      <c r="J85" s="369"/>
      <c r="K85" s="360"/>
      <c r="L85" s="361"/>
      <c r="M85" s="360"/>
      <c r="N85" s="355"/>
      <c r="O85" s="364">
        <f t="shared" ref="O85:O94" si="15">SUBTOTAL(9,I85)</f>
        <v>643.9</v>
      </c>
      <c r="P85" s="375"/>
      <c r="Q85" s="375"/>
      <c r="R85" s="375"/>
      <c r="S85" s="375"/>
      <c r="T85" s="375"/>
      <c r="U85" s="375"/>
      <c r="V85" s="375"/>
      <c r="W85" s="375"/>
      <c r="X85" s="376"/>
      <c r="Y85" s="373"/>
      <c r="Z85" s="376"/>
      <c r="AA85" s="376"/>
      <c r="AB85" s="378"/>
      <c r="AC85" s="375"/>
      <c r="AD85" s="375"/>
      <c r="AE85" s="375"/>
    </row>
    <row r="86" s="264" customFormat="1" ht="12.75" spans="1:31">
      <c r="A86" s="354"/>
      <c r="B86" s="355"/>
      <c r="C86" s="356">
        <v>240921000019</v>
      </c>
      <c r="D86" s="357">
        <v>45547</v>
      </c>
      <c r="E86" s="355" t="s">
        <v>190</v>
      </c>
      <c r="F86" s="355" t="s">
        <v>196</v>
      </c>
      <c r="G86" s="355">
        <v>2.7091</v>
      </c>
      <c r="H86" s="355">
        <v>1182</v>
      </c>
      <c r="I86" s="358">
        <v>5539.61</v>
      </c>
      <c r="J86" s="369"/>
      <c r="K86" s="360"/>
      <c r="L86" s="361"/>
      <c r="M86" s="368"/>
      <c r="N86" s="355"/>
      <c r="O86" s="364">
        <f t="shared" si="15"/>
        <v>5539.61</v>
      </c>
      <c r="P86" s="375"/>
      <c r="Q86" s="375"/>
      <c r="R86" s="375"/>
      <c r="S86" s="375"/>
      <c r="T86" s="375"/>
      <c r="U86" s="375"/>
      <c r="V86" s="375"/>
      <c r="W86" s="375"/>
      <c r="X86" s="376"/>
      <c r="Y86" s="376"/>
      <c r="Z86" s="376"/>
      <c r="AA86" s="376"/>
      <c r="AB86" s="378"/>
      <c r="AC86" s="375"/>
      <c r="AD86" s="375"/>
      <c r="AE86" s="375"/>
    </row>
    <row r="87" s="264" customFormat="1" ht="12.75" spans="1:31">
      <c r="A87" s="354"/>
      <c r="B87" s="355"/>
      <c r="C87" s="356">
        <v>240929000044</v>
      </c>
      <c r="D87" s="357">
        <v>45564</v>
      </c>
      <c r="E87" s="355" t="s">
        <v>44</v>
      </c>
      <c r="F87" s="355" t="s">
        <v>112</v>
      </c>
      <c r="G87" s="355">
        <v>0.701</v>
      </c>
      <c r="H87" s="355">
        <v>79</v>
      </c>
      <c r="I87" s="358">
        <v>1314.85</v>
      </c>
      <c r="J87" s="369"/>
      <c r="K87" s="360"/>
      <c r="L87" s="361"/>
      <c r="M87" s="360"/>
      <c r="N87" s="355"/>
      <c r="O87" s="364">
        <f t="shared" si="15"/>
        <v>1314.85</v>
      </c>
      <c r="P87" s="375"/>
      <c r="Q87" s="375"/>
      <c r="R87" s="375"/>
      <c r="S87" s="375"/>
      <c r="T87" s="375"/>
      <c r="U87" s="375"/>
      <c r="V87" s="375"/>
      <c r="W87" s="375"/>
      <c r="X87" s="376"/>
      <c r="Y87" s="376"/>
      <c r="Z87" s="376"/>
      <c r="AA87" s="376"/>
      <c r="AB87" s="378"/>
      <c r="AC87" s="375"/>
      <c r="AD87" s="375"/>
      <c r="AE87" s="375"/>
    </row>
    <row r="88" s="264" customFormat="1" ht="12.75" spans="1:31">
      <c r="A88" s="354"/>
      <c r="B88" s="355"/>
      <c r="C88" s="356">
        <v>240929000045</v>
      </c>
      <c r="D88" s="357">
        <v>45564</v>
      </c>
      <c r="E88" s="355" t="s">
        <v>44</v>
      </c>
      <c r="F88" s="355" t="s">
        <v>112</v>
      </c>
      <c r="G88" s="355">
        <v>0.2958</v>
      </c>
      <c r="H88" s="355">
        <v>34</v>
      </c>
      <c r="I88" s="358">
        <v>554.85</v>
      </c>
      <c r="J88" s="369"/>
      <c r="K88" s="360"/>
      <c r="L88" s="361"/>
      <c r="M88" s="360"/>
      <c r="N88" s="355"/>
      <c r="O88" s="364">
        <f t="shared" si="15"/>
        <v>554.85</v>
      </c>
      <c r="P88" s="375"/>
      <c r="Q88" s="375"/>
      <c r="R88" s="375"/>
      <c r="S88" s="375"/>
      <c r="T88" s="375"/>
      <c r="U88" s="375"/>
      <c r="V88" s="375"/>
      <c r="W88" s="375"/>
      <c r="X88" s="376"/>
      <c r="Y88" s="376"/>
      <c r="Z88" s="376"/>
      <c r="AA88" s="376"/>
      <c r="AB88" s="378"/>
      <c r="AC88" s="375"/>
      <c r="AD88" s="375"/>
      <c r="AE88" s="375"/>
    </row>
    <row r="89" s="264" customFormat="1" ht="12.75" spans="1:31">
      <c r="A89" s="354"/>
      <c r="B89" s="355"/>
      <c r="C89" s="356">
        <v>240929000053</v>
      </c>
      <c r="D89" s="357">
        <v>45564</v>
      </c>
      <c r="E89" s="355" t="s">
        <v>190</v>
      </c>
      <c r="F89" s="355" t="s">
        <v>207</v>
      </c>
      <c r="G89" s="355">
        <v>2.4883</v>
      </c>
      <c r="H89" s="355">
        <v>449.5</v>
      </c>
      <c r="I89" s="358">
        <v>5086.06</v>
      </c>
      <c r="J89" s="369"/>
      <c r="K89" s="360"/>
      <c r="L89" s="361"/>
      <c r="M89" s="360"/>
      <c r="N89" s="355"/>
      <c r="O89" s="364">
        <f t="shared" si="15"/>
        <v>5086.06</v>
      </c>
      <c r="P89" s="379"/>
      <c r="Q89" s="379"/>
      <c r="R89" s="379"/>
      <c r="S89" s="379"/>
      <c r="T89" s="379"/>
      <c r="U89" s="379"/>
      <c r="V89" s="379"/>
      <c r="W89" s="379"/>
      <c r="X89" s="377"/>
      <c r="Y89" s="377"/>
      <c r="Z89" s="377"/>
      <c r="AA89" s="377"/>
      <c r="AB89" s="380"/>
      <c r="AC89" s="379"/>
      <c r="AD89" s="379"/>
      <c r="AE89" s="379"/>
    </row>
    <row r="90" s="264" customFormat="1" ht="12.75" spans="1:31">
      <c r="A90" s="483" t="s">
        <v>267</v>
      </c>
      <c r="B90" s="484" t="s">
        <v>268</v>
      </c>
      <c r="C90" s="356">
        <v>240919000043</v>
      </c>
      <c r="D90" s="357">
        <v>45580</v>
      </c>
      <c r="E90" s="484" t="s">
        <v>49</v>
      </c>
      <c r="F90" s="484" t="s">
        <v>266</v>
      </c>
      <c r="G90" s="484">
        <v>0.0017</v>
      </c>
      <c r="H90" s="484">
        <v>5.5</v>
      </c>
      <c r="I90" s="358">
        <v>4</v>
      </c>
      <c r="J90" s="369"/>
      <c r="K90" s="485"/>
      <c r="L90" s="361"/>
      <c r="M90" s="485"/>
      <c r="N90" s="355"/>
      <c r="O90" s="364">
        <f t="shared" si="15"/>
        <v>4</v>
      </c>
      <c r="P90" s="371">
        <f>SUM(O90:O115)</f>
        <v>140734.060642</v>
      </c>
      <c r="Q90" s="372" t="s">
        <v>269</v>
      </c>
      <c r="R90" s="371">
        <v>40096</v>
      </c>
      <c r="S90" s="371"/>
      <c r="T90" s="371">
        <v>2100</v>
      </c>
      <c r="U90" s="371"/>
      <c r="V90" s="371"/>
      <c r="W90" s="371">
        <f>SUM(R90:V115)</f>
        <v>42346</v>
      </c>
      <c r="X90" s="373">
        <v>10477.84</v>
      </c>
      <c r="Y90" s="373"/>
      <c r="Z90" s="373">
        <f>SUM(46.06+176.51)</f>
        <v>222.57</v>
      </c>
      <c r="AA90" s="373">
        <f>SUM(X90:Z115)</f>
        <v>10822.74</v>
      </c>
      <c r="AB90" s="374">
        <v>7.27</v>
      </c>
      <c r="AC90" s="371">
        <f>SUM(AA90*AB90)</f>
        <v>78681.3198</v>
      </c>
      <c r="AD90" s="371">
        <f>SUM(W90+AC90)</f>
        <v>121027.3198</v>
      </c>
      <c r="AE90" s="371">
        <f>SUM(P90-AD90)</f>
        <v>19706.740842</v>
      </c>
    </row>
    <row r="91" s="264" customFormat="1" ht="12.75" spans="1:31">
      <c r="A91" s="483"/>
      <c r="B91" s="484"/>
      <c r="C91" s="356">
        <v>240926000032</v>
      </c>
      <c r="D91" s="357">
        <v>45580</v>
      </c>
      <c r="E91" s="484" t="s">
        <v>49</v>
      </c>
      <c r="F91" s="484" t="s">
        <v>86</v>
      </c>
      <c r="G91" s="484">
        <v>17.4746</v>
      </c>
      <c r="H91" s="484">
        <v>13114</v>
      </c>
      <c r="I91" s="358">
        <v>35735</v>
      </c>
      <c r="J91" s="369"/>
      <c r="K91" s="485"/>
      <c r="L91" s="361"/>
      <c r="M91" s="485"/>
      <c r="N91" s="355"/>
      <c r="O91" s="364">
        <f t="shared" si="15"/>
        <v>35735</v>
      </c>
      <c r="P91" s="375"/>
      <c r="Q91" s="375"/>
      <c r="R91" s="375"/>
      <c r="S91" s="375"/>
      <c r="T91" s="375"/>
      <c r="U91" s="375"/>
      <c r="V91" s="375"/>
      <c r="W91" s="375"/>
      <c r="X91" s="376"/>
      <c r="Y91" s="376"/>
      <c r="Z91" s="376"/>
      <c r="AA91" s="376"/>
      <c r="AB91" s="378"/>
      <c r="AC91" s="375"/>
      <c r="AD91" s="375"/>
      <c r="AE91" s="375"/>
    </row>
    <row r="92" s="264" customFormat="1" ht="12.75" spans="1:31">
      <c r="A92" s="483"/>
      <c r="B92" s="484"/>
      <c r="C92" s="356">
        <v>240926000037</v>
      </c>
      <c r="D92" s="357">
        <v>45580</v>
      </c>
      <c r="E92" s="484" t="s">
        <v>49</v>
      </c>
      <c r="F92" s="484" t="s">
        <v>270</v>
      </c>
      <c r="G92" s="484">
        <v>0.1237</v>
      </c>
      <c r="H92" s="484">
        <v>33</v>
      </c>
      <c r="I92" s="358">
        <v>344</v>
      </c>
      <c r="J92" s="369"/>
      <c r="K92" s="485"/>
      <c r="L92" s="361"/>
      <c r="M92" s="485"/>
      <c r="N92" s="355"/>
      <c r="O92" s="364">
        <f t="shared" si="15"/>
        <v>344</v>
      </c>
      <c r="P92" s="375"/>
      <c r="Q92" s="375"/>
      <c r="R92" s="375"/>
      <c r="S92" s="375"/>
      <c r="T92" s="375"/>
      <c r="U92" s="375"/>
      <c r="V92" s="375"/>
      <c r="W92" s="375"/>
      <c r="X92" s="376"/>
      <c r="Y92" s="377"/>
      <c r="Z92" s="376"/>
      <c r="AA92" s="376"/>
      <c r="AB92" s="378"/>
      <c r="AC92" s="375"/>
      <c r="AD92" s="375"/>
      <c r="AE92" s="375"/>
    </row>
    <row r="93" s="264" customFormat="1" ht="12.75" spans="1:31">
      <c r="A93" s="483"/>
      <c r="B93" s="484"/>
      <c r="C93" s="356">
        <v>240929000070</v>
      </c>
      <c r="D93" s="357">
        <v>45580</v>
      </c>
      <c r="E93" s="484" t="s">
        <v>40</v>
      </c>
      <c r="F93" s="484" t="s">
        <v>59</v>
      </c>
      <c r="G93" s="484">
        <v>4.8</v>
      </c>
      <c r="H93" s="484">
        <v>799</v>
      </c>
      <c r="I93" s="358">
        <v>7039.3</v>
      </c>
      <c r="J93" s="369"/>
      <c r="K93" s="485"/>
      <c r="L93" s="361"/>
      <c r="M93" s="362"/>
      <c r="N93" s="355"/>
      <c r="O93" s="364">
        <f t="shared" si="15"/>
        <v>7039.3</v>
      </c>
      <c r="P93" s="375"/>
      <c r="Q93" s="375"/>
      <c r="R93" s="375"/>
      <c r="S93" s="375"/>
      <c r="T93" s="375"/>
      <c r="U93" s="375"/>
      <c r="V93" s="375"/>
      <c r="W93" s="375"/>
      <c r="X93" s="376"/>
      <c r="Y93" s="368"/>
      <c r="Z93" s="376"/>
      <c r="AA93" s="376"/>
      <c r="AB93" s="378"/>
      <c r="AC93" s="375"/>
      <c r="AD93" s="375"/>
      <c r="AE93" s="375"/>
    </row>
    <row r="94" s="264" customFormat="1" ht="12.75" spans="1:31">
      <c r="A94" s="483"/>
      <c r="B94" s="484"/>
      <c r="C94" s="356">
        <v>240930000017</v>
      </c>
      <c r="D94" s="357">
        <v>45580</v>
      </c>
      <c r="E94" s="484" t="s">
        <v>49</v>
      </c>
      <c r="F94" s="484" t="s">
        <v>219</v>
      </c>
      <c r="G94" s="484">
        <v>1.6158</v>
      </c>
      <c r="H94" s="484">
        <v>511</v>
      </c>
      <c r="I94" s="358">
        <v>3453.03</v>
      </c>
      <c r="J94" s="369"/>
      <c r="K94" s="485"/>
      <c r="L94" s="361"/>
      <c r="M94" s="485"/>
      <c r="N94" s="355"/>
      <c r="O94" s="364">
        <f t="shared" si="15"/>
        <v>3453.03</v>
      </c>
      <c r="P94" s="375"/>
      <c r="Q94" s="375"/>
      <c r="R94" s="375"/>
      <c r="S94" s="375"/>
      <c r="T94" s="375"/>
      <c r="U94" s="375"/>
      <c r="V94" s="375"/>
      <c r="W94" s="375"/>
      <c r="X94" s="376"/>
      <c r="Y94" s="368"/>
      <c r="Z94" s="376"/>
      <c r="AA94" s="376"/>
      <c r="AB94" s="378"/>
      <c r="AC94" s="375"/>
      <c r="AD94" s="375"/>
      <c r="AE94" s="375"/>
    </row>
    <row r="95" s="264" customFormat="1" ht="12.75" spans="1:31">
      <c r="A95" s="483"/>
      <c r="B95" s="484"/>
      <c r="C95" s="356">
        <v>241005000004</v>
      </c>
      <c r="D95" s="357">
        <v>45580</v>
      </c>
      <c r="E95" s="484" t="s">
        <v>42</v>
      </c>
      <c r="F95" s="484" t="s">
        <v>131</v>
      </c>
      <c r="G95" s="484">
        <v>0.5915</v>
      </c>
      <c r="H95" s="484">
        <v>456</v>
      </c>
      <c r="I95" s="486"/>
      <c r="J95" s="370">
        <v>359040</v>
      </c>
      <c r="K95" s="485"/>
      <c r="L95" s="361">
        <f t="shared" ref="L95:L97" si="16">SUM(J95/M95)</f>
        <v>1700</v>
      </c>
      <c r="M95" s="362">
        <v>211.2</v>
      </c>
      <c r="N95" s="355">
        <v>7.29</v>
      </c>
      <c r="O95" s="364">
        <f t="shared" ref="O95:O97" si="17">SUM(M95*N95)</f>
        <v>1539.648</v>
      </c>
      <c r="P95" s="375"/>
      <c r="Q95" s="375"/>
      <c r="R95" s="375"/>
      <c r="S95" s="375"/>
      <c r="T95" s="375"/>
      <c r="U95" s="375"/>
      <c r="V95" s="375"/>
      <c r="W95" s="375"/>
      <c r="X95" s="376"/>
      <c r="Y95" s="368">
        <v>11.56</v>
      </c>
      <c r="Z95" s="376"/>
      <c r="AA95" s="376"/>
      <c r="AB95" s="378"/>
      <c r="AC95" s="375"/>
      <c r="AD95" s="375"/>
      <c r="AE95" s="375"/>
    </row>
    <row r="96" s="264" customFormat="1" ht="12.75" spans="1:31">
      <c r="A96" s="483"/>
      <c r="B96" s="484"/>
      <c r="C96" s="356">
        <v>241006000007</v>
      </c>
      <c r="D96" s="357">
        <v>45580</v>
      </c>
      <c r="E96" s="484" t="s">
        <v>49</v>
      </c>
      <c r="F96" s="484" t="s">
        <v>249</v>
      </c>
      <c r="G96" s="484">
        <v>0.04928</v>
      </c>
      <c r="H96" s="484">
        <v>24</v>
      </c>
      <c r="I96" s="486"/>
      <c r="J96" s="370">
        <v>42685.5</v>
      </c>
      <c r="K96" s="485"/>
      <c r="L96" s="361">
        <f t="shared" si="16"/>
        <v>1576.85629848541</v>
      </c>
      <c r="M96" s="362">
        <v>27.07</v>
      </c>
      <c r="N96" s="355">
        <v>7.27</v>
      </c>
      <c r="O96" s="364">
        <f t="shared" si="17"/>
        <v>196.7989</v>
      </c>
      <c r="P96" s="375"/>
      <c r="Q96" s="375"/>
      <c r="R96" s="375"/>
      <c r="S96" s="375"/>
      <c r="T96" s="375"/>
      <c r="U96" s="375"/>
      <c r="V96" s="375"/>
      <c r="W96" s="375"/>
      <c r="X96" s="376"/>
      <c r="Y96" s="373"/>
      <c r="Z96" s="376"/>
      <c r="AA96" s="376"/>
      <c r="AB96" s="378"/>
      <c r="AC96" s="375"/>
      <c r="AD96" s="375"/>
      <c r="AE96" s="375"/>
    </row>
    <row r="97" s="264" customFormat="1" ht="12.75" spans="1:31">
      <c r="A97" s="483"/>
      <c r="B97" s="484"/>
      <c r="C97" s="356">
        <v>241007000009</v>
      </c>
      <c r="D97" s="357">
        <v>45580</v>
      </c>
      <c r="E97" s="484" t="s">
        <v>42</v>
      </c>
      <c r="F97" s="484" t="s">
        <v>131</v>
      </c>
      <c r="G97" s="484">
        <v>0.0252</v>
      </c>
      <c r="H97" s="484">
        <v>13</v>
      </c>
      <c r="I97" s="486"/>
      <c r="J97" s="370">
        <v>54400</v>
      </c>
      <c r="K97" s="485"/>
      <c r="L97" s="361">
        <f t="shared" si="16"/>
        <v>1700</v>
      </c>
      <c r="M97" s="362">
        <v>32</v>
      </c>
      <c r="N97" s="355">
        <v>7.29</v>
      </c>
      <c r="O97" s="364">
        <f t="shared" si="17"/>
        <v>233.28</v>
      </c>
      <c r="P97" s="375"/>
      <c r="Q97" s="375"/>
      <c r="R97" s="375"/>
      <c r="S97" s="375"/>
      <c r="T97" s="375"/>
      <c r="U97" s="375"/>
      <c r="V97" s="375"/>
      <c r="W97" s="375"/>
      <c r="X97" s="376"/>
      <c r="Y97" s="376"/>
      <c r="Z97" s="376"/>
      <c r="AA97" s="376"/>
      <c r="AB97" s="378"/>
      <c r="AC97" s="375"/>
      <c r="AD97" s="375"/>
      <c r="AE97" s="375"/>
    </row>
    <row r="98" s="264" customFormat="1" ht="12.75" spans="1:31">
      <c r="A98" s="483"/>
      <c r="B98" s="484"/>
      <c r="C98" s="356">
        <v>241008000098</v>
      </c>
      <c r="D98" s="357">
        <v>45580</v>
      </c>
      <c r="E98" s="484" t="s">
        <v>37</v>
      </c>
      <c r="F98" s="484" t="s">
        <v>152</v>
      </c>
      <c r="G98" s="484">
        <v>0.0392</v>
      </c>
      <c r="H98" s="484">
        <v>27</v>
      </c>
      <c r="I98" s="358">
        <v>88.47</v>
      </c>
      <c r="J98" s="369"/>
      <c r="K98" s="485"/>
      <c r="L98" s="361"/>
      <c r="M98" s="485"/>
      <c r="N98" s="355"/>
      <c r="O98" s="364">
        <f>SUBTOTAL(9,I98)</f>
        <v>88.47</v>
      </c>
      <c r="P98" s="375"/>
      <c r="Q98" s="375"/>
      <c r="R98" s="375"/>
      <c r="S98" s="375"/>
      <c r="T98" s="375"/>
      <c r="U98" s="375"/>
      <c r="V98" s="375"/>
      <c r="W98" s="375"/>
      <c r="X98" s="376"/>
      <c r="Y98" s="376"/>
      <c r="Z98" s="376"/>
      <c r="AA98" s="376"/>
      <c r="AB98" s="378"/>
      <c r="AC98" s="375"/>
      <c r="AD98" s="375"/>
      <c r="AE98" s="375"/>
    </row>
    <row r="99" s="264" customFormat="1" ht="12.75" spans="1:31">
      <c r="A99" s="483"/>
      <c r="B99" s="484"/>
      <c r="C99" s="356">
        <v>241009000020</v>
      </c>
      <c r="D99" s="357">
        <v>45580</v>
      </c>
      <c r="E99" s="484" t="s">
        <v>44</v>
      </c>
      <c r="F99" s="484" t="s">
        <v>112</v>
      </c>
      <c r="G99" s="484">
        <v>19.5527</v>
      </c>
      <c r="H99" s="484">
        <v>2326</v>
      </c>
      <c r="I99" s="358">
        <v>4260.86</v>
      </c>
      <c r="J99" s="370">
        <v>6737482</v>
      </c>
      <c r="K99" s="485"/>
      <c r="L99" s="361">
        <f t="shared" ref="L99:L101" si="18">SUM(J99/M99)</f>
        <v>1544.99991974005</v>
      </c>
      <c r="M99" s="362">
        <v>4360.83</v>
      </c>
      <c r="N99" s="355">
        <v>7.24</v>
      </c>
      <c r="O99" s="364">
        <f>SUM(M99*N99)+I99</f>
        <v>35833.2692</v>
      </c>
      <c r="P99" s="375"/>
      <c r="Q99" s="375"/>
      <c r="R99" s="375"/>
      <c r="S99" s="375"/>
      <c r="T99" s="375"/>
      <c r="U99" s="375"/>
      <c r="V99" s="375"/>
      <c r="W99" s="375"/>
      <c r="X99" s="376"/>
      <c r="Y99" s="376"/>
      <c r="Z99" s="376"/>
      <c r="AA99" s="376"/>
      <c r="AB99" s="378"/>
      <c r="AC99" s="375"/>
      <c r="AD99" s="375"/>
      <c r="AE99" s="375"/>
    </row>
    <row r="100" s="264" customFormat="1" ht="12.75" spans="1:31">
      <c r="A100" s="483"/>
      <c r="B100" s="484"/>
      <c r="C100" s="356">
        <v>241009000046</v>
      </c>
      <c r="D100" s="357">
        <v>45580</v>
      </c>
      <c r="E100" s="484" t="s">
        <v>256</v>
      </c>
      <c r="F100" s="484" t="s">
        <v>271</v>
      </c>
      <c r="G100" s="484">
        <v>0.0717</v>
      </c>
      <c r="H100" s="484">
        <v>25</v>
      </c>
      <c r="I100" s="486"/>
      <c r="J100" s="370">
        <v>37653</v>
      </c>
      <c r="K100" s="485"/>
      <c r="L100" s="361">
        <f t="shared" si="18"/>
        <v>1637.08695652174</v>
      </c>
      <c r="M100" s="362">
        <v>23</v>
      </c>
      <c r="N100" s="355">
        <v>7.27</v>
      </c>
      <c r="O100" s="364">
        <f t="shared" ref="O100:O109" si="19">SUM(M100*N100)</f>
        <v>167.21</v>
      </c>
      <c r="P100" s="375"/>
      <c r="Q100" s="375"/>
      <c r="R100" s="375"/>
      <c r="S100" s="375"/>
      <c r="T100" s="375"/>
      <c r="U100" s="375"/>
      <c r="V100" s="375"/>
      <c r="W100" s="375"/>
      <c r="X100" s="376"/>
      <c r="Y100" s="377"/>
      <c r="Z100" s="376"/>
      <c r="AA100" s="376"/>
      <c r="AB100" s="378"/>
      <c r="AC100" s="375"/>
      <c r="AD100" s="375"/>
      <c r="AE100" s="375"/>
    </row>
    <row r="101" s="264" customFormat="1" ht="12.75" spans="1:31">
      <c r="A101" s="483"/>
      <c r="B101" s="484"/>
      <c r="C101" s="356">
        <v>241010000043</v>
      </c>
      <c r="D101" s="357">
        <v>45580</v>
      </c>
      <c r="E101" s="484" t="s">
        <v>42</v>
      </c>
      <c r="F101" s="484" t="s">
        <v>131</v>
      </c>
      <c r="G101" s="484">
        <v>1.9259</v>
      </c>
      <c r="H101" s="484">
        <v>967</v>
      </c>
      <c r="I101" s="486">
        <v>-7012.8</v>
      </c>
      <c r="J101" s="370">
        <v>2705720</v>
      </c>
      <c r="K101" s="485"/>
      <c r="L101" s="361">
        <f t="shared" si="18"/>
        <v>1700</v>
      </c>
      <c r="M101" s="362">
        <v>1591.6</v>
      </c>
      <c r="N101" s="355">
        <v>7.29</v>
      </c>
      <c r="O101" s="364">
        <f>SUM(M101*N101)+I101</f>
        <v>4589.964</v>
      </c>
      <c r="P101" s="375"/>
      <c r="Q101" s="375"/>
      <c r="R101" s="375"/>
      <c r="S101" s="375"/>
      <c r="T101" s="375"/>
      <c r="U101" s="375"/>
      <c r="V101" s="375"/>
      <c r="W101" s="375"/>
      <c r="X101" s="376"/>
      <c r="Y101" s="368">
        <v>37.74</v>
      </c>
      <c r="Z101" s="376"/>
      <c r="AA101" s="376"/>
      <c r="AB101" s="378"/>
      <c r="AC101" s="375"/>
      <c r="AD101" s="375"/>
      <c r="AE101" s="375"/>
    </row>
    <row r="102" s="264" customFormat="1" ht="12.75" spans="1:31">
      <c r="A102" s="483"/>
      <c r="B102" s="484"/>
      <c r="C102" s="356">
        <v>241010000044</v>
      </c>
      <c r="D102" s="357">
        <v>45580</v>
      </c>
      <c r="E102" s="484" t="s">
        <v>40</v>
      </c>
      <c r="F102" s="484" t="s">
        <v>130</v>
      </c>
      <c r="G102" s="484">
        <v>0.294</v>
      </c>
      <c r="H102" s="484">
        <v>17</v>
      </c>
      <c r="I102" s="358">
        <v>919.8</v>
      </c>
      <c r="J102" s="369"/>
      <c r="K102" s="485"/>
      <c r="L102" s="361"/>
      <c r="M102" s="485"/>
      <c r="N102" s="355"/>
      <c r="O102" s="364">
        <f>SUBTOTAL(9,I102)</f>
        <v>919.8</v>
      </c>
      <c r="P102" s="375"/>
      <c r="Q102" s="375"/>
      <c r="R102" s="375"/>
      <c r="S102" s="375"/>
      <c r="T102" s="375"/>
      <c r="U102" s="375"/>
      <c r="V102" s="375"/>
      <c r="W102" s="375"/>
      <c r="X102" s="376"/>
      <c r="Y102" s="368">
        <v>73.03</v>
      </c>
      <c r="Z102" s="376"/>
      <c r="AA102" s="376"/>
      <c r="AB102" s="378"/>
      <c r="AC102" s="375"/>
      <c r="AD102" s="375"/>
      <c r="AE102" s="375"/>
    </row>
    <row r="103" s="264" customFormat="1" ht="12.75" spans="1:31">
      <c r="A103" s="483"/>
      <c r="B103" s="484"/>
      <c r="C103" s="356">
        <v>241011000029</v>
      </c>
      <c r="D103" s="357">
        <v>45580</v>
      </c>
      <c r="E103" s="484" t="s">
        <v>44</v>
      </c>
      <c r="F103" s="484" t="s">
        <v>112</v>
      </c>
      <c r="G103" s="484">
        <v>1.2962</v>
      </c>
      <c r="H103" s="484">
        <v>139</v>
      </c>
      <c r="I103" s="486"/>
      <c r="J103" s="370">
        <v>506590</v>
      </c>
      <c r="K103" s="485"/>
      <c r="L103" s="361">
        <f t="shared" ref="L103:L109" si="20">SUM(J103/M103)</f>
        <v>1544.99984750984</v>
      </c>
      <c r="M103" s="362">
        <v>327.89</v>
      </c>
      <c r="N103" s="355">
        <v>7.24</v>
      </c>
      <c r="O103" s="364">
        <f t="shared" si="19"/>
        <v>2373.9236</v>
      </c>
      <c r="P103" s="375"/>
      <c r="Q103" s="375"/>
      <c r="R103" s="375"/>
      <c r="S103" s="375"/>
      <c r="T103" s="375"/>
      <c r="U103" s="375"/>
      <c r="V103" s="375"/>
      <c r="W103" s="375"/>
      <c r="X103" s="376"/>
      <c r="Y103" s="373"/>
      <c r="Z103" s="376"/>
      <c r="AA103" s="376"/>
      <c r="AB103" s="378"/>
      <c r="AC103" s="375"/>
      <c r="AD103" s="375"/>
      <c r="AE103" s="375"/>
    </row>
    <row r="104" s="264" customFormat="1" ht="12.75" spans="1:31">
      <c r="A104" s="483"/>
      <c r="B104" s="484"/>
      <c r="C104" s="356">
        <v>241011000030</v>
      </c>
      <c r="D104" s="357">
        <v>45580</v>
      </c>
      <c r="E104" s="484" t="s">
        <v>44</v>
      </c>
      <c r="F104" s="484" t="s">
        <v>112</v>
      </c>
      <c r="G104" s="484">
        <v>0.4329</v>
      </c>
      <c r="H104" s="484">
        <v>53</v>
      </c>
      <c r="I104" s="486"/>
      <c r="J104" s="370">
        <v>169208</v>
      </c>
      <c r="K104" s="485"/>
      <c r="L104" s="361">
        <f t="shared" si="20"/>
        <v>1544.99634769905</v>
      </c>
      <c r="M104" s="362">
        <v>109.52</v>
      </c>
      <c r="N104" s="355">
        <v>7.24</v>
      </c>
      <c r="O104" s="364">
        <f t="shared" si="19"/>
        <v>792.9248</v>
      </c>
      <c r="P104" s="375"/>
      <c r="Q104" s="375"/>
      <c r="R104" s="375"/>
      <c r="S104" s="375"/>
      <c r="T104" s="375"/>
      <c r="U104" s="375"/>
      <c r="V104" s="375"/>
      <c r="W104" s="375"/>
      <c r="X104" s="376"/>
      <c r="Y104" s="376"/>
      <c r="Z104" s="376"/>
      <c r="AA104" s="376"/>
      <c r="AB104" s="378"/>
      <c r="AC104" s="375"/>
      <c r="AD104" s="375"/>
      <c r="AE104" s="375"/>
    </row>
    <row r="105" s="264" customFormat="1" ht="12.75" spans="1:31">
      <c r="A105" s="483"/>
      <c r="B105" s="484"/>
      <c r="C105" s="356">
        <v>241011000031</v>
      </c>
      <c r="D105" s="357">
        <v>45580</v>
      </c>
      <c r="E105" s="484" t="s">
        <v>44</v>
      </c>
      <c r="F105" s="484" t="s">
        <v>112</v>
      </c>
      <c r="G105" s="484">
        <v>0.539</v>
      </c>
      <c r="H105" s="484">
        <v>103</v>
      </c>
      <c r="I105" s="486"/>
      <c r="J105" s="370">
        <v>210691</v>
      </c>
      <c r="K105" s="485"/>
      <c r="L105" s="361">
        <f t="shared" si="20"/>
        <v>1544.99523355577</v>
      </c>
      <c r="M105" s="362">
        <v>136.37</v>
      </c>
      <c r="N105" s="355">
        <v>7.24</v>
      </c>
      <c r="O105" s="364">
        <f t="shared" si="19"/>
        <v>987.3188</v>
      </c>
      <c r="P105" s="375"/>
      <c r="Q105" s="375"/>
      <c r="R105" s="375"/>
      <c r="S105" s="375"/>
      <c r="T105" s="375"/>
      <c r="U105" s="375"/>
      <c r="V105" s="375"/>
      <c r="W105" s="375"/>
      <c r="X105" s="376"/>
      <c r="Y105" s="376"/>
      <c r="Z105" s="376"/>
      <c r="AA105" s="376"/>
      <c r="AB105" s="378"/>
      <c r="AC105" s="375"/>
      <c r="AD105" s="375"/>
      <c r="AE105" s="375"/>
    </row>
    <row r="106" s="264" customFormat="1" ht="12.75" spans="1:31">
      <c r="A106" s="483"/>
      <c r="B106" s="484"/>
      <c r="C106" s="356">
        <v>241011000032</v>
      </c>
      <c r="D106" s="357">
        <v>45580</v>
      </c>
      <c r="E106" s="484" t="s">
        <v>44</v>
      </c>
      <c r="F106" s="484" t="s">
        <v>112</v>
      </c>
      <c r="G106" s="484">
        <v>6.1972</v>
      </c>
      <c r="H106" s="484">
        <v>617</v>
      </c>
      <c r="I106" s="486"/>
      <c r="J106" s="370">
        <v>2557147</v>
      </c>
      <c r="K106" s="485"/>
      <c r="L106" s="361">
        <f t="shared" si="20"/>
        <v>1630.99997448719</v>
      </c>
      <c r="M106" s="362">
        <v>1567.84</v>
      </c>
      <c r="N106" s="355">
        <v>7.35</v>
      </c>
      <c r="O106" s="364">
        <f t="shared" si="19"/>
        <v>11523.624</v>
      </c>
      <c r="P106" s="375"/>
      <c r="Q106" s="375"/>
      <c r="R106" s="375"/>
      <c r="S106" s="375"/>
      <c r="T106" s="375"/>
      <c r="U106" s="375"/>
      <c r="V106" s="375"/>
      <c r="W106" s="375"/>
      <c r="X106" s="376"/>
      <c r="Y106" s="376"/>
      <c r="Z106" s="376"/>
      <c r="AA106" s="376"/>
      <c r="AB106" s="378"/>
      <c r="AC106" s="375"/>
      <c r="AD106" s="375"/>
      <c r="AE106" s="375"/>
    </row>
    <row r="107" s="264" customFormat="1" ht="12.75" spans="1:31">
      <c r="A107" s="483"/>
      <c r="B107" s="484"/>
      <c r="C107" s="356">
        <v>241011000033</v>
      </c>
      <c r="D107" s="357">
        <v>45580</v>
      </c>
      <c r="E107" s="484" t="s">
        <v>44</v>
      </c>
      <c r="F107" s="484" t="s">
        <v>112</v>
      </c>
      <c r="G107" s="484">
        <v>0.2995</v>
      </c>
      <c r="H107" s="484">
        <v>33</v>
      </c>
      <c r="I107" s="486"/>
      <c r="J107" s="370">
        <v>117080</v>
      </c>
      <c r="K107" s="485"/>
      <c r="L107" s="361">
        <f t="shared" si="20"/>
        <v>1544.9986803906</v>
      </c>
      <c r="M107" s="362">
        <v>75.78</v>
      </c>
      <c r="N107" s="355">
        <v>7.24</v>
      </c>
      <c r="O107" s="364">
        <f t="shared" si="19"/>
        <v>548.6472</v>
      </c>
      <c r="P107" s="375"/>
      <c r="Q107" s="375"/>
      <c r="R107" s="375"/>
      <c r="S107" s="375"/>
      <c r="T107" s="375"/>
      <c r="U107" s="375"/>
      <c r="V107" s="375"/>
      <c r="W107" s="375"/>
      <c r="X107" s="376"/>
      <c r="Y107" s="376"/>
      <c r="Z107" s="376"/>
      <c r="AA107" s="376"/>
      <c r="AB107" s="378"/>
      <c r="AC107" s="375"/>
      <c r="AD107" s="375"/>
      <c r="AE107" s="375"/>
    </row>
    <row r="108" s="264" customFormat="1" ht="12.75" spans="1:31">
      <c r="A108" s="483"/>
      <c r="B108" s="484"/>
      <c r="C108" s="356">
        <v>241011000034</v>
      </c>
      <c r="D108" s="357">
        <v>45580</v>
      </c>
      <c r="E108" s="484" t="s">
        <v>44</v>
      </c>
      <c r="F108" s="484" t="s">
        <v>112</v>
      </c>
      <c r="G108" s="484">
        <v>0.1865</v>
      </c>
      <c r="H108" s="484">
        <v>30</v>
      </c>
      <c r="I108" s="486"/>
      <c r="J108" s="370">
        <v>72893</v>
      </c>
      <c r="K108" s="485"/>
      <c r="L108" s="361">
        <f t="shared" si="20"/>
        <v>1544.99788045782</v>
      </c>
      <c r="M108" s="362">
        <v>47.18</v>
      </c>
      <c r="N108" s="355">
        <v>7.24</v>
      </c>
      <c r="O108" s="364">
        <f t="shared" si="19"/>
        <v>341.5832</v>
      </c>
      <c r="P108" s="375"/>
      <c r="Q108" s="375"/>
      <c r="R108" s="375"/>
      <c r="S108" s="375"/>
      <c r="T108" s="375"/>
      <c r="U108" s="375"/>
      <c r="V108" s="375"/>
      <c r="W108" s="375"/>
      <c r="X108" s="376"/>
      <c r="Y108" s="376"/>
      <c r="Z108" s="376"/>
      <c r="AA108" s="376"/>
      <c r="AB108" s="378"/>
      <c r="AC108" s="375"/>
      <c r="AD108" s="375"/>
      <c r="AE108" s="375"/>
    </row>
    <row r="109" s="264" customFormat="1" ht="12.75" spans="1:31">
      <c r="A109" s="483"/>
      <c r="B109" s="484"/>
      <c r="C109" s="356">
        <v>241011000035</v>
      </c>
      <c r="D109" s="357">
        <v>45580</v>
      </c>
      <c r="E109" s="484" t="s">
        <v>44</v>
      </c>
      <c r="F109" s="484" t="s">
        <v>112</v>
      </c>
      <c r="G109" s="484">
        <v>0.1821</v>
      </c>
      <c r="H109" s="484">
        <v>17</v>
      </c>
      <c r="I109" s="486"/>
      <c r="J109" s="370">
        <v>72792.6</v>
      </c>
      <c r="K109" s="485"/>
      <c r="L109" s="361">
        <f t="shared" si="20"/>
        <v>1580.04341219883</v>
      </c>
      <c r="M109" s="362">
        <v>46.07</v>
      </c>
      <c r="N109" s="355">
        <v>7.24</v>
      </c>
      <c r="O109" s="364">
        <f t="shared" si="19"/>
        <v>333.5468</v>
      </c>
      <c r="P109" s="375"/>
      <c r="Q109" s="375"/>
      <c r="R109" s="375"/>
      <c r="S109" s="375"/>
      <c r="T109" s="375"/>
      <c r="U109" s="375"/>
      <c r="V109" s="375"/>
      <c r="W109" s="375"/>
      <c r="X109" s="376"/>
      <c r="Y109" s="376"/>
      <c r="Z109" s="376"/>
      <c r="AA109" s="376"/>
      <c r="AB109" s="378"/>
      <c r="AC109" s="375"/>
      <c r="AD109" s="375"/>
      <c r="AE109" s="375"/>
    </row>
    <row r="110" s="264" customFormat="1" ht="12.75" spans="1:31">
      <c r="A110" s="483"/>
      <c r="B110" s="484"/>
      <c r="C110" s="356">
        <v>241015000033</v>
      </c>
      <c r="D110" s="357">
        <v>45580</v>
      </c>
      <c r="E110" s="484" t="s">
        <v>52</v>
      </c>
      <c r="F110" s="484" t="s">
        <v>272</v>
      </c>
      <c r="G110" s="484">
        <v>0.138</v>
      </c>
      <c r="H110" s="484">
        <v>26</v>
      </c>
      <c r="I110" s="358">
        <v>356</v>
      </c>
      <c r="J110" s="369"/>
      <c r="K110" s="485"/>
      <c r="L110" s="361"/>
      <c r="M110" s="485"/>
      <c r="N110" s="355"/>
      <c r="O110" s="364">
        <f t="shared" ref="O110:O114" si="21">SUBTOTAL(9,I110)</f>
        <v>356</v>
      </c>
      <c r="P110" s="375"/>
      <c r="Q110" s="375"/>
      <c r="R110" s="375"/>
      <c r="S110" s="375"/>
      <c r="T110" s="375"/>
      <c r="U110" s="375"/>
      <c r="V110" s="375"/>
      <c r="W110" s="375"/>
      <c r="X110" s="376"/>
      <c r="Y110" s="376"/>
      <c r="Z110" s="376"/>
      <c r="AA110" s="376"/>
      <c r="AB110" s="378"/>
      <c r="AC110" s="375"/>
      <c r="AD110" s="375"/>
      <c r="AE110" s="375"/>
    </row>
    <row r="111" s="264" customFormat="1" ht="12.75" spans="1:31">
      <c r="A111" s="483"/>
      <c r="B111" s="484"/>
      <c r="C111" s="356">
        <v>241005000007</v>
      </c>
      <c r="D111" s="357">
        <v>45580</v>
      </c>
      <c r="E111" s="484" t="s">
        <v>49</v>
      </c>
      <c r="F111" s="484" t="s">
        <v>249</v>
      </c>
      <c r="G111" s="484">
        <v>1.7993</v>
      </c>
      <c r="H111" s="484">
        <v>702.27</v>
      </c>
      <c r="I111" s="486"/>
      <c r="J111" s="370">
        <v>830610</v>
      </c>
      <c r="K111" s="485"/>
      <c r="L111" s="361">
        <f t="shared" ref="L111:L115" si="22">SUM(J111/M111)</f>
        <v>1678</v>
      </c>
      <c r="M111" s="362">
        <v>495</v>
      </c>
      <c r="N111" s="355">
        <v>7.27</v>
      </c>
      <c r="O111" s="364">
        <f t="shared" ref="O111:O115" si="23">SUM(M111*N111)</f>
        <v>3598.65</v>
      </c>
      <c r="P111" s="375"/>
      <c r="Q111" s="375"/>
      <c r="R111" s="375"/>
      <c r="S111" s="375"/>
      <c r="T111" s="375"/>
      <c r="U111" s="375"/>
      <c r="V111" s="375"/>
      <c r="W111" s="375"/>
      <c r="X111" s="376"/>
      <c r="Y111" s="376"/>
      <c r="Z111" s="376"/>
      <c r="AA111" s="376"/>
      <c r="AB111" s="378"/>
      <c r="AC111" s="375"/>
      <c r="AD111" s="375"/>
      <c r="AE111" s="375"/>
    </row>
    <row r="112" s="264" customFormat="1" ht="12.75" spans="1:31">
      <c r="A112" s="483"/>
      <c r="B112" s="484"/>
      <c r="C112" s="356">
        <v>241012000013</v>
      </c>
      <c r="D112" s="357">
        <v>45580</v>
      </c>
      <c r="E112" s="484" t="s">
        <v>49</v>
      </c>
      <c r="F112" s="484" t="s">
        <v>204</v>
      </c>
      <c r="G112" s="484">
        <v>4.6667</v>
      </c>
      <c r="H112" s="484">
        <v>1862</v>
      </c>
      <c r="I112" s="486"/>
      <c r="J112" s="370">
        <v>2104240.8</v>
      </c>
      <c r="K112" s="485"/>
      <c r="L112" s="361">
        <f t="shared" si="22"/>
        <v>1639.65989366183</v>
      </c>
      <c r="M112" s="362">
        <v>1283.3398</v>
      </c>
      <c r="N112" s="355">
        <v>7.29</v>
      </c>
      <c r="O112" s="364">
        <f t="shared" si="23"/>
        <v>9355.547142</v>
      </c>
      <c r="P112" s="375"/>
      <c r="Q112" s="375"/>
      <c r="R112" s="375"/>
      <c r="S112" s="375"/>
      <c r="T112" s="375"/>
      <c r="U112" s="375"/>
      <c r="V112" s="375"/>
      <c r="W112" s="375"/>
      <c r="X112" s="376"/>
      <c r="Y112" s="376"/>
      <c r="Z112" s="376"/>
      <c r="AA112" s="376"/>
      <c r="AB112" s="378"/>
      <c r="AC112" s="375"/>
      <c r="AD112" s="375"/>
      <c r="AE112" s="375"/>
    </row>
    <row r="113" s="264" customFormat="1" ht="12.75" spans="1:31">
      <c r="A113" s="483"/>
      <c r="B113" s="484"/>
      <c r="C113" s="356">
        <v>241007000001</v>
      </c>
      <c r="D113" s="357">
        <v>45580</v>
      </c>
      <c r="E113" s="484" t="s">
        <v>190</v>
      </c>
      <c r="F113" s="484" t="s">
        <v>207</v>
      </c>
      <c r="G113" s="484">
        <v>5.4</v>
      </c>
      <c r="H113" s="484">
        <v>3863.5</v>
      </c>
      <c r="I113" s="358">
        <v>12614.4</v>
      </c>
      <c r="J113" s="369"/>
      <c r="K113" s="485"/>
      <c r="L113" s="361"/>
      <c r="M113" s="485"/>
      <c r="N113" s="355"/>
      <c r="O113" s="364">
        <f t="shared" si="21"/>
        <v>12614.4</v>
      </c>
      <c r="P113" s="375"/>
      <c r="Q113" s="375"/>
      <c r="R113" s="375"/>
      <c r="S113" s="375"/>
      <c r="T113" s="375"/>
      <c r="U113" s="379"/>
      <c r="V113" s="375"/>
      <c r="W113" s="375"/>
      <c r="X113" s="376"/>
      <c r="Y113" s="376"/>
      <c r="Z113" s="376"/>
      <c r="AA113" s="376"/>
      <c r="AB113" s="378"/>
      <c r="AC113" s="375"/>
      <c r="AD113" s="375"/>
      <c r="AE113" s="375"/>
    </row>
    <row r="114" s="264" customFormat="1" ht="12.75" spans="1:31">
      <c r="A114" s="483"/>
      <c r="B114" s="484"/>
      <c r="C114" s="356">
        <v>241014000047</v>
      </c>
      <c r="D114" s="357">
        <v>45580</v>
      </c>
      <c r="E114" s="484" t="s">
        <v>190</v>
      </c>
      <c r="F114" s="484" t="s">
        <v>191</v>
      </c>
      <c r="G114" s="484">
        <v>1.7401</v>
      </c>
      <c r="H114" s="484">
        <v>1028</v>
      </c>
      <c r="I114" s="358">
        <v>3551.45</v>
      </c>
      <c r="J114" s="369"/>
      <c r="K114" s="485"/>
      <c r="L114" s="361"/>
      <c r="M114" s="485"/>
      <c r="N114" s="355"/>
      <c r="O114" s="364">
        <f t="shared" si="21"/>
        <v>3551.45</v>
      </c>
      <c r="P114" s="375"/>
      <c r="Q114" s="375"/>
      <c r="R114" s="375"/>
      <c r="S114" s="375"/>
      <c r="T114" s="375"/>
      <c r="U114" s="367">
        <v>150</v>
      </c>
      <c r="V114" s="375"/>
      <c r="W114" s="375"/>
      <c r="X114" s="376"/>
      <c r="Y114" s="376"/>
      <c r="Z114" s="376"/>
      <c r="AA114" s="376"/>
      <c r="AB114" s="378"/>
      <c r="AC114" s="375"/>
      <c r="AD114" s="375"/>
      <c r="AE114" s="375"/>
    </row>
    <row r="115" s="264" customFormat="1" ht="12.75" spans="1:31">
      <c r="A115" s="483"/>
      <c r="B115" s="484"/>
      <c r="C115" s="356">
        <v>241015000035</v>
      </c>
      <c r="D115" s="357">
        <v>45580</v>
      </c>
      <c r="E115" s="484" t="s">
        <v>44</v>
      </c>
      <c r="F115" s="484" t="s">
        <v>111</v>
      </c>
      <c r="G115" s="484">
        <v>0.6634</v>
      </c>
      <c r="H115" s="484">
        <v>185</v>
      </c>
      <c r="I115" s="486"/>
      <c r="J115" s="369"/>
      <c r="K115" s="485"/>
      <c r="L115" s="361">
        <f t="shared" si="22"/>
        <v>0</v>
      </c>
      <c r="M115" s="485">
        <v>592.5</v>
      </c>
      <c r="N115" s="355">
        <v>7.11</v>
      </c>
      <c r="O115" s="364">
        <f t="shared" si="23"/>
        <v>4212.675</v>
      </c>
      <c r="P115" s="379"/>
      <c r="Q115" s="379"/>
      <c r="R115" s="379"/>
      <c r="S115" s="379"/>
      <c r="T115" s="379"/>
      <c r="U115" s="367"/>
      <c r="V115" s="379"/>
      <c r="W115" s="379"/>
      <c r="X115" s="377"/>
      <c r="Y115" s="377"/>
      <c r="Z115" s="377"/>
      <c r="AA115" s="377"/>
      <c r="AB115" s="380"/>
      <c r="AC115" s="379"/>
      <c r="AD115" s="379"/>
      <c r="AE115" s="379"/>
    </row>
    <row r="116" s="264" customFormat="1" ht="12.75" spans="1:31">
      <c r="A116" s="483" t="s">
        <v>273</v>
      </c>
      <c r="B116" s="484" t="s">
        <v>274</v>
      </c>
      <c r="C116" s="356">
        <v>240926000039</v>
      </c>
      <c r="D116" s="357">
        <v>45583</v>
      </c>
      <c r="E116" s="484" t="s">
        <v>40</v>
      </c>
      <c r="F116" s="484" t="s">
        <v>134</v>
      </c>
      <c r="G116" s="484">
        <v>0.3</v>
      </c>
      <c r="H116" s="484">
        <v>65</v>
      </c>
      <c r="I116" s="358">
        <v>772</v>
      </c>
      <c r="J116" s="369"/>
      <c r="K116" s="485"/>
      <c r="L116" s="361"/>
      <c r="M116" s="485"/>
      <c r="N116" s="355"/>
      <c r="O116" s="364">
        <f t="shared" ref="O116:O120" si="24">SUBTOTAL(9,I116)</f>
        <v>772</v>
      </c>
      <c r="P116" s="371">
        <f>SUM(O116:O136)</f>
        <v>135484.8624727</v>
      </c>
      <c r="Q116" s="372" t="s">
        <v>275</v>
      </c>
      <c r="R116" s="371">
        <v>41706</v>
      </c>
      <c r="S116" s="371">
        <v>99.72</v>
      </c>
      <c r="T116" s="371">
        <v>1500</v>
      </c>
      <c r="U116" s="367"/>
      <c r="V116" s="371"/>
      <c r="W116" s="371">
        <f>SUM(R116:V136)</f>
        <v>43995.72</v>
      </c>
      <c r="X116" s="373">
        <v>10523.89</v>
      </c>
      <c r="Y116" s="368">
        <v>14.39</v>
      </c>
      <c r="Z116" s="373"/>
      <c r="AA116" s="373">
        <f>SUM(X116:Z136)</f>
        <v>10747.9</v>
      </c>
      <c r="AB116" s="374">
        <v>7.28</v>
      </c>
      <c r="AC116" s="371">
        <f>SUM(AA116*AB116)</f>
        <v>78244.712</v>
      </c>
      <c r="AD116" s="371">
        <f>SUM(W116+AC116)</f>
        <v>122240.432</v>
      </c>
      <c r="AE116" s="371">
        <f>SUM(P116-AD116)</f>
        <v>13244.4304727</v>
      </c>
    </row>
    <row r="117" s="264" customFormat="1" ht="12.75" spans="1:31">
      <c r="A117" s="483"/>
      <c r="B117" s="484"/>
      <c r="C117" s="356">
        <v>240926000032</v>
      </c>
      <c r="D117" s="357">
        <v>45580</v>
      </c>
      <c r="E117" s="484" t="s">
        <v>49</v>
      </c>
      <c r="F117" s="484" t="s">
        <v>86</v>
      </c>
      <c r="G117" s="484">
        <v>7.5159</v>
      </c>
      <c r="H117" s="484">
        <v>6108</v>
      </c>
      <c r="I117" s="358">
        <v>15370</v>
      </c>
      <c r="J117" s="369"/>
      <c r="K117" s="485"/>
      <c r="L117" s="361"/>
      <c r="M117" s="485"/>
      <c r="N117" s="355"/>
      <c r="O117" s="364">
        <f t="shared" si="24"/>
        <v>15370</v>
      </c>
      <c r="P117" s="375"/>
      <c r="Q117" s="375"/>
      <c r="R117" s="375"/>
      <c r="S117" s="375"/>
      <c r="T117" s="375"/>
      <c r="U117" s="367"/>
      <c r="V117" s="375"/>
      <c r="W117" s="375"/>
      <c r="X117" s="376"/>
      <c r="Y117" s="368"/>
      <c r="Z117" s="376"/>
      <c r="AA117" s="376"/>
      <c r="AB117" s="378"/>
      <c r="AC117" s="375"/>
      <c r="AD117" s="375"/>
      <c r="AE117" s="375"/>
    </row>
    <row r="118" s="264" customFormat="1" ht="12.75" spans="1:31">
      <c r="A118" s="483"/>
      <c r="B118" s="484"/>
      <c r="C118" s="356">
        <v>241008000045</v>
      </c>
      <c r="D118" s="357">
        <v>45580</v>
      </c>
      <c r="E118" s="484" t="s">
        <v>49</v>
      </c>
      <c r="F118" s="484" t="s">
        <v>276</v>
      </c>
      <c r="G118" s="484">
        <v>1.3298</v>
      </c>
      <c r="H118" s="484">
        <v>142</v>
      </c>
      <c r="I118" s="358">
        <v>2841</v>
      </c>
      <c r="J118" s="369"/>
      <c r="K118" s="485"/>
      <c r="L118" s="361"/>
      <c r="M118" s="485"/>
      <c r="N118" s="355"/>
      <c r="O118" s="364">
        <f t="shared" si="24"/>
        <v>2841</v>
      </c>
      <c r="P118" s="375"/>
      <c r="Q118" s="375"/>
      <c r="R118" s="375"/>
      <c r="S118" s="375"/>
      <c r="T118" s="375"/>
      <c r="U118" s="367"/>
      <c r="V118" s="375"/>
      <c r="W118" s="375"/>
      <c r="X118" s="376"/>
      <c r="Y118" s="368"/>
      <c r="Z118" s="376"/>
      <c r="AA118" s="376"/>
      <c r="AB118" s="378"/>
      <c r="AC118" s="375"/>
      <c r="AD118" s="375"/>
      <c r="AE118" s="375"/>
    </row>
    <row r="119" s="264" customFormat="1" ht="12.75" spans="1:31">
      <c r="A119" s="483"/>
      <c r="B119" s="484"/>
      <c r="C119" s="356">
        <v>240927000028</v>
      </c>
      <c r="D119" s="357">
        <v>45583</v>
      </c>
      <c r="E119" s="484" t="s">
        <v>52</v>
      </c>
      <c r="F119" s="484" t="s">
        <v>246</v>
      </c>
      <c r="G119" s="484">
        <v>1.7904</v>
      </c>
      <c r="H119" s="484">
        <v>1841</v>
      </c>
      <c r="I119" s="358">
        <v>5660.38</v>
      </c>
      <c r="J119" s="369"/>
      <c r="K119" s="485"/>
      <c r="L119" s="361"/>
      <c r="M119" s="485"/>
      <c r="N119" s="355"/>
      <c r="O119" s="364">
        <f t="shared" si="24"/>
        <v>5660.38</v>
      </c>
      <c r="P119" s="375"/>
      <c r="Q119" s="375"/>
      <c r="R119" s="375"/>
      <c r="S119" s="375"/>
      <c r="T119" s="375"/>
      <c r="U119" s="367">
        <v>450</v>
      </c>
      <c r="V119" s="375"/>
      <c r="W119" s="375"/>
      <c r="X119" s="376"/>
      <c r="Y119" s="368">
        <v>68</v>
      </c>
      <c r="Z119" s="376"/>
      <c r="AA119" s="376"/>
      <c r="AB119" s="378"/>
      <c r="AC119" s="375"/>
      <c r="AD119" s="375"/>
      <c r="AE119" s="375"/>
    </row>
    <row r="120" s="264" customFormat="1" ht="12.75" spans="1:31">
      <c r="A120" s="483"/>
      <c r="B120" s="484"/>
      <c r="C120" s="356">
        <v>241008000110</v>
      </c>
      <c r="D120" s="357">
        <v>45583</v>
      </c>
      <c r="E120" s="484" t="s">
        <v>40</v>
      </c>
      <c r="F120" s="484" t="s">
        <v>41</v>
      </c>
      <c r="G120" s="484">
        <v>0.1724</v>
      </c>
      <c r="H120" s="484">
        <v>432</v>
      </c>
      <c r="I120" s="358">
        <v>1396.56</v>
      </c>
      <c r="J120" s="369"/>
      <c r="K120" s="485"/>
      <c r="L120" s="361"/>
      <c r="M120" s="485"/>
      <c r="N120" s="355"/>
      <c r="O120" s="364">
        <f t="shared" si="24"/>
        <v>1396.56</v>
      </c>
      <c r="P120" s="375"/>
      <c r="Q120" s="375"/>
      <c r="R120" s="375"/>
      <c r="S120" s="375"/>
      <c r="T120" s="375"/>
      <c r="U120" s="367"/>
      <c r="V120" s="375"/>
      <c r="W120" s="375"/>
      <c r="X120" s="376"/>
      <c r="Y120" s="368"/>
      <c r="Z120" s="376"/>
      <c r="AA120" s="376"/>
      <c r="AB120" s="378"/>
      <c r="AC120" s="375"/>
      <c r="AD120" s="375"/>
      <c r="AE120" s="375"/>
    </row>
    <row r="121" s="264" customFormat="1" ht="12.75" spans="1:31">
      <c r="A121" s="483"/>
      <c r="B121" s="484"/>
      <c r="C121" s="356">
        <v>241005000007</v>
      </c>
      <c r="D121" s="357">
        <v>45580</v>
      </c>
      <c r="E121" s="484" t="s">
        <v>49</v>
      </c>
      <c r="F121" s="484" t="s">
        <v>249</v>
      </c>
      <c r="G121" s="484">
        <v>1.7287</v>
      </c>
      <c r="H121" s="484">
        <v>674.73</v>
      </c>
      <c r="I121" s="486"/>
      <c r="J121" s="370">
        <v>797943.5</v>
      </c>
      <c r="K121" s="485"/>
      <c r="L121" s="361">
        <f t="shared" ref="L121:L130" si="25">SUM(J121/M121)</f>
        <v>1679.17403198653</v>
      </c>
      <c r="M121" s="362">
        <v>475.2</v>
      </c>
      <c r="N121" s="355">
        <v>7.27</v>
      </c>
      <c r="O121" s="364">
        <f t="shared" ref="O121:O130" si="26">SUM(M121*N121)</f>
        <v>3454.704</v>
      </c>
      <c r="P121" s="375"/>
      <c r="Q121" s="375"/>
      <c r="R121" s="375"/>
      <c r="S121" s="375"/>
      <c r="T121" s="375"/>
      <c r="U121" s="367"/>
      <c r="V121" s="375"/>
      <c r="W121" s="375"/>
      <c r="X121" s="376"/>
      <c r="Y121" s="368"/>
      <c r="Z121" s="376"/>
      <c r="AA121" s="376"/>
      <c r="AB121" s="378"/>
      <c r="AC121" s="375"/>
      <c r="AD121" s="375"/>
      <c r="AE121" s="375"/>
    </row>
    <row r="122" s="264" customFormat="1" ht="12.75" spans="1:31">
      <c r="A122" s="483"/>
      <c r="B122" s="484"/>
      <c r="C122" s="356">
        <v>241009000019</v>
      </c>
      <c r="D122" s="357">
        <v>45583</v>
      </c>
      <c r="E122" s="484" t="s">
        <v>49</v>
      </c>
      <c r="F122" s="484" t="s">
        <v>277</v>
      </c>
      <c r="G122" s="484">
        <v>0.7338</v>
      </c>
      <c r="H122" s="484">
        <v>73</v>
      </c>
      <c r="I122" s="358">
        <v>1502.2</v>
      </c>
      <c r="J122" s="369"/>
      <c r="K122" s="485"/>
      <c r="L122" s="361"/>
      <c r="M122" s="485"/>
      <c r="N122" s="355"/>
      <c r="O122" s="364">
        <f t="shared" ref="O122:O124" si="27">SUBTOTAL(9,I122)</f>
        <v>1502.2</v>
      </c>
      <c r="P122" s="375"/>
      <c r="Q122" s="375"/>
      <c r="R122" s="375"/>
      <c r="S122" s="375"/>
      <c r="T122" s="375"/>
      <c r="U122" s="367"/>
      <c r="V122" s="375"/>
      <c r="W122" s="375"/>
      <c r="X122" s="376"/>
      <c r="Y122" s="368">
        <v>3.45</v>
      </c>
      <c r="Z122" s="376"/>
      <c r="AA122" s="376"/>
      <c r="AB122" s="378"/>
      <c r="AC122" s="375"/>
      <c r="AD122" s="375"/>
      <c r="AE122" s="375"/>
    </row>
    <row r="123" s="264" customFormat="1" ht="12.75" spans="1:31">
      <c r="A123" s="483"/>
      <c r="B123" s="484"/>
      <c r="C123" s="356">
        <v>241009000033</v>
      </c>
      <c r="D123" s="357">
        <v>45583</v>
      </c>
      <c r="E123" s="484" t="s">
        <v>190</v>
      </c>
      <c r="F123" s="484" t="s">
        <v>252</v>
      </c>
      <c r="G123" s="394">
        <v>5.69</v>
      </c>
      <c r="H123" s="484">
        <v>3984</v>
      </c>
      <c r="I123" s="358">
        <v>9968.88</v>
      </c>
      <c r="J123" s="369"/>
      <c r="K123" s="485"/>
      <c r="L123" s="361"/>
      <c r="M123" s="485"/>
      <c r="N123" s="355"/>
      <c r="O123" s="364">
        <f t="shared" si="27"/>
        <v>9968.88</v>
      </c>
      <c r="P123" s="375"/>
      <c r="Q123" s="375"/>
      <c r="R123" s="375"/>
      <c r="S123" s="375"/>
      <c r="T123" s="375"/>
      <c r="U123" s="367"/>
      <c r="V123" s="375"/>
      <c r="W123" s="375"/>
      <c r="X123" s="376"/>
      <c r="Y123" s="368"/>
      <c r="Z123" s="376"/>
      <c r="AA123" s="376"/>
      <c r="AB123" s="378"/>
      <c r="AC123" s="375"/>
      <c r="AD123" s="375"/>
      <c r="AE123" s="375"/>
    </row>
    <row r="124" s="264" customFormat="1" ht="12.75" spans="1:31">
      <c r="A124" s="483"/>
      <c r="B124" s="484"/>
      <c r="C124" s="356">
        <v>241010000022</v>
      </c>
      <c r="D124" s="357">
        <v>45583</v>
      </c>
      <c r="E124" s="484" t="s">
        <v>37</v>
      </c>
      <c r="F124" s="484" t="s">
        <v>121</v>
      </c>
      <c r="G124" s="484">
        <v>5.5556</v>
      </c>
      <c r="H124" s="484">
        <v>5276</v>
      </c>
      <c r="I124" s="358">
        <v>16400</v>
      </c>
      <c r="J124" s="369"/>
      <c r="K124" s="485"/>
      <c r="L124" s="361"/>
      <c r="M124" s="485"/>
      <c r="N124" s="355"/>
      <c r="O124" s="364">
        <f t="shared" si="27"/>
        <v>16400</v>
      </c>
      <c r="P124" s="375"/>
      <c r="Q124" s="375"/>
      <c r="R124" s="375"/>
      <c r="S124" s="375"/>
      <c r="T124" s="375"/>
      <c r="U124" s="367"/>
      <c r="V124" s="375"/>
      <c r="W124" s="375"/>
      <c r="X124" s="376"/>
      <c r="Y124" s="368">
        <v>138.17</v>
      </c>
      <c r="Z124" s="376"/>
      <c r="AA124" s="376"/>
      <c r="AB124" s="378"/>
      <c r="AC124" s="375"/>
      <c r="AD124" s="375"/>
      <c r="AE124" s="375"/>
    </row>
    <row r="125" s="264" customFormat="1" ht="12.75" spans="1:31">
      <c r="A125" s="483"/>
      <c r="B125" s="484"/>
      <c r="C125" s="356">
        <v>241012000025</v>
      </c>
      <c r="D125" s="357">
        <v>45583</v>
      </c>
      <c r="E125" s="484" t="s">
        <v>52</v>
      </c>
      <c r="F125" s="484" t="s">
        <v>278</v>
      </c>
      <c r="G125" s="484">
        <v>0.9445</v>
      </c>
      <c r="H125" s="484">
        <v>434</v>
      </c>
      <c r="I125" s="486"/>
      <c r="J125" s="370">
        <v>559350</v>
      </c>
      <c r="K125" s="485"/>
      <c r="L125" s="361">
        <f t="shared" si="25"/>
        <v>1650</v>
      </c>
      <c r="M125" s="362">
        <v>339</v>
      </c>
      <c r="N125" s="355">
        <v>7.29</v>
      </c>
      <c r="O125" s="364">
        <f t="shared" si="26"/>
        <v>2471.31</v>
      </c>
      <c r="P125" s="375"/>
      <c r="Q125" s="375"/>
      <c r="R125" s="375"/>
      <c r="S125" s="375"/>
      <c r="T125" s="375"/>
      <c r="U125" s="367"/>
      <c r="V125" s="375"/>
      <c r="W125" s="375"/>
      <c r="X125" s="376"/>
      <c r="Y125" s="368"/>
      <c r="Z125" s="376"/>
      <c r="AA125" s="376"/>
      <c r="AB125" s="378"/>
      <c r="AC125" s="375"/>
      <c r="AD125" s="375"/>
      <c r="AE125" s="375"/>
    </row>
    <row r="126" s="264" customFormat="1" ht="12.75" spans="1:31">
      <c r="A126" s="483"/>
      <c r="B126" s="484"/>
      <c r="C126" s="356">
        <v>241012000031</v>
      </c>
      <c r="D126" s="357">
        <v>45583</v>
      </c>
      <c r="E126" s="484" t="s">
        <v>49</v>
      </c>
      <c r="F126" s="484" t="s">
        <v>279</v>
      </c>
      <c r="G126" s="484">
        <v>2.0788</v>
      </c>
      <c r="H126" s="484">
        <v>174</v>
      </c>
      <c r="I126" s="486"/>
      <c r="J126" s="370">
        <v>1322400</v>
      </c>
      <c r="K126" s="485"/>
      <c r="L126" s="361">
        <f t="shared" si="25"/>
        <v>1675.81199072373</v>
      </c>
      <c r="M126" s="362">
        <v>789.11</v>
      </c>
      <c r="N126" s="355">
        <v>7.29</v>
      </c>
      <c r="O126" s="364">
        <f t="shared" si="26"/>
        <v>5752.6119</v>
      </c>
      <c r="P126" s="375"/>
      <c r="Q126" s="375"/>
      <c r="R126" s="375"/>
      <c r="S126" s="375"/>
      <c r="T126" s="375"/>
      <c r="U126" s="367">
        <v>240</v>
      </c>
      <c r="V126" s="375"/>
      <c r="W126" s="375"/>
      <c r="X126" s="376"/>
      <c r="Y126" s="368"/>
      <c r="Z126" s="376"/>
      <c r="AA126" s="376"/>
      <c r="AB126" s="378"/>
      <c r="AC126" s="375"/>
      <c r="AD126" s="375"/>
      <c r="AE126" s="375"/>
    </row>
    <row r="127" s="264" customFormat="1" ht="12.75" spans="1:31">
      <c r="A127" s="483"/>
      <c r="B127" s="484"/>
      <c r="C127" s="356">
        <v>241014000064</v>
      </c>
      <c r="D127" s="357">
        <v>45583</v>
      </c>
      <c r="E127" s="484" t="s">
        <v>256</v>
      </c>
      <c r="F127" s="484" t="s">
        <v>271</v>
      </c>
      <c r="G127" s="484">
        <v>0.1024</v>
      </c>
      <c r="H127" s="484">
        <v>35</v>
      </c>
      <c r="I127" s="486"/>
      <c r="J127" s="370">
        <v>71551</v>
      </c>
      <c r="K127" s="485"/>
      <c r="L127" s="361">
        <f t="shared" si="25"/>
        <v>1690.31419796834</v>
      </c>
      <c r="M127" s="362">
        <v>42.33</v>
      </c>
      <c r="N127" s="355">
        <v>7.27</v>
      </c>
      <c r="O127" s="364">
        <f t="shared" si="26"/>
        <v>307.7391</v>
      </c>
      <c r="P127" s="375"/>
      <c r="Q127" s="375"/>
      <c r="R127" s="375"/>
      <c r="S127" s="375"/>
      <c r="T127" s="375"/>
      <c r="U127" s="367"/>
      <c r="V127" s="375"/>
      <c r="W127" s="375"/>
      <c r="X127" s="376"/>
      <c r="Y127" s="368"/>
      <c r="Z127" s="376"/>
      <c r="AA127" s="376"/>
      <c r="AB127" s="378"/>
      <c r="AC127" s="375"/>
      <c r="AD127" s="375"/>
      <c r="AE127" s="375"/>
    </row>
    <row r="128" s="264" customFormat="1" ht="12.75" spans="1:31">
      <c r="A128" s="483"/>
      <c r="B128" s="484"/>
      <c r="C128" s="356">
        <v>241015000036</v>
      </c>
      <c r="D128" s="357">
        <v>45583</v>
      </c>
      <c r="E128" s="484" t="s">
        <v>44</v>
      </c>
      <c r="F128" s="484" t="s">
        <v>112</v>
      </c>
      <c r="G128" s="484">
        <v>1.1644</v>
      </c>
      <c r="H128" s="484">
        <v>178</v>
      </c>
      <c r="I128" s="486"/>
      <c r="J128" s="370">
        <v>480476</v>
      </c>
      <c r="K128" s="485"/>
      <c r="L128" s="361">
        <f t="shared" si="25"/>
        <v>1630.99901558098</v>
      </c>
      <c r="M128" s="362">
        <v>294.59</v>
      </c>
      <c r="N128" s="355">
        <v>7.35</v>
      </c>
      <c r="O128" s="364">
        <f t="shared" si="26"/>
        <v>2165.2365</v>
      </c>
      <c r="P128" s="375"/>
      <c r="Q128" s="375"/>
      <c r="R128" s="375"/>
      <c r="S128" s="375"/>
      <c r="T128" s="375"/>
      <c r="U128" s="367"/>
      <c r="V128" s="375"/>
      <c r="W128" s="375"/>
      <c r="X128" s="376"/>
      <c r="Y128" s="368"/>
      <c r="Z128" s="376"/>
      <c r="AA128" s="376"/>
      <c r="AB128" s="378"/>
      <c r="AC128" s="375"/>
      <c r="AD128" s="375"/>
      <c r="AE128" s="375"/>
    </row>
    <row r="129" s="264" customFormat="1" ht="12.75" spans="1:31">
      <c r="A129" s="483"/>
      <c r="B129" s="484"/>
      <c r="C129" s="356">
        <v>241015000037</v>
      </c>
      <c r="D129" s="357">
        <v>45583</v>
      </c>
      <c r="E129" s="484" t="s">
        <v>44</v>
      </c>
      <c r="F129" s="484" t="s">
        <v>112</v>
      </c>
      <c r="G129" s="484">
        <v>1.8977</v>
      </c>
      <c r="H129" s="484">
        <v>816</v>
      </c>
      <c r="I129" s="486"/>
      <c r="J129" s="370">
        <v>783075</v>
      </c>
      <c r="K129" s="485"/>
      <c r="L129" s="361">
        <f t="shared" si="25"/>
        <v>1630.99850037491</v>
      </c>
      <c r="M129" s="362">
        <v>480.12</v>
      </c>
      <c r="N129" s="355">
        <v>7.35</v>
      </c>
      <c r="O129" s="364">
        <f t="shared" si="26"/>
        <v>3528.882</v>
      </c>
      <c r="P129" s="375"/>
      <c r="Q129" s="375"/>
      <c r="R129" s="375"/>
      <c r="S129" s="375"/>
      <c r="T129" s="375"/>
      <c r="U129" s="367"/>
      <c r="V129" s="375"/>
      <c r="W129" s="375"/>
      <c r="X129" s="376"/>
      <c r="Y129" s="368"/>
      <c r="Z129" s="376"/>
      <c r="AA129" s="376"/>
      <c r="AB129" s="378"/>
      <c r="AC129" s="375"/>
      <c r="AD129" s="375"/>
      <c r="AE129" s="375"/>
    </row>
    <row r="130" s="264" customFormat="1" ht="12.75" spans="1:31">
      <c r="A130" s="483"/>
      <c r="B130" s="484"/>
      <c r="C130" s="356">
        <v>241015000040</v>
      </c>
      <c r="D130" s="357">
        <v>45583</v>
      </c>
      <c r="E130" s="484" t="s">
        <v>44</v>
      </c>
      <c r="F130" s="484" t="s">
        <v>112</v>
      </c>
      <c r="G130" s="484">
        <v>1.7374</v>
      </c>
      <c r="H130" s="484">
        <v>1047</v>
      </c>
      <c r="I130" s="486"/>
      <c r="J130" s="370">
        <v>716971</v>
      </c>
      <c r="K130" s="485"/>
      <c r="L130" s="361">
        <f t="shared" si="25"/>
        <v>1630.99934029437</v>
      </c>
      <c r="M130" s="362">
        <v>439.59</v>
      </c>
      <c r="N130" s="355">
        <v>7.35</v>
      </c>
      <c r="O130" s="364">
        <f t="shared" si="26"/>
        <v>3230.9865</v>
      </c>
      <c r="P130" s="375"/>
      <c r="Q130" s="375"/>
      <c r="R130" s="375"/>
      <c r="S130" s="375"/>
      <c r="T130" s="375"/>
      <c r="U130" s="367"/>
      <c r="V130" s="375"/>
      <c r="W130" s="375"/>
      <c r="X130" s="376"/>
      <c r="Y130" s="368"/>
      <c r="Z130" s="376"/>
      <c r="AA130" s="376"/>
      <c r="AB130" s="378"/>
      <c r="AC130" s="375"/>
      <c r="AD130" s="375"/>
      <c r="AE130" s="375"/>
    </row>
    <row r="131" s="264" customFormat="1" ht="12.75" spans="1:31">
      <c r="A131" s="483"/>
      <c r="B131" s="484"/>
      <c r="C131" s="356">
        <v>241015000046</v>
      </c>
      <c r="D131" s="357">
        <v>45583</v>
      </c>
      <c r="E131" s="484" t="s">
        <v>37</v>
      </c>
      <c r="F131" s="484" t="s">
        <v>46</v>
      </c>
      <c r="G131" s="484">
        <v>0.5175</v>
      </c>
      <c r="H131" s="484">
        <v>333</v>
      </c>
      <c r="I131" s="358">
        <v>1773.41</v>
      </c>
      <c r="J131" s="369"/>
      <c r="K131" s="485"/>
      <c r="L131" s="361"/>
      <c r="M131" s="485"/>
      <c r="N131" s="355"/>
      <c r="O131" s="364">
        <f t="shared" ref="O131:O140" si="28">SUBTOTAL(9,I131)</f>
        <v>1773.41</v>
      </c>
      <c r="P131" s="375"/>
      <c r="Q131" s="375"/>
      <c r="R131" s="375"/>
      <c r="S131" s="375"/>
      <c r="T131" s="375"/>
      <c r="U131" s="367"/>
      <c r="V131" s="375"/>
      <c r="W131" s="375"/>
      <c r="X131" s="376"/>
      <c r="Y131" s="368"/>
      <c r="Z131" s="376"/>
      <c r="AA131" s="376"/>
      <c r="AB131" s="378"/>
      <c r="AC131" s="375"/>
      <c r="AD131" s="375"/>
      <c r="AE131" s="375"/>
    </row>
    <row r="132" s="264" customFormat="1" ht="12.75" spans="1:31">
      <c r="A132" s="483"/>
      <c r="B132" s="484"/>
      <c r="C132" s="356">
        <v>241016000013</v>
      </c>
      <c r="D132" s="357">
        <v>45583</v>
      </c>
      <c r="E132" s="484" t="s">
        <v>42</v>
      </c>
      <c r="F132" s="484" t="s">
        <v>181</v>
      </c>
      <c r="G132" s="484">
        <v>0.4631</v>
      </c>
      <c r="H132" s="484">
        <v>128</v>
      </c>
      <c r="I132" s="486"/>
      <c r="J132" s="370">
        <v>239700</v>
      </c>
      <c r="K132" s="485"/>
      <c r="L132" s="361">
        <f>SUM(J132/M132)</f>
        <v>1725.32930252645</v>
      </c>
      <c r="M132" s="362">
        <v>138.93</v>
      </c>
      <c r="N132" s="355">
        <v>7.26</v>
      </c>
      <c r="O132" s="364">
        <f>SUM(M132*N132)</f>
        <v>1008.6318</v>
      </c>
      <c r="P132" s="375"/>
      <c r="Q132" s="375"/>
      <c r="R132" s="375"/>
      <c r="S132" s="375"/>
      <c r="T132" s="375"/>
      <c r="U132" s="367"/>
      <c r="V132" s="375"/>
      <c r="W132" s="375"/>
      <c r="X132" s="376"/>
      <c r="Y132" s="368"/>
      <c r="Z132" s="376"/>
      <c r="AA132" s="376"/>
      <c r="AB132" s="378"/>
      <c r="AC132" s="375"/>
      <c r="AD132" s="375"/>
      <c r="AE132" s="375"/>
    </row>
    <row r="133" s="264" customFormat="1" ht="12.75" spans="1:31">
      <c r="A133" s="483"/>
      <c r="B133" s="484"/>
      <c r="C133" s="356">
        <v>241017000017</v>
      </c>
      <c r="D133" s="357">
        <v>45583</v>
      </c>
      <c r="E133" s="484" t="s">
        <v>42</v>
      </c>
      <c r="F133" s="484" t="s">
        <v>67</v>
      </c>
      <c r="G133" s="484">
        <v>0.2251</v>
      </c>
      <c r="H133" s="484">
        <v>53</v>
      </c>
      <c r="I133" s="486"/>
      <c r="J133" s="370">
        <v>130000</v>
      </c>
      <c r="K133" s="485"/>
      <c r="L133" s="361">
        <f>SUM(J133/M133)</f>
        <v>1862.99772671285</v>
      </c>
      <c r="M133" s="362">
        <v>69.78001</v>
      </c>
      <c r="N133" s="355">
        <v>7.27</v>
      </c>
      <c r="O133" s="364">
        <f>SUM(M133*N133)</f>
        <v>507.3006727</v>
      </c>
      <c r="P133" s="375"/>
      <c r="Q133" s="375"/>
      <c r="R133" s="375"/>
      <c r="S133" s="375"/>
      <c r="T133" s="375"/>
      <c r="U133" s="367"/>
      <c r="V133" s="375"/>
      <c r="W133" s="375"/>
      <c r="X133" s="376"/>
      <c r="Y133" s="368"/>
      <c r="Z133" s="376"/>
      <c r="AA133" s="376"/>
      <c r="AB133" s="378"/>
      <c r="AC133" s="375"/>
      <c r="AD133" s="375"/>
      <c r="AE133" s="375"/>
    </row>
    <row r="134" s="264" customFormat="1" ht="12.75" spans="1:31">
      <c r="A134" s="483"/>
      <c r="B134" s="484"/>
      <c r="C134" s="356">
        <v>241017000030</v>
      </c>
      <c r="D134" s="357">
        <v>45583</v>
      </c>
      <c r="E134" s="484" t="s">
        <v>42</v>
      </c>
      <c r="F134" s="484" t="s">
        <v>43</v>
      </c>
      <c r="G134" s="484">
        <v>5.595</v>
      </c>
      <c r="H134" s="484">
        <v>600</v>
      </c>
      <c r="I134" s="358">
        <v>11415.02</v>
      </c>
      <c r="J134" s="369"/>
      <c r="K134" s="485"/>
      <c r="L134" s="361"/>
      <c r="M134" s="485"/>
      <c r="N134" s="355"/>
      <c r="O134" s="364">
        <f t="shared" si="28"/>
        <v>11415.02</v>
      </c>
      <c r="P134" s="375"/>
      <c r="Q134" s="375"/>
      <c r="R134" s="375"/>
      <c r="S134" s="375"/>
      <c r="T134" s="375"/>
      <c r="U134" s="367"/>
      <c r="V134" s="375"/>
      <c r="W134" s="375"/>
      <c r="X134" s="376"/>
      <c r="Y134" s="368"/>
      <c r="Z134" s="376"/>
      <c r="AA134" s="376"/>
      <c r="AB134" s="378"/>
      <c r="AC134" s="375"/>
      <c r="AD134" s="375"/>
      <c r="AE134" s="375"/>
    </row>
    <row r="135" s="264" customFormat="1" ht="12.75" spans="1:31">
      <c r="A135" s="483"/>
      <c r="B135" s="484"/>
      <c r="C135" s="356">
        <v>241017000044</v>
      </c>
      <c r="D135" s="357">
        <v>45583</v>
      </c>
      <c r="E135" s="484" t="s">
        <v>42</v>
      </c>
      <c r="F135" s="484" t="s">
        <v>43</v>
      </c>
      <c r="G135" s="484">
        <v>1.3776</v>
      </c>
      <c r="H135" s="484">
        <v>251</v>
      </c>
      <c r="I135" s="358">
        <v>2812.99</v>
      </c>
      <c r="J135" s="369"/>
      <c r="K135" s="485"/>
      <c r="L135" s="361"/>
      <c r="M135" s="485"/>
      <c r="N135" s="355"/>
      <c r="O135" s="364">
        <f t="shared" si="28"/>
        <v>2812.99</v>
      </c>
      <c r="P135" s="375"/>
      <c r="Q135" s="375"/>
      <c r="R135" s="375"/>
      <c r="S135" s="375"/>
      <c r="T135" s="375"/>
      <c r="U135" s="367"/>
      <c r="V135" s="375"/>
      <c r="W135" s="375"/>
      <c r="X135" s="376"/>
      <c r="Y135" s="368"/>
      <c r="Z135" s="376"/>
      <c r="AA135" s="376"/>
      <c r="AB135" s="378"/>
      <c r="AC135" s="375"/>
      <c r="AD135" s="375"/>
      <c r="AE135" s="375"/>
    </row>
    <row r="136" s="264" customFormat="1" ht="12.75" spans="1:31">
      <c r="A136" s="483"/>
      <c r="B136" s="484"/>
      <c r="C136" s="356">
        <v>241017000060</v>
      </c>
      <c r="D136" s="357">
        <v>45583</v>
      </c>
      <c r="E136" s="484" t="s">
        <v>44</v>
      </c>
      <c r="F136" s="484" t="s">
        <v>59</v>
      </c>
      <c r="G136" s="484">
        <v>29.42</v>
      </c>
      <c r="H136" s="484">
        <v>3712</v>
      </c>
      <c r="I136" s="358">
        <v>43145.02</v>
      </c>
      <c r="J136" s="369"/>
      <c r="K136" s="485"/>
      <c r="L136" s="361"/>
      <c r="M136" s="362"/>
      <c r="N136" s="355"/>
      <c r="O136" s="364">
        <f t="shared" si="28"/>
        <v>43145.02</v>
      </c>
      <c r="P136" s="379"/>
      <c r="Q136" s="379"/>
      <c r="R136" s="379"/>
      <c r="S136" s="379"/>
      <c r="T136" s="379"/>
      <c r="U136" s="367"/>
      <c r="V136" s="379"/>
      <c r="W136" s="379"/>
      <c r="X136" s="377"/>
      <c r="Y136" s="368"/>
      <c r="Z136" s="377"/>
      <c r="AA136" s="377"/>
      <c r="AB136" s="380"/>
      <c r="AC136" s="379"/>
      <c r="AD136" s="379"/>
      <c r="AE136" s="379"/>
    </row>
    <row r="137" s="264" customFormat="1" ht="12.75" spans="1:31">
      <c r="A137" s="354" t="s">
        <v>280</v>
      </c>
      <c r="B137" s="355" t="s">
        <v>281</v>
      </c>
      <c r="C137" s="356">
        <v>240926000032</v>
      </c>
      <c r="D137" s="357">
        <v>45587</v>
      </c>
      <c r="E137" s="355" t="s">
        <v>49</v>
      </c>
      <c r="F137" s="355" t="s">
        <v>86</v>
      </c>
      <c r="G137" s="355">
        <v>18.7805</v>
      </c>
      <c r="H137" s="355">
        <v>11775</v>
      </c>
      <c r="I137" s="358">
        <v>38416</v>
      </c>
      <c r="J137" s="369"/>
      <c r="K137" s="360"/>
      <c r="L137" s="361"/>
      <c r="M137" s="360"/>
      <c r="N137" s="355"/>
      <c r="O137" s="364">
        <f t="shared" si="28"/>
        <v>38416</v>
      </c>
      <c r="P137" s="371">
        <f>SUM(O137:O161)</f>
        <v>184202.9507362</v>
      </c>
      <c r="Q137" s="372" t="s">
        <v>282</v>
      </c>
      <c r="R137" s="371">
        <v>46670</v>
      </c>
      <c r="S137" s="371"/>
      <c r="T137" s="371">
        <v>1300</v>
      </c>
      <c r="U137" s="367">
        <v>800</v>
      </c>
      <c r="V137" s="371"/>
      <c r="W137" s="371">
        <f>SUM(R137:V161)</f>
        <v>49732</v>
      </c>
      <c r="X137" s="373">
        <v>10523.89</v>
      </c>
      <c r="Y137" s="373"/>
      <c r="Z137" s="373"/>
      <c r="AA137" s="373">
        <f>SUM(X137:Z161)</f>
        <v>11625.79</v>
      </c>
      <c r="AB137" s="374">
        <v>7.28</v>
      </c>
      <c r="AC137" s="371">
        <f>SUM(AA137*AB137)</f>
        <v>84635.7512</v>
      </c>
      <c r="AD137" s="371">
        <f>SUM(W137+AC137)</f>
        <v>134367.7512</v>
      </c>
      <c r="AE137" s="371">
        <f>SUM(P137-AD137)</f>
        <v>49835.1995361999</v>
      </c>
    </row>
    <row r="138" s="264" customFormat="1" ht="12.75" spans="1:31">
      <c r="A138" s="354"/>
      <c r="B138" s="355"/>
      <c r="C138" s="356">
        <v>241007000001</v>
      </c>
      <c r="D138" s="357">
        <v>45587</v>
      </c>
      <c r="E138" s="355" t="s">
        <v>190</v>
      </c>
      <c r="F138" s="355" t="s">
        <v>207</v>
      </c>
      <c r="G138" s="355">
        <v>5.4</v>
      </c>
      <c r="H138" s="355">
        <v>3863.5</v>
      </c>
      <c r="I138" s="358">
        <v>12614.4</v>
      </c>
      <c r="J138" s="369"/>
      <c r="K138" s="360"/>
      <c r="L138" s="361"/>
      <c r="M138" s="360"/>
      <c r="N138" s="355"/>
      <c r="O138" s="364">
        <f t="shared" si="28"/>
        <v>12614.4</v>
      </c>
      <c r="P138" s="375"/>
      <c r="Q138" s="375"/>
      <c r="R138" s="375"/>
      <c r="S138" s="375"/>
      <c r="T138" s="375"/>
      <c r="U138" s="367"/>
      <c r="V138" s="375"/>
      <c r="W138" s="375"/>
      <c r="X138" s="376"/>
      <c r="Y138" s="376"/>
      <c r="Z138" s="376"/>
      <c r="AA138" s="376"/>
      <c r="AB138" s="378"/>
      <c r="AC138" s="375"/>
      <c r="AD138" s="375"/>
      <c r="AE138" s="375"/>
    </row>
    <row r="139" s="264" customFormat="1" ht="12.75" spans="1:31">
      <c r="A139" s="354"/>
      <c r="B139" s="355"/>
      <c r="C139" s="356">
        <v>241008000045</v>
      </c>
      <c r="D139" s="357">
        <v>45587</v>
      </c>
      <c r="E139" s="355" t="s">
        <v>49</v>
      </c>
      <c r="F139" s="355" t="s">
        <v>276</v>
      </c>
      <c r="G139" s="355">
        <v>1.0343</v>
      </c>
      <c r="H139" s="355">
        <v>87</v>
      </c>
      <c r="I139" s="358">
        <v>2210.6</v>
      </c>
      <c r="J139" s="369"/>
      <c r="K139" s="360"/>
      <c r="L139" s="361"/>
      <c r="M139" s="360"/>
      <c r="N139" s="355"/>
      <c r="O139" s="364">
        <f t="shared" si="28"/>
        <v>2210.6</v>
      </c>
      <c r="P139" s="375"/>
      <c r="Q139" s="375"/>
      <c r="R139" s="375"/>
      <c r="S139" s="375"/>
      <c r="T139" s="375"/>
      <c r="U139" s="367">
        <v>300</v>
      </c>
      <c r="V139" s="375"/>
      <c r="W139" s="375"/>
      <c r="X139" s="376"/>
      <c r="Y139" s="376"/>
      <c r="Z139" s="376"/>
      <c r="AA139" s="376"/>
      <c r="AB139" s="378"/>
      <c r="AC139" s="375"/>
      <c r="AD139" s="375"/>
      <c r="AE139" s="375"/>
    </row>
    <row r="140" s="264" customFormat="1" ht="12.75" spans="1:31">
      <c r="A140" s="354"/>
      <c r="B140" s="355"/>
      <c r="C140" s="356">
        <v>241011000009</v>
      </c>
      <c r="D140" s="357">
        <v>45587</v>
      </c>
      <c r="E140" s="355" t="s">
        <v>49</v>
      </c>
      <c r="F140" s="355" t="s">
        <v>283</v>
      </c>
      <c r="G140" s="355">
        <v>0.7032</v>
      </c>
      <c r="H140" s="355">
        <v>282</v>
      </c>
      <c r="I140" s="358">
        <v>1819</v>
      </c>
      <c r="J140" s="369"/>
      <c r="K140" s="360"/>
      <c r="L140" s="361"/>
      <c r="M140" s="360"/>
      <c r="N140" s="355"/>
      <c r="O140" s="364">
        <f t="shared" si="28"/>
        <v>1819</v>
      </c>
      <c r="P140" s="375"/>
      <c r="Q140" s="375"/>
      <c r="R140" s="375"/>
      <c r="S140" s="375"/>
      <c r="T140" s="375"/>
      <c r="U140" s="371"/>
      <c r="V140" s="375"/>
      <c r="W140" s="375"/>
      <c r="X140" s="376"/>
      <c r="Y140" s="376"/>
      <c r="Z140" s="376"/>
      <c r="AA140" s="376"/>
      <c r="AB140" s="378"/>
      <c r="AC140" s="375"/>
      <c r="AD140" s="375"/>
      <c r="AE140" s="375"/>
    </row>
    <row r="141" s="264" customFormat="1" ht="12.75" spans="1:31">
      <c r="A141" s="354"/>
      <c r="B141" s="355"/>
      <c r="C141" s="356">
        <v>241011000052</v>
      </c>
      <c r="D141" s="357">
        <v>45587</v>
      </c>
      <c r="E141" s="355" t="s">
        <v>91</v>
      </c>
      <c r="F141" s="355" t="s">
        <v>284</v>
      </c>
      <c r="G141" s="355">
        <v>1.5798</v>
      </c>
      <c r="H141" s="355">
        <v>199</v>
      </c>
      <c r="I141" s="364"/>
      <c r="J141" s="370">
        <v>795789</v>
      </c>
      <c r="K141" s="360"/>
      <c r="L141" s="361">
        <f>SUM(J141/M141)</f>
        <v>1736.999607107</v>
      </c>
      <c r="M141" s="362">
        <v>458.14</v>
      </c>
      <c r="N141" s="355">
        <v>7.28</v>
      </c>
      <c r="O141" s="364">
        <f>SUM(M141*N141)</f>
        <v>3335.2592</v>
      </c>
      <c r="P141" s="375"/>
      <c r="Q141" s="375"/>
      <c r="R141" s="375"/>
      <c r="S141" s="375"/>
      <c r="T141" s="375"/>
      <c r="U141" s="375"/>
      <c r="V141" s="375"/>
      <c r="W141" s="375"/>
      <c r="X141" s="376"/>
      <c r="Y141" s="376"/>
      <c r="Z141" s="376"/>
      <c r="AA141" s="376"/>
      <c r="AB141" s="378"/>
      <c r="AC141" s="375"/>
      <c r="AD141" s="375"/>
      <c r="AE141" s="375"/>
    </row>
    <row r="142" s="264" customFormat="1" ht="12.75" spans="1:31">
      <c r="A142" s="354"/>
      <c r="B142" s="355"/>
      <c r="C142" s="356">
        <v>241015000012</v>
      </c>
      <c r="D142" s="357">
        <v>45587</v>
      </c>
      <c r="E142" s="355" t="s">
        <v>40</v>
      </c>
      <c r="F142" s="355" t="s">
        <v>285</v>
      </c>
      <c r="G142" s="355">
        <v>0.4173</v>
      </c>
      <c r="H142" s="355">
        <v>209</v>
      </c>
      <c r="I142" s="358">
        <v>914</v>
      </c>
      <c r="J142" s="369"/>
      <c r="K142" s="360"/>
      <c r="L142" s="361"/>
      <c r="M142" s="360"/>
      <c r="N142" s="355"/>
      <c r="O142" s="364">
        <f t="shared" ref="O142:O145" si="29">SUBTOTAL(9,I142)</f>
        <v>914</v>
      </c>
      <c r="P142" s="375"/>
      <c r="Q142" s="375"/>
      <c r="R142" s="375"/>
      <c r="S142" s="375"/>
      <c r="T142" s="375"/>
      <c r="U142" s="375"/>
      <c r="V142" s="375"/>
      <c r="W142" s="375"/>
      <c r="X142" s="376"/>
      <c r="Y142" s="377"/>
      <c r="Z142" s="376"/>
      <c r="AA142" s="376"/>
      <c r="AB142" s="378"/>
      <c r="AC142" s="375"/>
      <c r="AD142" s="375"/>
      <c r="AE142" s="375"/>
    </row>
    <row r="143" s="264" customFormat="1" ht="12.75" spans="1:31">
      <c r="A143" s="354"/>
      <c r="B143" s="355"/>
      <c r="C143" s="356">
        <v>241015000013</v>
      </c>
      <c r="D143" s="357">
        <v>45587</v>
      </c>
      <c r="E143" s="355" t="s">
        <v>40</v>
      </c>
      <c r="F143" s="355" t="s">
        <v>199</v>
      </c>
      <c r="G143" s="355">
        <v>18.4906</v>
      </c>
      <c r="H143" s="355">
        <v>7082</v>
      </c>
      <c r="I143" s="358">
        <v>57160</v>
      </c>
      <c r="J143" s="369"/>
      <c r="K143" s="360"/>
      <c r="L143" s="361"/>
      <c r="M143" s="360"/>
      <c r="N143" s="355"/>
      <c r="O143" s="364">
        <f t="shared" si="29"/>
        <v>57160</v>
      </c>
      <c r="P143" s="375"/>
      <c r="Q143" s="375"/>
      <c r="R143" s="375"/>
      <c r="S143" s="375"/>
      <c r="T143" s="375"/>
      <c r="U143" s="379"/>
      <c r="V143" s="375"/>
      <c r="W143" s="375"/>
      <c r="X143" s="376"/>
      <c r="Y143" s="368">
        <v>777.2</v>
      </c>
      <c r="Z143" s="376"/>
      <c r="AA143" s="376"/>
      <c r="AB143" s="378"/>
      <c r="AC143" s="375"/>
      <c r="AD143" s="375"/>
      <c r="AE143" s="375"/>
    </row>
    <row r="144" s="264" customFormat="1" ht="12.75" spans="1:31">
      <c r="A144" s="354"/>
      <c r="B144" s="355"/>
      <c r="C144" s="356">
        <v>241015000033</v>
      </c>
      <c r="D144" s="357">
        <v>45587</v>
      </c>
      <c r="E144" s="355" t="s">
        <v>52</v>
      </c>
      <c r="F144" s="355" t="s">
        <v>272</v>
      </c>
      <c r="G144" s="355">
        <v>6.7059</v>
      </c>
      <c r="H144" s="355">
        <v>796</v>
      </c>
      <c r="I144" s="358">
        <v>17295.8</v>
      </c>
      <c r="J144" s="369"/>
      <c r="K144" s="360"/>
      <c r="L144" s="361"/>
      <c r="M144" s="360"/>
      <c r="N144" s="355"/>
      <c r="O144" s="364">
        <f t="shared" si="29"/>
        <v>17295.8</v>
      </c>
      <c r="P144" s="375"/>
      <c r="Q144" s="375"/>
      <c r="R144" s="375"/>
      <c r="S144" s="375"/>
      <c r="T144" s="375"/>
      <c r="U144" s="367">
        <v>300</v>
      </c>
      <c r="V144" s="375"/>
      <c r="W144" s="375"/>
      <c r="X144" s="376"/>
      <c r="Y144" s="368">
        <v>299.37</v>
      </c>
      <c r="Z144" s="376"/>
      <c r="AA144" s="376"/>
      <c r="AB144" s="378"/>
      <c r="AC144" s="375"/>
      <c r="AD144" s="375"/>
      <c r="AE144" s="375"/>
    </row>
    <row r="145" s="264" customFormat="1" ht="12.75" spans="1:31">
      <c r="A145" s="354"/>
      <c r="B145" s="355"/>
      <c r="C145" s="356">
        <v>241016000053</v>
      </c>
      <c r="D145" s="357">
        <v>45587</v>
      </c>
      <c r="E145" s="355" t="s">
        <v>42</v>
      </c>
      <c r="F145" s="355" t="s">
        <v>43</v>
      </c>
      <c r="G145" s="355">
        <v>1.2066</v>
      </c>
      <c r="H145" s="355">
        <v>116</v>
      </c>
      <c r="I145" s="358">
        <v>2950.46</v>
      </c>
      <c r="J145" s="369"/>
      <c r="K145" s="360"/>
      <c r="L145" s="361"/>
      <c r="M145" s="360"/>
      <c r="N145" s="355"/>
      <c r="O145" s="364">
        <f t="shared" si="29"/>
        <v>2950.46</v>
      </c>
      <c r="P145" s="375"/>
      <c r="Q145" s="375"/>
      <c r="R145" s="375"/>
      <c r="S145" s="375"/>
      <c r="T145" s="375"/>
      <c r="U145" s="367">
        <v>300</v>
      </c>
      <c r="V145" s="375"/>
      <c r="W145" s="375"/>
      <c r="X145" s="376"/>
      <c r="Y145" s="373"/>
      <c r="Z145" s="376"/>
      <c r="AA145" s="376"/>
      <c r="AB145" s="378"/>
      <c r="AC145" s="375"/>
      <c r="AD145" s="375"/>
      <c r="AE145" s="375"/>
    </row>
    <row r="146" s="264" customFormat="1" ht="12.75" spans="1:31">
      <c r="A146" s="354"/>
      <c r="B146" s="355"/>
      <c r="C146" s="356">
        <v>241017000056</v>
      </c>
      <c r="D146" s="357">
        <v>45587</v>
      </c>
      <c r="E146" s="355" t="s">
        <v>42</v>
      </c>
      <c r="F146" s="355" t="s">
        <v>181</v>
      </c>
      <c r="G146" s="355">
        <v>8.013</v>
      </c>
      <c r="H146" s="355">
        <v>788</v>
      </c>
      <c r="I146" s="364"/>
      <c r="J146" s="370">
        <v>4131000</v>
      </c>
      <c r="K146" s="360"/>
      <c r="L146" s="361">
        <f t="shared" ref="L146:L151" si="30">SUM(J146/M146)</f>
        <v>1700</v>
      </c>
      <c r="M146" s="362">
        <v>2430</v>
      </c>
      <c r="N146" s="355">
        <v>7.26</v>
      </c>
      <c r="O146" s="364">
        <f t="shared" ref="O146:O151" si="31">SUM(M146*N146)</f>
        <v>17641.8</v>
      </c>
      <c r="P146" s="375"/>
      <c r="Q146" s="375"/>
      <c r="R146" s="375"/>
      <c r="S146" s="375"/>
      <c r="T146" s="375"/>
      <c r="U146" s="371"/>
      <c r="V146" s="379"/>
      <c r="W146" s="375"/>
      <c r="X146" s="376"/>
      <c r="Y146" s="377"/>
      <c r="Z146" s="376"/>
      <c r="AA146" s="376"/>
      <c r="AB146" s="378"/>
      <c r="AC146" s="375"/>
      <c r="AD146" s="375"/>
      <c r="AE146" s="375"/>
    </row>
    <row r="147" s="264" customFormat="1" ht="12.75" spans="1:31">
      <c r="A147" s="354"/>
      <c r="B147" s="355"/>
      <c r="C147" s="356">
        <v>241018000013</v>
      </c>
      <c r="D147" s="357">
        <v>45587</v>
      </c>
      <c r="E147" s="355" t="s">
        <v>49</v>
      </c>
      <c r="F147" s="355" t="s">
        <v>140</v>
      </c>
      <c r="G147" s="355">
        <v>0.0116</v>
      </c>
      <c r="H147" s="355">
        <v>31</v>
      </c>
      <c r="I147" s="358">
        <v>397.5</v>
      </c>
      <c r="J147" s="369"/>
      <c r="K147" s="360"/>
      <c r="L147" s="361"/>
      <c r="M147" s="360"/>
      <c r="N147" s="355"/>
      <c r="O147" s="364">
        <f t="shared" ref="O147:O150" si="32">SUBTOTAL(9,I147)</f>
        <v>397.5</v>
      </c>
      <c r="P147" s="375"/>
      <c r="Q147" s="375"/>
      <c r="R147" s="375"/>
      <c r="S147" s="375"/>
      <c r="T147" s="375"/>
      <c r="U147" s="375"/>
      <c r="V147" s="367">
        <v>62</v>
      </c>
      <c r="W147" s="375"/>
      <c r="X147" s="376"/>
      <c r="Y147" s="368">
        <v>13.24</v>
      </c>
      <c r="Z147" s="376"/>
      <c r="AA147" s="376"/>
      <c r="AB147" s="378"/>
      <c r="AC147" s="375"/>
      <c r="AD147" s="375"/>
      <c r="AE147" s="375"/>
    </row>
    <row r="148" s="264" customFormat="1" ht="12.75" spans="1:31">
      <c r="A148" s="354"/>
      <c r="B148" s="355"/>
      <c r="C148" s="356">
        <v>241018000027</v>
      </c>
      <c r="D148" s="357">
        <v>45587</v>
      </c>
      <c r="E148" s="355" t="s">
        <v>42</v>
      </c>
      <c r="F148" s="355" t="s">
        <v>131</v>
      </c>
      <c r="G148" s="355">
        <v>1.3662</v>
      </c>
      <c r="H148" s="355">
        <v>373</v>
      </c>
      <c r="I148" s="364"/>
      <c r="J148" s="370">
        <v>745280</v>
      </c>
      <c r="K148" s="360"/>
      <c r="L148" s="361">
        <f t="shared" si="30"/>
        <v>1700</v>
      </c>
      <c r="M148" s="362">
        <v>438.4</v>
      </c>
      <c r="N148" s="355">
        <v>7.29</v>
      </c>
      <c r="O148" s="364">
        <f t="shared" si="31"/>
        <v>3195.936</v>
      </c>
      <c r="P148" s="375"/>
      <c r="Q148" s="375"/>
      <c r="R148" s="375"/>
      <c r="S148" s="375"/>
      <c r="T148" s="375"/>
      <c r="U148" s="375"/>
      <c r="V148" s="371"/>
      <c r="W148" s="375"/>
      <c r="X148" s="376"/>
      <c r="Y148" s="368">
        <v>12.09</v>
      </c>
      <c r="Z148" s="376"/>
      <c r="AA148" s="376"/>
      <c r="AB148" s="378"/>
      <c r="AC148" s="375"/>
      <c r="AD148" s="375"/>
      <c r="AE148" s="375"/>
    </row>
    <row r="149" s="264" customFormat="1" ht="12.75" spans="1:31">
      <c r="A149" s="354"/>
      <c r="B149" s="355"/>
      <c r="C149" s="356">
        <v>241018000032</v>
      </c>
      <c r="D149" s="357">
        <v>45587</v>
      </c>
      <c r="E149" s="355" t="s">
        <v>49</v>
      </c>
      <c r="F149" s="355" t="s">
        <v>276</v>
      </c>
      <c r="G149" s="355">
        <v>0.2617</v>
      </c>
      <c r="H149" s="355">
        <v>43</v>
      </c>
      <c r="I149" s="358">
        <v>595.4</v>
      </c>
      <c r="J149" s="369"/>
      <c r="K149" s="360"/>
      <c r="L149" s="361"/>
      <c r="M149" s="360"/>
      <c r="N149" s="355"/>
      <c r="O149" s="364">
        <f t="shared" si="32"/>
        <v>595.4</v>
      </c>
      <c r="P149" s="375"/>
      <c r="Q149" s="375"/>
      <c r="R149" s="375"/>
      <c r="S149" s="375"/>
      <c r="T149" s="375"/>
      <c r="U149" s="375"/>
      <c r="V149" s="375"/>
      <c r="W149" s="375"/>
      <c r="X149" s="376"/>
      <c r="Y149" s="373"/>
      <c r="Z149" s="376"/>
      <c r="AA149" s="376"/>
      <c r="AB149" s="378"/>
      <c r="AC149" s="375"/>
      <c r="AD149" s="375"/>
      <c r="AE149" s="375"/>
    </row>
    <row r="150" s="264" customFormat="1" ht="12.75" spans="1:31">
      <c r="A150" s="354"/>
      <c r="B150" s="355"/>
      <c r="C150" s="356">
        <v>241018000040</v>
      </c>
      <c r="D150" s="357">
        <v>45587</v>
      </c>
      <c r="E150" s="355" t="s">
        <v>37</v>
      </c>
      <c r="F150" s="355" t="s">
        <v>152</v>
      </c>
      <c r="G150" s="355">
        <v>0.072</v>
      </c>
      <c r="H150" s="355">
        <v>11</v>
      </c>
      <c r="I150" s="358">
        <v>153.3</v>
      </c>
      <c r="J150" s="369"/>
      <c r="K150" s="360"/>
      <c r="L150" s="361"/>
      <c r="M150" s="360"/>
      <c r="N150" s="355"/>
      <c r="O150" s="364">
        <f t="shared" si="32"/>
        <v>153.3</v>
      </c>
      <c r="P150" s="375"/>
      <c r="Q150" s="375"/>
      <c r="R150" s="375"/>
      <c r="S150" s="375"/>
      <c r="T150" s="375"/>
      <c r="U150" s="375"/>
      <c r="V150" s="375"/>
      <c r="W150" s="375"/>
      <c r="X150" s="376"/>
      <c r="Y150" s="376"/>
      <c r="Z150" s="376"/>
      <c r="AA150" s="376"/>
      <c r="AB150" s="378"/>
      <c r="AC150" s="375"/>
      <c r="AD150" s="375"/>
      <c r="AE150" s="375"/>
    </row>
    <row r="151" s="264" customFormat="1" ht="12.75" spans="1:31">
      <c r="A151" s="354"/>
      <c r="B151" s="355"/>
      <c r="C151" s="356">
        <v>241019000014</v>
      </c>
      <c r="D151" s="357">
        <v>45587</v>
      </c>
      <c r="E151" s="355" t="s">
        <v>49</v>
      </c>
      <c r="F151" s="355" t="s">
        <v>249</v>
      </c>
      <c r="G151" s="355">
        <v>0.1797</v>
      </c>
      <c r="H151" s="355">
        <v>75</v>
      </c>
      <c r="I151" s="364"/>
      <c r="J151" s="370">
        <v>98978.4</v>
      </c>
      <c r="K151" s="360"/>
      <c r="L151" s="361">
        <f t="shared" si="30"/>
        <v>1867.16433367962</v>
      </c>
      <c r="M151" s="362">
        <v>53.01001</v>
      </c>
      <c r="N151" s="355">
        <v>7.27</v>
      </c>
      <c r="O151" s="364">
        <f t="shared" si="31"/>
        <v>385.3827727</v>
      </c>
      <c r="P151" s="375"/>
      <c r="Q151" s="375"/>
      <c r="R151" s="375"/>
      <c r="S151" s="375"/>
      <c r="T151" s="375"/>
      <c r="U151" s="375"/>
      <c r="V151" s="375"/>
      <c r="W151" s="375"/>
      <c r="X151" s="376"/>
      <c r="Y151" s="376"/>
      <c r="Z151" s="376"/>
      <c r="AA151" s="376"/>
      <c r="AB151" s="378"/>
      <c r="AC151" s="375"/>
      <c r="AD151" s="375"/>
      <c r="AE151" s="375"/>
    </row>
    <row r="152" s="264" customFormat="1" ht="12.75" spans="1:31">
      <c r="A152" s="354"/>
      <c r="B152" s="355"/>
      <c r="C152" s="356">
        <v>241021000038</v>
      </c>
      <c r="D152" s="357">
        <v>45587</v>
      </c>
      <c r="E152" s="355" t="s">
        <v>37</v>
      </c>
      <c r="F152" s="355" t="s">
        <v>166</v>
      </c>
      <c r="G152" s="355">
        <v>0.443</v>
      </c>
      <c r="H152" s="355">
        <v>70</v>
      </c>
      <c r="I152" s="358">
        <v>1201</v>
      </c>
      <c r="J152" s="369"/>
      <c r="K152" s="360"/>
      <c r="L152" s="361"/>
      <c r="M152" s="360"/>
      <c r="N152" s="355"/>
      <c r="O152" s="364">
        <f>SUBTOTAL(9,I152)</f>
        <v>1201</v>
      </c>
      <c r="P152" s="375"/>
      <c r="Q152" s="375"/>
      <c r="R152" s="375"/>
      <c r="S152" s="375"/>
      <c r="T152" s="375"/>
      <c r="U152" s="375"/>
      <c r="V152" s="375"/>
      <c r="W152" s="375"/>
      <c r="X152" s="376"/>
      <c r="Y152" s="376"/>
      <c r="Z152" s="376"/>
      <c r="AA152" s="376"/>
      <c r="AB152" s="378"/>
      <c r="AC152" s="375"/>
      <c r="AD152" s="375"/>
      <c r="AE152" s="375"/>
    </row>
    <row r="153" s="264" customFormat="1" ht="12.75" spans="1:31">
      <c r="A153" s="354"/>
      <c r="B153" s="355"/>
      <c r="C153" s="356">
        <v>241021000046</v>
      </c>
      <c r="D153" s="357">
        <v>45587</v>
      </c>
      <c r="E153" s="355" t="s">
        <v>49</v>
      </c>
      <c r="F153" s="355" t="s">
        <v>204</v>
      </c>
      <c r="G153" s="355">
        <v>2.7577</v>
      </c>
      <c r="H153" s="355">
        <v>1156</v>
      </c>
      <c r="I153" s="364"/>
      <c r="J153" s="370">
        <v>1342546</v>
      </c>
      <c r="K153" s="360"/>
      <c r="L153" s="361">
        <f t="shared" ref="L153:L159" si="33">SUM(J153/M153)</f>
        <v>1678.60204559877</v>
      </c>
      <c r="M153" s="362">
        <v>799.80005</v>
      </c>
      <c r="N153" s="355">
        <v>7.27</v>
      </c>
      <c r="O153" s="364">
        <f t="shared" ref="O153:O159" si="34">SUM(M153*N153)</f>
        <v>5814.5463635</v>
      </c>
      <c r="P153" s="375"/>
      <c r="Q153" s="375"/>
      <c r="R153" s="375"/>
      <c r="S153" s="375"/>
      <c r="T153" s="375"/>
      <c r="U153" s="375"/>
      <c r="V153" s="375"/>
      <c r="W153" s="375"/>
      <c r="X153" s="376"/>
      <c r="Y153" s="376"/>
      <c r="Z153" s="376"/>
      <c r="AA153" s="376"/>
      <c r="AB153" s="378"/>
      <c r="AC153" s="375"/>
      <c r="AD153" s="375"/>
      <c r="AE153" s="375"/>
    </row>
    <row r="154" s="264" customFormat="1" ht="12.75" spans="1:31">
      <c r="A154" s="354"/>
      <c r="B154" s="355"/>
      <c r="C154" s="356">
        <v>241021000062</v>
      </c>
      <c r="D154" s="357">
        <v>45587</v>
      </c>
      <c r="E154" s="355" t="s">
        <v>42</v>
      </c>
      <c r="F154" s="355" t="s">
        <v>43</v>
      </c>
      <c r="G154" s="355">
        <v>0.2357</v>
      </c>
      <c r="H154" s="355">
        <v>19</v>
      </c>
      <c r="I154" s="358">
        <v>489.22</v>
      </c>
      <c r="J154" s="369"/>
      <c r="K154" s="360"/>
      <c r="L154" s="361"/>
      <c r="M154" s="360"/>
      <c r="N154" s="355"/>
      <c r="O154" s="364">
        <f>SUBTOTAL(9,I154)</f>
        <v>489.22</v>
      </c>
      <c r="P154" s="375"/>
      <c r="Q154" s="375"/>
      <c r="R154" s="375"/>
      <c r="S154" s="375"/>
      <c r="T154" s="375"/>
      <c r="U154" s="375"/>
      <c r="V154" s="375"/>
      <c r="W154" s="375"/>
      <c r="X154" s="376"/>
      <c r="Y154" s="376"/>
      <c r="Z154" s="376"/>
      <c r="AA154" s="376"/>
      <c r="AB154" s="378"/>
      <c r="AC154" s="375"/>
      <c r="AD154" s="375"/>
      <c r="AE154" s="375"/>
    </row>
    <row r="155" s="264" customFormat="1" ht="12.75" spans="1:31">
      <c r="A155" s="354"/>
      <c r="B155" s="355"/>
      <c r="C155" s="356">
        <v>241022000014</v>
      </c>
      <c r="D155" s="357">
        <v>45587</v>
      </c>
      <c r="E155" s="355" t="s">
        <v>44</v>
      </c>
      <c r="F155" s="355" t="s">
        <v>112</v>
      </c>
      <c r="G155" s="355">
        <v>0.168</v>
      </c>
      <c r="H155" s="355">
        <v>64</v>
      </c>
      <c r="I155" s="364"/>
      <c r="J155" s="370">
        <v>67947.46</v>
      </c>
      <c r="K155" s="360"/>
      <c r="L155" s="361">
        <f t="shared" si="33"/>
        <v>1631</v>
      </c>
      <c r="M155" s="362">
        <v>41.66</v>
      </c>
      <c r="N155" s="355">
        <v>7.35</v>
      </c>
      <c r="O155" s="364">
        <f t="shared" si="34"/>
        <v>306.201</v>
      </c>
      <c r="P155" s="375"/>
      <c r="Q155" s="375"/>
      <c r="R155" s="375"/>
      <c r="S155" s="375"/>
      <c r="T155" s="375"/>
      <c r="U155" s="375"/>
      <c r="V155" s="375"/>
      <c r="W155" s="375"/>
      <c r="X155" s="376"/>
      <c r="Y155" s="376"/>
      <c r="Z155" s="376"/>
      <c r="AA155" s="376"/>
      <c r="AB155" s="378"/>
      <c r="AC155" s="375"/>
      <c r="AD155" s="375"/>
      <c r="AE155" s="375"/>
    </row>
    <row r="156" s="264" customFormat="1" ht="12.75" spans="1:31">
      <c r="A156" s="354"/>
      <c r="B156" s="355"/>
      <c r="C156" s="356">
        <v>241022000015</v>
      </c>
      <c r="D156" s="357">
        <v>45587</v>
      </c>
      <c r="E156" s="355" t="s">
        <v>44</v>
      </c>
      <c r="F156" s="355" t="s">
        <v>112</v>
      </c>
      <c r="G156" s="355">
        <v>0.145</v>
      </c>
      <c r="H156" s="355">
        <v>27</v>
      </c>
      <c r="I156" s="364"/>
      <c r="J156" s="370">
        <v>58650.76</v>
      </c>
      <c r="K156" s="360"/>
      <c r="L156" s="361">
        <f t="shared" si="33"/>
        <v>1631</v>
      </c>
      <c r="M156" s="362">
        <v>35.96</v>
      </c>
      <c r="N156" s="355">
        <v>7.35</v>
      </c>
      <c r="O156" s="364">
        <f t="shared" si="34"/>
        <v>264.306</v>
      </c>
      <c r="P156" s="375"/>
      <c r="Q156" s="375"/>
      <c r="R156" s="375"/>
      <c r="S156" s="375"/>
      <c r="T156" s="375"/>
      <c r="U156" s="375"/>
      <c r="V156" s="375"/>
      <c r="W156" s="375"/>
      <c r="X156" s="376"/>
      <c r="Y156" s="376"/>
      <c r="Z156" s="376"/>
      <c r="AA156" s="376"/>
      <c r="AB156" s="378"/>
      <c r="AC156" s="375"/>
      <c r="AD156" s="375"/>
      <c r="AE156" s="375"/>
    </row>
    <row r="157" s="264" customFormat="1" ht="12.75" spans="1:31">
      <c r="A157" s="354"/>
      <c r="B157" s="355"/>
      <c r="C157" s="356">
        <v>241022000016</v>
      </c>
      <c r="D157" s="357">
        <v>45587</v>
      </c>
      <c r="E157" s="355" t="s">
        <v>44</v>
      </c>
      <c r="F157" s="355" t="s">
        <v>112</v>
      </c>
      <c r="G157" s="355">
        <v>0.3529</v>
      </c>
      <c r="H157" s="355">
        <v>36</v>
      </c>
      <c r="I157" s="364"/>
      <c r="J157" s="370">
        <v>142761.43</v>
      </c>
      <c r="K157" s="360"/>
      <c r="L157" s="361">
        <f t="shared" si="33"/>
        <v>1631</v>
      </c>
      <c r="M157" s="362">
        <v>87.53</v>
      </c>
      <c r="N157" s="355">
        <v>7.35</v>
      </c>
      <c r="O157" s="364">
        <f t="shared" si="34"/>
        <v>643.3455</v>
      </c>
      <c r="P157" s="375"/>
      <c r="Q157" s="375"/>
      <c r="R157" s="375"/>
      <c r="S157" s="375"/>
      <c r="T157" s="375"/>
      <c r="U157" s="375"/>
      <c r="V157" s="375"/>
      <c r="W157" s="375"/>
      <c r="X157" s="376"/>
      <c r="Y157" s="376"/>
      <c r="Z157" s="376"/>
      <c r="AA157" s="376"/>
      <c r="AB157" s="378"/>
      <c r="AC157" s="375"/>
      <c r="AD157" s="375"/>
      <c r="AE157" s="375"/>
    </row>
    <row r="158" s="264" customFormat="1" ht="12.75" spans="1:31">
      <c r="A158" s="354"/>
      <c r="B158" s="355"/>
      <c r="C158" s="356">
        <v>241017000051</v>
      </c>
      <c r="D158" s="357">
        <v>45593</v>
      </c>
      <c r="E158" s="355" t="s">
        <v>42</v>
      </c>
      <c r="F158" s="355" t="s">
        <v>181</v>
      </c>
      <c r="G158" s="355">
        <v>3.59</v>
      </c>
      <c r="H158" s="355">
        <v>279</v>
      </c>
      <c r="I158" s="364"/>
      <c r="J158" s="370">
        <v>2138600</v>
      </c>
      <c r="K158" s="360"/>
      <c r="L158" s="361">
        <f t="shared" si="33"/>
        <v>1700</v>
      </c>
      <c r="M158" s="362">
        <v>1258</v>
      </c>
      <c r="N158" s="355">
        <v>7.26</v>
      </c>
      <c r="O158" s="364">
        <f t="shared" si="34"/>
        <v>9133.08</v>
      </c>
      <c r="P158" s="375"/>
      <c r="Q158" s="375"/>
      <c r="R158" s="375"/>
      <c r="S158" s="375"/>
      <c r="T158" s="375"/>
      <c r="U158" s="375"/>
      <c r="V158" s="375"/>
      <c r="W158" s="375"/>
      <c r="X158" s="376"/>
      <c r="Y158" s="376"/>
      <c r="Z158" s="376"/>
      <c r="AA158" s="376"/>
      <c r="AB158" s="378"/>
      <c r="AC158" s="375"/>
      <c r="AD158" s="375"/>
      <c r="AE158" s="375"/>
    </row>
    <row r="159" s="264" customFormat="1" ht="12.75" spans="1:31">
      <c r="A159" s="354"/>
      <c r="B159" s="355"/>
      <c r="C159" s="356">
        <v>241019000010</v>
      </c>
      <c r="D159" s="357">
        <v>45593</v>
      </c>
      <c r="E159" s="355" t="s">
        <v>49</v>
      </c>
      <c r="F159" s="355" t="s">
        <v>249</v>
      </c>
      <c r="G159" s="355">
        <v>0.5263</v>
      </c>
      <c r="H159" s="355">
        <v>165</v>
      </c>
      <c r="I159" s="364"/>
      <c r="J159" s="370">
        <v>257287</v>
      </c>
      <c r="K159" s="360"/>
      <c r="L159" s="361">
        <f t="shared" si="33"/>
        <v>1652.87806758319</v>
      </c>
      <c r="M159" s="362">
        <v>155.66</v>
      </c>
      <c r="N159" s="355">
        <v>7.29</v>
      </c>
      <c r="O159" s="364">
        <f t="shared" si="34"/>
        <v>1134.7614</v>
      </c>
      <c r="P159" s="375"/>
      <c r="Q159" s="375"/>
      <c r="R159" s="375"/>
      <c r="S159" s="375"/>
      <c r="T159" s="375"/>
      <c r="U159" s="375"/>
      <c r="V159" s="375"/>
      <c r="W159" s="375"/>
      <c r="X159" s="376"/>
      <c r="Y159" s="376"/>
      <c r="Z159" s="376"/>
      <c r="AA159" s="376"/>
      <c r="AB159" s="378"/>
      <c r="AC159" s="375"/>
      <c r="AD159" s="375"/>
      <c r="AE159" s="375"/>
    </row>
    <row r="160" s="264" customFormat="1" ht="12.75" spans="1:31">
      <c r="A160" s="354"/>
      <c r="B160" s="355"/>
      <c r="C160" s="356">
        <v>241014000059</v>
      </c>
      <c r="D160" s="357">
        <v>45593</v>
      </c>
      <c r="E160" s="355" t="s">
        <v>49</v>
      </c>
      <c r="F160" s="355" t="s">
        <v>86</v>
      </c>
      <c r="G160" s="355">
        <v>2.7811</v>
      </c>
      <c r="H160" s="355">
        <v>410</v>
      </c>
      <c r="I160" s="358">
        <v>6035</v>
      </c>
      <c r="J160" s="369"/>
      <c r="K160" s="360"/>
      <c r="L160" s="361"/>
      <c r="M160" s="360"/>
      <c r="N160" s="355"/>
      <c r="O160" s="364">
        <f t="shared" ref="O160:O165" si="35">SUBTOTAL(9,I160)</f>
        <v>6035</v>
      </c>
      <c r="P160" s="375"/>
      <c r="Q160" s="375"/>
      <c r="R160" s="375"/>
      <c r="S160" s="375"/>
      <c r="T160" s="375"/>
      <c r="U160" s="375"/>
      <c r="V160" s="375"/>
      <c r="W160" s="375"/>
      <c r="X160" s="376"/>
      <c r="Y160" s="376"/>
      <c r="Z160" s="376"/>
      <c r="AA160" s="376"/>
      <c r="AB160" s="378"/>
      <c r="AC160" s="375"/>
      <c r="AD160" s="375"/>
      <c r="AE160" s="375"/>
    </row>
    <row r="161" s="264" customFormat="1" ht="12.75" spans="1:31">
      <c r="A161" s="354"/>
      <c r="B161" s="355"/>
      <c r="C161" s="356">
        <v>241022000017</v>
      </c>
      <c r="D161" s="357">
        <v>45587</v>
      </c>
      <c r="E161" s="355" t="s">
        <v>44</v>
      </c>
      <c r="F161" s="355" t="s">
        <v>112</v>
      </c>
      <c r="G161" s="355">
        <v>0.053</v>
      </c>
      <c r="H161" s="355">
        <v>9</v>
      </c>
      <c r="I161" s="364"/>
      <c r="J161" s="370">
        <v>21447.65</v>
      </c>
      <c r="K161" s="360"/>
      <c r="L161" s="361">
        <f>SUM(J161/M161)</f>
        <v>1631</v>
      </c>
      <c r="M161" s="362">
        <v>13.15</v>
      </c>
      <c r="N161" s="355">
        <v>7.35</v>
      </c>
      <c r="O161" s="364">
        <f>SUM(M161*N161)</f>
        <v>96.6525</v>
      </c>
      <c r="P161" s="379"/>
      <c r="Q161" s="379"/>
      <c r="R161" s="379"/>
      <c r="S161" s="379"/>
      <c r="T161" s="379"/>
      <c r="U161" s="379"/>
      <c r="V161" s="379"/>
      <c r="W161" s="379"/>
      <c r="X161" s="377"/>
      <c r="Y161" s="377"/>
      <c r="Z161" s="377"/>
      <c r="AA161" s="377"/>
      <c r="AB161" s="380"/>
      <c r="AC161" s="379"/>
      <c r="AD161" s="379"/>
      <c r="AE161" s="379"/>
    </row>
    <row r="162" s="264" customFormat="1" ht="12.75" spans="1:31">
      <c r="A162" s="354" t="s">
        <v>286</v>
      </c>
      <c r="B162" s="355" t="s">
        <v>287</v>
      </c>
      <c r="C162" s="356">
        <v>241009000018</v>
      </c>
      <c r="D162" s="357">
        <v>45593</v>
      </c>
      <c r="E162" s="355" t="s">
        <v>49</v>
      </c>
      <c r="F162" s="355" t="s">
        <v>277</v>
      </c>
      <c r="G162" s="355">
        <v>5.4554</v>
      </c>
      <c r="H162" s="355">
        <v>1522</v>
      </c>
      <c r="I162" s="358">
        <v>13408.72</v>
      </c>
      <c r="J162" s="369"/>
      <c r="K162" s="360"/>
      <c r="L162" s="361"/>
      <c r="M162" s="360"/>
      <c r="N162" s="355"/>
      <c r="O162" s="364">
        <f t="shared" si="35"/>
        <v>13408.72</v>
      </c>
      <c r="P162" s="371">
        <f>SUM(O162:O181)</f>
        <v>150424.7374</v>
      </c>
      <c r="Q162" s="372" t="s">
        <v>288</v>
      </c>
      <c r="R162" s="371">
        <v>47586</v>
      </c>
      <c r="S162" s="371"/>
      <c r="T162" s="371">
        <v>1900</v>
      </c>
      <c r="U162" s="371"/>
      <c r="V162" s="371"/>
      <c r="W162" s="371">
        <f>SUM(R162:V181)</f>
        <v>49582</v>
      </c>
      <c r="X162" s="373">
        <v>11133.9</v>
      </c>
      <c r="Y162" s="368">
        <v>59.22</v>
      </c>
      <c r="Z162" s="373"/>
      <c r="AA162" s="373">
        <f>SUM(X162:Z181)</f>
        <v>11450.45</v>
      </c>
      <c r="AB162" s="374">
        <v>7.3</v>
      </c>
      <c r="AC162" s="371">
        <f>SUM(AA162*AB162)</f>
        <v>83588.285</v>
      </c>
      <c r="AD162" s="371">
        <f>SUM(W162+AC162)</f>
        <v>133170.285</v>
      </c>
      <c r="AE162" s="371">
        <f>SUM(P162-AD162)</f>
        <v>17254.4524</v>
      </c>
    </row>
    <row r="163" s="264" customFormat="1" ht="12.75" spans="1:31">
      <c r="A163" s="354"/>
      <c r="B163" s="355"/>
      <c r="C163" s="356">
        <v>241014000044</v>
      </c>
      <c r="D163" s="357">
        <v>45593</v>
      </c>
      <c r="E163" s="355" t="s">
        <v>49</v>
      </c>
      <c r="F163" s="355" t="s">
        <v>117</v>
      </c>
      <c r="G163" s="355">
        <v>0.6091</v>
      </c>
      <c r="H163" s="355">
        <v>363</v>
      </c>
      <c r="I163" s="358">
        <v>1326.75</v>
      </c>
      <c r="J163" s="369"/>
      <c r="K163" s="360"/>
      <c r="L163" s="361"/>
      <c r="M163" s="360"/>
      <c r="N163" s="355"/>
      <c r="O163" s="364">
        <f t="shared" si="35"/>
        <v>1326.75</v>
      </c>
      <c r="P163" s="375"/>
      <c r="Q163" s="375"/>
      <c r="R163" s="375"/>
      <c r="S163" s="375"/>
      <c r="T163" s="375"/>
      <c r="U163" s="375"/>
      <c r="V163" s="375"/>
      <c r="W163" s="375"/>
      <c r="X163" s="376"/>
      <c r="Y163" s="368"/>
      <c r="Z163" s="376"/>
      <c r="AA163" s="376"/>
      <c r="AB163" s="378"/>
      <c r="AC163" s="375"/>
      <c r="AD163" s="375"/>
      <c r="AE163" s="375"/>
    </row>
    <row r="164" s="264" customFormat="1" ht="12.75" spans="1:31">
      <c r="A164" s="354"/>
      <c r="B164" s="355"/>
      <c r="C164" s="356">
        <v>241014000059</v>
      </c>
      <c r="D164" s="357">
        <v>45593</v>
      </c>
      <c r="E164" s="355" t="s">
        <v>49</v>
      </c>
      <c r="F164" s="355" t="s">
        <v>86</v>
      </c>
      <c r="G164" s="355">
        <v>6.7537</v>
      </c>
      <c r="H164" s="355">
        <v>2221</v>
      </c>
      <c r="I164" s="358">
        <v>14651</v>
      </c>
      <c r="J164" s="369"/>
      <c r="K164" s="360"/>
      <c r="L164" s="361"/>
      <c r="M164" s="360"/>
      <c r="N164" s="355"/>
      <c r="O164" s="364">
        <f t="shared" si="35"/>
        <v>14651</v>
      </c>
      <c r="P164" s="375"/>
      <c r="Q164" s="375"/>
      <c r="R164" s="375"/>
      <c r="S164" s="375"/>
      <c r="T164" s="375"/>
      <c r="U164" s="375"/>
      <c r="V164" s="375"/>
      <c r="W164" s="375"/>
      <c r="X164" s="376"/>
      <c r="Y164" s="368"/>
      <c r="Z164" s="376"/>
      <c r="AA164" s="376"/>
      <c r="AB164" s="378"/>
      <c r="AC164" s="375"/>
      <c r="AD164" s="375"/>
      <c r="AE164" s="375"/>
    </row>
    <row r="165" s="264" customFormat="1" ht="12.75" spans="1:31">
      <c r="A165" s="354"/>
      <c r="B165" s="355"/>
      <c r="C165" s="356">
        <v>241016000027</v>
      </c>
      <c r="D165" s="357">
        <v>45593</v>
      </c>
      <c r="E165" s="355" t="s">
        <v>49</v>
      </c>
      <c r="F165" s="355" t="s">
        <v>277</v>
      </c>
      <c r="G165" s="355">
        <v>1.4941</v>
      </c>
      <c r="H165" s="355">
        <v>1016</v>
      </c>
      <c r="I165" s="358">
        <v>3860.6</v>
      </c>
      <c r="J165" s="369"/>
      <c r="K165" s="360"/>
      <c r="L165" s="361"/>
      <c r="M165" s="360"/>
      <c r="N165" s="355"/>
      <c r="O165" s="364">
        <f t="shared" si="35"/>
        <v>3860.6</v>
      </c>
      <c r="P165" s="375"/>
      <c r="Q165" s="375"/>
      <c r="R165" s="375"/>
      <c r="S165" s="375"/>
      <c r="T165" s="375"/>
      <c r="U165" s="375"/>
      <c r="V165" s="375"/>
      <c r="W165" s="375"/>
      <c r="X165" s="376"/>
      <c r="Y165" s="368">
        <v>16.25</v>
      </c>
      <c r="Z165" s="376"/>
      <c r="AA165" s="376"/>
      <c r="AB165" s="378"/>
      <c r="AC165" s="375"/>
      <c r="AD165" s="375"/>
      <c r="AE165" s="375"/>
    </row>
    <row r="166" s="264" customFormat="1" ht="12.75" spans="1:31">
      <c r="A166" s="354"/>
      <c r="B166" s="355"/>
      <c r="C166" s="356">
        <v>241016000054</v>
      </c>
      <c r="D166" s="357">
        <v>45593</v>
      </c>
      <c r="E166" s="355" t="s">
        <v>189</v>
      </c>
      <c r="F166" s="355" t="s">
        <v>265</v>
      </c>
      <c r="G166" s="355">
        <v>1.8336</v>
      </c>
      <c r="H166" s="355">
        <v>260</v>
      </c>
      <c r="I166" s="364"/>
      <c r="J166" s="369"/>
      <c r="K166" s="360"/>
      <c r="L166" s="361">
        <f t="shared" ref="L166:L169" si="36">SUM(J166/M166)</f>
        <v>0</v>
      </c>
      <c r="M166" s="360">
        <v>550.08</v>
      </c>
      <c r="N166" s="355">
        <v>7.11</v>
      </c>
      <c r="O166" s="364">
        <f t="shared" ref="O166:O169" si="37">SUM(M166*N166)</f>
        <v>3911.0688</v>
      </c>
      <c r="P166" s="375"/>
      <c r="Q166" s="375"/>
      <c r="R166" s="375"/>
      <c r="S166" s="375"/>
      <c r="T166" s="375"/>
      <c r="U166" s="375"/>
      <c r="V166" s="375"/>
      <c r="W166" s="375"/>
      <c r="X166" s="376"/>
      <c r="Y166" s="368"/>
      <c r="Z166" s="376"/>
      <c r="AA166" s="376"/>
      <c r="AB166" s="378"/>
      <c r="AC166" s="375"/>
      <c r="AD166" s="375"/>
      <c r="AE166" s="375"/>
    </row>
    <row r="167" s="264" customFormat="1" ht="12.75" spans="1:31">
      <c r="A167" s="354"/>
      <c r="B167" s="355"/>
      <c r="C167" s="356">
        <v>241017000021</v>
      </c>
      <c r="D167" s="357">
        <v>45593</v>
      </c>
      <c r="E167" s="355" t="s">
        <v>52</v>
      </c>
      <c r="F167" s="355" t="s">
        <v>246</v>
      </c>
      <c r="G167" s="355">
        <v>4.4844</v>
      </c>
      <c r="H167" s="355">
        <v>764</v>
      </c>
      <c r="I167" s="358">
        <v>10328.9</v>
      </c>
      <c r="J167" s="369"/>
      <c r="K167" s="360"/>
      <c r="L167" s="361"/>
      <c r="M167" s="360"/>
      <c r="N167" s="355"/>
      <c r="O167" s="364">
        <f>SUM(I167)</f>
        <v>10328.9</v>
      </c>
      <c r="P167" s="375"/>
      <c r="Q167" s="375"/>
      <c r="R167" s="375"/>
      <c r="S167" s="375"/>
      <c r="T167" s="375"/>
      <c r="U167" s="375"/>
      <c r="V167" s="375"/>
      <c r="W167" s="375"/>
      <c r="X167" s="376"/>
      <c r="Y167" s="368">
        <v>109.73</v>
      </c>
      <c r="Z167" s="376"/>
      <c r="AA167" s="376"/>
      <c r="AB167" s="378"/>
      <c r="AC167" s="375"/>
      <c r="AD167" s="375"/>
      <c r="AE167" s="375"/>
    </row>
    <row r="168" s="264" customFormat="1" ht="12.75" spans="1:31">
      <c r="A168" s="354"/>
      <c r="B168" s="355"/>
      <c r="C168" s="356">
        <v>241017000051</v>
      </c>
      <c r="D168" s="357">
        <v>45593</v>
      </c>
      <c r="E168" s="355" t="s">
        <v>42</v>
      </c>
      <c r="F168" s="355" t="s">
        <v>181</v>
      </c>
      <c r="G168" s="355">
        <v>3.273</v>
      </c>
      <c r="H168" s="355">
        <v>2588</v>
      </c>
      <c r="I168" s="364"/>
      <c r="J168" s="370">
        <v>1949050</v>
      </c>
      <c r="K168" s="360"/>
      <c r="L168" s="361">
        <f t="shared" si="36"/>
        <v>1700</v>
      </c>
      <c r="M168" s="362">
        <v>1146.5</v>
      </c>
      <c r="N168" s="355">
        <v>7.26</v>
      </c>
      <c r="O168" s="364">
        <f t="shared" si="37"/>
        <v>8323.59</v>
      </c>
      <c r="P168" s="375"/>
      <c r="Q168" s="375"/>
      <c r="R168" s="375"/>
      <c r="S168" s="375"/>
      <c r="T168" s="375"/>
      <c r="U168" s="375"/>
      <c r="V168" s="375"/>
      <c r="W168" s="375"/>
      <c r="X168" s="376"/>
      <c r="Y168" s="368"/>
      <c r="Z168" s="376"/>
      <c r="AA168" s="376"/>
      <c r="AB168" s="378"/>
      <c r="AC168" s="375"/>
      <c r="AD168" s="375"/>
      <c r="AE168" s="375"/>
    </row>
    <row r="169" s="264" customFormat="1" ht="12.75" spans="1:31">
      <c r="A169" s="354"/>
      <c r="B169" s="355"/>
      <c r="C169" s="356">
        <v>241019000010</v>
      </c>
      <c r="D169" s="357">
        <v>45593</v>
      </c>
      <c r="E169" s="355" t="s">
        <v>49</v>
      </c>
      <c r="F169" s="355" t="s">
        <v>249</v>
      </c>
      <c r="G169" s="355">
        <v>1.4386</v>
      </c>
      <c r="H169" s="355">
        <v>615</v>
      </c>
      <c r="I169" s="364"/>
      <c r="J169" s="370">
        <v>703277</v>
      </c>
      <c r="K169" s="360"/>
      <c r="L169" s="361">
        <f t="shared" si="36"/>
        <v>1652.86375708007</v>
      </c>
      <c r="M169" s="362">
        <v>425.49</v>
      </c>
      <c r="N169" s="355">
        <v>7.29</v>
      </c>
      <c r="O169" s="364">
        <f t="shared" si="37"/>
        <v>3101.8221</v>
      </c>
      <c r="P169" s="375"/>
      <c r="Q169" s="375"/>
      <c r="R169" s="375"/>
      <c r="S169" s="375"/>
      <c r="T169" s="375"/>
      <c r="U169" s="375"/>
      <c r="V169" s="375"/>
      <c r="W169" s="375"/>
      <c r="X169" s="376"/>
      <c r="Y169" s="368"/>
      <c r="Z169" s="376"/>
      <c r="AA169" s="376"/>
      <c r="AB169" s="378"/>
      <c r="AC169" s="375"/>
      <c r="AD169" s="375"/>
      <c r="AE169" s="375"/>
    </row>
    <row r="170" s="264" customFormat="1" ht="12.75" spans="1:31">
      <c r="A170" s="354"/>
      <c r="B170" s="355"/>
      <c r="C170" s="356">
        <v>241021000039</v>
      </c>
      <c r="D170" s="357">
        <v>45593</v>
      </c>
      <c r="E170" s="355" t="s">
        <v>49</v>
      </c>
      <c r="F170" s="355" t="s">
        <v>289</v>
      </c>
      <c r="G170" s="355">
        <v>0.075</v>
      </c>
      <c r="H170" s="355">
        <v>11</v>
      </c>
      <c r="I170" s="358">
        <v>220.5</v>
      </c>
      <c r="J170" s="369"/>
      <c r="K170" s="360"/>
      <c r="L170" s="361"/>
      <c r="M170" s="360"/>
      <c r="N170" s="355"/>
      <c r="O170" s="364">
        <f t="shared" ref="O170:O178" si="38">SUBTOTAL(9,I170)</f>
        <v>220.5</v>
      </c>
      <c r="P170" s="375"/>
      <c r="Q170" s="375"/>
      <c r="R170" s="375"/>
      <c r="S170" s="375"/>
      <c r="T170" s="375"/>
      <c r="U170" s="379"/>
      <c r="V170" s="375"/>
      <c r="W170" s="375"/>
      <c r="X170" s="376"/>
      <c r="Y170" s="368"/>
      <c r="Z170" s="376"/>
      <c r="AA170" s="376"/>
      <c r="AB170" s="378"/>
      <c r="AC170" s="375"/>
      <c r="AD170" s="375"/>
      <c r="AE170" s="375"/>
    </row>
    <row r="171" s="264" customFormat="1" ht="12.75" spans="1:31">
      <c r="A171" s="354"/>
      <c r="B171" s="355"/>
      <c r="C171" s="356">
        <v>241021000069</v>
      </c>
      <c r="D171" s="357">
        <v>45593</v>
      </c>
      <c r="E171" s="355" t="s">
        <v>40</v>
      </c>
      <c r="F171" s="355" t="s">
        <v>41</v>
      </c>
      <c r="G171" s="355">
        <v>0.9189</v>
      </c>
      <c r="H171" s="355">
        <v>373</v>
      </c>
      <c r="I171" s="358">
        <v>2175.03</v>
      </c>
      <c r="J171" s="369"/>
      <c r="K171" s="360"/>
      <c r="L171" s="361"/>
      <c r="M171" s="360"/>
      <c r="N171" s="355"/>
      <c r="O171" s="364">
        <f t="shared" si="38"/>
        <v>2175.03</v>
      </c>
      <c r="P171" s="375"/>
      <c r="Q171" s="375"/>
      <c r="R171" s="375"/>
      <c r="S171" s="375"/>
      <c r="T171" s="375"/>
      <c r="U171" s="367">
        <v>96</v>
      </c>
      <c r="V171" s="375"/>
      <c r="W171" s="375"/>
      <c r="X171" s="376"/>
      <c r="Y171" s="368"/>
      <c r="Z171" s="376"/>
      <c r="AA171" s="376"/>
      <c r="AB171" s="378"/>
      <c r="AC171" s="375"/>
      <c r="AD171" s="375"/>
      <c r="AE171" s="375"/>
    </row>
    <row r="172" s="264" customFormat="1" ht="12.75" spans="1:31">
      <c r="A172" s="354"/>
      <c r="B172" s="355"/>
      <c r="C172" s="356">
        <v>241023000007</v>
      </c>
      <c r="D172" s="357">
        <v>45593</v>
      </c>
      <c r="E172" s="355" t="s">
        <v>42</v>
      </c>
      <c r="F172" s="355" t="s">
        <v>67</v>
      </c>
      <c r="G172" s="355">
        <v>0.0575</v>
      </c>
      <c r="H172" s="355">
        <v>26</v>
      </c>
      <c r="I172" s="364"/>
      <c r="J172" s="370">
        <v>54219</v>
      </c>
      <c r="K172" s="360"/>
      <c r="L172" s="361">
        <f>SUM(J172/M172)</f>
        <v>1643</v>
      </c>
      <c r="M172" s="362">
        <v>33</v>
      </c>
      <c r="N172" s="355">
        <v>7.29</v>
      </c>
      <c r="O172" s="364">
        <f>SUM(M172*N172)</f>
        <v>240.57</v>
      </c>
      <c r="P172" s="375"/>
      <c r="Q172" s="375"/>
      <c r="R172" s="375"/>
      <c r="S172" s="375"/>
      <c r="T172" s="375"/>
      <c r="U172" s="371"/>
      <c r="V172" s="375"/>
      <c r="W172" s="375"/>
      <c r="X172" s="376"/>
      <c r="Y172" s="368"/>
      <c r="Z172" s="376"/>
      <c r="AA172" s="376"/>
      <c r="AB172" s="378"/>
      <c r="AC172" s="375"/>
      <c r="AD172" s="375"/>
      <c r="AE172" s="375"/>
    </row>
    <row r="173" s="264" customFormat="1" ht="12.75" spans="1:31">
      <c r="A173" s="354"/>
      <c r="B173" s="355"/>
      <c r="C173" s="356">
        <v>241023000026</v>
      </c>
      <c r="D173" s="357">
        <v>45593</v>
      </c>
      <c r="E173" s="355" t="s">
        <v>49</v>
      </c>
      <c r="F173" s="355" t="s">
        <v>204</v>
      </c>
      <c r="G173" s="355">
        <v>2.1367</v>
      </c>
      <c r="H173" s="355">
        <v>934</v>
      </c>
      <c r="I173" s="364"/>
      <c r="J173" s="370">
        <v>1025772</v>
      </c>
      <c r="K173" s="360"/>
      <c r="L173" s="361">
        <f>SUM(J173/M173)</f>
        <v>1652.87141475991</v>
      </c>
      <c r="M173" s="362">
        <v>620.6</v>
      </c>
      <c r="N173" s="355">
        <v>7.29</v>
      </c>
      <c r="O173" s="364">
        <f>SUM(M173*N173)</f>
        <v>4524.174</v>
      </c>
      <c r="P173" s="375"/>
      <c r="Q173" s="375"/>
      <c r="R173" s="375"/>
      <c r="S173" s="375"/>
      <c r="T173" s="375"/>
      <c r="U173" s="375"/>
      <c r="V173" s="375"/>
      <c r="W173" s="375"/>
      <c r="X173" s="376"/>
      <c r="Y173" s="368"/>
      <c r="Z173" s="376"/>
      <c r="AA173" s="376"/>
      <c r="AB173" s="378"/>
      <c r="AC173" s="375"/>
      <c r="AD173" s="375"/>
      <c r="AE173" s="375"/>
    </row>
    <row r="174" s="264" customFormat="1" ht="12.75" spans="1:31">
      <c r="A174" s="354"/>
      <c r="B174" s="355"/>
      <c r="C174" s="356">
        <v>241023000028</v>
      </c>
      <c r="D174" s="357">
        <v>45593</v>
      </c>
      <c r="E174" s="355" t="s">
        <v>190</v>
      </c>
      <c r="F174" s="355" t="s">
        <v>191</v>
      </c>
      <c r="G174" s="355">
        <v>1.7499</v>
      </c>
      <c r="H174" s="355">
        <v>398</v>
      </c>
      <c r="I174" s="358">
        <v>3525.68</v>
      </c>
      <c r="J174" s="369"/>
      <c r="K174" s="360"/>
      <c r="L174" s="361"/>
      <c r="M174" s="360"/>
      <c r="N174" s="355"/>
      <c r="O174" s="364">
        <f t="shared" si="38"/>
        <v>3525.68</v>
      </c>
      <c r="P174" s="375"/>
      <c r="Q174" s="375"/>
      <c r="R174" s="375"/>
      <c r="S174" s="375"/>
      <c r="T174" s="375"/>
      <c r="U174" s="375"/>
      <c r="V174" s="375"/>
      <c r="W174" s="375"/>
      <c r="X174" s="376"/>
      <c r="Y174" s="368"/>
      <c r="Z174" s="376"/>
      <c r="AA174" s="376"/>
      <c r="AB174" s="378"/>
      <c r="AC174" s="375"/>
      <c r="AD174" s="375"/>
      <c r="AE174" s="375"/>
    </row>
    <row r="175" s="264" customFormat="1" ht="12.75" spans="1:31">
      <c r="A175" s="354"/>
      <c r="B175" s="355"/>
      <c r="C175" s="356">
        <v>241023000030</v>
      </c>
      <c r="D175" s="357">
        <v>45593</v>
      </c>
      <c r="E175" s="355" t="s">
        <v>190</v>
      </c>
      <c r="F175" s="355" t="s">
        <v>198</v>
      </c>
      <c r="G175" s="355">
        <v>1.32</v>
      </c>
      <c r="H175" s="355">
        <v>1000</v>
      </c>
      <c r="I175" s="358">
        <v>2601.72</v>
      </c>
      <c r="J175" s="369"/>
      <c r="K175" s="360"/>
      <c r="L175" s="361"/>
      <c r="M175" s="360"/>
      <c r="N175" s="355"/>
      <c r="O175" s="364">
        <f t="shared" si="38"/>
        <v>2601.72</v>
      </c>
      <c r="P175" s="375"/>
      <c r="Q175" s="375"/>
      <c r="R175" s="375"/>
      <c r="S175" s="375"/>
      <c r="T175" s="375"/>
      <c r="U175" s="375"/>
      <c r="V175" s="375"/>
      <c r="W175" s="375"/>
      <c r="X175" s="376"/>
      <c r="Y175" s="368"/>
      <c r="Z175" s="376"/>
      <c r="AA175" s="376"/>
      <c r="AB175" s="378"/>
      <c r="AC175" s="375"/>
      <c r="AD175" s="375"/>
      <c r="AE175" s="375"/>
    </row>
    <row r="176" s="264" customFormat="1" ht="12.75" spans="1:31">
      <c r="A176" s="354"/>
      <c r="B176" s="355"/>
      <c r="C176" s="356">
        <v>241023000035</v>
      </c>
      <c r="D176" s="357">
        <v>45593</v>
      </c>
      <c r="E176" s="355" t="s">
        <v>40</v>
      </c>
      <c r="F176" s="355" t="s">
        <v>62</v>
      </c>
      <c r="G176" s="355">
        <v>1.2483</v>
      </c>
      <c r="H176" s="355">
        <v>347</v>
      </c>
      <c r="I176" s="358">
        <v>2824</v>
      </c>
      <c r="J176" s="369"/>
      <c r="K176" s="360"/>
      <c r="L176" s="361"/>
      <c r="M176" s="360"/>
      <c r="N176" s="355"/>
      <c r="O176" s="364">
        <f t="shared" si="38"/>
        <v>2824</v>
      </c>
      <c r="P176" s="375"/>
      <c r="Q176" s="375"/>
      <c r="R176" s="375"/>
      <c r="S176" s="375"/>
      <c r="T176" s="375"/>
      <c r="U176" s="375"/>
      <c r="V176" s="375"/>
      <c r="W176" s="375"/>
      <c r="X176" s="376"/>
      <c r="Y176" s="368"/>
      <c r="Z176" s="376"/>
      <c r="AA176" s="376"/>
      <c r="AB176" s="378"/>
      <c r="AC176" s="375"/>
      <c r="AD176" s="375"/>
      <c r="AE176" s="375"/>
    </row>
    <row r="177" s="264" customFormat="1" ht="12.75" spans="1:31">
      <c r="A177" s="354"/>
      <c r="B177" s="355"/>
      <c r="C177" s="356">
        <v>241024000016</v>
      </c>
      <c r="D177" s="357">
        <v>45593</v>
      </c>
      <c r="E177" s="355" t="s">
        <v>42</v>
      </c>
      <c r="F177" s="355" t="s">
        <v>43</v>
      </c>
      <c r="G177" s="355">
        <v>0.1931</v>
      </c>
      <c r="H177" s="355">
        <v>24</v>
      </c>
      <c r="I177" s="358">
        <v>410.48</v>
      </c>
      <c r="J177" s="369"/>
      <c r="K177" s="360"/>
      <c r="L177" s="361"/>
      <c r="M177" s="360"/>
      <c r="N177" s="355"/>
      <c r="O177" s="364">
        <f t="shared" si="38"/>
        <v>410.48</v>
      </c>
      <c r="P177" s="375"/>
      <c r="Q177" s="375"/>
      <c r="R177" s="375"/>
      <c r="S177" s="375"/>
      <c r="T177" s="375"/>
      <c r="U177" s="375"/>
      <c r="V177" s="375"/>
      <c r="W177" s="375"/>
      <c r="X177" s="376"/>
      <c r="Y177" s="368"/>
      <c r="Z177" s="376"/>
      <c r="AA177" s="376"/>
      <c r="AB177" s="378"/>
      <c r="AC177" s="375"/>
      <c r="AD177" s="375"/>
      <c r="AE177" s="375"/>
    </row>
    <row r="178" s="264" customFormat="1" ht="12.75" spans="1:31">
      <c r="A178" s="354"/>
      <c r="B178" s="355"/>
      <c r="C178" s="356">
        <v>241025000059</v>
      </c>
      <c r="D178" s="357">
        <v>45593</v>
      </c>
      <c r="E178" s="355" t="s">
        <v>42</v>
      </c>
      <c r="F178" s="355" t="s">
        <v>43</v>
      </c>
      <c r="G178" s="355">
        <v>2.2221</v>
      </c>
      <c r="H178" s="355">
        <v>248</v>
      </c>
      <c r="I178" s="358">
        <v>4576.85</v>
      </c>
      <c r="J178" s="369"/>
      <c r="K178" s="360"/>
      <c r="L178" s="361"/>
      <c r="M178" s="360"/>
      <c r="N178" s="355"/>
      <c r="O178" s="364">
        <f t="shared" si="38"/>
        <v>4576.85</v>
      </c>
      <c r="P178" s="375"/>
      <c r="Q178" s="375"/>
      <c r="R178" s="375"/>
      <c r="S178" s="375"/>
      <c r="T178" s="375"/>
      <c r="U178" s="375"/>
      <c r="V178" s="375"/>
      <c r="W178" s="375"/>
      <c r="X178" s="376"/>
      <c r="Y178" s="368"/>
      <c r="Z178" s="376"/>
      <c r="AA178" s="376"/>
      <c r="AB178" s="378"/>
      <c r="AC178" s="375"/>
      <c r="AD178" s="375"/>
      <c r="AE178" s="375"/>
    </row>
    <row r="179" s="264" customFormat="1" ht="12.75" spans="1:31">
      <c r="A179" s="354"/>
      <c r="B179" s="355"/>
      <c r="C179" s="356">
        <v>241026000019</v>
      </c>
      <c r="D179" s="357">
        <v>45595</v>
      </c>
      <c r="E179" s="355" t="s">
        <v>49</v>
      </c>
      <c r="F179" s="355" t="s">
        <v>249</v>
      </c>
      <c r="G179" s="355">
        <v>0.3084</v>
      </c>
      <c r="H179" s="355">
        <v>117</v>
      </c>
      <c r="I179" s="364"/>
      <c r="J179" s="370">
        <v>150985</v>
      </c>
      <c r="K179" s="360"/>
      <c r="L179" s="361">
        <f t="shared" ref="L179:L184" si="39">SUM(J179/M179)</f>
        <v>1652.8188286809</v>
      </c>
      <c r="M179" s="362">
        <v>91.35</v>
      </c>
      <c r="N179" s="355">
        <v>7.29</v>
      </c>
      <c r="O179" s="364">
        <f t="shared" ref="O179:O184" si="40">SUM(M179*N179)</f>
        <v>665.9415</v>
      </c>
      <c r="P179" s="375"/>
      <c r="Q179" s="375"/>
      <c r="R179" s="375"/>
      <c r="S179" s="375"/>
      <c r="T179" s="375"/>
      <c r="U179" s="375"/>
      <c r="V179" s="375"/>
      <c r="W179" s="375"/>
      <c r="X179" s="376"/>
      <c r="Y179" s="368"/>
      <c r="Z179" s="376"/>
      <c r="AA179" s="376"/>
      <c r="AB179" s="378"/>
      <c r="AC179" s="375"/>
      <c r="AD179" s="375"/>
      <c r="AE179" s="375"/>
    </row>
    <row r="180" s="264" customFormat="1" ht="12.75" spans="1:31">
      <c r="A180" s="354"/>
      <c r="B180" s="355"/>
      <c r="C180" s="356">
        <v>241028000021</v>
      </c>
      <c r="D180" s="357">
        <v>45593</v>
      </c>
      <c r="E180" s="355" t="s">
        <v>44</v>
      </c>
      <c r="F180" s="355" t="s">
        <v>112</v>
      </c>
      <c r="G180" s="355">
        <v>19.7914</v>
      </c>
      <c r="H180" s="355">
        <v>1519</v>
      </c>
      <c r="I180" s="364"/>
      <c r="J180" s="370">
        <v>8739687.36</v>
      </c>
      <c r="K180" s="360"/>
      <c r="L180" s="361">
        <f t="shared" si="39"/>
        <v>1635.55214210724</v>
      </c>
      <c r="M180" s="362">
        <v>5343.57</v>
      </c>
      <c r="N180" s="355">
        <v>7.3</v>
      </c>
      <c r="O180" s="364">
        <f t="shared" si="40"/>
        <v>39008.061</v>
      </c>
      <c r="P180" s="375"/>
      <c r="Q180" s="375"/>
      <c r="R180" s="375"/>
      <c r="S180" s="375"/>
      <c r="T180" s="375"/>
      <c r="U180" s="375"/>
      <c r="V180" s="375"/>
      <c r="W180" s="375"/>
      <c r="X180" s="376"/>
      <c r="Y180" s="368"/>
      <c r="Z180" s="376"/>
      <c r="AA180" s="376"/>
      <c r="AB180" s="378"/>
      <c r="AC180" s="375"/>
      <c r="AD180" s="375"/>
      <c r="AE180" s="375"/>
    </row>
    <row r="181" s="264" customFormat="1" ht="12.75" spans="1:31">
      <c r="A181" s="354"/>
      <c r="B181" s="355"/>
      <c r="C181" s="356">
        <v>241031000026</v>
      </c>
      <c r="D181" s="357">
        <v>45593</v>
      </c>
      <c r="E181" s="355" t="s">
        <v>190</v>
      </c>
      <c r="F181" s="355" t="s">
        <v>251</v>
      </c>
      <c r="G181" s="355">
        <v>13.3255</v>
      </c>
      <c r="H181" s="355">
        <v>13006</v>
      </c>
      <c r="I181" s="358">
        <v>30739.28</v>
      </c>
      <c r="J181" s="369"/>
      <c r="K181" s="360"/>
      <c r="L181" s="361"/>
      <c r="M181" s="360"/>
      <c r="N181" s="355"/>
      <c r="O181" s="364">
        <f t="shared" ref="O181:O190" si="41">SUBTOTAL(9,I181)</f>
        <v>30739.28</v>
      </c>
      <c r="P181" s="379"/>
      <c r="Q181" s="379"/>
      <c r="R181" s="379"/>
      <c r="S181" s="379"/>
      <c r="T181" s="379"/>
      <c r="U181" s="379"/>
      <c r="V181" s="379"/>
      <c r="W181" s="379"/>
      <c r="X181" s="377"/>
      <c r="Y181" s="368">
        <v>131.35</v>
      </c>
      <c r="Z181" s="377"/>
      <c r="AA181" s="377"/>
      <c r="AB181" s="380"/>
      <c r="AC181" s="379"/>
      <c r="AD181" s="379"/>
      <c r="AE181" s="379"/>
    </row>
    <row r="182" s="264" customFormat="1" ht="12.75" spans="1:31">
      <c r="A182" s="354" t="s">
        <v>290</v>
      </c>
      <c r="B182" s="355" t="s">
        <v>291</v>
      </c>
      <c r="C182" s="356">
        <v>241011000005</v>
      </c>
      <c r="D182" s="357">
        <v>45595</v>
      </c>
      <c r="E182" s="355" t="s">
        <v>49</v>
      </c>
      <c r="F182" s="355" t="s">
        <v>84</v>
      </c>
      <c r="G182" s="355">
        <v>3.1875</v>
      </c>
      <c r="H182" s="355">
        <v>2044</v>
      </c>
      <c r="I182" s="358">
        <v>8910</v>
      </c>
      <c r="J182" s="369"/>
      <c r="K182" s="360"/>
      <c r="L182" s="361"/>
      <c r="M182" s="360"/>
      <c r="N182" s="355"/>
      <c r="O182" s="364">
        <f t="shared" si="41"/>
        <v>8910</v>
      </c>
      <c r="P182" s="371">
        <f>SUM(O182:O190)</f>
        <v>133755.6735</v>
      </c>
      <c r="Q182" s="372" t="s">
        <v>292</v>
      </c>
      <c r="R182" s="371">
        <v>49152</v>
      </c>
      <c r="S182" s="371"/>
      <c r="T182" s="371">
        <v>1400</v>
      </c>
      <c r="U182" s="371"/>
      <c r="V182" s="371"/>
      <c r="W182" s="371">
        <f>SUM(R182:V190)</f>
        <v>50552</v>
      </c>
      <c r="X182" s="373">
        <v>11133.9</v>
      </c>
      <c r="Y182" s="368"/>
      <c r="Z182" s="373">
        <v>69.17</v>
      </c>
      <c r="AA182" s="373">
        <f>SUM(X182:Z190)</f>
        <v>11412.52</v>
      </c>
      <c r="AB182" s="374">
        <v>7.3</v>
      </c>
      <c r="AC182" s="371">
        <f>SUM(AA182*AB182)</f>
        <v>83311.396</v>
      </c>
      <c r="AD182" s="371">
        <f>SUM(W182+AC182)</f>
        <v>133863.396</v>
      </c>
      <c r="AE182" s="371">
        <f>SUM(P182-AD182)</f>
        <v>-107.722500000003</v>
      </c>
    </row>
    <row r="183" s="264" customFormat="1" ht="12.75" spans="1:31">
      <c r="A183" s="354"/>
      <c r="B183" s="355"/>
      <c r="C183" s="356">
        <v>241028000024</v>
      </c>
      <c r="D183" s="357">
        <v>45595</v>
      </c>
      <c r="E183" s="355" t="s">
        <v>49</v>
      </c>
      <c r="F183" s="355" t="s">
        <v>204</v>
      </c>
      <c r="G183" s="355">
        <v>1.5107</v>
      </c>
      <c r="H183" s="355">
        <v>646</v>
      </c>
      <c r="I183" s="364"/>
      <c r="J183" s="370">
        <v>706092</v>
      </c>
      <c r="K183" s="360"/>
      <c r="L183" s="361">
        <f t="shared" si="39"/>
        <v>1654.9677721786</v>
      </c>
      <c r="M183" s="362">
        <v>426.65</v>
      </c>
      <c r="N183" s="355">
        <v>7.29</v>
      </c>
      <c r="O183" s="364">
        <f t="shared" si="40"/>
        <v>3110.2785</v>
      </c>
      <c r="P183" s="375"/>
      <c r="Q183" s="375"/>
      <c r="R183" s="375"/>
      <c r="S183" s="375"/>
      <c r="T183" s="375"/>
      <c r="U183" s="375"/>
      <c r="V183" s="375"/>
      <c r="W183" s="375"/>
      <c r="X183" s="376"/>
      <c r="Y183" s="368"/>
      <c r="Z183" s="376"/>
      <c r="AA183" s="376"/>
      <c r="AB183" s="378"/>
      <c r="AC183" s="375"/>
      <c r="AD183" s="375"/>
      <c r="AE183" s="375"/>
    </row>
    <row r="184" s="264" customFormat="1" ht="12.75" spans="1:31">
      <c r="A184" s="354"/>
      <c r="B184" s="355"/>
      <c r="C184" s="356">
        <v>241017000025</v>
      </c>
      <c r="D184" s="357">
        <v>45595</v>
      </c>
      <c r="E184" s="355" t="s">
        <v>52</v>
      </c>
      <c r="F184" s="355" t="s">
        <v>194</v>
      </c>
      <c r="G184" s="355">
        <v>1.8596</v>
      </c>
      <c r="H184" s="355">
        <v>2312</v>
      </c>
      <c r="I184" s="364"/>
      <c r="J184" s="370">
        <v>1660291</v>
      </c>
      <c r="K184" s="360"/>
      <c r="L184" s="361">
        <f t="shared" si="39"/>
        <v>1730.10055749492</v>
      </c>
      <c r="M184" s="362">
        <v>959.65</v>
      </c>
      <c r="N184" s="355">
        <v>7.3</v>
      </c>
      <c r="O184" s="364">
        <f t="shared" si="40"/>
        <v>7005.445</v>
      </c>
      <c r="P184" s="375"/>
      <c r="Q184" s="375"/>
      <c r="R184" s="375"/>
      <c r="S184" s="375"/>
      <c r="T184" s="375"/>
      <c r="U184" s="375"/>
      <c r="V184" s="375"/>
      <c r="W184" s="375"/>
      <c r="X184" s="376"/>
      <c r="Y184" s="368">
        <v>31.41</v>
      </c>
      <c r="Z184" s="376"/>
      <c r="AA184" s="376"/>
      <c r="AB184" s="378"/>
      <c r="AC184" s="375"/>
      <c r="AD184" s="375"/>
      <c r="AE184" s="375"/>
    </row>
    <row r="185" s="264" customFormat="1" ht="12.75" spans="1:31">
      <c r="A185" s="354"/>
      <c r="B185" s="355"/>
      <c r="C185" s="356">
        <v>241025000020</v>
      </c>
      <c r="D185" s="357">
        <v>45595</v>
      </c>
      <c r="E185" s="355" t="s">
        <v>37</v>
      </c>
      <c r="F185" s="355" t="s">
        <v>152</v>
      </c>
      <c r="G185" s="355">
        <v>0.054</v>
      </c>
      <c r="H185" s="355">
        <v>11</v>
      </c>
      <c r="I185" s="358">
        <v>118</v>
      </c>
      <c r="J185" s="369"/>
      <c r="K185" s="360"/>
      <c r="L185" s="361"/>
      <c r="M185" s="360"/>
      <c r="N185" s="355"/>
      <c r="O185" s="364">
        <f t="shared" si="41"/>
        <v>118</v>
      </c>
      <c r="P185" s="375"/>
      <c r="Q185" s="375"/>
      <c r="R185" s="375"/>
      <c r="S185" s="375"/>
      <c r="T185" s="375"/>
      <c r="U185" s="375"/>
      <c r="V185" s="375"/>
      <c r="W185" s="375"/>
      <c r="X185" s="376"/>
      <c r="Y185" s="368"/>
      <c r="Z185" s="376"/>
      <c r="AA185" s="376"/>
      <c r="AB185" s="378"/>
      <c r="AC185" s="375"/>
      <c r="AD185" s="375"/>
      <c r="AE185" s="375"/>
    </row>
    <row r="186" s="264" customFormat="1" ht="12.75" spans="1:31">
      <c r="A186" s="354"/>
      <c r="B186" s="355"/>
      <c r="C186" s="356">
        <v>241029000029</v>
      </c>
      <c r="D186" s="357">
        <v>45595</v>
      </c>
      <c r="E186" s="355" t="s">
        <v>190</v>
      </c>
      <c r="F186" s="355" t="s">
        <v>207</v>
      </c>
      <c r="G186" s="355">
        <v>0.0491</v>
      </c>
      <c r="H186" s="355">
        <v>12</v>
      </c>
      <c r="I186" s="358">
        <v>107.53</v>
      </c>
      <c r="J186" s="369"/>
      <c r="K186" s="360"/>
      <c r="L186" s="361"/>
      <c r="M186" s="360"/>
      <c r="N186" s="355"/>
      <c r="O186" s="364">
        <f t="shared" si="41"/>
        <v>107.53</v>
      </c>
      <c r="P186" s="375"/>
      <c r="Q186" s="375"/>
      <c r="R186" s="375"/>
      <c r="S186" s="375"/>
      <c r="T186" s="375"/>
      <c r="U186" s="375"/>
      <c r="V186" s="375"/>
      <c r="W186" s="375"/>
      <c r="X186" s="376"/>
      <c r="Y186" s="368"/>
      <c r="Z186" s="376"/>
      <c r="AA186" s="376"/>
      <c r="AB186" s="378"/>
      <c r="AC186" s="375"/>
      <c r="AD186" s="375"/>
      <c r="AE186" s="375"/>
    </row>
    <row r="187" s="264" customFormat="1" ht="12.75" spans="1:31">
      <c r="A187" s="354"/>
      <c r="B187" s="355"/>
      <c r="C187" s="356">
        <v>241030000038</v>
      </c>
      <c r="D187" s="357">
        <v>45595</v>
      </c>
      <c r="E187" s="355" t="s">
        <v>44</v>
      </c>
      <c r="F187" s="355" t="s">
        <v>59</v>
      </c>
      <c r="G187" s="355">
        <v>43.89</v>
      </c>
      <c r="H187" s="355">
        <v>5168</v>
      </c>
      <c r="I187" s="358">
        <v>67551.98</v>
      </c>
      <c r="J187" s="369"/>
      <c r="K187" s="360"/>
      <c r="L187" s="361"/>
      <c r="M187" s="362"/>
      <c r="N187" s="355"/>
      <c r="O187" s="364">
        <f t="shared" si="41"/>
        <v>67551.98</v>
      </c>
      <c r="P187" s="375"/>
      <c r="Q187" s="375"/>
      <c r="R187" s="375"/>
      <c r="S187" s="375"/>
      <c r="T187" s="375"/>
      <c r="U187" s="375"/>
      <c r="V187" s="375"/>
      <c r="W187" s="375"/>
      <c r="X187" s="376"/>
      <c r="Y187" s="368"/>
      <c r="Z187" s="376"/>
      <c r="AA187" s="376"/>
      <c r="AB187" s="378"/>
      <c r="AC187" s="375"/>
      <c r="AD187" s="375"/>
      <c r="AE187" s="375"/>
    </row>
    <row r="188" s="264" customFormat="1" ht="12.75" spans="1:31">
      <c r="A188" s="354"/>
      <c r="B188" s="355"/>
      <c r="C188" s="356">
        <v>241030000040</v>
      </c>
      <c r="D188" s="357">
        <v>45595</v>
      </c>
      <c r="E188" s="355" t="s">
        <v>190</v>
      </c>
      <c r="F188" s="355" t="s">
        <v>207</v>
      </c>
      <c r="G188" s="355">
        <v>0.635</v>
      </c>
      <c r="H188" s="355">
        <v>240</v>
      </c>
      <c r="I188" s="358">
        <v>1251.59</v>
      </c>
      <c r="J188" s="369"/>
      <c r="K188" s="360"/>
      <c r="L188" s="361"/>
      <c r="M188" s="360"/>
      <c r="N188" s="355"/>
      <c r="O188" s="364">
        <f t="shared" si="41"/>
        <v>1251.59</v>
      </c>
      <c r="P188" s="375"/>
      <c r="Q188" s="375"/>
      <c r="R188" s="375"/>
      <c r="S188" s="375"/>
      <c r="T188" s="375"/>
      <c r="U188" s="375"/>
      <c r="V188" s="375"/>
      <c r="W188" s="375"/>
      <c r="X188" s="376"/>
      <c r="Y188" s="368"/>
      <c r="Z188" s="376"/>
      <c r="AA188" s="376"/>
      <c r="AB188" s="378"/>
      <c r="AC188" s="375"/>
      <c r="AD188" s="375"/>
      <c r="AE188" s="375"/>
    </row>
    <row r="189" s="264" customFormat="1" ht="12.75" spans="1:31">
      <c r="A189" s="354"/>
      <c r="B189" s="355"/>
      <c r="C189" s="356">
        <v>241030000042</v>
      </c>
      <c r="D189" s="357">
        <v>45595</v>
      </c>
      <c r="E189" s="355" t="s">
        <v>190</v>
      </c>
      <c r="F189" s="355" t="s">
        <v>207</v>
      </c>
      <c r="G189" s="355">
        <v>2.0475</v>
      </c>
      <c r="H189" s="355">
        <v>720</v>
      </c>
      <c r="I189" s="358">
        <v>4035.66</v>
      </c>
      <c r="J189" s="369"/>
      <c r="K189" s="360"/>
      <c r="L189" s="361"/>
      <c r="M189" s="485"/>
      <c r="N189" s="355"/>
      <c r="O189" s="364">
        <f t="shared" si="41"/>
        <v>4035.66</v>
      </c>
      <c r="P189" s="375"/>
      <c r="Q189" s="375"/>
      <c r="R189" s="375"/>
      <c r="S189" s="375"/>
      <c r="T189" s="375"/>
      <c r="U189" s="375"/>
      <c r="V189" s="375"/>
      <c r="W189" s="375"/>
      <c r="X189" s="376"/>
      <c r="Y189" s="368"/>
      <c r="Z189" s="376"/>
      <c r="AA189" s="376"/>
      <c r="AB189" s="378"/>
      <c r="AC189" s="375"/>
      <c r="AD189" s="375"/>
      <c r="AE189" s="375"/>
    </row>
    <row r="190" s="264" customFormat="1" ht="12.75" spans="1:31">
      <c r="A190" s="354"/>
      <c r="B190" s="355"/>
      <c r="C190" s="356">
        <v>241031000028</v>
      </c>
      <c r="D190" s="357">
        <v>45595</v>
      </c>
      <c r="E190" s="355" t="s">
        <v>190</v>
      </c>
      <c r="F190" s="355" t="s">
        <v>251</v>
      </c>
      <c r="G190" s="355">
        <v>18.0619</v>
      </c>
      <c r="H190" s="355">
        <v>16900</v>
      </c>
      <c r="I190" s="358">
        <v>41665.19</v>
      </c>
      <c r="J190" s="369"/>
      <c r="K190" s="360"/>
      <c r="L190" s="361"/>
      <c r="M190" s="360"/>
      <c r="N190" s="355"/>
      <c r="O190" s="364">
        <f t="shared" si="41"/>
        <v>41665.19</v>
      </c>
      <c r="P190" s="379"/>
      <c r="Q190" s="379"/>
      <c r="R190" s="379"/>
      <c r="S190" s="379"/>
      <c r="T190" s="379"/>
      <c r="U190" s="379"/>
      <c r="V190" s="379"/>
      <c r="W190" s="379"/>
      <c r="X190" s="377"/>
      <c r="Y190" s="368">
        <v>178.04</v>
      </c>
      <c r="Z190" s="377"/>
      <c r="AA190" s="377"/>
      <c r="AB190" s="380"/>
      <c r="AC190" s="379"/>
      <c r="AD190" s="379"/>
      <c r="AE190" s="379"/>
    </row>
    <row r="191" s="264" customFormat="1" ht="12.75" spans="1:31">
      <c r="A191" s="354" t="s">
        <v>293</v>
      </c>
      <c r="B191" s="355" t="s">
        <v>294</v>
      </c>
      <c r="C191" s="356">
        <v>241024000009</v>
      </c>
      <c r="D191" s="357">
        <v>45595</v>
      </c>
      <c r="E191" s="355" t="s">
        <v>52</v>
      </c>
      <c r="F191" s="355" t="s">
        <v>68</v>
      </c>
      <c r="G191" s="355">
        <v>1.508</v>
      </c>
      <c r="H191" s="355">
        <v>508</v>
      </c>
      <c r="I191" s="364"/>
      <c r="J191" s="370">
        <v>1104957.06</v>
      </c>
      <c r="K191" s="360"/>
      <c r="L191" s="361">
        <f t="shared" ref="L191:L196" si="42">SUM(J191/M191)</f>
        <v>1669.42204024899</v>
      </c>
      <c r="M191" s="362">
        <v>661.88</v>
      </c>
      <c r="N191" s="355">
        <v>7.29</v>
      </c>
      <c r="O191" s="364">
        <f t="shared" ref="O191:O196" si="43">SUM(M191*N191)</f>
        <v>4825.1052</v>
      </c>
      <c r="P191" s="371">
        <f>SUM(O191:O201)</f>
        <v>138920.739027</v>
      </c>
      <c r="Q191" s="372" t="s">
        <v>295</v>
      </c>
      <c r="R191" s="371">
        <v>47362</v>
      </c>
      <c r="S191" s="371"/>
      <c r="T191" s="371">
        <v>2400</v>
      </c>
      <c r="U191" s="371"/>
      <c r="V191" s="371"/>
      <c r="W191" s="371">
        <f>SUM(R191:V201)</f>
        <v>49762</v>
      </c>
      <c r="X191" s="373">
        <v>10699.87</v>
      </c>
      <c r="Y191" s="368">
        <v>210.97</v>
      </c>
      <c r="Z191" s="487">
        <v>66.95</v>
      </c>
      <c r="AA191" s="373">
        <f>SUBTOTAL(9,X191:Z201)</f>
        <v>11240.52</v>
      </c>
      <c r="AB191" s="374">
        <v>7.3</v>
      </c>
      <c r="AC191" s="371">
        <f>SUM(AA191*AB191)</f>
        <v>82055.796</v>
      </c>
      <c r="AD191" s="371">
        <f>SUM(W191+AC191)</f>
        <v>131817.796</v>
      </c>
      <c r="AE191" s="371">
        <f>SUM(P191-AD191)</f>
        <v>7102.94302699997</v>
      </c>
    </row>
    <row r="192" s="264" customFormat="1" ht="12.75" spans="1:31">
      <c r="A192" s="354"/>
      <c r="B192" s="355"/>
      <c r="C192" s="356">
        <v>241024000010</v>
      </c>
      <c r="D192" s="357">
        <v>45595</v>
      </c>
      <c r="E192" s="355" t="s">
        <v>52</v>
      </c>
      <c r="F192" s="355" t="s">
        <v>68</v>
      </c>
      <c r="G192" s="355">
        <v>0.1128</v>
      </c>
      <c r="H192" s="355">
        <v>88</v>
      </c>
      <c r="I192" s="364"/>
      <c r="J192" s="370">
        <v>109278</v>
      </c>
      <c r="K192" s="360"/>
      <c r="L192" s="361">
        <f t="shared" si="42"/>
        <v>1669.38588450962</v>
      </c>
      <c r="M192" s="362">
        <v>65.46</v>
      </c>
      <c r="N192" s="355">
        <v>7.29</v>
      </c>
      <c r="O192" s="364">
        <f t="shared" si="43"/>
        <v>477.2034</v>
      </c>
      <c r="P192" s="375"/>
      <c r="Q192" s="375"/>
      <c r="R192" s="375"/>
      <c r="S192" s="375"/>
      <c r="T192" s="375"/>
      <c r="U192" s="375"/>
      <c r="V192" s="375"/>
      <c r="W192" s="375"/>
      <c r="X192" s="376"/>
      <c r="Y192" s="368">
        <v>28.12</v>
      </c>
      <c r="Z192" s="487"/>
      <c r="AA192" s="376"/>
      <c r="AB192" s="378"/>
      <c r="AC192" s="375"/>
      <c r="AD192" s="375"/>
      <c r="AE192" s="375"/>
    </row>
    <row r="193" s="264" customFormat="1" ht="12.75" spans="1:31">
      <c r="A193" s="354"/>
      <c r="B193" s="355"/>
      <c r="C193" s="356">
        <v>241017000025</v>
      </c>
      <c r="D193" s="357">
        <v>45595</v>
      </c>
      <c r="E193" s="355" t="s">
        <v>52</v>
      </c>
      <c r="F193" s="355" t="s">
        <v>194</v>
      </c>
      <c r="G193" s="355">
        <v>0.8826</v>
      </c>
      <c r="H193" s="355">
        <v>1102</v>
      </c>
      <c r="I193" s="364"/>
      <c r="J193" s="370">
        <v>788004</v>
      </c>
      <c r="K193" s="360"/>
      <c r="L193" s="361">
        <f t="shared" si="42"/>
        <v>1730.08979735219</v>
      </c>
      <c r="M193" s="362">
        <v>455.47</v>
      </c>
      <c r="N193" s="355">
        <v>7.3</v>
      </c>
      <c r="O193" s="364">
        <f t="shared" si="43"/>
        <v>3324.931</v>
      </c>
      <c r="P193" s="375"/>
      <c r="Q193" s="375"/>
      <c r="R193" s="375"/>
      <c r="S193" s="375"/>
      <c r="T193" s="375"/>
      <c r="U193" s="375"/>
      <c r="V193" s="375"/>
      <c r="W193" s="375"/>
      <c r="X193" s="376"/>
      <c r="Y193" s="368"/>
      <c r="Z193" s="487"/>
      <c r="AA193" s="376"/>
      <c r="AB193" s="378"/>
      <c r="AC193" s="375"/>
      <c r="AD193" s="375"/>
      <c r="AE193" s="375"/>
    </row>
    <row r="194" s="264" customFormat="1" ht="12.75" spans="1:31">
      <c r="A194" s="354"/>
      <c r="B194" s="355"/>
      <c r="C194" s="356">
        <v>241026000019</v>
      </c>
      <c r="D194" s="357">
        <v>45595</v>
      </c>
      <c r="E194" s="355" t="s">
        <v>49</v>
      </c>
      <c r="F194" s="355" t="s">
        <v>249</v>
      </c>
      <c r="G194" s="355">
        <v>0.8568</v>
      </c>
      <c r="H194" s="355">
        <v>325</v>
      </c>
      <c r="I194" s="364"/>
      <c r="J194" s="370">
        <v>419471</v>
      </c>
      <c r="K194" s="360"/>
      <c r="L194" s="361">
        <f t="shared" si="42"/>
        <v>1652.76201733649</v>
      </c>
      <c r="M194" s="362">
        <v>253.8</v>
      </c>
      <c r="N194" s="355">
        <v>7.29</v>
      </c>
      <c r="O194" s="364">
        <f t="shared" si="43"/>
        <v>1850.202</v>
      </c>
      <c r="P194" s="375"/>
      <c r="Q194" s="375"/>
      <c r="R194" s="375"/>
      <c r="S194" s="375"/>
      <c r="T194" s="375"/>
      <c r="U194" s="375"/>
      <c r="V194" s="375"/>
      <c r="W194" s="375"/>
      <c r="X194" s="376"/>
      <c r="Y194" s="368"/>
      <c r="Z194" s="487"/>
      <c r="AA194" s="376"/>
      <c r="AB194" s="378"/>
      <c r="AC194" s="375"/>
      <c r="AD194" s="375"/>
      <c r="AE194" s="375"/>
    </row>
    <row r="195" s="264" customFormat="1" ht="12.75" spans="1:31">
      <c r="A195" s="354"/>
      <c r="B195" s="355"/>
      <c r="C195" s="356">
        <v>241026000022</v>
      </c>
      <c r="D195" s="357">
        <v>45595</v>
      </c>
      <c r="E195" s="355" t="s">
        <v>52</v>
      </c>
      <c r="F195" s="355" t="s">
        <v>137</v>
      </c>
      <c r="G195" s="355">
        <v>1.1042</v>
      </c>
      <c r="H195" s="355">
        <v>1026</v>
      </c>
      <c r="I195" s="364"/>
      <c r="J195" s="370">
        <v>673554</v>
      </c>
      <c r="K195" s="360"/>
      <c r="L195" s="361">
        <f t="shared" si="42"/>
        <v>1580</v>
      </c>
      <c r="M195" s="362">
        <v>426.3</v>
      </c>
      <c r="N195" s="355">
        <v>7.29</v>
      </c>
      <c r="O195" s="364">
        <f t="shared" si="43"/>
        <v>3107.727</v>
      </c>
      <c r="P195" s="375"/>
      <c r="Q195" s="375"/>
      <c r="R195" s="375"/>
      <c r="S195" s="375"/>
      <c r="T195" s="375"/>
      <c r="U195" s="375"/>
      <c r="V195" s="375"/>
      <c r="W195" s="375"/>
      <c r="X195" s="376"/>
      <c r="Y195" s="368"/>
      <c r="Z195" s="487"/>
      <c r="AA195" s="376"/>
      <c r="AB195" s="378"/>
      <c r="AC195" s="375"/>
      <c r="AD195" s="375"/>
      <c r="AE195" s="375"/>
    </row>
    <row r="196" s="264" customFormat="1" ht="12.75" spans="1:31">
      <c r="A196" s="354"/>
      <c r="B196" s="355"/>
      <c r="C196" s="356">
        <v>241027000001</v>
      </c>
      <c r="D196" s="357">
        <v>45595</v>
      </c>
      <c r="E196" s="355" t="s">
        <v>42</v>
      </c>
      <c r="F196" s="355" t="s">
        <v>296</v>
      </c>
      <c r="G196" s="355">
        <v>0.7063</v>
      </c>
      <c r="H196" s="355">
        <v>119</v>
      </c>
      <c r="I196" s="364"/>
      <c r="J196" s="370">
        <v>368007</v>
      </c>
      <c r="K196" s="360"/>
      <c r="L196" s="361">
        <f t="shared" si="42"/>
        <v>1671.99916728756</v>
      </c>
      <c r="M196" s="362">
        <v>220.09999</v>
      </c>
      <c r="N196" s="355">
        <v>7.3</v>
      </c>
      <c r="O196" s="364">
        <f t="shared" si="43"/>
        <v>1606.729927</v>
      </c>
      <c r="P196" s="375"/>
      <c r="Q196" s="375"/>
      <c r="R196" s="375"/>
      <c r="S196" s="375"/>
      <c r="T196" s="375"/>
      <c r="U196" s="375"/>
      <c r="V196" s="375"/>
      <c r="W196" s="375"/>
      <c r="X196" s="376"/>
      <c r="Y196" s="368"/>
      <c r="Z196" s="487"/>
      <c r="AA196" s="376"/>
      <c r="AB196" s="378"/>
      <c r="AC196" s="375"/>
      <c r="AD196" s="375"/>
      <c r="AE196" s="375"/>
    </row>
    <row r="197" s="264" customFormat="1" ht="12.75" spans="1:31">
      <c r="A197" s="354"/>
      <c r="B197" s="355"/>
      <c r="C197" s="356">
        <v>241027000012</v>
      </c>
      <c r="D197" s="357">
        <v>45595</v>
      </c>
      <c r="E197" s="355" t="s">
        <v>40</v>
      </c>
      <c r="F197" s="355" t="s">
        <v>134</v>
      </c>
      <c r="G197" s="355">
        <v>5.2289</v>
      </c>
      <c r="H197" s="355">
        <v>1231</v>
      </c>
      <c r="I197" s="358">
        <v>13095</v>
      </c>
      <c r="J197" s="369"/>
      <c r="K197" s="360"/>
      <c r="L197" s="361"/>
      <c r="M197" s="360"/>
      <c r="N197" s="355"/>
      <c r="O197" s="364">
        <f t="shared" ref="O197:O201" si="44">SUBTOTAL(9,I197)</f>
        <v>13095</v>
      </c>
      <c r="P197" s="375"/>
      <c r="Q197" s="375"/>
      <c r="R197" s="375"/>
      <c r="S197" s="375"/>
      <c r="T197" s="375"/>
      <c r="U197" s="375"/>
      <c r="V197" s="375"/>
      <c r="W197" s="375"/>
      <c r="X197" s="376"/>
      <c r="Y197" s="368">
        <v>48.69</v>
      </c>
      <c r="Z197" s="487"/>
      <c r="AA197" s="376"/>
      <c r="AB197" s="378"/>
      <c r="AC197" s="375"/>
      <c r="AD197" s="375"/>
      <c r="AE197" s="375"/>
    </row>
    <row r="198" s="264" customFormat="1" ht="12.75" spans="1:31">
      <c r="A198" s="354"/>
      <c r="B198" s="355"/>
      <c r="C198" s="356">
        <v>241028000024</v>
      </c>
      <c r="D198" s="357">
        <v>45595</v>
      </c>
      <c r="E198" s="355" t="s">
        <v>49</v>
      </c>
      <c r="F198" s="355" t="s">
        <v>204</v>
      </c>
      <c r="G198" s="355">
        <v>0.7664</v>
      </c>
      <c r="H198" s="355">
        <v>289</v>
      </c>
      <c r="I198" s="364"/>
      <c r="J198" s="370">
        <v>358212</v>
      </c>
      <c r="K198" s="360"/>
      <c r="L198" s="361">
        <f>SUM(J198/M198)</f>
        <v>1654.9410949411</v>
      </c>
      <c r="M198" s="362">
        <v>216.45</v>
      </c>
      <c r="N198" s="355">
        <v>7.29</v>
      </c>
      <c r="O198" s="364">
        <f>SUM(M198*N198)</f>
        <v>1577.9205</v>
      </c>
      <c r="P198" s="375"/>
      <c r="Q198" s="375"/>
      <c r="R198" s="375"/>
      <c r="S198" s="375"/>
      <c r="T198" s="375"/>
      <c r="U198" s="375"/>
      <c r="V198" s="375"/>
      <c r="W198" s="375"/>
      <c r="X198" s="376"/>
      <c r="Y198" s="368"/>
      <c r="Z198" s="487"/>
      <c r="AA198" s="376"/>
      <c r="AB198" s="378"/>
      <c r="AC198" s="375"/>
      <c r="AD198" s="375"/>
      <c r="AE198" s="375"/>
    </row>
    <row r="199" s="264" customFormat="1" ht="12.75" spans="1:31">
      <c r="A199" s="354"/>
      <c r="B199" s="355"/>
      <c r="C199" s="356">
        <v>241029000041</v>
      </c>
      <c r="D199" s="357">
        <v>45595</v>
      </c>
      <c r="E199" s="355" t="s">
        <v>49</v>
      </c>
      <c r="F199" s="355" t="s">
        <v>297</v>
      </c>
      <c r="G199" s="355">
        <v>0.0009</v>
      </c>
      <c r="H199" s="355">
        <v>1</v>
      </c>
      <c r="I199" s="358">
        <v>150</v>
      </c>
      <c r="J199" s="369"/>
      <c r="K199" s="360"/>
      <c r="L199" s="361"/>
      <c r="M199" s="360"/>
      <c r="N199" s="355"/>
      <c r="O199" s="364">
        <f t="shared" si="44"/>
        <v>150</v>
      </c>
      <c r="P199" s="375"/>
      <c r="Q199" s="375"/>
      <c r="R199" s="375"/>
      <c r="S199" s="375"/>
      <c r="T199" s="375"/>
      <c r="U199" s="375"/>
      <c r="V199" s="375"/>
      <c r="W199" s="375"/>
      <c r="X199" s="376"/>
      <c r="Y199" s="368"/>
      <c r="Z199" s="487"/>
      <c r="AA199" s="376"/>
      <c r="AB199" s="378"/>
      <c r="AC199" s="375"/>
      <c r="AD199" s="375"/>
      <c r="AE199" s="375"/>
    </row>
    <row r="200" s="264" customFormat="1" ht="12.75" spans="1:31">
      <c r="A200" s="354"/>
      <c r="B200" s="355"/>
      <c r="C200" s="356">
        <v>241030000013</v>
      </c>
      <c r="D200" s="357">
        <v>45595</v>
      </c>
      <c r="E200" s="355" t="s">
        <v>44</v>
      </c>
      <c r="F200" s="355" t="s">
        <v>59</v>
      </c>
      <c r="G200" s="355">
        <v>42.49</v>
      </c>
      <c r="H200" s="355">
        <v>4990</v>
      </c>
      <c r="I200" s="358">
        <v>65397.12</v>
      </c>
      <c r="J200" s="369"/>
      <c r="K200" s="360"/>
      <c r="L200" s="361"/>
      <c r="M200" s="362"/>
      <c r="N200" s="355"/>
      <c r="O200" s="364">
        <f t="shared" si="44"/>
        <v>65397.12</v>
      </c>
      <c r="P200" s="375"/>
      <c r="Q200" s="375"/>
      <c r="R200" s="375"/>
      <c r="S200" s="375"/>
      <c r="T200" s="375"/>
      <c r="U200" s="375"/>
      <c r="V200" s="375"/>
      <c r="W200" s="375"/>
      <c r="X200" s="376"/>
      <c r="Y200" s="368"/>
      <c r="Z200" s="487"/>
      <c r="AA200" s="376"/>
      <c r="AB200" s="378"/>
      <c r="AC200" s="375"/>
      <c r="AD200" s="375"/>
      <c r="AE200" s="375"/>
    </row>
    <row r="201" s="264" customFormat="1" ht="12.75" spans="1:31">
      <c r="A201" s="354"/>
      <c r="B201" s="355"/>
      <c r="C201" s="356">
        <v>241031000027</v>
      </c>
      <c r="D201" s="357">
        <v>45595</v>
      </c>
      <c r="E201" s="355" t="s">
        <v>190</v>
      </c>
      <c r="F201" s="355" t="s">
        <v>251</v>
      </c>
      <c r="G201" s="355">
        <v>18.8611</v>
      </c>
      <c r="H201" s="355">
        <v>18408</v>
      </c>
      <c r="I201" s="358">
        <v>43508.8</v>
      </c>
      <c r="J201" s="369"/>
      <c r="K201" s="360"/>
      <c r="L201" s="361"/>
      <c r="M201" s="360"/>
      <c r="N201" s="355"/>
      <c r="O201" s="364">
        <f t="shared" si="44"/>
        <v>43508.8</v>
      </c>
      <c r="P201" s="379"/>
      <c r="Q201" s="379"/>
      <c r="R201" s="379"/>
      <c r="S201" s="379"/>
      <c r="T201" s="379"/>
      <c r="U201" s="379"/>
      <c r="V201" s="379"/>
      <c r="W201" s="379"/>
      <c r="X201" s="377"/>
      <c r="Y201" s="368">
        <v>185.92</v>
      </c>
      <c r="Z201" s="487"/>
      <c r="AA201" s="377"/>
      <c r="AB201" s="380"/>
      <c r="AC201" s="379"/>
      <c r="AD201" s="379"/>
      <c r="AE201" s="379"/>
    </row>
    <row r="202" s="263" customFormat="1" ht="18" customHeight="1" spans="1:31">
      <c r="A202" s="488" t="s">
        <v>69</v>
      </c>
      <c r="B202" s="488"/>
      <c r="C202" s="402"/>
      <c r="D202" s="403"/>
      <c r="E202" s="402"/>
      <c r="F202" s="402"/>
      <c r="G202" s="474">
        <f>SUM(G5:G201)</f>
        <v>999.98798</v>
      </c>
      <c r="H202" s="474">
        <f t="shared" ref="H202:Q202" si="45">SUM(H5:H201)</f>
        <v>358588.48</v>
      </c>
      <c r="I202" s="489">
        <f t="shared" si="45"/>
        <v>1576194.11</v>
      </c>
      <c r="J202" s="474">
        <f t="shared" si="45"/>
        <v>136208327.32</v>
      </c>
      <c r="K202" s="406">
        <f t="shared" si="45"/>
        <v>0</v>
      </c>
      <c r="L202" s="474">
        <f t="shared" si="45"/>
        <v>117227.817484628</v>
      </c>
      <c r="M202" s="490">
        <f t="shared" si="45"/>
        <v>80141.838412</v>
      </c>
      <c r="N202" s="474">
        <v>7.20333695295215</v>
      </c>
      <c r="O202" s="491">
        <f>SUM(O5:O201)</f>
        <v>2153482.77611068</v>
      </c>
      <c r="P202" s="491">
        <f>SUM(P5:P201)</f>
        <v>2153482.77611068</v>
      </c>
      <c r="Q202" s="474"/>
      <c r="R202" s="476">
        <f>SUM(R5:R201)</f>
        <v>735888.16</v>
      </c>
      <c r="S202" s="476">
        <f t="shared" ref="S202:AE202" si="46">SUM(S5:S201)</f>
        <v>194.44</v>
      </c>
      <c r="T202" s="476">
        <f t="shared" si="46"/>
        <v>18700</v>
      </c>
      <c r="U202" s="476">
        <f t="shared" si="46"/>
        <v>6386</v>
      </c>
      <c r="V202" s="476">
        <f t="shared" si="46"/>
        <v>62</v>
      </c>
      <c r="W202" s="492">
        <f t="shared" si="46"/>
        <v>761230.6</v>
      </c>
      <c r="X202" s="493">
        <f t="shared" si="46"/>
        <v>148254.26</v>
      </c>
      <c r="Y202" s="493">
        <f t="shared" si="46"/>
        <v>3206.48</v>
      </c>
      <c r="Z202" s="493">
        <f t="shared" si="46"/>
        <v>922.42</v>
      </c>
      <c r="AA202" s="494">
        <f t="shared" si="46"/>
        <v>152383.16</v>
      </c>
      <c r="AB202" s="222">
        <v>7.20333695295215</v>
      </c>
      <c r="AC202" s="476">
        <f t="shared" si="46"/>
        <v>1101621.3568</v>
      </c>
      <c r="AD202" s="476">
        <f t="shared" si="46"/>
        <v>1862851.9568</v>
      </c>
      <c r="AE202" s="476">
        <f t="shared" si="46"/>
        <v>290630.81931068</v>
      </c>
    </row>
    <row r="204" s="263" customFormat="1" ht="40" customHeight="1" spans="1:31">
      <c r="A204" s="302"/>
      <c r="D204" s="410"/>
      <c r="G204" s="411" t="s">
        <v>70</v>
      </c>
      <c r="H204" s="412" t="s">
        <v>71</v>
      </c>
      <c r="I204" s="413" t="s">
        <v>72</v>
      </c>
      <c r="J204" s="414" t="s">
        <v>73</v>
      </c>
      <c r="K204" s="411" t="s">
        <v>22</v>
      </c>
      <c r="L204" s="414" t="s">
        <v>74</v>
      </c>
      <c r="M204" s="415"/>
      <c r="N204" s="416"/>
      <c r="O204" s="417"/>
      <c r="P204" s="263"/>
      <c r="Q204" s="418"/>
      <c r="R204" s="263"/>
      <c r="S204" s="419"/>
      <c r="T204" s="263"/>
      <c r="U204" s="263"/>
      <c r="V204" s="263"/>
      <c r="W204" s="303"/>
      <c r="X204" s="298"/>
      <c r="Y204" s="420"/>
      <c r="Z204" s="420"/>
      <c r="AA204" s="421"/>
      <c r="AB204" s="422"/>
      <c r="AC204" s="422"/>
    </row>
    <row r="205" ht="28.5" customHeight="1" spans="1:31">
      <c r="G205" s="411">
        <v>9</v>
      </c>
      <c r="H205" s="423">
        <f>SUM(M202)</f>
        <v>80141.838412</v>
      </c>
      <c r="I205" s="423">
        <f>SUM(AA202)</f>
        <v>152383.16</v>
      </c>
      <c r="J205" s="424">
        <f>SUM(H205-I205)</f>
        <v>-72241.321588</v>
      </c>
      <c r="K205" s="222">
        <v>7.20333695295215</v>
      </c>
      <c r="L205" s="425">
        <f>SUM(J205*K205)</f>
        <v>-520378.58132494</v>
      </c>
      <c r="M205" s="426"/>
      <c r="N205" s="426"/>
      <c r="O205" s="426"/>
      <c r="P205" s="426"/>
      <c r="Q205" s="269"/>
      <c r="R205"/>
      <c r="S205" s="270"/>
      <c r="T205"/>
      <c r="U205"/>
      <c r="V205"/>
      <c r="X205" s="427"/>
      <c r="Y205" s="428"/>
      <c r="Z205" s="428"/>
      <c r="AA205" s="428"/>
      <c r="AB205" s="429"/>
      <c r="AC205" s="429"/>
    </row>
    <row r="206" ht="20.5" customHeight="1" spans="1:31">
      <c r="H206" s="430"/>
      <c r="I206" s="430"/>
      <c r="J206" s="431"/>
      <c r="K206" s="432"/>
      <c r="L206" s="433"/>
      <c r="M206" s="426"/>
      <c r="N206" s="434"/>
      <c r="O206" s="435"/>
      <c r="P206" s="426"/>
      <c r="Q206" s="269"/>
      <c r="R206"/>
      <c r="S206" s="270"/>
      <c r="T206"/>
      <c r="U206"/>
      <c r="V206"/>
      <c r="X206" s="427"/>
      <c r="Y206" s="428"/>
      <c r="Z206" s="428"/>
      <c r="AA206" s="428"/>
      <c r="AB206" s="429"/>
      <c r="AC206" s="429"/>
    </row>
    <row r="207" s="263" customFormat="1" ht="26" customHeight="1" spans="1:31">
      <c r="A207" s="302"/>
      <c r="D207" s="410"/>
      <c r="G207" s="436" t="s">
        <v>70</v>
      </c>
      <c r="H207" s="437" t="s">
        <v>75</v>
      </c>
      <c r="I207" s="438"/>
      <c r="J207" s="438"/>
      <c r="K207" s="439"/>
      <c r="L207" s="440" t="s">
        <v>10</v>
      </c>
      <c r="M207" s="441" t="s">
        <v>76</v>
      </c>
      <c r="N207" s="441" t="s">
        <v>77</v>
      </c>
      <c r="O207" s="442" t="s">
        <v>16</v>
      </c>
      <c r="Q207" s="418"/>
      <c r="R207" s="263"/>
      <c r="S207" s="419"/>
      <c r="T207" s="263"/>
      <c r="U207" s="263"/>
      <c r="V207" s="263"/>
      <c r="W207" s="303"/>
      <c r="X207" s="298"/>
      <c r="Y207" s="420"/>
      <c r="Z207" s="420"/>
      <c r="AA207" s="263"/>
      <c r="AB207" s="422"/>
      <c r="AC207" s="422"/>
    </row>
    <row r="208" s="263" customFormat="1" ht="26" customHeight="1" spans="1:31">
      <c r="A208" s="302"/>
      <c r="D208" s="410"/>
      <c r="G208" s="443"/>
      <c r="H208" s="413" t="s">
        <v>17</v>
      </c>
      <c r="I208" s="412" t="s">
        <v>78</v>
      </c>
      <c r="J208" s="411" t="s">
        <v>22</v>
      </c>
      <c r="K208" s="444" t="s">
        <v>79</v>
      </c>
      <c r="L208" s="445"/>
      <c r="M208" s="446"/>
      <c r="N208" s="446"/>
      <c r="O208" s="447"/>
      <c r="Q208" s="418"/>
      <c r="R208" s="263"/>
      <c r="S208" s="419"/>
      <c r="T208" s="263"/>
      <c r="U208" s="263"/>
      <c r="V208" s="263"/>
      <c r="W208" s="303"/>
      <c r="X208" s="298"/>
      <c r="Y208" s="420"/>
      <c r="Z208" s="420"/>
      <c r="AA208" s="263"/>
      <c r="AB208" s="422"/>
      <c r="AC208" s="422"/>
    </row>
    <row r="209" s="262" customFormat="1" ht="28.5" customHeight="1" spans="1:29">
      <c r="A209" s="301"/>
      <c r="D209" s="410"/>
      <c r="G209" s="411">
        <v>9</v>
      </c>
      <c r="H209" s="448">
        <f>SUM(I202)</f>
        <v>1576194.11</v>
      </c>
      <c r="I209" s="407">
        <f>SUM(M202)</f>
        <v>80141.838412</v>
      </c>
      <c r="J209" s="222">
        <v>7.20333695295215</v>
      </c>
      <c r="K209" s="448">
        <f>SUM(I209*J209)</f>
        <v>577288.66611068</v>
      </c>
      <c r="L209" s="449">
        <f>SUM(H209+K209)</f>
        <v>2153482.77611068</v>
      </c>
      <c r="M209" s="448">
        <f>SUM(W202)</f>
        <v>761230.6</v>
      </c>
      <c r="N209" s="450">
        <f>SUM(AC202)</f>
        <v>1101621.3568</v>
      </c>
      <c r="O209" s="451">
        <f>SUM(L209-M209-N209)</f>
        <v>290630.81931068</v>
      </c>
      <c r="Q209" s="452"/>
      <c r="S209" s="453"/>
      <c r="W209" s="298"/>
      <c r="X209" s="454"/>
      <c r="Y209" s="454"/>
      <c r="Z209" s="454"/>
      <c r="AA209" s="454"/>
      <c r="AB209" s="455"/>
      <c r="AC209" s="455"/>
    </row>
  </sheetData>
  <autoFilter xmlns:etc="http://www.wps.cn/officeDocument/2017/etCustomData" ref="H4:K202" etc:filterBottomFollowUsedRange="0">
    <extLst/>
  </autoFilter>
  <mergeCells count="226">
    <mergeCell ref="A1:AA1"/>
    <mergeCell ref="I3:O3"/>
    <mergeCell ref="Q3:U3"/>
    <mergeCell ref="X3:AC3"/>
    <mergeCell ref="A202:B202"/>
    <mergeCell ref="H207:K207"/>
    <mergeCell ref="A3:A4"/>
    <mergeCell ref="A5:A29"/>
    <mergeCell ref="A31:A51"/>
    <mergeCell ref="A52:A61"/>
    <mergeCell ref="A62:A71"/>
    <mergeCell ref="A72:A89"/>
    <mergeCell ref="A90:A115"/>
    <mergeCell ref="A116:A136"/>
    <mergeCell ref="A137:A161"/>
    <mergeCell ref="A162:A181"/>
    <mergeCell ref="A182:A190"/>
    <mergeCell ref="A191:A201"/>
    <mergeCell ref="B3:B4"/>
    <mergeCell ref="B5:B29"/>
    <mergeCell ref="B31:B51"/>
    <mergeCell ref="B52:B61"/>
    <mergeCell ref="B62:B71"/>
    <mergeCell ref="B72:B89"/>
    <mergeCell ref="B90:B115"/>
    <mergeCell ref="B116:B136"/>
    <mergeCell ref="B137:B161"/>
    <mergeCell ref="B162:B181"/>
    <mergeCell ref="B182:B190"/>
    <mergeCell ref="B191:B201"/>
    <mergeCell ref="C3:C4"/>
    <mergeCell ref="D3:D4"/>
    <mergeCell ref="E3:E4"/>
    <mergeCell ref="F3:F4"/>
    <mergeCell ref="G3:G4"/>
    <mergeCell ref="G207:G208"/>
    <mergeCell ref="H3:H4"/>
    <mergeCell ref="L207:L208"/>
    <mergeCell ref="M207:M208"/>
    <mergeCell ref="N207:N208"/>
    <mergeCell ref="O207:O208"/>
    <mergeCell ref="P3:P4"/>
    <mergeCell ref="P5:P29"/>
    <mergeCell ref="P31:P51"/>
    <mergeCell ref="P52:P61"/>
    <mergeCell ref="P62:P71"/>
    <mergeCell ref="P72:P89"/>
    <mergeCell ref="P90:P115"/>
    <mergeCell ref="P116:P136"/>
    <mergeCell ref="P137:P161"/>
    <mergeCell ref="P162:P181"/>
    <mergeCell ref="P182:P190"/>
    <mergeCell ref="P191:P201"/>
    <mergeCell ref="Q5:Q29"/>
    <mergeCell ref="Q31:Q51"/>
    <mergeCell ref="Q52:Q61"/>
    <mergeCell ref="Q62:Q71"/>
    <mergeCell ref="Q72:Q89"/>
    <mergeCell ref="Q90:Q115"/>
    <mergeCell ref="Q116:Q136"/>
    <mergeCell ref="Q137:Q161"/>
    <mergeCell ref="Q162:Q181"/>
    <mergeCell ref="Q182:Q190"/>
    <mergeCell ref="Q191:Q201"/>
    <mergeCell ref="R5:R29"/>
    <mergeCell ref="R31:R51"/>
    <mergeCell ref="R52:R61"/>
    <mergeCell ref="R62:R71"/>
    <mergeCell ref="R72:R89"/>
    <mergeCell ref="R90:R115"/>
    <mergeCell ref="R116:R136"/>
    <mergeCell ref="R137:R161"/>
    <mergeCell ref="R162:R181"/>
    <mergeCell ref="R182:R190"/>
    <mergeCell ref="R191:R201"/>
    <mergeCell ref="S5:S29"/>
    <mergeCell ref="S31:S51"/>
    <mergeCell ref="S52:S61"/>
    <mergeCell ref="S62:S71"/>
    <mergeCell ref="S72:S89"/>
    <mergeCell ref="S90:S115"/>
    <mergeCell ref="S116:S136"/>
    <mergeCell ref="S137:S161"/>
    <mergeCell ref="S162:S181"/>
    <mergeCell ref="S182:S190"/>
    <mergeCell ref="S191:S201"/>
    <mergeCell ref="T5:T29"/>
    <mergeCell ref="T31:T51"/>
    <mergeCell ref="T52:T61"/>
    <mergeCell ref="T62:T71"/>
    <mergeCell ref="T72:T89"/>
    <mergeCell ref="T90:T115"/>
    <mergeCell ref="T116:T136"/>
    <mergeCell ref="T137:T161"/>
    <mergeCell ref="T162:T181"/>
    <mergeCell ref="T182:T190"/>
    <mergeCell ref="T191:T201"/>
    <mergeCell ref="U6:U9"/>
    <mergeCell ref="U11:U29"/>
    <mergeCell ref="U31:U32"/>
    <mergeCell ref="U34:U51"/>
    <mergeCell ref="U55:U61"/>
    <mergeCell ref="U63:U71"/>
    <mergeCell ref="U73:U89"/>
    <mergeCell ref="U90:U113"/>
    <mergeCell ref="U140:U143"/>
    <mergeCell ref="U146:U161"/>
    <mergeCell ref="U162:U170"/>
    <mergeCell ref="U172:U181"/>
    <mergeCell ref="U182:U190"/>
    <mergeCell ref="U191:U201"/>
    <mergeCell ref="V3:V4"/>
    <mergeCell ref="V5:V9"/>
    <mergeCell ref="V11:V29"/>
    <mergeCell ref="V31:V34"/>
    <mergeCell ref="V36:V51"/>
    <mergeCell ref="V52:V61"/>
    <mergeCell ref="V62:V71"/>
    <mergeCell ref="V72:V89"/>
    <mergeCell ref="V90:V115"/>
    <mergeCell ref="V116:V136"/>
    <mergeCell ref="V137:V146"/>
    <mergeCell ref="V148:V161"/>
    <mergeCell ref="V162:V181"/>
    <mergeCell ref="V182:V190"/>
    <mergeCell ref="V191:V201"/>
    <mergeCell ref="W3:W4"/>
    <mergeCell ref="W5:W29"/>
    <mergeCell ref="W31:W51"/>
    <mergeCell ref="W52:W61"/>
    <mergeCell ref="W62:W71"/>
    <mergeCell ref="W72:W89"/>
    <mergeCell ref="W90:W115"/>
    <mergeCell ref="W116:W136"/>
    <mergeCell ref="W137:W161"/>
    <mergeCell ref="W162:W181"/>
    <mergeCell ref="W182:W190"/>
    <mergeCell ref="W191:W201"/>
    <mergeCell ref="X5:X29"/>
    <mergeCell ref="X31:X51"/>
    <mergeCell ref="X52:X61"/>
    <mergeCell ref="X62:X71"/>
    <mergeCell ref="X72:X89"/>
    <mergeCell ref="X90:X115"/>
    <mergeCell ref="X116:X136"/>
    <mergeCell ref="X137:X161"/>
    <mergeCell ref="X162:X181"/>
    <mergeCell ref="X182:X190"/>
    <mergeCell ref="X191:X201"/>
    <mergeCell ref="Y10:Y23"/>
    <mergeCell ref="Y25:Y27"/>
    <mergeCell ref="Y72:Y74"/>
    <mergeCell ref="Y76:Y81"/>
    <mergeCell ref="Y85:Y89"/>
    <mergeCell ref="Y90:Y92"/>
    <mergeCell ref="Y96:Y100"/>
    <mergeCell ref="Y103:Y115"/>
    <mergeCell ref="Y137:Y142"/>
    <mergeCell ref="Y145:Y146"/>
    <mergeCell ref="Y149:Y161"/>
    <mergeCell ref="Z5:Z29"/>
    <mergeCell ref="Z52:Z61"/>
    <mergeCell ref="Z62:Z71"/>
    <mergeCell ref="Z72:Z89"/>
    <mergeCell ref="Z90:Z115"/>
    <mergeCell ref="Z116:Z136"/>
    <mergeCell ref="Z137:Z161"/>
    <mergeCell ref="Z162:Z181"/>
    <mergeCell ref="Z182:Z190"/>
    <mergeCell ref="Z191:Z201"/>
    <mergeCell ref="AA5:AA29"/>
    <mergeCell ref="AA31:AA51"/>
    <mergeCell ref="AA52:AA61"/>
    <mergeCell ref="AA62:AA71"/>
    <mergeCell ref="AA72:AA89"/>
    <mergeCell ref="AA90:AA115"/>
    <mergeCell ref="AA116:AA136"/>
    <mergeCell ref="AA137:AA161"/>
    <mergeCell ref="AA162:AA181"/>
    <mergeCell ref="AA182:AA190"/>
    <mergeCell ref="AA191:AA201"/>
    <mergeCell ref="AB5:AB29"/>
    <mergeCell ref="AB31:AB51"/>
    <mergeCell ref="AB52:AB61"/>
    <mergeCell ref="AB62:AB71"/>
    <mergeCell ref="AB72:AB89"/>
    <mergeCell ref="AB90:AB115"/>
    <mergeCell ref="AB116:AB136"/>
    <mergeCell ref="AB137:AB161"/>
    <mergeCell ref="AB162:AB181"/>
    <mergeCell ref="AB182:AB190"/>
    <mergeCell ref="AB191:AB201"/>
    <mergeCell ref="AC5:AC29"/>
    <mergeCell ref="AC31:AC51"/>
    <mergeCell ref="AC52:AC61"/>
    <mergeCell ref="AC62:AC71"/>
    <mergeCell ref="AC72:AC89"/>
    <mergeCell ref="AC90:AC115"/>
    <mergeCell ref="AC116:AC136"/>
    <mergeCell ref="AC137:AC161"/>
    <mergeCell ref="AC162:AC181"/>
    <mergeCell ref="AC182:AC190"/>
    <mergeCell ref="AC191:AC201"/>
    <mergeCell ref="AD5:AD29"/>
    <mergeCell ref="AD31:AD51"/>
    <mergeCell ref="AD52:AD61"/>
    <mergeCell ref="AD62:AD71"/>
    <mergeCell ref="AD72:AD89"/>
    <mergeCell ref="AD90:AD115"/>
    <mergeCell ref="AD116:AD136"/>
    <mergeCell ref="AD137:AD161"/>
    <mergeCell ref="AD162:AD181"/>
    <mergeCell ref="AD182:AD190"/>
    <mergeCell ref="AD191:AD201"/>
    <mergeCell ref="AE3:AE4"/>
    <mergeCell ref="AE5:AE29"/>
    <mergeCell ref="AE31:AE51"/>
    <mergeCell ref="AE52:AE61"/>
    <mergeCell ref="AE62:AE71"/>
    <mergeCell ref="AE72:AE89"/>
    <mergeCell ref="AE90:AE115"/>
    <mergeCell ref="AE116:AE136"/>
    <mergeCell ref="AE137:AE161"/>
    <mergeCell ref="AE162:AE181"/>
    <mergeCell ref="AE182:AE190"/>
    <mergeCell ref="AE191:AE201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E13"/>
  <sheetViews>
    <sheetView workbookViewId="0">
      <pane xSplit="6" ySplit="4" topLeftCell="O5" activePane="bottomRight" state="frozen"/>
      <selection/>
      <selection pane="topRight"/>
      <selection pane="bottomLeft"/>
      <selection pane="bottomRight" activeCell="L9" sqref="L9"/>
    </sheetView>
  </sheetViews>
  <sheetFormatPr defaultColWidth="9" defaultRowHeight="21" customHeight="1"/>
  <cols>
    <col min="1" max="1" width="9.36666666666667" style="266" customWidth="1"/>
    <col min="2" max="2" width="10.3666666666667" customWidth="1"/>
    <col min="3" max="3" width="11.3666666666667" customWidth="1"/>
    <col min="4" max="4" width="7.26666666666667" style="267" customWidth="1"/>
    <col min="5" max="5" width="5.725" customWidth="1"/>
    <col min="6" max="6" width="5.63333333333333" customWidth="1"/>
    <col min="7" max="7" width="8.26666666666667" customWidth="1"/>
    <col min="8" max="8" width="12.3666666666667" customWidth="1"/>
    <col min="9" max="9" width="14.3666666666667" style="268" customWidth="1"/>
    <col min="10" max="10" width="14.45" style="98" customWidth="1"/>
    <col min="11" max="11" width="12.6333333333333" style="269" customWidth="1"/>
    <col min="12" max="12" width="15.625" customWidth="1"/>
    <col min="13" max="13" width="12.0916666666667" style="270" customWidth="1"/>
    <col min="14" max="14" width="12.9083333333333" customWidth="1"/>
    <col min="15" max="16" width="13" customWidth="1"/>
    <col min="17" max="17" width="9.36666666666667" customWidth="1"/>
    <col min="18" max="18" width="11.1833333333333" style="98" customWidth="1"/>
    <col min="19" max="19" width="12.9083333333333" customWidth="1"/>
    <col min="20" max="20" width="10.2666666666667" style="271" customWidth="1"/>
    <col min="21" max="21" width="9" style="271" customWidth="1"/>
    <col min="22" max="22" width="8.18333333333333" style="271" customWidth="1"/>
    <col min="23" max="23" width="11.1833333333333" style="271" customWidth="1"/>
    <col min="24" max="24" width="11.1833333333333" customWidth="1"/>
    <col min="25" max="25" width="10.0916666666667" customWidth="1"/>
    <col min="26" max="26" width="7" customWidth="1"/>
    <col min="27" max="27" width="12.2666666666667" customWidth="1"/>
    <col min="28" max="28" width="6.18333333333333" customWidth="1"/>
    <col min="29" max="29" width="10.2666666666667" customWidth="1"/>
    <col min="30" max="30" width="10.8166666666667" customWidth="1"/>
    <col min="31" max="31" width="9.81666666666667" customWidth="1"/>
  </cols>
  <sheetData>
    <row r="1" ht="32" customHeight="1" spans="1:31">
      <c r="A1" s="272" t="s">
        <v>0</v>
      </c>
      <c r="B1" s="273"/>
      <c r="C1" s="274"/>
      <c r="D1" s="275"/>
      <c r="E1" s="276"/>
      <c r="F1" s="276"/>
      <c r="G1" s="275"/>
      <c r="H1" s="277"/>
      <c r="I1" s="278"/>
      <c r="J1" s="279"/>
      <c r="K1" s="280"/>
      <c r="L1" s="279"/>
      <c r="M1" s="281"/>
      <c r="N1" s="282"/>
      <c r="O1" s="283"/>
      <c r="P1" s="284"/>
      <c r="Q1" s="276"/>
      <c r="R1" s="285"/>
      <c r="S1" s="276"/>
      <c r="T1" s="285"/>
      <c r="U1" s="276"/>
      <c r="V1" s="285"/>
      <c r="W1" s="286"/>
      <c r="X1" s="281"/>
      <c r="Y1" s="280"/>
      <c r="Z1" s="281"/>
      <c r="AA1" s="281"/>
      <c r="AB1" s="287"/>
      <c r="AC1" s="288"/>
      <c r="AD1" s="289"/>
      <c r="AE1" s="289"/>
    </row>
    <row r="2" s="263" customFormat="1" ht="4" customHeight="1" spans="1:31">
      <c r="A2" s="290"/>
      <c r="B2" s="273"/>
      <c r="C2" s="291"/>
      <c r="D2" s="292"/>
      <c r="E2" s="273"/>
      <c r="F2" s="273"/>
      <c r="G2" s="292"/>
      <c r="H2" s="293"/>
      <c r="I2" s="294"/>
      <c r="J2" s="295"/>
      <c r="K2" s="296"/>
      <c r="L2" s="297"/>
      <c r="M2" s="298"/>
      <c r="N2" s="299"/>
      <c r="O2" s="300"/>
      <c r="P2" s="288"/>
      <c r="Q2" s="301"/>
      <c r="R2" s="288"/>
      <c r="S2" s="302"/>
      <c r="T2" s="288"/>
      <c r="U2" s="302"/>
      <c r="V2" s="303"/>
      <c r="W2" s="304"/>
      <c r="X2" s="298"/>
      <c r="Y2" s="305"/>
      <c r="Z2" s="298"/>
      <c r="AA2" s="298"/>
      <c r="AB2" s="287"/>
      <c r="AC2" s="288"/>
      <c r="AD2" s="288"/>
      <c r="AE2" s="288"/>
    </row>
    <row r="3" s="231" customFormat="1" ht="23" customHeight="1" spans="1:31">
      <c r="A3" s="306" t="s">
        <v>1</v>
      </c>
      <c r="B3" s="307" t="s">
        <v>2</v>
      </c>
      <c r="C3" s="308" t="s">
        <v>3</v>
      </c>
      <c r="D3" s="309" t="s">
        <v>4</v>
      </c>
      <c r="E3" s="310" t="s">
        <v>5</v>
      </c>
      <c r="F3" s="310" t="s">
        <v>6</v>
      </c>
      <c r="G3" s="311" t="s">
        <v>7</v>
      </c>
      <c r="H3" s="312" t="s">
        <v>8</v>
      </c>
      <c r="I3" s="313" t="s">
        <v>9</v>
      </c>
      <c r="J3" s="314"/>
      <c r="K3" s="315"/>
      <c r="L3" s="316"/>
      <c r="M3" s="315"/>
      <c r="N3" s="317"/>
      <c r="O3" s="318"/>
      <c r="P3" s="319" t="s">
        <v>10</v>
      </c>
      <c r="Q3" s="320" t="s">
        <v>11</v>
      </c>
      <c r="R3" s="321"/>
      <c r="S3" s="322"/>
      <c r="T3" s="321"/>
      <c r="U3" s="323"/>
      <c r="V3" s="324" t="s">
        <v>12</v>
      </c>
      <c r="W3" s="325" t="s">
        <v>13</v>
      </c>
      <c r="X3" s="326" t="s">
        <v>14</v>
      </c>
      <c r="Y3" s="327"/>
      <c r="Z3" s="326"/>
      <c r="AA3" s="326"/>
      <c r="AB3" s="328"/>
      <c r="AC3" s="326"/>
      <c r="AD3" s="329" t="s">
        <v>15</v>
      </c>
      <c r="AE3" s="330" t="s">
        <v>16</v>
      </c>
    </row>
    <row r="4" s="231" customFormat="1" ht="40.5" spans="1:31">
      <c r="A4" s="331"/>
      <c r="B4" s="332"/>
      <c r="C4" s="308"/>
      <c r="D4" s="309"/>
      <c r="E4" s="333"/>
      <c r="F4" s="333"/>
      <c r="G4" s="334"/>
      <c r="H4" s="333"/>
      <c r="I4" s="335" t="s">
        <v>17</v>
      </c>
      <c r="J4" s="336" t="s">
        <v>18</v>
      </c>
      <c r="K4" s="337" t="s">
        <v>19</v>
      </c>
      <c r="L4" s="338" t="s">
        <v>20</v>
      </c>
      <c r="M4" s="339" t="s">
        <v>21</v>
      </c>
      <c r="N4" s="340" t="s">
        <v>22</v>
      </c>
      <c r="O4" s="341" t="s">
        <v>23</v>
      </c>
      <c r="P4" s="342"/>
      <c r="Q4" s="343" t="s">
        <v>24</v>
      </c>
      <c r="R4" s="457" t="s">
        <v>81</v>
      </c>
      <c r="S4" s="345" t="s">
        <v>26</v>
      </c>
      <c r="T4" s="344" t="s">
        <v>27</v>
      </c>
      <c r="U4" s="345" t="s">
        <v>28</v>
      </c>
      <c r="V4" s="346"/>
      <c r="W4" s="347"/>
      <c r="X4" s="348" t="s">
        <v>29</v>
      </c>
      <c r="Y4" s="349" t="s">
        <v>30</v>
      </c>
      <c r="Z4" s="348" t="s">
        <v>31</v>
      </c>
      <c r="AA4" s="326" t="s">
        <v>32</v>
      </c>
      <c r="AB4" s="350" t="s">
        <v>33</v>
      </c>
      <c r="AC4" s="351" t="s">
        <v>23</v>
      </c>
      <c r="AD4" s="352" t="s">
        <v>34</v>
      </c>
      <c r="AE4" s="353"/>
    </row>
    <row r="5" s="456" customFormat="1" ht="46" customHeight="1" spans="1:31">
      <c r="A5" s="458" t="s">
        <v>298</v>
      </c>
      <c r="B5" s="459" t="s">
        <v>299</v>
      </c>
      <c r="C5" s="460">
        <v>241018000035</v>
      </c>
      <c r="D5" s="461">
        <v>45551</v>
      </c>
      <c r="E5" s="459" t="s">
        <v>40</v>
      </c>
      <c r="F5" s="459" t="s">
        <v>134</v>
      </c>
      <c r="G5" s="462">
        <v>68</v>
      </c>
      <c r="H5" s="462">
        <v>16880.28</v>
      </c>
      <c r="I5" s="463">
        <v>51892</v>
      </c>
      <c r="J5" s="464">
        <v>21300000</v>
      </c>
      <c r="K5" s="465" t="s">
        <v>242</v>
      </c>
      <c r="L5" s="466">
        <f>SUM(J5/M5)</f>
        <v>1745.0005325119</v>
      </c>
      <c r="M5" s="467">
        <v>12206.3</v>
      </c>
      <c r="N5" s="468">
        <v>7.12</v>
      </c>
      <c r="O5" s="469">
        <f>SUM(M5*N5)+I5</f>
        <v>138800.856</v>
      </c>
      <c r="P5" s="470">
        <f>SUM(O5)</f>
        <v>138800.856</v>
      </c>
      <c r="Q5" s="471" t="s">
        <v>300</v>
      </c>
      <c r="R5" s="470">
        <v>45476</v>
      </c>
      <c r="S5" s="470"/>
      <c r="T5" s="470"/>
      <c r="U5" s="470"/>
      <c r="V5" s="470"/>
      <c r="W5" s="470">
        <f>SUM(R5:V5)</f>
        <v>45476</v>
      </c>
      <c r="X5" s="472">
        <v>10888.25</v>
      </c>
      <c r="Y5" s="472"/>
      <c r="Z5" s="472"/>
      <c r="AA5" s="472">
        <f>SUM(X5:Z5)</f>
        <v>10888.25</v>
      </c>
      <c r="AB5" s="473">
        <v>7.12</v>
      </c>
      <c r="AC5" s="470">
        <f>SUM(AA5*AB5)</f>
        <v>77524.34</v>
      </c>
      <c r="AD5" s="470">
        <f>SUM(W5+AC5)</f>
        <v>123000.34</v>
      </c>
      <c r="AE5" s="470">
        <f>SUM(P5-AD5)</f>
        <v>15800.516</v>
      </c>
    </row>
    <row r="6" s="263" customFormat="1" ht="25.5" customHeight="1" spans="1:31">
      <c r="A6" s="400" t="s">
        <v>69</v>
      </c>
      <c r="B6" s="401"/>
      <c r="C6" s="402"/>
      <c r="D6" s="403"/>
      <c r="E6" s="402"/>
      <c r="F6" s="402"/>
      <c r="G6" s="474">
        <f>SUM(G5)</f>
        <v>68</v>
      </c>
      <c r="H6" s="474">
        <f t="shared" ref="H6:P6" si="0">SUM(H5)</f>
        <v>16880.28</v>
      </c>
      <c r="I6" s="475">
        <f t="shared" si="0"/>
        <v>51892</v>
      </c>
      <c r="J6" s="474">
        <f t="shared" si="0"/>
        <v>21300000</v>
      </c>
      <c r="K6" s="406">
        <f t="shared" si="0"/>
        <v>0</v>
      </c>
      <c r="L6" s="474">
        <f t="shared" si="0"/>
        <v>1745.0005325119</v>
      </c>
      <c r="M6" s="406">
        <f t="shared" si="0"/>
        <v>12206.3</v>
      </c>
      <c r="N6" s="474">
        <f t="shared" si="0"/>
        <v>7.12</v>
      </c>
      <c r="O6" s="475">
        <f t="shared" si="0"/>
        <v>138800.856</v>
      </c>
      <c r="P6" s="475">
        <f t="shared" si="0"/>
        <v>138800.856</v>
      </c>
      <c r="Q6" s="476" t="e">
        <f>SUM(#REF!)</f>
        <v>#REF!</v>
      </c>
      <c r="R6" s="476">
        <f>SUM(R5)</f>
        <v>45476</v>
      </c>
      <c r="S6" s="476">
        <f t="shared" ref="S6:X6" si="1">SUM(S5)</f>
        <v>0</v>
      </c>
      <c r="T6" s="476">
        <f t="shared" si="1"/>
        <v>0</v>
      </c>
      <c r="U6" s="476"/>
      <c r="V6" s="476"/>
      <c r="W6" s="476">
        <f t="shared" si="1"/>
        <v>45476</v>
      </c>
      <c r="X6" s="407">
        <f t="shared" si="1"/>
        <v>10888.25</v>
      </c>
      <c r="Y6" s="407"/>
      <c r="Z6" s="407"/>
      <c r="AA6" s="407">
        <f t="shared" ref="Y6:AC6" si="2">SUM(AA5)</f>
        <v>10888.25</v>
      </c>
      <c r="AB6" s="477">
        <f t="shared" si="2"/>
        <v>7.12</v>
      </c>
      <c r="AC6" s="409">
        <f t="shared" si="2"/>
        <v>77524.34</v>
      </c>
      <c r="AD6" s="409">
        <f t="shared" ref="AD6:AE6" si="3">SUM(AD5)</f>
        <v>123000.34</v>
      </c>
      <c r="AE6" s="409">
        <f t="shared" si="3"/>
        <v>15800.516</v>
      </c>
    </row>
    <row r="7" customHeight="1" spans="1:31">
      <c r="Y7" s="271"/>
      <c r="Z7" s="271"/>
    </row>
    <row r="8" s="263" customFormat="1" ht="40" customHeight="1" spans="1:31">
      <c r="A8" s="302"/>
      <c r="D8" s="410"/>
      <c r="G8" s="411" t="s">
        <v>70</v>
      </c>
      <c r="H8" s="412" t="s">
        <v>71</v>
      </c>
      <c r="I8" s="413" t="s">
        <v>72</v>
      </c>
      <c r="J8" s="414" t="s">
        <v>73</v>
      </c>
      <c r="K8" s="411" t="s">
        <v>22</v>
      </c>
      <c r="L8" s="414" t="s">
        <v>74</v>
      </c>
      <c r="M8" s="415"/>
      <c r="N8" s="416"/>
      <c r="O8" s="417"/>
      <c r="P8" s="263"/>
      <c r="Q8" s="418"/>
      <c r="R8" s="263"/>
      <c r="S8" s="419"/>
      <c r="T8" s="263"/>
      <c r="U8" s="263"/>
      <c r="V8" s="263"/>
      <c r="W8" s="303"/>
      <c r="X8" s="298"/>
      <c r="Y8" s="420"/>
      <c r="Z8" s="420"/>
      <c r="AA8" s="421"/>
      <c r="AB8" s="422"/>
      <c r="AC8" s="422"/>
    </row>
    <row r="9" ht="28.5" customHeight="1" spans="1:31">
      <c r="G9" s="411">
        <v>11</v>
      </c>
      <c r="H9" s="423">
        <f>SUM(M6)</f>
        <v>12206.3</v>
      </c>
      <c r="I9" s="423">
        <f>SUM(AA6)</f>
        <v>10888.25</v>
      </c>
      <c r="J9" s="424">
        <f>SUM(H9-I9)</f>
        <v>1318.05</v>
      </c>
      <c r="K9" s="408">
        <v>7.12</v>
      </c>
      <c r="L9" s="425">
        <f>SUM(J9*K9)</f>
        <v>9384.51599999999</v>
      </c>
      <c r="M9" s="426"/>
      <c r="N9" s="426"/>
      <c r="O9" s="426"/>
      <c r="P9" s="426"/>
      <c r="Q9" s="269"/>
      <c r="R9"/>
      <c r="S9" s="270"/>
      <c r="T9"/>
      <c r="U9"/>
      <c r="V9"/>
      <c r="X9" s="427"/>
      <c r="Y9" s="428"/>
      <c r="Z9" s="428"/>
      <c r="AA9" s="428"/>
      <c r="AB9" s="429"/>
      <c r="AC9" s="429"/>
    </row>
    <row r="10" ht="20.5" customHeight="1" spans="1:31">
      <c r="H10" s="430"/>
      <c r="I10" s="430"/>
      <c r="J10" s="431"/>
      <c r="K10" s="432"/>
      <c r="L10" s="433"/>
      <c r="M10" s="426"/>
      <c r="N10" s="434"/>
      <c r="O10" s="435"/>
      <c r="P10" s="426"/>
      <c r="Q10" s="269"/>
      <c r="R10"/>
      <c r="S10" s="270"/>
      <c r="T10"/>
      <c r="U10"/>
      <c r="V10"/>
      <c r="X10" s="427"/>
      <c r="Y10" s="428"/>
      <c r="Z10" s="428"/>
      <c r="AA10" s="428"/>
      <c r="AB10" s="429"/>
      <c r="AC10" s="429"/>
    </row>
    <row r="11" s="263" customFormat="1" ht="26" customHeight="1" spans="1:31">
      <c r="A11" s="302"/>
      <c r="D11" s="410"/>
      <c r="G11" s="436" t="s">
        <v>70</v>
      </c>
      <c r="H11" s="437" t="s">
        <v>75</v>
      </c>
      <c r="I11" s="438"/>
      <c r="J11" s="438"/>
      <c r="K11" s="439"/>
      <c r="L11" s="440" t="s">
        <v>10</v>
      </c>
      <c r="M11" s="441" t="s">
        <v>76</v>
      </c>
      <c r="N11" s="441" t="s">
        <v>77</v>
      </c>
      <c r="O11" s="442" t="s">
        <v>16</v>
      </c>
      <c r="Q11" s="418"/>
      <c r="R11" s="263"/>
      <c r="S11" s="419"/>
      <c r="T11" s="263"/>
      <c r="U11" s="263"/>
      <c r="V11" s="263"/>
      <c r="W11" s="303"/>
      <c r="X11" s="298"/>
      <c r="Y11" s="420"/>
      <c r="Z11" s="420"/>
      <c r="AA11" s="263"/>
      <c r="AB11" s="422"/>
      <c r="AC11" s="422"/>
    </row>
    <row r="12" s="263" customFormat="1" ht="26" customHeight="1" spans="1:31">
      <c r="A12" s="302"/>
      <c r="D12" s="410"/>
      <c r="G12" s="443"/>
      <c r="H12" s="413" t="s">
        <v>17</v>
      </c>
      <c r="I12" s="412" t="s">
        <v>78</v>
      </c>
      <c r="J12" s="411" t="s">
        <v>22</v>
      </c>
      <c r="K12" s="444" t="s">
        <v>79</v>
      </c>
      <c r="L12" s="445"/>
      <c r="M12" s="446"/>
      <c r="N12" s="446"/>
      <c r="O12" s="447"/>
      <c r="Q12" s="418"/>
      <c r="R12" s="263"/>
      <c r="S12" s="419"/>
      <c r="T12" s="263"/>
      <c r="U12" s="263"/>
      <c r="V12" s="263"/>
      <c r="W12" s="303"/>
      <c r="X12" s="298"/>
      <c r="Y12" s="420"/>
      <c r="Z12" s="420"/>
      <c r="AA12" s="263"/>
      <c r="AB12" s="422"/>
      <c r="AC12" s="422"/>
    </row>
    <row r="13" s="262" customFormat="1" ht="28.5" customHeight="1" spans="1:31">
      <c r="A13" s="301"/>
      <c r="D13" s="410"/>
      <c r="G13" s="411">
        <v>11</v>
      </c>
      <c r="H13" s="448">
        <f>SUM(I6)</f>
        <v>51892</v>
      </c>
      <c r="I13" s="407">
        <f>SUM(M6)</f>
        <v>12206.3</v>
      </c>
      <c r="J13" s="408">
        <v>7.12</v>
      </c>
      <c r="K13" s="448">
        <f>SUM(I13*J13)</f>
        <v>86908.856</v>
      </c>
      <c r="L13" s="449">
        <f>SUM(H13+K13)</f>
        <v>138800.856</v>
      </c>
      <c r="M13" s="448">
        <f>SUM(W6)</f>
        <v>45476</v>
      </c>
      <c r="N13" s="450">
        <f>SUM(AC6)</f>
        <v>77524.34</v>
      </c>
      <c r="O13" s="451">
        <f>SUM(L13-M13-N13)</f>
        <v>15800.516</v>
      </c>
      <c r="Q13" s="452"/>
      <c r="S13" s="453"/>
      <c r="W13" s="298"/>
      <c r="X13" s="454"/>
      <c r="Y13" s="454"/>
      <c r="Z13" s="454"/>
      <c r="AA13" s="454"/>
      <c r="AB13" s="455"/>
      <c r="AC13" s="455"/>
    </row>
  </sheetData>
  <autoFilter xmlns:etc="http://www.wps.cn/officeDocument/2017/etCustomData" ref="H4:K9" etc:filterBottomFollowUsedRange="0">
    <extLst/>
  </autoFilter>
  <mergeCells count="23">
    <mergeCell ref="A1:AA1"/>
    <mergeCell ref="I3:O3"/>
    <mergeCell ref="Q3:U3"/>
    <mergeCell ref="X3:AC3"/>
    <mergeCell ref="A6:B6"/>
    <mergeCell ref="H11:K11"/>
    <mergeCell ref="A3:A4"/>
    <mergeCell ref="B3:B4"/>
    <mergeCell ref="C3:C4"/>
    <mergeCell ref="D3:D4"/>
    <mergeCell ref="E3:E4"/>
    <mergeCell ref="F3:F4"/>
    <mergeCell ref="G3:G4"/>
    <mergeCell ref="G11:G12"/>
    <mergeCell ref="H3:H4"/>
    <mergeCell ref="L11:L12"/>
    <mergeCell ref="M11:M12"/>
    <mergeCell ref="N11:N12"/>
    <mergeCell ref="O11:O12"/>
    <mergeCell ref="P3:P4"/>
    <mergeCell ref="V3:V4"/>
    <mergeCell ref="W3:W4"/>
    <mergeCell ref="AE3:AE4"/>
  </mergeCells>
  <pageMargins left="0.275" right="0.118055555555556" top="0.786805555555556" bottom="0.590277777777778" header="0.313888888888889" footer="0.196527777777778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AE295"/>
  <sheetViews>
    <sheetView workbookViewId="0">
      <pane xSplit="6" ySplit="4" topLeftCell="P277" activePane="bottomRight" state="frozen"/>
      <selection/>
      <selection pane="topRight"/>
      <selection pane="bottomLeft"/>
      <selection pane="bottomRight" activeCell="AD3" sqref="AD3:AD4"/>
    </sheetView>
  </sheetViews>
  <sheetFormatPr defaultColWidth="9" defaultRowHeight="21" customHeight="1"/>
  <cols>
    <col min="1" max="1" width="9.36666666666667" style="266" customWidth="1"/>
    <col min="2" max="2" width="10.3666666666667" customWidth="1"/>
    <col min="3" max="3" width="11.3666666666667" customWidth="1"/>
    <col min="4" max="4" width="7.26666666666667" style="267" customWidth="1"/>
    <col min="5" max="5" width="5.725" customWidth="1"/>
    <col min="6" max="6" width="5.63333333333333" customWidth="1"/>
    <col min="7" max="7" width="8.26666666666667" customWidth="1"/>
    <col min="8" max="8" width="13.8166666666667" customWidth="1"/>
    <col min="9" max="9" width="14.3666666666667" style="268" customWidth="1"/>
    <col min="10" max="10" width="18.1833333333333" customWidth="1"/>
    <col min="11" max="11" width="12.6333333333333" style="269" customWidth="1"/>
    <col min="12" max="12" width="15.125" customWidth="1"/>
    <col min="13" max="13" width="12.0916666666667" style="270" customWidth="1"/>
    <col min="14" max="14" width="12.9083333333333" customWidth="1"/>
    <col min="15" max="16" width="12.0916666666667" customWidth="1"/>
    <col min="17" max="17" width="9.26666666666667" customWidth="1"/>
    <col min="18" max="18" width="9.63333333333333" style="98" customWidth="1"/>
    <col min="19" max="19" width="12.9083333333333" customWidth="1"/>
    <col min="20" max="20" width="10.2666666666667" style="271" customWidth="1"/>
    <col min="21" max="21" width="9.36666666666667" style="271" customWidth="1"/>
    <col min="22" max="22" width="9" style="271" customWidth="1"/>
    <col min="23" max="23" width="10.2666666666667" style="271" customWidth="1"/>
    <col min="24" max="24" width="12.0916666666667" customWidth="1"/>
    <col min="25" max="25" width="10.0916666666667" customWidth="1"/>
    <col min="26" max="27" width="12.2666666666667" customWidth="1"/>
    <col min="28" max="28" width="9.09166666666667" customWidth="1"/>
    <col min="29" max="29" width="13" customWidth="1"/>
    <col min="30" max="30" width="13.0916666666667" customWidth="1"/>
    <col min="31" max="31" width="11.1833333333333" customWidth="1"/>
  </cols>
  <sheetData>
    <row r="1" ht="32" customHeight="1" spans="1:31">
      <c r="A1" s="272" t="s">
        <v>0</v>
      </c>
      <c r="B1" s="273"/>
      <c r="C1" s="274"/>
      <c r="D1" s="275"/>
      <c r="E1" s="276"/>
      <c r="F1" s="276"/>
      <c r="G1" s="275"/>
      <c r="H1" s="277"/>
      <c r="I1" s="278"/>
      <c r="J1" s="279"/>
      <c r="K1" s="280"/>
      <c r="L1" s="279"/>
      <c r="M1" s="281"/>
      <c r="N1" s="282"/>
      <c r="O1" s="283"/>
      <c r="P1" s="284"/>
      <c r="Q1" s="276"/>
      <c r="R1" s="285"/>
      <c r="S1" s="276"/>
      <c r="T1" s="285"/>
      <c r="U1" s="276"/>
      <c r="V1" s="285"/>
      <c r="W1" s="286"/>
      <c r="X1" s="281"/>
      <c r="Y1" s="280"/>
      <c r="Z1" s="281"/>
      <c r="AA1" s="281"/>
      <c r="AB1" s="287"/>
      <c r="AC1" s="288"/>
      <c r="AD1" s="289"/>
      <c r="AE1" s="289"/>
    </row>
    <row r="2" s="263" customFormat="1" ht="6" customHeight="1" spans="1:31">
      <c r="A2" s="290"/>
      <c r="B2" s="273"/>
      <c r="C2" s="291"/>
      <c r="D2" s="292"/>
      <c r="E2" s="273"/>
      <c r="F2" s="273"/>
      <c r="G2" s="292"/>
      <c r="H2" s="293"/>
      <c r="I2" s="294"/>
      <c r="J2" s="295"/>
      <c r="K2" s="296"/>
      <c r="L2" s="297"/>
      <c r="M2" s="298"/>
      <c r="N2" s="299"/>
      <c r="O2" s="300"/>
      <c r="P2" s="288"/>
      <c r="Q2" s="301"/>
      <c r="R2" s="288"/>
      <c r="S2" s="302"/>
      <c r="T2" s="288"/>
      <c r="U2" s="302"/>
      <c r="V2" s="303"/>
      <c r="W2" s="304"/>
      <c r="X2" s="298"/>
      <c r="Y2" s="305"/>
      <c r="Z2" s="298"/>
      <c r="AA2" s="298"/>
      <c r="AB2" s="287"/>
      <c r="AC2" s="288"/>
      <c r="AD2" s="288"/>
      <c r="AE2" s="288"/>
    </row>
    <row r="3" s="231" customFormat="1" ht="23" customHeight="1" spans="1:31">
      <c r="A3" s="306" t="s">
        <v>1</v>
      </c>
      <c r="B3" s="307" t="s">
        <v>2</v>
      </c>
      <c r="C3" s="308" t="s">
        <v>3</v>
      </c>
      <c r="D3" s="309" t="s">
        <v>4</v>
      </c>
      <c r="E3" s="310" t="s">
        <v>5</v>
      </c>
      <c r="F3" s="310" t="s">
        <v>6</v>
      </c>
      <c r="G3" s="311" t="s">
        <v>7</v>
      </c>
      <c r="H3" s="312" t="s">
        <v>8</v>
      </c>
      <c r="I3" s="313" t="s">
        <v>9</v>
      </c>
      <c r="J3" s="314"/>
      <c r="K3" s="315"/>
      <c r="L3" s="316"/>
      <c r="M3" s="315"/>
      <c r="N3" s="317"/>
      <c r="O3" s="318"/>
      <c r="P3" s="319" t="s">
        <v>10</v>
      </c>
      <c r="Q3" s="320" t="s">
        <v>11</v>
      </c>
      <c r="R3" s="321"/>
      <c r="S3" s="322"/>
      <c r="T3" s="321"/>
      <c r="U3" s="323"/>
      <c r="V3" s="324" t="s">
        <v>12</v>
      </c>
      <c r="W3" s="325" t="s">
        <v>13</v>
      </c>
      <c r="X3" s="326" t="s">
        <v>14</v>
      </c>
      <c r="Y3" s="327"/>
      <c r="Z3" s="326"/>
      <c r="AA3" s="326"/>
      <c r="AB3" s="328"/>
      <c r="AC3" s="326"/>
      <c r="AD3" s="329" t="s">
        <v>15</v>
      </c>
      <c r="AE3" s="330" t="s">
        <v>16</v>
      </c>
    </row>
    <row r="4" s="231" customFormat="1" ht="40.5" spans="1:31">
      <c r="A4" s="331"/>
      <c r="B4" s="332"/>
      <c r="C4" s="308"/>
      <c r="D4" s="309"/>
      <c r="E4" s="333"/>
      <c r="F4" s="333"/>
      <c r="G4" s="334"/>
      <c r="H4" s="333"/>
      <c r="I4" s="335" t="s">
        <v>17</v>
      </c>
      <c r="J4" s="336" t="s">
        <v>18</v>
      </c>
      <c r="K4" s="337" t="s">
        <v>19</v>
      </c>
      <c r="L4" s="338" t="s">
        <v>20</v>
      </c>
      <c r="M4" s="339" t="s">
        <v>21</v>
      </c>
      <c r="N4" s="340" t="s">
        <v>22</v>
      </c>
      <c r="O4" s="341" t="s">
        <v>23</v>
      </c>
      <c r="P4" s="342"/>
      <c r="Q4" s="343" t="s">
        <v>24</v>
      </c>
      <c r="R4" s="344" t="s">
        <v>25</v>
      </c>
      <c r="S4" s="345" t="s">
        <v>26</v>
      </c>
      <c r="T4" s="344" t="s">
        <v>27</v>
      </c>
      <c r="U4" s="345" t="s">
        <v>28</v>
      </c>
      <c r="V4" s="346"/>
      <c r="W4" s="347"/>
      <c r="X4" s="348" t="s">
        <v>29</v>
      </c>
      <c r="Y4" s="349" t="s">
        <v>30</v>
      </c>
      <c r="Z4" s="348" t="s">
        <v>31</v>
      </c>
      <c r="AA4" s="326" t="s">
        <v>32</v>
      </c>
      <c r="AB4" s="350" t="s">
        <v>33</v>
      </c>
      <c r="AC4" s="351" t="s">
        <v>23</v>
      </c>
      <c r="AD4" s="352" t="s">
        <v>34</v>
      </c>
      <c r="AE4" s="353"/>
    </row>
    <row r="5" s="264" customFormat="1" ht="76.5" spans="1:31">
      <c r="A5" s="354" t="s">
        <v>301</v>
      </c>
      <c r="B5" s="355" t="s">
        <v>302</v>
      </c>
      <c r="C5" s="356">
        <v>241120000026</v>
      </c>
      <c r="D5" s="357">
        <v>45592</v>
      </c>
      <c r="E5" s="355" t="s">
        <v>40</v>
      </c>
      <c r="F5" s="355" t="s">
        <v>134</v>
      </c>
      <c r="G5" s="355">
        <v>68</v>
      </c>
      <c r="H5" s="355"/>
      <c r="I5" s="358">
        <v>50836</v>
      </c>
      <c r="J5" s="359">
        <v>21300000</v>
      </c>
      <c r="K5" s="360"/>
      <c r="L5" s="361">
        <f t="shared" ref="L5:L11" si="0">SUM(J5/M5)</f>
        <v>1669.00039413484</v>
      </c>
      <c r="M5" s="362">
        <v>12762.13</v>
      </c>
      <c r="N5" s="363">
        <v>7.3</v>
      </c>
      <c r="O5" s="364">
        <f>SUM(M5*N5+I5)</f>
        <v>143999.549</v>
      </c>
      <c r="P5" s="365">
        <f>SUM(O5)</f>
        <v>143999.549</v>
      </c>
      <c r="Q5" s="366" t="s">
        <v>303</v>
      </c>
      <c r="R5" s="367">
        <v>48399</v>
      </c>
      <c r="S5" s="367"/>
      <c r="T5" s="367"/>
      <c r="U5" s="367"/>
      <c r="V5" s="367"/>
      <c r="W5" s="367">
        <f>SUM(R5:V5)</f>
        <v>48399</v>
      </c>
      <c r="X5" s="368">
        <v>11545.4</v>
      </c>
      <c r="Y5" s="368"/>
      <c r="Z5" s="368"/>
      <c r="AA5" s="368">
        <f>SUM(X5:Z5)</f>
        <v>11545.4</v>
      </c>
      <c r="AB5" s="369">
        <v>7.27</v>
      </c>
      <c r="AC5" s="367">
        <f>SUM(AA5*AB5)</f>
        <v>83935.058</v>
      </c>
      <c r="AD5" s="367">
        <f>SUM(W5+AC5)</f>
        <v>132334.058</v>
      </c>
      <c r="AE5" s="367">
        <f>SUM(P5-AD5)</f>
        <v>11665.491</v>
      </c>
    </row>
    <row r="6" s="264" customFormat="1" ht="12.75" spans="1:31">
      <c r="A6" s="354" t="s">
        <v>304</v>
      </c>
      <c r="B6" s="355" t="s">
        <v>305</v>
      </c>
      <c r="C6" s="356">
        <v>240910000015</v>
      </c>
      <c r="D6" s="357">
        <v>45601</v>
      </c>
      <c r="E6" s="355" t="s">
        <v>52</v>
      </c>
      <c r="F6" s="355" t="s">
        <v>137</v>
      </c>
      <c r="G6" s="355">
        <v>5.1959</v>
      </c>
      <c r="H6" s="355">
        <v>743</v>
      </c>
      <c r="I6" s="364"/>
      <c r="J6" s="370">
        <v>2382640</v>
      </c>
      <c r="K6" s="360"/>
      <c r="L6" s="361">
        <f t="shared" si="0"/>
        <v>1580</v>
      </c>
      <c r="M6" s="362">
        <v>1508</v>
      </c>
      <c r="N6" s="363">
        <v>7.29</v>
      </c>
      <c r="O6" s="364">
        <f t="shared" ref="O6:O11" si="1">SUM(M6*N6)</f>
        <v>10993.32</v>
      </c>
      <c r="P6" s="371">
        <f>SUM(O6:O22)</f>
        <v>165324.2782</v>
      </c>
      <c r="Q6" s="372" t="s">
        <v>306</v>
      </c>
      <c r="R6" s="371">
        <v>49214.5</v>
      </c>
      <c r="S6" s="371">
        <f>SUM(56.82+56.82)</f>
        <v>113.64</v>
      </c>
      <c r="T6" s="371">
        <v>2400</v>
      </c>
      <c r="U6" s="371"/>
      <c r="V6" s="371"/>
      <c r="W6" s="371">
        <f>SUM(R6:V22)</f>
        <v>52097.14</v>
      </c>
      <c r="X6" s="373">
        <v>10949.72</v>
      </c>
      <c r="Y6" s="373"/>
      <c r="Z6" s="368"/>
      <c r="AA6" s="373">
        <f>SUM(X6:Z22)</f>
        <v>11256.42</v>
      </c>
      <c r="AB6" s="374">
        <v>7.33</v>
      </c>
      <c r="AC6" s="371">
        <f>SUM(AA6*AB6)</f>
        <v>82509.5586</v>
      </c>
      <c r="AD6" s="371">
        <f>SUM(W6+AC6)</f>
        <v>134606.6986</v>
      </c>
      <c r="AE6" s="371">
        <f>SUM(P6-AD6)</f>
        <v>30717.5796</v>
      </c>
    </row>
    <row r="7" s="264" customFormat="1" ht="12.75" spans="1:31">
      <c r="A7" s="354"/>
      <c r="B7" s="355"/>
      <c r="C7" s="356">
        <v>241023000029</v>
      </c>
      <c r="D7" s="357">
        <v>45601</v>
      </c>
      <c r="E7" s="355" t="s">
        <v>49</v>
      </c>
      <c r="F7" s="355" t="s">
        <v>277</v>
      </c>
      <c r="G7" s="355">
        <v>0.0288</v>
      </c>
      <c r="H7" s="355">
        <v>5</v>
      </c>
      <c r="I7" s="358">
        <v>224.75</v>
      </c>
      <c r="J7" s="369"/>
      <c r="K7" s="360"/>
      <c r="L7" s="361"/>
      <c r="M7" s="360"/>
      <c r="N7" s="363"/>
      <c r="O7" s="364">
        <f>SUBTOTAL(9,I7)</f>
        <v>224.75</v>
      </c>
      <c r="P7" s="375"/>
      <c r="Q7" s="375"/>
      <c r="R7" s="375"/>
      <c r="S7" s="375"/>
      <c r="T7" s="375"/>
      <c r="U7" s="375"/>
      <c r="V7" s="375"/>
      <c r="W7" s="375"/>
      <c r="X7" s="376"/>
      <c r="Y7" s="377"/>
      <c r="Z7" s="368"/>
      <c r="AA7" s="376"/>
      <c r="AB7" s="378"/>
      <c r="AC7" s="375"/>
      <c r="AD7" s="375"/>
      <c r="AE7" s="375"/>
    </row>
    <row r="8" s="264" customFormat="1" ht="12.75" spans="1:31">
      <c r="A8" s="354"/>
      <c r="B8" s="355"/>
      <c r="C8" s="356">
        <v>241025000058</v>
      </c>
      <c r="D8" s="357">
        <v>45601</v>
      </c>
      <c r="E8" s="355" t="s">
        <v>256</v>
      </c>
      <c r="F8" s="355" t="s">
        <v>307</v>
      </c>
      <c r="G8" s="355">
        <v>13.7</v>
      </c>
      <c r="H8" s="355">
        <v>2550</v>
      </c>
      <c r="I8" s="364"/>
      <c r="J8" s="370">
        <v>7067746.5</v>
      </c>
      <c r="K8" s="360"/>
      <c r="L8" s="361">
        <f t="shared" si="0"/>
        <v>1648.80394439403</v>
      </c>
      <c r="M8" s="362">
        <v>4286.59</v>
      </c>
      <c r="N8" s="363">
        <v>7.29</v>
      </c>
      <c r="O8" s="364">
        <f t="shared" si="1"/>
        <v>31249.2411</v>
      </c>
      <c r="P8" s="375"/>
      <c r="Q8" s="375"/>
      <c r="R8" s="375"/>
      <c r="S8" s="375"/>
      <c r="T8" s="375"/>
      <c r="U8" s="375"/>
      <c r="V8" s="375"/>
      <c r="W8" s="375"/>
      <c r="X8" s="376"/>
      <c r="Y8" s="368">
        <v>90.97</v>
      </c>
      <c r="Z8" s="368"/>
      <c r="AA8" s="376"/>
      <c r="AB8" s="378"/>
      <c r="AC8" s="375"/>
      <c r="AD8" s="375"/>
      <c r="AE8" s="375"/>
    </row>
    <row r="9" s="264" customFormat="1" ht="12.75" spans="1:31">
      <c r="A9" s="354"/>
      <c r="B9" s="355"/>
      <c r="C9" s="356">
        <v>241026000006</v>
      </c>
      <c r="D9" s="357">
        <v>45601</v>
      </c>
      <c r="E9" s="355" t="s">
        <v>52</v>
      </c>
      <c r="F9" s="355" t="s">
        <v>308</v>
      </c>
      <c r="G9" s="355">
        <v>0.6549</v>
      </c>
      <c r="H9" s="355">
        <v>72</v>
      </c>
      <c r="I9" s="364"/>
      <c r="J9" s="370">
        <v>363730</v>
      </c>
      <c r="K9" s="360"/>
      <c r="L9" s="361">
        <f t="shared" si="0"/>
        <v>1683.00018508236</v>
      </c>
      <c r="M9" s="362">
        <v>216.12</v>
      </c>
      <c r="N9" s="363">
        <v>7.3</v>
      </c>
      <c r="O9" s="364">
        <f t="shared" si="1"/>
        <v>1577.676</v>
      </c>
      <c r="P9" s="375"/>
      <c r="Q9" s="375"/>
      <c r="R9" s="375"/>
      <c r="S9" s="375"/>
      <c r="T9" s="375"/>
      <c r="U9" s="379"/>
      <c r="V9" s="379"/>
      <c r="W9" s="375"/>
      <c r="X9" s="376"/>
      <c r="Y9" s="368"/>
      <c r="Z9" s="368"/>
      <c r="AA9" s="376"/>
      <c r="AB9" s="378"/>
      <c r="AC9" s="375"/>
      <c r="AD9" s="375"/>
      <c r="AE9" s="375"/>
    </row>
    <row r="10" s="264" customFormat="1" ht="12.75" spans="1:31">
      <c r="A10" s="354"/>
      <c r="B10" s="355"/>
      <c r="C10" s="356">
        <v>241027000011</v>
      </c>
      <c r="D10" s="357">
        <v>45601</v>
      </c>
      <c r="E10" s="355" t="s">
        <v>42</v>
      </c>
      <c r="F10" s="355" t="s">
        <v>309</v>
      </c>
      <c r="G10" s="355">
        <v>0.5618</v>
      </c>
      <c r="H10" s="355">
        <v>55</v>
      </c>
      <c r="I10" s="364"/>
      <c r="J10" s="370">
        <v>434000</v>
      </c>
      <c r="K10" s="360"/>
      <c r="L10" s="361">
        <f t="shared" si="0"/>
        <v>1671.80277349769</v>
      </c>
      <c r="M10" s="362">
        <v>259.6</v>
      </c>
      <c r="N10" s="363">
        <v>7.3</v>
      </c>
      <c r="O10" s="364">
        <f t="shared" si="1"/>
        <v>1895.08</v>
      </c>
      <c r="P10" s="375"/>
      <c r="Q10" s="375"/>
      <c r="R10" s="375"/>
      <c r="S10" s="375"/>
      <c r="T10" s="375"/>
      <c r="U10" s="367">
        <v>310</v>
      </c>
      <c r="V10" s="367">
        <v>59</v>
      </c>
      <c r="W10" s="375"/>
      <c r="X10" s="376"/>
      <c r="Y10" s="368"/>
      <c r="Z10" s="368"/>
      <c r="AA10" s="376"/>
      <c r="AB10" s="378"/>
      <c r="AC10" s="375"/>
      <c r="AD10" s="375"/>
      <c r="AE10" s="375"/>
    </row>
    <row r="11" s="264" customFormat="1" ht="12.75" spans="1:31">
      <c r="A11" s="354"/>
      <c r="B11" s="355"/>
      <c r="C11" s="356">
        <v>241031000033</v>
      </c>
      <c r="D11" s="357">
        <v>45601</v>
      </c>
      <c r="E11" s="355" t="s">
        <v>49</v>
      </c>
      <c r="F11" s="355" t="s">
        <v>204</v>
      </c>
      <c r="G11" s="355">
        <v>1.9968</v>
      </c>
      <c r="H11" s="355">
        <v>845</v>
      </c>
      <c r="I11" s="364"/>
      <c r="J11" s="370">
        <v>960734</v>
      </c>
      <c r="K11" s="360"/>
      <c r="L11" s="361">
        <f t="shared" si="0"/>
        <v>1653.01789401239</v>
      </c>
      <c r="M11" s="362">
        <v>581.2</v>
      </c>
      <c r="N11" s="363">
        <v>7.29</v>
      </c>
      <c r="O11" s="364">
        <f t="shared" si="1"/>
        <v>4236.948</v>
      </c>
      <c r="P11" s="375"/>
      <c r="Q11" s="375"/>
      <c r="R11" s="375"/>
      <c r="S11" s="375"/>
      <c r="T11" s="375"/>
      <c r="U11" s="371"/>
      <c r="V11" s="371"/>
      <c r="W11" s="375"/>
      <c r="X11" s="376"/>
      <c r="Y11" s="368"/>
      <c r="Z11" s="368"/>
      <c r="AA11" s="376"/>
      <c r="AB11" s="378"/>
      <c r="AC11" s="375"/>
      <c r="AD11" s="375"/>
      <c r="AE11" s="375"/>
    </row>
    <row r="12" s="264" customFormat="1" ht="12.75" spans="1:31">
      <c r="A12" s="354"/>
      <c r="B12" s="355"/>
      <c r="C12" s="356">
        <v>241028000022</v>
      </c>
      <c r="D12" s="357">
        <v>45601</v>
      </c>
      <c r="E12" s="355" t="s">
        <v>49</v>
      </c>
      <c r="F12" s="355" t="s">
        <v>310</v>
      </c>
      <c r="G12" s="355">
        <v>1.211</v>
      </c>
      <c r="H12" s="355">
        <v>331</v>
      </c>
      <c r="I12" s="358">
        <v>2690</v>
      </c>
      <c r="J12" s="369"/>
      <c r="K12" s="360"/>
      <c r="L12" s="361"/>
      <c r="M12" s="360"/>
      <c r="N12" s="363"/>
      <c r="O12" s="364">
        <f t="shared" ref="O12:O18" si="2">SUBTOTAL(9,I12)</f>
        <v>2690</v>
      </c>
      <c r="P12" s="375"/>
      <c r="Q12" s="375"/>
      <c r="R12" s="375"/>
      <c r="S12" s="375"/>
      <c r="T12" s="375"/>
      <c r="U12" s="375"/>
      <c r="V12" s="375"/>
      <c r="W12" s="375"/>
      <c r="X12" s="376"/>
      <c r="Y12" s="368"/>
      <c r="Z12" s="368"/>
      <c r="AA12" s="376"/>
      <c r="AB12" s="378"/>
      <c r="AC12" s="375"/>
      <c r="AD12" s="375"/>
      <c r="AE12" s="375"/>
    </row>
    <row r="13" s="264" customFormat="1" ht="12.75" spans="1:31">
      <c r="A13" s="354"/>
      <c r="B13" s="355"/>
      <c r="C13" s="356">
        <v>241028000025</v>
      </c>
      <c r="D13" s="357">
        <v>45601</v>
      </c>
      <c r="E13" s="355" t="s">
        <v>52</v>
      </c>
      <c r="F13" s="355" t="s">
        <v>110</v>
      </c>
      <c r="G13" s="355">
        <v>0.7015</v>
      </c>
      <c r="H13" s="355">
        <v>168</v>
      </c>
      <c r="I13" s="364"/>
      <c r="J13" s="370">
        <v>432424.8</v>
      </c>
      <c r="K13" s="360"/>
      <c r="L13" s="361">
        <f>SUM(J13/M13)</f>
        <v>1710</v>
      </c>
      <c r="M13" s="362">
        <v>252.88</v>
      </c>
      <c r="N13" s="363">
        <v>7.3</v>
      </c>
      <c r="O13" s="364">
        <f>SUM(M13*N13)</f>
        <v>1846.024</v>
      </c>
      <c r="P13" s="375"/>
      <c r="Q13" s="375"/>
      <c r="R13" s="375"/>
      <c r="S13" s="375"/>
      <c r="T13" s="375"/>
      <c r="U13" s="375"/>
      <c r="V13" s="375"/>
      <c r="W13" s="375"/>
      <c r="X13" s="376"/>
      <c r="Y13" s="368">
        <v>42.43</v>
      </c>
      <c r="Z13" s="368"/>
      <c r="AA13" s="376"/>
      <c r="AB13" s="378"/>
      <c r="AC13" s="375"/>
      <c r="AD13" s="375"/>
      <c r="AE13" s="375"/>
    </row>
    <row r="14" s="264" customFormat="1" ht="12.75" spans="1:31">
      <c r="A14" s="354"/>
      <c r="B14" s="355"/>
      <c r="C14" s="356">
        <v>241028000036</v>
      </c>
      <c r="D14" s="357">
        <v>45601</v>
      </c>
      <c r="E14" s="355" t="s">
        <v>40</v>
      </c>
      <c r="F14" s="355" t="s">
        <v>311</v>
      </c>
      <c r="G14" s="355">
        <v>19.1974</v>
      </c>
      <c r="H14" s="355">
        <v>2413</v>
      </c>
      <c r="I14" s="358">
        <v>38000</v>
      </c>
      <c r="J14" s="369"/>
      <c r="K14" s="360"/>
      <c r="L14" s="361"/>
      <c r="M14" s="360"/>
      <c r="N14" s="363"/>
      <c r="O14" s="364">
        <f t="shared" si="2"/>
        <v>38000</v>
      </c>
      <c r="P14" s="375"/>
      <c r="Q14" s="375"/>
      <c r="R14" s="375"/>
      <c r="S14" s="375"/>
      <c r="T14" s="375"/>
      <c r="U14" s="375"/>
      <c r="V14" s="375"/>
      <c r="W14" s="375"/>
      <c r="X14" s="376"/>
      <c r="Y14" s="368"/>
      <c r="Z14" s="368"/>
      <c r="AA14" s="376"/>
      <c r="AB14" s="378"/>
      <c r="AC14" s="375"/>
      <c r="AD14" s="375"/>
      <c r="AE14" s="375"/>
    </row>
    <row r="15" s="264" customFormat="1" ht="12.75" spans="1:31">
      <c r="A15" s="354"/>
      <c r="B15" s="355"/>
      <c r="C15" s="356">
        <v>241028000057</v>
      </c>
      <c r="D15" s="357">
        <v>45601</v>
      </c>
      <c r="E15" s="355" t="s">
        <v>42</v>
      </c>
      <c r="F15" s="355" t="s">
        <v>43</v>
      </c>
      <c r="G15" s="355">
        <v>0.8721</v>
      </c>
      <c r="H15" s="355">
        <v>153</v>
      </c>
      <c r="I15" s="358">
        <v>1785.59</v>
      </c>
      <c r="J15" s="369"/>
      <c r="K15" s="360"/>
      <c r="L15" s="361"/>
      <c r="M15" s="360"/>
      <c r="N15" s="363"/>
      <c r="O15" s="364">
        <f t="shared" si="2"/>
        <v>1785.59</v>
      </c>
      <c r="P15" s="375"/>
      <c r="Q15" s="375"/>
      <c r="R15" s="375"/>
      <c r="S15" s="375"/>
      <c r="T15" s="375"/>
      <c r="U15" s="375"/>
      <c r="V15" s="375"/>
      <c r="W15" s="375"/>
      <c r="X15" s="376"/>
      <c r="Y15" s="368"/>
      <c r="Z15" s="368"/>
      <c r="AA15" s="376"/>
      <c r="AB15" s="378"/>
      <c r="AC15" s="375"/>
      <c r="AD15" s="375"/>
      <c r="AE15" s="375"/>
    </row>
    <row r="16" s="264" customFormat="1" ht="12.75" spans="1:31">
      <c r="A16" s="354"/>
      <c r="B16" s="355"/>
      <c r="C16" s="356">
        <v>241029000017</v>
      </c>
      <c r="D16" s="357">
        <v>45601</v>
      </c>
      <c r="E16" s="355" t="s">
        <v>49</v>
      </c>
      <c r="F16" s="355" t="s">
        <v>219</v>
      </c>
      <c r="G16" s="355">
        <v>0.2948</v>
      </c>
      <c r="H16" s="355">
        <v>65</v>
      </c>
      <c r="I16" s="358">
        <v>683.5</v>
      </c>
      <c r="J16" s="369"/>
      <c r="K16" s="360"/>
      <c r="L16" s="361"/>
      <c r="M16" s="360"/>
      <c r="N16" s="363"/>
      <c r="O16" s="364">
        <f t="shared" si="2"/>
        <v>683.5</v>
      </c>
      <c r="P16" s="375"/>
      <c r="Q16" s="375"/>
      <c r="R16" s="375"/>
      <c r="S16" s="375"/>
      <c r="T16" s="375"/>
      <c r="U16" s="375"/>
      <c r="V16" s="375"/>
      <c r="W16" s="375"/>
      <c r="X16" s="376"/>
      <c r="Y16" s="368"/>
      <c r="Z16" s="368"/>
      <c r="AA16" s="376"/>
      <c r="AB16" s="378"/>
      <c r="AC16" s="375"/>
      <c r="AD16" s="375"/>
      <c r="AE16" s="375"/>
    </row>
    <row r="17" s="264" customFormat="1" ht="12.75" spans="1:31">
      <c r="A17" s="354"/>
      <c r="B17" s="355"/>
      <c r="C17" s="356">
        <v>241030000002</v>
      </c>
      <c r="D17" s="357">
        <v>45601</v>
      </c>
      <c r="E17" s="355" t="s">
        <v>52</v>
      </c>
      <c r="F17" s="355" t="s">
        <v>312</v>
      </c>
      <c r="G17" s="355">
        <v>7.4945</v>
      </c>
      <c r="H17" s="355">
        <v>520</v>
      </c>
      <c r="I17" s="358">
        <v>18324.8</v>
      </c>
      <c r="J17" s="369"/>
      <c r="K17" s="360"/>
      <c r="L17" s="361"/>
      <c r="M17" s="360"/>
      <c r="N17" s="363"/>
      <c r="O17" s="364">
        <f t="shared" si="2"/>
        <v>18324.8</v>
      </c>
      <c r="P17" s="375"/>
      <c r="Q17" s="375"/>
      <c r="R17" s="375"/>
      <c r="S17" s="375"/>
      <c r="T17" s="375"/>
      <c r="U17" s="375"/>
      <c r="V17" s="375"/>
      <c r="W17" s="375"/>
      <c r="X17" s="376"/>
      <c r="Y17" s="368">
        <v>47.85</v>
      </c>
      <c r="Z17" s="368"/>
      <c r="AA17" s="376"/>
      <c r="AB17" s="378"/>
      <c r="AC17" s="375"/>
      <c r="AD17" s="375"/>
      <c r="AE17" s="375"/>
    </row>
    <row r="18" s="264" customFormat="1" ht="12.75" spans="1:31">
      <c r="A18" s="354"/>
      <c r="B18" s="355"/>
      <c r="C18" s="356">
        <v>241030000039</v>
      </c>
      <c r="D18" s="357">
        <v>45601</v>
      </c>
      <c r="E18" s="355" t="s">
        <v>49</v>
      </c>
      <c r="F18" s="355" t="s">
        <v>219</v>
      </c>
      <c r="G18" s="355">
        <v>1.069</v>
      </c>
      <c r="H18" s="355">
        <v>138</v>
      </c>
      <c r="I18" s="358">
        <v>2506</v>
      </c>
      <c r="J18" s="369"/>
      <c r="K18" s="360"/>
      <c r="L18" s="361"/>
      <c r="M18" s="360"/>
      <c r="N18" s="363"/>
      <c r="O18" s="364">
        <f t="shared" si="2"/>
        <v>2506</v>
      </c>
      <c r="P18" s="375"/>
      <c r="Q18" s="375"/>
      <c r="R18" s="375"/>
      <c r="S18" s="375"/>
      <c r="T18" s="375"/>
      <c r="U18" s="375"/>
      <c r="V18" s="375"/>
      <c r="W18" s="375"/>
      <c r="X18" s="376"/>
      <c r="Y18" s="368"/>
      <c r="Z18" s="368"/>
      <c r="AA18" s="376"/>
      <c r="AB18" s="378"/>
      <c r="AC18" s="375"/>
      <c r="AD18" s="375"/>
      <c r="AE18" s="375"/>
    </row>
    <row r="19" s="264" customFormat="1" ht="12.75" spans="1:31">
      <c r="A19" s="354"/>
      <c r="B19" s="355"/>
      <c r="C19" s="356">
        <v>241030000041</v>
      </c>
      <c r="D19" s="357">
        <v>45601</v>
      </c>
      <c r="E19" s="355" t="s">
        <v>52</v>
      </c>
      <c r="F19" s="355" t="s">
        <v>139</v>
      </c>
      <c r="G19" s="355">
        <v>1.5338</v>
      </c>
      <c r="H19" s="355">
        <v>336</v>
      </c>
      <c r="I19" s="364"/>
      <c r="J19" s="370">
        <v>755361</v>
      </c>
      <c r="K19" s="360"/>
      <c r="L19" s="361">
        <f>SUM(J19/M19)</f>
        <v>1700</v>
      </c>
      <c r="M19" s="362">
        <v>444.33</v>
      </c>
      <c r="N19" s="363">
        <v>7.27</v>
      </c>
      <c r="O19" s="364">
        <f>SUM(M19*N19)</f>
        <v>3230.2791</v>
      </c>
      <c r="P19" s="375"/>
      <c r="Q19" s="375"/>
      <c r="R19" s="375"/>
      <c r="S19" s="375"/>
      <c r="T19" s="375"/>
      <c r="U19" s="375"/>
      <c r="V19" s="375"/>
      <c r="W19" s="375"/>
      <c r="X19" s="376"/>
      <c r="Y19" s="368">
        <v>29.9</v>
      </c>
      <c r="Z19" s="368"/>
      <c r="AA19" s="376"/>
      <c r="AB19" s="378"/>
      <c r="AC19" s="375"/>
      <c r="AD19" s="375"/>
      <c r="AE19" s="375"/>
    </row>
    <row r="20" s="264" customFormat="1" ht="12.75" spans="1:31">
      <c r="A20" s="354"/>
      <c r="B20" s="355"/>
      <c r="C20" s="356">
        <v>241101000029</v>
      </c>
      <c r="D20" s="357">
        <v>45601</v>
      </c>
      <c r="E20" s="355" t="s">
        <v>52</v>
      </c>
      <c r="F20" s="355" t="s">
        <v>89</v>
      </c>
      <c r="G20" s="355">
        <v>0.8656</v>
      </c>
      <c r="H20" s="355">
        <v>346</v>
      </c>
      <c r="I20" s="358">
        <v>2978.64</v>
      </c>
      <c r="J20" s="369"/>
      <c r="K20" s="360"/>
      <c r="L20" s="361"/>
      <c r="M20" s="360"/>
      <c r="N20" s="363"/>
      <c r="O20" s="364">
        <f>SUM(I20)</f>
        <v>2978.64</v>
      </c>
      <c r="P20" s="375"/>
      <c r="Q20" s="375"/>
      <c r="R20" s="375"/>
      <c r="S20" s="375"/>
      <c r="T20" s="375"/>
      <c r="U20" s="375"/>
      <c r="V20" s="375"/>
      <c r="W20" s="375"/>
      <c r="X20" s="376"/>
      <c r="Y20" s="368">
        <v>12.36</v>
      </c>
      <c r="Z20" s="368">
        <v>83.19</v>
      </c>
      <c r="AA20" s="376"/>
      <c r="AB20" s="378"/>
      <c r="AC20" s="375"/>
      <c r="AD20" s="375"/>
      <c r="AE20" s="375"/>
    </row>
    <row r="21" s="264" customFormat="1" ht="12.75" spans="1:31">
      <c r="A21" s="354"/>
      <c r="B21" s="355"/>
      <c r="C21" s="356">
        <v>241101000033</v>
      </c>
      <c r="D21" s="357">
        <v>45601</v>
      </c>
      <c r="E21" s="355" t="s">
        <v>42</v>
      </c>
      <c r="F21" s="355" t="s">
        <v>43</v>
      </c>
      <c r="G21" s="355">
        <v>0.8844</v>
      </c>
      <c r="H21" s="355">
        <v>155</v>
      </c>
      <c r="I21" s="358">
        <v>1806.11</v>
      </c>
      <c r="J21" s="369"/>
      <c r="K21" s="360"/>
      <c r="L21" s="361"/>
      <c r="M21" s="360"/>
      <c r="N21" s="363"/>
      <c r="O21" s="364">
        <f t="shared" ref="O21:O26" si="3">SUBTOTAL(9,I21)</f>
        <v>1806.11</v>
      </c>
      <c r="P21" s="375"/>
      <c r="Q21" s="375"/>
      <c r="R21" s="375"/>
      <c r="S21" s="375"/>
      <c r="T21" s="375"/>
      <c r="U21" s="375"/>
      <c r="V21" s="375"/>
      <c r="W21" s="375"/>
      <c r="X21" s="376"/>
      <c r="Y21" s="368"/>
      <c r="Z21" s="368"/>
      <c r="AA21" s="376"/>
      <c r="AB21" s="378"/>
      <c r="AC21" s="375"/>
      <c r="AD21" s="375"/>
      <c r="AE21" s="375"/>
    </row>
    <row r="22" s="264" customFormat="1" ht="12.75" spans="1:31">
      <c r="A22" s="354"/>
      <c r="B22" s="355"/>
      <c r="C22" s="356">
        <v>241209000060</v>
      </c>
      <c r="D22" s="357">
        <v>45601</v>
      </c>
      <c r="E22" s="355" t="s">
        <v>190</v>
      </c>
      <c r="F22" s="355" t="s">
        <v>251</v>
      </c>
      <c r="G22" s="355">
        <v>17.902</v>
      </c>
      <c r="H22" s="355">
        <v>17472</v>
      </c>
      <c r="I22" s="358">
        <v>41296.32</v>
      </c>
      <c r="J22" s="369"/>
      <c r="K22" s="360"/>
      <c r="L22" s="361"/>
      <c r="M22" s="360"/>
      <c r="N22" s="363"/>
      <c r="O22" s="364">
        <f t="shared" si="3"/>
        <v>41296.32</v>
      </c>
      <c r="P22" s="379"/>
      <c r="Q22" s="379"/>
      <c r="R22" s="379"/>
      <c r="S22" s="379"/>
      <c r="T22" s="379"/>
      <c r="U22" s="379"/>
      <c r="V22" s="379"/>
      <c r="W22" s="379"/>
      <c r="X22" s="377"/>
      <c r="Y22" s="368"/>
      <c r="Z22" s="368"/>
      <c r="AA22" s="377"/>
      <c r="AB22" s="380"/>
      <c r="AC22" s="379"/>
      <c r="AD22" s="379"/>
      <c r="AE22" s="379"/>
    </row>
    <row r="23" s="264" customFormat="1" ht="12.75" spans="1:31">
      <c r="A23" s="354" t="s">
        <v>313</v>
      </c>
      <c r="B23" s="355" t="s">
        <v>314</v>
      </c>
      <c r="C23" s="356">
        <v>241028000047</v>
      </c>
      <c r="D23" s="357">
        <v>45602</v>
      </c>
      <c r="E23" s="355" t="s">
        <v>40</v>
      </c>
      <c r="F23" s="355" t="s">
        <v>130</v>
      </c>
      <c r="G23" s="355">
        <v>3.0981</v>
      </c>
      <c r="H23" s="355">
        <v>231</v>
      </c>
      <c r="I23" s="358">
        <v>8037.16</v>
      </c>
      <c r="J23" s="369"/>
      <c r="K23" s="360"/>
      <c r="L23" s="361"/>
      <c r="M23" s="360"/>
      <c r="N23" s="363"/>
      <c r="O23" s="364">
        <f t="shared" si="3"/>
        <v>8037.16</v>
      </c>
      <c r="P23" s="371">
        <f>SUM(O23:O36)</f>
        <v>134933.061</v>
      </c>
      <c r="Q23" s="372" t="s">
        <v>315</v>
      </c>
      <c r="R23" s="371">
        <v>48788.5</v>
      </c>
      <c r="S23" s="371"/>
      <c r="T23" s="371">
        <v>1800</v>
      </c>
      <c r="U23" s="371"/>
      <c r="V23" s="371"/>
      <c r="W23" s="371">
        <f>SUM(R23:V36)</f>
        <v>50588.5</v>
      </c>
      <c r="X23" s="373">
        <v>10716.46</v>
      </c>
      <c r="Y23" s="368"/>
      <c r="Z23" s="381">
        <v>50.64</v>
      </c>
      <c r="AA23" s="373">
        <f>SUM(X23:Z36)</f>
        <v>10831.69</v>
      </c>
      <c r="AB23" s="374">
        <v>7.33</v>
      </c>
      <c r="AC23" s="371">
        <f>SUM(AA23*AB23)</f>
        <v>79396.2877</v>
      </c>
      <c r="AD23" s="371">
        <f>SUM(W23+AC23)</f>
        <v>129984.7877</v>
      </c>
      <c r="AE23" s="371">
        <f>SUM(P23-AD23)</f>
        <v>4948.27330000002</v>
      </c>
    </row>
    <row r="24" s="264" customFormat="1" ht="12.75" spans="1:31">
      <c r="A24" s="354"/>
      <c r="B24" s="355"/>
      <c r="C24" s="356">
        <v>241029000048</v>
      </c>
      <c r="D24" s="357">
        <v>45602</v>
      </c>
      <c r="E24" s="355" t="s">
        <v>49</v>
      </c>
      <c r="F24" s="355" t="s">
        <v>86</v>
      </c>
      <c r="G24" s="355">
        <v>0.4438</v>
      </c>
      <c r="H24" s="355">
        <v>310</v>
      </c>
      <c r="I24" s="358">
        <v>964.05</v>
      </c>
      <c r="J24" s="369"/>
      <c r="K24" s="362"/>
      <c r="L24" s="361"/>
      <c r="M24" s="362"/>
      <c r="N24" s="363"/>
      <c r="O24" s="364">
        <f t="shared" si="3"/>
        <v>964.05</v>
      </c>
      <c r="P24" s="375"/>
      <c r="Q24" s="375"/>
      <c r="R24" s="375"/>
      <c r="S24" s="375"/>
      <c r="T24" s="375"/>
      <c r="U24" s="375"/>
      <c r="V24" s="375"/>
      <c r="W24" s="375"/>
      <c r="X24" s="376"/>
      <c r="Y24" s="368"/>
      <c r="Z24" s="381"/>
      <c r="AA24" s="376"/>
      <c r="AB24" s="378"/>
      <c r="AC24" s="375"/>
      <c r="AD24" s="375"/>
      <c r="AE24" s="375"/>
    </row>
    <row r="25" s="264" customFormat="1" ht="12.75" spans="1:31">
      <c r="A25" s="354"/>
      <c r="B25" s="355"/>
      <c r="C25" s="356">
        <v>241030000021</v>
      </c>
      <c r="D25" s="357">
        <v>45602</v>
      </c>
      <c r="E25" s="355" t="s">
        <v>52</v>
      </c>
      <c r="F25" s="355" t="s">
        <v>246</v>
      </c>
      <c r="G25" s="355">
        <v>0.6626</v>
      </c>
      <c r="H25" s="355">
        <v>405</v>
      </c>
      <c r="I25" s="358">
        <v>1624.5</v>
      </c>
      <c r="J25" s="382"/>
      <c r="K25" s="360"/>
      <c r="L25" s="361"/>
      <c r="M25" s="360"/>
      <c r="N25" s="363"/>
      <c r="O25" s="364">
        <f t="shared" si="3"/>
        <v>1624.5</v>
      </c>
      <c r="P25" s="375"/>
      <c r="Q25" s="375"/>
      <c r="R25" s="375"/>
      <c r="S25" s="375"/>
      <c r="T25" s="375"/>
      <c r="U25" s="375"/>
      <c r="V25" s="375"/>
      <c r="W25" s="375"/>
      <c r="X25" s="376"/>
      <c r="Y25" s="368">
        <v>35.38</v>
      </c>
      <c r="Z25" s="381"/>
      <c r="AA25" s="376"/>
      <c r="AB25" s="378"/>
      <c r="AC25" s="375"/>
      <c r="AD25" s="375"/>
      <c r="AE25" s="375"/>
    </row>
    <row r="26" s="264" customFormat="1" ht="12.75" spans="1:31">
      <c r="A26" s="354"/>
      <c r="B26" s="355"/>
      <c r="C26" s="356">
        <v>241030000025</v>
      </c>
      <c r="D26" s="357">
        <v>45602</v>
      </c>
      <c r="E26" s="355" t="s">
        <v>49</v>
      </c>
      <c r="F26" s="355" t="s">
        <v>117</v>
      </c>
      <c r="G26" s="355">
        <v>0.4092</v>
      </c>
      <c r="H26" s="355">
        <v>180</v>
      </c>
      <c r="I26" s="358">
        <v>876.05</v>
      </c>
      <c r="J26" s="382"/>
      <c r="K26" s="360"/>
      <c r="L26" s="361"/>
      <c r="M26" s="360"/>
      <c r="N26" s="363"/>
      <c r="O26" s="364">
        <f t="shared" si="3"/>
        <v>876.05</v>
      </c>
      <c r="P26" s="375"/>
      <c r="Q26" s="375"/>
      <c r="R26" s="375"/>
      <c r="S26" s="375"/>
      <c r="T26" s="375"/>
      <c r="U26" s="375"/>
      <c r="V26" s="375"/>
      <c r="W26" s="375"/>
      <c r="X26" s="376"/>
      <c r="Y26" s="368"/>
      <c r="Z26" s="381"/>
      <c r="AA26" s="376"/>
      <c r="AB26" s="378"/>
      <c r="AC26" s="375"/>
      <c r="AD26" s="375"/>
      <c r="AE26" s="375"/>
    </row>
    <row r="27" s="264" customFormat="1" ht="12.75" spans="1:31">
      <c r="A27" s="354"/>
      <c r="B27" s="355"/>
      <c r="C27" s="356">
        <v>241031000033</v>
      </c>
      <c r="D27" s="357">
        <v>45602</v>
      </c>
      <c r="E27" s="355" t="s">
        <v>49</v>
      </c>
      <c r="F27" s="355" t="s">
        <v>204</v>
      </c>
      <c r="G27" s="355">
        <v>0.5837</v>
      </c>
      <c r="H27" s="355">
        <v>247</v>
      </c>
      <c r="I27" s="364"/>
      <c r="J27" s="370">
        <v>280840</v>
      </c>
      <c r="K27" s="360"/>
      <c r="L27" s="361">
        <f>SUM(J27/M27)</f>
        <v>1652.97233666863</v>
      </c>
      <c r="M27" s="362">
        <v>169.9</v>
      </c>
      <c r="N27" s="363">
        <v>7.29</v>
      </c>
      <c r="O27" s="364">
        <f>SUM(M27*N27)</f>
        <v>1238.571</v>
      </c>
      <c r="P27" s="375"/>
      <c r="Q27" s="375"/>
      <c r="R27" s="375"/>
      <c r="S27" s="375"/>
      <c r="T27" s="375"/>
      <c r="U27" s="375"/>
      <c r="V27" s="375"/>
      <c r="W27" s="375"/>
      <c r="X27" s="376"/>
      <c r="Y27" s="368"/>
      <c r="Z27" s="381"/>
      <c r="AA27" s="376"/>
      <c r="AB27" s="378"/>
      <c r="AC27" s="375"/>
      <c r="AD27" s="375"/>
      <c r="AE27" s="375"/>
    </row>
    <row r="28" s="264" customFormat="1" ht="12.75" spans="1:31">
      <c r="A28" s="354"/>
      <c r="B28" s="355"/>
      <c r="C28" s="356">
        <v>241101000057</v>
      </c>
      <c r="D28" s="357">
        <v>45602</v>
      </c>
      <c r="E28" s="355" t="s">
        <v>190</v>
      </c>
      <c r="F28" s="355" t="s">
        <v>207</v>
      </c>
      <c r="G28" s="355">
        <v>1.1063</v>
      </c>
      <c r="H28" s="355">
        <v>567</v>
      </c>
      <c r="I28" s="358">
        <v>2422.8</v>
      </c>
      <c r="J28" s="382"/>
      <c r="K28" s="360"/>
      <c r="L28" s="361"/>
      <c r="M28" s="360"/>
      <c r="N28" s="363"/>
      <c r="O28" s="364">
        <f t="shared" ref="O28:O30" si="4">SUBTOTAL(9,I28)</f>
        <v>2422.8</v>
      </c>
      <c r="P28" s="375"/>
      <c r="Q28" s="375"/>
      <c r="R28" s="375"/>
      <c r="S28" s="375"/>
      <c r="T28" s="375"/>
      <c r="U28" s="375"/>
      <c r="V28" s="375"/>
      <c r="W28" s="375"/>
      <c r="X28" s="376"/>
      <c r="Y28" s="368"/>
      <c r="Z28" s="381"/>
      <c r="AA28" s="376"/>
      <c r="AB28" s="378"/>
      <c r="AC28" s="375"/>
      <c r="AD28" s="375"/>
      <c r="AE28" s="375"/>
    </row>
    <row r="29" s="264" customFormat="1" ht="12.75" spans="1:31">
      <c r="A29" s="354"/>
      <c r="B29" s="355"/>
      <c r="C29" s="356">
        <v>241104000038</v>
      </c>
      <c r="D29" s="357">
        <v>45602</v>
      </c>
      <c r="E29" s="355" t="s">
        <v>49</v>
      </c>
      <c r="F29" s="355" t="s">
        <v>86</v>
      </c>
      <c r="G29" s="355">
        <v>0.0737</v>
      </c>
      <c r="H29" s="355">
        <v>26</v>
      </c>
      <c r="I29" s="358">
        <v>214.23</v>
      </c>
      <c r="J29" s="382"/>
      <c r="K29" s="362"/>
      <c r="L29" s="361"/>
      <c r="M29" s="362"/>
      <c r="N29" s="363"/>
      <c r="O29" s="364">
        <f t="shared" si="4"/>
        <v>214.23</v>
      </c>
      <c r="P29" s="375"/>
      <c r="Q29" s="375"/>
      <c r="R29" s="375"/>
      <c r="S29" s="375"/>
      <c r="T29" s="375"/>
      <c r="U29" s="375"/>
      <c r="V29" s="375"/>
      <c r="W29" s="375"/>
      <c r="X29" s="376"/>
      <c r="Y29" s="368"/>
      <c r="Z29" s="381"/>
      <c r="AA29" s="376"/>
      <c r="AB29" s="378"/>
      <c r="AC29" s="375"/>
      <c r="AD29" s="375"/>
      <c r="AE29" s="375"/>
    </row>
    <row r="30" s="264" customFormat="1" ht="12.75" spans="1:31">
      <c r="A30" s="354"/>
      <c r="B30" s="355"/>
      <c r="C30" s="356">
        <v>241022000035</v>
      </c>
      <c r="D30" s="357">
        <v>45602</v>
      </c>
      <c r="E30" s="355" t="s">
        <v>37</v>
      </c>
      <c r="F30" s="355" t="s">
        <v>121</v>
      </c>
      <c r="G30" s="355">
        <v>27.424</v>
      </c>
      <c r="H30" s="355">
        <v>19896</v>
      </c>
      <c r="I30" s="358">
        <v>60720</v>
      </c>
      <c r="J30" s="382"/>
      <c r="K30" s="360"/>
      <c r="L30" s="361"/>
      <c r="M30" s="360"/>
      <c r="N30" s="363"/>
      <c r="O30" s="364">
        <f t="shared" si="4"/>
        <v>60720</v>
      </c>
      <c r="P30" s="375"/>
      <c r="Q30" s="375"/>
      <c r="R30" s="375"/>
      <c r="S30" s="375"/>
      <c r="T30" s="375"/>
      <c r="U30" s="375"/>
      <c r="V30" s="375"/>
      <c r="W30" s="375"/>
      <c r="X30" s="376"/>
      <c r="Y30" s="368"/>
      <c r="Z30" s="381"/>
      <c r="AA30" s="376"/>
      <c r="AB30" s="378"/>
      <c r="AC30" s="375"/>
      <c r="AD30" s="375"/>
      <c r="AE30" s="375"/>
    </row>
    <row r="31" s="264" customFormat="1" ht="12.75" spans="1:31">
      <c r="A31" s="354"/>
      <c r="B31" s="355"/>
      <c r="C31" s="356">
        <v>241105000034</v>
      </c>
      <c r="D31" s="357">
        <v>45602</v>
      </c>
      <c r="E31" s="355" t="s">
        <v>42</v>
      </c>
      <c r="F31" s="355" t="s">
        <v>131</v>
      </c>
      <c r="G31" s="355">
        <v>0.7455</v>
      </c>
      <c r="H31" s="355">
        <v>854</v>
      </c>
      <c r="I31" s="364"/>
      <c r="J31" s="383">
        <v>641427.2</v>
      </c>
      <c r="K31" s="360"/>
      <c r="L31" s="361">
        <f>SUM(J31/M31)</f>
        <v>1643</v>
      </c>
      <c r="M31" s="362">
        <v>390.4</v>
      </c>
      <c r="N31" s="363">
        <v>7.3</v>
      </c>
      <c r="O31" s="364">
        <f>SUM(M31*N31)</f>
        <v>2849.92</v>
      </c>
      <c r="P31" s="375"/>
      <c r="Q31" s="375"/>
      <c r="R31" s="375"/>
      <c r="S31" s="375"/>
      <c r="T31" s="375"/>
      <c r="U31" s="375"/>
      <c r="V31" s="375"/>
      <c r="W31" s="375"/>
      <c r="X31" s="376"/>
      <c r="Y31" s="368">
        <v>29.21</v>
      </c>
      <c r="Z31" s="381"/>
      <c r="AA31" s="376"/>
      <c r="AB31" s="378"/>
      <c r="AC31" s="375"/>
      <c r="AD31" s="375"/>
      <c r="AE31" s="375"/>
    </row>
    <row r="32" s="264" customFormat="1" ht="12.75" spans="1:31">
      <c r="A32" s="354"/>
      <c r="B32" s="355"/>
      <c r="C32" s="356">
        <v>241106000001</v>
      </c>
      <c r="D32" s="357">
        <v>45602</v>
      </c>
      <c r="E32" s="355" t="s">
        <v>40</v>
      </c>
      <c r="F32" s="355" t="s">
        <v>41</v>
      </c>
      <c r="G32" s="355">
        <v>0.4542</v>
      </c>
      <c r="H32" s="355">
        <v>69</v>
      </c>
      <c r="I32" s="358">
        <v>1060.98</v>
      </c>
      <c r="J32" s="382"/>
      <c r="K32" s="360"/>
      <c r="L32" s="361"/>
      <c r="M32" s="360"/>
      <c r="N32" s="363"/>
      <c r="O32" s="364">
        <f t="shared" ref="O32:O36" si="5">SUBTOTAL(9,I32)</f>
        <v>1060.98</v>
      </c>
      <c r="P32" s="375"/>
      <c r="Q32" s="375"/>
      <c r="R32" s="375"/>
      <c r="S32" s="375"/>
      <c r="T32" s="375"/>
      <c r="U32" s="375"/>
      <c r="V32" s="375"/>
      <c r="W32" s="375"/>
      <c r="X32" s="376"/>
      <c r="Y32" s="368"/>
      <c r="Z32" s="381"/>
      <c r="AA32" s="376"/>
      <c r="AB32" s="378"/>
      <c r="AC32" s="375"/>
      <c r="AD32" s="375"/>
      <c r="AE32" s="375"/>
    </row>
    <row r="33" s="264" customFormat="1" ht="12.75" spans="1:31">
      <c r="A33" s="354"/>
      <c r="B33" s="355"/>
      <c r="C33" s="356">
        <v>241106000002</v>
      </c>
      <c r="D33" s="357">
        <v>45602</v>
      </c>
      <c r="E33" s="355" t="s">
        <v>40</v>
      </c>
      <c r="F33" s="355" t="s">
        <v>316</v>
      </c>
      <c r="G33" s="355">
        <v>0.3458</v>
      </c>
      <c r="H33" s="355">
        <v>98</v>
      </c>
      <c r="I33" s="358">
        <v>757</v>
      </c>
      <c r="J33" s="382"/>
      <c r="K33" s="360"/>
      <c r="L33" s="361"/>
      <c r="M33" s="360"/>
      <c r="N33" s="363"/>
      <c r="O33" s="364">
        <f t="shared" si="5"/>
        <v>757</v>
      </c>
      <c r="P33" s="375"/>
      <c r="Q33" s="375"/>
      <c r="R33" s="375"/>
      <c r="S33" s="375"/>
      <c r="T33" s="375"/>
      <c r="U33" s="375"/>
      <c r="V33" s="375"/>
      <c r="W33" s="375"/>
      <c r="X33" s="376"/>
      <c r="Y33" s="368"/>
      <c r="Z33" s="381"/>
      <c r="AA33" s="376"/>
      <c r="AB33" s="378"/>
      <c r="AC33" s="375"/>
      <c r="AD33" s="375"/>
      <c r="AE33" s="375"/>
    </row>
    <row r="34" s="264" customFormat="1" ht="12.75" spans="1:31">
      <c r="A34" s="354"/>
      <c r="B34" s="355"/>
      <c r="C34" s="356">
        <v>241106000018</v>
      </c>
      <c r="D34" s="357">
        <v>45602</v>
      </c>
      <c r="E34" s="355" t="s">
        <v>37</v>
      </c>
      <c r="F34" s="355" t="s">
        <v>152</v>
      </c>
      <c r="G34" s="355">
        <v>0.0019</v>
      </c>
      <c r="H34" s="355">
        <v>1</v>
      </c>
      <c r="I34" s="364"/>
      <c r="J34" s="383">
        <v>51150</v>
      </c>
      <c r="K34" s="360"/>
      <c r="L34" s="361">
        <f t="shared" ref="L34:L39" si="6">SUM(J34/M34)</f>
        <v>1650</v>
      </c>
      <c r="M34" s="362">
        <v>31</v>
      </c>
      <c r="N34" s="363">
        <v>7.2</v>
      </c>
      <c r="O34" s="364">
        <f t="shared" ref="O34:O39" si="7">SUM(M34*N34)</f>
        <v>223.2</v>
      </c>
      <c r="P34" s="375"/>
      <c r="Q34" s="375"/>
      <c r="R34" s="375"/>
      <c r="S34" s="375"/>
      <c r="T34" s="375"/>
      <c r="U34" s="375"/>
      <c r="V34" s="375"/>
      <c r="W34" s="375"/>
      <c r="X34" s="376"/>
      <c r="Y34" s="368"/>
      <c r="Z34" s="381"/>
      <c r="AA34" s="376"/>
      <c r="AB34" s="378"/>
      <c r="AC34" s="375"/>
      <c r="AD34" s="375"/>
      <c r="AE34" s="375"/>
    </row>
    <row r="35" s="264" customFormat="1" ht="12.75" spans="1:31">
      <c r="A35" s="354"/>
      <c r="B35" s="355"/>
      <c r="C35" s="356">
        <v>241106000037</v>
      </c>
      <c r="D35" s="357">
        <v>45602</v>
      </c>
      <c r="E35" s="355" t="s">
        <v>40</v>
      </c>
      <c r="F35" s="355" t="s">
        <v>62</v>
      </c>
      <c r="G35" s="355">
        <v>0.6996</v>
      </c>
      <c r="H35" s="355">
        <v>76</v>
      </c>
      <c r="I35" s="358">
        <v>1583.01</v>
      </c>
      <c r="J35" s="382"/>
      <c r="K35" s="360"/>
      <c r="L35" s="361"/>
      <c r="M35" s="360"/>
      <c r="N35" s="363"/>
      <c r="O35" s="364">
        <f t="shared" si="5"/>
        <v>1583.01</v>
      </c>
      <c r="P35" s="375"/>
      <c r="Q35" s="375"/>
      <c r="R35" s="375"/>
      <c r="S35" s="375"/>
      <c r="T35" s="375"/>
      <c r="U35" s="375"/>
      <c r="V35" s="375"/>
      <c r="W35" s="375"/>
      <c r="X35" s="376"/>
      <c r="Y35" s="368"/>
      <c r="Z35" s="381"/>
      <c r="AA35" s="376"/>
      <c r="AB35" s="378"/>
      <c r="AC35" s="375"/>
      <c r="AD35" s="375"/>
      <c r="AE35" s="375"/>
    </row>
    <row r="36" s="264" customFormat="1" ht="12.75" spans="1:31">
      <c r="A36" s="354"/>
      <c r="B36" s="355"/>
      <c r="C36" s="356">
        <v>241107000022</v>
      </c>
      <c r="D36" s="357">
        <v>45602</v>
      </c>
      <c r="E36" s="355" t="s">
        <v>44</v>
      </c>
      <c r="F36" s="355" t="s">
        <v>59</v>
      </c>
      <c r="G36" s="355">
        <v>32.635</v>
      </c>
      <c r="H36" s="355">
        <v>4165</v>
      </c>
      <c r="I36" s="358">
        <v>52361.59</v>
      </c>
      <c r="J36" s="382"/>
      <c r="K36" s="360"/>
      <c r="L36" s="361"/>
      <c r="M36" s="362"/>
      <c r="N36" s="363"/>
      <c r="O36" s="364">
        <f t="shared" si="5"/>
        <v>52361.59</v>
      </c>
      <c r="P36" s="379"/>
      <c r="Q36" s="379"/>
      <c r="R36" s="379"/>
      <c r="S36" s="379"/>
      <c r="T36" s="379"/>
      <c r="U36" s="379"/>
      <c r="V36" s="379"/>
      <c r="W36" s="379"/>
      <c r="X36" s="377"/>
      <c r="Y36" s="368"/>
      <c r="Z36" s="381"/>
      <c r="AA36" s="377"/>
      <c r="AB36" s="380"/>
      <c r="AC36" s="379"/>
      <c r="AD36" s="379"/>
      <c r="AE36" s="379"/>
    </row>
    <row r="37" s="265" customFormat="1" ht="12.75" spans="1:31">
      <c r="A37" s="354" t="s">
        <v>317</v>
      </c>
      <c r="B37" s="355" t="s">
        <v>318</v>
      </c>
      <c r="C37" s="356">
        <v>240930000009</v>
      </c>
      <c r="D37" s="357">
        <v>45608</v>
      </c>
      <c r="E37" s="355" t="s">
        <v>49</v>
      </c>
      <c r="F37" s="355" t="s">
        <v>319</v>
      </c>
      <c r="G37" s="355">
        <v>0.0977</v>
      </c>
      <c r="H37" s="355">
        <v>28.5</v>
      </c>
      <c r="I37" s="364"/>
      <c r="J37" s="370">
        <v>132820</v>
      </c>
      <c r="K37" s="360"/>
      <c r="L37" s="361">
        <f t="shared" si="6"/>
        <v>1648.91371818746</v>
      </c>
      <c r="M37" s="362">
        <v>80.55</v>
      </c>
      <c r="N37" s="363">
        <v>7.3</v>
      </c>
      <c r="O37" s="364">
        <f t="shared" si="7"/>
        <v>588.015</v>
      </c>
      <c r="P37" s="371">
        <f>SUM(O37:O58)</f>
        <v>188664.536854</v>
      </c>
      <c r="Q37" s="372" t="s">
        <v>320</v>
      </c>
      <c r="R37" s="371">
        <v>53218</v>
      </c>
      <c r="S37" s="371"/>
      <c r="T37" s="371">
        <v>1955</v>
      </c>
      <c r="U37" s="371"/>
      <c r="V37" s="371"/>
      <c r="W37" s="371">
        <f>SUM(R37:V58)</f>
        <v>55823</v>
      </c>
      <c r="X37" s="373">
        <v>11360.84</v>
      </c>
      <c r="Y37" s="368">
        <v>11.38</v>
      </c>
      <c r="Z37" s="373">
        <v>53.34</v>
      </c>
      <c r="AA37" s="373">
        <f>SUM(X37:Z58)</f>
        <v>12551.34</v>
      </c>
      <c r="AB37" s="374">
        <v>7.3</v>
      </c>
      <c r="AC37" s="371">
        <f>SUM(AA37*AB37)</f>
        <v>91624.782</v>
      </c>
      <c r="AD37" s="371">
        <f>SUM(W37+AC37)</f>
        <v>147447.782</v>
      </c>
      <c r="AE37" s="371">
        <f>SUM(P37-AD37)</f>
        <v>41216.754854</v>
      </c>
    </row>
    <row r="38" s="265" customFormat="1" ht="12.75" spans="1:31">
      <c r="A38" s="354"/>
      <c r="B38" s="355"/>
      <c r="C38" s="356">
        <v>241015000034</v>
      </c>
      <c r="D38" s="357">
        <v>45608</v>
      </c>
      <c r="E38" s="355" t="s">
        <v>42</v>
      </c>
      <c r="F38" s="355" t="s">
        <v>43</v>
      </c>
      <c r="G38" s="355">
        <v>4.77</v>
      </c>
      <c r="H38" s="355">
        <v>451</v>
      </c>
      <c r="I38" s="358">
        <v>9789.95</v>
      </c>
      <c r="J38" s="369"/>
      <c r="K38" s="360"/>
      <c r="L38" s="361"/>
      <c r="M38" s="360"/>
      <c r="N38" s="363"/>
      <c r="O38" s="364">
        <f t="shared" ref="O38:O42" si="8">SUBTOTAL(9,I38)</f>
        <v>9789.95</v>
      </c>
      <c r="P38" s="375"/>
      <c r="Q38" s="375"/>
      <c r="R38" s="375"/>
      <c r="S38" s="375"/>
      <c r="T38" s="375"/>
      <c r="U38" s="375"/>
      <c r="V38" s="375"/>
      <c r="W38" s="375"/>
      <c r="X38" s="376"/>
      <c r="Y38" s="368"/>
      <c r="Z38" s="376"/>
      <c r="AA38" s="376"/>
      <c r="AB38" s="378"/>
      <c r="AC38" s="375"/>
      <c r="AD38" s="375"/>
      <c r="AE38" s="375"/>
    </row>
    <row r="39" s="265" customFormat="1" ht="12.75" spans="1:31">
      <c r="A39" s="354"/>
      <c r="B39" s="355"/>
      <c r="C39" s="356">
        <v>241021000005</v>
      </c>
      <c r="D39" s="357">
        <v>45608</v>
      </c>
      <c r="E39" s="355" t="s">
        <v>52</v>
      </c>
      <c r="F39" s="355" t="s">
        <v>137</v>
      </c>
      <c r="G39" s="355">
        <v>1.1795</v>
      </c>
      <c r="H39" s="355">
        <v>335</v>
      </c>
      <c r="I39" s="364"/>
      <c r="J39" s="370">
        <v>583853</v>
      </c>
      <c r="K39" s="360"/>
      <c r="L39" s="361">
        <f t="shared" si="6"/>
        <v>1650.00150628806</v>
      </c>
      <c r="M39" s="362">
        <v>353.84998</v>
      </c>
      <c r="N39" s="363">
        <v>7.3</v>
      </c>
      <c r="O39" s="364">
        <f t="shared" si="7"/>
        <v>2583.104854</v>
      </c>
      <c r="P39" s="375"/>
      <c r="Q39" s="375"/>
      <c r="R39" s="375"/>
      <c r="S39" s="375"/>
      <c r="T39" s="375"/>
      <c r="U39" s="379"/>
      <c r="V39" s="375"/>
      <c r="W39" s="375"/>
      <c r="X39" s="376"/>
      <c r="Y39" s="368"/>
      <c r="Z39" s="376"/>
      <c r="AA39" s="376"/>
      <c r="AB39" s="378"/>
      <c r="AC39" s="375"/>
      <c r="AD39" s="375"/>
      <c r="AE39" s="375"/>
    </row>
    <row r="40" s="265" customFormat="1" ht="12.75" spans="1:31">
      <c r="A40" s="354"/>
      <c r="B40" s="355"/>
      <c r="C40" s="356">
        <v>241022000035</v>
      </c>
      <c r="D40" s="357">
        <v>45608</v>
      </c>
      <c r="E40" s="355" t="s">
        <v>37</v>
      </c>
      <c r="F40" s="355" t="s">
        <v>121</v>
      </c>
      <c r="G40" s="355">
        <v>28.3553</v>
      </c>
      <c r="H40" s="355">
        <v>15100</v>
      </c>
      <c r="I40" s="358">
        <v>62780</v>
      </c>
      <c r="J40" s="369"/>
      <c r="K40" s="360"/>
      <c r="L40" s="361"/>
      <c r="M40" s="360"/>
      <c r="N40" s="363"/>
      <c r="O40" s="364">
        <f t="shared" si="8"/>
        <v>62780</v>
      </c>
      <c r="P40" s="375"/>
      <c r="Q40" s="375"/>
      <c r="R40" s="375"/>
      <c r="S40" s="375"/>
      <c r="T40" s="375"/>
      <c r="U40" s="367">
        <v>300</v>
      </c>
      <c r="V40" s="375"/>
      <c r="W40" s="375"/>
      <c r="X40" s="376"/>
      <c r="Y40" s="368">
        <f>SUM(413.88+371.27)</f>
        <v>785.15</v>
      </c>
      <c r="Z40" s="376"/>
      <c r="AA40" s="376"/>
      <c r="AB40" s="378"/>
      <c r="AC40" s="375"/>
      <c r="AD40" s="375"/>
      <c r="AE40" s="375"/>
    </row>
    <row r="41" s="265" customFormat="1" ht="12.75" spans="1:31">
      <c r="A41" s="354"/>
      <c r="B41" s="355"/>
      <c r="C41" s="356">
        <v>241024000054</v>
      </c>
      <c r="D41" s="357">
        <v>45608</v>
      </c>
      <c r="E41" s="355" t="s">
        <v>40</v>
      </c>
      <c r="F41" s="355" t="s">
        <v>134</v>
      </c>
      <c r="G41" s="355">
        <v>16.835</v>
      </c>
      <c r="H41" s="355">
        <v>7500</v>
      </c>
      <c r="I41" s="358">
        <v>48779</v>
      </c>
      <c r="J41" s="369"/>
      <c r="K41" s="360"/>
      <c r="L41" s="361"/>
      <c r="M41" s="360"/>
      <c r="N41" s="363"/>
      <c r="O41" s="364">
        <f t="shared" si="8"/>
        <v>48779</v>
      </c>
      <c r="P41" s="375"/>
      <c r="Q41" s="375"/>
      <c r="R41" s="375"/>
      <c r="S41" s="375"/>
      <c r="T41" s="375"/>
      <c r="U41" s="371"/>
      <c r="V41" s="375"/>
      <c r="W41" s="375"/>
      <c r="X41" s="376"/>
      <c r="Y41" s="368">
        <v>97.38</v>
      </c>
      <c r="Z41" s="376"/>
      <c r="AA41" s="376"/>
      <c r="AB41" s="378"/>
      <c r="AC41" s="375"/>
      <c r="AD41" s="375"/>
      <c r="AE41" s="375"/>
    </row>
    <row r="42" s="265" customFormat="1" ht="12.75" spans="1:31">
      <c r="A42" s="354"/>
      <c r="B42" s="355"/>
      <c r="C42" s="356">
        <v>241104000057</v>
      </c>
      <c r="D42" s="357">
        <v>45608</v>
      </c>
      <c r="E42" s="355" t="s">
        <v>42</v>
      </c>
      <c r="F42" s="355" t="s">
        <v>43</v>
      </c>
      <c r="G42" s="355">
        <v>2.3978</v>
      </c>
      <c r="H42" s="355">
        <v>447</v>
      </c>
      <c r="I42" s="358">
        <v>4925.76</v>
      </c>
      <c r="J42" s="369"/>
      <c r="K42" s="360"/>
      <c r="L42" s="361"/>
      <c r="M42" s="360"/>
      <c r="N42" s="363"/>
      <c r="O42" s="364">
        <f t="shared" si="8"/>
        <v>4925.76</v>
      </c>
      <c r="P42" s="375"/>
      <c r="Q42" s="375"/>
      <c r="R42" s="375"/>
      <c r="S42" s="375"/>
      <c r="T42" s="375"/>
      <c r="U42" s="375"/>
      <c r="V42" s="375"/>
      <c r="W42" s="375"/>
      <c r="X42" s="376"/>
      <c r="Y42" s="368"/>
      <c r="Z42" s="376"/>
      <c r="AA42" s="376"/>
      <c r="AB42" s="378"/>
      <c r="AC42" s="375"/>
      <c r="AD42" s="375"/>
      <c r="AE42" s="375"/>
    </row>
    <row r="43" s="265" customFormat="1" ht="12.75" spans="1:31">
      <c r="A43" s="354"/>
      <c r="B43" s="355"/>
      <c r="C43" s="356">
        <v>241104000071</v>
      </c>
      <c r="D43" s="357">
        <v>45608</v>
      </c>
      <c r="E43" s="355" t="s">
        <v>37</v>
      </c>
      <c r="F43" s="355" t="s">
        <v>166</v>
      </c>
      <c r="G43" s="355">
        <v>0.2523</v>
      </c>
      <c r="H43" s="355">
        <v>27</v>
      </c>
      <c r="I43" s="364"/>
      <c r="J43" s="370">
        <v>116127</v>
      </c>
      <c r="K43" s="360"/>
      <c r="L43" s="361">
        <f t="shared" ref="L43:L47" si="9">SUM(J43/M43)</f>
        <v>1684.46475195822</v>
      </c>
      <c r="M43" s="362">
        <v>68.94</v>
      </c>
      <c r="N43" s="363">
        <v>7.3</v>
      </c>
      <c r="O43" s="364">
        <f t="shared" ref="O43:O47" si="10">SUM(M43*N43)</f>
        <v>503.262</v>
      </c>
      <c r="P43" s="375"/>
      <c r="Q43" s="375"/>
      <c r="R43" s="375"/>
      <c r="S43" s="375"/>
      <c r="T43" s="375"/>
      <c r="U43" s="375"/>
      <c r="V43" s="375"/>
      <c r="W43" s="375"/>
      <c r="X43" s="376"/>
      <c r="Y43" s="368"/>
      <c r="Z43" s="376"/>
      <c r="AA43" s="376"/>
      <c r="AB43" s="378"/>
      <c r="AC43" s="375"/>
      <c r="AD43" s="375"/>
      <c r="AE43" s="375"/>
    </row>
    <row r="44" s="265" customFormat="1" ht="12.75" spans="1:31">
      <c r="A44" s="354"/>
      <c r="B44" s="355"/>
      <c r="C44" s="356">
        <v>241105000024</v>
      </c>
      <c r="D44" s="357">
        <v>45608</v>
      </c>
      <c r="E44" s="355" t="s">
        <v>190</v>
      </c>
      <c r="F44" s="355" t="s">
        <v>191</v>
      </c>
      <c r="G44" s="355">
        <v>2.0026</v>
      </c>
      <c r="H44" s="355">
        <v>262.5</v>
      </c>
      <c r="I44" s="358">
        <v>4385.69</v>
      </c>
      <c r="J44" s="369"/>
      <c r="K44" s="360"/>
      <c r="L44" s="361"/>
      <c r="M44" s="360"/>
      <c r="N44" s="363"/>
      <c r="O44" s="364">
        <f>SUBTOTAL(9,I44)</f>
        <v>4385.69</v>
      </c>
      <c r="P44" s="375"/>
      <c r="Q44" s="375"/>
      <c r="R44" s="375"/>
      <c r="S44" s="375"/>
      <c r="T44" s="375"/>
      <c r="U44" s="375"/>
      <c r="V44" s="379"/>
      <c r="W44" s="375"/>
      <c r="X44" s="376"/>
      <c r="Y44" s="368"/>
      <c r="Z44" s="376"/>
      <c r="AA44" s="376"/>
      <c r="AB44" s="378"/>
      <c r="AC44" s="375"/>
      <c r="AD44" s="375"/>
      <c r="AE44" s="375"/>
    </row>
    <row r="45" s="265" customFormat="1" ht="12.75" spans="1:31">
      <c r="A45" s="354"/>
      <c r="B45" s="355"/>
      <c r="C45" s="356">
        <v>241105000025</v>
      </c>
      <c r="D45" s="357">
        <v>45608</v>
      </c>
      <c r="E45" s="355" t="s">
        <v>49</v>
      </c>
      <c r="F45" s="355" t="s">
        <v>321</v>
      </c>
      <c r="G45" s="355">
        <v>3.7323</v>
      </c>
      <c r="H45" s="355">
        <v>536</v>
      </c>
      <c r="I45" s="364"/>
      <c r="J45" s="370">
        <v>1998941</v>
      </c>
      <c r="K45" s="360"/>
      <c r="L45" s="361">
        <f t="shared" si="9"/>
        <v>1712.44838516234</v>
      </c>
      <c r="M45" s="362">
        <v>1167.3</v>
      </c>
      <c r="N45" s="363">
        <v>7.3</v>
      </c>
      <c r="O45" s="364">
        <f t="shared" si="10"/>
        <v>8521.29</v>
      </c>
      <c r="P45" s="375"/>
      <c r="Q45" s="375"/>
      <c r="R45" s="375"/>
      <c r="S45" s="375"/>
      <c r="T45" s="375"/>
      <c r="U45" s="375"/>
      <c r="V45" s="367">
        <v>350</v>
      </c>
      <c r="W45" s="375"/>
      <c r="X45" s="376"/>
      <c r="Y45" s="368"/>
      <c r="Z45" s="376"/>
      <c r="AA45" s="376"/>
      <c r="AB45" s="378"/>
      <c r="AC45" s="375"/>
      <c r="AD45" s="375"/>
      <c r="AE45" s="375"/>
    </row>
    <row r="46" s="265" customFormat="1" ht="12.75" spans="1:31">
      <c r="A46" s="354"/>
      <c r="B46" s="355"/>
      <c r="C46" s="356">
        <v>241105000054</v>
      </c>
      <c r="D46" s="357">
        <v>45608</v>
      </c>
      <c r="E46" s="355" t="s">
        <v>256</v>
      </c>
      <c r="F46" s="355" t="s">
        <v>322</v>
      </c>
      <c r="G46" s="355">
        <v>0.3709</v>
      </c>
      <c r="H46" s="355">
        <v>167</v>
      </c>
      <c r="I46" s="364"/>
      <c r="J46" s="370">
        <v>206012.98</v>
      </c>
      <c r="K46" s="360"/>
      <c r="L46" s="361">
        <f t="shared" si="9"/>
        <v>1664.88588976887</v>
      </c>
      <c r="M46" s="362">
        <v>123.74</v>
      </c>
      <c r="N46" s="363">
        <v>7.27</v>
      </c>
      <c r="O46" s="364">
        <f t="shared" si="10"/>
        <v>899.5898</v>
      </c>
      <c r="P46" s="375"/>
      <c r="Q46" s="375"/>
      <c r="R46" s="375"/>
      <c r="S46" s="375"/>
      <c r="T46" s="375"/>
      <c r="U46" s="375"/>
      <c r="V46" s="371"/>
      <c r="W46" s="375"/>
      <c r="X46" s="376"/>
      <c r="Y46" s="368"/>
      <c r="Z46" s="376"/>
      <c r="AA46" s="376"/>
      <c r="AB46" s="378"/>
      <c r="AC46" s="375"/>
      <c r="AD46" s="375"/>
      <c r="AE46" s="375"/>
    </row>
    <row r="47" s="265" customFormat="1" ht="12.75" spans="1:31">
      <c r="A47" s="354"/>
      <c r="B47" s="355"/>
      <c r="C47" s="356">
        <v>241106000015</v>
      </c>
      <c r="D47" s="357">
        <v>45608</v>
      </c>
      <c r="E47" s="355" t="s">
        <v>42</v>
      </c>
      <c r="F47" s="355" t="s">
        <v>323</v>
      </c>
      <c r="G47" s="355">
        <v>0.2358</v>
      </c>
      <c r="H47" s="355">
        <v>43</v>
      </c>
      <c r="I47" s="364"/>
      <c r="J47" s="370">
        <v>132422.4</v>
      </c>
      <c r="K47" s="360"/>
      <c r="L47" s="361">
        <f t="shared" si="9"/>
        <v>1672</v>
      </c>
      <c r="M47" s="362">
        <v>79.2</v>
      </c>
      <c r="N47" s="363">
        <v>7.3</v>
      </c>
      <c r="O47" s="364">
        <f t="shared" si="10"/>
        <v>578.16</v>
      </c>
      <c r="P47" s="375"/>
      <c r="Q47" s="375"/>
      <c r="R47" s="375"/>
      <c r="S47" s="375"/>
      <c r="T47" s="375"/>
      <c r="U47" s="375"/>
      <c r="V47" s="375"/>
      <c r="W47" s="375"/>
      <c r="X47" s="376"/>
      <c r="Y47" s="368"/>
      <c r="Z47" s="376"/>
      <c r="AA47" s="376"/>
      <c r="AB47" s="378"/>
      <c r="AC47" s="375"/>
      <c r="AD47" s="375"/>
      <c r="AE47" s="375"/>
    </row>
    <row r="48" s="265" customFormat="1" ht="12.75" spans="1:31">
      <c r="A48" s="354"/>
      <c r="B48" s="355"/>
      <c r="C48" s="356">
        <v>241106000020</v>
      </c>
      <c r="D48" s="357">
        <v>45608</v>
      </c>
      <c r="E48" s="355" t="s">
        <v>49</v>
      </c>
      <c r="F48" s="355" t="s">
        <v>324</v>
      </c>
      <c r="G48" s="355">
        <v>0.3</v>
      </c>
      <c r="H48" s="355">
        <v>65</v>
      </c>
      <c r="I48" s="358">
        <v>908</v>
      </c>
      <c r="J48" s="369"/>
      <c r="K48" s="360"/>
      <c r="L48" s="361"/>
      <c r="M48" s="360"/>
      <c r="N48" s="363"/>
      <c r="O48" s="364">
        <f t="shared" ref="O48:O51" si="11">SUBTOTAL(9,I48)</f>
        <v>908</v>
      </c>
      <c r="P48" s="375"/>
      <c r="Q48" s="375"/>
      <c r="R48" s="375"/>
      <c r="S48" s="375"/>
      <c r="T48" s="375"/>
      <c r="U48" s="375"/>
      <c r="V48" s="375"/>
      <c r="W48" s="375"/>
      <c r="X48" s="376"/>
      <c r="Y48" s="368">
        <v>34.85</v>
      </c>
      <c r="Z48" s="376"/>
      <c r="AA48" s="376"/>
      <c r="AB48" s="378"/>
      <c r="AC48" s="375"/>
      <c r="AD48" s="375"/>
      <c r="AE48" s="375"/>
    </row>
    <row r="49" s="265" customFormat="1" ht="12.75" spans="1:31">
      <c r="A49" s="354"/>
      <c r="B49" s="355"/>
      <c r="C49" s="356">
        <v>241106000026</v>
      </c>
      <c r="D49" s="357">
        <v>45608</v>
      </c>
      <c r="E49" s="355" t="s">
        <v>52</v>
      </c>
      <c r="F49" s="355" t="s">
        <v>325</v>
      </c>
      <c r="G49" s="355">
        <v>0.1938</v>
      </c>
      <c r="H49" s="355">
        <v>63</v>
      </c>
      <c r="I49" s="364"/>
      <c r="J49" s="370">
        <v>188972</v>
      </c>
      <c r="K49" s="360"/>
      <c r="L49" s="361">
        <f t="shared" ref="L49:L54" si="12">SUM(J49/M49)</f>
        <v>1700</v>
      </c>
      <c r="M49" s="362">
        <v>111.16</v>
      </c>
      <c r="N49" s="363">
        <v>7.27</v>
      </c>
      <c r="O49" s="364">
        <f t="shared" ref="O49:O54" si="13">SUM(M49*N49)</f>
        <v>808.1332</v>
      </c>
      <c r="P49" s="375"/>
      <c r="Q49" s="375"/>
      <c r="R49" s="375"/>
      <c r="S49" s="375"/>
      <c r="T49" s="375"/>
      <c r="U49" s="375"/>
      <c r="V49" s="375"/>
      <c r="W49" s="375"/>
      <c r="X49" s="376"/>
      <c r="Y49" s="368">
        <v>53.58</v>
      </c>
      <c r="Z49" s="376"/>
      <c r="AA49" s="376"/>
      <c r="AB49" s="378"/>
      <c r="AC49" s="375"/>
      <c r="AD49" s="375"/>
      <c r="AE49" s="375"/>
    </row>
    <row r="50" s="265" customFormat="1" ht="12.75" spans="1:31">
      <c r="A50" s="354"/>
      <c r="B50" s="355"/>
      <c r="C50" s="356">
        <v>241106000034</v>
      </c>
      <c r="D50" s="357">
        <v>45608</v>
      </c>
      <c r="E50" s="355" t="s">
        <v>49</v>
      </c>
      <c r="F50" s="355" t="s">
        <v>326</v>
      </c>
      <c r="G50" s="355">
        <v>0.3814</v>
      </c>
      <c r="H50" s="355">
        <v>55</v>
      </c>
      <c r="I50" s="358">
        <v>1213</v>
      </c>
      <c r="J50" s="369"/>
      <c r="K50" s="360"/>
      <c r="L50" s="361"/>
      <c r="M50" s="360"/>
      <c r="N50" s="363"/>
      <c r="O50" s="364">
        <f t="shared" si="11"/>
        <v>1213</v>
      </c>
      <c r="P50" s="375"/>
      <c r="Q50" s="375"/>
      <c r="R50" s="375"/>
      <c r="S50" s="375"/>
      <c r="T50" s="375"/>
      <c r="U50" s="375"/>
      <c r="V50" s="375"/>
      <c r="W50" s="375"/>
      <c r="X50" s="376"/>
      <c r="Y50" s="368">
        <v>44.32</v>
      </c>
      <c r="Z50" s="376"/>
      <c r="AA50" s="376"/>
      <c r="AB50" s="378"/>
      <c r="AC50" s="375"/>
      <c r="AD50" s="375"/>
      <c r="AE50" s="375"/>
    </row>
    <row r="51" s="265" customFormat="1" ht="12.75" spans="1:31">
      <c r="A51" s="354"/>
      <c r="B51" s="355"/>
      <c r="C51" s="356">
        <v>241106000049</v>
      </c>
      <c r="D51" s="357">
        <v>45608</v>
      </c>
      <c r="E51" s="355" t="s">
        <v>49</v>
      </c>
      <c r="F51" s="355" t="s">
        <v>327</v>
      </c>
      <c r="G51" s="355">
        <v>0.0224</v>
      </c>
      <c r="H51" s="355">
        <v>5.5</v>
      </c>
      <c r="I51" s="358">
        <v>228</v>
      </c>
      <c r="J51" s="369"/>
      <c r="K51" s="360"/>
      <c r="L51" s="361"/>
      <c r="M51" s="360"/>
      <c r="N51" s="363"/>
      <c r="O51" s="364">
        <f t="shared" si="11"/>
        <v>228</v>
      </c>
      <c r="P51" s="375"/>
      <c r="Q51" s="375"/>
      <c r="R51" s="375"/>
      <c r="S51" s="375"/>
      <c r="T51" s="375"/>
      <c r="U51" s="375"/>
      <c r="V51" s="375"/>
      <c r="W51" s="375"/>
      <c r="X51" s="376"/>
      <c r="Y51" s="368"/>
      <c r="Z51" s="376"/>
      <c r="AA51" s="376"/>
      <c r="AB51" s="378"/>
      <c r="AC51" s="375"/>
      <c r="AD51" s="375"/>
      <c r="AE51" s="375"/>
    </row>
    <row r="52" s="265" customFormat="1" ht="12.75" spans="1:31">
      <c r="A52" s="354"/>
      <c r="B52" s="355"/>
      <c r="C52" s="356">
        <v>241107000010</v>
      </c>
      <c r="D52" s="357">
        <v>45608</v>
      </c>
      <c r="E52" s="355" t="s">
        <v>42</v>
      </c>
      <c r="F52" s="355" t="s">
        <v>131</v>
      </c>
      <c r="G52" s="355">
        <v>0.616</v>
      </c>
      <c r="H52" s="355">
        <v>188</v>
      </c>
      <c r="I52" s="364"/>
      <c r="J52" s="370">
        <v>331724.8</v>
      </c>
      <c r="K52" s="360"/>
      <c r="L52" s="361">
        <f t="shared" si="12"/>
        <v>1672</v>
      </c>
      <c r="M52" s="362">
        <v>198.4</v>
      </c>
      <c r="N52" s="363">
        <v>7.3</v>
      </c>
      <c r="O52" s="364">
        <f t="shared" si="13"/>
        <v>1448.32</v>
      </c>
      <c r="P52" s="375"/>
      <c r="Q52" s="375"/>
      <c r="R52" s="375"/>
      <c r="S52" s="375"/>
      <c r="T52" s="375"/>
      <c r="U52" s="375"/>
      <c r="V52" s="375"/>
      <c r="W52" s="375"/>
      <c r="X52" s="376"/>
      <c r="Y52" s="368">
        <v>3.11</v>
      </c>
      <c r="Z52" s="376"/>
      <c r="AA52" s="376"/>
      <c r="AB52" s="378"/>
      <c r="AC52" s="375"/>
      <c r="AD52" s="375"/>
      <c r="AE52" s="375"/>
    </row>
    <row r="53" s="265" customFormat="1" ht="12.75" spans="1:31">
      <c r="A53" s="354"/>
      <c r="B53" s="355"/>
      <c r="C53" s="356">
        <v>241107000011</v>
      </c>
      <c r="D53" s="357">
        <v>45608</v>
      </c>
      <c r="E53" s="355" t="s">
        <v>42</v>
      </c>
      <c r="F53" s="355" t="s">
        <v>131</v>
      </c>
      <c r="G53" s="355">
        <v>2.028</v>
      </c>
      <c r="H53" s="355">
        <v>358</v>
      </c>
      <c r="I53" s="364"/>
      <c r="J53" s="370">
        <v>1086131.2</v>
      </c>
      <c r="K53" s="360"/>
      <c r="L53" s="361">
        <f t="shared" si="12"/>
        <v>1672</v>
      </c>
      <c r="M53" s="362">
        <v>649.6</v>
      </c>
      <c r="N53" s="363">
        <v>7.3</v>
      </c>
      <c r="O53" s="364">
        <f t="shared" si="13"/>
        <v>4742.08</v>
      </c>
      <c r="P53" s="375"/>
      <c r="Q53" s="375"/>
      <c r="R53" s="375"/>
      <c r="S53" s="375"/>
      <c r="T53" s="375"/>
      <c r="U53" s="375"/>
      <c r="V53" s="375"/>
      <c r="W53" s="375"/>
      <c r="X53" s="376"/>
      <c r="Y53" s="368">
        <v>10.18</v>
      </c>
      <c r="Z53" s="376"/>
      <c r="AA53" s="376"/>
      <c r="AB53" s="378"/>
      <c r="AC53" s="375"/>
      <c r="AD53" s="375"/>
      <c r="AE53" s="375"/>
    </row>
    <row r="54" s="265" customFormat="1" ht="12.75" spans="1:31">
      <c r="A54" s="354"/>
      <c r="B54" s="355"/>
      <c r="C54" s="356">
        <v>241107000012</v>
      </c>
      <c r="D54" s="357">
        <v>45608</v>
      </c>
      <c r="E54" s="355" t="s">
        <v>42</v>
      </c>
      <c r="F54" s="355" t="s">
        <v>131</v>
      </c>
      <c r="G54" s="355">
        <v>7.8483</v>
      </c>
      <c r="H54" s="355">
        <v>1598</v>
      </c>
      <c r="I54" s="364"/>
      <c r="J54" s="370">
        <v>4200064</v>
      </c>
      <c r="K54" s="360"/>
      <c r="L54" s="361">
        <f t="shared" si="12"/>
        <v>1672</v>
      </c>
      <c r="M54" s="362">
        <v>2512</v>
      </c>
      <c r="N54" s="363">
        <v>7.3</v>
      </c>
      <c r="O54" s="364">
        <f t="shared" si="13"/>
        <v>18337.6</v>
      </c>
      <c r="P54" s="375"/>
      <c r="Q54" s="375"/>
      <c r="R54" s="375"/>
      <c r="S54" s="375"/>
      <c r="T54" s="375"/>
      <c r="U54" s="375"/>
      <c r="V54" s="375"/>
      <c r="W54" s="375"/>
      <c r="X54" s="376"/>
      <c r="Y54" s="368">
        <v>39.27</v>
      </c>
      <c r="Z54" s="376"/>
      <c r="AA54" s="376"/>
      <c r="AB54" s="378"/>
      <c r="AC54" s="375"/>
      <c r="AD54" s="375"/>
      <c r="AE54" s="375"/>
    </row>
    <row r="55" s="265" customFormat="1" ht="12.75" spans="1:31">
      <c r="A55" s="354"/>
      <c r="B55" s="355"/>
      <c r="C55" s="356">
        <v>241108000001</v>
      </c>
      <c r="D55" s="357">
        <v>45608</v>
      </c>
      <c r="E55" s="355" t="s">
        <v>40</v>
      </c>
      <c r="F55" s="355" t="s">
        <v>93</v>
      </c>
      <c r="G55" s="355">
        <v>1.6887</v>
      </c>
      <c r="H55" s="355">
        <v>558</v>
      </c>
      <c r="I55" s="358">
        <v>5053</v>
      </c>
      <c r="J55" s="369"/>
      <c r="K55" s="360"/>
      <c r="L55" s="361"/>
      <c r="M55" s="360"/>
      <c r="N55" s="363"/>
      <c r="O55" s="364">
        <f t="shared" ref="O55:O59" si="14">SUBTOTAL(9,I55)</f>
        <v>5053</v>
      </c>
      <c r="P55" s="375"/>
      <c r="Q55" s="375"/>
      <c r="R55" s="375"/>
      <c r="S55" s="375"/>
      <c r="T55" s="375"/>
      <c r="U55" s="375"/>
      <c r="V55" s="375"/>
      <c r="W55" s="375"/>
      <c r="X55" s="376"/>
      <c r="Y55" s="368">
        <v>57.94</v>
      </c>
      <c r="Z55" s="376"/>
      <c r="AA55" s="376"/>
      <c r="AB55" s="378"/>
      <c r="AC55" s="375"/>
      <c r="AD55" s="375"/>
      <c r="AE55" s="375"/>
    </row>
    <row r="56" s="265" customFormat="1" ht="12.75" spans="1:31">
      <c r="A56" s="354"/>
      <c r="B56" s="355"/>
      <c r="C56" s="356">
        <v>241109000008</v>
      </c>
      <c r="D56" s="357">
        <v>45608</v>
      </c>
      <c r="E56" s="355" t="s">
        <v>42</v>
      </c>
      <c r="F56" s="355" t="s">
        <v>323</v>
      </c>
      <c r="G56" s="355">
        <v>1.344</v>
      </c>
      <c r="H56" s="355">
        <v>254</v>
      </c>
      <c r="I56" s="364"/>
      <c r="J56" s="370">
        <v>696622.08</v>
      </c>
      <c r="K56" s="360"/>
      <c r="L56" s="361">
        <f>SUM(J56/M56)</f>
        <v>1672</v>
      </c>
      <c r="M56" s="362">
        <v>416.64</v>
      </c>
      <c r="N56" s="363">
        <v>7.3</v>
      </c>
      <c r="O56" s="364">
        <f>SUM(M56*N56)</f>
        <v>3041.472</v>
      </c>
      <c r="P56" s="375"/>
      <c r="Q56" s="375"/>
      <c r="R56" s="375"/>
      <c r="S56" s="375"/>
      <c r="T56" s="375"/>
      <c r="U56" s="375"/>
      <c r="V56" s="375"/>
      <c r="W56" s="375"/>
      <c r="X56" s="376"/>
      <c r="Y56" s="368"/>
      <c r="Z56" s="376"/>
      <c r="AA56" s="376"/>
      <c r="AB56" s="378"/>
      <c r="AC56" s="375"/>
      <c r="AD56" s="375"/>
      <c r="AE56" s="375"/>
    </row>
    <row r="57" s="264" customFormat="1" ht="12.75" spans="1:31">
      <c r="A57" s="354"/>
      <c r="B57" s="355"/>
      <c r="C57" s="356">
        <v>241210000044</v>
      </c>
      <c r="D57" s="357">
        <v>45609</v>
      </c>
      <c r="E57" s="355" t="s">
        <v>44</v>
      </c>
      <c r="F57" s="355" t="s">
        <v>59</v>
      </c>
      <c r="G57" s="355">
        <v>5.104</v>
      </c>
      <c r="H57" s="355">
        <v>471</v>
      </c>
      <c r="I57" s="358">
        <v>7929.81</v>
      </c>
      <c r="J57" s="382"/>
      <c r="K57" s="360"/>
      <c r="L57" s="361"/>
      <c r="M57" s="362"/>
      <c r="N57" s="363"/>
      <c r="O57" s="364">
        <f t="shared" si="14"/>
        <v>7929.81</v>
      </c>
      <c r="P57" s="375"/>
      <c r="Q57" s="375"/>
      <c r="R57" s="375"/>
      <c r="S57" s="375"/>
      <c r="T57" s="375"/>
      <c r="U57" s="375"/>
      <c r="V57" s="375"/>
      <c r="W57" s="375"/>
      <c r="X57" s="376"/>
      <c r="Y57" s="368"/>
      <c r="Z57" s="376"/>
      <c r="AA57" s="376"/>
      <c r="AB57" s="378"/>
      <c r="AC57" s="375"/>
      <c r="AD57" s="375"/>
      <c r="AE57" s="375"/>
    </row>
    <row r="58" s="265" customFormat="1" ht="12.75" spans="1:31">
      <c r="A58" s="354"/>
      <c r="B58" s="355"/>
      <c r="C58" s="356">
        <v>241112000025</v>
      </c>
      <c r="D58" s="357">
        <v>45608</v>
      </c>
      <c r="E58" s="355" t="s">
        <v>190</v>
      </c>
      <c r="F58" s="355" t="s">
        <v>251</v>
      </c>
      <c r="G58" s="355">
        <v>0.2838</v>
      </c>
      <c r="H58" s="355">
        <v>166</v>
      </c>
      <c r="I58" s="358">
        <v>621.3</v>
      </c>
      <c r="J58" s="369"/>
      <c r="K58" s="360"/>
      <c r="L58" s="361"/>
      <c r="M58" s="360"/>
      <c r="N58" s="363"/>
      <c r="O58" s="364">
        <f t="shared" si="14"/>
        <v>621.3</v>
      </c>
      <c r="P58" s="379"/>
      <c r="Q58" s="379"/>
      <c r="R58" s="379"/>
      <c r="S58" s="379"/>
      <c r="T58" s="379"/>
      <c r="U58" s="379"/>
      <c r="V58" s="379"/>
      <c r="W58" s="379"/>
      <c r="X58" s="377"/>
      <c r="Y58" s="368"/>
      <c r="Z58" s="377"/>
      <c r="AA58" s="377"/>
      <c r="AB58" s="380"/>
      <c r="AC58" s="379"/>
      <c r="AD58" s="379"/>
      <c r="AE58" s="379"/>
    </row>
    <row r="59" s="264" customFormat="1" ht="12.75" spans="1:31">
      <c r="A59" s="354" t="s">
        <v>328</v>
      </c>
      <c r="B59" s="355" t="s">
        <v>329</v>
      </c>
      <c r="C59" s="356">
        <v>241030000025</v>
      </c>
      <c r="D59" s="357">
        <v>45609</v>
      </c>
      <c r="E59" s="355" t="s">
        <v>49</v>
      </c>
      <c r="F59" s="355" t="s">
        <v>117</v>
      </c>
      <c r="G59" s="355">
        <v>0.0306</v>
      </c>
      <c r="H59" s="355">
        <v>10</v>
      </c>
      <c r="I59" s="358">
        <v>65</v>
      </c>
      <c r="J59" s="382"/>
      <c r="K59" s="360"/>
      <c r="L59" s="361"/>
      <c r="M59" s="360"/>
      <c r="N59" s="363"/>
      <c r="O59" s="364">
        <f t="shared" si="14"/>
        <v>65</v>
      </c>
      <c r="P59" s="371">
        <f>SUM(O59:O78)</f>
        <v>145491.102536</v>
      </c>
      <c r="Q59" s="372" t="s">
        <v>330</v>
      </c>
      <c r="R59" s="371">
        <v>46803</v>
      </c>
      <c r="S59" s="371"/>
      <c r="T59" s="371">
        <v>1800</v>
      </c>
      <c r="U59" s="371"/>
      <c r="V59" s="371"/>
      <c r="W59" s="371">
        <f>SUM(R59:V78)</f>
        <v>48987.72</v>
      </c>
      <c r="X59" s="373">
        <v>10793.87</v>
      </c>
      <c r="Y59" s="368"/>
      <c r="Z59" s="373">
        <f>SUM(56.6+33.05+5.33)</f>
        <v>94.98</v>
      </c>
      <c r="AA59" s="373">
        <f>SUM(X59:Z78)</f>
        <v>11409.16</v>
      </c>
      <c r="AB59" s="374">
        <v>7.33</v>
      </c>
      <c r="AC59" s="371">
        <f>SUM(AA59*AB59)</f>
        <v>83629.1428</v>
      </c>
      <c r="AD59" s="371">
        <f>SUM(W59+AC59)</f>
        <v>132616.8628</v>
      </c>
      <c r="AE59" s="371">
        <f>SUM(P59-AD59)</f>
        <v>12874.239736</v>
      </c>
    </row>
    <row r="60" s="264" customFormat="1" ht="12.75" spans="1:31">
      <c r="A60" s="354"/>
      <c r="B60" s="355"/>
      <c r="C60" s="356">
        <v>241102000008</v>
      </c>
      <c r="D60" s="357">
        <v>45609</v>
      </c>
      <c r="E60" s="355" t="s">
        <v>49</v>
      </c>
      <c r="F60" s="355" t="s">
        <v>204</v>
      </c>
      <c r="G60" s="355">
        <v>2.0582</v>
      </c>
      <c r="H60" s="355">
        <v>755</v>
      </c>
      <c r="I60" s="364"/>
      <c r="J60" s="383">
        <v>957151</v>
      </c>
      <c r="K60" s="360"/>
      <c r="L60" s="361">
        <f t="shared" ref="L60:L68" si="15">SUM(J60/M60)</f>
        <v>1603.59033641603</v>
      </c>
      <c r="M60" s="362">
        <v>596.88</v>
      </c>
      <c r="N60" s="363">
        <v>7.3</v>
      </c>
      <c r="O60" s="364">
        <f t="shared" ref="O60:O68" si="16">SUM(M60*N60)</f>
        <v>4357.224</v>
      </c>
      <c r="P60" s="375"/>
      <c r="Q60" s="375"/>
      <c r="R60" s="375"/>
      <c r="S60" s="375"/>
      <c r="T60" s="375"/>
      <c r="U60" s="375"/>
      <c r="V60" s="375"/>
      <c r="W60" s="375"/>
      <c r="X60" s="376"/>
      <c r="Y60" s="368"/>
      <c r="Z60" s="376"/>
      <c r="AA60" s="376"/>
      <c r="AB60" s="378"/>
      <c r="AC60" s="375"/>
      <c r="AD60" s="375"/>
      <c r="AE60" s="375"/>
    </row>
    <row r="61" s="264" customFormat="1" ht="12.75" spans="1:31">
      <c r="A61" s="354"/>
      <c r="B61" s="355"/>
      <c r="C61" s="356">
        <v>241107000009</v>
      </c>
      <c r="D61" s="357">
        <v>45609</v>
      </c>
      <c r="E61" s="355" t="s">
        <v>49</v>
      </c>
      <c r="F61" s="355" t="s">
        <v>249</v>
      </c>
      <c r="G61" s="355">
        <v>1.6128</v>
      </c>
      <c r="H61" s="355">
        <v>1251</v>
      </c>
      <c r="I61" s="358">
        <v>3794.79</v>
      </c>
      <c r="J61" s="369"/>
      <c r="K61" s="362"/>
      <c r="L61" s="361"/>
      <c r="M61" s="362"/>
      <c r="N61" s="363"/>
      <c r="O61" s="364">
        <f>SUBTOTAL(9,I61)</f>
        <v>3794.79</v>
      </c>
      <c r="P61" s="375"/>
      <c r="Q61" s="375"/>
      <c r="R61" s="375"/>
      <c r="S61" s="375"/>
      <c r="T61" s="375"/>
      <c r="U61" s="375"/>
      <c r="V61" s="375"/>
      <c r="W61" s="375"/>
      <c r="X61" s="376"/>
      <c r="Y61" s="368"/>
      <c r="Z61" s="376"/>
      <c r="AA61" s="376"/>
      <c r="AB61" s="378"/>
      <c r="AC61" s="375"/>
      <c r="AD61" s="375"/>
      <c r="AE61" s="375"/>
    </row>
    <row r="62" s="264" customFormat="1" ht="12.75" spans="1:31">
      <c r="A62" s="354"/>
      <c r="B62" s="355"/>
      <c r="C62" s="356">
        <v>241104000001</v>
      </c>
      <c r="D62" s="357">
        <v>45609</v>
      </c>
      <c r="E62" s="355" t="s">
        <v>52</v>
      </c>
      <c r="F62" s="355" t="s">
        <v>331</v>
      </c>
      <c r="G62" s="355">
        <v>0.462</v>
      </c>
      <c r="H62" s="355">
        <v>90</v>
      </c>
      <c r="I62" s="364"/>
      <c r="J62" s="370">
        <v>368397.9</v>
      </c>
      <c r="K62" s="360"/>
      <c r="L62" s="361">
        <f t="shared" si="15"/>
        <v>1665</v>
      </c>
      <c r="M62" s="362">
        <v>221.26</v>
      </c>
      <c r="N62" s="363">
        <v>7.3</v>
      </c>
      <c r="O62" s="364">
        <f t="shared" si="16"/>
        <v>1615.198</v>
      </c>
      <c r="P62" s="375"/>
      <c r="Q62" s="375"/>
      <c r="R62" s="375"/>
      <c r="S62" s="375"/>
      <c r="T62" s="375"/>
      <c r="U62" s="375"/>
      <c r="V62" s="375"/>
      <c r="W62" s="375"/>
      <c r="X62" s="376"/>
      <c r="Y62" s="368">
        <v>57.94</v>
      </c>
      <c r="Z62" s="376"/>
      <c r="AA62" s="376"/>
      <c r="AB62" s="378"/>
      <c r="AC62" s="375"/>
      <c r="AD62" s="375"/>
      <c r="AE62" s="375"/>
    </row>
    <row r="63" s="264" customFormat="1" ht="12.75" spans="1:31">
      <c r="A63" s="354"/>
      <c r="B63" s="355"/>
      <c r="C63" s="356">
        <v>241105000045</v>
      </c>
      <c r="D63" s="357">
        <v>45609</v>
      </c>
      <c r="E63" s="355" t="s">
        <v>52</v>
      </c>
      <c r="F63" s="355" t="s">
        <v>53</v>
      </c>
      <c r="G63" s="355">
        <v>0.8486</v>
      </c>
      <c r="H63" s="355">
        <v>297</v>
      </c>
      <c r="I63" s="364"/>
      <c r="J63" s="370">
        <v>432928.65</v>
      </c>
      <c r="K63" s="360"/>
      <c r="L63" s="361">
        <f t="shared" si="15"/>
        <v>1663.25502324331</v>
      </c>
      <c r="M63" s="362">
        <v>260.29</v>
      </c>
      <c r="N63" s="363">
        <v>7.3</v>
      </c>
      <c r="O63" s="364">
        <f t="shared" si="16"/>
        <v>1900.117</v>
      </c>
      <c r="P63" s="375"/>
      <c r="Q63" s="375"/>
      <c r="R63" s="375"/>
      <c r="S63" s="375"/>
      <c r="T63" s="375"/>
      <c r="U63" s="375"/>
      <c r="V63" s="375"/>
      <c r="W63" s="375"/>
      <c r="X63" s="376"/>
      <c r="Y63" s="368">
        <v>10.07</v>
      </c>
      <c r="Z63" s="376"/>
      <c r="AA63" s="376"/>
      <c r="AB63" s="378"/>
      <c r="AC63" s="375"/>
      <c r="AD63" s="375"/>
      <c r="AE63" s="375"/>
    </row>
    <row r="64" s="264" customFormat="1" ht="12.75" spans="1:31">
      <c r="A64" s="354"/>
      <c r="B64" s="355"/>
      <c r="C64" s="356">
        <v>241108000043</v>
      </c>
      <c r="D64" s="357">
        <v>45609</v>
      </c>
      <c r="E64" s="355" t="s">
        <v>37</v>
      </c>
      <c r="F64" s="355" t="s">
        <v>332</v>
      </c>
      <c r="G64" s="355">
        <v>1.4833</v>
      </c>
      <c r="H64" s="355">
        <v>598</v>
      </c>
      <c r="I64" s="364"/>
      <c r="J64" s="370">
        <v>1160958</v>
      </c>
      <c r="K64" s="360"/>
      <c r="L64" s="361">
        <f t="shared" si="15"/>
        <v>1666.43891656021</v>
      </c>
      <c r="M64" s="362">
        <v>696.67</v>
      </c>
      <c r="N64" s="363">
        <v>7.3</v>
      </c>
      <c r="O64" s="364">
        <f t="shared" si="16"/>
        <v>5085.691</v>
      </c>
      <c r="P64" s="375"/>
      <c r="Q64" s="375"/>
      <c r="R64" s="375"/>
      <c r="S64" s="375"/>
      <c r="T64" s="375"/>
      <c r="U64" s="375"/>
      <c r="V64" s="375"/>
      <c r="W64" s="375"/>
      <c r="X64" s="376"/>
      <c r="Y64" s="368">
        <v>251.65</v>
      </c>
      <c r="Z64" s="376"/>
      <c r="AA64" s="376"/>
      <c r="AB64" s="378"/>
      <c r="AC64" s="375"/>
      <c r="AD64" s="375"/>
      <c r="AE64" s="375"/>
    </row>
    <row r="65" s="264" customFormat="1" ht="12.75" spans="1:31">
      <c r="A65" s="354"/>
      <c r="B65" s="355"/>
      <c r="C65" s="356">
        <v>241111000011</v>
      </c>
      <c r="D65" s="357">
        <v>45609</v>
      </c>
      <c r="E65" s="355" t="s">
        <v>42</v>
      </c>
      <c r="F65" s="355" t="s">
        <v>333</v>
      </c>
      <c r="G65" s="355">
        <v>0.1421</v>
      </c>
      <c r="H65" s="355">
        <v>36</v>
      </c>
      <c r="I65" s="364"/>
      <c r="J65" s="370">
        <v>93936</v>
      </c>
      <c r="K65" s="360"/>
      <c r="L65" s="361">
        <f t="shared" si="15"/>
        <v>1651.18650026367</v>
      </c>
      <c r="M65" s="362">
        <v>56.89</v>
      </c>
      <c r="N65" s="363">
        <v>7.3</v>
      </c>
      <c r="O65" s="364">
        <f t="shared" si="16"/>
        <v>415.297</v>
      </c>
      <c r="P65" s="375"/>
      <c r="Q65" s="375"/>
      <c r="R65" s="375"/>
      <c r="S65" s="375"/>
      <c r="T65" s="375"/>
      <c r="U65" s="375"/>
      <c r="V65" s="375"/>
      <c r="W65" s="375"/>
      <c r="X65" s="376"/>
      <c r="Y65" s="368">
        <v>10</v>
      </c>
      <c r="Z65" s="376"/>
      <c r="AA65" s="376"/>
      <c r="AB65" s="378"/>
      <c r="AC65" s="375"/>
      <c r="AD65" s="375"/>
      <c r="AE65" s="375"/>
    </row>
    <row r="66" s="264" customFormat="1" ht="12.75" spans="1:31">
      <c r="A66" s="354"/>
      <c r="B66" s="355"/>
      <c r="C66" s="356">
        <v>241111000012</v>
      </c>
      <c r="D66" s="357">
        <v>45609</v>
      </c>
      <c r="E66" s="355" t="s">
        <v>42</v>
      </c>
      <c r="F66" s="355" t="s">
        <v>333</v>
      </c>
      <c r="G66" s="355">
        <v>0.2386</v>
      </c>
      <c r="H66" s="355">
        <v>52</v>
      </c>
      <c r="I66" s="364"/>
      <c r="J66" s="370">
        <v>148176</v>
      </c>
      <c r="K66" s="360"/>
      <c r="L66" s="361">
        <f t="shared" si="15"/>
        <v>1651.17004680187</v>
      </c>
      <c r="M66" s="362">
        <v>89.74</v>
      </c>
      <c r="N66" s="363">
        <v>7.3</v>
      </c>
      <c r="O66" s="364">
        <f t="shared" si="16"/>
        <v>655.102</v>
      </c>
      <c r="P66" s="375"/>
      <c r="Q66" s="375"/>
      <c r="R66" s="375"/>
      <c r="S66" s="375"/>
      <c r="T66" s="375"/>
      <c r="U66" s="375"/>
      <c r="V66" s="375"/>
      <c r="W66" s="375"/>
      <c r="X66" s="376"/>
      <c r="Y66" s="368">
        <v>11.3</v>
      </c>
      <c r="Z66" s="376"/>
      <c r="AA66" s="376"/>
      <c r="AB66" s="378"/>
      <c r="AC66" s="375"/>
      <c r="AD66" s="375"/>
      <c r="AE66" s="375"/>
    </row>
    <row r="67" s="264" customFormat="1" ht="12.75" spans="1:31">
      <c r="A67" s="354"/>
      <c r="B67" s="355"/>
      <c r="C67" s="356">
        <v>241111000032</v>
      </c>
      <c r="D67" s="357">
        <v>45609</v>
      </c>
      <c r="E67" s="355" t="s">
        <v>37</v>
      </c>
      <c r="F67" s="355" t="s">
        <v>166</v>
      </c>
      <c r="G67" s="355">
        <v>0.2174</v>
      </c>
      <c r="H67" s="355">
        <v>57</v>
      </c>
      <c r="I67" s="364"/>
      <c r="J67" s="370">
        <v>107613</v>
      </c>
      <c r="K67" s="360"/>
      <c r="L67" s="361">
        <f t="shared" si="15"/>
        <v>1650.00025298992</v>
      </c>
      <c r="M67" s="362">
        <v>65.21999</v>
      </c>
      <c r="N67" s="363">
        <v>7.2</v>
      </c>
      <c r="O67" s="364">
        <f t="shared" si="16"/>
        <v>469.583928</v>
      </c>
      <c r="P67" s="375"/>
      <c r="Q67" s="375"/>
      <c r="R67" s="375"/>
      <c r="S67" s="375"/>
      <c r="T67" s="375"/>
      <c r="U67" s="375"/>
      <c r="V67" s="375"/>
      <c r="W67" s="375"/>
      <c r="X67" s="376"/>
      <c r="Y67" s="368"/>
      <c r="Z67" s="376"/>
      <c r="AA67" s="376"/>
      <c r="AB67" s="378"/>
      <c r="AC67" s="375"/>
      <c r="AD67" s="375"/>
      <c r="AE67" s="375"/>
    </row>
    <row r="68" s="264" customFormat="1" ht="12.75" spans="1:31">
      <c r="A68" s="354"/>
      <c r="B68" s="355"/>
      <c r="C68" s="356">
        <v>241111000039</v>
      </c>
      <c r="D68" s="357">
        <v>45609</v>
      </c>
      <c r="E68" s="355" t="s">
        <v>189</v>
      </c>
      <c r="F68" s="355" t="s">
        <v>111</v>
      </c>
      <c r="G68" s="355">
        <v>1.8662</v>
      </c>
      <c r="H68" s="355">
        <v>626</v>
      </c>
      <c r="I68" s="364"/>
      <c r="J68" s="369"/>
      <c r="K68" s="362">
        <v>559.83</v>
      </c>
      <c r="L68" s="361">
        <f t="shared" si="15"/>
        <v>0</v>
      </c>
      <c r="M68" s="362">
        <v>559.82996</v>
      </c>
      <c r="N68" s="363">
        <v>7.3</v>
      </c>
      <c r="O68" s="364">
        <f t="shared" si="16"/>
        <v>4086.758708</v>
      </c>
      <c r="P68" s="375"/>
      <c r="Q68" s="375"/>
      <c r="R68" s="375"/>
      <c r="S68" s="375"/>
      <c r="T68" s="375"/>
      <c r="U68" s="379"/>
      <c r="V68" s="375"/>
      <c r="W68" s="375"/>
      <c r="X68" s="376"/>
      <c r="Y68" s="368"/>
      <c r="Z68" s="376"/>
      <c r="AA68" s="376"/>
      <c r="AB68" s="378"/>
      <c r="AC68" s="375"/>
      <c r="AD68" s="375"/>
      <c r="AE68" s="375"/>
    </row>
    <row r="69" s="264" customFormat="1" ht="12.75" spans="1:31">
      <c r="A69" s="354"/>
      <c r="B69" s="355"/>
      <c r="C69" s="356">
        <v>241111000055</v>
      </c>
      <c r="D69" s="357">
        <v>45609</v>
      </c>
      <c r="E69" s="355" t="s">
        <v>42</v>
      </c>
      <c r="F69" s="355" t="s">
        <v>43</v>
      </c>
      <c r="G69" s="355">
        <v>2.9026</v>
      </c>
      <c r="H69" s="355">
        <v>435</v>
      </c>
      <c r="I69" s="358">
        <v>5972.48</v>
      </c>
      <c r="J69" s="369"/>
      <c r="K69" s="360"/>
      <c r="L69" s="361"/>
      <c r="M69" s="360"/>
      <c r="N69" s="363"/>
      <c r="O69" s="364">
        <f t="shared" ref="O69:O72" si="17">SUBTOTAL(9,I69)</f>
        <v>5972.48</v>
      </c>
      <c r="P69" s="375"/>
      <c r="Q69" s="375"/>
      <c r="R69" s="375"/>
      <c r="S69" s="375"/>
      <c r="T69" s="375"/>
      <c r="U69" s="367">
        <v>20</v>
      </c>
      <c r="V69" s="375"/>
      <c r="W69" s="375"/>
      <c r="X69" s="376"/>
      <c r="Y69" s="368"/>
      <c r="Z69" s="376"/>
      <c r="AA69" s="376"/>
      <c r="AB69" s="378"/>
      <c r="AC69" s="375"/>
      <c r="AD69" s="375"/>
      <c r="AE69" s="375"/>
    </row>
    <row r="70" s="264" customFormat="1" ht="12.75" spans="1:31">
      <c r="A70" s="354"/>
      <c r="B70" s="355"/>
      <c r="C70" s="356">
        <v>241111000056</v>
      </c>
      <c r="D70" s="357">
        <v>45609</v>
      </c>
      <c r="E70" s="355" t="s">
        <v>42</v>
      </c>
      <c r="F70" s="355" t="s">
        <v>43</v>
      </c>
      <c r="G70" s="355">
        <v>2.4588</v>
      </c>
      <c r="H70" s="355">
        <v>346</v>
      </c>
      <c r="I70" s="358">
        <v>5048.9</v>
      </c>
      <c r="J70" s="369"/>
      <c r="K70" s="360"/>
      <c r="L70" s="361"/>
      <c r="M70" s="360"/>
      <c r="N70" s="363"/>
      <c r="O70" s="364">
        <f t="shared" si="17"/>
        <v>5048.9</v>
      </c>
      <c r="P70" s="375"/>
      <c r="Q70" s="375"/>
      <c r="R70" s="375"/>
      <c r="S70" s="375"/>
      <c r="T70" s="375"/>
      <c r="U70" s="371"/>
      <c r="V70" s="375"/>
      <c r="W70" s="375"/>
      <c r="X70" s="376"/>
      <c r="Y70" s="368"/>
      <c r="Z70" s="376"/>
      <c r="AA70" s="376"/>
      <c r="AB70" s="378"/>
      <c r="AC70" s="375"/>
      <c r="AD70" s="375"/>
      <c r="AE70" s="375"/>
    </row>
    <row r="71" s="264" customFormat="1" ht="12.75" spans="1:31">
      <c r="A71" s="354"/>
      <c r="B71" s="355"/>
      <c r="C71" s="356">
        <v>241112000043</v>
      </c>
      <c r="D71" s="357">
        <v>45609</v>
      </c>
      <c r="E71" s="355" t="s">
        <v>40</v>
      </c>
      <c r="F71" s="355" t="s">
        <v>41</v>
      </c>
      <c r="G71" s="355">
        <v>4.9039</v>
      </c>
      <c r="H71" s="355">
        <v>546</v>
      </c>
      <c r="I71" s="358">
        <v>10739.54</v>
      </c>
      <c r="J71" s="369"/>
      <c r="K71" s="360"/>
      <c r="L71" s="361"/>
      <c r="M71" s="360"/>
      <c r="N71" s="363"/>
      <c r="O71" s="364">
        <f t="shared" si="17"/>
        <v>10739.54</v>
      </c>
      <c r="P71" s="375"/>
      <c r="Q71" s="375"/>
      <c r="R71" s="375"/>
      <c r="S71" s="375"/>
      <c r="T71" s="375"/>
      <c r="U71" s="375"/>
      <c r="V71" s="379"/>
      <c r="W71" s="375"/>
      <c r="X71" s="376"/>
      <c r="Y71" s="368"/>
      <c r="Z71" s="376"/>
      <c r="AA71" s="376"/>
      <c r="AB71" s="378"/>
      <c r="AC71" s="375"/>
      <c r="AD71" s="375"/>
      <c r="AE71" s="375"/>
    </row>
    <row r="72" s="264" customFormat="1" ht="12.75" spans="1:31">
      <c r="A72" s="354"/>
      <c r="B72" s="355"/>
      <c r="C72" s="356">
        <v>241112000044</v>
      </c>
      <c r="D72" s="357">
        <v>45609</v>
      </c>
      <c r="E72" s="355" t="s">
        <v>42</v>
      </c>
      <c r="F72" s="355" t="s">
        <v>43</v>
      </c>
      <c r="G72" s="355">
        <v>0.936</v>
      </c>
      <c r="H72" s="355">
        <v>422</v>
      </c>
      <c r="I72" s="358">
        <v>2195.26</v>
      </c>
      <c r="J72" s="369"/>
      <c r="K72" s="360"/>
      <c r="L72" s="361"/>
      <c r="M72" s="360"/>
      <c r="N72" s="363"/>
      <c r="O72" s="364">
        <f t="shared" si="17"/>
        <v>2195.26</v>
      </c>
      <c r="P72" s="375"/>
      <c r="Q72" s="375"/>
      <c r="R72" s="375"/>
      <c r="S72" s="375"/>
      <c r="T72" s="375"/>
      <c r="U72" s="375"/>
      <c r="V72" s="367">
        <v>266</v>
      </c>
      <c r="W72" s="375"/>
      <c r="X72" s="376"/>
      <c r="Y72" s="368">
        <v>17.33</v>
      </c>
      <c r="Z72" s="376"/>
      <c r="AA72" s="376"/>
      <c r="AB72" s="378"/>
      <c r="AC72" s="375"/>
      <c r="AD72" s="375"/>
      <c r="AE72" s="375"/>
    </row>
    <row r="73" s="264" customFormat="1" ht="12.75" spans="1:31">
      <c r="A73" s="354"/>
      <c r="B73" s="355"/>
      <c r="C73" s="356">
        <v>241113000012</v>
      </c>
      <c r="D73" s="357">
        <v>45609</v>
      </c>
      <c r="E73" s="355" t="s">
        <v>44</v>
      </c>
      <c r="F73" s="355" t="s">
        <v>112</v>
      </c>
      <c r="G73" s="355">
        <v>5.5016</v>
      </c>
      <c r="H73" s="355">
        <v>2874</v>
      </c>
      <c r="I73" s="364"/>
      <c r="J73" s="370">
        <v>2264723.28</v>
      </c>
      <c r="K73" s="360"/>
      <c r="L73" s="361">
        <f>SUM(J73/M73)</f>
        <v>1608</v>
      </c>
      <c r="M73" s="362">
        <v>1408.41</v>
      </c>
      <c r="N73" s="363">
        <v>7.3</v>
      </c>
      <c r="O73" s="364">
        <f>SUM(M73*N73)</f>
        <v>10281.393</v>
      </c>
      <c r="P73" s="375"/>
      <c r="Q73" s="375"/>
      <c r="R73" s="375"/>
      <c r="S73" s="375"/>
      <c r="T73" s="375"/>
      <c r="U73" s="375"/>
      <c r="V73" s="367"/>
      <c r="W73" s="375"/>
      <c r="X73" s="376"/>
      <c r="Y73" s="368"/>
      <c r="Z73" s="376"/>
      <c r="AA73" s="376"/>
      <c r="AB73" s="378"/>
      <c r="AC73" s="375"/>
      <c r="AD73" s="375"/>
      <c r="AE73" s="375"/>
    </row>
    <row r="74" s="264" customFormat="1" ht="12.75" spans="1:31">
      <c r="A74" s="354"/>
      <c r="B74" s="355"/>
      <c r="C74" s="356">
        <v>241113000017</v>
      </c>
      <c r="D74" s="357">
        <v>45609</v>
      </c>
      <c r="E74" s="355" t="s">
        <v>40</v>
      </c>
      <c r="F74" s="355" t="s">
        <v>334</v>
      </c>
      <c r="G74" s="355">
        <v>1.4152</v>
      </c>
      <c r="H74" s="355">
        <v>656</v>
      </c>
      <c r="I74" s="364"/>
      <c r="J74" s="370">
        <v>851651</v>
      </c>
      <c r="K74" s="360"/>
      <c r="L74" s="361">
        <f>SUM(J74/M74)</f>
        <v>1671.50988204353</v>
      </c>
      <c r="M74" s="362">
        <v>509.51</v>
      </c>
      <c r="N74" s="363">
        <v>7.29</v>
      </c>
      <c r="O74" s="364">
        <f>SUM(M74*N74)</f>
        <v>3714.3279</v>
      </c>
      <c r="P74" s="375"/>
      <c r="Q74" s="375"/>
      <c r="R74" s="375"/>
      <c r="S74" s="375"/>
      <c r="T74" s="375"/>
      <c r="U74" s="375"/>
      <c r="V74" s="367">
        <v>98.72</v>
      </c>
      <c r="W74" s="375"/>
      <c r="X74" s="376"/>
      <c r="Y74" s="368"/>
      <c r="Z74" s="376"/>
      <c r="AA74" s="376"/>
      <c r="AB74" s="378"/>
      <c r="AC74" s="375"/>
      <c r="AD74" s="375"/>
      <c r="AE74" s="375"/>
    </row>
    <row r="75" s="264" customFormat="1" ht="12.75" spans="1:31">
      <c r="A75" s="354"/>
      <c r="B75" s="355"/>
      <c r="C75" s="356">
        <v>241209000061</v>
      </c>
      <c r="D75" s="357">
        <v>45609</v>
      </c>
      <c r="E75" s="355" t="s">
        <v>190</v>
      </c>
      <c r="F75" s="355" t="s">
        <v>251</v>
      </c>
      <c r="G75" s="355">
        <v>16.4369</v>
      </c>
      <c r="H75" s="355">
        <v>16042</v>
      </c>
      <c r="I75" s="358">
        <v>37916.64</v>
      </c>
      <c r="J75" s="369"/>
      <c r="K75" s="360"/>
      <c r="L75" s="361"/>
      <c r="M75" s="360"/>
      <c r="N75" s="363"/>
      <c r="O75" s="364">
        <f t="shared" ref="O75:O79" si="18">SUBTOTAL(9,I75)</f>
        <v>37916.64</v>
      </c>
      <c r="P75" s="375"/>
      <c r="Q75" s="375"/>
      <c r="R75" s="375"/>
      <c r="S75" s="375"/>
      <c r="T75" s="375"/>
      <c r="U75" s="375"/>
      <c r="V75" s="371"/>
      <c r="W75" s="375"/>
      <c r="X75" s="376"/>
      <c r="Y75" s="368">
        <v>162.02</v>
      </c>
      <c r="Z75" s="376"/>
      <c r="AA75" s="376"/>
      <c r="AB75" s="378"/>
      <c r="AC75" s="375"/>
      <c r="AD75" s="375"/>
      <c r="AE75" s="375"/>
    </row>
    <row r="76" s="264" customFormat="1" ht="12.75" spans="1:31">
      <c r="A76" s="354"/>
      <c r="B76" s="355"/>
      <c r="C76" s="356">
        <v>241210000044</v>
      </c>
      <c r="D76" s="357">
        <v>45609</v>
      </c>
      <c r="E76" s="355" t="s">
        <v>44</v>
      </c>
      <c r="F76" s="355" t="s">
        <v>59</v>
      </c>
      <c r="G76" s="355">
        <v>5.896</v>
      </c>
      <c r="H76" s="355">
        <v>922</v>
      </c>
      <c r="I76" s="358">
        <v>9160.23</v>
      </c>
      <c r="J76" s="369"/>
      <c r="K76" s="360"/>
      <c r="L76" s="361"/>
      <c r="M76" s="362"/>
      <c r="N76" s="363"/>
      <c r="O76" s="364">
        <f t="shared" si="18"/>
        <v>9160.23</v>
      </c>
      <c r="P76" s="375"/>
      <c r="Q76" s="375"/>
      <c r="R76" s="375"/>
      <c r="S76" s="375"/>
      <c r="T76" s="375"/>
      <c r="U76" s="375"/>
      <c r="V76" s="375"/>
      <c r="W76" s="375"/>
      <c r="X76" s="376"/>
      <c r="Y76" s="368"/>
      <c r="Z76" s="376"/>
      <c r="AA76" s="376"/>
      <c r="AB76" s="378"/>
      <c r="AC76" s="375"/>
      <c r="AD76" s="375"/>
      <c r="AE76" s="375"/>
    </row>
    <row r="77" s="264" customFormat="1" ht="12.75" spans="1:31">
      <c r="A77" s="354"/>
      <c r="B77" s="355"/>
      <c r="C77" s="356">
        <v>241213000052</v>
      </c>
      <c r="D77" s="357">
        <v>45609</v>
      </c>
      <c r="E77" s="355" t="s">
        <v>44</v>
      </c>
      <c r="F77" s="355" t="s">
        <v>59</v>
      </c>
      <c r="G77" s="355">
        <v>20.97</v>
      </c>
      <c r="H77" s="355">
        <v>2633</v>
      </c>
      <c r="I77" s="358">
        <v>32579.83</v>
      </c>
      <c r="J77" s="369"/>
      <c r="K77" s="360"/>
      <c r="L77" s="361"/>
      <c r="M77" s="362"/>
      <c r="N77" s="363"/>
      <c r="O77" s="364">
        <f t="shared" si="18"/>
        <v>32579.83</v>
      </c>
      <c r="P77" s="375"/>
      <c r="Q77" s="375"/>
      <c r="R77" s="375"/>
      <c r="S77" s="375"/>
      <c r="T77" s="375"/>
      <c r="U77" s="375"/>
      <c r="V77" s="375"/>
      <c r="W77" s="375"/>
      <c r="X77" s="376"/>
      <c r="Y77" s="368"/>
      <c r="Z77" s="376"/>
      <c r="AA77" s="376"/>
      <c r="AB77" s="378"/>
      <c r="AC77" s="375"/>
      <c r="AD77" s="375"/>
      <c r="AE77" s="375"/>
    </row>
    <row r="78" s="264" customFormat="1" ht="12.75" spans="1:31">
      <c r="A78" s="354"/>
      <c r="B78" s="355"/>
      <c r="C78" s="356">
        <v>241213000054</v>
      </c>
      <c r="D78" s="357">
        <v>45609</v>
      </c>
      <c r="E78" s="355" t="s">
        <v>44</v>
      </c>
      <c r="F78" s="355" t="s">
        <v>59</v>
      </c>
      <c r="G78" s="355">
        <v>3.5</v>
      </c>
      <c r="H78" s="355">
        <v>419</v>
      </c>
      <c r="I78" s="358">
        <v>5437.74</v>
      </c>
      <c r="J78" s="369"/>
      <c r="K78" s="360"/>
      <c r="L78" s="361"/>
      <c r="M78" s="362"/>
      <c r="N78" s="363"/>
      <c r="O78" s="364">
        <f t="shared" si="18"/>
        <v>5437.74</v>
      </c>
      <c r="P78" s="379"/>
      <c r="Q78" s="379"/>
      <c r="R78" s="379"/>
      <c r="S78" s="379"/>
      <c r="T78" s="379"/>
      <c r="U78" s="379"/>
      <c r="V78" s="379"/>
      <c r="W78" s="379"/>
      <c r="X78" s="377"/>
      <c r="Y78" s="368"/>
      <c r="Z78" s="377"/>
      <c r="AA78" s="377"/>
      <c r="AB78" s="380"/>
      <c r="AC78" s="379"/>
      <c r="AD78" s="379"/>
      <c r="AE78" s="379"/>
    </row>
    <row r="79" s="264" customFormat="1" ht="12.75" spans="1:31">
      <c r="A79" s="354" t="s">
        <v>335</v>
      </c>
      <c r="B79" s="355" t="s">
        <v>336</v>
      </c>
      <c r="C79" s="356">
        <v>241030000050</v>
      </c>
      <c r="D79" s="357">
        <v>45615</v>
      </c>
      <c r="E79" s="355" t="s">
        <v>49</v>
      </c>
      <c r="F79" s="355" t="s">
        <v>86</v>
      </c>
      <c r="G79" s="355">
        <v>20.9121</v>
      </c>
      <c r="H79" s="355">
        <v>2224</v>
      </c>
      <c r="I79" s="358">
        <v>44817.94</v>
      </c>
      <c r="J79" s="369"/>
      <c r="K79" s="362"/>
      <c r="L79" s="361"/>
      <c r="M79" s="362"/>
      <c r="N79" s="363"/>
      <c r="O79" s="364">
        <f t="shared" si="18"/>
        <v>44817.94</v>
      </c>
      <c r="P79" s="371">
        <f>SUM(O79:O95)</f>
        <v>168658.32749454</v>
      </c>
      <c r="Q79" s="372" t="s">
        <v>337</v>
      </c>
      <c r="R79" s="371">
        <v>47588.5</v>
      </c>
      <c r="S79" s="371"/>
      <c r="T79" s="371">
        <v>2300</v>
      </c>
      <c r="U79" s="371"/>
      <c r="V79" s="371"/>
      <c r="W79" s="371">
        <f>SUM(R79:V95)</f>
        <v>50695.79</v>
      </c>
      <c r="X79" s="373">
        <v>11085</v>
      </c>
      <c r="Y79" s="368"/>
      <c r="Z79" s="373">
        <v>75.12</v>
      </c>
      <c r="AA79" s="373">
        <f>SUM(X79:Z95)</f>
        <v>11353.43</v>
      </c>
      <c r="AB79" s="374">
        <v>7.3</v>
      </c>
      <c r="AC79" s="371">
        <f>SUM(AA79*AB79)</f>
        <v>82880.039</v>
      </c>
      <c r="AD79" s="371">
        <f>SUM(W79+AC79)</f>
        <v>133575.829</v>
      </c>
      <c r="AE79" s="371">
        <f>SUM(P79-AD79)</f>
        <v>35082.49849454</v>
      </c>
    </row>
    <row r="80" s="264" customFormat="1" ht="12.75" spans="1:31">
      <c r="A80" s="354"/>
      <c r="B80" s="355"/>
      <c r="C80" s="356">
        <v>241102000012</v>
      </c>
      <c r="D80" s="357">
        <v>45615</v>
      </c>
      <c r="E80" s="355" t="s">
        <v>49</v>
      </c>
      <c r="F80" s="355" t="s">
        <v>204</v>
      </c>
      <c r="G80" s="355">
        <v>2.1458</v>
      </c>
      <c r="H80" s="355">
        <v>808</v>
      </c>
      <c r="I80" s="364"/>
      <c r="J80" s="383">
        <v>1041860</v>
      </c>
      <c r="K80" s="360"/>
      <c r="L80" s="361">
        <f>SUM(J80/M80)</f>
        <v>1674.26198634168</v>
      </c>
      <c r="M80" s="362">
        <v>622.28015</v>
      </c>
      <c r="N80" s="363">
        <v>7.27</v>
      </c>
      <c r="O80" s="364">
        <f>SUM(M80*N80)</f>
        <v>4523.9766905</v>
      </c>
      <c r="P80" s="375"/>
      <c r="Q80" s="375"/>
      <c r="R80" s="375"/>
      <c r="S80" s="375"/>
      <c r="T80" s="375"/>
      <c r="U80" s="375"/>
      <c r="V80" s="375"/>
      <c r="W80" s="375"/>
      <c r="X80" s="376"/>
      <c r="Y80" s="368"/>
      <c r="Z80" s="376"/>
      <c r="AA80" s="376"/>
      <c r="AB80" s="378"/>
      <c r="AC80" s="375"/>
      <c r="AD80" s="375"/>
      <c r="AE80" s="375"/>
    </row>
    <row r="81" s="264" customFormat="1" ht="12.75" spans="1:31">
      <c r="A81" s="354"/>
      <c r="B81" s="355"/>
      <c r="C81" s="356">
        <v>241102000009</v>
      </c>
      <c r="D81" s="357">
        <v>45615</v>
      </c>
      <c r="E81" s="355" t="s">
        <v>49</v>
      </c>
      <c r="F81" s="355" t="s">
        <v>204</v>
      </c>
      <c r="G81" s="355">
        <v>1.3109</v>
      </c>
      <c r="H81" s="355">
        <v>450</v>
      </c>
      <c r="I81" s="364"/>
      <c r="J81" s="370">
        <v>638809</v>
      </c>
      <c r="K81" s="360"/>
      <c r="L81" s="361">
        <f>SUM(J81/M81)</f>
        <v>1680.41299487045</v>
      </c>
      <c r="M81" s="362">
        <v>380.15</v>
      </c>
      <c r="N81" s="363">
        <v>7.27</v>
      </c>
      <c r="O81" s="364">
        <f>SUM(M81*N81)</f>
        <v>2763.6905</v>
      </c>
      <c r="P81" s="375"/>
      <c r="Q81" s="375"/>
      <c r="R81" s="375"/>
      <c r="S81" s="375"/>
      <c r="T81" s="375"/>
      <c r="U81" s="375"/>
      <c r="V81" s="375"/>
      <c r="W81" s="375"/>
      <c r="X81" s="376"/>
      <c r="Y81" s="368"/>
      <c r="Z81" s="376"/>
      <c r="AA81" s="376"/>
      <c r="AB81" s="378"/>
      <c r="AC81" s="375"/>
      <c r="AD81" s="375"/>
      <c r="AE81" s="375"/>
    </row>
    <row r="82" s="264" customFormat="1" ht="12.75" spans="1:31">
      <c r="A82" s="354"/>
      <c r="B82" s="355"/>
      <c r="C82" s="356">
        <v>241107000048</v>
      </c>
      <c r="D82" s="357">
        <v>45615</v>
      </c>
      <c r="E82" s="355" t="s">
        <v>49</v>
      </c>
      <c r="F82" s="355" t="s">
        <v>117</v>
      </c>
      <c r="G82" s="355">
        <v>1.9284</v>
      </c>
      <c r="H82" s="355">
        <v>1039</v>
      </c>
      <c r="I82" s="358">
        <v>4628</v>
      </c>
      <c r="J82" s="382"/>
      <c r="K82" s="360"/>
      <c r="L82" s="361"/>
      <c r="M82" s="360"/>
      <c r="N82" s="363"/>
      <c r="O82" s="364">
        <f t="shared" ref="O82:O84" si="19">SUBTOTAL(9,I82)</f>
        <v>4628</v>
      </c>
      <c r="P82" s="375"/>
      <c r="Q82" s="375"/>
      <c r="R82" s="375"/>
      <c r="S82" s="375"/>
      <c r="T82" s="375"/>
      <c r="U82" s="375"/>
      <c r="V82" s="375"/>
      <c r="W82" s="375"/>
      <c r="X82" s="376"/>
      <c r="Y82" s="368"/>
      <c r="Z82" s="376"/>
      <c r="AA82" s="376"/>
      <c r="AB82" s="378"/>
      <c r="AC82" s="375"/>
      <c r="AD82" s="375"/>
      <c r="AE82" s="375"/>
    </row>
    <row r="83" s="264" customFormat="1" ht="12.75" spans="1:31">
      <c r="A83" s="354"/>
      <c r="B83" s="355"/>
      <c r="C83" s="356">
        <v>241107000009</v>
      </c>
      <c r="D83" s="357">
        <v>45615</v>
      </c>
      <c r="E83" s="355" t="s">
        <v>49</v>
      </c>
      <c r="F83" s="355" t="s">
        <v>249</v>
      </c>
      <c r="G83" s="355">
        <v>18.3103</v>
      </c>
      <c r="H83" s="355">
        <v>10792</v>
      </c>
      <c r="I83" s="358">
        <v>43083.21</v>
      </c>
      <c r="J83" s="382"/>
      <c r="K83" s="362"/>
      <c r="L83" s="361"/>
      <c r="M83" s="362"/>
      <c r="N83" s="363"/>
      <c r="O83" s="364">
        <f t="shared" si="19"/>
        <v>43083.21</v>
      </c>
      <c r="P83" s="375"/>
      <c r="Q83" s="375"/>
      <c r="R83" s="375"/>
      <c r="S83" s="375"/>
      <c r="T83" s="375"/>
      <c r="U83" s="375"/>
      <c r="V83" s="375"/>
      <c r="W83" s="375"/>
      <c r="X83" s="376"/>
      <c r="Y83" s="368"/>
      <c r="Z83" s="376"/>
      <c r="AA83" s="376"/>
      <c r="AB83" s="378"/>
      <c r="AC83" s="375"/>
      <c r="AD83" s="375"/>
      <c r="AE83" s="375"/>
    </row>
    <row r="84" s="264" customFormat="1" ht="12.75" spans="1:31">
      <c r="A84" s="354"/>
      <c r="B84" s="355"/>
      <c r="C84" s="356">
        <v>241116000004</v>
      </c>
      <c r="D84" s="357">
        <v>45615</v>
      </c>
      <c r="E84" s="355" t="s">
        <v>49</v>
      </c>
      <c r="F84" s="355" t="s">
        <v>338</v>
      </c>
      <c r="G84" s="355">
        <v>0.9249</v>
      </c>
      <c r="H84" s="355">
        <v>172</v>
      </c>
      <c r="I84" s="358">
        <v>3030</v>
      </c>
      <c r="J84" s="369"/>
      <c r="K84" s="360"/>
      <c r="L84" s="361"/>
      <c r="M84" s="360"/>
      <c r="N84" s="363"/>
      <c r="O84" s="364">
        <f t="shared" si="19"/>
        <v>3030</v>
      </c>
      <c r="P84" s="375"/>
      <c r="Q84" s="375"/>
      <c r="R84" s="375"/>
      <c r="S84" s="375"/>
      <c r="T84" s="375"/>
      <c r="U84" s="375"/>
      <c r="V84" s="375"/>
      <c r="W84" s="375"/>
      <c r="X84" s="376"/>
      <c r="Y84" s="368"/>
      <c r="Z84" s="376"/>
      <c r="AA84" s="376"/>
      <c r="AB84" s="378"/>
      <c r="AC84" s="375"/>
      <c r="AD84" s="375"/>
      <c r="AE84" s="375"/>
    </row>
    <row r="85" s="264" customFormat="1" ht="12.75" spans="1:31">
      <c r="A85" s="354"/>
      <c r="B85" s="355"/>
      <c r="C85" s="356">
        <v>241111000061</v>
      </c>
      <c r="D85" s="357">
        <v>45615</v>
      </c>
      <c r="E85" s="355" t="s">
        <v>256</v>
      </c>
      <c r="F85" s="355" t="s">
        <v>339</v>
      </c>
      <c r="G85" s="355">
        <v>0.45</v>
      </c>
      <c r="H85" s="355">
        <v>124</v>
      </c>
      <c r="I85" s="358">
        <v>1257.4</v>
      </c>
      <c r="J85" s="369"/>
      <c r="K85" s="360"/>
      <c r="L85" s="361"/>
      <c r="M85" s="360"/>
      <c r="N85" s="363"/>
      <c r="O85" s="364">
        <f>SUM(I85)</f>
        <v>1257.4</v>
      </c>
      <c r="P85" s="375"/>
      <c r="Q85" s="375"/>
      <c r="R85" s="375"/>
      <c r="S85" s="375"/>
      <c r="T85" s="375"/>
      <c r="U85" s="375"/>
      <c r="V85" s="375"/>
      <c r="W85" s="375"/>
      <c r="X85" s="376"/>
      <c r="Y85" s="368">
        <v>20.81</v>
      </c>
      <c r="Z85" s="376"/>
      <c r="AA85" s="376"/>
      <c r="AB85" s="378"/>
      <c r="AC85" s="375"/>
      <c r="AD85" s="375"/>
      <c r="AE85" s="375"/>
    </row>
    <row r="86" s="264" customFormat="1" ht="12.75" spans="1:31">
      <c r="A86" s="354"/>
      <c r="B86" s="355"/>
      <c r="C86" s="356">
        <v>241112000045</v>
      </c>
      <c r="D86" s="357">
        <v>45615</v>
      </c>
      <c r="E86" s="355" t="s">
        <v>42</v>
      </c>
      <c r="F86" s="355" t="s">
        <v>340</v>
      </c>
      <c r="G86" s="355">
        <v>0.8383</v>
      </c>
      <c r="H86" s="355">
        <v>181</v>
      </c>
      <c r="I86" s="358">
        <v>3448</v>
      </c>
      <c r="J86" s="369"/>
      <c r="K86" s="360"/>
      <c r="L86" s="361"/>
      <c r="M86" s="360"/>
      <c r="N86" s="363"/>
      <c r="O86" s="364">
        <f t="shared" ref="O86:O89" si="20">SUBTOTAL(9,I86)</f>
        <v>3448</v>
      </c>
      <c r="P86" s="375"/>
      <c r="Q86" s="375"/>
      <c r="R86" s="375"/>
      <c r="S86" s="379"/>
      <c r="T86" s="375"/>
      <c r="U86" s="375"/>
      <c r="V86" s="375"/>
      <c r="W86" s="375"/>
      <c r="X86" s="376"/>
      <c r="Y86" s="368">
        <v>95.12</v>
      </c>
      <c r="Z86" s="376"/>
      <c r="AA86" s="376"/>
      <c r="AB86" s="378"/>
      <c r="AC86" s="375"/>
      <c r="AD86" s="375"/>
      <c r="AE86" s="375"/>
    </row>
    <row r="87" s="264" customFormat="1" ht="12.75" spans="1:31">
      <c r="A87" s="354"/>
      <c r="B87" s="355"/>
      <c r="C87" s="356">
        <v>241113000029</v>
      </c>
      <c r="D87" s="357">
        <v>45615</v>
      </c>
      <c r="E87" s="355" t="s">
        <v>42</v>
      </c>
      <c r="F87" s="355" t="s">
        <v>341</v>
      </c>
      <c r="G87" s="355">
        <v>1.7575</v>
      </c>
      <c r="H87" s="355">
        <v>1244.5</v>
      </c>
      <c r="I87" s="364"/>
      <c r="J87" s="370">
        <v>1064044.8</v>
      </c>
      <c r="K87" s="360"/>
      <c r="L87" s="361">
        <f>SUM(J87/M87)</f>
        <v>1680.00037135287</v>
      </c>
      <c r="M87" s="362">
        <v>633.35986</v>
      </c>
      <c r="N87" s="363">
        <v>7.27</v>
      </c>
      <c r="O87" s="364">
        <f>SUM(M87*N87)</f>
        <v>4604.5261822</v>
      </c>
      <c r="P87" s="375"/>
      <c r="Q87" s="375"/>
      <c r="R87" s="375"/>
      <c r="S87" s="367">
        <v>735</v>
      </c>
      <c r="T87" s="375"/>
      <c r="U87" s="375"/>
      <c r="V87" s="375"/>
      <c r="W87" s="375"/>
      <c r="X87" s="376"/>
      <c r="Y87" s="368"/>
      <c r="Z87" s="376"/>
      <c r="AA87" s="376"/>
      <c r="AB87" s="378"/>
      <c r="AC87" s="375"/>
      <c r="AD87" s="375"/>
      <c r="AE87" s="375"/>
    </row>
    <row r="88" s="264" customFormat="1" ht="12.75" spans="1:31">
      <c r="A88" s="354"/>
      <c r="B88" s="355"/>
      <c r="C88" s="356">
        <v>241113000042</v>
      </c>
      <c r="D88" s="357">
        <v>45615</v>
      </c>
      <c r="E88" s="355" t="s">
        <v>49</v>
      </c>
      <c r="F88" s="355" t="s">
        <v>117</v>
      </c>
      <c r="G88" s="355">
        <v>0.3419</v>
      </c>
      <c r="H88" s="355">
        <v>190</v>
      </c>
      <c r="I88" s="358">
        <v>748.5</v>
      </c>
      <c r="J88" s="369"/>
      <c r="K88" s="360"/>
      <c r="L88" s="361"/>
      <c r="M88" s="360"/>
      <c r="N88" s="363"/>
      <c r="O88" s="364">
        <f t="shared" si="20"/>
        <v>748.5</v>
      </c>
      <c r="P88" s="375"/>
      <c r="Q88" s="375"/>
      <c r="R88" s="375"/>
      <c r="S88" s="371"/>
      <c r="T88" s="375"/>
      <c r="U88" s="375"/>
      <c r="V88" s="375"/>
      <c r="W88" s="375"/>
      <c r="X88" s="376"/>
      <c r="Y88" s="368"/>
      <c r="Z88" s="376"/>
      <c r="AA88" s="376"/>
      <c r="AB88" s="378"/>
      <c r="AC88" s="375"/>
      <c r="AD88" s="375"/>
      <c r="AE88" s="375"/>
    </row>
    <row r="89" s="264" customFormat="1" ht="12.75" spans="1:31">
      <c r="A89" s="354"/>
      <c r="B89" s="355"/>
      <c r="C89" s="356">
        <v>241114000023</v>
      </c>
      <c r="D89" s="357">
        <v>45615</v>
      </c>
      <c r="E89" s="355" t="s">
        <v>49</v>
      </c>
      <c r="F89" s="355" t="s">
        <v>342</v>
      </c>
      <c r="G89" s="355">
        <v>3.1076</v>
      </c>
      <c r="H89" s="355">
        <v>643</v>
      </c>
      <c r="I89" s="358">
        <v>6811</v>
      </c>
      <c r="J89" s="369"/>
      <c r="K89" s="360"/>
      <c r="L89" s="361"/>
      <c r="M89" s="360"/>
      <c r="N89" s="363"/>
      <c r="O89" s="364">
        <f t="shared" si="20"/>
        <v>6811</v>
      </c>
      <c r="P89" s="375"/>
      <c r="Q89" s="375"/>
      <c r="R89" s="375"/>
      <c r="S89" s="375"/>
      <c r="T89" s="375"/>
      <c r="U89" s="375"/>
      <c r="V89" s="375"/>
      <c r="W89" s="375"/>
      <c r="X89" s="376"/>
      <c r="Y89" s="368"/>
      <c r="Z89" s="376"/>
      <c r="AA89" s="376"/>
      <c r="AB89" s="378"/>
      <c r="AC89" s="375"/>
      <c r="AD89" s="375"/>
      <c r="AE89" s="375"/>
    </row>
    <row r="90" s="264" customFormat="1" ht="12.75" spans="1:31">
      <c r="A90" s="354"/>
      <c r="B90" s="355"/>
      <c r="C90" s="356">
        <v>241114000046</v>
      </c>
      <c r="D90" s="357">
        <v>45615</v>
      </c>
      <c r="E90" s="355" t="s">
        <v>37</v>
      </c>
      <c r="F90" s="355" t="s">
        <v>142</v>
      </c>
      <c r="G90" s="355">
        <v>0.0703</v>
      </c>
      <c r="H90" s="355">
        <v>43</v>
      </c>
      <c r="I90" s="364"/>
      <c r="J90" s="370">
        <v>47100</v>
      </c>
      <c r="K90" s="360"/>
      <c r="L90" s="361">
        <f>SUM(J90/M90)</f>
        <v>2230.11331958618</v>
      </c>
      <c r="M90" s="362">
        <v>21.120003</v>
      </c>
      <c r="N90" s="363">
        <v>7.28</v>
      </c>
      <c r="O90" s="364">
        <f>SUM(M90*N90)</f>
        <v>153.75362184</v>
      </c>
      <c r="P90" s="375"/>
      <c r="Q90" s="375"/>
      <c r="R90" s="375"/>
      <c r="S90" s="375"/>
      <c r="T90" s="375"/>
      <c r="U90" s="375"/>
      <c r="V90" s="379"/>
      <c r="W90" s="375"/>
      <c r="X90" s="376"/>
      <c r="Y90" s="368"/>
      <c r="Z90" s="376"/>
      <c r="AA90" s="376"/>
      <c r="AB90" s="378"/>
      <c r="AC90" s="375"/>
      <c r="AD90" s="375"/>
      <c r="AE90" s="375"/>
    </row>
    <row r="91" s="264" customFormat="1" ht="12.75" spans="1:31">
      <c r="A91" s="354"/>
      <c r="B91" s="355"/>
      <c r="C91" s="356">
        <v>241115000005</v>
      </c>
      <c r="D91" s="357">
        <v>45615</v>
      </c>
      <c r="E91" s="355" t="s">
        <v>42</v>
      </c>
      <c r="F91" s="355" t="s">
        <v>43</v>
      </c>
      <c r="G91" s="355">
        <v>1.0641</v>
      </c>
      <c r="H91" s="355">
        <v>52</v>
      </c>
      <c r="I91" s="358">
        <v>2244.61</v>
      </c>
      <c r="J91" s="369"/>
      <c r="K91" s="360"/>
      <c r="L91" s="361"/>
      <c r="M91" s="360"/>
      <c r="N91" s="363"/>
      <c r="O91" s="364">
        <f t="shared" ref="O91:O94" si="21">SUBTOTAL(9,I91)</f>
        <v>2244.61</v>
      </c>
      <c r="P91" s="375"/>
      <c r="Q91" s="375"/>
      <c r="R91" s="375"/>
      <c r="S91" s="375"/>
      <c r="T91" s="375"/>
      <c r="U91" s="375"/>
      <c r="V91" s="367">
        <v>72.29</v>
      </c>
      <c r="W91" s="375"/>
      <c r="X91" s="376"/>
      <c r="Y91" s="368"/>
      <c r="Z91" s="376"/>
      <c r="AA91" s="376"/>
      <c r="AB91" s="378"/>
      <c r="AC91" s="375"/>
      <c r="AD91" s="375"/>
      <c r="AE91" s="375"/>
    </row>
    <row r="92" s="264" customFormat="1" ht="12.75" spans="1:31">
      <c r="A92" s="354"/>
      <c r="B92" s="355"/>
      <c r="C92" s="356">
        <v>241116000018</v>
      </c>
      <c r="D92" s="357">
        <v>45615</v>
      </c>
      <c r="E92" s="355" t="s">
        <v>40</v>
      </c>
      <c r="F92" s="355" t="s">
        <v>41</v>
      </c>
      <c r="G92" s="355">
        <v>6.0469</v>
      </c>
      <c r="H92" s="355">
        <v>528</v>
      </c>
      <c r="I92" s="358">
        <v>13684.14</v>
      </c>
      <c r="J92" s="369"/>
      <c r="K92" s="360"/>
      <c r="L92" s="361"/>
      <c r="M92" s="360"/>
      <c r="N92" s="363"/>
      <c r="O92" s="364">
        <f t="shared" si="21"/>
        <v>13684.14</v>
      </c>
      <c r="P92" s="375"/>
      <c r="Q92" s="375"/>
      <c r="R92" s="375"/>
      <c r="S92" s="375"/>
      <c r="T92" s="375"/>
      <c r="U92" s="375"/>
      <c r="V92" s="371"/>
      <c r="W92" s="375"/>
      <c r="X92" s="376"/>
      <c r="Y92" s="368"/>
      <c r="Z92" s="376"/>
      <c r="AA92" s="376"/>
      <c r="AB92" s="378"/>
      <c r="AC92" s="375"/>
      <c r="AD92" s="375"/>
      <c r="AE92" s="375"/>
    </row>
    <row r="93" s="264" customFormat="1" ht="12.75" spans="1:31">
      <c r="A93" s="354"/>
      <c r="B93" s="355"/>
      <c r="C93" s="356">
        <v>241118000073</v>
      </c>
      <c r="D93" s="357">
        <v>45615</v>
      </c>
      <c r="E93" s="355" t="s">
        <v>190</v>
      </c>
      <c r="F93" s="355" t="s">
        <v>196</v>
      </c>
      <c r="G93" s="355">
        <v>10.1365</v>
      </c>
      <c r="H93" s="355">
        <v>5464</v>
      </c>
      <c r="I93" s="358">
        <v>21201.16</v>
      </c>
      <c r="J93" s="369"/>
      <c r="K93" s="360"/>
      <c r="L93" s="361"/>
      <c r="M93" s="360"/>
      <c r="N93" s="363"/>
      <c r="O93" s="364">
        <f t="shared" si="21"/>
        <v>21201.16</v>
      </c>
      <c r="P93" s="375"/>
      <c r="Q93" s="375"/>
      <c r="R93" s="375"/>
      <c r="S93" s="375"/>
      <c r="T93" s="375"/>
      <c r="U93" s="375"/>
      <c r="V93" s="375"/>
      <c r="W93" s="375"/>
      <c r="X93" s="376"/>
      <c r="Y93" s="368"/>
      <c r="Z93" s="376"/>
      <c r="AA93" s="376"/>
      <c r="AB93" s="378"/>
      <c r="AC93" s="375"/>
      <c r="AD93" s="375"/>
      <c r="AE93" s="375"/>
    </row>
    <row r="94" s="264" customFormat="1" ht="12.75" spans="1:31">
      <c r="A94" s="354"/>
      <c r="B94" s="355"/>
      <c r="C94" s="356">
        <v>241209000062</v>
      </c>
      <c r="D94" s="357">
        <v>45615</v>
      </c>
      <c r="E94" s="355" t="s">
        <v>190</v>
      </c>
      <c r="F94" s="355" t="s">
        <v>251</v>
      </c>
      <c r="G94" s="355">
        <v>4.9817</v>
      </c>
      <c r="H94" s="355">
        <v>4862</v>
      </c>
      <c r="I94" s="358">
        <v>11334.38</v>
      </c>
      <c r="J94" s="369"/>
      <c r="K94" s="360"/>
      <c r="L94" s="361"/>
      <c r="M94" s="360"/>
      <c r="N94" s="363"/>
      <c r="O94" s="364">
        <f t="shared" si="21"/>
        <v>11334.38</v>
      </c>
      <c r="P94" s="375"/>
      <c r="Q94" s="375"/>
      <c r="R94" s="375"/>
      <c r="S94" s="375"/>
      <c r="T94" s="375"/>
      <c r="U94" s="375"/>
      <c r="V94" s="375"/>
      <c r="W94" s="375"/>
      <c r="X94" s="376"/>
      <c r="Y94" s="368">
        <v>77.38</v>
      </c>
      <c r="Z94" s="376"/>
      <c r="AA94" s="376"/>
      <c r="AB94" s="378"/>
      <c r="AC94" s="375"/>
      <c r="AD94" s="375"/>
      <c r="AE94" s="375"/>
    </row>
    <row r="95" s="264" customFormat="1" ht="12.75" spans="1:31">
      <c r="A95" s="354"/>
      <c r="B95" s="355"/>
      <c r="C95" s="356">
        <v>241218000023</v>
      </c>
      <c r="D95" s="357">
        <v>45615</v>
      </c>
      <c r="E95" s="355" t="s">
        <v>52</v>
      </c>
      <c r="F95" s="355" t="s">
        <v>331</v>
      </c>
      <c r="G95" s="355">
        <v>0.0592</v>
      </c>
      <c r="H95" s="355">
        <v>10</v>
      </c>
      <c r="I95" s="364"/>
      <c r="J95" s="370">
        <v>70231</v>
      </c>
      <c r="K95" s="360"/>
      <c r="L95" s="361">
        <f t="shared" ref="L95:L103" si="22">SUM(J95/M95)</f>
        <v>1580</v>
      </c>
      <c r="M95" s="362">
        <v>44.45</v>
      </c>
      <c r="N95" s="363">
        <v>7.29</v>
      </c>
      <c r="O95" s="364">
        <f t="shared" ref="O95:O103" si="23">SUM(M95*N95)</f>
        <v>324.0405</v>
      </c>
      <c r="P95" s="379"/>
      <c r="Q95" s="379"/>
      <c r="R95" s="379"/>
      <c r="S95" s="379"/>
      <c r="T95" s="379"/>
      <c r="U95" s="379"/>
      <c r="V95" s="379"/>
      <c r="W95" s="379"/>
      <c r="X95" s="377"/>
      <c r="Y95" s="368"/>
      <c r="Z95" s="377"/>
      <c r="AA95" s="377"/>
      <c r="AB95" s="380"/>
      <c r="AC95" s="379"/>
      <c r="AD95" s="379"/>
      <c r="AE95" s="379"/>
    </row>
    <row r="96" s="264" customFormat="1" ht="12.75" spans="1:31">
      <c r="A96" s="354" t="s">
        <v>343</v>
      </c>
      <c r="B96" s="355" t="s">
        <v>344</v>
      </c>
      <c r="C96" s="356">
        <v>241102000009</v>
      </c>
      <c r="D96" s="357">
        <v>45616</v>
      </c>
      <c r="E96" s="355" t="s">
        <v>49</v>
      </c>
      <c r="F96" s="355" t="s">
        <v>204</v>
      </c>
      <c r="G96" s="355">
        <v>0.3399</v>
      </c>
      <c r="H96" s="355">
        <v>118</v>
      </c>
      <c r="I96" s="364"/>
      <c r="J96" s="370">
        <v>165636</v>
      </c>
      <c r="K96" s="360"/>
      <c r="L96" s="361">
        <f t="shared" si="22"/>
        <v>1680.21911138162</v>
      </c>
      <c r="M96" s="362">
        <v>98.58</v>
      </c>
      <c r="N96" s="363">
        <v>7.27</v>
      </c>
      <c r="O96" s="364">
        <f t="shared" si="23"/>
        <v>716.6766</v>
      </c>
      <c r="P96" s="371">
        <f>SUM(O96:O109)</f>
        <v>147610.4969638</v>
      </c>
      <c r="Q96" s="372" t="s">
        <v>345</v>
      </c>
      <c r="R96" s="371">
        <v>45685.5</v>
      </c>
      <c r="S96" s="371"/>
      <c r="T96" s="371">
        <v>2000</v>
      </c>
      <c r="U96" s="371"/>
      <c r="V96" s="371"/>
      <c r="W96" s="371">
        <f>SUM(R96:V109)</f>
        <v>47835.5</v>
      </c>
      <c r="X96" s="373">
        <v>11085</v>
      </c>
      <c r="Y96" s="373"/>
      <c r="Z96" s="373">
        <v>77.38</v>
      </c>
      <c r="AA96" s="373">
        <f>SUM(X96:Z109)</f>
        <v>11259.6</v>
      </c>
      <c r="AB96" s="374">
        <v>7.3</v>
      </c>
      <c r="AC96" s="371">
        <f>SUM(AA96*AB96)</f>
        <v>82195.08</v>
      </c>
      <c r="AD96" s="371">
        <f>SUM(W96+AC96)</f>
        <v>130030.58</v>
      </c>
      <c r="AE96" s="371">
        <f>SUM(P96-AD96)</f>
        <v>17579.9169638</v>
      </c>
    </row>
    <row r="97" s="264" customFormat="1" ht="12.75" spans="1:31">
      <c r="A97" s="354"/>
      <c r="B97" s="355"/>
      <c r="C97" s="356">
        <v>241107000009</v>
      </c>
      <c r="D97" s="357">
        <v>45616</v>
      </c>
      <c r="E97" s="355" t="s">
        <v>49</v>
      </c>
      <c r="F97" s="355" t="s">
        <v>249</v>
      </c>
      <c r="G97" s="355">
        <v>6.8102</v>
      </c>
      <c r="H97" s="355">
        <v>4442</v>
      </c>
      <c r="I97" s="358">
        <v>16020.41</v>
      </c>
      <c r="J97" s="382"/>
      <c r="K97" s="362"/>
      <c r="L97" s="361"/>
      <c r="M97" s="362"/>
      <c r="N97" s="363"/>
      <c r="O97" s="364">
        <f t="shared" ref="O97:O99" si="24">SUBTOTAL(9,I97)</f>
        <v>16020.41</v>
      </c>
      <c r="P97" s="375"/>
      <c r="Q97" s="375"/>
      <c r="R97" s="375"/>
      <c r="S97" s="375"/>
      <c r="T97" s="375"/>
      <c r="U97" s="379"/>
      <c r="V97" s="375"/>
      <c r="W97" s="375"/>
      <c r="X97" s="376"/>
      <c r="Y97" s="376"/>
      <c r="Z97" s="376"/>
      <c r="AA97" s="376"/>
      <c r="AB97" s="378"/>
      <c r="AC97" s="375"/>
      <c r="AD97" s="375"/>
      <c r="AE97" s="375"/>
    </row>
    <row r="98" s="264" customFormat="1" ht="12.75" spans="1:31">
      <c r="A98" s="354"/>
      <c r="B98" s="355"/>
      <c r="C98" s="356">
        <v>241106000050</v>
      </c>
      <c r="D98" s="357">
        <v>45616</v>
      </c>
      <c r="E98" s="355" t="s">
        <v>49</v>
      </c>
      <c r="F98" s="355" t="s">
        <v>86</v>
      </c>
      <c r="G98" s="355">
        <v>0.6913</v>
      </c>
      <c r="H98" s="355">
        <v>774</v>
      </c>
      <c r="I98" s="358">
        <v>3860.58</v>
      </c>
      <c r="J98" s="369"/>
      <c r="K98" s="362"/>
      <c r="L98" s="361"/>
      <c r="M98" s="362"/>
      <c r="N98" s="363"/>
      <c r="O98" s="364">
        <f t="shared" si="24"/>
        <v>3860.58</v>
      </c>
      <c r="P98" s="375"/>
      <c r="Q98" s="375"/>
      <c r="R98" s="375"/>
      <c r="S98" s="375"/>
      <c r="T98" s="375"/>
      <c r="U98" s="367">
        <v>150</v>
      </c>
      <c r="V98" s="375"/>
      <c r="W98" s="375"/>
      <c r="X98" s="376"/>
      <c r="Y98" s="376"/>
      <c r="Z98" s="376"/>
      <c r="AA98" s="376"/>
      <c r="AB98" s="378"/>
      <c r="AC98" s="375"/>
      <c r="AD98" s="375"/>
      <c r="AE98" s="375"/>
    </row>
    <row r="99" s="264" customFormat="1" ht="12.75" spans="1:31">
      <c r="A99" s="354"/>
      <c r="B99" s="355"/>
      <c r="C99" s="356">
        <v>241106000051</v>
      </c>
      <c r="D99" s="357">
        <v>45616</v>
      </c>
      <c r="E99" s="355" t="s">
        <v>49</v>
      </c>
      <c r="F99" s="355" t="s">
        <v>86</v>
      </c>
      <c r="G99" s="355">
        <v>0.4698</v>
      </c>
      <c r="H99" s="355">
        <v>547</v>
      </c>
      <c r="I99" s="358">
        <v>1670.3</v>
      </c>
      <c r="J99" s="369"/>
      <c r="K99" s="362"/>
      <c r="L99" s="361"/>
      <c r="M99" s="362"/>
      <c r="N99" s="363"/>
      <c r="O99" s="364">
        <f t="shared" si="24"/>
        <v>1670.3</v>
      </c>
      <c r="P99" s="375"/>
      <c r="Q99" s="375"/>
      <c r="R99" s="375"/>
      <c r="S99" s="375"/>
      <c r="T99" s="375"/>
      <c r="U99" s="371"/>
      <c r="V99" s="375"/>
      <c r="W99" s="375"/>
      <c r="X99" s="376"/>
      <c r="Y99" s="376"/>
      <c r="Z99" s="376"/>
      <c r="AA99" s="376"/>
      <c r="AB99" s="378"/>
      <c r="AC99" s="375"/>
      <c r="AD99" s="375"/>
      <c r="AE99" s="375"/>
    </row>
    <row r="100" s="264" customFormat="1" ht="12.75" spans="1:31">
      <c r="A100" s="354"/>
      <c r="B100" s="355"/>
      <c r="C100" s="356">
        <v>241113000044</v>
      </c>
      <c r="D100" s="357">
        <v>45616</v>
      </c>
      <c r="E100" s="355" t="s">
        <v>44</v>
      </c>
      <c r="F100" s="355" t="s">
        <v>112</v>
      </c>
      <c r="G100" s="355">
        <v>2.0156</v>
      </c>
      <c r="H100" s="355">
        <v>301</v>
      </c>
      <c r="I100" s="364"/>
      <c r="J100" s="370">
        <v>829711.92</v>
      </c>
      <c r="K100" s="360"/>
      <c r="L100" s="361">
        <f t="shared" si="22"/>
        <v>1608</v>
      </c>
      <c r="M100" s="362">
        <v>515.99</v>
      </c>
      <c r="N100" s="363">
        <v>7.3</v>
      </c>
      <c r="O100" s="364">
        <f t="shared" si="23"/>
        <v>3766.727</v>
      </c>
      <c r="P100" s="375"/>
      <c r="Q100" s="375"/>
      <c r="R100" s="375"/>
      <c r="S100" s="375"/>
      <c r="T100" s="375"/>
      <c r="U100" s="375"/>
      <c r="V100" s="375"/>
      <c r="W100" s="375"/>
      <c r="X100" s="376"/>
      <c r="Y100" s="376"/>
      <c r="Z100" s="376"/>
      <c r="AA100" s="376"/>
      <c r="AB100" s="378"/>
      <c r="AC100" s="375"/>
      <c r="AD100" s="375"/>
      <c r="AE100" s="375"/>
    </row>
    <row r="101" s="264" customFormat="1" ht="12.75" spans="1:31">
      <c r="A101" s="354"/>
      <c r="B101" s="355"/>
      <c r="C101" s="356">
        <v>241114000013</v>
      </c>
      <c r="D101" s="357">
        <v>45616</v>
      </c>
      <c r="E101" s="355" t="s">
        <v>44</v>
      </c>
      <c r="F101" s="355" t="s">
        <v>112</v>
      </c>
      <c r="G101" s="355">
        <v>0.0902</v>
      </c>
      <c r="H101" s="355">
        <v>76</v>
      </c>
      <c r="I101" s="364"/>
      <c r="J101" s="370">
        <v>37176.96</v>
      </c>
      <c r="K101" s="360"/>
      <c r="L101" s="361">
        <f t="shared" si="22"/>
        <v>1608</v>
      </c>
      <c r="M101" s="362">
        <v>23.12</v>
      </c>
      <c r="N101" s="363">
        <v>7.3</v>
      </c>
      <c r="O101" s="364">
        <f t="shared" si="23"/>
        <v>168.776</v>
      </c>
      <c r="P101" s="375"/>
      <c r="Q101" s="375"/>
      <c r="R101" s="375"/>
      <c r="S101" s="375"/>
      <c r="T101" s="375"/>
      <c r="U101" s="375"/>
      <c r="V101" s="375"/>
      <c r="W101" s="375"/>
      <c r="X101" s="376"/>
      <c r="Y101" s="377"/>
      <c r="Z101" s="376"/>
      <c r="AA101" s="376"/>
      <c r="AB101" s="378"/>
      <c r="AC101" s="375"/>
      <c r="AD101" s="375"/>
      <c r="AE101" s="375"/>
    </row>
    <row r="102" s="264" customFormat="1" ht="12.75" spans="1:31">
      <c r="A102" s="354"/>
      <c r="B102" s="355"/>
      <c r="C102" s="356">
        <v>241114000027</v>
      </c>
      <c r="D102" s="357">
        <v>45616</v>
      </c>
      <c r="E102" s="355" t="s">
        <v>52</v>
      </c>
      <c r="F102" s="355" t="s">
        <v>53</v>
      </c>
      <c r="G102" s="355">
        <v>7.3094</v>
      </c>
      <c r="H102" s="355">
        <v>4250</v>
      </c>
      <c r="I102" s="364"/>
      <c r="J102" s="370">
        <v>3823031.52</v>
      </c>
      <c r="K102" s="360"/>
      <c r="L102" s="361">
        <f t="shared" si="22"/>
        <v>1663.2</v>
      </c>
      <c r="M102" s="362">
        <v>2298.6</v>
      </c>
      <c r="N102" s="363">
        <v>7.3</v>
      </c>
      <c r="O102" s="364">
        <f t="shared" si="23"/>
        <v>16779.78</v>
      </c>
      <c r="P102" s="375"/>
      <c r="Q102" s="375"/>
      <c r="R102" s="375"/>
      <c r="S102" s="375"/>
      <c r="T102" s="375"/>
      <c r="U102" s="375"/>
      <c r="V102" s="375"/>
      <c r="W102" s="375"/>
      <c r="X102" s="376"/>
      <c r="Y102" s="368">
        <v>97.22</v>
      </c>
      <c r="Z102" s="376"/>
      <c r="AA102" s="376"/>
      <c r="AB102" s="378"/>
      <c r="AC102" s="375"/>
      <c r="AD102" s="375"/>
      <c r="AE102" s="375"/>
    </row>
    <row r="103" s="264" customFormat="1" ht="12.75" spans="1:31">
      <c r="A103" s="354"/>
      <c r="B103" s="355"/>
      <c r="C103" s="356">
        <v>241115000042</v>
      </c>
      <c r="D103" s="357">
        <v>45616</v>
      </c>
      <c r="E103" s="355" t="s">
        <v>49</v>
      </c>
      <c r="F103" s="355" t="s">
        <v>249</v>
      </c>
      <c r="G103" s="355">
        <v>2.5805</v>
      </c>
      <c r="H103" s="355">
        <v>1066</v>
      </c>
      <c r="I103" s="364"/>
      <c r="J103" s="370">
        <v>1255187.75</v>
      </c>
      <c r="K103" s="360"/>
      <c r="L103" s="361">
        <f t="shared" si="22"/>
        <v>1706.71686664175</v>
      </c>
      <c r="M103" s="362">
        <v>735.43994</v>
      </c>
      <c r="N103" s="363">
        <v>7.27</v>
      </c>
      <c r="O103" s="364">
        <f t="shared" si="23"/>
        <v>5346.6483638</v>
      </c>
      <c r="P103" s="375"/>
      <c r="Q103" s="375"/>
      <c r="R103" s="375"/>
      <c r="S103" s="375"/>
      <c r="T103" s="375"/>
      <c r="U103" s="375"/>
      <c r="V103" s="375"/>
      <c r="W103" s="375"/>
      <c r="X103" s="376"/>
      <c r="Y103" s="368"/>
      <c r="Z103" s="376"/>
      <c r="AA103" s="376"/>
      <c r="AB103" s="378"/>
      <c r="AC103" s="375"/>
      <c r="AD103" s="375"/>
      <c r="AE103" s="375"/>
    </row>
    <row r="104" s="264" customFormat="1" ht="12.75" spans="1:31">
      <c r="A104" s="354"/>
      <c r="B104" s="355"/>
      <c r="C104" s="356">
        <v>241118000051</v>
      </c>
      <c r="D104" s="357">
        <v>45616</v>
      </c>
      <c r="E104" s="355" t="s">
        <v>49</v>
      </c>
      <c r="F104" s="355" t="s">
        <v>327</v>
      </c>
      <c r="G104" s="355">
        <v>0.2898</v>
      </c>
      <c r="H104" s="355">
        <v>30</v>
      </c>
      <c r="I104" s="358">
        <v>639.5</v>
      </c>
      <c r="J104" s="369"/>
      <c r="K104" s="360"/>
      <c r="L104" s="361"/>
      <c r="M104" s="360"/>
      <c r="N104" s="363"/>
      <c r="O104" s="364">
        <f t="shared" ref="O104:O111" si="25">SUBTOTAL(9,I104)</f>
        <v>639.5</v>
      </c>
      <c r="P104" s="375"/>
      <c r="Q104" s="375"/>
      <c r="R104" s="375"/>
      <c r="S104" s="375"/>
      <c r="T104" s="375"/>
      <c r="U104" s="375"/>
      <c r="V104" s="375"/>
      <c r="W104" s="375"/>
      <c r="X104" s="376"/>
      <c r="Y104" s="368"/>
      <c r="Z104" s="376"/>
      <c r="AA104" s="376"/>
      <c r="AB104" s="378"/>
      <c r="AC104" s="375"/>
      <c r="AD104" s="375"/>
      <c r="AE104" s="375"/>
    </row>
    <row r="105" s="264" customFormat="1" ht="12.75" spans="1:31">
      <c r="A105" s="354"/>
      <c r="B105" s="355"/>
      <c r="C105" s="356">
        <v>241118000062</v>
      </c>
      <c r="D105" s="357">
        <v>45616</v>
      </c>
      <c r="E105" s="355" t="s">
        <v>44</v>
      </c>
      <c r="F105" s="355" t="s">
        <v>112</v>
      </c>
      <c r="G105" s="355">
        <v>0.3791</v>
      </c>
      <c r="H105" s="355">
        <v>53</v>
      </c>
      <c r="I105" s="364"/>
      <c r="J105" s="370">
        <v>156056.4</v>
      </c>
      <c r="K105" s="360"/>
      <c r="L105" s="361">
        <f t="shared" ref="L105:L107" si="26">SUM(J105/M105)</f>
        <v>1608</v>
      </c>
      <c r="M105" s="362">
        <v>97.05</v>
      </c>
      <c r="N105" s="363">
        <v>7.3</v>
      </c>
      <c r="O105" s="364">
        <f t="shared" ref="O105:O107" si="27">SUM(M105*N105)</f>
        <v>708.465</v>
      </c>
      <c r="P105" s="375"/>
      <c r="Q105" s="375"/>
      <c r="R105" s="375"/>
      <c r="S105" s="375"/>
      <c r="T105" s="375"/>
      <c r="U105" s="375"/>
      <c r="V105" s="375"/>
      <c r="W105" s="375"/>
      <c r="X105" s="376"/>
      <c r="Y105" s="368"/>
      <c r="Z105" s="376"/>
      <c r="AA105" s="376"/>
      <c r="AB105" s="378"/>
      <c r="AC105" s="375"/>
      <c r="AD105" s="375"/>
      <c r="AE105" s="375"/>
    </row>
    <row r="106" s="264" customFormat="1" ht="12.75" spans="1:31">
      <c r="A106" s="354"/>
      <c r="B106" s="355"/>
      <c r="C106" s="356">
        <v>241119000022</v>
      </c>
      <c r="D106" s="357">
        <v>45616</v>
      </c>
      <c r="E106" s="355" t="s">
        <v>44</v>
      </c>
      <c r="F106" s="355" t="s">
        <v>112</v>
      </c>
      <c r="G106" s="355">
        <v>2.3578</v>
      </c>
      <c r="H106" s="355">
        <v>388</v>
      </c>
      <c r="I106" s="364"/>
      <c r="J106" s="370">
        <v>970588.8</v>
      </c>
      <c r="K106" s="360"/>
      <c r="L106" s="361">
        <f t="shared" si="26"/>
        <v>1608</v>
      </c>
      <c r="M106" s="362">
        <v>603.6</v>
      </c>
      <c r="N106" s="363">
        <v>7.3</v>
      </c>
      <c r="O106" s="364">
        <f t="shared" si="27"/>
        <v>4406.28</v>
      </c>
      <c r="P106" s="375"/>
      <c r="Q106" s="375"/>
      <c r="R106" s="375"/>
      <c r="S106" s="375"/>
      <c r="T106" s="375"/>
      <c r="U106" s="375"/>
      <c r="V106" s="375"/>
      <c r="W106" s="375"/>
      <c r="X106" s="376"/>
      <c r="Y106" s="368"/>
      <c r="Z106" s="376"/>
      <c r="AA106" s="376"/>
      <c r="AB106" s="378"/>
      <c r="AC106" s="375"/>
      <c r="AD106" s="375"/>
      <c r="AE106" s="375"/>
    </row>
    <row r="107" s="264" customFormat="1" ht="12.75" spans="1:31">
      <c r="A107" s="354"/>
      <c r="B107" s="355"/>
      <c r="C107" s="356">
        <v>241113000043</v>
      </c>
      <c r="D107" s="357">
        <v>45616</v>
      </c>
      <c r="E107" s="355" t="s">
        <v>44</v>
      </c>
      <c r="F107" s="355" t="s">
        <v>112</v>
      </c>
      <c r="G107" s="355">
        <v>7.2261</v>
      </c>
      <c r="H107" s="355">
        <v>7740</v>
      </c>
      <c r="I107" s="364"/>
      <c r="J107" s="370">
        <v>2974607.04</v>
      </c>
      <c r="K107" s="360"/>
      <c r="L107" s="361">
        <f t="shared" si="26"/>
        <v>1608</v>
      </c>
      <c r="M107" s="362">
        <v>1849.88</v>
      </c>
      <c r="N107" s="363">
        <v>7.3</v>
      </c>
      <c r="O107" s="364">
        <f t="shared" si="27"/>
        <v>13504.124</v>
      </c>
      <c r="P107" s="375"/>
      <c r="Q107" s="375"/>
      <c r="R107" s="375"/>
      <c r="S107" s="375"/>
      <c r="T107" s="375"/>
      <c r="U107" s="375"/>
      <c r="V107" s="375"/>
      <c r="W107" s="375"/>
      <c r="X107" s="376"/>
      <c r="Y107" s="368"/>
      <c r="Z107" s="376"/>
      <c r="AA107" s="376"/>
      <c r="AB107" s="378"/>
      <c r="AC107" s="375"/>
      <c r="AD107" s="375"/>
      <c r="AE107" s="375"/>
    </row>
    <row r="108" s="264" customFormat="1" ht="12.75" spans="1:31">
      <c r="A108" s="354"/>
      <c r="B108" s="355"/>
      <c r="C108" s="356">
        <v>241118000049</v>
      </c>
      <c r="D108" s="357">
        <v>45616</v>
      </c>
      <c r="E108" s="355" t="s">
        <v>40</v>
      </c>
      <c r="F108" s="355" t="s">
        <v>346</v>
      </c>
      <c r="G108" s="355">
        <v>18.8558</v>
      </c>
      <c r="H108" s="355">
        <v>3372</v>
      </c>
      <c r="I108" s="358">
        <v>41577.26</v>
      </c>
      <c r="J108" s="382"/>
      <c r="K108" s="360"/>
      <c r="L108" s="361"/>
      <c r="M108" s="360"/>
      <c r="N108" s="363"/>
      <c r="O108" s="364">
        <f t="shared" si="25"/>
        <v>41577.26</v>
      </c>
      <c r="P108" s="375"/>
      <c r="Q108" s="375"/>
      <c r="R108" s="375"/>
      <c r="S108" s="375"/>
      <c r="T108" s="375"/>
      <c r="U108" s="375"/>
      <c r="V108" s="375"/>
      <c r="W108" s="375"/>
      <c r="X108" s="376"/>
      <c r="Y108" s="368"/>
      <c r="Z108" s="376"/>
      <c r="AA108" s="376"/>
      <c r="AB108" s="378"/>
      <c r="AC108" s="375"/>
      <c r="AD108" s="375"/>
      <c r="AE108" s="375"/>
    </row>
    <row r="109" s="264" customFormat="1" ht="12.75" spans="1:31">
      <c r="A109" s="354"/>
      <c r="B109" s="355"/>
      <c r="C109" s="356">
        <v>241120000022</v>
      </c>
      <c r="D109" s="357">
        <v>45616</v>
      </c>
      <c r="E109" s="355" t="s">
        <v>44</v>
      </c>
      <c r="F109" s="355" t="s">
        <v>59</v>
      </c>
      <c r="G109" s="355">
        <v>24.63</v>
      </c>
      <c r="H109" s="355">
        <v>3402</v>
      </c>
      <c r="I109" s="358">
        <v>38444.97</v>
      </c>
      <c r="J109" s="369"/>
      <c r="K109" s="360"/>
      <c r="L109" s="361"/>
      <c r="M109" s="362"/>
      <c r="N109" s="363"/>
      <c r="O109" s="364">
        <f t="shared" si="25"/>
        <v>38444.97</v>
      </c>
      <c r="P109" s="379"/>
      <c r="Q109" s="379"/>
      <c r="R109" s="379"/>
      <c r="S109" s="379"/>
      <c r="T109" s="379"/>
      <c r="U109" s="379"/>
      <c r="V109" s="379"/>
      <c r="W109" s="379"/>
      <c r="X109" s="377"/>
      <c r="Y109" s="368"/>
      <c r="Z109" s="377"/>
      <c r="AA109" s="377"/>
      <c r="AB109" s="380"/>
      <c r="AC109" s="379"/>
      <c r="AD109" s="379"/>
      <c r="AE109" s="379"/>
    </row>
    <row r="110" s="264" customFormat="1" ht="12.75" spans="1:31">
      <c r="A110" s="354" t="s">
        <v>347</v>
      </c>
      <c r="B110" s="355" t="s">
        <v>348</v>
      </c>
      <c r="C110" s="356">
        <v>241107000009</v>
      </c>
      <c r="D110" s="357">
        <v>45617</v>
      </c>
      <c r="E110" s="355" t="s">
        <v>49</v>
      </c>
      <c r="F110" s="355" t="s">
        <v>249</v>
      </c>
      <c r="G110" s="355">
        <v>3.597</v>
      </c>
      <c r="H110" s="355">
        <v>2893</v>
      </c>
      <c r="I110" s="358">
        <v>8527.49</v>
      </c>
      <c r="J110" s="384"/>
      <c r="K110" s="362"/>
      <c r="L110" s="361"/>
      <c r="M110" s="362"/>
      <c r="N110" s="363"/>
      <c r="O110" s="364">
        <f t="shared" si="25"/>
        <v>8527.49</v>
      </c>
      <c r="P110" s="371">
        <f>SUM(O110:O124)</f>
        <v>149572.519</v>
      </c>
      <c r="Q110" s="372" t="s">
        <v>349</v>
      </c>
      <c r="R110" s="371">
        <v>45788.5</v>
      </c>
      <c r="S110" s="371"/>
      <c r="T110" s="371">
        <v>1300</v>
      </c>
      <c r="U110" s="367"/>
      <c r="V110" s="367"/>
      <c r="W110" s="371">
        <f>SUM(R110:V124)</f>
        <v>47968.5</v>
      </c>
      <c r="X110" s="373">
        <v>11233</v>
      </c>
      <c r="Y110" s="368"/>
      <c r="Z110" s="373">
        <f>SUM(132.57+77.38)</f>
        <v>209.95</v>
      </c>
      <c r="AA110" s="373">
        <f>SUM(X110:Z124)</f>
        <v>13444.28</v>
      </c>
      <c r="AB110" s="374">
        <v>7.3</v>
      </c>
      <c r="AC110" s="371">
        <f>SUM(AA110*AB110)</f>
        <v>98143.244</v>
      </c>
      <c r="AD110" s="371">
        <f>SUM(W110+AC110)</f>
        <v>146111.744</v>
      </c>
      <c r="AE110" s="371">
        <f>SUM(P110-AD110)</f>
        <v>3460.77499999999</v>
      </c>
    </row>
    <row r="111" s="264" customFormat="1" ht="12.75" spans="1:31">
      <c r="A111" s="354"/>
      <c r="B111" s="355"/>
      <c r="C111" s="356">
        <v>241108000020</v>
      </c>
      <c r="D111" s="357">
        <v>45617</v>
      </c>
      <c r="E111" s="355" t="s">
        <v>49</v>
      </c>
      <c r="F111" s="355" t="s">
        <v>350</v>
      </c>
      <c r="G111" s="355">
        <v>4.4226</v>
      </c>
      <c r="H111" s="355">
        <v>1416</v>
      </c>
      <c r="I111" s="358">
        <v>13696</v>
      </c>
      <c r="J111" s="369"/>
      <c r="K111" s="360"/>
      <c r="L111" s="361"/>
      <c r="M111" s="360"/>
      <c r="N111" s="363"/>
      <c r="O111" s="364">
        <f t="shared" si="25"/>
        <v>13696</v>
      </c>
      <c r="P111" s="375"/>
      <c r="Q111" s="375"/>
      <c r="R111" s="375"/>
      <c r="S111" s="375"/>
      <c r="T111" s="375"/>
      <c r="U111" s="367">
        <v>800</v>
      </c>
      <c r="V111" s="367">
        <v>80</v>
      </c>
      <c r="W111" s="375"/>
      <c r="X111" s="376"/>
      <c r="Y111" s="368">
        <v>256.98</v>
      </c>
      <c r="Z111" s="376"/>
      <c r="AA111" s="376"/>
      <c r="AB111" s="378"/>
      <c r="AC111" s="375"/>
      <c r="AD111" s="375"/>
      <c r="AE111" s="375"/>
    </row>
    <row r="112" s="264" customFormat="1" ht="12.75" spans="1:31">
      <c r="A112" s="354"/>
      <c r="B112" s="355"/>
      <c r="C112" s="356">
        <v>241113000043</v>
      </c>
      <c r="D112" s="357">
        <v>45617</v>
      </c>
      <c r="E112" s="355" t="s">
        <v>44</v>
      </c>
      <c r="F112" s="355" t="s">
        <v>112</v>
      </c>
      <c r="G112" s="355">
        <v>4.8174</v>
      </c>
      <c r="H112" s="355">
        <v>5160</v>
      </c>
      <c r="I112" s="364"/>
      <c r="J112" s="370">
        <v>1944345.36</v>
      </c>
      <c r="K112" s="360"/>
      <c r="L112" s="361">
        <f t="shared" ref="L112:L114" si="28">SUM(J112/M112)</f>
        <v>1608</v>
      </c>
      <c r="M112" s="362">
        <v>1209.17</v>
      </c>
      <c r="N112" s="363">
        <v>7.3</v>
      </c>
      <c r="O112" s="364">
        <f t="shared" ref="O112:O114" si="29">SUM(M112*N112)</f>
        <v>8826.941</v>
      </c>
      <c r="P112" s="375"/>
      <c r="Q112" s="375"/>
      <c r="R112" s="375"/>
      <c r="S112" s="375"/>
      <c r="T112" s="375"/>
      <c r="U112" s="371"/>
      <c r="V112" s="371"/>
      <c r="W112" s="375"/>
      <c r="X112" s="376"/>
      <c r="Y112" s="368"/>
      <c r="Z112" s="376"/>
      <c r="AA112" s="376"/>
      <c r="AB112" s="378"/>
      <c r="AC112" s="375"/>
      <c r="AD112" s="375"/>
      <c r="AE112" s="375"/>
    </row>
    <row r="113" s="264" customFormat="1" ht="12.75" spans="1:31">
      <c r="A113" s="354"/>
      <c r="B113" s="355"/>
      <c r="C113" s="356">
        <v>241113000045</v>
      </c>
      <c r="D113" s="357">
        <v>45617</v>
      </c>
      <c r="E113" s="355" t="s">
        <v>44</v>
      </c>
      <c r="F113" s="355" t="s">
        <v>112</v>
      </c>
      <c r="G113" s="355">
        <v>0.164</v>
      </c>
      <c r="H113" s="355">
        <v>134</v>
      </c>
      <c r="I113" s="364"/>
      <c r="J113" s="370">
        <v>66217.44</v>
      </c>
      <c r="K113" s="360"/>
      <c r="L113" s="361">
        <f t="shared" si="28"/>
        <v>1608</v>
      </c>
      <c r="M113" s="362">
        <v>41.18</v>
      </c>
      <c r="N113" s="363">
        <v>7.3</v>
      </c>
      <c r="O113" s="364">
        <f t="shared" si="29"/>
        <v>300.614</v>
      </c>
      <c r="P113" s="375"/>
      <c r="Q113" s="375"/>
      <c r="R113" s="375"/>
      <c r="S113" s="375"/>
      <c r="T113" s="375"/>
      <c r="U113" s="375"/>
      <c r="V113" s="375"/>
      <c r="W113" s="375"/>
      <c r="X113" s="376"/>
      <c r="Y113" s="368"/>
      <c r="Z113" s="376"/>
      <c r="AA113" s="376"/>
      <c r="AB113" s="378"/>
      <c r="AC113" s="375"/>
      <c r="AD113" s="375"/>
      <c r="AE113" s="375"/>
    </row>
    <row r="114" s="264" customFormat="1" ht="12.75" spans="1:31">
      <c r="A114" s="354"/>
      <c r="B114" s="355"/>
      <c r="C114" s="356">
        <v>241114000012</v>
      </c>
      <c r="D114" s="357">
        <v>45617</v>
      </c>
      <c r="E114" s="355" t="s">
        <v>44</v>
      </c>
      <c r="F114" s="355" t="s">
        <v>112</v>
      </c>
      <c r="G114" s="355">
        <v>4.9075</v>
      </c>
      <c r="H114" s="355">
        <v>496</v>
      </c>
      <c r="I114" s="364"/>
      <c r="J114" s="370">
        <v>1980702.24</v>
      </c>
      <c r="K114" s="360"/>
      <c r="L114" s="361">
        <f t="shared" si="28"/>
        <v>1608</v>
      </c>
      <c r="M114" s="362">
        <v>1231.78</v>
      </c>
      <c r="N114" s="363">
        <v>7.3</v>
      </c>
      <c r="O114" s="364">
        <f t="shared" si="29"/>
        <v>8991.994</v>
      </c>
      <c r="P114" s="375"/>
      <c r="Q114" s="375"/>
      <c r="R114" s="375"/>
      <c r="S114" s="375"/>
      <c r="T114" s="375"/>
      <c r="U114" s="375"/>
      <c r="V114" s="375"/>
      <c r="W114" s="375"/>
      <c r="X114" s="376"/>
      <c r="Y114" s="368"/>
      <c r="Z114" s="376"/>
      <c r="AA114" s="376"/>
      <c r="AB114" s="378"/>
      <c r="AC114" s="375"/>
      <c r="AD114" s="375"/>
      <c r="AE114" s="375"/>
    </row>
    <row r="115" s="264" customFormat="1" ht="12.75" spans="1:31">
      <c r="A115" s="354"/>
      <c r="B115" s="355"/>
      <c r="C115" s="356">
        <v>241118000049</v>
      </c>
      <c r="D115" s="357">
        <v>45617</v>
      </c>
      <c r="E115" s="355" t="s">
        <v>40</v>
      </c>
      <c r="F115" s="355" t="s">
        <v>346</v>
      </c>
      <c r="G115" s="355">
        <v>18.8558</v>
      </c>
      <c r="H115" s="355">
        <v>3470</v>
      </c>
      <c r="I115" s="358">
        <v>41577.26</v>
      </c>
      <c r="J115" s="382"/>
      <c r="K115" s="360"/>
      <c r="L115" s="361"/>
      <c r="M115" s="360"/>
      <c r="N115" s="363"/>
      <c r="O115" s="364">
        <f t="shared" ref="O115:O117" si="30">SUBTOTAL(9,I115)</f>
        <v>41577.26</v>
      </c>
      <c r="P115" s="375"/>
      <c r="Q115" s="375"/>
      <c r="R115" s="375"/>
      <c r="S115" s="375"/>
      <c r="T115" s="375"/>
      <c r="U115" s="375"/>
      <c r="V115" s="375"/>
      <c r="W115" s="375"/>
      <c r="X115" s="376"/>
      <c r="Y115" s="368">
        <v>1481.48</v>
      </c>
      <c r="Z115" s="376"/>
      <c r="AA115" s="376"/>
      <c r="AB115" s="378"/>
      <c r="AC115" s="375"/>
      <c r="AD115" s="375"/>
      <c r="AE115" s="375"/>
    </row>
    <row r="116" s="264" customFormat="1" ht="12.75" spans="1:31">
      <c r="A116" s="354"/>
      <c r="B116" s="355"/>
      <c r="C116" s="356">
        <v>241023000034</v>
      </c>
      <c r="D116" s="357">
        <v>45617</v>
      </c>
      <c r="E116" s="355" t="s">
        <v>40</v>
      </c>
      <c r="F116" s="355" t="s">
        <v>130</v>
      </c>
      <c r="G116" s="355">
        <v>0.535</v>
      </c>
      <c r="H116" s="355">
        <v>223</v>
      </c>
      <c r="I116" s="358">
        <v>1547</v>
      </c>
      <c r="J116" s="382"/>
      <c r="K116" s="360"/>
      <c r="L116" s="361"/>
      <c r="M116" s="360"/>
      <c r="N116" s="363"/>
      <c r="O116" s="364">
        <f t="shared" si="30"/>
        <v>1547</v>
      </c>
      <c r="P116" s="375"/>
      <c r="Q116" s="375"/>
      <c r="R116" s="375"/>
      <c r="S116" s="375"/>
      <c r="T116" s="375"/>
      <c r="U116" s="375"/>
      <c r="V116" s="375"/>
      <c r="W116" s="375"/>
      <c r="X116" s="376"/>
      <c r="Y116" s="368"/>
      <c r="Z116" s="376"/>
      <c r="AA116" s="376"/>
      <c r="AB116" s="378"/>
      <c r="AC116" s="375"/>
      <c r="AD116" s="375"/>
      <c r="AE116" s="375"/>
    </row>
    <row r="117" s="264" customFormat="1" ht="12.75" spans="1:31">
      <c r="A117" s="354"/>
      <c r="B117" s="355"/>
      <c r="C117" s="356">
        <v>241115000013</v>
      </c>
      <c r="D117" s="357">
        <v>45617</v>
      </c>
      <c r="E117" s="355" t="s">
        <v>40</v>
      </c>
      <c r="F117" s="355" t="s">
        <v>158</v>
      </c>
      <c r="G117" s="355">
        <v>0.0579</v>
      </c>
      <c r="H117" s="355">
        <v>37</v>
      </c>
      <c r="I117" s="358">
        <v>123</v>
      </c>
      <c r="J117" s="369"/>
      <c r="K117" s="360"/>
      <c r="L117" s="361"/>
      <c r="M117" s="360"/>
      <c r="N117" s="363"/>
      <c r="O117" s="364">
        <f t="shared" si="30"/>
        <v>123</v>
      </c>
      <c r="P117" s="375"/>
      <c r="Q117" s="375"/>
      <c r="R117" s="375"/>
      <c r="S117" s="375"/>
      <c r="T117" s="375"/>
      <c r="U117" s="375"/>
      <c r="V117" s="375"/>
      <c r="W117" s="375"/>
      <c r="X117" s="376"/>
      <c r="Y117" s="368"/>
      <c r="Z117" s="376"/>
      <c r="AA117" s="376"/>
      <c r="AB117" s="378"/>
      <c r="AC117" s="375"/>
      <c r="AD117" s="375"/>
      <c r="AE117" s="375"/>
    </row>
    <row r="118" s="264" customFormat="1" ht="12.75" spans="1:31">
      <c r="A118" s="354"/>
      <c r="B118" s="355"/>
      <c r="C118" s="356">
        <v>241118000061</v>
      </c>
      <c r="D118" s="357">
        <v>45617</v>
      </c>
      <c r="E118" s="355" t="s">
        <v>44</v>
      </c>
      <c r="F118" s="355" t="s">
        <v>112</v>
      </c>
      <c r="G118" s="355">
        <v>0.2475</v>
      </c>
      <c r="H118" s="355">
        <v>27</v>
      </c>
      <c r="I118" s="364"/>
      <c r="J118" s="370">
        <v>99937.2</v>
      </c>
      <c r="K118" s="360"/>
      <c r="L118" s="361">
        <f t="shared" ref="L118:L123" si="31">SUM(J118/M118)</f>
        <v>1608</v>
      </c>
      <c r="M118" s="362">
        <v>62.15</v>
      </c>
      <c r="N118" s="363">
        <v>7.3</v>
      </c>
      <c r="O118" s="364">
        <f t="shared" ref="O118:O123" si="32">SUM(M118*N118)</f>
        <v>453.695</v>
      </c>
      <c r="P118" s="375"/>
      <c r="Q118" s="375"/>
      <c r="R118" s="375"/>
      <c r="S118" s="375"/>
      <c r="T118" s="375"/>
      <c r="U118" s="375"/>
      <c r="V118" s="375"/>
      <c r="W118" s="375"/>
      <c r="X118" s="376"/>
      <c r="Y118" s="368"/>
      <c r="Z118" s="376"/>
      <c r="AA118" s="376"/>
      <c r="AB118" s="378"/>
      <c r="AC118" s="375"/>
      <c r="AD118" s="375"/>
      <c r="AE118" s="375"/>
    </row>
    <row r="119" s="264" customFormat="1" ht="12.75" spans="1:31">
      <c r="A119" s="354"/>
      <c r="B119" s="355"/>
      <c r="C119" s="356">
        <v>241118000064</v>
      </c>
      <c r="D119" s="357">
        <v>45617</v>
      </c>
      <c r="E119" s="355" t="s">
        <v>44</v>
      </c>
      <c r="F119" s="355" t="s">
        <v>112</v>
      </c>
      <c r="G119" s="355">
        <v>0.0647</v>
      </c>
      <c r="H119" s="355">
        <v>9</v>
      </c>
      <c r="I119" s="364"/>
      <c r="J119" s="370">
        <v>26097.84</v>
      </c>
      <c r="K119" s="360"/>
      <c r="L119" s="361">
        <f t="shared" si="31"/>
        <v>1608</v>
      </c>
      <c r="M119" s="362">
        <v>16.23</v>
      </c>
      <c r="N119" s="363">
        <v>7.3</v>
      </c>
      <c r="O119" s="364">
        <f t="shared" si="32"/>
        <v>118.479</v>
      </c>
      <c r="P119" s="375"/>
      <c r="Q119" s="375"/>
      <c r="R119" s="375"/>
      <c r="S119" s="375"/>
      <c r="T119" s="375"/>
      <c r="U119" s="375"/>
      <c r="V119" s="375"/>
      <c r="W119" s="375"/>
      <c r="X119" s="376"/>
      <c r="Y119" s="368"/>
      <c r="Z119" s="376"/>
      <c r="AA119" s="376"/>
      <c r="AB119" s="378"/>
      <c r="AC119" s="375"/>
      <c r="AD119" s="375"/>
      <c r="AE119" s="375"/>
    </row>
    <row r="120" s="264" customFormat="1" ht="12.75" spans="1:31">
      <c r="A120" s="354"/>
      <c r="B120" s="355"/>
      <c r="C120" s="356">
        <v>241118000074</v>
      </c>
      <c r="D120" s="357">
        <v>45617</v>
      </c>
      <c r="E120" s="355" t="s">
        <v>190</v>
      </c>
      <c r="F120" s="355" t="s">
        <v>207</v>
      </c>
      <c r="G120" s="355">
        <v>4.524</v>
      </c>
      <c r="H120" s="355">
        <v>2048</v>
      </c>
      <c r="I120" s="358">
        <v>10687.32</v>
      </c>
      <c r="J120" s="369"/>
      <c r="K120" s="360"/>
      <c r="L120" s="361"/>
      <c r="M120" s="360"/>
      <c r="N120" s="363"/>
      <c r="O120" s="364">
        <f t="shared" ref="O120:O125" si="33">SUBTOTAL(9,I120)</f>
        <v>10687.32</v>
      </c>
      <c r="P120" s="375"/>
      <c r="Q120" s="375"/>
      <c r="R120" s="375"/>
      <c r="S120" s="375"/>
      <c r="T120" s="375"/>
      <c r="U120" s="375"/>
      <c r="V120" s="375"/>
      <c r="W120" s="375"/>
      <c r="X120" s="376"/>
      <c r="Y120" s="368">
        <v>262.87</v>
      </c>
      <c r="Z120" s="376"/>
      <c r="AA120" s="376"/>
      <c r="AB120" s="378"/>
      <c r="AC120" s="375"/>
      <c r="AD120" s="375"/>
      <c r="AE120" s="375"/>
    </row>
    <row r="121" s="264" customFormat="1" ht="12.75" spans="1:31">
      <c r="A121" s="354"/>
      <c r="B121" s="355"/>
      <c r="C121" s="356">
        <v>241119000018</v>
      </c>
      <c r="D121" s="357">
        <v>45617</v>
      </c>
      <c r="E121" s="355" t="s">
        <v>44</v>
      </c>
      <c r="F121" s="355" t="s">
        <v>112</v>
      </c>
      <c r="G121" s="355">
        <v>0.3528</v>
      </c>
      <c r="H121" s="355">
        <v>60</v>
      </c>
      <c r="I121" s="364"/>
      <c r="J121" s="370">
        <v>142388.4</v>
      </c>
      <c r="K121" s="360"/>
      <c r="L121" s="361">
        <f t="shared" si="31"/>
        <v>1608</v>
      </c>
      <c r="M121" s="362">
        <v>88.55</v>
      </c>
      <c r="N121" s="363">
        <v>7.3</v>
      </c>
      <c r="O121" s="364">
        <f t="shared" si="32"/>
        <v>646.415</v>
      </c>
      <c r="P121" s="375"/>
      <c r="Q121" s="375"/>
      <c r="R121" s="375"/>
      <c r="S121" s="375"/>
      <c r="T121" s="375"/>
      <c r="U121" s="375"/>
      <c r="V121" s="375"/>
      <c r="W121" s="375"/>
      <c r="X121" s="376"/>
      <c r="Y121" s="368"/>
      <c r="Z121" s="376"/>
      <c r="AA121" s="376"/>
      <c r="AB121" s="378"/>
      <c r="AC121" s="375"/>
      <c r="AD121" s="375"/>
      <c r="AE121" s="375"/>
    </row>
    <row r="122" s="264" customFormat="1" ht="12.75" spans="1:31">
      <c r="A122" s="354"/>
      <c r="B122" s="355"/>
      <c r="C122" s="356">
        <v>241119000019</v>
      </c>
      <c r="D122" s="357">
        <v>45617</v>
      </c>
      <c r="E122" s="355" t="s">
        <v>44</v>
      </c>
      <c r="F122" s="355" t="s">
        <v>112</v>
      </c>
      <c r="G122" s="355">
        <v>0.8465</v>
      </c>
      <c r="H122" s="355">
        <v>76</v>
      </c>
      <c r="I122" s="364"/>
      <c r="J122" s="370">
        <v>341667.84</v>
      </c>
      <c r="K122" s="360"/>
      <c r="L122" s="361">
        <f t="shared" si="31"/>
        <v>1608</v>
      </c>
      <c r="M122" s="362">
        <v>212.48</v>
      </c>
      <c r="N122" s="363">
        <v>7.3</v>
      </c>
      <c r="O122" s="364">
        <f t="shared" si="32"/>
        <v>1551.104</v>
      </c>
      <c r="P122" s="375"/>
      <c r="Q122" s="375"/>
      <c r="R122" s="375"/>
      <c r="S122" s="375"/>
      <c r="T122" s="375"/>
      <c r="U122" s="375"/>
      <c r="V122" s="375"/>
      <c r="W122" s="375"/>
      <c r="X122" s="376"/>
      <c r="Y122" s="368"/>
      <c r="Z122" s="376"/>
      <c r="AA122" s="376"/>
      <c r="AB122" s="378"/>
      <c r="AC122" s="375"/>
      <c r="AD122" s="375"/>
      <c r="AE122" s="375"/>
    </row>
    <row r="123" s="264" customFormat="1" ht="12.75" spans="1:31">
      <c r="A123" s="354"/>
      <c r="B123" s="355"/>
      <c r="C123" s="356">
        <v>241119000020</v>
      </c>
      <c r="D123" s="357">
        <v>45617</v>
      </c>
      <c r="E123" s="355" t="s">
        <v>44</v>
      </c>
      <c r="F123" s="355" t="s">
        <v>112</v>
      </c>
      <c r="G123" s="355">
        <v>0.1709</v>
      </c>
      <c r="H123" s="355">
        <v>14</v>
      </c>
      <c r="I123" s="364"/>
      <c r="J123" s="370">
        <v>68967.12</v>
      </c>
      <c r="K123" s="360"/>
      <c r="L123" s="361">
        <f t="shared" si="31"/>
        <v>1608</v>
      </c>
      <c r="M123" s="362">
        <v>42.89</v>
      </c>
      <c r="N123" s="363">
        <v>7.3</v>
      </c>
      <c r="O123" s="364">
        <f t="shared" si="32"/>
        <v>313.097</v>
      </c>
      <c r="P123" s="375"/>
      <c r="Q123" s="375"/>
      <c r="R123" s="375"/>
      <c r="S123" s="375"/>
      <c r="T123" s="375"/>
      <c r="U123" s="375"/>
      <c r="V123" s="375"/>
      <c r="W123" s="375"/>
      <c r="X123" s="376"/>
      <c r="Y123" s="368"/>
      <c r="Z123" s="376"/>
      <c r="AA123" s="376"/>
      <c r="AB123" s="378"/>
      <c r="AC123" s="375"/>
      <c r="AD123" s="375"/>
      <c r="AE123" s="375"/>
    </row>
    <row r="124" s="264" customFormat="1" ht="12.75" spans="1:31">
      <c r="A124" s="354"/>
      <c r="B124" s="355"/>
      <c r="C124" s="356">
        <v>241120000030</v>
      </c>
      <c r="D124" s="357">
        <v>45617</v>
      </c>
      <c r="E124" s="355" t="s">
        <v>44</v>
      </c>
      <c r="F124" s="355" t="s">
        <v>59</v>
      </c>
      <c r="G124" s="355">
        <v>33.45</v>
      </c>
      <c r="H124" s="355">
        <v>4005</v>
      </c>
      <c r="I124" s="358">
        <v>52212.11</v>
      </c>
      <c r="J124" s="369"/>
      <c r="K124" s="360"/>
      <c r="L124" s="361"/>
      <c r="M124" s="362"/>
      <c r="N124" s="363"/>
      <c r="O124" s="364">
        <f t="shared" si="33"/>
        <v>52212.11</v>
      </c>
      <c r="P124" s="379"/>
      <c r="Q124" s="379"/>
      <c r="R124" s="379"/>
      <c r="S124" s="379"/>
      <c r="T124" s="379"/>
      <c r="U124" s="379"/>
      <c r="V124" s="379"/>
      <c r="W124" s="379"/>
      <c r="X124" s="377"/>
      <c r="Y124" s="368"/>
      <c r="Z124" s="377"/>
      <c r="AA124" s="377"/>
      <c r="AB124" s="380"/>
      <c r="AC124" s="379"/>
      <c r="AD124" s="379"/>
      <c r="AE124" s="379"/>
    </row>
    <row r="125" s="264" customFormat="1" ht="12.75" spans="1:31">
      <c r="A125" s="354" t="s">
        <v>351</v>
      </c>
      <c r="B125" s="355" t="s">
        <v>352</v>
      </c>
      <c r="C125" s="356">
        <v>241116000004</v>
      </c>
      <c r="D125" s="357">
        <v>45623</v>
      </c>
      <c r="E125" s="355" t="s">
        <v>49</v>
      </c>
      <c r="F125" s="355" t="s">
        <v>338</v>
      </c>
      <c r="G125" s="355">
        <v>0.076</v>
      </c>
      <c r="H125" s="355">
        <v>13</v>
      </c>
      <c r="I125" s="358">
        <v>250</v>
      </c>
      <c r="J125" s="369"/>
      <c r="K125" s="360"/>
      <c r="L125" s="361"/>
      <c r="M125" s="360"/>
      <c r="N125" s="363"/>
      <c r="O125" s="364">
        <f t="shared" si="33"/>
        <v>250</v>
      </c>
      <c r="P125" s="371">
        <f>SUM(O125:O145)</f>
        <v>157301.5148756</v>
      </c>
      <c r="Q125" s="372" t="s">
        <v>353</v>
      </c>
      <c r="R125" s="371">
        <v>47033.65</v>
      </c>
      <c r="S125" s="371"/>
      <c r="T125" s="371">
        <v>1900</v>
      </c>
      <c r="U125" s="371"/>
      <c r="V125" s="371"/>
      <c r="W125" s="371">
        <f>SUM(R125:V145)</f>
        <v>50529.18</v>
      </c>
      <c r="X125" s="373">
        <v>11081</v>
      </c>
      <c r="Y125" s="368">
        <v>59.52</v>
      </c>
      <c r="Z125" s="373">
        <v>53.57</v>
      </c>
      <c r="AA125" s="373">
        <f>SUM(X125:Z145)</f>
        <v>12164.08</v>
      </c>
      <c r="AB125" s="374">
        <v>7.3</v>
      </c>
      <c r="AC125" s="371">
        <f>SUM(AA125*AB125)</f>
        <v>88797.784</v>
      </c>
      <c r="AD125" s="371">
        <f>SUM(W125+AC125)</f>
        <v>139326.964</v>
      </c>
      <c r="AE125" s="371">
        <f>SUM(P125-AD125)</f>
        <v>17974.5508756</v>
      </c>
    </row>
    <row r="126" s="264" customFormat="1" ht="12.75" spans="1:31">
      <c r="A126" s="354"/>
      <c r="B126" s="355"/>
      <c r="C126" s="356">
        <v>241118000058</v>
      </c>
      <c r="D126" s="357">
        <v>45623</v>
      </c>
      <c r="E126" s="355" t="s">
        <v>44</v>
      </c>
      <c r="F126" s="355" t="s">
        <v>112</v>
      </c>
      <c r="G126" s="355">
        <v>0.5167</v>
      </c>
      <c r="H126" s="355">
        <v>71</v>
      </c>
      <c r="I126" s="364"/>
      <c r="J126" s="370">
        <v>214362.48</v>
      </c>
      <c r="K126" s="360"/>
      <c r="L126" s="361">
        <f t="shared" ref="L126:L131" si="34">SUM(J126/M126)</f>
        <v>1608</v>
      </c>
      <c r="M126" s="362">
        <v>133.31</v>
      </c>
      <c r="N126" s="363">
        <v>7.3</v>
      </c>
      <c r="O126" s="364">
        <f t="shared" ref="O126:O131" si="35">SUM(M126*N126)</f>
        <v>973.163</v>
      </c>
      <c r="P126" s="375"/>
      <c r="Q126" s="375"/>
      <c r="R126" s="375"/>
      <c r="S126" s="375"/>
      <c r="T126" s="375"/>
      <c r="U126" s="375"/>
      <c r="V126" s="375"/>
      <c r="W126" s="375"/>
      <c r="X126" s="376"/>
      <c r="Y126" s="368"/>
      <c r="Z126" s="376"/>
      <c r="AA126" s="376"/>
      <c r="AB126" s="378"/>
      <c r="AC126" s="375"/>
      <c r="AD126" s="375"/>
      <c r="AE126" s="375"/>
    </row>
    <row r="127" s="264" customFormat="1" ht="12.75" spans="1:31">
      <c r="A127" s="354"/>
      <c r="B127" s="355"/>
      <c r="C127" s="356">
        <v>241118000059</v>
      </c>
      <c r="D127" s="357">
        <v>45623</v>
      </c>
      <c r="E127" s="355" t="s">
        <v>44</v>
      </c>
      <c r="F127" s="355" t="s">
        <v>112</v>
      </c>
      <c r="G127" s="355">
        <v>0.8256</v>
      </c>
      <c r="H127" s="355">
        <v>31</v>
      </c>
      <c r="I127" s="364"/>
      <c r="J127" s="370">
        <v>342504</v>
      </c>
      <c r="K127" s="360"/>
      <c r="L127" s="361">
        <f t="shared" si="34"/>
        <v>1608</v>
      </c>
      <c r="M127" s="362">
        <v>213</v>
      </c>
      <c r="N127" s="363">
        <v>7.3</v>
      </c>
      <c r="O127" s="364">
        <f t="shared" si="35"/>
        <v>1554.9</v>
      </c>
      <c r="P127" s="375"/>
      <c r="Q127" s="375"/>
      <c r="R127" s="375"/>
      <c r="S127" s="375"/>
      <c r="T127" s="375"/>
      <c r="U127" s="375"/>
      <c r="V127" s="375"/>
      <c r="W127" s="375"/>
      <c r="X127" s="376"/>
      <c r="Y127" s="368"/>
      <c r="Z127" s="376"/>
      <c r="AA127" s="376"/>
      <c r="AB127" s="378"/>
      <c r="AC127" s="375"/>
      <c r="AD127" s="375"/>
      <c r="AE127" s="375"/>
    </row>
    <row r="128" s="264" customFormat="1" ht="12.75" spans="1:31">
      <c r="A128" s="354"/>
      <c r="B128" s="355"/>
      <c r="C128" s="356">
        <v>241118000060</v>
      </c>
      <c r="D128" s="357">
        <v>45623</v>
      </c>
      <c r="E128" s="355" t="s">
        <v>44</v>
      </c>
      <c r="F128" s="355" t="s">
        <v>112</v>
      </c>
      <c r="G128" s="355">
        <v>0.132</v>
      </c>
      <c r="H128" s="355">
        <v>50</v>
      </c>
      <c r="I128" s="364"/>
      <c r="J128" s="370">
        <v>54768.48</v>
      </c>
      <c r="K128" s="360"/>
      <c r="L128" s="361">
        <f t="shared" si="34"/>
        <v>1608</v>
      </c>
      <c r="M128" s="362">
        <v>34.06</v>
      </c>
      <c r="N128" s="363">
        <v>7.3</v>
      </c>
      <c r="O128" s="364">
        <f t="shared" si="35"/>
        <v>248.638</v>
      </c>
      <c r="P128" s="375"/>
      <c r="Q128" s="375"/>
      <c r="R128" s="375"/>
      <c r="S128" s="375"/>
      <c r="T128" s="375"/>
      <c r="U128" s="375"/>
      <c r="V128" s="375"/>
      <c r="W128" s="375"/>
      <c r="X128" s="376"/>
      <c r="Y128" s="368"/>
      <c r="Z128" s="376"/>
      <c r="AA128" s="376"/>
      <c r="AB128" s="378"/>
      <c r="AC128" s="375"/>
      <c r="AD128" s="375"/>
      <c r="AE128" s="375"/>
    </row>
    <row r="129" s="264" customFormat="1" ht="12.75" spans="1:31">
      <c r="A129" s="354"/>
      <c r="B129" s="355"/>
      <c r="C129" s="356">
        <v>241118000065</v>
      </c>
      <c r="D129" s="357">
        <v>45623</v>
      </c>
      <c r="E129" s="355" t="s">
        <v>44</v>
      </c>
      <c r="F129" s="355" t="s">
        <v>112</v>
      </c>
      <c r="G129" s="355">
        <v>1.2613</v>
      </c>
      <c r="H129" s="355">
        <v>266</v>
      </c>
      <c r="I129" s="364"/>
      <c r="J129" s="370">
        <v>523146.72</v>
      </c>
      <c r="K129" s="360"/>
      <c r="L129" s="361">
        <f t="shared" si="34"/>
        <v>1608</v>
      </c>
      <c r="M129" s="362">
        <v>325.34</v>
      </c>
      <c r="N129" s="363">
        <v>7.3</v>
      </c>
      <c r="O129" s="364">
        <f t="shared" si="35"/>
        <v>2374.982</v>
      </c>
      <c r="P129" s="375"/>
      <c r="Q129" s="375"/>
      <c r="R129" s="375"/>
      <c r="S129" s="375"/>
      <c r="T129" s="375"/>
      <c r="U129" s="375"/>
      <c r="V129" s="375"/>
      <c r="W129" s="375"/>
      <c r="X129" s="376"/>
      <c r="Y129" s="368"/>
      <c r="Z129" s="376"/>
      <c r="AA129" s="376"/>
      <c r="AB129" s="378"/>
      <c r="AC129" s="375"/>
      <c r="AD129" s="375"/>
      <c r="AE129" s="375"/>
    </row>
    <row r="130" s="264" customFormat="1" ht="12.75" spans="1:31">
      <c r="A130" s="354"/>
      <c r="B130" s="355"/>
      <c r="C130" s="356">
        <v>241118000067</v>
      </c>
      <c r="D130" s="357">
        <v>45623</v>
      </c>
      <c r="E130" s="355" t="s">
        <v>44</v>
      </c>
      <c r="F130" s="355" t="s">
        <v>112</v>
      </c>
      <c r="G130" s="355">
        <v>0.2938</v>
      </c>
      <c r="H130" s="355">
        <v>56</v>
      </c>
      <c r="I130" s="364"/>
      <c r="J130" s="370">
        <v>121886.4</v>
      </c>
      <c r="K130" s="360"/>
      <c r="L130" s="361">
        <f t="shared" si="34"/>
        <v>1608</v>
      </c>
      <c r="M130" s="362">
        <v>75.8</v>
      </c>
      <c r="N130" s="363">
        <v>7.3</v>
      </c>
      <c r="O130" s="364">
        <f t="shared" si="35"/>
        <v>553.34</v>
      </c>
      <c r="P130" s="375"/>
      <c r="Q130" s="375"/>
      <c r="R130" s="375"/>
      <c r="S130" s="375"/>
      <c r="T130" s="375"/>
      <c r="U130" s="375"/>
      <c r="V130" s="375"/>
      <c r="W130" s="375"/>
      <c r="X130" s="376"/>
      <c r="Y130" s="368"/>
      <c r="Z130" s="376"/>
      <c r="AA130" s="376"/>
      <c r="AB130" s="378"/>
      <c r="AC130" s="375"/>
      <c r="AD130" s="375"/>
      <c r="AE130" s="375"/>
    </row>
    <row r="131" s="264" customFormat="1" ht="12.75" spans="1:31">
      <c r="A131" s="354"/>
      <c r="B131" s="355"/>
      <c r="C131" s="356">
        <v>241127000014</v>
      </c>
      <c r="D131" s="357">
        <v>45623</v>
      </c>
      <c r="E131" s="355" t="s">
        <v>44</v>
      </c>
      <c r="F131" s="355" t="s">
        <v>112</v>
      </c>
      <c r="G131" s="355">
        <v>0.8732</v>
      </c>
      <c r="H131" s="355">
        <v>115</v>
      </c>
      <c r="I131" s="364"/>
      <c r="J131" s="370">
        <v>362266.32</v>
      </c>
      <c r="K131" s="360"/>
      <c r="L131" s="361">
        <f t="shared" si="34"/>
        <v>1608</v>
      </c>
      <c r="M131" s="362">
        <v>225.29</v>
      </c>
      <c r="N131" s="363">
        <v>7.3</v>
      </c>
      <c r="O131" s="364">
        <f t="shared" si="35"/>
        <v>1644.617</v>
      </c>
      <c r="P131" s="375"/>
      <c r="Q131" s="375"/>
      <c r="R131" s="375"/>
      <c r="S131" s="375"/>
      <c r="T131" s="375"/>
      <c r="U131" s="375"/>
      <c r="V131" s="375"/>
      <c r="W131" s="375"/>
      <c r="X131" s="376"/>
      <c r="Y131" s="368"/>
      <c r="Z131" s="376"/>
      <c r="AA131" s="376"/>
      <c r="AB131" s="378"/>
      <c r="AC131" s="375"/>
      <c r="AD131" s="375"/>
      <c r="AE131" s="375"/>
    </row>
    <row r="132" s="264" customFormat="1" ht="12.75" spans="1:31">
      <c r="A132" s="354"/>
      <c r="B132" s="355"/>
      <c r="C132" s="356">
        <v>241119000012</v>
      </c>
      <c r="D132" s="357">
        <v>45623</v>
      </c>
      <c r="E132" s="355" t="s">
        <v>42</v>
      </c>
      <c r="F132" s="355" t="s">
        <v>43</v>
      </c>
      <c r="G132" s="355">
        <v>0.9901</v>
      </c>
      <c r="H132" s="355">
        <v>222</v>
      </c>
      <c r="I132" s="358">
        <v>2046.8</v>
      </c>
      <c r="J132" s="369"/>
      <c r="K132" s="360"/>
      <c r="L132" s="361"/>
      <c r="M132" s="360"/>
      <c r="N132" s="363"/>
      <c r="O132" s="364">
        <f t="shared" ref="O132:O136" si="36">SUBTOTAL(9,I132)</f>
        <v>2046.8</v>
      </c>
      <c r="P132" s="375"/>
      <c r="Q132" s="375"/>
      <c r="R132" s="375"/>
      <c r="S132" s="375"/>
      <c r="T132" s="375"/>
      <c r="U132" s="375"/>
      <c r="V132" s="375"/>
      <c r="W132" s="375"/>
      <c r="X132" s="376"/>
      <c r="Y132" s="368"/>
      <c r="Z132" s="376"/>
      <c r="AA132" s="376"/>
      <c r="AB132" s="378"/>
      <c r="AC132" s="375"/>
      <c r="AD132" s="375"/>
      <c r="AE132" s="375"/>
    </row>
    <row r="133" s="264" customFormat="1" ht="12.75" spans="1:31">
      <c r="A133" s="354"/>
      <c r="B133" s="355"/>
      <c r="C133" s="356">
        <v>241119000021</v>
      </c>
      <c r="D133" s="357">
        <v>45623</v>
      </c>
      <c r="E133" s="355" t="s">
        <v>44</v>
      </c>
      <c r="F133" s="355" t="s">
        <v>112</v>
      </c>
      <c r="G133" s="355">
        <v>1.3774</v>
      </c>
      <c r="H133" s="355">
        <v>231</v>
      </c>
      <c r="I133" s="364"/>
      <c r="J133" s="370">
        <v>571274.16</v>
      </c>
      <c r="K133" s="360"/>
      <c r="L133" s="361">
        <f>SUM(J133/M133)</f>
        <v>1608</v>
      </c>
      <c r="M133" s="362">
        <v>355.27</v>
      </c>
      <c r="N133" s="363">
        <v>7.3</v>
      </c>
      <c r="O133" s="364">
        <f>SUM(M133*N133)</f>
        <v>2593.471</v>
      </c>
      <c r="P133" s="375"/>
      <c r="Q133" s="375"/>
      <c r="R133" s="375"/>
      <c r="S133" s="375"/>
      <c r="T133" s="375"/>
      <c r="U133" s="375"/>
      <c r="V133" s="375"/>
      <c r="W133" s="375"/>
      <c r="X133" s="376"/>
      <c r="Y133" s="368"/>
      <c r="Z133" s="376"/>
      <c r="AA133" s="376"/>
      <c r="AB133" s="378"/>
      <c r="AC133" s="375"/>
      <c r="AD133" s="375"/>
      <c r="AE133" s="375"/>
    </row>
    <row r="134" s="264" customFormat="1" ht="12.75" spans="1:31">
      <c r="A134" s="354"/>
      <c r="B134" s="355"/>
      <c r="C134" s="356">
        <v>241119000027</v>
      </c>
      <c r="D134" s="357">
        <v>45623</v>
      </c>
      <c r="E134" s="355" t="s">
        <v>49</v>
      </c>
      <c r="F134" s="355" t="s">
        <v>327</v>
      </c>
      <c r="G134" s="355">
        <v>0.0148</v>
      </c>
      <c r="H134" s="355">
        <v>6</v>
      </c>
      <c r="I134" s="358">
        <v>220</v>
      </c>
      <c r="J134" s="369"/>
      <c r="K134" s="360"/>
      <c r="L134" s="361"/>
      <c r="M134" s="360"/>
      <c r="N134" s="363"/>
      <c r="O134" s="364">
        <f t="shared" si="36"/>
        <v>220</v>
      </c>
      <c r="P134" s="375"/>
      <c r="Q134" s="375"/>
      <c r="R134" s="375"/>
      <c r="S134" s="375"/>
      <c r="T134" s="375"/>
      <c r="U134" s="379"/>
      <c r="V134" s="379"/>
      <c r="W134" s="375"/>
      <c r="X134" s="376"/>
      <c r="Y134" s="368"/>
      <c r="Z134" s="376"/>
      <c r="AA134" s="376"/>
      <c r="AB134" s="378"/>
      <c r="AC134" s="375"/>
      <c r="AD134" s="375"/>
      <c r="AE134" s="375"/>
    </row>
    <row r="135" s="264" customFormat="1" ht="12.75" spans="1:31">
      <c r="A135" s="354"/>
      <c r="B135" s="355"/>
      <c r="C135" s="356">
        <v>241120000029</v>
      </c>
      <c r="D135" s="357">
        <v>45623</v>
      </c>
      <c r="E135" s="355" t="s">
        <v>40</v>
      </c>
      <c r="F135" s="355" t="s">
        <v>130</v>
      </c>
      <c r="G135" s="355">
        <v>1.1485</v>
      </c>
      <c r="H135" s="355">
        <v>243</v>
      </c>
      <c r="I135" s="358">
        <v>4092.46</v>
      </c>
      <c r="J135" s="369"/>
      <c r="K135" s="360"/>
      <c r="L135" s="361"/>
      <c r="M135" s="360"/>
      <c r="N135" s="363"/>
      <c r="O135" s="364">
        <f t="shared" si="36"/>
        <v>4092.46</v>
      </c>
      <c r="P135" s="375"/>
      <c r="Q135" s="375"/>
      <c r="R135" s="375"/>
      <c r="S135" s="375"/>
      <c r="T135" s="375"/>
      <c r="U135" s="367">
        <v>230</v>
      </c>
      <c r="V135" s="367">
        <v>408</v>
      </c>
      <c r="W135" s="375"/>
      <c r="X135" s="376"/>
      <c r="Y135" s="368">
        <v>67.46</v>
      </c>
      <c r="Z135" s="376"/>
      <c r="AA135" s="376"/>
      <c r="AB135" s="378"/>
      <c r="AC135" s="375"/>
      <c r="AD135" s="375"/>
      <c r="AE135" s="375"/>
    </row>
    <row r="136" s="264" customFormat="1" ht="12.75" spans="1:31">
      <c r="A136" s="354"/>
      <c r="B136" s="355"/>
      <c r="C136" s="356">
        <v>241121000012</v>
      </c>
      <c r="D136" s="357">
        <v>45623</v>
      </c>
      <c r="E136" s="355" t="s">
        <v>40</v>
      </c>
      <c r="F136" s="355" t="s">
        <v>199</v>
      </c>
      <c r="G136" s="355">
        <v>21.5631</v>
      </c>
      <c r="H136" s="355">
        <v>10414</v>
      </c>
      <c r="I136" s="358">
        <v>62286</v>
      </c>
      <c r="J136" s="369"/>
      <c r="K136" s="360"/>
      <c r="L136" s="361"/>
      <c r="M136" s="360"/>
      <c r="N136" s="363"/>
      <c r="O136" s="364">
        <f t="shared" si="36"/>
        <v>62286</v>
      </c>
      <c r="P136" s="375"/>
      <c r="Q136" s="375"/>
      <c r="R136" s="375"/>
      <c r="S136" s="375"/>
      <c r="T136" s="375"/>
      <c r="U136" s="385">
        <v>800</v>
      </c>
      <c r="V136" s="386"/>
      <c r="W136" s="387"/>
      <c r="X136" s="376"/>
      <c r="Y136" s="368">
        <v>902.53</v>
      </c>
      <c r="Z136" s="376"/>
      <c r="AA136" s="376"/>
      <c r="AB136" s="378"/>
      <c r="AC136" s="375"/>
      <c r="AD136" s="375"/>
      <c r="AE136" s="375"/>
    </row>
    <row r="137" s="264" customFormat="1" ht="12.75" spans="1:31">
      <c r="A137" s="354"/>
      <c r="B137" s="355"/>
      <c r="C137" s="356">
        <v>241121000016</v>
      </c>
      <c r="D137" s="357">
        <v>45623</v>
      </c>
      <c r="E137" s="355" t="s">
        <v>52</v>
      </c>
      <c r="F137" s="355" t="s">
        <v>137</v>
      </c>
      <c r="G137" s="355">
        <v>2.2928</v>
      </c>
      <c r="H137" s="355">
        <v>1066</v>
      </c>
      <c r="I137" s="364"/>
      <c r="J137" s="370">
        <v>1070400</v>
      </c>
      <c r="K137" s="360"/>
      <c r="L137" s="361">
        <f t="shared" ref="L137:L141" si="37">SUM(J137/M137)</f>
        <v>1600</v>
      </c>
      <c r="M137" s="362">
        <v>669</v>
      </c>
      <c r="N137" s="363">
        <v>7.27</v>
      </c>
      <c r="O137" s="364">
        <f t="shared" ref="O137:O141" si="38">SUM(M137*N137)</f>
        <v>4863.63</v>
      </c>
      <c r="P137" s="375"/>
      <c r="Q137" s="375"/>
      <c r="R137" s="375"/>
      <c r="S137" s="375"/>
      <c r="T137" s="375"/>
      <c r="U137" s="388"/>
      <c r="V137" s="386"/>
      <c r="W137" s="387"/>
      <c r="X137" s="376"/>
      <c r="Y137" s="368"/>
      <c r="Z137" s="376"/>
      <c r="AA137" s="376"/>
      <c r="AB137" s="378"/>
      <c r="AC137" s="375"/>
      <c r="AD137" s="375"/>
      <c r="AE137" s="375"/>
    </row>
    <row r="138" s="264" customFormat="1" ht="12.75" spans="1:31">
      <c r="A138" s="354"/>
      <c r="B138" s="355"/>
      <c r="C138" s="356">
        <v>241124000008</v>
      </c>
      <c r="D138" s="357">
        <v>45623</v>
      </c>
      <c r="E138" s="355" t="s">
        <v>42</v>
      </c>
      <c r="F138" s="355" t="s">
        <v>43</v>
      </c>
      <c r="G138" s="389">
        <v>3.0541</v>
      </c>
      <c r="H138" s="390">
        <v>317</v>
      </c>
      <c r="I138" s="358">
        <v>6242.74</v>
      </c>
      <c r="J138" s="369"/>
      <c r="K138" s="360"/>
      <c r="L138" s="361"/>
      <c r="M138" s="360"/>
      <c r="N138" s="363"/>
      <c r="O138" s="364">
        <f t="shared" ref="O138:O142" si="39">SUBTOTAL(9,I138)</f>
        <v>6242.74</v>
      </c>
      <c r="P138" s="375"/>
      <c r="Q138" s="375"/>
      <c r="R138" s="375"/>
      <c r="S138" s="375"/>
      <c r="T138" s="375"/>
      <c r="U138" s="391"/>
      <c r="V138" s="386"/>
      <c r="W138" s="387"/>
      <c r="X138" s="376"/>
      <c r="Y138" s="368"/>
      <c r="Z138" s="376"/>
      <c r="AA138" s="376"/>
      <c r="AB138" s="378"/>
      <c r="AC138" s="375"/>
      <c r="AD138" s="375"/>
      <c r="AE138" s="375"/>
    </row>
    <row r="139" s="264" customFormat="1" ht="12.75" spans="1:31">
      <c r="A139" s="354"/>
      <c r="B139" s="355"/>
      <c r="C139" s="356">
        <v>241125000029</v>
      </c>
      <c r="D139" s="357">
        <v>45623</v>
      </c>
      <c r="E139" s="355" t="s">
        <v>37</v>
      </c>
      <c r="F139" s="355" t="s">
        <v>166</v>
      </c>
      <c r="G139" s="355">
        <v>0.2641</v>
      </c>
      <c r="H139" s="355">
        <v>318</v>
      </c>
      <c r="I139" s="364"/>
      <c r="J139" s="370">
        <v>228967.2</v>
      </c>
      <c r="K139" s="360"/>
      <c r="L139" s="361">
        <f t="shared" si="37"/>
        <v>1680.00024653316</v>
      </c>
      <c r="M139" s="362">
        <v>136.28998</v>
      </c>
      <c r="N139" s="363">
        <v>7.3</v>
      </c>
      <c r="O139" s="364">
        <f t="shared" si="38"/>
        <v>994.916854</v>
      </c>
      <c r="P139" s="375"/>
      <c r="Q139" s="375"/>
      <c r="R139" s="375"/>
      <c r="S139" s="375"/>
      <c r="T139" s="375"/>
      <c r="U139" s="391"/>
      <c r="V139" s="386"/>
      <c r="W139" s="387"/>
      <c r="X139" s="376"/>
      <c r="Y139" s="368"/>
      <c r="Z139" s="376"/>
      <c r="AA139" s="376"/>
      <c r="AB139" s="378"/>
      <c r="AC139" s="375"/>
      <c r="AD139" s="375"/>
      <c r="AE139" s="375"/>
    </row>
    <row r="140" s="264" customFormat="1" ht="12.75" spans="1:31">
      <c r="A140" s="354"/>
      <c r="B140" s="355"/>
      <c r="C140" s="356">
        <v>241125000035</v>
      </c>
      <c r="D140" s="357">
        <v>45623</v>
      </c>
      <c r="E140" s="355" t="s">
        <v>42</v>
      </c>
      <c r="F140" s="355" t="s">
        <v>43</v>
      </c>
      <c r="G140" s="355">
        <v>1.1856</v>
      </c>
      <c r="H140" s="355">
        <v>142</v>
      </c>
      <c r="I140" s="358">
        <v>2595.69</v>
      </c>
      <c r="J140" s="369"/>
      <c r="K140" s="360"/>
      <c r="L140" s="361"/>
      <c r="M140" s="360"/>
      <c r="N140" s="363"/>
      <c r="O140" s="364">
        <f t="shared" si="39"/>
        <v>2595.69</v>
      </c>
      <c r="P140" s="375"/>
      <c r="Q140" s="375"/>
      <c r="R140" s="375"/>
      <c r="S140" s="375"/>
      <c r="T140" s="375"/>
      <c r="U140" s="375"/>
      <c r="V140" s="367">
        <v>157.53</v>
      </c>
      <c r="W140" s="375"/>
      <c r="X140" s="376"/>
      <c r="Y140" s="368"/>
      <c r="Z140" s="376"/>
      <c r="AA140" s="376"/>
      <c r="AB140" s="378"/>
      <c r="AC140" s="375"/>
      <c r="AD140" s="375"/>
      <c r="AE140" s="375"/>
    </row>
    <row r="141" s="264" customFormat="1" ht="12.75" spans="1:31">
      <c r="A141" s="354"/>
      <c r="B141" s="355"/>
      <c r="C141" s="356">
        <v>241125000066</v>
      </c>
      <c r="D141" s="357">
        <v>45623</v>
      </c>
      <c r="E141" s="355" t="s">
        <v>189</v>
      </c>
      <c r="F141" s="355" t="s">
        <v>111</v>
      </c>
      <c r="G141" s="355">
        <v>0.151</v>
      </c>
      <c r="H141" s="355">
        <v>45</v>
      </c>
      <c r="I141" s="364"/>
      <c r="J141" s="370">
        <v>76000</v>
      </c>
      <c r="K141" s="360"/>
      <c r="L141" s="361">
        <f t="shared" si="37"/>
        <v>1677.70408315426</v>
      </c>
      <c r="M141" s="362">
        <v>45.300003</v>
      </c>
      <c r="N141" s="363">
        <v>7.2</v>
      </c>
      <c r="O141" s="364">
        <f t="shared" si="38"/>
        <v>326.1600216</v>
      </c>
      <c r="P141" s="375"/>
      <c r="Q141" s="375"/>
      <c r="R141" s="375"/>
      <c r="S141" s="375"/>
      <c r="T141" s="375"/>
      <c r="U141" s="375"/>
      <c r="V141" s="371"/>
      <c r="W141" s="375"/>
      <c r="X141" s="376"/>
      <c r="Y141" s="368"/>
      <c r="Z141" s="376"/>
      <c r="AA141" s="376"/>
      <c r="AB141" s="378"/>
      <c r="AC141" s="375"/>
      <c r="AD141" s="375"/>
      <c r="AE141" s="375"/>
    </row>
    <row r="142" s="264" customFormat="1" ht="12.75" spans="1:31">
      <c r="A142" s="354"/>
      <c r="B142" s="355"/>
      <c r="C142" s="356">
        <v>241126000027</v>
      </c>
      <c r="D142" s="357">
        <v>45623</v>
      </c>
      <c r="E142" s="355" t="s">
        <v>42</v>
      </c>
      <c r="F142" s="355" t="s">
        <v>43</v>
      </c>
      <c r="G142" s="355">
        <v>0.4539</v>
      </c>
      <c r="H142" s="355">
        <v>85</v>
      </c>
      <c r="I142" s="358">
        <v>921.06</v>
      </c>
      <c r="J142" s="369"/>
      <c r="K142" s="360"/>
      <c r="L142" s="361"/>
      <c r="M142" s="360"/>
      <c r="N142" s="363"/>
      <c r="O142" s="364">
        <f t="shared" si="39"/>
        <v>921.06</v>
      </c>
      <c r="P142" s="375"/>
      <c r="Q142" s="375"/>
      <c r="R142" s="375"/>
      <c r="S142" s="375"/>
      <c r="T142" s="375"/>
      <c r="U142" s="375"/>
      <c r="V142" s="375"/>
      <c r="W142" s="375"/>
      <c r="X142" s="376"/>
      <c r="Y142" s="368"/>
      <c r="Z142" s="376"/>
      <c r="AA142" s="376"/>
      <c r="AB142" s="378"/>
      <c r="AC142" s="375"/>
      <c r="AD142" s="375"/>
      <c r="AE142" s="375"/>
    </row>
    <row r="143" s="264" customFormat="1" ht="12.75" spans="1:31">
      <c r="A143" s="354"/>
      <c r="B143" s="355"/>
      <c r="C143" s="356">
        <v>241127000011</v>
      </c>
      <c r="D143" s="357">
        <v>45623</v>
      </c>
      <c r="E143" s="355" t="s">
        <v>44</v>
      </c>
      <c r="F143" s="355" t="s">
        <v>112</v>
      </c>
      <c r="G143" s="355">
        <v>2.5492</v>
      </c>
      <c r="H143" s="355">
        <v>684</v>
      </c>
      <c r="I143" s="364"/>
      <c r="J143" s="370">
        <v>1057565.52</v>
      </c>
      <c r="K143" s="360"/>
      <c r="L143" s="361">
        <f t="shared" ref="L143:L149" si="40">SUM(J143/M143)</f>
        <v>1608</v>
      </c>
      <c r="M143" s="362">
        <v>657.69</v>
      </c>
      <c r="N143" s="363">
        <v>7.3</v>
      </c>
      <c r="O143" s="364">
        <f t="shared" ref="O143:O149" si="41">SUM(M143*N143)</f>
        <v>4801.137</v>
      </c>
      <c r="P143" s="375"/>
      <c r="Q143" s="375"/>
      <c r="R143" s="375"/>
      <c r="S143" s="375"/>
      <c r="T143" s="375"/>
      <c r="U143" s="375"/>
      <c r="V143" s="375"/>
      <c r="W143" s="375"/>
      <c r="X143" s="376"/>
      <c r="Y143" s="368"/>
      <c r="Z143" s="376"/>
      <c r="AA143" s="376"/>
      <c r="AB143" s="378"/>
      <c r="AC143" s="375"/>
      <c r="AD143" s="375"/>
      <c r="AE143" s="375"/>
    </row>
    <row r="144" s="264" customFormat="1" ht="12.75" spans="1:31">
      <c r="A144" s="354"/>
      <c r="B144" s="355"/>
      <c r="C144" s="356">
        <v>241127000015</v>
      </c>
      <c r="D144" s="357">
        <v>45623</v>
      </c>
      <c r="E144" s="355" t="s">
        <v>44</v>
      </c>
      <c r="F144" s="355" t="s">
        <v>59</v>
      </c>
      <c r="G144" s="355">
        <v>33.06</v>
      </c>
      <c r="H144" s="355">
        <v>5293</v>
      </c>
      <c r="I144" s="358">
        <v>51603.35</v>
      </c>
      <c r="J144" s="369"/>
      <c r="K144" s="360"/>
      <c r="L144" s="361"/>
      <c r="M144" s="362"/>
      <c r="N144" s="363"/>
      <c r="O144" s="364">
        <f>SUBTOTAL(9,I144)</f>
        <v>51603.35</v>
      </c>
      <c r="P144" s="375"/>
      <c r="Q144" s="375"/>
      <c r="R144" s="375"/>
      <c r="S144" s="375"/>
      <c r="T144" s="375"/>
      <c r="U144" s="375"/>
      <c r="V144" s="375"/>
      <c r="W144" s="375"/>
      <c r="X144" s="376"/>
      <c r="Y144" s="368"/>
      <c r="Z144" s="376"/>
      <c r="AA144" s="376"/>
      <c r="AB144" s="378"/>
      <c r="AC144" s="375"/>
      <c r="AD144" s="375"/>
      <c r="AE144" s="375"/>
    </row>
    <row r="145" s="264" customFormat="1" ht="12.75" spans="1:31">
      <c r="A145" s="354"/>
      <c r="B145" s="355"/>
      <c r="C145" s="356">
        <v>241127000027</v>
      </c>
      <c r="D145" s="357">
        <v>45623</v>
      </c>
      <c r="E145" s="355" t="s">
        <v>190</v>
      </c>
      <c r="F145" s="355" t="s">
        <v>196</v>
      </c>
      <c r="G145" s="355">
        <v>3.145</v>
      </c>
      <c r="H145" s="355">
        <v>1753</v>
      </c>
      <c r="I145" s="358">
        <v>6114.46</v>
      </c>
      <c r="J145" s="369"/>
      <c r="K145" s="360"/>
      <c r="L145" s="361"/>
      <c r="M145" s="360"/>
      <c r="N145" s="363"/>
      <c r="O145" s="364">
        <f>SUBTOTAL(9,I145)</f>
        <v>6114.46</v>
      </c>
      <c r="P145" s="379"/>
      <c r="Q145" s="379"/>
      <c r="R145" s="379"/>
      <c r="S145" s="379"/>
      <c r="T145" s="379"/>
      <c r="U145" s="379"/>
      <c r="V145" s="379"/>
      <c r="W145" s="379"/>
      <c r="X145" s="377"/>
      <c r="Y145" s="368"/>
      <c r="Z145" s="377"/>
      <c r="AA145" s="377"/>
      <c r="AB145" s="380"/>
      <c r="AC145" s="379"/>
      <c r="AD145" s="379"/>
      <c r="AE145" s="379"/>
    </row>
    <row r="146" s="264" customFormat="1" ht="12.75" spans="1:31">
      <c r="A146" s="354" t="s">
        <v>354</v>
      </c>
      <c r="B146" s="355" t="s">
        <v>355</v>
      </c>
      <c r="C146" s="356">
        <v>240925000017</v>
      </c>
      <c r="D146" s="357">
        <v>45631</v>
      </c>
      <c r="E146" s="355" t="s">
        <v>189</v>
      </c>
      <c r="F146" s="355" t="s">
        <v>111</v>
      </c>
      <c r="G146" s="355">
        <v>0.1799</v>
      </c>
      <c r="H146" s="355">
        <v>17</v>
      </c>
      <c r="I146" s="364"/>
      <c r="J146" s="383">
        <v>84600</v>
      </c>
      <c r="K146" s="360"/>
      <c r="L146" s="361">
        <f t="shared" si="40"/>
        <v>1679.57134004083</v>
      </c>
      <c r="M146" s="362">
        <v>50.369995</v>
      </c>
      <c r="N146" s="355">
        <v>7.27</v>
      </c>
      <c r="O146" s="364">
        <f t="shared" si="41"/>
        <v>366.18986365</v>
      </c>
      <c r="P146" s="371">
        <f>SUM(O146:O181)</f>
        <v>162259.23832881</v>
      </c>
      <c r="Q146" s="372" t="s">
        <v>356</v>
      </c>
      <c r="R146" s="371">
        <v>46963.25</v>
      </c>
      <c r="S146" s="371"/>
      <c r="T146" s="371">
        <v>2500</v>
      </c>
      <c r="U146" s="371"/>
      <c r="V146" s="371"/>
      <c r="W146" s="371">
        <f>SUM(R146:V181)</f>
        <v>50705.25</v>
      </c>
      <c r="X146" s="373">
        <v>11081</v>
      </c>
      <c r="Y146" s="368"/>
      <c r="Z146" s="373"/>
      <c r="AA146" s="373">
        <f>SUM(X146:Z181)</f>
        <v>11589.99</v>
      </c>
      <c r="AB146" s="374">
        <v>7.24</v>
      </c>
      <c r="AC146" s="371">
        <f>SUM(AA146*AB146)</f>
        <v>83911.5276</v>
      </c>
      <c r="AD146" s="371">
        <f>SUM(W146+AC146)</f>
        <v>134616.7776</v>
      </c>
      <c r="AE146" s="371">
        <f>SUM(P146-AD146)</f>
        <v>27642.46072881</v>
      </c>
    </row>
    <row r="147" s="264" customFormat="1" ht="12.75" spans="1:31">
      <c r="A147" s="354"/>
      <c r="B147" s="355"/>
      <c r="C147" s="356">
        <v>241118000063</v>
      </c>
      <c r="D147" s="357">
        <v>45631</v>
      </c>
      <c r="E147" s="355" t="s">
        <v>44</v>
      </c>
      <c r="F147" s="355" t="s">
        <v>112</v>
      </c>
      <c r="G147" s="355">
        <v>1.6585</v>
      </c>
      <c r="H147" s="355">
        <v>270</v>
      </c>
      <c r="I147" s="364"/>
      <c r="J147" s="370">
        <v>719837.28</v>
      </c>
      <c r="K147" s="360"/>
      <c r="L147" s="361">
        <f t="shared" si="40"/>
        <v>1608</v>
      </c>
      <c r="M147" s="362">
        <v>447.66</v>
      </c>
      <c r="N147" s="363">
        <v>7.3</v>
      </c>
      <c r="O147" s="364">
        <f t="shared" si="41"/>
        <v>3267.918</v>
      </c>
      <c r="P147" s="375"/>
      <c r="Q147" s="375"/>
      <c r="R147" s="375"/>
      <c r="S147" s="375"/>
      <c r="T147" s="375"/>
      <c r="U147" s="375"/>
      <c r="V147" s="375"/>
      <c r="W147" s="375"/>
      <c r="X147" s="376"/>
      <c r="Y147" s="368"/>
      <c r="Z147" s="376"/>
      <c r="AA147" s="376"/>
      <c r="AB147" s="378"/>
      <c r="AC147" s="375"/>
      <c r="AD147" s="375"/>
      <c r="AE147" s="375"/>
    </row>
    <row r="148" s="264" customFormat="1" ht="12.75" spans="1:31">
      <c r="A148" s="354"/>
      <c r="B148" s="355"/>
      <c r="C148" s="356">
        <v>241118000066</v>
      </c>
      <c r="D148" s="357">
        <v>45631</v>
      </c>
      <c r="E148" s="355" t="s">
        <v>44</v>
      </c>
      <c r="F148" s="355" t="s">
        <v>112</v>
      </c>
      <c r="G148" s="355">
        <v>1.2581</v>
      </c>
      <c r="H148" s="355">
        <v>125</v>
      </c>
      <c r="I148" s="364"/>
      <c r="J148" s="370">
        <v>546173.28</v>
      </c>
      <c r="K148" s="360"/>
      <c r="L148" s="361">
        <f t="shared" si="40"/>
        <v>1608</v>
      </c>
      <c r="M148" s="362">
        <v>339.66</v>
      </c>
      <c r="N148" s="363">
        <v>7.3</v>
      </c>
      <c r="O148" s="364">
        <f t="shared" si="41"/>
        <v>2479.518</v>
      </c>
      <c r="P148" s="375"/>
      <c r="Q148" s="375"/>
      <c r="R148" s="375"/>
      <c r="S148" s="375"/>
      <c r="T148" s="375"/>
      <c r="U148" s="375"/>
      <c r="V148" s="375"/>
      <c r="W148" s="375"/>
      <c r="X148" s="376"/>
      <c r="Y148" s="368"/>
      <c r="Z148" s="376"/>
      <c r="AA148" s="376"/>
      <c r="AB148" s="378"/>
      <c r="AC148" s="375"/>
      <c r="AD148" s="375"/>
      <c r="AE148" s="375"/>
    </row>
    <row r="149" s="264" customFormat="1" ht="12.75" spans="1:31">
      <c r="A149" s="354"/>
      <c r="B149" s="355"/>
      <c r="C149" s="356">
        <v>241120000012</v>
      </c>
      <c r="D149" s="357">
        <v>45631</v>
      </c>
      <c r="E149" s="355" t="s">
        <v>37</v>
      </c>
      <c r="F149" s="355" t="s">
        <v>166</v>
      </c>
      <c r="G149" s="355">
        <v>0.1878</v>
      </c>
      <c r="H149" s="355">
        <v>62</v>
      </c>
      <c r="I149" s="364"/>
      <c r="J149" s="370">
        <v>94651.2</v>
      </c>
      <c r="K149" s="360"/>
      <c r="L149" s="361">
        <f t="shared" si="40"/>
        <v>1680.00011927583</v>
      </c>
      <c r="M149" s="362">
        <v>56.339996</v>
      </c>
      <c r="N149" s="355">
        <v>7.3</v>
      </c>
      <c r="O149" s="364">
        <f t="shared" si="41"/>
        <v>411.2819708</v>
      </c>
      <c r="P149" s="375"/>
      <c r="Q149" s="375"/>
      <c r="R149" s="375"/>
      <c r="S149" s="375"/>
      <c r="T149" s="375"/>
      <c r="U149" s="379"/>
      <c r="V149" s="375"/>
      <c r="W149" s="375"/>
      <c r="X149" s="376"/>
      <c r="Y149" s="368"/>
      <c r="Z149" s="376"/>
      <c r="AA149" s="376"/>
      <c r="AB149" s="378"/>
      <c r="AC149" s="375"/>
      <c r="AD149" s="375"/>
      <c r="AE149" s="375"/>
    </row>
    <row r="150" s="264" customFormat="1" ht="12.75" spans="1:31">
      <c r="A150" s="354"/>
      <c r="B150" s="355"/>
      <c r="C150" s="356">
        <v>241120000023</v>
      </c>
      <c r="D150" s="357">
        <v>45631</v>
      </c>
      <c r="E150" s="355" t="s">
        <v>40</v>
      </c>
      <c r="F150" s="355" t="s">
        <v>93</v>
      </c>
      <c r="G150" s="355">
        <v>1.3317</v>
      </c>
      <c r="H150" s="355">
        <v>326</v>
      </c>
      <c r="I150" s="358">
        <v>4965</v>
      </c>
      <c r="J150" s="369"/>
      <c r="K150" s="360"/>
      <c r="L150" s="361"/>
      <c r="M150" s="360"/>
      <c r="N150" s="355"/>
      <c r="O150" s="364">
        <f t="shared" ref="O150:O156" si="42">SUBTOTAL(9,I150)</f>
        <v>4965</v>
      </c>
      <c r="P150" s="375"/>
      <c r="Q150" s="375"/>
      <c r="R150" s="375"/>
      <c r="S150" s="375"/>
      <c r="T150" s="375"/>
      <c r="U150" s="367">
        <v>500</v>
      </c>
      <c r="V150" s="375"/>
      <c r="W150" s="375"/>
      <c r="X150" s="376"/>
      <c r="Y150" s="368"/>
      <c r="Z150" s="376"/>
      <c r="AA150" s="376"/>
      <c r="AB150" s="378"/>
      <c r="AC150" s="375"/>
      <c r="AD150" s="375"/>
      <c r="AE150" s="375"/>
    </row>
    <row r="151" s="264" customFormat="1" ht="12.75" spans="1:31">
      <c r="A151" s="354"/>
      <c r="B151" s="355"/>
      <c r="C151" s="356">
        <v>241121000013</v>
      </c>
      <c r="D151" s="357">
        <v>45631</v>
      </c>
      <c r="E151" s="355" t="s">
        <v>40</v>
      </c>
      <c r="F151" s="355" t="s">
        <v>93</v>
      </c>
      <c r="G151" s="355">
        <v>2.2982</v>
      </c>
      <c r="H151" s="355">
        <v>612</v>
      </c>
      <c r="I151" s="358">
        <v>7707</v>
      </c>
      <c r="J151" s="369"/>
      <c r="K151" s="360"/>
      <c r="L151" s="361"/>
      <c r="M151" s="360"/>
      <c r="N151" s="355"/>
      <c r="O151" s="364">
        <f t="shared" si="42"/>
        <v>7707</v>
      </c>
      <c r="P151" s="375"/>
      <c r="Q151" s="375"/>
      <c r="R151" s="375"/>
      <c r="S151" s="375"/>
      <c r="T151" s="375"/>
      <c r="U151" s="367">
        <v>400</v>
      </c>
      <c r="V151" s="375"/>
      <c r="W151" s="375"/>
      <c r="X151" s="376"/>
      <c r="Y151" s="368"/>
      <c r="Z151" s="376"/>
      <c r="AA151" s="376"/>
      <c r="AB151" s="378"/>
      <c r="AC151" s="375"/>
      <c r="AD151" s="375"/>
      <c r="AE151" s="375"/>
    </row>
    <row r="152" s="264" customFormat="1" ht="12.75" spans="1:31">
      <c r="A152" s="354"/>
      <c r="B152" s="355"/>
      <c r="C152" s="356">
        <v>241121000018</v>
      </c>
      <c r="D152" s="357">
        <v>45631</v>
      </c>
      <c r="E152" s="355" t="s">
        <v>40</v>
      </c>
      <c r="F152" s="355" t="s">
        <v>130</v>
      </c>
      <c r="G152" s="355">
        <v>0.0768</v>
      </c>
      <c r="H152" s="355">
        <v>14</v>
      </c>
      <c r="I152" s="358">
        <v>296.22</v>
      </c>
      <c r="J152" s="369"/>
      <c r="K152" s="360"/>
      <c r="L152" s="361"/>
      <c r="M152" s="360"/>
      <c r="N152" s="355"/>
      <c r="O152" s="364">
        <f t="shared" si="42"/>
        <v>296.22</v>
      </c>
      <c r="P152" s="375"/>
      <c r="Q152" s="375"/>
      <c r="R152" s="375"/>
      <c r="S152" s="375"/>
      <c r="T152" s="375"/>
      <c r="U152" s="371"/>
      <c r="V152" s="375"/>
      <c r="W152" s="375"/>
      <c r="X152" s="376"/>
      <c r="Y152" s="368">
        <v>4.51</v>
      </c>
      <c r="Z152" s="376"/>
      <c r="AA152" s="376"/>
      <c r="AB152" s="378"/>
      <c r="AC152" s="375"/>
      <c r="AD152" s="375"/>
      <c r="AE152" s="375"/>
    </row>
    <row r="153" s="264" customFormat="1" ht="12.75" spans="1:31">
      <c r="A153" s="354"/>
      <c r="B153" s="355"/>
      <c r="C153" s="356">
        <v>241121000019</v>
      </c>
      <c r="D153" s="357">
        <v>45631</v>
      </c>
      <c r="E153" s="355" t="s">
        <v>40</v>
      </c>
      <c r="F153" s="355" t="s">
        <v>93</v>
      </c>
      <c r="G153" s="355">
        <v>1.4834</v>
      </c>
      <c r="H153" s="355">
        <v>471</v>
      </c>
      <c r="I153" s="358">
        <v>3598</v>
      </c>
      <c r="J153" s="369"/>
      <c r="K153" s="360"/>
      <c r="L153" s="361"/>
      <c r="M153" s="360"/>
      <c r="N153" s="355"/>
      <c r="O153" s="364">
        <f t="shared" si="42"/>
        <v>3598</v>
      </c>
      <c r="P153" s="375"/>
      <c r="Q153" s="375"/>
      <c r="R153" s="375"/>
      <c r="S153" s="375"/>
      <c r="T153" s="375"/>
      <c r="U153" s="375"/>
      <c r="V153" s="375"/>
      <c r="W153" s="375"/>
      <c r="X153" s="376"/>
      <c r="Y153" s="368"/>
      <c r="Z153" s="376"/>
      <c r="AA153" s="376"/>
      <c r="AB153" s="378"/>
      <c r="AC153" s="375"/>
      <c r="AD153" s="375"/>
      <c r="AE153" s="375"/>
    </row>
    <row r="154" s="264" customFormat="1" ht="12.75" spans="1:31">
      <c r="A154" s="354"/>
      <c r="B154" s="355"/>
      <c r="C154" s="356">
        <v>241123000017</v>
      </c>
      <c r="D154" s="357">
        <v>45631</v>
      </c>
      <c r="E154" s="355" t="s">
        <v>49</v>
      </c>
      <c r="F154" s="355" t="s">
        <v>117</v>
      </c>
      <c r="G154" s="355">
        <v>0.3608</v>
      </c>
      <c r="H154" s="355">
        <v>202</v>
      </c>
      <c r="I154" s="358">
        <v>792</v>
      </c>
      <c r="J154" s="369"/>
      <c r="K154" s="360"/>
      <c r="L154" s="361"/>
      <c r="M154" s="360"/>
      <c r="N154" s="355"/>
      <c r="O154" s="364">
        <f t="shared" si="42"/>
        <v>792</v>
      </c>
      <c r="P154" s="375"/>
      <c r="Q154" s="375"/>
      <c r="R154" s="375"/>
      <c r="S154" s="375"/>
      <c r="T154" s="375"/>
      <c r="U154" s="379"/>
      <c r="V154" s="375"/>
      <c r="W154" s="375"/>
      <c r="X154" s="376"/>
      <c r="Y154" s="368"/>
      <c r="Z154" s="376"/>
      <c r="AA154" s="376"/>
      <c r="AB154" s="378"/>
      <c r="AC154" s="375"/>
      <c r="AD154" s="375"/>
      <c r="AE154" s="375"/>
    </row>
    <row r="155" s="264" customFormat="1" ht="12.75" spans="1:31">
      <c r="A155" s="354"/>
      <c r="B155" s="355"/>
      <c r="C155" s="356">
        <v>241123000018</v>
      </c>
      <c r="D155" s="357">
        <v>45631</v>
      </c>
      <c r="E155" s="355" t="s">
        <v>37</v>
      </c>
      <c r="F155" s="355" t="s">
        <v>121</v>
      </c>
      <c r="G155" s="355">
        <v>11.1459</v>
      </c>
      <c r="H155" s="355">
        <v>16993</v>
      </c>
      <c r="I155" s="358">
        <v>36986</v>
      </c>
      <c r="J155" s="369"/>
      <c r="K155" s="360"/>
      <c r="L155" s="361"/>
      <c r="M155" s="360"/>
      <c r="N155" s="355"/>
      <c r="O155" s="364">
        <f t="shared" si="42"/>
        <v>36986</v>
      </c>
      <c r="P155" s="375"/>
      <c r="Q155" s="375"/>
      <c r="R155" s="375"/>
      <c r="S155" s="375"/>
      <c r="T155" s="375"/>
      <c r="U155" s="367">
        <v>280</v>
      </c>
      <c r="V155" s="375"/>
      <c r="W155" s="375"/>
      <c r="X155" s="376"/>
      <c r="Y155" s="368">
        <v>288.81</v>
      </c>
      <c r="Z155" s="376"/>
      <c r="AA155" s="376"/>
      <c r="AB155" s="378"/>
      <c r="AC155" s="375"/>
      <c r="AD155" s="375"/>
      <c r="AE155" s="375"/>
    </row>
    <row r="156" s="264" customFormat="1" ht="12.75" spans="1:31">
      <c r="A156" s="354"/>
      <c r="B156" s="355"/>
      <c r="C156" s="356">
        <v>241125000061</v>
      </c>
      <c r="D156" s="357">
        <v>45631</v>
      </c>
      <c r="E156" s="355" t="s">
        <v>49</v>
      </c>
      <c r="F156" s="355" t="s">
        <v>221</v>
      </c>
      <c r="G156" s="355">
        <v>0.8795</v>
      </c>
      <c r="H156" s="355">
        <v>210</v>
      </c>
      <c r="I156" s="358">
        <v>2670.5</v>
      </c>
      <c r="J156" s="369"/>
      <c r="K156" s="360"/>
      <c r="L156" s="361"/>
      <c r="M156" s="360"/>
      <c r="N156" s="355"/>
      <c r="O156" s="364">
        <f t="shared" si="42"/>
        <v>2670.5</v>
      </c>
      <c r="P156" s="375"/>
      <c r="Q156" s="375"/>
      <c r="R156" s="375"/>
      <c r="S156" s="375"/>
      <c r="T156" s="375"/>
      <c r="U156" s="371"/>
      <c r="V156" s="375"/>
      <c r="W156" s="375"/>
      <c r="X156" s="376"/>
      <c r="Y156" s="368">
        <v>104.36</v>
      </c>
      <c r="Z156" s="376"/>
      <c r="AA156" s="376"/>
      <c r="AB156" s="378"/>
      <c r="AC156" s="375"/>
      <c r="AD156" s="375"/>
      <c r="AE156" s="375"/>
    </row>
    <row r="157" s="264" customFormat="1" ht="12.75" spans="1:31">
      <c r="A157" s="354"/>
      <c r="B157" s="355"/>
      <c r="C157" s="356">
        <v>241125000067</v>
      </c>
      <c r="D157" s="357">
        <v>45631</v>
      </c>
      <c r="E157" s="355" t="s">
        <v>189</v>
      </c>
      <c r="F157" s="355" t="s">
        <v>357</v>
      </c>
      <c r="G157" s="355">
        <v>1.0967</v>
      </c>
      <c r="H157" s="355">
        <v>203</v>
      </c>
      <c r="I157" s="364"/>
      <c r="J157" s="370">
        <v>552736</v>
      </c>
      <c r="K157" s="360"/>
      <c r="L157" s="361">
        <f t="shared" ref="L157:L159" si="43">SUM(J157/M157)</f>
        <v>1679.99767058738</v>
      </c>
      <c r="M157" s="362">
        <v>329.00998</v>
      </c>
      <c r="N157" s="355">
        <v>7.27</v>
      </c>
      <c r="O157" s="364">
        <f t="shared" ref="O157:O159" si="44">SUM(M157*N157)</f>
        <v>2391.9025546</v>
      </c>
      <c r="P157" s="375"/>
      <c r="Q157" s="375"/>
      <c r="R157" s="375"/>
      <c r="S157" s="375"/>
      <c r="T157" s="375"/>
      <c r="U157" s="375"/>
      <c r="V157" s="375"/>
      <c r="W157" s="375"/>
      <c r="X157" s="376"/>
      <c r="Y157" s="368"/>
      <c r="Z157" s="376"/>
      <c r="AA157" s="376"/>
      <c r="AB157" s="378"/>
      <c r="AC157" s="375"/>
      <c r="AD157" s="375"/>
      <c r="AE157" s="375"/>
    </row>
    <row r="158" s="264" customFormat="1" ht="12.75" spans="1:31">
      <c r="A158" s="354"/>
      <c r="B158" s="355"/>
      <c r="C158" s="356">
        <v>241127000012</v>
      </c>
      <c r="D158" s="357">
        <v>45631</v>
      </c>
      <c r="E158" s="355" t="s">
        <v>44</v>
      </c>
      <c r="F158" s="355" t="s">
        <v>112</v>
      </c>
      <c r="G158" s="355">
        <v>3.0636</v>
      </c>
      <c r="H158" s="355">
        <v>768</v>
      </c>
      <c r="I158" s="364"/>
      <c r="J158" s="370">
        <v>1330089.36</v>
      </c>
      <c r="K158" s="360"/>
      <c r="L158" s="361">
        <f t="shared" si="43"/>
        <v>1608</v>
      </c>
      <c r="M158" s="362">
        <v>827.17</v>
      </c>
      <c r="N158" s="363">
        <v>7.3</v>
      </c>
      <c r="O158" s="364">
        <f t="shared" si="44"/>
        <v>6038.341</v>
      </c>
      <c r="P158" s="375"/>
      <c r="Q158" s="375"/>
      <c r="R158" s="375"/>
      <c r="S158" s="375"/>
      <c r="T158" s="375"/>
      <c r="U158" s="375"/>
      <c r="V158" s="375"/>
      <c r="W158" s="375"/>
      <c r="X158" s="376"/>
      <c r="Y158" s="368"/>
      <c r="Z158" s="376"/>
      <c r="AA158" s="376"/>
      <c r="AB158" s="378"/>
      <c r="AC158" s="375"/>
      <c r="AD158" s="375"/>
      <c r="AE158" s="375"/>
    </row>
    <row r="159" s="264" customFormat="1" ht="12.75" spans="1:31">
      <c r="A159" s="354"/>
      <c r="B159" s="355"/>
      <c r="C159" s="356">
        <v>241127000014</v>
      </c>
      <c r="D159" s="357">
        <v>45631</v>
      </c>
      <c r="E159" s="355" t="s">
        <v>44</v>
      </c>
      <c r="F159" s="355" t="s">
        <v>112</v>
      </c>
      <c r="G159" s="355">
        <v>0.4158</v>
      </c>
      <c r="H159" s="355">
        <v>55</v>
      </c>
      <c r="I159" s="364"/>
      <c r="J159" s="370">
        <v>180530.16</v>
      </c>
      <c r="K159" s="360"/>
      <c r="L159" s="361">
        <f t="shared" si="43"/>
        <v>1608</v>
      </c>
      <c r="M159" s="362">
        <v>112.27</v>
      </c>
      <c r="N159" s="363">
        <v>7.3</v>
      </c>
      <c r="O159" s="364">
        <f t="shared" si="44"/>
        <v>819.571</v>
      </c>
      <c r="P159" s="375"/>
      <c r="Q159" s="375"/>
      <c r="R159" s="375"/>
      <c r="S159" s="375"/>
      <c r="T159" s="375"/>
      <c r="U159" s="375"/>
      <c r="V159" s="379"/>
      <c r="W159" s="375"/>
      <c r="X159" s="376"/>
      <c r="Y159" s="368"/>
      <c r="Z159" s="376"/>
      <c r="AA159" s="376"/>
      <c r="AB159" s="378"/>
      <c r="AC159" s="375"/>
      <c r="AD159" s="375"/>
      <c r="AE159" s="375"/>
    </row>
    <row r="160" s="264" customFormat="1" ht="12.75" spans="1:31">
      <c r="A160" s="354"/>
      <c r="B160" s="355"/>
      <c r="C160" s="356">
        <v>241127000042</v>
      </c>
      <c r="D160" s="357">
        <v>45631</v>
      </c>
      <c r="E160" s="355" t="s">
        <v>49</v>
      </c>
      <c r="F160" s="355" t="s">
        <v>358</v>
      </c>
      <c r="G160" s="355">
        <v>0.3625</v>
      </c>
      <c r="H160" s="355">
        <v>15</v>
      </c>
      <c r="I160" s="358">
        <v>870</v>
      </c>
      <c r="J160" s="369"/>
      <c r="K160" s="360"/>
      <c r="L160" s="361"/>
      <c r="M160" s="360"/>
      <c r="N160" s="355"/>
      <c r="O160" s="364">
        <f t="shared" ref="O160:O165" si="45">SUBTOTAL(9,I160)</f>
        <v>870</v>
      </c>
      <c r="P160" s="375"/>
      <c r="Q160" s="375"/>
      <c r="R160" s="375"/>
      <c r="S160" s="375"/>
      <c r="T160" s="375"/>
      <c r="U160" s="375"/>
      <c r="V160" s="367">
        <f>SUM(26+36)</f>
        <v>62</v>
      </c>
      <c r="W160" s="375"/>
      <c r="X160" s="376"/>
      <c r="Y160" s="368"/>
      <c r="Z160" s="376"/>
      <c r="AA160" s="376"/>
      <c r="AB160" s="378"/>
      <c r="AC160" s="375"/>
      <c r="AD160" s="375"/>
      <c r="AE160" s="375"/>
    </row>
    <row r="161" s="264" customFormat="1" ht="12.75" spans="1:31">
      <c r="A161" s="354"/>
      <c r="B161" s="355"/>
      <c r="C161" s="356">
        <v>241127000053</v>
      </c>
      <c r="D161" s="357">
        <v>45631</v>
      </c>
      <c r="E161" s="355" t="s">
        <v>49</v>
      </c>
      <c r="F161" s="355" t="s">
        <v>84</v>
      </c>
      <c r="G161" s="355">
        <v>0.6069</v>
      </c>
      <c r="H161" s="355">
        <v>165</v>
      </c>
      <c r="I161" s="358">
        <v>2195</v>
      </c>
      <c r="J161" s="369"/>
      <c r="K161" s="360"/>
      <c r="L161" s="361"/>
      <c r="M161" s="360"/>
      <c r="N161" s="355"/>
      <c r="O161" s="364">
        <f t="shared" si="45"/>
        <v>2195</v>
      </c>
      <c r="P161" s="375"/>
      <c r="Q161" s="375"/>
      <c r="R161" s="375"/>
      <c r="S161" s="375"/>
      <c r="T161" s="375"/>
      <c r="U161" s="375"/>
      <c r="V161" s="371"/>
      <c r="W161" s="375"/>
      <c r="X161" s="376"/>
      <c r="Y161" s="368">
        <v>111.31</v>
      </c>
      <c r="Z161" s="376"/>
      <c r="AA161" s="376"/>
      <c r="AB161" s="378"/>
      <c r="AC161" s="375"/>
      <c r="AD161" s="375"/>
      <c r="AE161" s="375"/>
    </row>
    <row r="162" s="264" customFormat="1" ht="12.75" spans="1:31">
      <c r="A162" s="354"/>
      <c r="B162" s="355"/>
      <c r="C162" s="356">
        <v>241128000039</v>
      </c>
      <c r="D162" s="357">
        <v>45631</v>
      </c>
      <c r="E162" s="355" t="s">
        <v>189</v>
      </c>
      <c r="F162" s="355" t="s">
        <v>111</v>
      </c>
      <c r="G162" s="355">
        <v>0.5074</v>
      </c>
      <c r="H162" s="355">
        <v>252</v>
      </c>
      <c r="I162" s="364"/>
      <c r="J162" s="370">
        <v>239442</v>
      </c>
      <c r="K162" s="360"/>
      <c r="L162" s="361">
        <f t="shared" ref="L162:L167" si="46">SUM(J162/M162)</f>
        <v>1572.99929582198</v>
      </c>
      <c r="M162" s="362">
        <v>152.22003</v>
      </c>
      <c r="N162" s="355">
        <v>7.27</v>
      </c>
      <c r="O162" s="364">
        <f t="shared" ref="O162:O167" si="47">SUM(M162*N162)</f>
        <v>1106.6396181</v>
      </c>
      <c r="P162" s="375"/>
      <c r="Q162" s="375"/>
      <c r="R162" s="375"/>
      <c r="S162" s="375"/>
      <c r="T162" s="375"/>
      <c r="U162" s="375"/>
      <c r="V162" s="375"/>
      <c r="W162" s="375"/>
      <c r="X162" s="376"/>
      <c r="Y162" s="368"/>
      <c r="Z162" s="376"/>
      <c r="AA162" s="376"/>
      <c r="AB162" s="378"/>
      <c r="AC162" s="375"/>
      <c r="AD162" s="375"/>
      <c r="AE162" s="375"/>
    </row>
    <row r="163" s="264" customFormat="1" ht="12.75" spans="1:31">
      <c r="A163" s="354"/>
      <c r="B163" s="355"/>
      <c r="C163" s="356">
        <v>241128000041</v>
      </c>
      <c r="D163" s="357">
        <v>45631</v>
      </c>
      <c r="E163" s="355" t="s">
        <v>49</v>
      </c>
      <c r="F163" s="355" t="s">
        <v>359</v>
      </c>
      <c r="G163" s="355">
        <v>0.2074</v>
      </c>
      <c r="H163" s="355">
        <v>60</v>
      </c>
      <c r="I163" s="358">
        <v>463</v>
      </c>
      <c r="J163" s="369"/>
      <c r="K163" s="360"/>
      <c r="L163" s="361"/>
      <c r="M163" s="360"/>
      <c r="N163" s="355"/>
      <c r="O163" s="364">
        <f t="shared" si="45"/>
        <v>463</v>
      </c>
      <c r="P163" s="375"/>
      <c r="Q163" s="375"/>
      <c r="R163" s="375"/>
      <c r="S163" s="375"/>
      <c r="T163" s="375"/>
      <c r="U163" s="375"/>
      <c r="V163" s="375"/>
      <c r="W163" s="375"/>
      <c r="X163" s="376"/>
      <c r="Y163" s="368"/>
      <c r="Z163" s="376"/>
      <c r="AA163" s="376"/>
      <c r="AB163" s="378"/>
      <c r="AC163" s="375"/>
      <c r="AD163" s="375"/>
      <c r="AE163" s="375"/>
    </row>
    <row r="164" s="264" customFormat="1" ht="12.75" spans="1:31">
      <c r="A164" s="354"/>
      <c r="B164" s="355"/>
      <c r="C164" s="356">
        <v>241129000029</v>
      </c>
      <c r="D164" s="357">
        <v>45631</v>
      </c>
      <c r="E164" s="355" t="s">
        <v>190</v>
      </c>
      <c r="F164" s="355" t="s">
        <v>196</v>
      </c>
      <c r="G164" s="355">
        <v>0.19</v>
      </c>
      <c r="H164" s="355">
        <v>24</v>
      </c>
      <c r="I164" s="358">
        <v>369.36</v>
      </c>
      <c r="J164" s="369"/>
      <c r="K164" s="360"/>
      <c r="L164" s="361"/>
      <c r="M164" s="360"/>
      <c r="N164" s="355"/>
      <c r="O164" s="364">
        <f t="shared" si="45"/>
        <v>369.36</v>
      </c>
      <c r="P164" s="375"/>
      <c r="Q164" s="375"/>
      <c r="R164" s="375"/>
      <c r="S164" s="375"/>
      <c r="T164" s="375"/>
      <c r="U164" s="375"/>
      <c r="V164" s="375"/>
      <c r="W164" s="375"/>
      <c r="X164" s="376"/>
      <c r="Y164" s="368"/>
      <c r="Z164" s="376"/>
      <c r="AA164" s="376"/>
      <c r="AB164" s="378"/>
      <c r="AC164" s="375"/>
      <c r="AD164" s="375"/>
      <c r="AE164" s="375"/>
    </row>
    <row r="165" s="264" customFormat="1" ht="12.75" spans="1:31">
      <c r="A165" s="354"/>
      <c r="B165" s="355"/>
      <c r="C165" s="356">
        <v>241129000035</v>
      </c>
      <c r="D165" s="357">
        <v>45631</v>
      </c>
      <c r="E165" s="355" t="s">
        <v>49</v>
      </c>
      <c r="F165" s="355" t="s">
        <v>360</v>
      </c>
      <c r="G165" s="355">
        <v>0.3468</v>
      </c>
      <c r="H165" s="355">
        <v>269</v>
      </c>
      <c r="I165" s="358">
        <v>1003</v>
      </c>
      <c r="J165" s="369"/>
      <c r="K165" s="360"/>
      <c r="L165" s="361"/>
      <c r="M165" s="360"/>
      <c r="N165" s="355"/>
      <c r="O165" s="364">
        <f t="shared" si="45"/>
        <v>1003</v>
      </c>
      <c r="P165" s="375"/>
      <c r="Q165" s="375"/>
      <c r="R165" s="375"/>
      <c r="S165" s="375"/>
      <c r="T165" s="375"/>
      <c r="U165" s="375"/>
      <c r="V165" s="375"/>
      <c r="W165" s="375"/>
      <c r="X165" s="376"/>
      <c r="Y165" s="368"/>
      <c r="Z165" s="376"/>
      <c r="AA165" s="376"/>
      <c r="AB165" s="378"/>
      <c r="AC165" s="375"/>
      <c r="AD165" s="375"/>
      <c r="AE165" s="375"/>
    </row>
    <row r="166" s="264" customFormat="1" ht="12.75" spans="1:31">
      <c r="A166" s="354"/>
      <c r="B166" s="355"/>
      <c r="C166" s="356">
        <v>241130000012</v>
      </c>
      <c r="D166" s="357">
        <v>45631</v>
      </c>
      <c r="E166" s="355" t="s">
        <v>127</v>
      </c>
      <c r="F166" s="355" t="s">
        <v>127</v>
      </c>
      <c r="G166" s="355">
        <v>0.0882</v>
      </c>
      <c r="H166" s="355">
        <v>30</v>
      </c>
      <c r="I166" s="364"/>
      <c r="J166" s="370">
        <v>56179</v>
      </c>
      <c r="K166" s="360"/>
      <c r="L166" s="361">
        <f t="shared" si="46"/>
        <v>1679.99401913876</v>
      </c>
      <c r="M166" s="362">
        <v>33.44</v>
      </c>
      <c r="N166" s="355">
        <v>7.27</v>
      </c>
      <c r="O166" s="364">
        <f t="shared" si="47"/>
        <v>243.1088</v>
      </c>
      <c r="P166" s="375"/>
      <c r="Q166" s="375"/>
      <c r="R166" s="375"/>
      <c r="S166" s="375"/>
      <c r="T166" s="375"/>
      <c r="U166" s="375"/>
      <c r="V166" s="375"/>
      <c r="W166" s="375"/>
      <c r="X166" s="376"/>
      <c r="Y166" s="368"/>
      <c r="Z166" s="376"/>
      <c r="AA166" s="376"/>
      <c r="AB166" s="378"/>
      <c r="AC166" s="375"/>
      <c r="AD166" s="375"/>
      <c r="AE166" s="375"/>
    </row>
    <row r="167" s="264" customFormat="1" ht="12.75" spans="1:31">
      <c r="A167" s="354"/>
      <c r="B167" s="355"/>
      <c r="C167" s="356">
        <v>241202000005</v>
      </c>
      <c r="D167" s="357">
        <v>45631</v>
      </c>
      <c r="E167" s="355" t="s">
        <v>42</v>
      </c>
      <c r="F167" s="355" t="s">
        <v>67</v>
      </c>
      <c r="G167" s="355">
        <v>0.8261</v>
      </c>
      <c r="H167" s="355">
        <v>59</v>
      </c>
      <c r="I167" s="364"/>
      <c r="J167" s="370">
        <v>424545</v>
      </c>
      <c r="K167" s="360"/>
      <c r="L167" s="361">
        <f t="shared" si="46"/>
        <v>1657.79589310837</v>
      </c>
      <c r="M167" s="362">
        <v>256.09003</v>
      </c>
      <c r="N167" s="355">
        <v>7.27</v>
      </c>
      <c r="O167" s="364">
        <f t="shared" si="47"/>
        <v>1861.7745181</v>
      </c>
      <c r="P167" s="375"/>
      <c r="Q167" s="375"/>
      <c r="R167" s="375"/>
      <c r="S167" s="375"/>
      <c r="T167" s="375"/>
      <c r="U167" s="375"/>
      <c r="V167" s="375"/>
      <c r="W167" s="375"/>
      <c r="X167" s="376"/>
      <c r="Y167" s="368"/>
      <c r="Z167" s="376"/>
      <c r="AA167" s="376"/>
      <c r="AB167" s="378"/>
      <c r="AC167" s="375"/>
      <c r="AD167" s="375"/>
      <c r="AE167" s="375"/>
    </row>
    <row r="168" s="264" customFormat="1" ht="12.75" spans="1:31">
      <c r="A168" s="354"/>
      <c r="B168" s="355"/>
      <c r="C168" s="356">
        <v>241202000011</v>
      </c>
      <c r="D168" s="357">
        <v>45631</v>
      </c>
      <c r="E168" s="355" t="s">
        <v>42</v>
      </c>
      <c r="F168" s="355" t="s">
        <v>43</v>
      </c>
      <c r="G168" s="355">
        <v>0.4399</v>
      </c>
      <c r="H168" s="355">
        <v>73</v>
      </c>
      <c r="I168" s="358">
        <v>900.59</v>
      </c>
      <c r="J168" s="369"/>
      <c r="K168" s="360"/>
      <c r="L168" s="361"/>
      <c r="M168" s="360"/>
      <c r="N168" s="355"/>
      <c r="O168" s="364">
        <f>SUBTOTAL(9,I168)</f>
        <v>900.59</v>
      </c>
      <c r="P168" s="375"/>
      <c r="Q168" s="375"/>
      <c r="R168" s="375"/>
      <c r="S168" s="375"/>
      <c r="T168" s="375"/>
      <c r="U168" s="375"/>
      <c r="V168" s="375"/>
      <c r="W168" s="375"/>
      <c r="X168" s="376"/>
      <c r="Y168" s="368"/>
      <c r="Z168" s="376"/>
      <c r="AA168" s="376"/>
      <c r="AB168" s="378"/>
      <c r="AC168" s="375"/>
      <c r="AD168" s="375"/>
      <c r="AE168" s="375"/>
    </row>
    <row r="169" s="264" customFormat="1" ht="12.75" spans="1:31">
      <c r="A169" s="354"/>
      <c r="B169" s="355"/>
      <c r="C169" s="356">
        <v>241202000031</v>
      </c>
      <c r="D169" s="357">
        <v>45631</v>
      </c>
      <c r="E169" s="355" t="s">
        <v>49</v>
      </c>
      <c r="F169" s="355" t="s">
        <v>361</v>
      </c>
      <c r="G169" s="355">
        <v>0.6255</v>
      </c>
      <c r="H169" s="355">
        <v>265</v>
      </c>
      <c r="I169" s="364"/>
      <c r="J169" s="370">
        <v>283185</v>
      </c>
      <c r="K169" s="360"/>
      <c r="L169" s="361">
        <f t="shared" ref="L169:L180" si="48">SUM(J169/M169)</f>
        <v>1588.51723918582</v>
      </c>
      <c r="M169" s="362">
        <v>178.27002</v>
      </c>
      <c r="N169" s="355">
        <v>7.27</v>
      </c>
      <c r="O169" s="364">
        <f t="shared" ref="O169:O180" si="49">SUM(M169*N169)</f>
        <v>1296.0230454</v>
      </c>
      <c r="P169" s="375"/>
      <c r="Q169" s="375"/>
      <c r="R169" s="375"/>
      <c r="S169" s="375"/>
      <c r="T169" s="375"/>
      <c r="U169" s="375"/>
      <c r="V169" s="375"/>
      <c r="W169" s="375"/>
      <c r="X169" s="376"/>
      <c r="Y169" s="368"/>
      <c r="Z169" s="376"/>
      <c r="AA169" s="376"/>
      <c r="AB169" s="378"/>
      <c r="AC169" s="375"/>
      <c r="AD169" s="375"/>
      <c r="AE169" s="375"/>
    </row>
    <row r="170" s="264" customFormat="1" ht="12.75" spans="1:31">
      <c r="A170" s="354"/>
      <c r="B170" s="355"/>
      <c r="C170" s="356">
        <v>241202000042</v>
      </c>
      <c r="D170" s="357">
        <v>45631</v>
      </c>
      <c r="E170" s="355" t="s">
        <v>189</v>
      </c>
      <c r="F170" s="355" t="s">
        <v>111</v>
      </c>
      <c r="G170" s="355">
        <v>0.1256</v>
      </c>
      <c r="H170" s="355">
        <v>54</v>
      </c>
      <c r="I170" s="364"/>
      <c r="J170" s="370">
        <v>63300</v>
      </c>
      <c r="K170" s="360"/>
      <c r="L170" s="361">
        <f t="shared" si="48"/>
        <v>1679.93594905818</v>
      </c>
      <c r="M170" s="362">
        <v>37.680008</v>
      </c>
      <c r="N170" s="355">
        <v>7.27</v>
      </c>
      <c r="O170" s="364">
        <f t="shared" si="49"/>
        <v>273.93365816</v>
      </c>
      <c r="P170" s="375"/>
      <c r="Q170" s="375"/>
      <c r="R170" s="375"/>
      <c r="S170" s="375"/>
      <c r="T170" s="375"/>
      <c r="U170" s="375"/>
      <c r="V170" s="375"/>
      <c r="W170" s="375"/>
      <c r="X170" s="376"/>
      <c r="Y170" s="368"/>
      <c r="Z170" s="376"/>
      <c r="AA170" s="376"/>
      <c r="AB170" s="378"/>
      <c r="AC170" s="375"/>
      <c r="AD170" s="375"/>
      <c r="AE170" s="375"/>
    </row>
    <row r="171" s="264" customFormat="1" ht="12.75" spans="1:31">
      <c r="A171" s="354"/>
      <c r="B171" s="355"/>
      <c r="C171" s="356">
        <v>241204000039</v>
      </c>
      <c r="D171" s="357">
        <v>45631</v>
      </c>
      <c r="E171" s="355" t="s">
        <v>190</v>
      </c>
      <c r="F171" s="355" t="s">
        <v>251</v>
      </c>
      <c r="G171" s="355">
        <v>0.0608</v>
      </c>
      <c r="H171" s="355">
        <v>12</v>
      </c>
      <c r="I171" s="358">
        <v>113.83</v>
      </c>
      <c r="J171" s="369"/>
      <c r="K171" s="360"/>
      <c r="L171" s="361"/>
      <c r="M171" s="360"/>
      <c r="N171" s="355"/>
      <c r="O171" s="364">
        <f>SUBTOTAL(9,I171)</f>
        <v>113.83</v>
      </c>
      <c r="P171" s="375"/>
      <c r="Q171" s="375"/>
      <c r="R171" s="375"/>
      <c r="S171" s="375"/>
      <c r="T171" s="375"/>
      <c r="U171" s="375"/>
      <c r="V171" s="375"/>
      <c r="W171" s="375"/>
      <c r="X171" s="376"/>
      <c r="Y171" s="368"/>
      <c r="Z171" s="376"/>
      <c r="AA171" s="376"/>
      <c r="AB171" s="378"/>
      <c r="AC171" s="375"/>
      <c r="AD171" s="375"/>
      <c r="AE171" s="375"/>
    </row>
    <row r="172" s="264" customFormat="1" ht="12.75" spans="1:31">
      <c r="A172" s="354"/>
      <c r="B172" s="355"/>
      <c r="C172" s="356">
        <v>241204000043</v>
      </c>
      <c r="D172" s="357">
        <v>45631</v>
      </c>
      <c r="E172" s="355" t="s">
        <v>44</v>
      </c>
      <c r="F172" s="355" t="s">
        <v>112</v>
      </c>
      <c r="G172" s="355">
        <v>1.3963</v>
      </c>
      <c r="H172" s="355">
        <v>248</v>
      </c>
      <c r="I172" s="364"/>
      <c r="J172" s="370">
        <v>606216</v>
      </c>
      <c r="K172" s="360"/>
      <c r="L172" s="361">
        <f t="shared" si="48"/>
        <v>1608</v>
      </c>
      <c r="M172" s="362">
        <v>377</v>
      </c>
      <c r="N172" s="363">
        <v>7.3</v>
      </c>
      <c r="O172" s="364">
        <f t="shared" si="49"/>
        <v>2752.1</v>
      </c>
      <c r="P172" s="375"/>
      <c r="Q172" s="375"/>
      <c r="R172" s="375"/>
      <c r="S172" s="375"/>
      <c r="T172" s="375"/>
      <c r="U172" s="375"/>
      <c r="V172" s="375"/>
      <c r="W172" s="375"/>
      <c r="X172" s="376"/>
      <c r="Y172" s="368"/>
      <c r="Z172" s="376"/>
      <c r="AA172" s="376"/>
      <c r="AB172" s="378"/>
      <c r="AC172" s="375"/>
      <c r="AD172" s="375"/>
      <c r="AE172" s="375"/>
    </row>
    <row r="173" s="264" customFormat="1" ht="12.75" spans="1:31">
      <c r="A173" s="354"/>
      <c r="B173" s="355"/>
      <c r="C173" s="356">
        <v>241204000044</v>
      </c>
      <c r="D173" s="357">
        <v>45631</v>
      </c>
      <c r="E173" s="355" t="s">
        <v>44</v>
      </c>
      <c r="F173" s="355" t="s">
        <v>112</v>
      </c>
      <c r="G173" s="355">
        <v>0.7235</v>
      </c>
      <c r="H173" s="355">
        <v>107</v>
      </c>
      <c r="I173" s="364"/>
      <c r="J173" s="370">
        <v>314122.8</v>
      </c>
      <c r="K173" s="360"/>
      <c r="L173" s="361">
        <f t="shared" si="48"/>
        <v>1608</v>
      </c>
      <c r="M173" s="362">
        <v>195.35</v>
      </c>
      <c r="N173" s="363">
        <v>7.3</v>
      </c>
      <c r="O173" s="364">
        <f t="shared" si="49"/>
        <v>1426.055</v>
      </c>
      <c r="P173" s="375"/>
      <c r="Q173" s="375"/>
      <c r="R173" s="375"/>
      <c r="S173" s="375"/>
      <c r="T173" s="375"/>
      <c r="U173" s="375"/>
      <c r="V173" s="375"/>
      <c r="W173" s="375"/>
      <c r="X173" s="376"/>
      <c r="Y173" s="368"/>
      <c r="Z173" s="376"/>
      <c r="AA173" s="376"/>
      <c r="AB173" s="378"/>
      <c r="AC173" s="375"/>
      <c r="AD173" s="375"/>
      <c r="AE173" s="375"/>
    </row>
    <row r="174" s="264" customFormat="1" ht="12.75" spans="1:31">
      <c r="A174" s="354"/>
      <c r="B174" s="355"/>
      <c r="C174" s="356">
        <v>241204000045</v>
      </c>
      <c r="D174" s="357">
        <v>45631</v>
      </c>
      <c r="E174" s="355" t="s">
        <v>44</v>
      </c>
      <c r="F174" s="355" t="s">
        <v>112</v>
      </c>
      <c r="G174" s="355">
        <v>0.26</v>
      </c>
      <c r="H174" s="355">
        <v>48</v>
      </c>
      <c r="I174" s="364"/>
      <c r="J174" s="370">
        <v>112929.84</v>
      </c>
      <c r="K174" s="360"/>
      <c r="L174" s="361">
        <f t="shared" si="48"/>
        <v>1608</v>
      </c>
      <c r="M174" s="362">
        <v>70.23</v>
      </c>
      <c r="N174" s="363">
        <v>7.3</v>
      </c>
      <c r="O174" s="364">
        <f t="shared" si="49"/>
        <v>512.679</v>
      </c>
      <c r="P174" s="375"/>
      <c r="Q174" s="375"/>
      <c r="R174" s="375"/>
      <c r="S174" s="375"/>
      <c r="T174" s="375"/>
      <c r="U174" s="375"/>
      <c r="V174" s="375"/>
      <c r="W174" s="375"/>
      <c r="X174" s="376"/>
      <c r="Y174" s="368"/>
      <c r="Z174" s="376"/>
      <c r="AA174" s="376"/>
      <c r="AB174" s="378"/>
      <c r="AC174" s="375"/>
      <c r="AD174" s="375"/>
      <c r="AE174" s="375"/>
    </row>
    <row r="175" s="264" customFormat="1" ht="12.75" spans="1:31">
      <c r="A175" s="354"/>
      <c r="B175" s="355"/>
      <c r="C175" s="356">
        <v>241204000046</v>
      </c>
      <c r="D175" s="357">
        <v>45631</v>
      </c>
      <c r="E175" s="355" t="s">
        <v>44</v>
      </c>
      <c r="F175" s="355" t="s">
        <v>112</v>
      </c>
      <c r="G175" s="355">
        <v>0.2492</v>
      </c>
      <c r="H175" s="355">
        <v>51</v>
      </c>
      <c r="I175" s="364"/>
      <c r="J175" s="370">
        <v>108090.06</v>
      </c>
      <c r="K175" s="360"/>
      <c r="L175" s="361">
        <f t="shared" si="48"/>
        <v>1606.57045184304</v>
      </c>
      <c r="M175" s="362">
        <v>67.28</v>
      </c>
      <c r="N175" s="363">
        <v>7.3</v>
      </c>
      <c r="O175" s="364">
        <f t="shared" si="49"/>
        <v>491.144</v>
      </c>
      <c r="P175" s="375"/>
      <c r="Q175" s="375"/>
      <c r="R175" s="375"/>
      <c r="S175" s="375"/>
      <c r="T175" s="375"/>
      <c r="U175" s="375"/>
      <c r="V175" s="375"/>
      <c r="W175" s="375"/>
      <c r="X175" s="376"/>
      <c r="Y175" s="368"/>
      <c r="Z175" s="376"/>
      <c r="AA175" s="376"/>
      <c r="AB175" s="378"/>
      <c r="AC175" s="375"/>
      <c r="AD175" s="375"/>
      <c r="AE175" s="375"/>
    </row>
    <row r="176" s="264" customFormat="1" ht="12.75" spans="1:31">
      <c r="A176" s="354"/>
      <c r="B176" s="355"/>
      <c r="C176" s="356">
        <v>241204000047</v>
      </c>
      <c r="D176" s="357">
        <v>45631</v>
      </c>
      <c r="E176" s="355" t="s">
        <v>44</v>
      </c>
      <c r="F176" s="355" t="s">
        <v>112</v>
      </c>
      <c r="G176" s="355">
        <v>0.2023</v>
      </c>
      <c r="H176" s="355">
        <v>17</v>
      </c>
      <c r="I176" s="364"/>
      <c r="J176" s="370">
        <v>87064.28</v>
      </c>
      <c r="K176" s="360"/>
      <c r="L176" s="361">
        <f t="shared" si="48"/>
        <v>1594</v>
      </c>
      <c r="M176" s="362">
        <v>54.62</v>
      </c>
      <c r="N176" s="355">
        <v>7.29</v>
      </c>
      <c r="O176" s="364">
        <f t="shared" si="49"/>
        <v>398.1798</v>
      </c>
      <c r="P176" s="375"/>
      <c r="Q176" s="375"/>
      <c r="R176" s="375"/>
      <c r="S176" s="375"/>
      <c r="T176" s="375"/>
      <c r="U176" s="375"/>
      <c r="V176" s="375"/>
      <c r="W176" s="375"/>
      <c r="X176" s="376"/>
      <c r="Y176" s="368"/>
      <c r="Z176" s="376"/>
      <c r="AA176" s="376"/>
      <c r="AB176" s="378"/>
      <c r="AC176" s="375"/>
      <c r="AD176" s="375"/>
      <c r="AE176" s="375"/>
    </row>
    <row r="177" s="264" customFormat="1" ht="12.75" spans="1:31">
      <c r="A177" s="354"/>
      <c r="B177" s="355"/>
      <c r="C177" s="356">
        <v>241204000048</v>
      </c>
      <c r="D177" s="357">
        <v>45631</v>
      </c>
      <c r="E177" s="355" t="s">
        <v>44</v>
      </c>
      <c r="F177" s="355" t="s">
        <v>112</v>
      </c>
      <c r="G177" s="355">
        <v>0.5307</v>
      </c>
      <c r="H177" s="355">
        <v>90</v>
      </c>
      <c r="I177" s="364"/>
      <c r="J177" s="370">
        <v>228404.26</v>
      </c>
      <c r="K177" s="360"/>
      <c r="L177" s="361">
        <f t="shared" si="48"/>
        <v>1594</v>
      </c>
      <c r="M177" s="362">
        <v>143.29</v>
      </c>
      <c r="N177" s="355">
        <v>7.29</v>
      </c>
      <c r="O177" s="364">
        <f t="shared" si="49"/>
        <v>1044.5841</v>
      </c>
      <c r="P177" s="375"/>
      <c r="Q177" s="375"/>
      <c r="R177" s="375"/>
      <c r="S177" s="375"/>
      <c r="T177" s="375"/>
      <c r="U177" s="375"/>
      <c r="V177" s="375"/>
      <c r="W177" s="375"/>
      <c r="X177" s="376"/>
      <c r="Y177" s="368"/>
      <c r="Z177" s="376"/>
      <c r="AA177" s="376"/>
      <c r="AB177" s="378"/>
      <c r="AC177" s="375"/>
      <c r="AD177" s="375"/>
      <c r="AE177" s="375"/>
    </row>
    <row r="178" s="264" customFormat="1" ht="12.75" spans="1:31">
      <c r="A178" s="354"/>
      <c r="B178" s="355"/>
      <c r="C178" s="356">
        <v>241204000050</v>
      </c>
      <c r="D178" s="357">
        <v>45631</v>
      </c>
      <c r="E178" s="355" t="s">
        <v>44</v>
      </c>
      <c r="F178" s="355" t="s">
        <v>112</v>
      </c>
      <c r="G178" s="355">
        <v>14.6981</v>
      </c>
      <c r="H178" s="355">
        <v>2994</v>
      </c>
      <c r="I178" s="364"/>
      <c r="J178" s="370">
        <v>6392673.24</v>
      </c>
      <c r="K178" s="360"/>
      <c r="L178" s="361">
        <f t="shared" si="48"/>
        <v>1594</v>
      </c>
      <c r="M178" s="362">
        <v>4010.46</v>
      </c>
      <c r="N178" s="355">
        <v>7.27</v>
      </c>
      <c r="O178" s="364">
        <f t="shared" si="49"/>
        <v>29156.0442</v>
      </c>
      <c r="P178" s="375"/>
      <c r="Q178" s="375"/>
      <c r="R178" s="375"/>
      <c r="S178" s="375"/>
      <c r="T178" s="375"/>
      <c r="U178" s="375"/>
      <c r="V178" s="375"/>
      <c r="W178" s="375"/>
      <c r="X178" s="376"/>
      <c r="Y178" s="368"/>
      <c r="Z178" s="376"/>
      <c r="AA178" s="376"/>
      <c r="AB178" s="378"/>
      <c r="AC178" s="375"/>
      <c r="AD178" s="375"/>
      <c r="AE178" s="375"/>
    </row>
    <row r="179" s="264" customFormat="1" ht="12.75" spans="1:31">
      <c r="A179" s="354"/>
      <c r="B179" s="355"/>
      <c r="C179" s="356">
        <v>241204000052</v>
      </c>
      <c r="D179" s="357">
        <v>45631</v>
      </c>
      <c r="E179" s="355" t="s">
        <v>44</v>
      </c>
      <c r="F179" s="355" t="s">
        <v>112</v>
      </c>
      <c r="G179" s="355">
        <v>21.052</v>
      </c>
      <c r="H179" s="355">
        <v>2202</v>
      </c>
      <c r="I179" s="364"/>
      <c r="J179" s="370">
        <v>9257809.04</v>
      </c>
      <c r="K179" s="360"/>
      <c r="L179" s="361">
        <f t="shared" si="48"/>
        <v>1616.79084323546</v>
      </c>
      <c r="M179" s="362">
        <v>5726.04</v>
      </c>
      <c r="N179" s="355">
        <v>7.22</v>
      </c>
      <c r="O179" s="364">
        <f t="shared" si="49"/>
        <v>41342.0088</v>
      </c>
      <c r="P179" s="375"/>
      <c r="Q179" s="375"/>
      <c r="R179" s="375"/>
      <c r="S179" s="375"/>
      <c r="T179" s="375"/>
      <c r="U179" s="375"/>
      <c r="V179" s="375"/>
      <c r="W179" s="375"/>
      <c r="X179" s="376"/>
      <c r="Y179" s="368"/>
      <c r="Z179" s="376"/>
      <c r="AA179" s="376"/>
      <c r="AB179" s="378"/>
      <c r="AC179" s="375"/>
      <c r="AD179" s="375"/>
      <c r="AE179" s="375"/>
    </row>
    <row r="180" s="264" customFormat="1" ht="12.75" spans="1:31">
      <c r="A180" s="354"/>
      <c r="B180" s="355"/>
      <c r="C180" s="356">
        <v>241204000053</v>
      </c>
      <c r="D180" s="357">
        <v>45631</v>
      </c>
      <c r="E180" s="355" t="s">
        <v>44</v>
      </c>
      <c r="F180" s="355" t="s">
        <v>112</v>
      </c>
      <c r="G180" s="355">
        <v>0.1958</v>
      </c>
      <c r="H180" s="355">
        <v>447</v>
      </c>
      <c r="I180" s="364"/>
      <c r="J180" s="370">
        <v>85649.4</v>
      </c>
      <c r="K180" s="360"/>
      <c r="L180" s="361">
        <f t="shared" si="48"/>
        <v>1620</v>
      </c>
      <c r="M180" s="362">
        <v>52.87</v>
      </c>
      <c r="N180" s="355">
        <v>7.22</v>
      </c>
      <c r="O180" s="364">
        <f t="shared" si="49"/>
        <v>381.7214</v>
      </c>
      <c r="P180" s="375"/>
      <c r="Q180" s="375"/>
      <c r="R180" s="375"/>
      <c r="S180" s="375"/>
      <c r="T180" s="375"/>
      <c r="U180" s="375"/>
      <c r="V180" s="375"/>
      <c r="W180" s="375"/>
      <c r="X180" s="376"/>
      <c r="Y180" s="368"/>
      <c r="Z180" s="376"/>
      <c r="AA180" s="376"/>
      <c r="AB180" s="378"/>
      <c r="AC180" s="375"/>
      <c r="AD180" s="375"/>
      <c r="AE180" s="375"/>
    </row>
    <row r="181" s="264" customFormat="1" ht="12.75" spans="1:31">
      <c r="A181" s="354"/>
      <c r="B181" s="355"/>
      <c r="C181" s="356">
        <v>241204000060</v>
      </c>
      <c r="D181" s="357">
        <v>45631</v>
      </c>
      <c r="E181" s="355" t="s">
        <v>42</v>
      </c>
      <c r="F181" s="355" t="s">
        <v>43</v>
      </c>
      <c r="G181" s="355">
        <v>0.6256</v>
      </c>
      <c r="H181" s="355">
        <v>144</v>
      </c>
      <c r="I181" s="358">
        <v>1269.02</v>
      </c>
      <c r="J181" s="369"/>
      <c r="K181" s="360"/>
      <c r="L181" s="361"/>
      <c r="M181" s="360"/>
      <c r="N181" s="355"/>
      <c r="O181" s="364">
        <f>SUBTOTAL(9,I181)</f>
        <v>1269.02</v>
      </c>
      <c r="P181" s="379"/>
      <c r="Q181" s="379"/>
      <c r="R181" s="379"/>
      <c r="S181" s="379"/>
      <c r="T181" s="379"/>
      <c r="U181" s="379"/>
      <c r="V181" s="379"/>
      <c r="W181" s="379"/>
      <c r="X181" s="377"/>
      <c r="Y181" s="368"/>
      <c r="Z181" s="377"/>
      <c r="AA181" s="377"/>
      <c r="AB181" s="380"/>
      <c r="AC181" s="379"/>
      <c r="AD181" s="379"/>
      <c r="AE181" s="379"/>
    </row>
    <row r="182" s="264" customFormat="1" ht="12.75" spans="1:31">
      <c r="A182" s="354" t="s">
        <v>362</v>
      </c>
      <c r="B182" s="355" t="s">
        <v>363</v>
      </c>
      <c r="C182" s="356">
        <v>241109000014</v>
      </c>
      <c r="D182" s="357">
        <v>45636</v>
      </c>
      <c r="E182" s="355" t="s">
        <v>52</v>
      </c>
      <c r="F182" s="355" t="s">
        <v>94</v>
      </c>
      <c r="G182" s="355">
        <v>1.5052</v>
      </c>
      <c r="H182" s="355">
        <v>360</v>
      </c>
      <c r="I182" s="358">
        <v>3329.55</v>
      </c>
      <c r="J182" s="369"/>
      <c r="K182" s="360"/>
      <c r="L182" s="361"/>
      <c r="M182" s="360"/>
      <c r="N182" s="355"/>
      <c r="O182" s="364">
        <f>SUBTOTAL(9,I182)</f>
        <v>3329.55</v>
      </c>
      <c r="P182" s="371">
        <f>SUM(O182:O194)</f>
        <v>166063.2330822</v>
      </c>
      <c r="Q182" s="372" t="s">
        <v>364</v>
      </c>
      <c r="R182" s="371">
        <v>49568.5</v>
      </c>
      <c r="S182" s="371"/>
      <c r="T182" s="371">
        <v>2100</v>
      </c>
      <c r="U182" s="371"/>
      <c r="V182" s="371"/>
      <c r="W182" s="371">
        <f>SUM(R182:V194)</f>
        <v>52468.5</v>
      </c>
      <c r="X182" s="373">
        <v>11623</v>
      </c>
      <c r="Y182" s="368"/>
      <c r="Z182" s="373">
        <v>55.62</v>
      </c>
      <c r="AA182" s="373">
        <f>SUM(X182:Z194)</f>
        <v>11678.62</v>
      </c>
      <c r="AB182" s="374">
        <v>7.3</v>
      </c>
      <c r="AC182" s="371">
        <f>SUM(AA182*AB182)</f>
        <v>85253.926</v>
      </c>
      <c r="AD182" s="371">
        <f>SUM(W182+AC182)</f>
        <v>137722.426</v>
      </c>
      <c r="AE182" s="371">
        <f>SUM(P182-AD182)</f>
        <v>28340.8070822</v>
      </c>
    </row>
    <row r="183" s="264" customFormat="1" ht="12.75" spans="1:31">
      <c r="A183" s="354"/>
      <c r="B183" s="355"/>
      <c r="C183" s="356">
        <v>241127000004</v>
      </c>
      <c r="D183" s="357">
        <v>45636</v>
      </c>
      <c r="E183" s="355" t="s">
        <v>52</v>
      </c>
      <c r="F183" s="355" t="s">
        <v>110</v>
      </c>
      <c r="G183" s="355">
        <v>2.3335</v>
      </c>
      <c r="H183" s="355">
        <v>2600</v>
      </c>
      <c r="I183" s="364"/>
      <c r="J183" s="370">
        <v>1863312</v>
      </c>
      <c r="K183" s="360"/>
      <c r="L183" s="361">
        <f t="shared" ref="L183:L185" si="50">SUM(J183/M183)</f>
        <v>1600</v>
      </c>
      <c r="M183" s="362">
        <v>1164.57</v>
      </c>
      <c r="N183" s="355">
        <v>7.28</v>
      </c>
      <c r="O183" s="364">
        <f t="shared" ref="O183:O185" si="51">SUM(M183*N183)</f>
        <v>8478.0696</v>
      </c>
      <c r="P183" s="375"/>
      <c r="Q183" s="375"/>
      <c r="R183" s="375"/>
      <c r="S183" s="375"/>
      <c r="T183" s="375"/>
      <c r="U183" s="375"/>
      <c r="V183" s="375"/>
      <c r="W183" s="375"/>
      <c r="X183" s="376"/>
      <c r="Y183" s="368"/>
      <c r="Z183" s="376"/>
      <c r="AA183" s="376"/>
      <c r="AB183" s="378"/>
      <c r="AC183" s="375"/>
      <c r="AD183" s="375"/>
      <c r="AE183" s="375"/>
    </row>
    <row r="184" s="264" customFormat="1" ht="12.75" spans="1:31">
      <c r="A184" s="354"/>
      <c r="B184" s="355"/>
      <c r="C184" s="356">
        <v>241128000012</v>
      </c>
      <c r="D184" s="357">
        <v>45636</v>
      </c>
      <c r="E184" s="355" t="s">
        <v>37</v>
      </c>
      <c r="F184" s="355" t="s">
        <v>166</v>
      </c>
      <c r="G184" s="355">
        <v>0.196</v>
      </c>
      <c r="H184" s="355">
        <v>106</v>
      </c>
      <c r="I184" s="364"/>
      <c r="J184" s="370">
        <v>98784</v>
      </c>
      <c r="K184" s="360"/>
      <c r="L184" s="361">
        <f t="shared" si="50"/>
        <v>1679.99942857162</v>
      </c>
      <c r="M184" s="362">
        <v>58.80002</v>
      </c>
      <c r="N184" s="355">
        <v>7.3</v>
      </c>
      <c r="O184" s="364">
        <f t="shared" si="51"/>
        <v>429.240146</v>
      </c>
      <c r="P184" s="375"/>
      <c r="Q184" s="375"/>
      <c r="R184" s="375"/>
      <c r="S184" s="375"/>
      <c r="T184" s="375"/>
      <c r="U184" s="375"/>
      <c r="V184" s="375"/>
      <c r="W184" s="375"/>
      <c r="X184" s="376"/>
      <c r="Y184" s="368"/>
      <c r="Z184" s="376"/>
      <c r="AA184" s="376"/>
      <c r="AB184" s="378"/>
      <c r="AC184" s="375"/>
      <c r="AD184" s="375"/>
      <c r="AE184" s="375"/>
    </row>
    <row r="185" s="264" customFormat="1" ht="12.75" spans="1:31">
      <c r="A185" s="354"/>
      <c r="B185" s="355"/>
      <c r="C185" s="356">
        <v>241202000044</v>
      </c>
      <c r="D185" s="357">
        <v>45636</v>
      </c>
      <c r="E185" s="355" t="s">
        <v>49</v>
      </c>
      <c r="F185" s="355" t="s">
        <v>361</v>
      </c>
      <c r="G185" s="355">
        <v>3.774</v>
      </c>
      <c r="H185" s="355">
        <v>1521</v>
      </c>
      <c r="I185" s="364"/>
      <c r="J185" s="369">
        <v>1698783.75</v>
      </c>
      <c r="K185" s="360"/>
      <c r="L185" s="361">
        <f t="shared" si="50"/>
        <v>1579.39697473973</v>
      </c>
      <c r="M185" s="362">
        <v>1075.5901</v>
      </c>
      <c r="N185" s="355">
        <v>7.27</v>
      </c>
      <c r="O185" s="364">
        <f t="shared" si="51"/>
        <v>7819.540027</v>
      </c>
      <c r="P185" s="375"/>
      <c r="Q185" s="375"/>
      <c r="R185" s="375"/>
      <c r="S185" s="375"/>
      <c r="T185" s="375"/>
      <c r="U185" s="375"/>
      <c r="V185" s="375"/>
      <c r="W185" s="375"/>
      <c r="X185" s="376"/>
      <c r="Y185" s="368"/>
      <c r="Z185" s="376"/>
      <c r="AA185" s="376"/>
      <c r="AB185" s="378"/>
      <c r="AC185" s="375"/>
      <c r="AD185" s="375"/>
      <c r="AE185" s="375"/>
    </row>
    <row r="186" s="264" customFormat="1" ht="12.75" spans="1:31">
      <c r="A186" s="354"/>
      <c r="B186" s="355"/>
      <c r="C186" s="356">
        <v>241203000015</v>
      </c>
      <c r="D186" s="357">
        <v>45636</v>
      </c>
      <c r="E186" s="355" t="s">
        <v>37</v>
      </c>
      <c r="F186" s="355" t="s">
        <v>121</v>
      </c>
      <c r="G186" s="355">
        <v>7.8671</v>
      </c>
      <c r="H186" s="355">
        <v>16682</v>
      </c>
      <c r="I186" s="358">
        <v>33835.5</v>
      </c>
      <c r="J186" s="369"/>
      <c r="K186" s="360"/>
      <c r="L186" s="361"/>
      <c r="M186" s="355"/>
      <c r="N186" s="355"/>
      <c r="O186" s="364">
        <f>SUM(I186)</f>
        <v>33835.5</v>
      </c>
      <c r="P186" s="375"/>
      <c r="Q186" s="375"/>
      <c r="R186" s="375"/>
      <c r="S186" s="375"/>
      <c r="T186" s="375"/>
      <c r="U186" s="375"/>
      <c r="V186" s="375"/>
      <c r="W186" s="375"/>
      <c r="X186" s="376"/>
      <c r="Y186" s="368"/>
      <c r="Z186" s="376"/>
      <c r="AA186" s="376"/>
      <c r="AB186" s="378"/>
      <c r="AC186" s="375"/>
      <c r="AD186" s="375"/>
      <c r="AE186" s="375"/>
    </row>
    <row r="187" s="264" customFormat="1" ht="12.75" spans="1:31">
      <c r="A187" s="354"/>
      <c r="B187" s="355"/>
      <c r="C187" s="356">
        <v>241204000049</v>
      </c>
      <c r="D187" s="357">
        <v>45636</v>
      </c>
      <c r="E187" s="355" t="s">
        <v>44</v>
      </c>
      <c r="F187" s="355" t="s">
        <v>112</v>
      </c>
      <c r="G187" s="355">
        <v>14.985</v>
      </c>
      <c r="H187" s="355">
        <v>2696</v>
      </c>
      <c r="I187" s="364"/>
      <c r="J187" s="370">
        <v>6707917.9</v>
      </c>
      <c r="K187" s="360"/>
      <c r="L187" s="361">
        <f t="shared" ref="L187:L189" si="52">SUM(J187/M187)</f>
        <v>1582.87741280853</v>
      </c>
      <c r="M187" s="362">
        <v>4237.8</v>
      </c>
      <c r="N187" s="355">
        <v>7.18</v>
      </c>
      <c r="O187" s="364">
        <f t="shared" ref="O187:O189" si="53">SUM(M187*N187)</f>
        <v>30427.404</v>
      </c>
      <c r="P187" s="375"/>
      <c r="Q187" s="375"/>
      <c r="R187" s="375"/>
      <c r="S187" s="375"/>
      <c r="T187" s="375"/>
      <c r="U187" s="375"/>
      <c r="V187" s="375"/>
      <c r="W187" s="375"/>
      <c r="X187" s="376"/>
      <c r="Y187" s="368"/>
      <c r="Z187" s="376"/>
      <c r="AA187" s="376"/>
      <c r="AB187" s="378"/>
      <c r="AC187" s="375"/>
      <c r="AD187" s="375"/>
      <c r="AE187" s="375"/>
    </row>
    <row r="188" s="264" customFormat="1" ht="12.75" spans="1:31">
      <c r="A188" s="354"/>
      <c r="B188" s="355"/>
      <c r="C188" s="356">
        <v>241204000051</v>
      </c>
      <c r="D188" s="357">
        <v>45636</v>
      </c>
      <c r="E188" s="355" t="s">
        <v>44</v>
      </c>
      <c r="F188" s="355" t="s">
        <v>112</v>
      </c>
      <c r="G188" s="355">
        <v>2.1818</v>
      </c>
      <c r="H188" s="355">
        <v>358</v>
      </c>
      <c r="I188" s="364"/>
      <c r="J188" s="370">
        <v>966443.8</v>
      </c>
      <c r="K188" s="360"/>
      <c r="L188" s="361">
        <f t="shared" si="52"/>
        <v>1582</v>
      </c>
      <c r="M188" s="362">
        <v>610.9</v>
      </c>
      <c r="N188" s="355">
        <v>7.18</v>
      </c>
      <c r="O188" s="364">
        <f t="shared" si="53"/>
        <v>4386.262</v>
      </c>
      <c r="P188" s="375"/>
      <c r="Q188" s="375"/>
      <c r="R188" s="375"/>
      <c r="S188" s="375"/>
      <c r="T188" s="375"/>
      <c r="U188" s="375"/>
      <c r="V188" s="375"/>
      <c r="W188" s="375"/>
      <c r="X188" s="376"/>
      <c r="Y188" s="368"/>
      <c r="Z188" s="376"/>
      <c r="AA188" s="376"/>
      <c r="AB188" s="378"/>
      <c r="AC188" s="375"/>
      <c r="AD188" s="375"/>
      <c r="AE188" s="375"/>
    </row>
    <row r="189" s="264" customFormat="1" ht="12.75" spans="1:31">
      <c r="A189" s="354"/>
      <c r="B189" s="355"/>
      <c r="C189" s="356">
        <v>241205000007</v>
      </c>
      <c r="D189" s="357">
        <v>45636</v>
      </c>
      <c r="E189" s="355" t="s">
        <v>49</v>
      </c>
      <c r="F189" s="355" t="s">
        <v>361</v>
      </c>
      <c r="G189" s="355">
        <v>1.2288</v>
      </c>
      <c r="H189" s="355">
        <v>508</v>
      </c>
      <c r="I189" s="364"/>
      <c r="J189" s="370">
        <v>552776.25</v>
      </c>
      <c r="K189" s="360"/>
      <c r="L189" s="361">
        <f t="shared" si="52"/>
        <v>1578.41384636805</v>
      </c>
      <c r="M189" s="362">
        <v>350.20996</v>
      </c>
      <c r="N189" s="355">
        <v>7.27</v>
      </c>
      <c r="O189" s="364">
        <f t="shared" si="53"/>
        <v>2546.0264092</v>
      </c>
      <c r="P189" s="375"/>
      <c r="Q189" s="375"/>
      <c r="R189" s="375"/>
      <c r="S189" s="375"/>
      <c r="T189" s="375"/>
      <c r="U189" s="379"/>
      <c r="V189" s="375"/>
      <c r="W189" s="375"/>
      <c r="X189" s="376"/>
      <c r="Y189" s="368"/>
      <c r="Z189" s="376"/>
      <c r="AA189" s="376"/>
      <c r="AB189" s="378"/>
      <c r="AC189" s="375"/>
      <c r="AD189" s="375"/>
      <c r="AE189" s="375"/>
    </row>
    <row r="190" s="264" customFormat="1" ht="12.75" spans="1:31">
      <c r="A190" s="354"/>
      <c r="B190" s="355"/>
      <c r="C190" s="356">
        <v>241206000037</v>
      </c>
      <c r="D190" s="357">
        <v>45636</v>
      </c>
      <c r="E190" s="355" t="s">
        <v>40</v>
      </c>
      <c r="F190" s="355" t="s">
        <v>93</v>
      </c>
      <c r="G190" s="355">
        <v>0.6414</v>
      </c>
      <c r="H190" s="355">
        <v>108</v>
      </c>
      <c r="I190" s="358">
        <v>2673</v>
      </c>
      <c r="J190" s="369"/>
      <c r="K190" s="360"/>
      <c r="L190" s="361"/>
      <c r="M190" s="360"/>
      <c r="N190" s="355"/>
      <c r="O190" s="364">
        <f t="shared" ref="O190:O192" si="54">SUBTOTAL(9,I190)</f>
        <v>2673</v>
      </c>
      <c r="P190" s="375"/>
      <c r="Q190" s="375"/>
      <c r="R190" s="375"/>
      <c r="S190" s="375"/>
      <c r="T190" s="375"/>
      <c r="U190" s="367">
        <v>300</v>
      </c>
      <c r="V190" s="375"/>
      <c r="W190" s="375"/>
      <c r="X190" s="376"/>
      <c r="Y190" s="368"/>
      <c r="Z190" s="376"/>
      <c r="AA190" s="376"/>
      <c r="AB190" s="378"/>
      <c r="AC190" s="375"/>
      <c r="AD190" s="375"/>
      <c r="AE190" s="375"/>
    </row>
    <row r="191" s="264" customFormat="1" ht="12.75" spans="1:31">
      <c r="A191" s="354"/>
      <c r="B191" s="355"/>
      <c r="C191" s="356">
        <v>241206000040</v>
      </c>
      <c r="D191" s="357">
        <v>45636</v>
      </c>
      <c r="E191" s="355" t="s">
        <v>40</v>
      </c>
      <c r="F191" s="355" t="s">
        <v>93</v>
      </c>
      <c r="G191" s="355">
        <v>0.7876</v>
      </c>
      <c r="H191" s="355">
        <v>213</v>
      </c>
      <c r="I191" s="358">
        <v>2732</v>
      </c>
      <c r="J191" s="369"/>
      <c r="K191" s="360"/>
      <c r="L191" s="361"/>
      <c r="M191" s="360"/>
      <c r="N191" s="355"/>
      <c r="O191" s="364">
        <f t="shared" si="54"/>
        <v>2732</v>
      </c>
      <c r="P191" s="375"/>
      <c r="Q191" s="375"/>
      <c r="R191" s="375"/>
      <c r="S191" s="375"/>
      <c r="T191" s="375"/>
      <c r="U191" s="367">
        <v>300</v>
      </c>
      <c r="V191" s="375"/>
      <c r="W191" s="375"/>
      <c r="X191" s="376"/>
      <c r="Y191" s="368"/>
      <c r="Z191" s="376"/>
      <c r="AA191" s="376"/>
      <c r="AB191" s="378"/>
      <c r="AC191" s="375"/>
      <c r="AD191" s="375"/>
      <c r="AE191" s="375"/>
    </row>
    <row r="192" s="264" customFormat="1" ht="12.75" spans="1:31">
      <c r="A192" s="354"/>
      <c r="B192" s="355"/>
      <c r="C192" s="356">
        <v>241216000026</v>
      </c>
      <c r="D192" s="357">
        <v>45638</v>
      </c>
      <c r="E192" s="355" t="s">
        <v>190</v>
      </c>
      <c r="F192" s="355" t="s">
        <v>191</v>
      </c>
      <c r="G192" s="355">
        <v>12.7436</v>
      </c>
      <c r="H192" s="355">
        <v>1324.23</v>
      </c>
      <c r="I192" s="358">
        <v>22939.2</v>
      </c>
      <c r="J192" s="382"/>
      <c r="K192" s="360"/>
      <c r="L192" s="361"/>
      <c r="M192" s="360"/>
      <c r="N192" s="355"/>
      <c r="O192" s="364">
        <f t="shared" si="54"/>
        <v>22939.2</v>
      </c>
      <c r="P192" s="375"/>
      <c r="Q192" s="375"/>
      <c r="R192" s="375"/>
      <c r="S192" s="375"/>
      <c r="T192" s="375"/>
      <c r="U192" s="371"/>
      <c r="V192" s="375"/>
      <c r="W192" s="375"/>
      <c r="X192" s="376"/>
      <c r="Y192" s="368"/>
      <c r="Z192" s="376"/>
      <c r="AA192" s="376"/>
      <c r="AB192" s="378"/>
      <c r="AC192" s="375"/>
      <c r="AD192" s="375"/>
      <c r="AE192" s="375"/>
    </row>
    <row r="193" s="264" customFormat="1" ht="12.75" spans="1:31">
      <c r="A193" s="354"/>
      <c r="B193" s="355"/>
      <c r="C193" s="356">
        <v>241208000009</v>
      </c>
      <c r="D193" s="357">
        <v>45636</v>
      </c>
      <c r="E193" s="355" t="s">
        <v>91</v>
      </c>
      <c r="F193" s="355" t="s">
        <v>365</v>
      </c>
      <c r="G193" s="355">
        <v>4.1388</v>
      </c>
      <c r="H193" s="355">
        <v>540</v>
      </c>
      <c r="I193" s="364"/>
      <c r="J193" s="370">
        <v>2050281</v>
      </c>
      <c r="K193" s="360"/>
      <c r="L193" s="361">
        <f t="shared" ref="L193:L196" si="55">SUM(J193/M193)</f>
        <v>1597.9992673593</v>
      </c>
      <c r="M193" s="362">
        <v>1283.03</v>
      </c>
      <c r="N193" s="355">
        <v>7.27</v>
      </c>
      <c r="O193" s="364">
        <f t="shared" ref="O193:O196" si="56">SUM(M193*N193)</f>
        <v>9327.6281</v>
      </c>
      <c r="P193" s="375"/>
      <c r="Q193" s="375"/>
      <c r="R193" s="375"/>
      <c r="S193" s="375"/>
      <c r="T193" s="375"/>
      <c r="U193" s="379"/>
      <c r="V193" s="375"/>
      <c r="W193" s="375"/>
      <c r="X193" s="376"/>
      <c r="Y193" s="368"/>
      <c r="Z193" s="376"/>
      <c r="AA193" s="376"/>
      <c r="AB193" s="378"/>
      <c r="AC193" s="375"/>
      <c r="AD193" s="375"/>
      <c r="AE193" s="375"/>
    </row>
    <row r="194" s="264" customFormat="1" ht="12.75" spans="1:31">
      <c r="A194" s="354"/>
      <c r="B194" s="355"/>
      <c r="C194" s="356">
        <v>241210000005</v>
      </c>
      <c r="D194" s="357">
        <v>45636</v>
      </c>
      <c r="E194" s="355" t="s">
        <v>44</v>
      </c>
      <c r="F194" s="355" t="s">
        <v>366</v>
      </c>
      <c r="G194" s="355">
        <v>17.6161</v>
      </c>
      <c r="H194" s="355">
        <v>1662</v>
      </c>
      <c r="I194" s="364"/>
      <c r="J194" s="370">
        <v>7918392</v>
      </c>
      <c r="K194" s="360"/>
      <c r="L194" s="361">
        <f t="shared" si="55"/>
        <v>1550</v>
      </c>
      <c r="M194" s="362">
        <v>5108.64</v>
      </c>
      <c r="N194" s="355">
        <v>7.27</v>
      </c>
      <c r="O194" s="364">
        <f t="shared" si="56"/>
        <v>37139.8128</v>
      </c>
      <c r="P194" s="379"/>
      <c r="Q194" s="379"/>
      <c r="R194" s="379"/>
      <c r="S194" s="379"/>
      <c r="T194" s="379"/>
      <c r="U194" s="367">
        <v>200</v>
      </c>
      <c r="V194" s="379"/>
      <c r="W194" s="379"/>
      <c r="X194" s="377"/>
      <c r="Y194" s="368"/>
      <c r="Z194" s="377"/>
      <c r="AA194" s="377"/>
      <c r="AB194" s="380"/>
      <c r="AC194" s="379"/>
      <c r="AD194" s="379"/>
      <c r="AE194" s="379"/>
    </row>
    <row r="195" s="264" customFormat="1" ht="12.75" spans="1:31">
      <c r="A195" s="354" t="s">
        <v>367</v>
      </c>
      <c r="B195" s="355" t="s">
        <v>368</v>
      </c>
      <c r="C195" s="356">
        <v>241122000025</v>
      </c>
      <c r="D195" s="357">
        <v>45636</v>
      </c>
      <c r="E195" s="355" t="s">
        <v>52</v>
      </c>
      <c r="F195" s="355" t="s">
        <v>369</v>
      </c>
      <c r="G195" s="355">
        <v>3.6276</v>
      </c>
      <c r="H195" s="355">
        <v>1507</v>
      </c>
      <c r="I195" s="364"/>
      <c r="J195" s="370">
        <v>2696680</v>
      </c>
      <c r="K195" s="360"/>
      <c r="L195" s="361">
        <f t="shared" si="55"/>
        <v>1630.00483558994</v>
      </c>
      <c r="M195" s="362">
        <v>1654.4</v>
      </c>
      <c r="N195" s="355">
        <v>7.27</v>
      </c>
      <c r="O195" s="364">
        <f t="shared" si="56"/>
        <v>12027.488</v>
      </c>
      <c r="P195" s="371">
        <f>SUM(O195:O202)</f>
        <v>148560.866</v>
      </c>
      <c r="Q195" s="372" t="s">
        <v>370</v>
      </c>
      <c r="R195" s="371">
        <v>48851.5</v>
      </c>
      <c r="S195" s="371"/>
      <c r="T195" s="371">
        <v>1000</v>
      </c>
      <c r="U195" s="371"/>
      <c r="V195" s="371"/>
      <c r="W195" s="371">
        <f>SUM(R195:V202)</f>
        <v>49851.5</v>
      </c>
      <c r="X195" s="373">
        <v>11570.25</v>
      </c>
      <c r="Y195" s="368">
        <v>315.51</v>
      </c>
      <c r="Z195" s="373">
        <v>140.12</v>
      </c>
      <c r="AA195" s="373">
        <f>SUM(X195:Z202)</f>
        <v>12791.95</v>
      </c>
      <c r="AB195" s="374">
        <v>7.25</v>
      </c>
      <c r="AC195" s="371">
        <f>SUM(AA195*AB195)</f>
        <v>92741.6375</v>
      </c>
      <c r="AD195" s="371">
        <f>SUM(W195+AC195)</f>
        <v>142593.1375</v>
      </c>
      <c r="AE195" s="371">
        <f>SUM(P195-AD195)</f>
        <v>5967.72849999997</v>
      </c>
    </row>
    <row r="196" s="264" customFormat="1" ht="12.75" spans="1:31">
      <c r="A196" s="354"/>
      <c r="B196" s="355"/>
      <c r="C196" s="356">
        <v>241202000029</v>
      </c>
      <c r="D196" s="357">
        <v>45636</v>
      </c>
      <c r="E196" s="355" t="s">
        <v>52</v>
      </c>
      <c r="F196" s="355" t="s">
        <v>371</v>
      </c>
      <c r="G196" s="355">
        <v>8.2313</v>
      </c>
      <c r="H196" s="355">
        <v>1683</v>
      </c>
      <c r="I196" s="364"/>
      <c r="J196" s="370">
        <v>4862127</v>
      </c>
      <c r="K196" s="360"/>
      <c r="L196" s="361">
        <f t="shared" si="55"/>
        <v>1630</v>
      </c>
      <c r="M196" s="362">
        <v>2982.9</v>
      </c>
      <c r="N196" s="355">
        <v>7.28</v>
      </c>
      <c r="O196" s="364">
        <f t="shared" si="56"/>
        <v>21715.512</v>
      </c>
      <c r="P196" s="375"/>
      <c r="Q196" s="375"/>
      <c r="R196" s="375"/>
      <c r="S196" s="375"/>
      <c r="T196" s="375"/>
      <c r="U196" s="375"/>
      <c r="V196" s="375"/>
      <c r="W196" s="375"/>
      <c r="X196" s="376"/>
      <c r="Y196" s="368">
        <v>715.9</v>
      </c>
      <c r="Z196" s="376"/>
      <c r="AA196" s="376"/>
      <c r="AB196" s="378"/>
      <c r="AC196" s="375"/>
      <c r="AD196" s="375"/>
      <c r="AE196" s="375"/>
    </row>
    <row r="197" s="264" customFormat="1" ht="12.75" spans="1:31">
      <c r="A197" s="354"/>
      <c r="B197" s="355"/>
      <c r="C197" s="356">
        <v>241203000014</v>
      </c>
      <c r="D197" s="357">
        <v>45636</v>
      </c>
      <c r="E197" s="355" t="s">
        <v>37</v>
      </c>
      <c r="F197" s="355" t="s">
        <v>121</v>
      </c>
      <c r="G197" s="355">
        <v>13.3392</v>
      </c>
      <c r="H197" s="355">
        <v>17441</v>
      </c>
      <c r="I197" s="358">
        <v>35368.5</v>
      </c>
      <c r="J197" s="369"/>
      <c r="K197" s="360"/>
      <c r="L197" s="361"/>
      <c r="M197" s="355"/>
      <c r="N197" s="355"/>
      <c r="O197" s="364">
        <f>SUM(I197)</f>
        <v>35368.5</v>
      </c>
      <c r="P197" s="375"/>
      <c r="Q197" s="375"/>
      <c r="R197" s="375"/>
      <c r="S197" s="375"/>
      <c r="T197" s="375"/>
      <c r="U197" s="375"/>
      <c r="V197" s="375"/>
      <c r="W197" s="375"/>
      <c r="X197" s="376"/>
      <c r="Y197" s="368"/>
      <c r="Z197" s="376"/>
      <c r="AA197" s="376"/>
      <c r="AB197" s="378"/>
      <c r="AC197" s="375"/>
      <c r="AD197" s="375"/>
      <c r="AE197" s="375"/>
    </row>
    <row r="198" s="264" customFormat="1" ht="12.75" spans="1:31">
      <c r="A198" s="354"/>
      <c r="B198" s="355"/>
      <c r="C198" s="356">
        <v>241204000017</v>
      </c>
      <c r="D198" s="357">
        <v>45636</v>
      </c>
      <c r="E198" s="355" t="s">
        <v>52</v>
      </c>
      <c r="F198" s="355" t="s">
        <v>372</v>
      </c>
      <c r="G198" s="355">
        <v>0.5672</v>
      </c>
      <c r="H198" s="355">
        <v>104</v>
      </c>
      <c r="I198" s="364"/>
      <c r="J198" s="370">
        <v>270180</v>
      </c>
      <c r="K198" s="360"/>
      <c r="L198" s="361">
        <f>SUM(J198/M198)</f>
        <v>1580</v>
      </c>
      <c r="M198" s="362">
        <v>171</v>
      </c>
      <c r="N198" s="355">
        <v>7.29</v>
      </c>
      <c r="O198" s="364">
        <f>SUM(M198*N198)</f>
        <v>1246.59</v>
      </c>
      <c r="P198" s="375"/>
      <c r="Q198" s="375"/>
      <c r="R198" s="375"/>
      <c r="S198" s="375"/>
      <c r="T198" s="375"/>
      <c r="U198" s="375"/>
      <c r="V198" s="375"/>
      <c r="W198" s="375"/>
      <c r="X198" s="376"/>
      <c r="Y198" s="368">
        <v>49.33</v>
      </c>
      <c r="Z198" s="376"/>
      <c r="AA198" s="376"/>
      <c r="AB198" s="378"/>
      <c r="AC198" s="375"/>
      <c r="AD198" s="375"/>
      <c r="AE198" s="375"/>
    </row>
    <row r="199" s="264" customFormat="1" ht="12.75" spans="1:31">
      <c r="A199" s="354"/>
      <c r="B199" s="355"/>
      <c r="C199" s="356">
        <v>241209000071</v>
      </c>
      <c r="D199" s="357">
        <v>45636</v>
      </c>
      <c r="E199" s="355" t="s">
        <v>40</v>
      </c>
      <c r="F199" s="355" t="s">
        <v>134</v>
      </c>
      <c r="G199" s="355">
        <v>0.1971</v>
      </c>
      <c r="H199" s="355">
        <v>30.5</v>
      </c>
      <c r="I199" s="358">
        <v>788.4</v>
      </c>
      <c r="J199" s="369"/>
      <c r="K199" s="360"/>
      <c r="L199" s="361"/>
      <c r="M199" s="360"/>
      <c r="N199" s="355"/>
      <c r="O199" s="364">
        <f t="shared" ref="O199:O201" si="57">SUBTOTAL(9,I199)</f>
        <v>788.4</v>
      </c>
      <c r="P199" s="375"/>
      <c r="Q199" s="375"/>
      <c r="R199" s="375"/>
      <c r="S199" s="375"/>
      <c r="T199" s="375"/>
      <c r="U199" s="375"/>
      <c r="V199" s="375"/>
      <c r="W199" s="375"/>
      <c r="X199" s="376"/>
      <c r="Y199" s="368">
        <v>0.84</v>
      </c>
      <c r="Z199" s="376"/>
      <c r="AA199" s="376"/>
      <c r="AB199" s="378"/>
      <c r="AC199" s="375"/>
      <c r="AD199" s="375"/>
      <c r="AE199" s="375"/>
    </row>
    <row r="200" s="264" customFormat="1" ht="12.75" spans="1:31">
      <c r="A200" s="354"/>
      <c r="B200" s="355"/>
      <c r="C200" s="356">
        <v>241216000026</v>
      </c>
      <c r="D200" s="357">
        <v>45638</v>
      </c>
      <c r="E200" s="355" t="s">
        <v>190</v>
      </c>
      <c r="F200" s="355" t="s">
        <v>191</v>
      </c>
      <c r="G200" s="355">
        <v>11.0893</v>
      </c>
      <c r="H200" s="355">
        <v>1146.94</v>
      </c>
      <c r="I200" s="358">
        <v>19958.4</v>
      </c>
      <c r="J200" s="382"/>
      <c r="K200" s="360"/>
      <c r="L200" s="361"/>
      <c r="M200" s="360"/>
      <c r="N200" s="355"/>
      <c r="O200" s="364">
        <f t="shared" si="57"/>
        <v>19958.4</v>
      </c>
      <c r="P200" s="375"/>
      <c r="Q200" s="375"/>
      <c r="R200" s="375"/>
      <c r="S200" s="375"/>
      <c r="T200" s="375"/>
      <c r="U200" s="375"/>
      <c r="V200" s="375"/>
      <c r="W200" s="375"/>
      <c r="X200" s="376"/>
      <c r="Y200" s="368"/>
      <c r="Z200" s="376"/>
      <c r="AA200" s="376"/>
      <c r="AB200" s="378"/>
      <c r="AC200" s="375"/>
      <c r="AD200" s="375"/>
      <c r="AE200" s="375"/>
    </row>
    <row r="201" s="264" customFormat="1" ht="12.75" spans="1:31">
      <c r="A201" s="354"/>
      <c r="B201" s="355"/>
      <c r="C201" s="356">
        <v>241210000006</v>
      </c>
      <c r="D201" s="357">
        <v>45636</v>
      </c>
      <c r="E201" s="355" t="s">
        <v>44</v>
      </c>
      <c r="F201" s="355" t="s">
        <v>59</v>
      </c>
      <c r="G201" s="355">
        <v>35.4</v>
      </c>
      <c r="H201" s="355">
        <v>5354</v>
      </c>
      <c r="I201" s="358">
        <v>56540.88</v>
      </c>
      <c r="J201" s="369"/>
      <c r="K201" s="360"/>
      <c r="L201" s="361"/>
      <c r="M201" s="362"/>
      <c r="N201" s="355"/>
      <c r="O201" s="364">
        <f t="shared" si="57"/>
        <v>56540.88</v>
      </c>
      <c r="P201" s="375"/>
      <c r="Q201" s="375"/>
      <c r="R201" s="375"/>
      <c r="S201" s="375"/>
      <c r="T201" s="375"/>
      <c r="U201" s="375"/>
      <c r="V201" s="375"/>
      <c r="W201" s="375"/>
      <c r="X201" s="376"/>
      <c r="Y201" s="368"/>
      <c r="Z201" s="376"/>
      <c r="AA201" s="376"/>
      <c r="AB201" s="378"/>
      <c r="AC201" s="375"/>
      <c r="AD201" s="375"/>
      <c r="AE201" s="375"/>
    </row>
    <row r="202" s="264" customFormat="1" ht="12.75" spans="1:31">
      <c r="A202" s="354"/>
      <c r="B202" s="355"/>
      <c r="C202" s="356">
        <v>241216000056</v>
      </c>
      <c r="D202" s="357">
        <v>45636</v>
      </c>
      <c r="E202" s="355" t="s">
        <v>52</v>
      </c>
      <c r="F202" s="355" t="s">
        <v>308</v>
      </c>
      <c r="G202" s="355">
        <v>0.3809</v>
      </c>
      <c r="H202" s="355">
        <v>90</v>
      </c>
      <c r="I202" s="364"/>
      <c r="J202" s="370">
        <v>197726.1</v>
      </c>
      <c r="K202" s="360"/>
      <c r="L202" s="361">
        <f>SUM(J202/M202)</f>
        <v>1573</v>
      </c>
      <c r="M202" s="362">
        <v>125.7</v>
      </c>
      <c r="N202" s="355">
        <v>7.28</v>
      </c>
      <c r="O202" s="364">
        <f>SUM(M202*N202)</f>
        <v>915.096</v>
      </c>
      <c r="P202" s="379"/>
      <c r="Q202" s="379"/>
      <c r="R202" s="379"/>
      <c r="S202" s="379"/>
      <c r="T202" s="379"/>
      <c r="U202" s="379"/>
      <c r="V202" s="379"/>
      <c r="W202" s="379"/>
      <c r="X202" s="377"/>
      <c r="Y202" s="368"/>
      <c r="Z202" s="377"/>
      <c r="AA202" s="377"/>
      <c r="AB202" s="380"/>
      <c r="AC202" s="379"/>
      <c r="AD202" s="379"/>
      <c r="AE202" s="379"/>
    </row>
    <row r="203" s="264" customFormat="1" ht="12.75" spans="1:31">
      <c r="A203" s="354" t="s">
        <v>373</v>
      </c>
      <c r="B203" s="355" t="s">
        <v>374</v>
      </c>
      <c r="C203" s="356">
        <v>241023000034</v>
      </c>
      <c r="D203" s="357">
        <v>45638</v>
      </c>
      <c r="E203" s="355" t="s">
        <v>40</v>
      </c>
      <c r="F203" s="355" t="s">
        <v>130</v>
      </c>
      <c r="G203" s="355">
        <v>0.3134</v>
      </c>
      <c r="H203" s="355">
        <v>126</v>
      </c>
      <c r="I203" s="358">
        <v>906</v>
      </c>
      <c r="J203" s="369"/>
      <c r="K203" s="360"/>
      <c r="L203" s="361"/>
      <c r="M203" s="360"/>
      <c r="N203" s="355"/>
      <c r="O203" s="364">
        <f t="shared" ref="O203:O206" si="58">SUBTOTAL(9,I203)</f>
        <v>906</v>
      </c>
      <c r="P203" s="371">
        <f>SUM(O203:O212)</f>
        <v>146435.8084</v>
      </c>
      <c r="Q203" s="372" t="s">
        <v>375</v>
      </c>
      <c r="R203" s="371">
        <v>48759.5</v>
      </c>
      <c r="S203" s="371"/>
      <c r="T203" s="371">
        <v>1800</v>
      </c>
      <c r="U203" s="367"/>
      <c r="V203" s="371"/>
      <c r="W203" s="371">
        <f>SUM(R203:V212)</f>
        <v>51799.5</v>
      </c>
      <c r="X203" s="373">
        <v>11621.97</v>
      </c>
      <c r="Y203" s="373"/>
      <c r="Z203" s="373">
        <v>140.12</v>
      </c>
      <c r="AA203" s="373">
        <f>SUM(X203:Z212)</f>
        <v>11762.09</v>
      </c>
      <c r="AB203" s="374">
        <v>7.25</v>
      </c>
      <c r="AC203" s="371">
        <f>SUM(AA203*AB203)</f>
        <v>85275.1525</v>
      </c>
      <c r="AD203" s="371">
        <f>SUM(W203+AC203)</f>
        <v>137074.6525</v>
      </c>
      <c r="AE203" s="371">
        <f>SUM(P203-AD203)</f>
        <v>9361.15590000001</v>
      </c>
    </row>
    <row r="204" s="264" customFormat="1" ht="12.75" spans="1:31">
      <c r="A204" s="354"/>
      <c r="B204" s="355"/>
      <c r="C204" s="356">
        <v>241115000013</v>
      </c>
      <c r="D204" s="357">
        <v>45638</v>
      </c>
      <c r="E204" s="355" t="s">
        <v>40</v>
      </c>
      <c r="F204" s="355" t="s">
        <v>158</v>
      </c>
      <c r="G204" s="355">
        <v>0.367</v>
      </c>
      <c r="H204" s="355">
        <v>106</v>
      </c>
      <c r="I204" s="358">
        <v>780</v>
      </c>
      <c r="J204" s="369"/>
      <c r="K204" s="360"/>
      <c r="L204" s="361"/>
      <c r="M204" s="360"/>
      <c r="N204" s="355"/>
      <c r="O204" s="364">
        <f t="shared" si="58"/>
        <v>780</v>
      </c>
      <c r="P204" s="375"/>
      <c r="Q204" s="375"/>
      <c r="R204" s="375"/>
      <c r="S204" s="375"/>
      <c r="T204" s="375"/>
      <c r="U204" s="367">
        <v>240</v>
      </c>
      <c r="V204" s="375"/>
      <c r="W204" s="375"/>
      <c r="X204" s="376"/>
      <c r="Y204" s="376"/>
      <c r="Z204" s="376"/>
      <c r="AA204" s="376"/>
      <c r="AB204" s="378"/>
      <c r="AC204" s="375"/>
      <c r="AD204" s="375"/>
      <c r="AE204" s="375"/>
    </row>
    <row r="205" s="264" customFormat="1" ht="12.75" spans="1:31">
      <c r="A205" s="354"/>
      <c r="B205" s="355"/>
      <c r="C205" s="356">
        <v>241126000049</v>
      </c>
      <c r="D205" s="357">
        <v>45638</v>
      </c>
      <c r="E205" s="355" t="s">
        <v>40</v>
      </c>
      <c r="F205" s="355" t="s">
        <v>199</v>
      </c>
      <c r="G205" s="355">
        <v>2.7422</v>
      </c>
      <c r="H205" s="355">
        <v>1148</v>
      </c>
      <c r="I205" s="358">
        <v>7878</v>
      </c>
      <c r="J205" s="369"/>
      <c r="K205" s="360"/>
      <c r="L205" s="361"/>
      <c r="M205" s="360"/>
      <c r="N205" s="355"/>
      <c r="O205" s="364">
        <f t="shared" si="58"/>
        <v>7878</v>
      </c>
      <c r="P205" s="375"/>
      <c r="Q205" s="375"/>
      <c r="R205" s="375"/>
      <c r="S205" s="375"/>
      <c r="T205" s="375"/>
      <c r="U205" s="367">
        <v>1000</v>
      </c>
      <c r="V205" s="375"/>
      <c r="W205" s="375"/>
      <c r="X205" s="376"/>
      <c r="Y205" s="376"/>
      <c r="Z205" s="376"/>
      <c r="AA205" s="376"/>
      <c r="AB205" s="378"/>
      <c r="AC205" s="375"/>
      <c r="AD205" s="375"/>
      <c r="AE205" s="375"/>
    </row>
    <row r="206" s="264" customFormat="1" ht="12.75" spans="1:31">
      <c r="A206" s="354"/>
      <c r="B206" s="355"/>
      <c r="C206" s="356">
        <v>241209000082</v>
      </c>
      <c r="D206" s="357">
        <v>45638</v>
      </c>
      <c r="E206" s="355" t="s">
        <v>52</v>
      </c>
      <c r="F206" s="355" t="s">
        <v>376</v>
      </c>
      <c r="G206" s="355">
        <v>2.4778</v>
      </c>
      <c r="H206" s="355">
        <v>1373</v>
      </c>
      <c r="I206" s="358">
        <v>6015.2</v>
      </c>
      <c r="J206" s="369"/>
      <c r="K206" s="360"/>
      <c r="L206" s="361"/>
      <c r="M206" s="360"/>
      <c r="N206" s="355"/>
      <c r="O206" s="364">
        <f t="shared" si="58"/>
        <v>6015.2</v>
      </c>
      <c r="P206" s="375"/>
      <c r="Q206" s="375"/>
      <c r="R206" s="375"/>
      <c r="S206" s="375"/>
      <c r="T206" s="375"/>
      <c r="U206" s="371"/>
      <c r="V206" s="375"/>
      <c r="W206" s="375"/>
      <c r="X206" s="376"/>
      <c r="Y206" s="376"/>
      <c r="Z206" s="376"/>
      <c r="AA206" s="376"/>
      <c r="AB206" s="378"/>
      <c r="AC206" s="375"/>
      <c r="AD206" s="375"/>
      <c r="AE206" s="375"/>
    </row>
    <row r="207" s="264" customFormat="1" ht="12.75" spans="1:31">
      <c r="A207" s="354"/>
      <c r="B207" s="355"/>
      <c r="C207" s="356">
        <v>241209000084</v>
      </c>
      <c r="D207" s="357">
        <v>45638</v>
      </c>
      <c r="E207" s="355" t="s">
        <v>44</v>
      </c>
      <c r="F207" s="355" t="s">
        <v>112</v>
      </c>
      <c r="G207" s="355">
        <v>3.5753</v>
      </c>
      <c r="H207" s="355">
        <v>397</v>
      </c>
      <c r="I207" s="364"/>
      <c r="J207" s="370">
        <v>1527152.06</v>
      </c>
      <c r="K207" s="360"/>
      <c r="L207" s="361">
        <f>SUM(J207/M207)</f>
        <v>1582</v>
      </c>
      <c r="M207" s="362">
        <v>965.33</v>
      </c>
      <c r="N207" s="355">
        <v>7.18</v>
      </c>
      <c r="O207" s="364">
        <f>SUM(M207*N207)</f>
        <v>6931.0694</v>
      </c>
      <c r="P207" s="375"/>
      <c r="Q207" s="375"/>
      <c r="R207" s="375"/>
      <c r="S207" s="375"/>
      <c r="T207" s="375"/>
      <c r="U207" s="375"/>
      <c r="V207" s="375"/>
      <c r="W207" s="375"/>
      <c r="X207" s="376"/>
      <c r="Y207" s="376"/>
      <c r="Z207" s="376"/>
      <c r="AA207" s="376"/>
      <c r="AB207" s="378"/>
      <c r="AC207" s="375"/>
      <c r="AD207" s="375"/>
      <c r="AE207" s="375"/>
    </row>
    <row r="208" s="264" customFormat="1" ht="12.75" spans="1:31">
      <c r="A208" s="354"/>
      <c r="B208" s="355"/>
      <c r="C208" s="356">
        <v>241211000002</v>
      </c>
      <c r="D208" s="357">
        <v>45638</v>
      </c>
      <c r="E208" s="355" t="s">
        <v>37</v>
      </c>
      <c r="F208" s="355" t="s">
        <v>121</v>
      </c>
      <c r="G208" s="355">
        <v>13.0793</v>
      </c>
      <c r="H208" s="355">
        <v>19192</v>
      </c>
      <c r="I208" s="358">
        <v>38909</v>
      </c>
      <c r="J208" s="369"/>
      <c r="K208" s="360"/>
      <c r="L208" s="361"/>
      <c r="M208" s="355"/>
      <c r="N208" s="355"/>
      <c r="O208" s="364">
        <f>SUM(I208)</f>
        <v>38909</v>
      </c>
      <c r="P208" s="375"/>
      <c r="Q208" s="375"/>
      <c r="R208" s="375"/>
      <c r="S208" s="375"/>
      <c r="T208" s="375"/>
      <c r="U208" s="375"/>
      <c r="V208" s="375"/>
      <c r="W208" s="375"/>
      <c r="X208" s="376"/>
      <c r="Y208" s="376"/>
      <c r="Z208" s="376"/>
      <c r="AA208" s="376"/>
      <c r="AB208" s="378"/>
      <c r="AC208" s="375"/>
      <c r="AD208" s="375"/>
      <c r="AE208" s="375"/>
    </row>
    <row r="209" s="264" customFormat="1" ht="12.75" spans="1:31">
      <c r="A209" s="354"/>
      <c r="B209" s="355"/>
      <c r="C209" s="356">
        <v>241211000045</v>
      </c>
      <c r="D209" s="357">
        <v>45638</v>
      </c>
      <c r="E209" s="355" t="s">
        <v>44</v>
      </c>
      <c r="F209" s="355" t="s">
        <v>112</v>
      </c>
      <c r="G209" s="355">
        <v>10.4649</v>
      </c>
      <c r="H209" s="355">
        <v>835</v>
      </c>
      <c r="I209" s="364"/>
      <c r="J209" s="370">
        <v>4470020.1</v>
      </c>
      <c r="K209" s="360"/>
      <c r="L209" s="361">
        <f>SUM(J209/M209)</f>
        <v>1582</v>
      </c>
      <c r="M209" s="362">
        <v>2825.55</v>
      </c>
      <c r="N209" s="355">
        <v>7.18</v>
      </c>
      <c r="O209" s="364">
        <f>SUM(M209*N209)</f>
        <v>20287.449</v>
      </c>
      <c r="P209" s="375"/>
      <c r="Q209" s="375"/>
      <c r="R209" s="375"/>
      <c r="S209" s="375"/>
      <c r="T209" s="375"/>
      <c r="U209" s="375"/>
      <c r="V209" s="375"/>
      <c r="W209" s="375"/>
      <c r="X209" s="376"/>
      <c r="Y209" s="376"/>
      <c r="Z209" s="376"/>
      <c r="AA209" s="376"/>
      <c r="AB209" s="378"/>
      <c r="AC209" s="375"/>
      <c r="AD209" s="375"/>
      <c r="AE209" s="375"/>
    </row>
    <row r="210" s="264" customFormat="1" ht="12.75" spans="1:31">
      <c r="A210" s="354"/>
      <c r="B210" s="355"/>
      <c r="C210" s="356">
        <v>241212000002</v>
      </c>
      <c r="D210" s="357">
        <v>45638</v>
      </c>
      <c r="E210" s="355" t="s">
        <v>44</v>
      </c>
      <c r="F210" s="355" t="s">
        <v>59</v>
      </c>
      <c r="G210" s="355">
        <v>29.57</v>
      </c>
      <c r="H210" s="355">
        <v>4902</v>
      </c>
      <c r="I210" s="358">
        <v>47229.2</v>
      </c>
      <c r="J210" s="369"/>
      <c r="K210" s="360"/>
      <c r="L210" s="361"/>
      <c r="M210" s="362"/>
      <c r="N210" s="355"/>
      <c r="O210" s="364">
        <f t="shared" ref="O210:O215" si="59">SUBTOTAL(9,I210)</f>
        <v>47229.2</v>
      </c>
      <c r="P210" s="375"/>
      <c r="Q210" s="375"/>
      <c r="R210" s="375"/>
      <c r="S210" s="375"/>
      <c r="T210" s="375"/>
      <c r="U210" s="375"/>
      <c r="V210" s="375"/>
      <c r="W210" s="375"/>
      <c r="X210" s="376"/>
      <c r="Y210" s="376"/>
      <c r="Z210" s="376"/>
      <c r="AA210" s="376"/>
      <c r="AB210" s="378"/>
      <c r="AC210" s="375"/>
      <c r="AD210" s="375"/>
      <c r="AE210" s="375"/>
    </row>
    <row r="211" s="264" customFormat="1" ht="12.75" spans="1:31">
      <c r="A211" s="354"/>
      <c r="B211" s="355"/>
      <c r="C211" s="356">
        <v>241212000013</v>
      </c>
      <c r="D211" s="357">
        <v>45638</v>
      </c>
      <c r="E211" s="355" t="s">
        <v>190</v>
      </c>
      <c r="F211" s="355" t="s">
        <v>191</v>
      </c>
      <c r="G211" s="355">
        <v>0.0957</v>
      </c>
      <c r="H211" s="355">
        <v>26</v>
      </c>
      <c r="I211" s="358">
        <v>186.05</v>
      </c>
      <c r="J211" s="369"/>
      <c r="K211" s="360"/>
      <c r="L211" s="361"/>
      <c r="M211" s="360"/>
      <c r="N211" s="355"/>
      <c r="O211" s="364">
        <f t="shared" si="59"/>
        <v>186.05</v>
      </c>
      <c r="P211" s="375"/>
      <c r="Q211" s="375"/>
      <c r="R211" s="375"/>
      <c r="S211" s="375"/>
      <c r="T211" s="375"/>
      <c r="U211" s="375"/>
      <c r="V211" s="375"/>
      <c r="W211" s="375"/>
      <c r="X211" s="376"/>
      <c r="Y211" s="376"/>
      <c r="Z211" s="376"/>
      <c r="AA211" s="376"/>
      <c r="AB211" s="378"/>
      <c r="AC211" s="375"/>
      <c r="AD211" s="375"/>
      <c r="AE211" s="375"/>
    </row>
    <row r="212" s="264" customFormat="1" ht="12.75" spans="1:31">
      <c r="A212" s="354"/>
      <c r="B212" s="355"/>
      <c r="C212" s="356">
        <v>241216000026</v>
      </c>
      <c r="D212" s="357">
        <v>45638</v>
      </c>
      <c r="E212" s="355" t="s">
        <v>190</v>
      </c>
      <c r="F212" s="355" t="s">
        <v>191</v>
      </c>
      <c r="G212" s="355">
        <v>9.6179</v>
      </c>
      <c r="H212" s="355">
        <v>931.83</v>
      </c>
      <c r="I212" s="358">
        <v>17313.84</v>
      </c>
      <c r="J212" s="369"/>
      <c r="K212" s="360"/>
      <c r="L212" s="361"/>
      <c r="M212" s="360"/>
      <c r="N212" s="355"/>
      <c r="O212" s="364">
        <f t="shared" si="59"/>
        <v>17313.84</v>
      </c>
      <c r="P212" s="379"/>
      <c r="Q212" s="379"/>
      <c r="R212" s="379"/>
      <c r="S212" s="379"/>
      <c r="T212" s="379"/>
      <c r="U212" s="379"/>
      <c r="V212" s="379"/>
      <c r="W212" s="379"/>
      <c r="X212" s="377"/>
      <c r="Y212" s="377"/>
      <c r="Z212" s="377"/>
      <c r="AA212" s="377"/>
      <c r="AB212" s="380"/>
      <c r="AC212" s="379"/>
      <c r="AD212" s="379"/>
      <c r="AE212" s="379"/>
    </row>
    <row r="213" s="264" customFormat="1" ht="12.75" spans="1:31">
      <c r="A213" s="354" t="s">
        <v>377</v>
      </c>
      <c r="B213" s="355" t="s">
        <v>378</v>
      </c>
      <c r="C213" s="356">
        <v>241127000030</v>
      </c>
      <c r="D213" s="357">
        <v>45643</v>
      </c>
      <c r="E213" s="355" t="s">
        <v>49</v>
      </c>
      <c r="F213" s="355" t="s">
        <v>84</v>
      </c>
      <c r="G213" s="355">
        <v>0.4598</v>
      </c>
      <c r="H213" s="355">
        <v>114</v>
      </c>
      <c r="I213" s="358">
        <v>860.5</v>
      </c>
      <c r="J213" s="369"/>
      <c r="K213" s="360"/>
      <c r="L213" s="361"/>
      <c r="M213" s="360"/>
      <c r="N213" s="355"/>
      <c r="O213" s="364">
        <f t="shared" si="59"/>
        <v>860.5</v>
      </c>
      <c r="P213" s="371">
        <f>SUM(O213:O235)</f>
        <v>185884.7669</v>
      </c>
      <c r="Q213" s="372" t="s">
        <v>379</v>
      </c>
      <c r="R213" s="371">
        <v>50080.5</v>
      </c>
      <c r="S213" s="371"/>
      <c r="T213" s="371">
        <v>2000</v>
      </c>
      <c r="U213" s="371"/>
      <c r="V213" s="371"/>
      <c r="W213" s="371">
        <f>SUM(R213:V235)</f>
        <v>52080.5</v>
      </c>
      <c r="X213" s="373">
        <v>12270</v>
      </c>
      <c r="Y213" s="368">
        <v>76.28</v>
      </c>
      <c r="Z213" s="373">
        <v>55.42</v>
      </c>
      <c r="AA213" s="373">
        <f>SUM(X213:Z235)</f>
        <v>13966.41</v>
      </c>
      <c r="AB213" s="374">
        <v>7.25</v>
      </c>
      <c r="AC213" s="371">
        <f>SUM(AA213*AB213)</f>
        <v>101256.4725</v>
      </c>
      <c r="AD213" s="371">
        <f>SUM(W213+AC213)</f>
        <v>153336.9725</v>
      </c>
      <c r="AE213" s="371">
        <f>SUM(P213-AD213)</f>
        <v>32547.7944</v>
      </c>
    </row>
    <row r="214" s="264" customFormat="1" ht="12.75" spans="1:31">
      <c r="A214" s="354"/>
      <c r="B214" s="355"/>
      <c r="C214" s="356">
        <v>241209000067</v>
      </c>
      <c r="D214" s="357">
        <v>45643</v>
      </c>
      <c r="E214" s="355" t="s">
        <v>40</v>
      </c>
      <c r="F214" s="355" t="s">
        <v>41</v>
      </c>
      <c r="G214" s="355">
        <v>0.023</v>
      </c>
      <c r="H214" s="355">
        <v>43</v>
      </c>
      <c r="I214" s="358">
        <v>152.5</v>
      </c>
      <c r="J214" s="369"/>
      <c r="K214" s="360"/>
      <c r="L214" s="361"/>
      <c r="M214" s="360"/>
      <c r="N214" s="355"/>
      <c r="O214" s="364">
        <f t="shared" si="59"/>
        <v>152.5</v>
      </c>
      <c r="P214" s="375"/>
      <c r="Q214" s="375"/>
      <c r="R214" s="375"/>
      <c r="S214" s="375"/>
      <c r="T214" s="375"/>
      <c r="U214" s="375"/>
      <c r="V214" s="375"/>
      <c r="W214" s="375"/>
      <c r="X214" s="376"/>
      <c r="Y214" s="368"/>
      <c r="Z214" s="376"/>
      <c r="AA214" s="376"/>
      <c r="AB214" s="378"/>
      <c r="AC214" s="375"/>
      <c r="AD214" s="375"/>
      <c r="AE214" s="375"/>
    </row>
    <row r="215" s="264" customFormat="1" ht="12.75" spans="1:31">
      <c r="A215" s="354"/>
      <c r="B215" s="355"/>
      <c r="C215" s="356">
        <v>241209000092</v>
      </c>
      <c r="D215" s="357">
        <v>45643</v>
      </c>
      <c r="E215" s="355" t="s">
        <v>49</v>
      </c>
      <c r="F215" s="355" t="s">
        <v>324</v>
      </c>
      <c r="G215" s="355">
        <v>0.1652</v>
      </c>
      <c r="H215" s="355">
        <v>33</v>
      </c>
      <c r="I215" s="358">
        <v>565</v>
      </c>
      <c r="J215" s="369"/>
      <c r="K215" s="360"/>
      <c r="L215" s="361"/>
      <c r="M215" s="360"/>
      <c r="N215" s="355"/>
      <c r="O215" s="364">
        <f t="shared" si="59"/>
        <v>565</v>
      </c>
      <c r="P215" s="375"/>
      <c r="Q215" s="375"/>
      <c r="R215" s="375"/>
      <c r="S215" s="375"/>
      <c r="T215" s="375"/>
      <c r="U215" s="375"/>
      <c r="V215" s="375"/>
      <c r="W215" s="375"/>
      <c r="X215" s="376"/>
      <c r="Y215" s="368">
        <v>19.6</v>
      </c>
      <c r="Z215" s="376"/>
      <c r="AA215" s="376"/>
      <c r="AB215" s="378"/>
      <c r="AC215" s="375"/>
      <c r="AD215" s="375"/>
      <c r="AE215" s="375"/>
    </row>
    <row r="216" s="264" customFormat="1" ht="12.75" spans="1:31">
      <c r="A216" s="354"/>
      <c r="B216" s="355"/>
      <c r="C216" s="356">
        <v>241210000030</v>
      </c>
      <c r="D216" s="357">
        <v>45643</v>
      </c>
      <c r="E216" s="355" t="s">
        <v>49</v>
      </c>
      <c r="F216" s="355" t="s">
        <v>372</v>
      </c>
      <c r="G216" s="355">
        <v>0.5114</v>
      </c>
      <c r="H216" s="355">
        <v>65</v>
      </c>
      <c r="I216" s="364"/>
      <c r="J216" s="370">
        <v>312494</v>
      </c>
      <c r="K216" s="360"/>
      <c r="L216" s="361">
        <f>SUM(J216/M216)</f>
        <v>1651.48504386428</v>
      </c>
      <c r="M216" s="362">
        <v>189.22</v>
      </c>
      <c r="N216" s="355">
        <v>7.27</v>
      </c>
      <c r="O216" s="364">
        <f>SUM(M216*N216)</f>
        <v>1375.6294</v>
      </c>
      <c r="P216" s="375"/>
      <c r="Q216" s="375"/>
      <c r="R216" s="375"/>
      <c r="S216" s="375"/>
      <c r="T216" s="375"/>
      <c r="U216" s="375"/>
      <c r="V216" s="375"/>
      <c r="W216" s="375"/>
      <c r="X216" s="376"/>
      <c r="Y216" s="368"/>
      <c r="Z216" s="376"/>
      <c r="AA216" s="376"/>
      <c r="AB216" s="378"/>
      <c r="AC216" s="375"/>
      <c r="AD216" s="375"/>
      <c r="AE216" s="375"/>
    </row>
    <row r="217" s="264" customFormat="1" ht="12.75" spans="1:31">
      <c r="A217" s="354"/>
      <c r="B217" s="355"/>
      <c r="C217" s="356">
        <v>241210000041</v>
      </c>
      <c r="D217" s="357">
        <v>45643</v>
      </c>
      <c r="E217" s="355" t="s">
        <v>49</v>
      </c>
      <c r="F217" s="355" t="s">
        <v>380</v>
      </c>
      <c r="G217" s="355">
        <v>0.7637</v>
      </c>
      <c r="H217" s="355">
        <v>207</v>
      </c>
      <c r="I217" s="358">
        <v>1810.4</v>
      </c>
      <c r="J217" s="369"/>
      <c r="K217" s="360"/>
      <c r="L217" s="361"/>
      <c r="M217" s="360"/>
      <c r="N217" s="355"/>
      <c r="O217" s="364">
        <f t="shared" ref="O217:O222" si="60">SUBTOTAL(9,I217)</f>
        <v>1810.4</v>
      </c>
      <c r="P217" s="375"/>
      <c r="Q217" s="375"/>
      <c r="R217" s="375"/>
      <c r="S217" s="375"/>
      <c r="T217" s="375"/>
      <c r="U217" s="375"/>
      <c r="V217" s="375"/>
      <c r="W217" s="375"/>
      <c r="X217" s="376"/>
      <c r="Y217" s="368"/>
      <c r="Z217" s="376"/>
      <c r="AA217" s="376"/>
      <c r="AB217" s="378"/>
      <c r="AC217" s="375"/>
      <c r="AD217" s="375"/>
      <c r="AE217" s="375"/>
    </row>
    <row r="218" s="264" customFormat="1" ht="12.75" spans="1:31">
      <c r="A218" s="354"/>
      <c r="B218" s="355"/>
      <c r="C218" s="356">
        <v>241211000027</v>
      </c>
      <c r="D218" s="357">
        <v>45643</v>
      </c>
      <c r="E218" s="355" t="s">
        <v>40</v>
      </c>
      <c r="F218" s="355" t="s">
        <v>134</v>
      </c>
      <c r="G218" s="355">
        <v>23.8172</v>
      </c>
      <c r="H218" s="355">
        <v>4565</v>
      </c>
      <c r="I218" s="358">
        <v>54267</v>
      </c>
      <c r="J218" s="369"/>
      <c r="K218" s="360"/>
      <c r="L218" s="361"/>
      <c r="M218" s="360"/>
      <c r="N218" s="355"/>
      <c r="O218" s="364">
        <f t="shared" si="60"/>
        <v>54267</v>
      </c>
      <c r="P218" s="375"/>
      <c r="Q218" s="375"/>
      <c r="R218" s="375"/>
      <c r="S218" s="375"/>
      <c r="T218" s="375"/>
      <c r="U218" s="375"/>
      <c r="V218" s="375"/>
      <c r="W218" s="375"/>
      <c r="X218" s="376"/>
      <c r="Y218" s="368">
        <v>136.87</v>
      </c>
      <c r="Z218" s="376"/>
      <c r="AA218" s="376"/>
      <c r="AB218" s="378"/>
      <c r="AC218" s="375"/>
      <c r="AD218" s="375"/>
      <c r="AE218" s="375"/>
    </row>
    <row r="219" s="264" customFormat="1" ht="12.75" spans="1:31">
      <c r="A219" s="354"/>
      <c r="B219" s="355"/>
      <c r="C219" s="356">
        <v>241212000006</v>
      </c>
      <c r="D219" s="357">
        <v>45643</v>
      </c>
      <c r="E219" s="355" t="s">
        <v>49</v>
      </c>
      <c r="F219" s="355" t="s">
        <v>249</v>
      </c>
      <c r="G219" s="355">
        <v>3.0701</v>
      </c>
      <c r="H219" s="355">
        <v>1383</v>
      </c>
      <c r="I219" s="364"/>
      <c r="J219" s="370">
        <v>1406444</v>
      </c>
      <c r="K219" s="360"/>
      <c r="L219" s="361">
        <f>SUM(J219/M219)</f>
        <v>1607.40131202999</v>
      </c>
      <c r="M219" s="362">
        <v>874.98</v>
      </c>
      <c r="N219" s="355">
        <v>7.3</v>
      </c>
      <c r="O219" s="364">
        <f>SUM(M219*N219)</f>
        <v>6387.354</v>
      </c>
      <c r="P219" s="375"/>
      <c r="Q219" s="375"/>
      <c r="R219" s="375"/>
      <c r="S219" s="375"/>
      <c r="T219" s="375"/>
      <c r="U219" s="375"/>
      <c r="V219" s="375"/>
      <c r="W219" s="375"/>
      <c r="X219" s="376"/>
      <c r="Y219" s="368"/>
      <c r="Z219" s="376"/>
      <c r="AA219" s="376"/>
      <c r="AB219" s="378"/>
      <c r="AC219" s="375"/>
      <c r="AD219" s="375"/>
      <c r="AE219" s="375"/>
    </row>
    <row r="220" s="264" customFormat="1" ht="12.75" spans="1:31">
      <c r="A220" s="354"/>
      <c r="B220" s="355"/>
      <c r="C220" s="356">
        <v>241212000015</v>
      </c>
      <c r="D220" s="357">
        <v>45643</v>
      </c>
      <c r="E220" s="355" t="s">
        <v>40</v>
      </c>
      <c r="F220" s="355" t="s">
        <v>41</v>
      </c>
      <c r="G220" s="355">
        <v>2.957</v>
      </c>
      <c r="H220" s="355">
        <v>1339</v>
      </c>
      <c r="I220" s="358">
        <v>7123.63</v>
      </c>
      <c r="J220" s="369"/>
      <c r="K220" s="360"/>
      <c r="L220" s="361"/>
      <c r="M220" s="360"/>
      <c r="N220" s="355"/>
      <c r="O220" s="364">
        <f t="shared" si="60"/>
        <v>7123.63</v>
      </c>
      <c r="P220" s="375"/>
      <c r="Q220" s="375"/>
      <c r="R220" s="375"/>
      <c r="S220" s="375"/>
      <c r="T220" s="375"/>
      <c r="U220" s="375"/>
      <c r="V220" s="375"/>
      <c r="W220" s="375"/>
      <c r="X220" s="376"/>
      <c r="Y220" s="368"/>
      <c r="Z220" s="376"/>
      <c r="AA220" s="376"/>
      <c r="AB220" s="378"/>
      <c r="AC220" s="375"/>
      <c r="AD220" s="375"/>
      <c r="AE220" s="375"/>
    </row>
    <row r="221" s="264" customFormat="1" ht="12.75" spans="1:31">
      <c r="A221" s="354"/>
      <c r="B221" s="355"/>
      <c r="C221" s="356">
        <v>241213000032</v>
      </c>
      <c r="D221" s="357">
        <v>45643</v>
      </c>
      <c r="E221" s="355" t="s">
        <v>49</v>
      </c>
      <c r="F221" s="355" t="s">
        <v>381</v>
      </c>
      <c r="G221" s="355">
        <v>1.137</v>
      </c>
      <c r="H221" s="355">
        <v>240</v>
      </c>
      <c r="I221" s="358">
        <v>2906</v>
      </c>
      <c r="J221" s="369"/>
      <c r="K221" s="360"/>
      <c r="L221" s="361"/>
      <c r="M221" s="360"/>
      <c r="N221" s="355"/>
      <c r="O221" s="364">
        <f t="shared" si="60"/>
        <v>2906</v>
      </c>
      <c r="P221" s="375"/>
      <c r="Q221" s="375"/>
      <c r="R221" s="375"/>
      <c r="S221" s="375"/>
      <c r="T221" s="375"/>
      <c r="U221" s="375"/>
      <c r="V221" s="375"/>
      <c r="W221" s="375"/>
      <c r="X221" s="376"/>
      <c r="Y221" s="368">
        <v>41.99</v>
      </c>
      <c r="Z221" s="376"/>
      <c r="AA221" s="376"/>
      <c r="AB221" s="378"/>
      <c r="AC221" s="375"/>
      <c r="AD221" s="375"/>
      <c r="AE221" s="375"/>
    </row>
    <row r="222" s="264" customFormat="1" ht="12.75" spans="1:31">
      <c r="A222" s="354"/>
      <c r="B222" s="355"/>
      <c r="C222" s="356">
        <v>241213000053</v>
      </c>
      <c r="D222" s="357">
        <v>45643</v>
      </c>
      <c r="E222" s="355" t="s">
        <v>49</v>
      </c>
      <c r="F222" s="355" t="s">
        <v>381</v>
      </c>
      <c r="G222" s="355">
        <v>0.0959</v>
      </c>
      <c r="H222" s="355">
        <v>16</v>
      </c>
      <c r="I222" s="358">
        <v>228</v>
      </c>
      <c r="J222" s="369"/>
      <c r="K222" s="360"/>
      <c r="L222" s="361"/>
      <c r="M222" s="360"/>
      <c r="N222" s="355"/>
      <c r="O222" s="364">
        <f t="shared" si="60"/>
        <v>228</v>
      </c>
      <c r="P222" s="375"/>
      <c r="Q222" s="375"/>
      <c r="R222" s="375"/>
      <c r="S222" s="375"/>
      <c r="T222" s="375"/>
      <c r="U222" s="375"/>
      <c r="V222" s="375"/>
      <c r="W222" s="375"/>
      <c r="X222" s="376"/>
      <c r="Y222" s="368">
        <v>35.58</v>
      </c>
      <c r="Z222" s="376"/>
      <c r="AA222" s="376"/>
      <c r="AB222" s="378"/>
      <c r="AC222" s="375"/>
      <c r="AD222" s="375"/>
      <c r="AE222" s="375"/>
    </row>
    <row r="223" s="264" customFormat="1" ht="12.75" spans="1:31">
      <c r="A223" s="354"/>
      <c r="B223" s="355"/>
      <c r="C223" s="356">
        <v>241213000056</v>
      </c>
      <c r="D223" s="357">
        <v>45643</v>
      </c>
      <c r="E223" s="355" t="s">
        <v>189</v>
      </c>
      <c r="F223" s="355" t="s">
        <v>111</v>
      </c>
      <c r="G223" s="355">
        <v>1.2461</v>
      </c>
      <c r="H223" s="355">
        <v>230</v>
      </c>
      <c r="I223" s="364"/>
      <c r="J223" s="370">
        <v>116181</v>
      </c>
      <c r="K223" s="362">
        <v>300</v>
      </c>
      <c r="L223" s="361">
        <f>SUM(J223/M223)</f>
        <v>310.760712566201</v>
      </c>
      <c r="M223" s="362">
        <v>373.86</v>
      </c>
      <c r="N223" s="355">
        <v>7.27</v>
      </c>
      <c r="O223" s="364">
        <f>SUM(M223*N223)</f>
        <v>2717.9622</v>
      </c>
      <c r="P223" s="375"/>
      <c r="Q223" s="375"/>
      <c r="R223" s="375"/>
      <c r="S223" s="375"/>
      <c r="T223" s="375"/>
      <c r="U223" s="375"/>
      <c r="V223" s="375"/>
      <c r="W223" s="375"/>
      <c r="X223" s="376"/>
      <c r="Y223" s="368"/>
      <c r="Z223" s="376"/>
      <c r="AA223" s="376"/>
      <c r="AB223" s="378"/>
      <c r="AC223" s="375"/>
      <c r="AD223" s="375"/>
      <c r="AE223" s="375"/>
    </row>
    <row r="224" s="264" customFormat="1" ht="12.75" spans="1:31">
      <c r="A224" s="354"/>
      <c r="B224" s="355"/>
      <c r="C224" s="356">
        <v>241214000027</v>
      </c>
      <c r="D224" s="357">
        <v>45643</v>
      </c>
      <c r="E224" s="355" t="s">
        <v>40</v>
      </c>
      <c r="F224" s="355" t="s">
        <v>141</v>
      </c>
      <c r="G224" s="355">
        <v>0.0295</v>
      </c>
      <c r="H224" s="355">
        <v>50</v>
      </c>
      <c r="I224" s="358">
        <v>555.8</v>
      </c>
      <c r="J224" s="382"/>
      <c r="K224" s="360"/>
      <c r="L224" s="361"/>
      <c r="M224" s="360"/>
      <c r="N224" s="355"/>
      <c r="O224" s="364">
        <f t="shared" ref="O224:O229" si="61">SUBTOTAL(9,I224)</f>
        <v>555.8</v>
      </c>
      <c r="P224" s="375"/>
      <c r="Q224" s="375"/>
      <c r="R224" s="375"/>
      <c r="S224" s="375"/>
      <c r="T224" s="375"/>
      <c r="U224" s="375"/>
      <c r="V224" s="375"/>
      <c r="W224" s="375"/>
      <c r="X224" s="376"/>
      <c r="Y224" s="368">
        <v>44.59</v>
      </c>
      <c r="Z224" s="376"/>
      <c r="AA224" s="376"/>
      <c r="AB224" s="378"/>
      <c r="AC224" s="375"/>
      <c r="AD224" s="375"/>
      <c r="AE224" s="375"/>
    </row>
    <row r="225" s="264" customFormat="1" ht="12.75" spans="1:31">
      <c r="A225" s="354"/>
      <c r="B225" s="355"/>
      <c r="C225" s="356">
        <v>241128000030</v>
      </c>
      <c r="D225" s="357">
        <v>45643</v>
      </c>
      <c r="E225" s="355" t="s">
        <v>40</v>
      </c>
      <c r="F225" s="355" t="s">
        <v>134</v>
      </c>
      <c r="G225" s="355">
        <v>6.1439</v>
      </c>
      <c r="H225" s="355">
        <v>3510</v>
      </c>
      <c r="I225" s="358">
        <v>18062</v>
      </c>
      <c r="J225" s="369"/>
      <c r="K225" s="360"/>
      <c r="L225" s="361"/>
      <c r="M225" s="360"/>
      <c r="N225" s="355"/>
      <c r="O225" s="364">
        <f t="shared" si="61"/>
        <v>18062</v>
      </c>
      <c r="P225" s="375"/>
      <c r="Q225" s="375"/>
      <c r="R225" s="375"/>
      <c r="S225" s="375"/>
      <c r="T225" s="375"/>
      <c r="U225" s="375"/>
      <c r="V225" s="375"/>
      <c r="W225" s="375"/>
      <c r="X225" s="376"/>
      <c r="Y225" s="368"/>
      <c r="Z225" s="376"/>
      <c r="AA225" s="376"/>
      <c r="AB225" s="378"/>
      <c r="AC225" s="375"/>
      <c r="AD225" s="375"/>
      <c r="AE225" s="375"/>
    </row>
    <row r="226" s="264" customFormat="1" ht="12.75" spans="1:31">
      <c r="A226" s="354"/>
      <c r="B226" s="355"/>
      <c r="C226" s="356">
        <v>250110000026</v>
      </c>
      <c r="D226" s="357">
        <v>45643</v>
      </c>
      <c r="E226" s="355" t="s">
        <v>52</v>
      </c>
      <c r="F226" s="355" t="s">
        <v>94</v>
      </c>
      <c r="G226" s="355">
        <v>1.0248</v>
      </c>
      <c r="H226" s="355">
        <v>276</v>
      </c>
      <c r="I226" s="358">
        <v>2271.15</v>
      </c>
      <c r="J226" s="369"/>
      <c r="K226" s="360"/>
      <c r="L226" s="361"/>
      <c r="M226" s="360"/>
      <c r="N226" s="355"/>
      <c r="O226" s="364">
        <f t="shared" si="61"/>
        <v>2271.15</v>
      </c>
      <c r="P226" s="375"/>
      <c r="Q226" s="375"/>
      <c r="R226" s="375"/>
      <c r="S226" s="375"/>
      <c r="T226" s="375"/>
      <c r="U226" s="371"/>
      <c r="V226" s="375"/>
      <c r="W226" s="375"/>
      <c r="X226" s="376"/>
      <c r="Y226" s="368"/>
      <c r="Z226" s="376"/>
      <c r="AA226" s="376"/>
      <c r="AB226" s="378"/>
      <c r="AC226" s="375"/>
      <c r="AD226" s="375"/>
      <c r="AE226" s="375"/>
    </row>
    <row r="227" s="264" customFormat="1" ht="12.75" spans="1:31">
      <c r="A227" s="354"/>
      <c r="B227" s="355"/>
      <c r="C227" s="356">
        <v>241126000049</v>
      </c>
      <c r="D227" s="357">
        <v>45638</v>
      </c>
      <c r="E227" s="355" t="s">
        <v>40</v>
      </c>
      <c r="F227" s="355" t="s">
        <v>199</v>
      </c>
      <c r="G227" s="355">
        <v>20.5166</v>
      </c>
      <c r="H227" s="355">
        <v>8722</v>
      </c>
      <c r="I227" s="358">
        <v>58944</v>
      </c>
      <c r="J227" s="369"/>
      <c r="K227" s="360"/>
      <c r="L227" s="361"/>
      <c r="M227" s="360"/>
      <c r="N227" s="355"/>
      <c r="O227" s="364">
        <f t="shared" si="61"/>
        <v>58944</v>
      </c>
      <c r="P227" s="375"/>
      <c r="Q227" s="375"/>
      <c r="R227" s="375"/>
      <c r="S227" s="375"/>
      <c r="T227" s="375"/>
      <c r="U227" s="375"/>
      <c r="V227" s="375"/>
      <c r="W227" s="375"/>
      <c r="X227" s="376"/>
      <c r="Y227" s="368">
        <v>1082.8</v>
      </c>
      <c r="Z227" s="376"/>
      <c r="AA227" s="376"/>
      <c r="AB227" s="378"/>
      <c r="AC227" s="375"/>
      <c r="AD227" s="375"/>
      <c r="AE227" s="375"/>
    </row>
    <row r="228" s="264" customFormat="1" ht="12.75" spans="1:31">
      <c r="A228" s="354"/>
      <c r="B228" s="355"/>
      <c r="C228" s="356">
        <v>241115000013</v>
      </c>
      <c r="D228" s="357">
        <v>45638</v>
      </c>
      <c r="E228" s="355" t="s">
        <v>40</v>
      </c>
      <c r="F228" s="355" t="s">
        <v>158</v>
      </c>
      <c r="G228" s="355">
        <v>6.3827</v>
      </c>
      <c r="H228" s="355">
        <v>2355</v>
      </c>
      <c r="I228" s="358">
        <v>13563</v>
      </c>
      <c r="J228" s="369"/>
      <c r="K228" s="360"/>
      <c r="L228" s="361"/>
      <c r="M228" s="360"/>
      <c r="N228" s="355"/>
      <c r="O228" s="364">
        <f t="shared" si="61"/>
        <v>13563</v>
      </c>
      <c r="P228" s="375"/>
      <c r="Q228" s="375"/>
      <c r="R228" s="375"/>
      <c r="S228" s="375"/>
      <c r="T228" s="375"/>
      <c r="U228" s="375"/>
      <c r="V228" s="375"/>
      <c r="W228" s="375"/>
      <c r="X228" s="376"/>
      <c r="Y228" s="368"/>
      <c r="Z228" s="376"/>
      <c r="AA228" s="376"/>
      <c r="AB228" s="378"/>
      <c r="AC228" s="375"/>
      <c r="AD228" s="375"/>
      <c r="AE228" s="375"/>
    </row>
    <row r="229" s="264" customFormat="1" ht="12.75" spans="1:31">
      <c r="A229" s="354"/>
      <c r="B229" s="355"/>
      <c r="C229" s="356">
        <v>241214000030</v>
      </c>
      <c r="D229" s="357">
        <v>45643</v>
      </c>
      <c r="E229" s="355" t="s">
        <v>49</v>
      </c>
      <c r="F229" s="355" t="s">
        <v>382</v>
      </c>
      <c r="G229" s="355">
        <v>0.823</v>
      </c>
      <c r="H229" s="355">
        <v>696</v>
      </c>
      <c r="I229" s="358">
        <v>3584</v>
      </c>
      <c r="J229" s="382"/>
      <c r="K229" s="360"/>
      <c r="L229" s="361"/>
      <c r="M229" s="360"/>
      <c r="N229" s="355"/>
      <c r="O229" s="364">
        <f t="shared" si="61"/>
        <v>3584</v>
      </c>
      <c r="P229" s="375"/>
      <c r="Q229" s="375"/>
      <c r="R229" s="375"/>
      <c r="S229" s="375"/>
      <c r="T229" s="375"/>
      <c r="U229" s="375"/>
      <c r="V229" s="375"/>
      <c r="W229" s="375"/>
      <c r="X229" s="376"/>
      <c r="Y229" s="368">
        <v>136.53</v>
      </c>
      <c r="Z229" s="376"/>
      <c r="AA229" s="376"/>
      <c r="AB229" s="378"/>
      <c r="AC229" s="375"/>
      <c r="AD229" s="375"/>
      <c r="AE229" s="375"/>
    </row>
    <row r="230" s="264" customFormat="1" ht="12.75" spans="1:31">
      <c r="A230" s="354"/>
      <c r="B230" s="355"/>
      <c r="C230" s="356">
        <v>241212000021</v>
      </c>
      <c r="D230" s="357">
        <v>45643</v>
      </c>
      <c r="E230" s="355" t="s">
        <v>49</v>
      </c>
      <c r="F230" s="355" t="s">
        <v>382</v>
      </c>
      <c r="G230" s="355">
        <v>1.9011</v>
      </c>
      <c r="H230" s="355">
        <v>816.18</v>
      </c>
      <c r="I230" s="364"/>
      <c r="J230" s="370">
        <v>846007</v>
      </c>
      <c r="K230" s="360"/>
      <c r="L230" s="361">
        <f t="shared" ref="L230:L234" si="62">SUM(J230/M230)</f>
        <v>1561.4458943172</v>
      </c>
      <c r="M230" s="362">
        <v>541.81</v>
      </c>
      <c r="N230" s="355">
        <v>7.27</v>
      </c>
      <c r="O230" s="364">
        <f t="shared" ref="O230:O234" si="63">SUM(M230*N230)</f>
        <v>3938.9587</v>
      </c>
      <c r="P230" s="375"/>
      <c r="Q230" s="375"/>
      <c r="R230" s="375"/>
      <c r="S230" s="375"/>
      <c r="T230" s="375"/>
      <c r="U230" s="375"/>
      <c r="V230" s="375"/>
      <c r="W230" s="375"/>
      <c r="X230" s="376"/>
      <c r="Y230" s="368"/>
      <c r="Z230" s="376"/>
      <c r="AA230" s="376"/>
      <c r="AB230" s="378"/>
      <c r="AC230" s="375"/>
      <c r="AD230" s="375"/>
      <c r="AE230" s="375"/>
    </row>
    <row r="231" s="264" customFormat="1" ht="12.75" spans="1:31">
      <c r="A231" s="354"/>
      <c r="B231" s="355"/>
      <c r="C231" s="356">
        <v>241209000079</v>
      </c>
      <c r="D231" s="357">
        <v>45643</v>
      </c>
      <c r="E231" s="355" t="s">
        <v>49</v>
      </c>
      <c r="F231" s="355" t="s">
        <v>283</v>
      </c>
      <c r="G231" s="355">
        <v>0.0757</v>
      </c>
      <c r="H231" s="355">
        <v>16</v>
      </c>
      <c r="I231" s="358">
        <v>195</v>
      </c>
      <c r="J231" s="369"/>
      <c r="K231" s="360"/>
      <c r="L231" s="361"/>
      <c r="M231" s="360"/>
      <c r="N231" s="355"/>
      <c r="O231" s="364">
        <f>SUBTOTAL(9,I231)</f>
        <v>195</v>
      </c>
      <c r="P231" s="375"/>
      <c r="Q231" s="375"/>
      <c r="R231" s="375"/>
      <c r="S231" s="375"/>
      <c r="T231" s="375"/>
      <c r="U231" s="375"/>
      <c r="V231" s="375"/>
      <c r="W231" s="375"/>
      <c r="X231" s="376"/>
      <c r="Y231" s="368"/>
      <c r="Z231" s="376"/>
      <c r="AA231" s="376"/>
      <c r="AB231" s="378"/>
      <c r="AC231" s="375"/>
      <c r="AD231" s="375"/>
      <c r="AE231" s="375"/>
    </row>
    <row r="232" s="264" customFormat="1" ht="12.75" spans="1:31">
      <c r="A232" s="354"/>
      <c r="B232" s="355"/>
      <c r="C232" s="356">
        <v>241217000014</v>
      </c>
      <c r="D232" s="357">
        <v>45643</v>
      </c>
      <c r="E232" s="355" t="s">
        <v>42</v>
      </c>
      <c r="F232" s="355" t="s">
        <v>309</v>
      </c>
      <c r="G232" s="355">
        <v>1.1639</v>
      </c>
      <c r="H232" s="355">
        <v>148</v>
      </c>
      <c r="I232" s="364"/>
      <c r="J232" s="370">
        <v>687330</v>
      </c>
      <c r="K232" s="360"/>
      <c r="L232" s="361">
        <f t="shared" si="62"/>
        <v>1536.00160901046</v>
      </c>
      <c r="M232" s="362">
        <v>447.48</v>
      </c>
      <c r="N232" s="355">
        <v>7.27</v>
      </c>
      <c r="O232" s="364">
        <f t="shared" si="63"/>
        <v>3253.1796</v>
      </c>
      <c r="P232" s="375"/>
      <c r="Q232" s="375"/>
      <c r="R232" s="375"/>
      <c r="S232" s="375"/>
      <c r="T232" s="375"/>
      <c r="U232" s="375"/>
      <c r="V232" s="375"/>
      <c r="W232" s="375"/>
      <c r="X232" s="376"/>
      <c r="Y232" s="368">
        <v>66.75</v>
      </c>
      <c r="Z232" s="376"/>
      <c r="AA232" s="376"/>
      <c r="AB232" s="378"/>
      <c r="AC232" s="375"/>
      <c r="AD232" s="375"/>
      <c r="AE232" s="375"/>
    </row>
    <row r="233" s="264" customFormat="1" ht="12.75" spans="1:31">
      <c r="A233" s="354"/>
      <c r="B233" s="355"/>
      <c r="C233" s="356">
        <v>241217000015</v>
      </c>
      <c r="D233" s="357">
        <v>45643</v>
      </c>
      <c r="E233" s="355" t="s">
        <v>42</v>
      </c>
      <c r="F233" s="355" t="s">
        <v>383</v>
      </c>
      <c r="G233" s="355">
        <v>0.322</v>
      </c>
      <c r="H233" s="355">
        <v>85</v>
      </c>
      <c r="I233" s="364"/>
      <c r="J233" s="370">
        <v>186847</v>
      </c>
      <c r="K233" s="360"/>
      <c r="L233" s="361">
        <f t="shared" si="62"/>
        <v>1582.1083827265</v>
      </c>
      <c r="M233" s="362">
        <v>118.1</v>
      </c>
      <c r="N233" s="355">
        <v>7.25</v>
      </c>
      <c r="O233" s="364">
        <f t="shared" si="63"/>
        <v>856.225</v>
      </c>
      <c r="P233" s="375"/>
      <c r="Q233" s="375"/>
      <c r="R233" s="375"/>
      <c r="S233" s="375"/>
      <c r="T233" s="375"/>
      <c r="U233" s="375"/>
      <c r="V233" s="375"/>
      <c r="W233" s="375"/>
      <c r="X233" s="376"/>
      <c r="Y233" s="368"/>
      <c r="Z233" s="376"/>
      <c r="AA233" s="376"/>
      <c r="AB233" s="378"/>
      <c r="AC233" s="375"/>
      <c r="AD233" s="375"/>
      <c r="AE233" s="375"/>
    </row>
    <row r="234" s="264" customFormat="1" ht="12.75" spans="1:31">
      <c r="A234" s="354"/>
      <c r="B234" s="355"/>
      <c r="C234" s="356">
        <v>241217000016</v>
      </c>
      <c r="D234" s="357">
        <v>45643</v>
      </c>
      <c r="E234" s="355" t="s">
        <v>44</v>
      </c>
      <c r="F234" s="355" t="s">
        <v>366</v>
      </c>
      <c r="G234" s="355">
        <v>0.6596</v>
      </c>
      <c r="H234" s="355">
        <v>58</v>
      </c>
      <c r="I234" s="364"/>
      <c r="J234" s="370">
        <v>296670</v>
      </c>
      <c r="K234" s="360"/>
      <c r="L234" s="361">
        <f t="shared" si="62"/>
        <v>1550</v>
      </c>
      <c r="M234" s="362">
        <v>191.4</v>
      </c>
      <c r="N234" s="355">
        <v>7.27</v>
      </c>
      <c r="O234" s="364">
        <f t="shared" si="63"/>
        <v>1391.478</v>
      </c>
      <c r="P234" s="375"/>
      <c r="Q234" s="375"/>
      <c r="R234" s="375"/>
      <c r="S234" s="375"/>
      <c r="T234" s="375"/>
      <c r="U234" s="375"/>
      <c r="V234" s="375"/>
      <c r="W234" s="375"/>
      <c r="X234" s="376"/>
      <c r="Y234" s="368"/>
      <c r="Z234" s="376"/>
      <c r="AA234" s="376"/>
      <c r="AB234" s="378"/>
      <c r="AC234" s="375"/>
      <c r="AD234" s="375"/>
      <c r="AE234" s="375"/>
    </row>
    <row r="235" s="264" customFormat="1" ht="12.75" spans="1:31">
      <c r="A235" s="354"/>
      <c r="B235" s="355"/>
      <c r="C235" s="356">
        <v>241217000024</v>
      </c>
      <c r="D235" s="357">
        <v>45643</v>
      </c>
      <c r="E235" s="355" t="s">
        <v>49</v>
      </c>
      <c r="F235" s="355" t="s">
        <v>327</v>
      </c>
      <c r="G235" s="355">
        <v>0.4017</v>
      </c>
      <c r="H235" s="355">
        <v>36</v>
      </c>
      <c r="I235" s="358">
        <v>876</v>
      </c>
      <c r="J235" s="369"/>
      <c r="K235" s="360"/>
      <c r="L235" s="361"/>
      <c r="M235" s="360"/>
      <c r="N235" s="355"/>
      <c r="O235" s="364">
        <f t="shared" ref="O235:O244" si="64">SUBTOTAL(9,I235)</f>
        <v>876</v>
      </c>
      <c r="P235" s="379"/>
      <c r="Q235" s="379"/>
      <c r="R235" s="379"/>
      <c r="S235" s="379"/>
      <c r="T235" s="379"/>
      <c r="U235" s="379"/>
      <c r="V235" s="379"/>
      <c r="W235" s="379"/>
      <c r="X235" s="377"/>
      <c r="Y235" s="368"/>
      <c r="Z235" s="377"/>
      <c r="AA235" s="377"/>
      <c r="AB235" s="380"/>
      <c r="AC235" s="379"/>
      <c r="AD235" s="379"/>
      <c r="AE235" s="379"/>
    </row>
    <row r="236" s="264" customFormat="1" ht="12.75" spans="1:31">
      <c r="A236" s="354" t="s">
        <v>384</v>
      </c>
      <c r="B236" s="355" t="s">
        <v>385</v>
      </c>
      <c r="C236" s="356">
        <v>241212000021</v>
      </c>
      <c r="D236" s="357">
        <v>46010</v>
      </c>
      <c r="E236" s="355" t="s">
        <v>49</v>
      </c>
      <c r="F236" s="355" t="s">
        <v>382</v>
      </c>
      <c r="G236" s="355">
        <v>0.1207</v>
      </c>
      <c r="H236" s="355">
        <v>51.82</v>
      </c>
      <c r="I236" s="364"/>
      <c r="J236" s="370">
        <v>53713</v>
      </c>
      <c r="K236" s="355"/>
      <c r="L236" s="361">
        <f>SUM(J236/M236)</f>
        <v>1561.42441860465</v>
      </c>
      <c r="M236" s="362">
        <v>34.4</v>
      </c>
      <c r="N236" s="355">
        <v>7.27</v>
      </c>
      <c r="O236" s="364">
        <f>SUM(M236*N236)</f>
        <v>250.088</v>
      </c>
      <c r="P236" s="371">
        <f>SUM(O236:O242)</f>
        <v>155095.058</v>
      </c>
      <c r="Q236" s="372" t="s">
        <v>386</v>
      </c>
      <c r="R236" s="371">
        <v>48777.5</v>
      </c>
      <c r="S236" s="371">
        <v>88.88</v>
      </c>
      <c r="T236" s="371">
        <v>1900</v>
      </c>
      <c r="U236" s="371"/>
      <c r="V236" s="371"/>
      <c r="W236" s="371">
        <f>SUM(R236:V242)</f>
        <v>50766.38</v>
      </c>
      <c r="X236" s="373">
        <v>12037</v>
      </c>
      <c r="Y236" s="368"/>
      <c r="Z236" s="373">
        <v>57.52</v>
      </c>
      <c r="AA236" s="373">
        <f>SUM(X236:Z242)</f>
        <v>12094.52</v>
      </c>
      <c r="AB236" s="374">
        <v>7.25</v>
      </c>
      <c r="AC236" s="371">
        <f>SUM(AA236*AB236)</f>
        <v>87685.27</v>
      </c>
      <c r="AD236" s="371">
        <f>SUM(W236+AC236)</f>
        <v>138451.65</v>
      </c>
      <c r="AE236" s="371">
        <f>SUM(P236-AD236)</f>
        <v>16643.408</v>
      </c>
    </row>
    <row r="237" s="264" customFormat="1" ht="12.75" spans="1:31">
      <c r="A237" s="354"/>
      <c r="B237" s="355"/>
      <c r="C237" s="356">
        <v>241219000026</v>
      </c>
      <c r="D237" s="357">
        <v>46010</v>
      </c>
      <c r="E237" s="355" t="s">
        <v>40</v>
      </c>
      <c r="F237" s="355" t="s">
        <v>134</v>
      </c>
      <c r="G237" s="355">
        <v>6.1439</v>
      </c>
      <c r="H237" s="355">
        <v>3510</v>
      </c>
      <c r="I237" s="358">
        <v>18062</v>
      </c>
      <c r="J237" s="369"/>
      <c r="K237" s="355"/>
      <c r="L237" s="361"/>
      <c r="M237" s="360"/>
      <c r="N237" s="355"/>
      <c r="O237" s="364">
        <f t="shared" si="64"/>
        <v>18062</v>
      </c>
      <c r="P237" s="375"/>
      <c r="Q237" s="375"/>
      <c r="R237" s="375"/>
      <c r="S237" s="375"/>
      <c r="T237" s="375"/>
      <c r="U237" s="375"/>
      <c r="V237" s="375"/>
      <c r="W237" s="375"/>
      <c r="X237" s="376"/>
      <c r="Y237" s="368"/>
      <c r="Z237" s="376"/>
      <c r="AA237" s="376"/>
      <c r="AB237" s="378"/>
      <c r="AC237" s="375"/>
      <c r="AD237" s="375"/>
      <c r="AE237" s="375"/>
    </row>
    <row r="238" s="264" customFormat="1" ht="12.75" spans="1:31">
      <c r="A238" s="354"/>
      <c r="B238" s="355"/>
      <c r="C238" s="356">
        <v>241219000027</v>
      </c>
      <c r="D238" s="357">
        <v>46010</v>
      </c>
      <c r="E238" s="355" t="s">
        <v>190</v>
      </c>
      <c r="F238" s="355" t="s">
        <v>196</v>
      </c>
      <c r="G238" s="355">
        <v>0.9378</v>
      </c>
      <c r="H238" s="355">
        <v>1454</v>
      </c>
      <c r="I238" s="358">
        <v>4037.69</v>
      </c>
      <c r="J238" s="369"/>
      <c r="K238" s="355"/>
      <c r="L238" s="361"/>
      <c r="M238" s="360"/>
      <c r="N238" s="355"/>
      <c r="O238" s="364">
        <f t="shared" si="64"/>
        <v>4037.69</v>
      </c>
      <c r="P238" s="375"/>
      <c r="Q238" s="375"/>
      <c r="R238" s="375"/>
      <c r="S238" s="375"/>
      <c r="T238" s="375"/>
      <c r="U238" s="375"/>
      <c r="V238" s="375"/>
      <c r="W238" s="375"/>
      <c r="X238" s="376"/>
      <c r="Y238" s="368"/>
      <c r="Z238" s="376"/>
      <c r="AA238" s="376"/>
      <c r="AB238" s="378"/>
      <c r="AC238" s="375"/>
      <c r="AD238" s="375"/>
      <c r="AE238" s="375"/>
    </row>
    <row r="239" s="264" customFormat="1" ht="12.75" spans="1:31">
      <c r="A239" s="354"/>
      <c r="B239" s="355"/>
      <c r="C239" s="356">
        <v>241219000017</v>
      </c>
      <c r="D239" s="357">
        <v>46010</v>
      </c>
      <c r="E239" s="355" t="s">
        <v>42</v>
      </c>
      <c r="F239" s="355" t="s">
        <v>43</v>
      </c>
      <c r="G239" s="355">
        <v>2.2361</v>
      </c>
      <c r="H239" s="355">
        <v>234</v>
      </c>
      <c r="I239" s="358">
        <v>4542.5</v>
      </c>
      <c r="J239" s="369"/>
      <c r="K239" s="360"/>
      <c r="L239" s="361"/>
      <c r="M239" s="368"/>
      <c r="N239" s="355"/>
      <c r="O239" s="364">
        <f t="shared" si="64"/>
        <v>4542.5</v>
      </c>
      <c r="P239" s="375"/>
      <c r="Q239" s="375"/>
      <c r="R239" s="375"/>
      <c r="S239" s="375"/>
      <c r="T239" s="375"/>
      <c r="U239" s="375"/>
      <c r="V239" s="375"/>
      <c r="W239" s="392"/>
      <c r="X239" s="376"/>
      <c r="Y239" s="368"/>
      <c r="Z239" s="376"/>
      <c r="AA239" s="376"/>
      <c r="AB239" s="378"/>
      <c r="AC239" s="375"/>
      <c r="AD239" s="375"/>
      <c r="AE239" s="375"/>
    </row>
    <row r="240" s="264" customFormat="1" ht="12.75" spans="1:31">
      <c r="A240" s="354"/>
      <c r="B240" s="355"/>
      <c r="C240" s="356">
        <v>241115000013</v>
      </c>
      <c r="D240" s="357">
        <v>45638</v>
      </c>
      <c r="E240" s="355" t="s">
        <v>40</v>
      </c>
      <c r="F240" s="355" t="s">
        <v>158</v>
      </c>
      <c r="G240" s="355">
        <v>25.3204</v>
      </c>
      <c r="H240" s="355">
        <v>5102</v>
      </c>
      <c r="I240" s="358">
        <v>53816</v>
      </c>
      <c r="J240" s="369"/>
      <c r="K240" s="360"/>
      <c r="L240" s="361"/>
      <c r="M240" s="360"/>
      <c r="N240" s="355"/>
      <c r="O240" s="364">
        <f t="shared" si="64"/>
        <v>53816</v>
      </c>
      <c r="P240" s="375"/>
      <c r="Q240" s="375"/>
      <c r="R240" s="375"/>
      <c r="S240" s="375"/>
      <c r="T240" s="375"/>
      <c r="U240" s="375"/>
      <c r="V240" s="375"/>
      <c r="W240" s="375"/>
      <c r="X240" s="376"/>
      <c r="Y240" s="368"/>
      <c r="Z240" s="376"/>
      <c r="AA240" s="376"/>
      <c r="AB240" s="378"/>
      <c r="AC240" s="375"/>
      <c r="AD240" s="375"/>
      <c r="AE240" s="375"/>
    </row>
    <row r="241" s="264" customFormat="1" ht="12.75" spans="1:31">
      <c r="A241" s="354"/>
      <c r="B241" s="355"/>
      <c r="C241" s="356">
        <v>241219000028</v>
      </c>
      <c r="D241" s="357">
        <v>46010</v>
      </c>
      <c r="E241" s="355" t="s">
        <v>44</v>
      </c>
      <c r="F241" s="355" t="s">
        <v>59</v>
      </c>
      <c r="G241" s="355">
        <v>22.11</v>
      </c>
      <c r="H241" s="355">
        <v>2603</v>
      </c>
      <c r="I241" s="358">
        <v>36919.28</v>
      </c>
      <c r="J241" s="369"/>
      <c r="K241" s="355"/>
      <c r="L241" s="361"/>
      <c r="M241" s="362"/>
      <c r="N241" s="355"/>
      <c r="O241" s="364">
        <f t="shared" si="64"/>
        <v>36919.28</v>
      </c>
      <c r="P241" s="375"/>
      <c r="Q241" s="375"/>
      <c r="R241" s="375"/>
      <c r="S241" s="375"/>
      <c r="T241" s="375"/>
      <c r="U241" s="375"/>
      <c r="V241" s="375"/>
      <c r="W241" s="375"/>
      <c r="X241" s="376"/>
      <c r="Y241" s="368"/>
      <c r="Z241" s="376"/>
      <c r="AA241" s="376"/>
      <c r="AB241" s="378"/>
      <c r="AC241" s="375"/>
      <c r="AD241" s="375"/>
      <c r="AE241" s="375"/>
    </row>
    <row r="242" s="264" customFormat="1" ht="12.75" spans="1:31">
      <c r="A242" s="354"/>
      <c r="B242" s="355"/>
      <c r="C242" s="356">
        <v>241219000033</v>
      </c>
      <c r="D242" s="357">
        <v>46010</v>
      </c>
      <c r="E242" s="355" t="s">
        <v>49</v>
      </c>
      <c r="F242" s="355" t="s">
        <v>249</v>
      </c>
      <c r="G242" s="355">
        <v>15.7779</v>
      </c>
      <c r="H242" s="355">
        <v>9654</v>
      </c>
      <c r="I242" s="358">
        <v>37467.5</v>
      </c>
      <c r="J242" s="369"/>
      <c r="K242" s="355"/>
      <c r="L242" s="361"/>
      <c r="M242" s="360"/>
      <c r="N242" s="355"/>
      <c r="O242" s="364">
        <f t="shared" si="64"/>
        <v>37467.5</v>
      </c>
      <c r="P242" s="379"/>
      <c r="Q242" s="379"/>
      <c r="R242" s="379"/>
      <c r="S242" s="379"/>
      <c r="T242" s="379"/>
      <c r="U242" s="379"/>
      <c r="V242" s="379"/>
      <c r="W242" s="379"/>
      <c r="X242" s="377"/>
      <c r="Y242" s="368"/>
      <c r="Z242" s="377"/>
      <c r="AA242" s="377"/>
      <c r="AB242" s="380"/>
      <c r="AC242" s="379"/>
      <c r="AD242" s="379"/>
      <c r="AE242" s="379"/>
    </row>
    <row r="243" s="264" customFormat="1" ht="12.75" spans="1:31">
      <c r="A243" s="354" t="s">
        <v>387</v>
      </c>
      <c r="B243" s="355" t="s">
        <v>388</v>
      </c>
      <c r="C243" s="356">
        <v>241125000030</v>
      </c>
      <c r="D243" s="357">
        <v>46018</v>
      </c>
      <c r="E243" s="355" t="s">
        <v>37</v>
      </c>
      <c r="F243" s="355" t="s">
        <v>389</v>
      </c>
      <c r="G243" s="355">
        <v>0.0122</v>
      </c>
      <c r="H243" s="355">
        <v>2</v>
      </c>
      <c r="I243" s="358">
        <v>202</v>
      </c>
      <c r="J243" s="369"/>
      <c r="K243" s="355"/>
      <c r="L243" s="361"/>
      <c r="M243" s="360"/>
      <c r="N243" s="363"/>
      <c r="O243" s="364">
        <f t="shared" si="64"/>
        <v>202</v>
      </c>
      <c r="P243" s="371">
        <f>SUM(O243:O273)</f>
        <v>174647.7500433</v>
      </c>
      <c r="Q243" s="372" t="s">
        <v>390</v>
      </c>
      <c r="R243" s="371">
        <v>50615</v>
      </c>
      <c r="S243" s="371"/>
      <c r="T243" s="371">
        <v>2100</v>
      </c>
      <c r="U243" s="371"/>
      <c r="V243" s="367"/>
      <c r="W243" s="371">
        <f>SUM(R243:V273)</f>
        <v>53081.24</v>
      </c>
      <c r="X243" s="373">
        <v>11518.15</v>
      </c>
      <c r="Y243" s="368"/>
      <c r="Z243" s="373">
        <v>59.41</v>
      </c>
      <c r="AA243" s="373">
        <f>SUM(X243:Z273)</f>
        <v>11976.22</v>
      </c>
      <c r="AB243" s="374">
        <v>7.26</v>
      </c>
      <c r="AC243" s="371">
        <f>SUM(AA243*AB243)</f>
        <v>86947.3572</v>
      </c>
      <c r="AD243" s="371">
        <f>SUM(W243+AC243)</f>
        <v>140028.5972</v>
      </c>
      <c r="AE243" s="371">
        <f>SUM(P243-AD243)</f>
        <v>34619.1528433</v>
      </c>
    </row>
    <row r="244" s="264" customFormat="1" ht="12.75" spans="1:31">
      <c r="A244" s="354"/>
      <c r="B244" s="355"/>
      <c r="C244" s="356">
        <v>241205000022</v>
      </c>
      <c r="D244" s="357">
        <v>46018</v>
      </c>
      <c r="E244" s="355" t="s">
        <v>49</v>
      </c>
      <c r="F244" s="355" t="s">
        <v>359</v>
      </c>
      <c r="G244" s="355">
        <v>1.5787</v>
      </c>
      <c r="H244" s="355">
        <v>305</v>
      </c>
      <c r="I244" s="358">
        <v>3483.9</v>
      </c>
      <c r="J244" s="393"/>
      <c r="K244" s="355"/>
      <c r="L244" s="361"/>
      <c r="M244" s="360"/>
      <c r="N244" s="363"/>
      <c r="O244" s="364">
        <f t="shared" si="64"/>
        <v>3483.9</v>
      </c>
      <c r="P244" s="375"/>
      <c r="Q244" s="375"/>
      <c r="R244" s="375"/>
      <c r="S244" s="375"/>
      <c r="T244" s="375"/>
      <c r="U244" s="375"/>
      <c r="V244" s="367"/>
      <c r="W244" s="375"/>
      <c r="X244" s="376"/>
      <c r="Y244" s="368"/>
      <c r="Z244" s="376"/>
      <c r="AA244" s="376"/>
      <c r="AB244" s="378"/>
      <c r="AC244" s="375"/>
      <c r="AD244" s="375"/>
      <c r="AE244" s="375"/>
    </row>
    <row r="245" s="264" customFormat="1" ht="12.75" spans="1:31">
      <c r="A245" s="354"/>
      <c r="B245" s="355"/>
      <c r="C245" s="356">
        <v>241210000059</v>
      </c>
      <c r="D245" s="357">
        <v>46018</v>
      </c>
      <c r="E245" s="355" t="s">
        <v>49</v>
      </c>
      <c r="F245" s="355" t="s">
        <v>359</v>
      </c>
      <c r="G245" s="355">
        <v>3.2498</v>
      </c>
      <c r="H245" s="355">
        <v>683</v>
      </c>
      <c r="I245" s="364"/>
      <c r="J245" s="370">
        <v>1855578</v>
      </c>
      <c r="K245" s="355"/>
      <c r="L245" s="361">
        <f t="shared" ref="L245:L249" si="65">SUM(J245/M245)</f>
        <v>1576.5318606627</v>
      </c>
      <c r="M245" s="362">
        <v>1177</v>
      </c>
      <c r="N245" s="363">
        <v>7.22</v>
      </c>
      <c r="O245" s="364">
        <f t="shared" ref="O245:O249" si="66">SUM(M245*N245)</f>
        <v>8497.94</v>
      </c>
      <c r="P245" s="375"/>
      <c r="Q245" s="375"/>
      <c r="R245" s="375"/>
      <c r="S245" s="375"/>
      <c r="T245" s="375"/>
      <c r="U245" s="375"/>
      <c r="V245" s="367"/>
      <c r="W245" s="375"/>
      <c r="X245" s="376"/>
      <c r="Y245" s="368">
        <v>251.58</v>
      </c>
      <c r="Z245" s="376"/>
      <c r="AA245" s="376"/>
      <c r="AB245" s="378"/>
      <c r="AC245" s="375"/>
      <c r="AD245" s="375"/>
      <c r="AE245" s="375"/>
    </row>
    <row r="246" s="264" customFormat="1" ht="12.75" spans="1:31">
      <c r="A246" s="354"/>
      <c r="B246" s="355"/>
      <c r="C246" s="356">
        <v>241211000027</v>
      </c>
      <c r="D246" s="357">
        <v>45643</v>
      </c>
      <c r="E246" s="355" t="s">
        <v>40</v>
      </c>
      <c r="F246" s="355" t="s">
        <v>134</v>
      </c>
      <c r="G246" s="355">
        <v>0.228</v>
      </c>
      <c r="H246" s="355">
        <v>45</v>
      </c>
      <c r="I246" s="358">
        <v>520</v>
      </c>
      <c r="J246" s="369"/>
      <c r="K246" s="355"/>
      <c r="L246" s="361"/>
      <c r="M246" s="360"/>
      <c r="N246" s="363"/>
      <c r="O246" s="364">
        <f t="shared" ref="O246:O253" si="67">SUBTOTAL(9,I246)</f>
        <v>520</v>
      </c>
      <c r="P246" s="375"/>
      <c r="Q246" s="375"/>
      <c r="R246" s="375"/>
      <c r="S246" s="375"/>
      <c r="T246" s="375"/>
      <c r="U246" s="375"/>
      <c r="V246" s="367"/>
      <c r="W246" s="375"/>
      <c r="X246" s="376"/>
      <c r="Y246" s="368"/>
      <c r="Z246" s="376"/>
      <c r="AA246" s="376"/>
      <c r="AB246" s="378"/>
      <c r="AC246" s="375"/>
      <c r="AD246" s="375"/>
      <c r="AE246" s="375"/>
    </row>
    <row r="247" s="264" customFormat="1" ht="12.75" spans="1:31">
      <c r="A247" s="354"/>
      <c r="B247" s="355"/>
      <c r="C247" s="356">
        <v>241213000046</v>
      </c>
      <c r="D247" s="357">
        <v>46018</v>
      </c>
      <c r="E247" s="355" t="s">
        <v>40</v>
      </c>
      <c r="F247" s="355" t="s">
        <v>93</v>
      </c>
      <c r="G247" s="355">
        <v>5.2541</v>
      </c>
      <c r="H247" s="355">
        <v>1423</v>
      </c>
      <c r="I247" s="358">
        <v>15725.5</v>
      </c>
      <c r="J247" s="369"/>
      <c r="K247" s="355"/>
      <c r="L247" s="361"/>
      <c r="M247" s="360"/>
      <c r="N247" s="363"/>
      <c r="O247" s="364">
        <f t="shared" si="67"/>
        <v>15725.5</v>
      </c>
      <c r="P247" s="375"/>
      <c r="Q247" s="375"/>
      <c r="R247" s="375"/>
      <c r="S247" s="375"/>
      <c r="T247" s="375"/>
      <c r="U247" s="375"/>
      <c r="V247" s="367"/>
      <c r="W247" s="375"/>
      <c r="X247" s="376"/>
      <c r="Y247" s="368"/>
      <c r="Z247" s="376"/>
      <c r="AA247" s="376"/>
      <c r="AB247" s="378"/>
      <c r="AC247" s="375"/>
      <c r="AD247" s="375"/>
      <c r="AE247" s="375"/>
    </row>
    <row r="248" s="264" customFormat="1" ht="12.75" spans="1:31">
      <c r="A248" s="354"/>
      <c r="B248" s="355"/>
      <c r="C248" s="356">
        <v>241216000032</v>
      </c>
      <c r="D248" s="357">
        <v>46018</v>
      </c>
      <c r="E248" s="355" t="s">
        <v>42</v>
      </c>
      <c r="F248" s="355" t="s">
        <v>131</v>
      </c>
      <c r="G248" s="355">
        <v>1.8673</v>
      </c>
      <c r="H248" s="355">
        <v>857</v>
      </c>
      <c r="I248" s="364"/>
      <c r="J248" s="370">
        <v>984715.9</v>
      </c>
      <c r="K248" s="355"/>
      <c r="L248" s="361">
        <f t="shared" si="65"/>
        <v>1582</v>
      </c>
      <c r="M248" s="362">
        <v>622.45</v>
      </c>
      <c r="N248" s="363">
        <v>7.24</v>
      </c>
      <c r="O248" s="364">
        <f t="shared" si="66"/>
        <v>4506.538</v>
      </c>
      <c r="P248" s="375"/>
      <c r="Q248" s="375"/>
      <c r="R248" s="375"/>
      <c r="S248" s="375"/>
      <c r="T248" s="375"/>
      <c r="U248" s="375"/>
      <c r="V248" s="367"/>
      <c r="W248" s="375"/>
      <c r="X248" s="376"/>
      <c r="Y248" s="368">
        <v>8.14</v>
      </c>
      <c r="Z248" s="376"/>
      <c r="AA248" s="376"/>
      <c r="AB248" s="378"/>
      <c r="AC248" s="375"/>
      <c r="AD248" s="375"/>
      <c r="AE248" s="375"/>
    </row>
    <row r="249" s="264" customFormat="1" ht="12.75" spans="1:31">
      <c r="A249" s="354"/>
      <c r="B249" s="355"/>
      <c r="C249" s="356">
        <v>241217000015</v>
      </c>
      <c r="D249" s="357">
        <v>46018</v>
      </c>
      <c r="E249" s="355" t="s">
        <v>42</v>
      </c>
      <c r="F249" s="355" t="s">
        <v>383</v>
      </c>
      <c r="G249" s="355">
        <v>2.0946</v>
      </c>
      <c r="H249" s="355">
        <v>144</v>
      </c>
      <c r="I249" s="364"/>
      <c r="J249" s="370">
        <v>1215438</v>
      </c>
      <c r="K249" s="355"/>
      <c r="L249" s="361">
        <f t="shared" si="65"/>
        <v>1581.98360015619</v>
      </c>
      <c r="M249" s="362">
        <v>768.3</v>
      </c>
      <c r="N249" s="363">
        <v>7.25</v>
      </c>
      <c r="O249" s="364">
        <f t="shared" si="66"/>
        <v>5570.175</v>
      </c>
      <c r="P249" s="375"/>
      <c r="Q249" s="375"/>
      <c r="R249" s="375"/>
      <c r="S249" s="375"/>
      <c r="T249" s="375"/>
      <c r="U249" s="375"/>
      <c r="V249" s="367"/>
      <c r="W249" s="375"/>
      <c r="X249" s="376"/>
      <c r="Y249" s="368">
        <v>103.35</v>
      </c>
      <c r="Z249" s="376"/>
      <c r="AA249" s="376"/>
      <c r="AB249" s="378"/>
      <c r="AC249" s="375"/>
      <c r="AD249" s="375"/>
      <c r="AE249" s="375"/>
    </row>
    <row r="250" s="264" customFormat="1" ht="12.75" spans="1:31">
      <c r="A250" s="354"/>
      <c r="B250" s="355"/>
      <c r="C250" s="356">
        <v>241218000004</v>
      </c>
      <c r="D250" s="357">
        <v>46018</v>
      </c>
      <c r="E250" s="355" t="s">
        <v>49</v>
      </c>
      <c r="F250" s="355" t="s">
        <v>382</v>
      </c>
      <c r="G250" s="355">
        <v>2.7589</v>
      </c>
      <c r="H250" s="355">
        <v>1023</v>
      </c>
      <c r="I250" s="358">
        <v>5703</v>
      </c>
      <c r="J250" s="369"/>
      <c r="K250" s="355"/>
      <c r="L250" s="361"/>
      <c r="M250" s="360"/>
      <c r="N250" s="363"/>
      <c r="O250" s="364">
        <f t="shared" si="67"/>
        <v>5703</v>
      </c>
      <c r="P250" s="375"/>
      <c r="Q250" s="375"/>
      <c r="R250" s="375"/>
      <c r="S250" s="375"/>
      <c r="T250" s="375"/>
      <c r="U250" s="375"/>
      <c r="V250" s="367"/>
      <c r="W250" s="375"/>
      <c r="X250" s="376"/>
      <c r="Y250" s="368"/>
      <c r="Z250" s="376"/>
      <c r="AA250" s="376"/>
      <c r="AB250" s="378"/>
      <c r="AC250" s="375"/>
      <c r="AD250" s="375"/>
      <c r="AE250" s="375"/>
    </row>
    <row r="251" s="264" customFormat="1" ht="12.75" spans="1:31">
      <c r="A251" s="354"/>
      <c r="B251" s="355"/>
      <c r="C251" s="356">
        <v>241219000017</v>
      </c>
      <c r="D251" s="357">
        <v>46018</v>
      </c>
      <c r="E251" s="355" t="s">
        <v>42</v>
      </c>
      <c r="F251" s="355" t="s">
        <v>43</v>
      </c>
      <c r="G251" s="355">
        <v>1.1975</v>
      </c>
      <c r="H251" s="355">
        <v>205</v>
      </c>
      <c r="I251" s="358">
        <v>2430</v>
      </c>
      <c r="J251" s="369"/>
      <c r="K251" s="355"/>
      <c r="L251" s="361"/>
      <c r="M251" s="360"/>
      <c r="N251" s="363"/>
      <c r="O251" s="364">
        <f t="shared" si="67"/>
        <v>2430</v>
      </c>
      <c r="P251" s="375"/>
      <c r="Q251" s="375"/>
      <c r="R251" s="375"/>
      <c r="S251" s="375"/>
      <c r="T251" s="375"/>
      <c r="U251" s="375"/>
      <c r="V251" s="367"/>
      <c r="W251" s="375"/>
      <c r="X251" s="376"/>
      <c r="Y251" s="368"/>
      <c r="Z251" s="376"/>
      <c r="AA251" s="376"/>
      <c r="AB251" s="378"/>
      <c r="AC251" s="375"/>
      <c r="AD251" s="375"/>
      <c r="AE251" s="375"/>
    </row>
    <row r="252" s="264" customFormat="1" ht="12.75" spans="1:31">
      <c r="A252" s="354"/>
      <c r="B252" s="355"/>
      <c r="C252" s="356">
        <v>241219000030</v>
      </c>
      <c r="D252" s="357">
        <v>46018</v>
      </c>
      <c r="E252" s="355" t="s">
        <v>49</v>
      </c>
      <c r="F252" s="355" t="s">
        <v>117</v>
      </c>
      <c r="G252" s="355">
        <v>0.5462</v>
      </c>
      <c r="H252" s="355">
        <v>242</v>
      </c>
      <c r="I252" s="358">
        <v>1156</v>
      </c>
      <c r="J252" s="369"/>
      <c r="K252" s="355"/>
      <c r="L252" s="361"/>
      <c r="M252" s="360"/>
      <c r="N252" s="363"/>
      <c r="O252" s="364">
        <f t="shared" si="67"/>
        <v>1156</v>
      </c>
      <c r="P252" s="375"/>
      <c r="Q252" s="375"/>
      <c r="R252" s="375"/>
      <c r="S252" s="375"/>
      <c r="T252" s="375"/>
      <c r="U252" s="375"/>
      <c r="V252" s="367"/>
      <c r="W252" s="375"/>
      <c r="X252" s="376"/>
      <c r="Y252" s="368"/>
      <c r="Z252" s="376"/>
      <c r="AA252" s="376"/>
      <c r="AB252" s="378"/>
      <c r="AC252" s="375"/>
      <c r="AD252" s="375"/>
      <c r="AE252" s="375"/>
    </row>
    <row r="253" s="264" customFormat="1" ht="12.75" spans="1:31">
      <c r="A253" s="354"/>
      <c r="B253" s="355"/>
      <c r="C253" s="356">
        <v>241216000051</v>
      </c>
      <c r="D253" s="357">
        <v>46018</v>
      </c>
      <c r="E253" s="355" t="s">
        <v>49</v>
      </c>
      <c r="F253" s="355" t="s">
        <v>117</v>
      </c>
      <c r="G253" s="355">
        <v>13.6398</v>
      </c>
      <c r="H253" s="355">
        <v>2540</v>
      </c>
      <c r="I253" s="358">
        <v>28688</v>
      </c>
      <c r="J253" s="393"/>
      <c r="K253" s="355"/>
      <c r="L253" s="361"/>
      <c r="M253" s="360"/>
      <c r="N253" s="363"/>
      <c r="O253" s="364">
        <f t="shared" si="67"/>
        <v>28688</v>
      </c>
      <c r="P253" s="375"/>
      <c r="Q253" s="375"/>
      <c r="R253" s="375"/>
      <c r="S253" s="375"/>
      <c r="T253" s="375"/>
      <c r="U253" s="375"/>
      <c r="V253" s="367"/>
      <c r="W253" s="375"/>
      <c r="X253" s="376"/>
      <c r="Y253" s="368"/>
      <c r="Z253" s="376"/>
      <c r="AA253" s="376"/>
      <c r="AB253" s="378"/>
      <c r="AC253" s="375"/>
      <c r="AD253" s="375"/>
      <c r="AE253" s="375"/>
    </row>
    <row r="254" s="264" customFormat="1" ht="12.75" spans="1:31">
      <c r="A254" s="354"/>
      <c r="B254" s="355"/>
      <c r="C254" s="356">
        <v>241220000030</v>
      </c>
      <c r="D254" s="357">
        <v>46018</v>
      </c>
      <c r="E254" s="355" t="s">
        <v>37</v>
      </c>
      <c r="F254" s="355" t="s">
        <v>142</v>
      </c>
      <c r="G254" s="355">
        <v>0.8815</v>
      </c>
      <c r="H254" s="355">
        <v>304</v>
      </c>
      <c r="I254" s="364"/>
      <c r="J254" s="370">
        <v>414128.7</v>
      </c>
      <c r="K254" s="355"/>
      <c r="L254" s="361">
        <f>SUM(J254/M254)</f>
        <v>1566.00029608627</v>
      </c>
      <c r="M254" s="362">
        <v>264.44995</v>
      </c>
      <c r="N254" s="363">
        <v>7.27</v>
      </c>
      <c r="O254" s="364">
        <f>SUM(M254*N254)</f>
        <v>1922.5511365</v>
      </c>
      <c r="P254" s="375"/>
      <c r="Q254" s="375"/>
      <c r="R254" s="375"/>
      <c r="S254" s="375"/>
      <c r="T254" s="375"/>
      <c r="U254" s="375"/>
      <c r="V254" s="367"/>
      <c r="W254" s="375"/>
      <c r="X254" s="376"/>
      <c r="Y254" s="368"/>
      <c r="Z254" s="376"/>
      <c r="AA254" s="376"/>
      <c r="AB254" s="378"/>
      <c r="AC254" s="375"/>
      <c r="AD254" s="375"/>
      <c r="AE254" s="375"/>
    </row>
    <row r="255" s="264" customFormat="1" ht="12.75" spans="1:31">
      <c r="A255" s="354"/>
      <c r="B255" s="355"/>
      <c r="C255" s="356">
        <v>241221000013</v>
      </c>
      <c r="D255" s="357">
        <v>46018</v>
      </c>
      <c r="E255" s="355" t="s">
        <v>49</v>
      </c>
      <c r="F255" s="355" t="s">
        <v>382</v>
      </c>
      <c r="G255" s="355">
        <v>2.0286</v>
      </c>
      <c r="H255" s="355">
        <v>791</v>
      </c>
      <c r="I255" s="358">
        <v>4194.5</v>
      </c>
      <c r="J255" s="369"/>
      <c r="K255" s="355"/>
      <c r="L255" s="361"/>
      <c r="M255" s="360"/>
      <c r="N255" s="363"/>
      <c r="O255" s="364">
        <f t="shared" ref="O255:O261" si="68">SUBTOTAL(9,I255)</f>
        <v>4194.5</v>
      </c>
      <c r="P255" s="375"/>
      <c r="Q255" s="375"/>
      <c r="R255" s="375"/>
      <c r="S255" s="375"/>
      <c r="T255" s="375"/>
      <c r="U255" s="375"/>
      <c r="V255" s="367"/>
      <c r="W255" s="375"/>
      <c r="X255" s="376"/>
      <c r="Y255" s="368"/>
      <c r="Z255" s="376"/>
      <c r="AA255" s="376"/>
      <c r="AB255" s="378"/>
      <c r="AC255" s="375"/>
      <c r="AD255" s="375"/>
      <c r="AE255" s="375"/>
    </row>
    <row r="256" s="264" customFormat="1" ht="12.75" spans="1:31">
      <c r="A256" s="354"/>
      <c r="B256" s="355"/>
      <c r="C256" s="356">
        <v>241222000003</v>
      </c>
      <c r="D256" s="357">
        <v>46018</v>
      </c>
      <c r="E256" s="355" t="s">
        <v>49</v>
      </c>
      <c r="F256" s="355" t="s">
        <v>382</v>
      </c>
      <c r="G256" s="355">
        <v>11.2441</v>
      </c>
      <c r="H256" s="355">
        <v>3412</v>
      </c>
      <c r="I256" s="358">
        <v>24501</v>
      </c>
      <c r="J256" s="369"/>
      <c r="K256" s="355"/>
      <c r="L256" s="361"/>
      <c r="M256" s="360"/>
      <c r="N256" s="363"/>
      <c r="O256" s="364">
        <f t="shared" si="68"/>
        <v>24501</v>
      </c>
      <c r="P256" s="375"/>
      <c r="Q256" s="375"/>
      <c r="R256" s="375"/>
      <c r="S256" s="375"/>
      <c r="T256" s="375"/>
      <c r="U256" s="375"/>
      <c r="V256" s="367"/>
      <c r="W256" s="375"/>
      <c r="X256" s="376"/>
      <c r="Y256" s="368"/>
      <c r="Z256" s="376"/>
      <c r="AA256" s="376"/>
      <c r="AB256" s="378"/>
      <c r="AC256" s="375"/>
      <c r="AD256" s="375"/>
      <c r="AE256" s="375"/>
    </row>
    <row r="257" s="264" customFormat="1" ht="12.75" spans="1:31">
      <c r="A257" s="354"/>
      <c r="B257" s="355"/>
      <c r="C257" s="356">
        <v>241223000042</v>
      </c>
      <c r="D257" s="357">
        <v>46018</v>
      </c>
      <c r="E257" s="355" t="s">
        <v>256</v>
      </c>
      <c r="F257" s="355" t="s">
        <v>271</v>
      </c>
      <c r="G257" s="355">
        <v>0.0662</v>
      </c>
      <c r="H257" s="355">
        <v>13</v>
      </c>
      <c r="I257" s="358">
        <v>155.7</v>
      </c>
      <c r="J257" s="369"/>
      <c r="K257" s="355"/>
      <c r="L257" s="361"/>
      <c r="M257" s="360"/>
      <c r="N257" s="363"/>
      <c r="O257" s="364">
        <f>SUM(I257)</f>
        <v>155.7</v>
      </c>
      <c r="P257" s="375"/>
      <c r="Q257" s="375"/>
      <c r="R257" s="375"/>
      <c r="S257" s="375"/>
      <c r="T257" s="375"/>
      <c r="U257" s="375"/>
      <c r="V257" s="367"/>
      <c r="W257" s="375"/>
      <c r="X257" s="376"/>
      <c r="Y257" s="368"/>
      <c r="Z257" s="376"/>
      <c r="AA257" s="376"/>
      <c r="AB257" s="378"/>
      <c r="AC257" s="375"/>
      <c r="AD257" s="375"/>
      <c r="AE257" s="375"/>
    </row>
    <row r="258" s="264" customFormat="1" ht="12.75" spans="1:31">
      <c r="A258" s="354"/>
      <c r="B258" s="355"/>
      <c r="C258" s="356">
        <v>241223000044</v>
      </c>
      <c r="D258" s="357">
        <v>46018</v>
      </c>
      <c r="E258" s="355" t="s">
        <v>189</v>
      </c>
      <c r="F258" s="355" t="s">
        <v>111</v>
      </c>
      <c r="G258" s="355">
        <v>0.7236</v>
      </c>
      <c r="H258" s="355">
        <v>173</v>
      </c>
      <c r="I258" s="364"/>
      <c r="J258" s="370">
        <v>336691</v>
      </c>
      <c r="K258" s="355"/>
      <c r="L258" s="361">
        <f t="shared" ref="L258:L265" si="69">SUM(J258/M258)</f>
        <v>1550.9990598861</v>
      </c>
      <c r="M258" s="362">
        <v>217.08008</v>
      </c>
      <c r="N258" s="363">
        <v>7.24</v>
      </c>
      <c r="O258" s="364">
        <f t="shared" ref="O258:O265" si="70">SUM(M258*N258)</f>
        <v>1571.6597792</v>
      </c>
      <c r="P258" s="375"/>
      <c r="Q258" s="375"/>
      <c r="R258" s="375"/>
      <c r="S258" s="375"/>
      <c r="T258" s="375"/>
      <c r="U258" s="375"/>
      <c r="V258" s="367"/>
      <c r="W258" s="375"/>
      <c r="X258" s="376"/>
      <c r="Y258" s="368"/>
      <c r="Z258" s="376"/>
      <c r="AA258" s="376"/>
      <c r="AB258" s="378"/>
      <c r="AC258" s="375"/>
      <c r="AD258" s="375"/>
      <c r="AE258" s="375"/>
    </row>
    <row r="259" s="264" customFormat="1" ht="12.75" spans="1:31">
      <c r="A259" s="354"/>
      <c r="B259" s="355"/>
      <c r="C259" s="356">
        <v>241223000048</v>
      </c>
      <c r="D259" s="357">
        <v>46018</v>
      </c>
      <c r="E259" s="355" t="s">
        <v>40</v>
      </c>
      <c r="F259" s="355" t="s">
        <v>93</v>
      </c>
      <c r="G259" s="355">
        <v>0.8576</v>
      </c>
      <c r="H259" s="355">
        <v>189</v>
      </c>
      <c r="I259" s="358">
        <v>3063</v>
      </c>
      <c r="J259" s="369"/>
      <c r="K259" s="355"/>
      <c r="L259" s="361"/>
      <c r="M259" s="360"/>
      <c r="N259" s="363"/>
      <c r="O259" s="364">
        <f t="shared" si="68"/>
        <v>3063</v>
      </c>
      <c r="P259" s="375"/>
      <c r="Q259" s="375"/>
      <c r="R259" s="375"/>
      <c r="S259" s="375"/>
      <c r="T259" s="375"/>
      <c r="U259" s="375"/>
      <c r="V259" s="367">
        <v>53.42</v>
      </c>
      <c r="W259" s="375"/>
      <c r="X259" s="376"/>
      <c r="Y259" s="368"/>
      <c r="Z259" s="376"/>
      <c r="AA259" s="376"/>
      <c r="AB259" s="378"/>
      <c r="AC259" s="375"/>
      <c r="AD259" s="375"/>
      <c r="AE259" s="375"/>
    </row>
    <row r="260" s="264" customFormat="1" ht="12.75" spans="1:31">
      <c r="A260" s="354"/>
      <c r="B260" s="355"/>
      <c r="C260" s="356">
        <v>241223000069</v>
      </c>
      <c r="D260" s="357">
        <v>46018</v>
      </c>
      <c r="E260" s="355" t="s">
        <v>42</v>
      </c>
      <c r="F260" s="355" t="s">
        <v>43</v>
      </c>
      <c r="G260" s="355">
        <v>5.4144</v>
      </c>
      <c r="H260" s="355">
        <v>1858</v>
      </c>
      <c r="I260" s="358">
        <v>10997.45</v>
      </c>
      <c r="J260" s="369"/>
      <c r="K260" s="355"/>
      <c r="L260" s="361"/>
      <c r="M260" s="360"/>
      <c r="N260" s="363"/>
      <c r="O260" s="364">
        <f t="shared" si="68"/>
        <v>10997.45</v>
      </c>
      <c r="P260" s="375"/>
      <c r="Q260" s="375"/>
      <c r="R260" s="375"/>
      <c r="S260" s="375"/>
      <c r="T260" s="375"/>
      <c r="U260" s="375"/>
      <c r="V260" s="367"/>
      <c r="W260" s="375"/>
      <c r="X260" s="376"/>
      <c r="Y260" s="368"/>
      <c r="Z260" s="376"/>
      <c r="AA260" s="376"/>
      <c r="AB260" s="378"/>
      <c r="AC260" s="375"/>
      <c r="AD260" s="375"/>
      <c r="AE260" s="375"/>
    </row>
    <row r="261" s="264" customFormat="1" ht="12.75" spans="1:31">
      <c r="A261" s="354"/>
      <c r="B261" s="355"/>
      <c r="C261" s="356">
        <v>241224000009</v>
      </c>
      <c r="D261" s="357">
        <v>46018</v>
      </c>
      <c r="E261" s="355" t="s">
        <v>42</v>
      </c>
      <c r="F261" s="355" t="s">
        <v>43</v>
      </c>
      <c r="G261" s="355">
        <v>3.9648</v>
      </c>
      <c r="H261" s="355">
        <v>516</v>
      </c>
      <c r="I261" s="358">
        <v>8070.22</v>
      </c>
      <c r="J261" s="369"/>
      <c r="K261" s="355"/>
      <c r="L261" s="361"/>
      <c r="M261" s="360"/>
      <c r="N261" s="363"/>
      <c r="O261" s="364">
        <f t="shared" si="68"/>
        <v>8070.22</v>
      </c>
      <c r="P261" s="375"/>
      <c r="Q261" s="375"/>
      <c r="R261" s="375"/>
      <c r="S261" s="375"/>
      <c r="T261" s="375"/>
      <c r="U261" s="375"/>
      <c r="V261" s="367"/>
      <c r="W261" s="375"/>
      <c r="X261" s="376"/>
      <c r="Y261" s="368"/>
      <c r="Z261" s="376"/>
      <c r="AA261" s="376"/>
      <c r="AB261" s="378"/>
      <c r="AC261" s="375"/>
      <c r="AD261" s="375"/>
      <c r="AE261" s="375"/>
    </row>
    <row r="262" s="264" customFormat="1" ht="12.75" spans="1:31">
      <c r="A262" s="354"/>
      <c r="B262" s="355"/>
      <c r="C262" s="356">
        <v>241224000024</v>
      </c>
      <c r="D262" s="357">
        <v>46018</v>
      </c>
      <c r="E262" s="355" t="s">
        <v>44</v>
      </c>
      <c r="F262" s="355" t="s">
        <v>112</v>
      </c>
      <c r="G262" s="355">
        <v>1.4079</v>
      </c>
      <c r="H262" s="355">
        <v>246</v>
      </c>
      <c r="I262" s="364"/>
      <c r="J262" s="370">
        <v>605826.9</v>
      </c>
      <c r="K262" s="355"/>
      <c r="L262" s="361">
        <f t="shared" si="69"/>
        <v>1582</v>
      </c>
      <c r="M262" s="362">
        <v>382.95</v>
      </c>
      <c r="N262" s="355">
        <v>7.18</v>
      </c>
      <c r="O262" s="364">
        <f t="shared" si="70"/>
        <v>2749.581</v>
      </c>
      <c r="P262" s="375"/>
      <c r="Q262" s="375"/>
      <c r="R262" s="375"/>
      <c r="S262" s="375"/>
      <c r="T262" s="375"/>
      <c r="U262" s="375"/>
      <c r="V262" s="367"/>
      <c r="W262" s="375"/>
      <c r="X262" s="376"/>
      <c r="Y262" s="368"/>
      <c r="Z262" s="376"/>
      <c r="AA262" s="376"/>
      <c r="AB262" s="378"/>
      <c r="AC262" s="375"/>
      <c r="AD262" s="375"/>
      <c r="AE262" s="375"/>
    </row>
    <row r="263" s="264" customFormat="1" ht="12.75" spans="1:31">
      <c r="A263" s="354"/>
      <c r="B263" s="355"/>
      <c r="C263" s="356">
        <v>241224000025</v>
      </c>
      <c r="D263" s="357">
        <v>46018</v>
      </c>
      <c r="E263" s="355" t="s">
        <v>44</v>
      </c>
      <c r="F263" s="355" t="s">
        <v>112</v>
      </c>
      <c r="G263" s="355">
        <v>2.2252</v>
      </c>
      <c r="H263" s="355">
        <v>847</v>
      </c>
      <c r="I263" s="364"/>
      <c r="J263" s="370">
        <v>957505.5</v>
      </c>
      <c r="K263" s="355"/>
      <c r="L263" s="361">
        <f t="shared" si="69"/>
        <v>1582</v>
      </c>
      <c r="M263" s="362">
        <v>605.25</v>
      </c>
      <c r="N263" s="355">
        <v>7.18</v>
      </c>
      <c r="O263" s="364">
        <f t="shared" si="70"/>
        <v>4345.695</v>
      </c>
      <c r="P263" s="375"/>
      <c r="Q263" s="375"/>
      <c r="R263" s="375"/>
      <c r="S263" s="375"/>
      <c r="T263" s="375"/>
      <c r="U263" s="375"/>
      <c r="V263" s="367"/>
      <c r="W263" s="375"/>
      <c r="X263" s="376"/>
      <c r="Y263" s="368"/>
      <c r="Z263" s="376"/>
      <c r="AA263" s="376"/>
      <c r="AB263" s="378"/>
      <c r="AC263" s="375"/>
      <c r="AD263" s="375"/>
      <c r="AE263" s="375"/>
    </row>
    <row r="264" s="264" customFormat="1" ht="12.75" spans="1:31">
      <c r="A264" s="354"/>
      <c r="B264" s="355"/>
      <c r="C264" s="356">
        <v>241224000026</v>
      </c>
      <c r="D264" s="357">
        <v>46018</v>
      </c>
      <c r="E264" s="355" t="s">
        <v>44</v>
      </c>
      <c r="F264" s="355" t="s">
        <v>112</v>
      </c>
      <c r="G264" s="355">
        <v>0.8547</v>
      </c>
      <c r="H264" s="355">
        <v>81</v>
      </c>
      <c r="I264" s="364"/>
      <c r="J264" s="370">
        <v>367783.36</v>
      </c>
      <c r="K264" s="355"/>
      <c r="L264" s="361">
        <f t="shared" si="69"/>
        <v>1582</v>
      </c>
      <c r="M264" s="362">
        <v>232.48</v>
      </c>
      <c r="N264" s="355">
        <v>7.18</v>
      </c>
      <c r="O264" s="364">
        <f t="shared" si="70"/>
        <v>1669.2064</v>
      </c>
      <c r="P264" s="375"/>
      <c r="Q264" s="375"/>
      <c r="R264" s="375"/>
      <c r="S264" s="375"/>
      <c r="T264" s="375"/>
      <c r="U264" s="375"/>
      <c r="V264" s="367"/>
      <c r="W264" s="375"/>
      <c r="X264" s="376"/>
      <c r="Y264" s="368"/>
      <c r="Z264" s="376"/>
      <c r="AA264" s="376"/>
      <c r="AB264" s="378"/>
      <c r="AC264" s="375"/>
      <c r="AD264" s="375"/>
      <c r="AE264" s="375"/>
    </row>
    <row r="265" s="264" customFormat="1" ht="12.75" spans="1:31">
      <c r="A265" s="354"/>
      <c r="B265" s="355"/>
      <c r="C265" s="356">
        <v>241224000028</v>
      </c>
      <c r="D265" s="357">
        <v>46018</v>
      </c>
      <c r="E265" s="355" t="s">
        <v>189</v>
      </c>
      <c r="F265" s="355" t="s">
        <v>111</v>
      </c>
      <c r="G265" s="355">
        <v>0.4936</v>
      </c>
      <c r="H265" s="355">
        <v>87</v>
      </c>
      <c r="I265" s="364"/>
      <c r="J265" s="370">
        <v>229672</v>
      </c>
      <c r="K265" s="355"/>
      <c r="L265" s="361">
        <f t="shared" si="69"/>
        <v>1550.99956449214</v>
      </c>
      <c r="M265" s="362">
        <v>148.07999</v>
      </c>
      <c r="N265" s="363">
        <v>7.24</v>
      </c>
      <c r="O265" s="364">
        <f t="shared" si="70"/>
        <v>1072.0991276</v>
      </c>
      <c r="P265" s="375"/>
      <c r="Q265" s="375"/>
      <c r="R265" s="375"/>
      <c r="S265" s="375"/>
      <c r="T265" s="375"/>
      <c r="U265" s="375"/>
      <c r="V265" s="367"/>
      <c r="W265" s="375"/>
      <c r="X265" s="376"/>
      <c r="Y265" s="368"/>
      <c r="Z265" s="376"/>
      <c r="AA265" s="376"/>
      <c r="AB265" s="378"/>
      <c r="AC265" s="375"/>
      <c r="AD265" s="375"/>
      <c r="AE265" s="375"/>
    </row>
    <row r="266" s="264" customFormat="1" ht="12.75" spans="1:31">
      <c r="A266" s="354"/>
      <c r="B266" s="355"/>
      <c r="C266" s="356">
        <v>241224000043</v>
      </c>
      <c r="D266" s="357">
        <v>46018</v>
      </c>
      <c r="E266" s="355" t="s">
        <v>40</v>
      </c>
      <c r="F266" s="355" t="s">
        <v>93</v>
      </c>
      <c r="G266" s="355">
        <v>0.4278</v>
      </c>
      <c r="H266" s="355">
        <v>118</v>
      </c>
      <c r="I266" s="358">
        <v>1777</v>
      </c>
      <c r="J266" s="369"/>
      <c r="K266" s="355"/>
      <c r="L266" s="361"/>
      <c r="M266" s="360"/>
      <c r="N266" s="363"/>
      <c r="O266" s="364">
        <f t="shared" ref="O266:O270" si="71">SUBTOTAL(9,I266)</f>
        <v>1777</v>
      </c>
      <c r="P266" s="375"/>
      <c r="Q266" s="375"/>
      <c r="R266" s="375"/>
      <c r="S266" s="375"/>
      <c r="T266" s="375"/>
      <c r="U266" s="375"/>
      <c r="V266" s="367">
        <v>57.82</v>
      </c>
      <c r="W266" s="375"/>
      <c r="X266" s="376"/>
      <c r="Y266" s="368"/>
      <c r="Z266" s="376"/>
      <c r="AA266" s="376"/>
      <c r="AB266" s="378"/>
      <c r="AC266" s="375"/>
      <c r="AD266" s="375"/>
      <c r="AE266" s="375"/>
    </row>
    <row r="267" s="264" customFormat="1" ht="12.75" spans="1:31">
      <c r="A267" s="354"/>
      <c r="B267" s="355"/>
      <c r="C267" s="356">
        <v>241126000018</v>
      </c>
      <c r="D267" s="357">
        <v>46018</v>
      </c>
      <c r="E267" s="355" t="s">
        <v>52</v>
      </c>
      <c r="F267" s="355" t="s">
        <v>246</v>
      </c>
      <c r="G267" s="355">
        <v>4.3979</v>
      </c>
      <c r="H267" s="355">
        <v>10079</v>
      </c>
      <c r="I267" s="358">
        <v>20016.76</v>
      </c>
      <c r="J267" s="369"/>
      <c r="K267" s="360"/>
      <c r="L267" s="361"/>
      <c r="M267" s="360"/>
      <c r="N267" s="363"/>
      <c r="O267" s="364">
        <f t="shared" si="71"/>
        <v>20016.76</v>
      </c>
      <c r="P267" s="375"/>
      <c r="Q267" s="375"/>
      <c r="R267" s="375"/>
      <c r="S267" s="375"/>
      <c r="T267" s="375"/>
      <c r="U267" s="375"/>
      <c r="V267" s="367">
        <v>255</v>
      </c>
      <c r="W267" s="375"/>
      <c r="X267" s="376"/>
      <c r="Y267" s="368"/>
      <c r="Z267" s="376"/>
      <c r="AA267" s="376"/>
      <c r="AB267" s="378"/>
      <c r="AC267" s="375"/>
      <c r="AD267" s="375"/>
      <c r="AE267" s="375"/>
    </row>
    <row r="268" s="264" customFormat="1" ht="12.75" spans="1:31">
      <c r="A268" s="354"/>
      <c r="B268" s="355"/>
      <c r="C268" s="356">
        <v>241226000023</v>
      </c>
      <c r="D268" s="357">
        <v>46018</v>
      </c>
      <c r="E268" s="355" t="s">
        <v>42</v>
      </c>
      <c r="F268" s="355" t="s">
        <v>309</v>
      </c>
      <c r="G268" s="355">
        <v>0.8304</v>
      </c>
      <c r="H268" s="355">
        <v>88</v>
      </c>
      <c r="I268" s="364"/>
      <c r="J268" s="370">
        <v>488305</v>
      </c>
      <c r="K268" s="355"/>
      <c r="L268" s="361">
        <f t="shared" ref="L268:L273" si="72">SUM(J268/M268)</f>
        <v>1581.29857512953</v>
      </c>
      <c r="M268" s="362">
        <v>308.8</v>
      </c>
      <c r="N268" s="363">
        <v>7.27</v>
      </c>
      <c r="O268" s="364">
        <f t="shared" ref="O268:O273" si="73">SUM(M268*N268)</f>
        <v>2244.976</v>
      </c>
      <c r="P268" s="375"/>
      <c r="Q268" s="375"/>
      <c r="R268" s="375"/>
      <c r="S268" s="375"/>
      <c r="T268" s="375"/>
      <c r="U268" s="375"/>
      <c r="V268" s="367"/>
      <c r="W268" s="375"/>
      <c r="X268" s="376"/>
      <c r="Y268" s="368">
        <v>35.59</v>
      </c>
      <c r="Z268" s="376"/>
      <c r="AA268" s="376"/>
      <c r="AB268" s="378"/>
      <c r="AC268" s="375"/>
      <c r="AD268" s="375"/>
      <c r="AE268" s="375"/>
    </row>
    <row r="269" s="264" customFormat="1" ht="12.75" spans="1:31">
      <c r="A269" s="354"/>
      <c r="B269" s="355"/>
      <c r="C269" s="356">
        <v>241226000032</v>
      </c>
      <c r="D269" s="357">
        <v>46018</v>
      </c>
      <c r="E269" s="355" t="s">
        <v>44</v>
      </c>
      <c r="F269" s="355" t="s">
        <v>112</v>
      </c>
      <c r="G269" s="355">
        <v>0.19</v>
      </c>
      <c r="H269" s="355">
        <v>26</v>
      </c>
      <c r="I269" s="364"/>
      <c r="J269" s="370">
        <v>81805.22</v>
      </c>
      <c r="K269" s="355"/>
      <c r="L269" s="361">
        <f t="shared" si="72"/>
        <v>1582</v>
      </c>
      <c r="M269" s="362">
        <v>51.71</v>
      </c>
      <c r="N269" s="355">
        <v>7.18</v>
      </c>
      <c r="O269" s="364">
        <f t="shared" si="73"/>
        <v>371.2778</v>
      </c>
      <c r="P269" s="375"/>
      <c r="Q269" s="375"/>
      <c r="R269" s="375"/>
      <c r="S269" s="375"/>
      <c r="T269" s="375"/>
      <c r="U269" s="375"/>
      <c r="V269" s="367"/>
      <c r="W269" s="375"/>
      <c r="X269" s="376"/>
      <c r="Y269" s="368"/>
      <c r="Z269" s="376"/>
      <c r="AA269" s="376"/>
      <c r="AB269" s="378"/>
      <c r="AC269" s="375"/>
      <c r="AD269" s="375"/>
      <c r="AE269" s="375"/>
    </row>
    <row r="270" s="264" customFormat="1" ht="12.75" spans="1:31">
      <c r="A270" s="354"/>
      <c r="B270" s="355"/>
      <c r="C270" s="356">
        <v>241023000034</v>
      </c>
      <c r="D270" s="357">
        <v>45617</v>
      </c>
      <c r="E270" s="355" t="s">
        <v>40</v>
      </c>
      <c r="F270" s="355" t="s">
        <v>130</v>
      </c>
      <c r="G270" s="355">
        <v>0.0452</v>
      </c>
      <c r="H270" s="355">
        <v>13</v>
      </c>
      <c r="I270" s="358">
        <v>131.2</v>
      </c>
      <c r="J270" s="369"/>
      <c r="K270" s="355"/>
      <c r="L270" s="361"/>
      <c r="M270" s="360"/>
      <c r="N270" s="363"/>
      <c r="O270" s="364">
        <f t="shared" si="71"/>
        <v>131.2</v>
      </c>
      <c r="P270" s="375"/>
      <c r="Q270" s="375"/>
      <c r="R270" s="375"/>
      <c r="S270" s="375"/>
      <c r="T270" s="375"/>
      <c r="U270" s="375"/>
      <c r="V270" s="367"/>
      <c r="W270" s="375"/>
      <c r="X270" s="376"/>
      <c r="Y270" s="368"/>
      <c r="Z270" s="376"/>
      <c r="AA270" s="376"/>
      <c r="AB270" s="378"/>
      <c r="AC270" s="375"/>
      <c r="AD270" s="375"/>
      <c r="AE270" s="375"/>
    </row>
    <row r="271" s="264" customFormat="1" ht="12.75" spans="1:31">
      <c r="A271" s="354"/>
      <c r="B271" s="355"/>
      <c r="C271" s="356">
        <v>241226000033</v>
      </c>
      <c r="D271" s="357">
        <v>46018</v>
      </c>
      <c r="E271" s="355" t="s">
        <v>44</v>
      </c>
      <c r="F271" s="355" t="s">
        <v>112</v>
      </c>
      <c r="G271" s="355">
        <v>1.481</v>
      </c>
      <c r="H271" s="355">
        <v>251</v>
      </c>
      <c r="I271" s="364"/>
      <c r="J271" s="370">
        <v>637277.06</v>
      </c>
      <c r="K271" s="355"/>
      <c r="L271" s="361">
        <f t="shared" si="72"/>
        <v>1582</v>
      </c>
      <c r="M271" s="362">
        <v>402.83</v>
      </c>
      <c r="N271" s="355">
        <v>7.18</v>
      </c>
      <c r="O271" s="364">
        <f t="shared" si="73"/>
        <v>2892.3194</v>
      </c>
      <c r="P271" s="375"/>
      <c r="Q271" s="375"/>
      <c r="R271" s="375"/>
      <c r="S271" s="375"/>
      <c r="T271" s="375"/>
      <c r="U271" s="375"/>
      <c r="V271" s="367"/>
      <c r="W271" s="375"/>
      <c r="X271" s="376"/>
      <c r="Y271" s="368"/>
      <c r="Z271" s="376"/>
      <c r="AA271" s="376"/>
      <c r="AB271" s="378"/>
      <c r="AC271" s="375"/>
      <c r="AD271" s="375"/>
      <c r="AE271" s="375"/>
    </row>
    <row r="272" s="264" customFormat="1" ht="12.75" spans="1:31">
      <c r="A272" s="354"/>
      <c r="B272" s="355"/>
      <c r="C272" s="356">
        <v>241225000006</v>
      </c>
      <c r="D272" s="357">
        <v>46020</v>
      </c>
      <c r="E272" s="355" t="s">
        <v>42</v>
      </c>
      <c r="F272" s="355" t="s">
        <v>131</v>
      </c>
      <c r="G272" s="355">
        <v>2.399</v>
      </c>
      <c r="H272" s="355">
        <v>1988</v>
      </c>
      <c r="I272" s="364"/>
      <c r="J272" s="394">
        <v>1244263</v>
      </c>
      <c r="K272" s="355"/>
      <c r="L272" s="361">
        <f t="shared" si="72"/>
        <v>1573.02528445006</v>
      </c>
      <c r="M272" s="362">
        <v>791</v>
      </c>
      <c r="N272" s="363">
        <v>7.25</v>
      </c>
      <c r="O272" s="364">
        <f t="shared" si="73"/>
        <v>5734.75</v>
      </c>
      <c r="P272" s="375"/>
      <c r="Q272" s="375"/>
      <c r="R272" s="375"/>
      <c r="S272" s="375"/>
      <c r="T272" s="375"/>
      <c r="U272" s="375"/>
      <c r="V272" s="367"/>
      <c r="W272" s="375"/>
      <c r="X272" s="376"/>
      <c r="Y272" s="368"/>
      <c r="Z272" s="376"/>
      <c r="AA272" s="376"/>
      <c r="AB272" s="378"/>
      <c r="AC272" s="375"/>
      <c r="AD272" s="375"/>
      <c r="AE272" s="375"/>
    </row>
    <row r="273" s="264" customFormat="1" ht="12.75" spans="1:31">
      <c r="A273" s="354"/>
      <c r="B273" s="355"/>
      <c r="C273" s="356">
        <v>241226000034</v>
      </c>
      <c r="D273" s="357">
        <v>46018</v>
      </c>
      <c r="E273" s="355" t="s">
        <v>44</v>
      </c>
      <c r="F273" s="355" t="s">
        <v>112</v>
      </c>
      <c r="G273" s="355">
        <v>0.3501</v>
      </c>
      <c r="H273" s="355">
        <v>96</v>
      </c>
      <c r="I273" s="364"/>
      <c r="J273" s="370">
        <v>150653.86</v>
      </c>
      <c r="K273" s="355"/>
      <c r="L273" s="361">
        <f t="shared" si="72"/>
        <v>1582</v>
      </c>
      <c r="M273" s="362">
        <v>95.23</v>
      </c>
      <c r="N273" s="355">
        <v>7.18</v>
      </c>
      <c r="O273" s="364">
        <f t="shared" si="73"/>
        <v>683.7514</v>
      </c>
      <c r="P273" s="379"/>
      <c r="Q273" s="379"/>
      <c r="R273" s="379"/>
      <c r="S273" s="379"/>
      <c r="T273" s="379"/>
      <c r="U273" s="379"/>
      <c r="V273" s="367"/>
      <c r="W273" s="379"/>
      <c r="X273" s="377"/>
      <c r="Y273" s="368"/>
      <c r="Z273" s="377"/>
      <c r="AA273" s="377"/>
      <c r="AB273" s="380"/>
      <c r="AC273" s="379"/>
      <c r="AD273" s="379"/>
      <c r="AE273" s="379"/>
    </row>
    <row r="274" s="264" customFormat="1" ht="12.75" spans="1:31">
      <c r="A274" s="354" t="s">
        <v>391</v>
      </c>
      <c r="B274" s="355" t="s">
        <v>392</v>
      </c>
      <c r="C274" s="356">
        <v>241128000030</v>
      </c>
      <c r="D274" s="357">
        <v>46020</v>
      </c>
      <c r="E274" s="355" t="s">
        <v>40</v>
      </c>
      <c r="F274" s="355" t="s">
        <v>134</v>
      </c>
      <c r="G274" s="355">
        <v>5.8708</v>
      </c>
      <c r="H274" s="355">
        <v>3354</v>
      </c>
      <c r="I274" s="358">
        <v>17261.3</v>
      </c>
      <c r="J274" s="369"/>
      <c r="K274" s="355"/>
      <c r="L274" s="361"/>
      <c r="M274" s="360"/>
      <c r="N274" s="363"/>
      <c r="O274" s="364">
        <f t="shared" ref="O274:O279" si="74">SUBTOTAL(9,I274)</f>
        <v>17261.3</v>
      </c>
      <c r="P274" s="371">
        <f>SUM(O274:O286)</f>
        <v>158708.12</v>
      </c>
      <c r="Q274" s="372" t="s">
        <v>393</v>
      </c>
      <c r="R274" s="371">
        <v>50190</v>
      </c>
      <c r="S274" s="371"/>
      <c r="T274" s="371">
        <v>1800</v>
      </c>
      <c r="U274" s="367"/>
      <c r="V274" s="371"/>
      <c r="W274" s="371">
        <f>SUM(R274:V286)</f>
        <v>52590</v>
      </c>
      <c r="X274" s="373">
        <v>11143.04</v>
      </c>
      <c r="Y274" s="368">
        <v>114.79</v>
      </c>
      <c r="Z274" s="373">
        <v>134.1</v>
      </c>
      <c r="AA274" s="373">
        <f>SUM(X274:Z286)</f>
        <v>11444.21</v>
      </c>
      <c r="AB274" s="374">
        <v>7.25</v>
      </c>
      <c r="AC274" s="371">
        <f>SUM(AA274*AB274)</f>
        <v>82970.5225</v>
      </c>
      <c r="AD274" s="371">
        <f>SUM(W274+AC274)</f>
        <v>135560.5225</v>
      </c>
      <c r="AE274" s="371">
        <f>SUM(P274-AD274)</f>
        <v>23147.5975</v>
      </c>
    </row>
    <row r="275" s="264" customFormat="1" ht="12.75" spans="1:31">
      <c r="A275" s="354" t="s">
        <v>391</v>
      </c>
      <c r="B275" s="355" t="s">
        <v>392</v>
      </c>
      <c r="C275" s="356">
        <v>241126000018</v>
      </c>
      <c r="D275" s="357">
        <v>46020</v>
      </c>
      <c r="E275" s="355" t="s">
        <v>52</v>
      </c>
      <c r="F275" s="355" t="s">
        <v>246</v>
      </c>
      <c r="G275" s="355">
        <v>4.16</v>
      </c>
      <c r="H275" s="355">
        <v>10000</v>
      </c>
      <c r="I275" s="358">
        <v>18934.4</v>
      </c>
      <c r="J275" s="393"/>
      <c r="K275" s="360"/>
      <c r="L275" s="361"/>
      <c r="M275" s="360"/>
      <c r="N275" s="363"/>
      <c r="O275" s="364">
        <f t="shared" si="74"/>
        <v>18934.4</v>
      </c>
      <c r="P275" s="375"/>
      <c r="Q275" s="375"/>
      <c r="R275" s="375"/>
      <c r="S275" s="375"/>
      <c r="T275" s="375"/>
      <c r="U275" s="367"/>
      <c r="V275" s="375"/>
      <c r="W275" s="375"/>
      <c r="X275" s="376"/>
      <c r="Y275" s="368"/>
      <c r="Z275" s="376"/>
      <c r="AA275" s="376"/>
      <c r="AB275" s="378"/>
      <c r="AC275" s="375"/>
      <c r="AD275" s="375"/>
      <c r="AE275" s="375"/>
    </row>
    <row r="276" s="264" customFormat="1" ht="12.75" spans="1:31">
      <c r="A276" s="354"/>
      <c r="B276" s="355"/>
      <c r="C276" s="356">
        <v>241209000079</v>
      </c>
      <c r="D276" s="357">
        <v>46020</v>
      </c>
      <c r="E276" s="355" t="s">
        <v>49</v>
      </c>
      <c r="F276" s="355" t="s">
        <v>283</v>
      </c>
      <c r="G276" s="355">
        <v>3.7703</v>
      </c>
      <c r="H276" s="355">
        <v>879</v>
      </c>
      <c r="I276" s="358">
        <v>9709</v>
      </c>
      <c r="J276" s="369"/>
      <c r="K276" s="355"/>
      <c r="L276" s="361"/>
      <c r="M276" s="360"/>
      <c r="N276" s="363"/>
      <c r="O276" s="364">
        <f t="shared" si="74"/>
        <v>9709</v>
      </c>
      <c r="P276" s="375"/>
      <c r="Q276" s="375"/>
      <c r="R276" s="375"/>
      <c r="S276" s="375"/>
      <c r="T276" s="375"/>
      <c r="U276" s="367"/>
      <c r="V276" s="375"/>
      <c r="W276" s="375"/>
      <c r="X276" s="376"/>
      <c r="Y276" s="368"/>
      <c r="Z276" s="376"/>
      <c r="AA276" s="376"/>
      <c r="AB276" s="378"/>
      <c r="AC276" s="375"/>
      <c r="AD276" s="375"/>
      <c r="AE276" s="375"/>
    </row>
    <row r="277" s="264" customFormat="1" ht="12.75" spans="1:31">
      <c r="A277" s="354"/>
      <c r="B277" s="355"/>
      <c r="C277" s="356">
        <v>241220000032</v>
      </c>
      <c r="D277" s="357">
        <v>46020</v>
      </c>
      <c r="E277" s="355" t="s">
        <v>42</v>
      </c>
      <c r="F277" s="355" t="s">
        <v>43</v>
      </c>
      <c r="G277" s="355">
        <v>0.1307</v>
      </c>
      <c r="H277" s="355">
        <v>18</v>
      </c>
      <c r="I277" s="358">
        <v>264.26</v>
      </c>
      <c r="J277" s="369"/>
      <c r="K277" s="355"/>
      <c r="L277" s="361"/>
      <c r="M277" s="360"/>
      <c r="N277" s="363"/>
      <c r="O277" s="364">
        <f t="shared" si="74"/>
        <v>264.26</v>
      </c>
      <c r="P277" s="375"/>
      <c r="Q277" s="375"/>
      <c r="R277" s="375"/>
      <c r="S277" s="375"/>
      <c r="T277" s="375"/>
      <c r="U277" s="367"/>
      <c r="V277" s="375"/>
      <c r="W277" s="375"/>
      <c r="X277" s="376"/>
      <c r="Y277" s="368"/>
      <c r="Z277" s="376"/>
      <c r="AA277" s="376"/>
      <c r="AB277" s="378"/>
      <c r="AC277" s="375"/>
      <c r="AD277" s="375"/>
      <c r="AE277" s="375"/>
    </row>
    <row r="278" s="264" customFormat="1" ht="12.75" spans="1:31">
      <c r="A278" s="354"/>
      <c r="B278" s="355"/>
      <c r="C278" s="356">
        <v>241220000033</v>
      </c>
      <c r="D278" s="357">
        <v>46020</v>
      </c>
      <c r="E278" s="355" t="s">
        <v>42</v>
      </c>
      <c r="F278" s="355" t="s">
        <v>43</v>
      </c>
      <c r="G278" s="355">
        <v>4.4833</v>
      </c>
      <c r="H278" s="355">
        <v>535</v>
      </c>
      <c r="I278" s="358">
        <v>9724.04</v>
      </c>
      <c r="J278" s="369"/>
      <c r="K278" s="355"/>
      <c r="L278" s="361"/>
      <c r="M278" s="360"/>
      <c r="N278" s="363"/>
      <c r="O278" s="364">
        <f t="shared" si="74"/>
        <v>9724.04</v>
      </c>
      <c r="P278" s="375"/>
      <c r="Q278" s="375"/>
      <c r="R278" s="375"/>
      <c r="S278" s="375"/>
      <c r="T278" s="375"/>
      <c r="U278" s="367">
        <v>600</v>
      </c>
      <c r="V278" s="375"/>
      <c r="W278" s="375"/>
      <c r="X278" s="376"/>
      <c r="Y278" s="368"/>
      <c r="Z278" s="376"/>
      <c r="AA278" s="376"/>
      <c r="AB278" s="378"/>
      <c r="AC278" s="375"/>
      <c r="AD278" s="375"/>
      <c r="AE278" s="375"/>
    </row>
    <row r="279" s="264" customFormat="1" ht="12.75" spans="1:31">
      <c r="A279" s="354"/>
      <c r="B279" s="355"/>
      <c r="C279" s="356">
        <v>241222000001</v>
      </c>
      <c r="D279" s="357">
        <v>46020</v>
      </c>
      <c r="E279" s="355" t="s">
        <v>40</v>
      </c>
      <c r="F279" s="355" t="s">
        <v>199</v>
      </c>
      <c r="G279" s="355">
        <v>2.8117</v>
      </c>
      <c r="H279" s="355">
        <v>782</v>
      </c>
      <c r="I279" s="358">
        <v>7663</v>
      </c>
      <c r="J279" s="369"/>
      <c r="K279" s="355"/>
      <c r="L279" s="361"/>
      <c r="M279" s="360"/>
      <c r="N279" s="363"/>
      <c r="O279" s="364">
        <f t="shared" si="74"/>
        <v>7663</v>
      </c>
      <c r="P279" s="375"/>
      <c r="Q279" s="375"/>
      <c r="R279" s="375"/>
      <c r="S279" s="375"/>
      <c r="T279" s="375"/>
      <c r="U279" s="367"/>
      <c r="V279" s="375"/>
      <c r="W279" s="375"/>
      <c r="X279" s="376"/>
      <c r="Y279" s="368"/>
      <c r="Z279" s="376"/>
      <c r="AA279" s="376"/>
      <c r="AB279" s="378"/>
      <c r="AC279" s="375"/>
      <c r="AD279" s="375"/>
      <c r="AE279" s="375"/>
    </row>
    <row r="280" s="264" customFormat="1" ht="12.75" spans="1:31">
      <c r="A280" s="354"/>
      <c r="B280" s="355"/>
      <c r="C280" s="356">
        <v>241225000006</v>
      </c>
      <c r="D280" s="357">
        <v>46020</v>
      </c>
      <c r="E280" s="355" t="s">
        <v>42</v>
      </c>
      <c r="F280" s="355" t="s">
        <v>131</v>
      </c>
      <c r="G280" s="355">
        <v>1.7317</v>
      </c>
      <c r="H280" s="355">
        <v>1184</v>
      </c>
      <c r="I280" s="364"/>
      <c r="J280" s="394">
        <v>898163</v>
      </c>
      <c r="K280" s="355"/>
      <c r="L280" s="361">
        <f>SUM(J280/M280)</f>
        <v>1572.9649737303</v>
      </c>
      <c r="M280" s="362">
        <v>571</v>
      </c>
      <c r="N280" s="363">
        <v>7.25</v>
      </c>
      <c r="O280" s="364">
        <f>SUM(M280*N280)</f>
        <v>4139.75</v>
      </c>
      <c r="P280" s="375"/>
      <c r="Q280" s="375"/>
      <c r="R280" s="375"/>
      <c r="S280" s="375"/>
      <c r="T280" s="375"/>
      <c r="U280" s="367"/>
      <c r="V280" s="375"/>
      <c r="W280" s="375"/>
      <c r="X280" s="376"/>
      <c r="Y280" s="368">
        <v>52.28</v>
      </c>
      <c r="Z280" s="376"/>
      <c r="AA280" s="376"/>
      <c r="AB280" s="378"/>
      <c r="AC280" s="375"/>
      <c r="AD280" s="375"/>
      <c r="AE280" s="375"/>
    </row>
    <row r="281" s="264" customFormat="1" ht="12.75" spans="1:31">
      <c r="A281" s="354"/>
      <c r="B281" s="355"/>
      <c r="C281" s="356">
        <v>241227000020</v>
      </c>
      <c r="D281" s="357">
        <v>46020</v>
      </c>
      <c r="E281" s="355" t="s">
        <v>37</v>
      </c>
      <c r="F281" s="355" t="s">
        <v>121</v>
      </c>
      <c r="G281" s="355">
        <v>13.5726</v>
      </c>
      <c r="H281" s="355">
        <v>6092</v>
      </c>
      <c r="I281" s="358">
        <v>27674.5</v>
      </c>
      <c r="J281" s="393"/>
      <c r="K281" s="355"/>
      <c r="L281" s="361"/>
      <c r="M281" s="360"/>
      <c r="N281" s="363"/>
      <c r="O281" s="364">
        <f t="shared" ref="O281:O286" si="75">SUBTOTAL(9,I281)</f>
        <v>27674.5</v>
      </c>
      <c r="P281" s="375"/>
      <c r="Q281" s="375"/>
      <c r="R281" s="375"/>
      <c r="S281" s="375"/>
      <c r="T281" s="375"/>
      <c r="U281" s="367"/>
      <c r="V281" s="375"/>
      <c r="W281" s="375"/>
      <c r="X281" s="376"/>
      <c r="Y281" s="368"/>
      <c r="Z281" s="376"/>
      <c r="AA281" s="376"/>
      <c r="AB281" s="378"/>
      <c r="AC281" s="375"/>
      <c r="AD281" s="375"/>
      <c r="AE281" s="375"/>
    </row>
    <row r="282" s="264" customFormat="1" ht="12.75" spans="1:31">
      <c r="A282" s="354"/>
      <c r="B282" s="355"/>
      <c r="C282" s="356">
        <v>241227000049</v>
      </c>
      <c r="D282" s="357">
        <v>46020</v>
      </c>
      <c r="E282" s="355" t="s">
        <v>190</v>
      </c>
      <c r="F282" s="355" t="s">
        <v>198</v>
      </c>
      <c r="G282" s="355">
        <v>2.8728</v>
      </c>
      <c r="H282" s="355">
        <v>1490</v>
      </c>
      <c r="I282" s="358">
        <v>5584.75</v>
      </c>
      <c r="J282" s="369"/>
      <c r="K282" s="355"/>
      <c r="L282" s="361"/>
      <c r="M282" s="360"/>
      <c r="N282" s="355"/>
      <c r="O282" s="364">
        <f t="shared" si="75"/>
        <v>5584.75</v>
      </c>
      <c r="P282" s="375"/>
      <c r="Q282" s="375"/>
      <c r="R282" s="375"/>
      <c r="S282" s="375"/>
      <c r="T282" s="375"/>
      <c r="U282" s="367"/>
      <c r="V282" s="375"/>
      <c r="W282" s="375"/>
      <c r="X282" s="376"/>
      <c r="Y282" s="368"/>
      <c r="Z282" s="376"/>
      <c r="AA282" s="376"/>
      <c r="AB282" s="378"/>
      <c r="AC282" s="375"/>
      <c r="AD282" s="375"/>
      <c r="AE282" s="375"/>
    </row>
    <row r="283" s="264" customFormat="1" ht="12.75" spans="1:31">
      <c r="A283" s="354"/>
      <c r="B283" s="355"/>
      <c r="C283" s="356">
        <v>241227000050</v>
      </c>
      <c r="D283" s="357">
        <v>46020</v>
      </c>
      <c r="E283" s="355" t="s">
        <v>190</v>
      </c>
      <c r="F283" s="355" t="s">
        <v>251</v>
      </c>
      <c r="G283" s="355">
        <v>0.4118</v>
      </c>
      <c r="H283" s="355">
        <v>482</v>
      </c>
      <c r="I283" s="358">
        <v>1338.62</v>
      </c>
      <c r="J283" s="369"/>
      <c r="K283" s="355"/>
      <c r="L283" s="361"/>
      <c r="M283" s="360"/>
      <c r="N283" s="355"/>
      <c r="O283" s="364">
        <f t="shared" si="75"/>
        <v>1338.62</v>
      </c>
      <c r="P283" s="375"/>
      <c r="Q283" s="375"/>
      <c r="R283" s="375"/>
      <c r="S283" s="375"/>
      <c r="T283" s="375"/>
      <c r="U283" s="367"/>
      <c r="V283" s="375"/>
      <c r="W283" s="375"/>
      <c r="X283" s="376"/>
      <c r="Y283" s="368"/>
      <c r="Z283" s="376"/>
      <c r="AA283" s="376"/>
      <c r="AB283" s="378"/>
      <c r="AC283" s="375"/>
      <c r="AD283" s="375"/>
      <c r="AE283" s="375"/>
    </row>
    <row r="284" s="264" customFormat="1" ht="12.75" spans="1:31">
      <c r="A284" s="354"/>
      <c r="B284" s="355"/>
      <c r="C284" s="356">
        <v>241227000051</v>
      </c>
      <c r="D284" s="357">
        <v>46020</v>
      </c>
      <c r="E284" s="355" t="s">
        <v>190</v>
      </c>
      <c r="F284" s="355" t="s">
        <v>191</v>
      </c>
      <c r="G284" s="355">
        <v>0.0622</v>
      </c>
      <c r="H284" s="355">
        <v>8</v>
      </c>
      <c r="I284" s="358">
        <v>120.89</v>
      </c>
      <c r="J284" s="369"/>
      <c r="K284" s="355"/>
      <c r="L284" s="361"/>
      <c r="M284" s="360"/>
      <c r="N284" s="355"/>
      <c r="O284" s="364">
        <f t="shared" si="75"/>
        <v>120.89</v>
      </c>
      <c r="P284" s="375"/>
      <c r="Q284" s="375"/>
      <c r="R284" s="375"/>
      <c r="S284" s="375"/>
      <c r="T284" s="375"/>
      <c r="U284" s="367"/>
      <c r="V284" s="375"/>
      <c r="W284" s="375"/>
      <c r="X284" s="376"/>
      <c r="Y284" s="368"/>
      <c r="Z284" s="376"/>
      <c r="AA284" s="376"/>
      <c r="AB284" s="378"/>
      <c r="AC284" s="375"/>
      <c r="AD284" s="375"/>
      <c r="AE284" s="375"/>
    </row>
    <row r="285" s="264" customFormat="1" ht="12.75" spans="1:31">
      <c r="A285" s="354"/>
      <c r="B285" s="355"/>
      <c r="C285" s="356">
        <v>241229000001</v>
      </c>
      <c r="D285" s="357">
        <v>46020</v>
      </c>
      <c r="E285" s="355" t="s">
        <v>44</v>
      </c>
      <c r="F285" s="355" t="s">
        <v>59</v>
      </c>
      <c r="G285" s="355">
        <v>32.35</v>
      </c>
      <c r="H285" s="355">
        <v>3811</v>
      </c>
      <c r="I285" s="358">
        <v>53783.17</v>
      </c>
      <c r="J285" s="369"/>
      <c r="K285" s="355"/>
      <c r="L285" s="361"/>
      <c r="M285" s="362"/>
      <c r="N285" s="363"/>
      <c r="O285" s="364">
        <f t="shared" si="75"/>
        <v>53783.17</v>
      </c>
      <c r="P285" s="375"/>
      <c r="Q285" s="375"/>
      <c r="R285" s="375"/>
      <c r="S285" s="375"/>
      <c r="T285" s="375"/>
      <c r="U285" s="367"/>
      <c r="V285" s="375"/>
      <c r="W285" s="375"/>
      <c r="X285" s="376"/>
      <c r="Y285" s="368"/>
      <c r="Z285" s="376"/>
      <c r="AA285" s="376"/>
      <c r="AB285" s="378"/>
      <c r="AC285" s="375"/>
      <c r="AD285" s="375"/>
      <c r="AE285" s="375"/>
    </row>
    <row r="286" s="264" customFormat="1" ht="12.75" spans="1:31">
      <c r="A286" s="354"/>
      <c r="B286" s="355"/>
      <c r="C286" s="356">
        <v>241229000003</v>
      </c>
      <c r="D286" s="357">
        <v>46020</v>
      </c>
      <c r="E286" s="355" t="s">
        <v>44</v>
      </c>
      <c r="F286" s="355" t="s">
        <v>59</v>
      </c>
      <c r="G286" s="355">
        <v>1.51</v>
      </c>
      <c r="H286" s="355">
        <v>270</v>
      </c>
      <c r="I286" s="358">
        <v>2510.44</v>
      </c>
      <c r="J286" s="369"/>
      <c r="K286" s="355"/>
      <c r="L286" s="361"/>
      <c r="M286" s="362"/>
      <c r="N286" s="363"/>
      <c r="O286" s="364">
        <f t="shared" si="75"/>
        <v>2510.44</v>
      </c>
      <c r="P286" s="379"/>
      <c r="Q286" s="379"/>
      <c r="R286" s="379"/>
      <c r="S286" s="379"/>
      <c r="T286" s="379"/>
      <c r="U286" s="367"/>
      <c r="V286" s="379"/>
      <c r="W286" s="379"/>
      <c r="X286" s="377"/>
      <c r="Y286" s="368"/>
      <c r="Z286" s="377"/>
      <c r="AA286" s="377"/>
      <c r="AB286" s="380"/>
      <c r="AC286" s="379"/>
      <c r="AD286" s="379"/>
      <c r="AE286" s="379"/>
    </row>
    <row r="287" s="264" customFormat="1" ht="12.75" spans="1:31">
      <c r="A287" s="395" t="s">
        <v>394</v>
      </c>
      <c r="B287" s="396" t="s">
        <v>395</v>
      </c>
      <c r="C287" s="356">
        <v>241124000003</v>
      </c>
      <c r="D287" s="357">
        <v>46018</v>
      </c>
      <c r="E287" s="396" t="s">
        <v>49</v>
      </c>
      <c r="F287" s="396" t="s">
        <v>249</v>
      </c>
      <c r="G287" s="396">
        <v>18.78</v>
      </c>
      <c r="H287" s="396">
        <v>11408</v>
      </c>
      <c r="I287" s="397">
        <v>37467.5</v>
      </c>
      <c r="J287" s="396"/>
      <c r="K287" s="396"/>
      <c r="L287" s="361"/>
      <c r="M287" s="355"/>
      <c r="N287" s="393"/>
      <c r="O287" s="367">
        <f>SUM(I287)</f>
        <v>37467.5</v>
      </c>
      <c r="P287" s="367">
        <f>SUM(O287)</f>
        <v>37467.5</v>
      </c>
      <c r="Q287" s="365" t="s">
        <v>66</v>
      </c>
      <c r="R287" s="365">
        <v>32772</v>
      </c>
      <c r="S287" s="365"/>
      <c r="T287" s="365"/>
      <c r="U287" s="365">
        <f>SUM(351+277.5)</f>
        <v>628.5</v>
      </c>
      <c r="V287" s="365"/>
      <c r="W287" s="365">
        <f>SUM(R287:V287)</f>
        <v>33400.5</v>
      </c>
      <c r="X287" s="398"/>
      <c r="Y287" s="398"/>
      <c r="Z287" s="398"/>
      <c r="AA287" s="398">
        <f>SUM(X287:Z287)</f>
        <v>0</v>
      </c>
      <c r="AB287" s="399"/>
      <c r="AC287" s="365">
        <f>SUM(AA287*AB287)</f>
        <v>0</v>
      </c>
      <c r="AD287" s="365">
        <f>SUM(W287+AC287)</f>
        <v>33400.5</v>
      </c>
      <c r="AE287" s="365">
        <f>SUM(P287-AD287)</f>
        <v>4067</v>
      </c>
    </row>
    <row r="288" s="263" customFormat="1" ht="25.5" customHeight="1" spans="1:31">
      <c r="A288" s="400" t="s">
        <v>69</v>
      </c>
      <c r="B288" s="401"/>
      <c r="C288" s="402"/>
      <c r="D288" s="403"/>
      <c r="E288" s="402"/>
      <c r="F288" s="402"/>
      <c r="G288" s="404">
        <f>SUM(G5:G287)</f>
        <v>1261.9004</v>
      </c>
      <c r="H288" s="404">
        <f t="shared" ref="H288:X288" si="76">SUM(H5:H287)</f>
        <v>437707.5</v>
      </c>
      <c r="I288" s="405">
        <f t="shared" si="76"/>
        <v>2079762.39</v>
      </c>
      <c r="J288" s="404">
        <f t="shared" si="76"/>
        <v>145119080.36</v>
      </c>
      <c r="K288" s="406">
        <f t="shared" si="76"/>
        <v>859.83</v>
      </c>
      <c r="L288" s="404">
        <f t="shared" si="76"/>
        <v>195549.386891781</v>
      </c>
      <c r="M288" s="406">
        <f t="shared" si="76"/>
        <v>90368.230025</v>
      </c>
      <c r="N288" s="404">
        <v>7.26931728657867</v>
      </c>
      <c r="O288" s="405">
        <f>SUM(O5:O287)</f>
        <v>2736677.72667825</v>
      </c>
      <c r="P288" s="405">
        <f>SUM(P5:P287)</f>
        <v>2736677.72667825</v>
      </c>
      <c r="Q288" s="405">
        <f t="shared" si="76"/>
        <v>0</v>
      </c>
      <c r="R288" s="405">
        <f t="shared" si="76"/>
        <v>859096.9</v>
      </c>
      <c r="S288" s="405">
        <f t="shared" si="76"/>
        <v>937.52</v>
      </c>
      <c r="T288" s="405">
        <f t="shared" si="76"/>
        <v>30655</v>
      </c>
      <c r="U288" s="405">
        <f t="shared" si="76"/>
        <v>7058.5</v>
      </c>
      <c r="V288" s="405">
        <f t="shared" si="76"/>
        <v>1919.78</v>
      </c>
      <c r="W288" s="405">
        <f t="shared" si="76"/>
        <v>899667.7</v>
      </c>
      <c r="X288" s="407">
        <f t="shared" si="76"/>
        <v>192714.7</v>
      </c>
      <c r="Y288" s="407">
        <f t="shared" ref="Y288:AA288" si="77">SUM(Y5:Y287)</f>
        <v>9064.23</v>
      </c>
      <c r="Z288" s="407">
        <f t="shared" si="77"/>
        <v>1340.48</v>
      </c>
      <c r="AA288" s="407">
        <f t="shared" si="77"/>
        <v>203119.41</v>
      </c>
      <c r="AB288" s="408">
        <v>7.26931728657867</v>
      </c>
      <c r="AC288" s="409">
        <f>SUM(AC5:AC287)</f>
        <v>1479152.8419</v>
      </c>
      <c r="AD288" s="409">
        <f t="shared" ref="AD288:AE288" si="78">SUM(AD5:AD287)</f>
        <v>2378820.5419</v>
      </c>
      <c r="AE288" s="409">
        <f t="shared" si="78"/>
        <v>357857.18477825</v>
      </c>
    </row>
    <row r="290" s="263" customFormat="1" ht="40" customHeight="1" spans="1:29">
      <c r="A290" s="302"/>
      <c r="D290" s="410"/>
      <c r="G290" s="411" t="s">
        <v>70</v>
      </c>
      <c r="H290" s="412" t="s">
        <v>71</v>
      </c>
      <c r="I290" s="413" t="s">
        <v>72</v>
      </c>
      <c r="J290" s="414" t="s">
        <v>73</v>
      </c>
      <c r="K290" s="411" t="s">
        <v>22</v>
      </c>
      <c r="L290" s="414" t="s">
        <v>74</v>
      </c>
      <c r="M290" s="415"/>
      <c r="N290" s="416"/>
      <c r="O290" s="417"/>
      <c r="P290" s="263"/>
      <c r="Q290" s="418"/>
      <c r="R290" s="263"/>
      <c r="S290" s="419"/>
      <c r="T290" s="263"/>
      <c r="U290" s="263"/>
      <c r="V290" s="263"/>
      <c r="W290" s="303"/>
      <c r="X290" s="298"/>
      <c r="Y290" s="420"/>
      <c r="Z290" s="420"/>
      <c r="AA290" s="421"/>
      <c r="AB290" s="422"/>
      <c r="AC290" s="422"/>
    </row>
    <row r="291" ht="28.5" customHeight="1" spans="1:29">
      <c r="G291" s="411">
        <v>12</v>
      </c>
      <c r="H291" s="423">
        <f>SUM(M288)</f>
        <v>90368.230025</v>
      </c>
      <c r="I291" s="423">
        <f>SUM(AA288)</f>
        <v>203119.41</v>
      </c>
      <c r="J291" s="424">
        <f>SUM(H291-I291)</f>
        <v>-112751.179975</v>
      </c>
      <c r="K291" s="408">
        <v>7.26931728657867</v>
      </c>
      <c r="L291" s="425">
        <f>SUM(J291*K291)</f>
        <v>-819624.10167441</v>
      </c>
      <c r="M291" s="426"/>
      <c r="N291" s="426"/>
      <c r="O291" s="426"/>
      <c r="P291" s="426"/>
      <c r="Q291" s="269"/>
      <c r="R291"/>
      <c r="S291" s="270"/>
      <c r="T291"/>
      <c r="U291"/>
      <c r="V291"/>
      <c r="X291" s="427"/>
      <c r="Y291" s="428"/>
      <c r="Z291" s="428"/>
      <c r="AA291" s="428"/>
      <c r="AB291" s="429"/>
      <c r="AC291" s="429"/>
    </row>
    <row r="292" ht="20.5" customHeight="1" spans="1:29">
      <c r="H292" s="430"/>
      <c r="I292" s="430"/>
      <c r="J292" s="431"/>
      <c r="K292" s="432"/>
      <c r="L292" s="433"/>
      <c r="M292" s="426"/>
      <c r="N292" s="434"/>
      <c r="O292" s="435"/>
      <c r="P292" s="426"/>
      <c r="Q292" s="269"/>
      <c r="R292"/>
      <c r="S292" s="270"/>
      <c r="T292"/>
      <c r="U292"/>
      <c r="V292"/>
      <c r="X292" s="427"/>
      <c r="Y292" s="428"/>
      <c r="Z292" s="428"/>
      <c r="AA292" s="428"/>
      <c r="AB292" s="429"/>
      <c r="AC292" s="429"/>
    </row>
    <row r="293" s="263" customFormat="1" ht="26" customHeight="1" spans="1:29">
      <c r="A293" s="302"/>
      <c r="D293" s="410"/>
      <c r="G293" s="436" t="s">
        <v>70</v>
      </c>
      <c r="H293" s="437" t="s">
        <v>75</v>
      </c>
      <c r="I293" s="438"/>
      <c r="J293" s="438"/>
      <c r="K293" s="439"/>
      <c r="L293" s="440" t="s">
        <v>10</v>
      </c>
      <c r="M293" s="441" t="s">
        <v>76</v>
      </c>
      <c r="N293" s="441" t="s">
        <v>77</v>
      </c>
      <c r="O293" s="442" t="s">
        <v>16</v>
      </c>
      <c r="Q293" s="418"/>
      <c r="R293" s="263"/>
      <c r="S293" s="419"/>
      <c r="T293" s="263"/>
      <c r="U293" s="263"/>
      <c r="V293" s="263"/>
      <c r="W293" s="303"/>
      <c r="X293" s="298"/>
      <c r="Y293" s="420"/>
      <c r="Z293" s="420"/>
      <c r="AA293" s="263"/>
      <c r="AB293" s="422"/>
      <c r="AC293" s="422"/>
    </row>
    <row r="294" s="263" customFormat="1" ht="26" customHeight="1" spans="1:29">
      <c r="A294" s="302"/>
      <c r="D294" s="410"/>
      <c r="G294" s="443"/>
      <c r="H294" s="413" t="s">
        <v>17</v>
      </c>
      <c r="I294" s="412" t="s">
        <v>78</v>
      </c>
      <c r="J294" s="411" t="s">
        <v>22</v>
      </c>
      <c r="K294" s="444" t="s">
        <v>79</v>
      </c>
      <c r="L294" s="445"/>
      <c r="M294" s="446"/>
      <c r="N294" s="446"/>
      <c r="O294" s="447"/>
      <c r="Q294" s="418"/>
      <c r="R294" s="263"/>
      <c r="S294" s="419"/>
      <c r="T294" s="263"/>
      <c r="U294" s="263"/>
      <c r="V294" s="263"/>
      <c r="W294" s="303"/>
      <c r="X294" s="298"/>
      <c r="Y294" s="420"/>
      <c r="Z294" s="420"/>
      <c r="AA294" s="263"/>
      <c r="AB294" s="422"/>
      <c r="AC294" s="422"/>
    </row>
    <row r="295" s="262" customFormat="1" ht="28.5" customHeight="1" spans="1:29">
      <c r="A295" s="301"/>
      <c r="D295" s="410"/>
      <c r="G295" s="411">
        <v>12</v>
      </c>
      <c r="H295" s="448">
        <f>SUM(I288)</f>
        <v>2079762.39</v>
      </c>
      <c r="I295" s="407">
        <f>SUM(M288)</f>
        <v>90368.230025</v>
      </c>
      <c r="J295" s="408">
        <v>7.26931728657867</v>
      </c>
      <c r="K295" s="448">
        <f>SUM(I295*J295)</f>
        <v>656915.33667825</v>
      </c>
      <c r="L295" s="449">
        <f>SUM(H295+K295)</f>
        <v>2736677.72667825</v>
      </c>
      <c r="M295" s="448">
        <f>SUM(W288)</f>
        <v>899667.7</v>
      </c>
      <c r="N295" s="450">
        <f>SUM(AC288)</f>
        <v>1479152.8419</v>
      </c>
      <c r="O295" s="451">
        <f>SUM(L295-M295-N295)</f>
        <v>357857.184778249</v>
      </c>
      <c r="Q295" s="452"/>
      <c r="S295" s="453"/>
      <c r="W295" s="298"/>
      <c r="X295" s="454"/>
      <c r="Y295" s="454"/>
      <c r="Z295" s="454"/>
      <c r="AA295" s="454"/>
      <c r="AB295" s="455"/>
      <c r="AC295" s="455"/>
    </row>
  </sheetData>
  <autoFilter xmlns:etc="http://www.wps.cn/officeDocument/2017/etCustomData" ref="H4:K288" etc:filterBottomFollowUsedRange="0">
    <extLst/>
  </autoFilter>
  <mergeCells count="311">
    <mergeCell ref="A1:AA1"/>
    <mergeCell ref="I3:O3"/>
    <mergeCell ref="Q3:U3"/>
    <mergeCell ref="X3:AC3"/>
    <mergeCell ref="A288:B288"/>
    <mergeCell ref="H293:K293"/>
    <mergeCell ref="A3:A4"/>
    <mergeCell ref="A6:A22"/>
    <mergeCell ref="A23:A36"/>
    <mergeCell ref="A37:A58"/>
    <mergeCell ref="A59:A78"/>
    <mergeCell ref="A79:A95"/>
    <mergeCell ref="A96:A109"/>
    <mergeCell ref="A110:A124"/>
    <mergeCell ref="A125:A145"/>
    <mergeCell ref="A146:A181"/>
    <mergeCell ref="A182:A194"/>
    <mergeCell ref="A195:A202"/>
    <mergeCell ref="A203:A212"/>
    <mergeCell ref="A213:A235"/>
    <mergeCell ref="A236:A242"/>
    <mergeCell ref="A243:A273"/>
    <mergeCell ref="A274:A286"/>
    <mergeCell ref="B3:B4"/>
    <mergeCell ref="B6:B22"/>
    <mergeCell ref="B23:B36"/>
    <mergeCell ref="B37:B58"/>
    <mergeCell ref="B59:B78"/>
    <mergeCell ref="B79:B95"/>
    <mergeCell ref="B96:B109"/>
    <mergeCell ref="B110:B124"/>
    <mergeCell ref="B125:B145"/>
    <mergeCell ref="B146:B181"/>
    <mergeCell ref="B182:B194"/>
    <mergeCell ref="B195:B202"/>
    <mergeCell ref="B203:B212"/>
    <mergeCell ref="B213:B235"/>
    <mergeCell ref="B236:B242"/>
    <mergeCell ref="B243:B273"/>
    <mergeCell ref="B274:B286"/>
    <mergeCell ref="C3:C4"/>
    <mergeCell ref="D3:D4"/>
    <mergeCell ref="E3:E4"/>
    <mergeCell ref="F3:F4"/>
    <mergeCell ref="G3:G4"/>
    <mergeCell ref="G293:G294"/>
    <mergeCell ref="H3:H4"/>
    <mergeCell ref="L293:L294"/>
    <mergeCell ref="M293:M294"/>
    <mergeCell ref="N293:N294"/>
    <mergeCell ref="O293:O294"/>
    <mergeCell ref="P3:P4"/>
    <mergeCell ref="P6:P22"/>
    <mergeCell ref="P23:P36"/>
    <mergeCell ref="P37:P58"/>
    <mergeCell ref="P59:P78"/>
    <mergeCell ref="P79:P95"/>
    <mergeCell ref="P96:P109"/>
    <mergeCell ref="P110:P124"/>
    <mergeCell ref="P125:P145"/>
    <mergeCell ref="P146:P181"/>
    <mergeCell ref="P182:P194"/>
    <mergeCell ref="P195:P202"/>
    <mergeCell ref="P203:P212"/>
    <mergeCell ref="P213:P235"/>
    <mergeCell ref="P236:P242"/>
    <mergeCell ref="P243:P273"/>
    <mergeCell ref="P274:P286"/>
    <mergeCell ref="Q6:Q22"/>
    <mergeCell ref="Q23:Q36"/>
    <mergeCell ref="Q37:Q58"/>
    <mergeCell ref="Q59:Q78"/>
    <mergeCell ref="Q79:Q95"/>
    <mergeCell ref="Q96:Q109"/>
    <mergeCell ref="Q110:Q124"/>
    <mergeCell ref="Q125:Q145"/>
    <mergeCell ref="Q146:Q181"/>
    <mergeCell ref="Q182:Q194"/>
    <mergeCell ref="Q195:Q202"/>
    <mergeCell ref="Q203:Q212"/>
    <mergeCell ref="Q213:Q235"/>
    <mergeCell ref="Q236:Q242"/>
    <mergeCell ref="Q243:Q273"/>
    <mergeCell ref="Q274:Q286"/>
    <mergeCell ref="R6:R22"/>
    <mergeCell ref="R23:R36"/>
    <mergeCell ref="R37:R58"/>
    <mergeCell ref="R59:R78"/>
    <mergeCell ref="R79:R95"/>
    <mergeCell ref="R96:R109"/>
    <mergeCell ref="R110:R124"/>
    <mergeCell ref="R125:R145"/>
    <mergeCell ref="R146:R181"/>
    <mergeCell ref="R182:R194"/>
    <mergeCell ref="R195:R202"/>
    <mergeCell ref="R203:R212"/>
    <mergeCell ref="R213:R235"/>
    <mergeCell ref="R236:R242"/>
    <mergeCell ref="R243:R273"/>
    <mergeCell ref="R274:R286"/>
    <mergeCell ref="S6:S22"/>
    <mergeCell ref="S23:S36"/>
    <mergeCell ref="S37:S58"/>
    <mergeCell ref="S59:S78"/>
    <mergeCell ref="S79:S86"/>
    <mergeCell ref="S88:S95"/>
    <mergeCell ref="S96:S109"/>
    <mergeCell ref="S110:S124"/>
    <mergeCell ref="S125:S145"/>
    <mergeCell ref="S146:S181"/>
    <mergeCell ref="S182:S194"/>
    <mergeCell ref="S195:S202"/>
    <mergeCell ref="S203:S212"/>
    <mergeCell ref="S213:S235"/>
    <mergeCell ref="S236:S242"/>
    <mergeCell ref="S243:S273"/>
    <mergeCell ref="S274:S286"/>
    <mergeCell ref="T6:T22"/>
    <mergeCell ref="T23:T36"/>
    <mergeCell ref="T37:T58"/>
    <mergeCell ref="T59:T78"/>
    <mergeCell ref="T79:T95"/>
    <mergeCell ref="T96:T109"/>
    <mergeCell ref="T110:T124"/>
    <mergeCell ref="T125:T145"/>
    <mergeCell ref="T146:T181"/>
    <mergeCell ref="T182:T194"/>
    <mergeCell ref="T195:T202"/>
    <mergeCell ref="T203:T212"/>
    <mergeCell ref="T213:T235"/>
    <mergeCell ref="T236:T242"/>
    <mergeCell ref="T243:T273"/>
    <mergeCell ref="T274:T286"/>
    <mergeCell ref="U6:U9"/>
    <mergeCell ref="U11:U22"/>
    <mergeCell ref="U23:U36"/>
    <mergeCell ref="U37:U39"/>
    <mergeCell ref="U41:U58"/>
    <mergeCell ref="U59:U68"/>
    <mergeCell ref="U70:U78"/>
    <mergeCell ref="U79:U95"/>
    <mergeCell ref="U96:U97"/>
    <mergeCell ref="U99:U109"/>
    <mergeCell ref="U112:U124"/>
    <mergeCell ref="U125:U134"/>
    <mergeCell ref="U137:U145"/>
    <mergeCell ref="U146:U149"/>
    <mergeCell ref="U152:U154"/>
    <mergeCell ref="U156:U181"/>
    <mergeCell ref="U182:U189"/>
    <mergeCell ref="U192:U193"/>
    <mergeCell ref="U195:U202"/>
    <mergeCell ref="U206:U212"/>
    <mergeCell ref="U213:U235"/>
    <mergeCell ref="U236:U242"/>
    <mergeCell ref="U243:U273"/>
    <mergeCell ref="V3:V4"/>
    <mergeCell ref="V6:V9"/>
    <mergeCell ref="V11:V22"/>
    <mergeCell ref="V23:V36"/>
    <mergeCell ref="V37:V44"/>
    <mergeCell ref="V46:V58"/>
    <mergeCell ref="V59:V71"/>
    <mergeCell ref="V75:V78"/>
    <mergeCell ref="V79:V90"/>
    <mergeCell ref="V92:V95"/>
    <mergeCell ref="V96:V109"/>
    <mergeCell ref="V112:V124"/>
    <mergeCell ref="V125:V134"/>
    <mergeCell ref="V136:V139"/>
    <mergeCell ref="V141:V145"/>
    <mergeCell ref="V146:V159"/>
    <mergeCell ref="V161:V181"/>
    <mergeCell ref="V182:V194"/>
    <mergeCell ref="V195:V202"/>
    <mergeCell ref="V203:V212"/>
    <mergeCell ref="V213:V235"/>
    <mergeCell ref="V236:V242"/>
    <mergeCell ref="V274:V286"/>
    <mergeCell ref="W3:W4"/>
    <mergeCell ref="W6:W22"/>
    <mergeCell ref="W23:W36"/>
    <mergeCell ref="W37:W58"/>
    <mergeCell ref="W59:W78"/>
    <mergeCell ref="W79:W95"/>
    <mergeCell ref="W96:W109"/>
    <mergeCell ref="W110:W124"/>
    <mergeCell ref="W125:W145"/>
    <mergeCell ref="W146:W181"/>
    <mergeCell ref="W182:W194"/>
    <mergeCell ref="W195:W202"/>
    <mergeCell ref="W203:W212"/>
    <mergeCell ref="W213:W235"/>
    <mergeCell ref="W236:W242"/>
    <mergeCell ref="W243:W273"/>
    <mergeCell ref="W274:W286"/>
    <mergeCell ref="X6:X22"/>
    <mergeCell ref="X23:X36"/>
    <mergeCell ref="X37:X58"/>
    <mergeCell ref="X59:X78"/>
    <mergeCell ref="X79:X95"/>
    <mergeCell ref="X96:X109"/>
    <mergeCell ref="X110:X124"/>
    <mergeCell ref="X125:X145"/>
    <mergeCell ref="X146:X181"/>
    <mergeCell ref="X182:X194"/>
    <mergeCell ref="X195:X202"/>
    <mergeCell ref="X203:X212"/>
    <mergeCell ref="X213:X235"/>
    <mergeCell ref="X236:X242"/>
    <mergeCell ref="X243:X273"/>
    <mergeCell ref="X274:X286"/>
    <mergeCell ref="Y6:Y7"/>
    <mergeCell ref="Y96:Y101"/>
    <mergeCell ref="Y203:Y212"/>
    <mergeCell ref="Z23:Z36"/>
    <mergeCell ref="Z37:Z58"/>
    <mergeCell ref="Z59:Z78"/>
    <mergeCell ref="Z79:Z95"/>
    <mergeCell ref="Z96:Z109"/>
    <mergeCell ref="Z110:Z124"/>
    <mergeCell ref="Z125:Z145"/>
    <mergeCell ref="Z146:Z181"/>
    <mergeCell ref="Z182:Z194"/>
    <mergeCell ref="Z195:Z202"/>
    <mergeCell ref="Z203:Z212"/>
    <mergeCell ref="Z213:Z235"/>
    <mergeCell ref="Z236:Z242"/>
    <mergeCell ref="Z243:Z273"/>
    <mergeCell ref="Z274:Z286"/>
    <mergeCell ref="AA6:AA22"/>
    <mergeCell ref="AA23:AA36"/>
    <mergeCell ref="AA37:AA58"/>
    <mergeCell ref="AA59:AA78"/>
    <mergeCell ref="AA79:AA95"/>
    <mergeCell ref="AA96:AA109"/>
    <mergeCell ref="AA110:AA124"/>
    <mergeCell ref="AA125:AA145"/>
    <mergeCell ref="AA146:AA181"/>
    <mergeCell ref="AA182:AA194"/>
    <mergeCell ref="AA195:AA202"/>
    <mergeCell ref="AA203:AA212"/>
    <mergeCell ref="AA213:AA235"/>
    <mergeCell ref="AA236:AA242"/>
    <mergeCell ref="AA243:AA273"/>
    <mergeCell ref="AA274:AA286"/>
    <mergeCell ref="AB6:AB22"/>
    <mergeCell ref="AB23:AB36"/>
    <mergeCell ref="AB37:AB58"/>
    <mergeCell ref="AB59:AB78"/>
    <mergeCell ref="AB79:AB95"/>
    <mergeCell ref="AB96:AB109"/>
    <mergeCell ref="AB110:AB124"/>
    <mergeCell ref="AB125:AB145"/>
    <mergeCell ref="AB146:AB181"/>
    <mergeCell ref="AB182:AB194"/>
    <mergeCell ref="AB195:AB202"/>
    <mergeCell ref="AB203:AB212"/>
    <mergeCell ref="AB213:AB235"/>
    <mergeCell ref="AB236:AB242"/>
    <mergeCell ref="AB243:AB273"/>
    <mergeCell ref="AB274:AB286"/>
    <mergeCell ref="AC6:AC22"/>
    <mergeCell ref="AC23:AC36"/>
    <mergeCell ref="AC37:AC58"/>
    <mergeCell ref="AC59:AC78"/>
    <mergeCell ref="AC79:AC95"/>
    <mergeCell ref="AC96:AC109"/>
    <mergeCell ref="AC110:AC124"/>
    <mergeCell ref="AC125:AC145"/>
    <mergeCell ref="AC146:AC181"/>
    <mergeCell ref="AC182:AC194"/>
    <mergeCell ref="AC195:AC202"/>
    <mergeCell ref="AC203:AC212"/>
    <mergeCell ref="AC213:AC235"/>
    <mergeCell ref="AC236:AC242"/>
    <mergeCell ref="AC243:AC273"/>
    <mergeCell ref="AC274:AC286"/>
    <mergeCell ref="AD6:AD22"/>
    <mergeCell ref="AD23:AD36"/>
    <mergeCell ref="AD37:AD58"/>
    <mergeCell ref="AD59:AD78"/>
    <mergeCell ref="AD79:AD95"/>
    <mergeCell ref="AD96:AD109"/>
    <mergeCell ref="AD110:AD124"/>
    <mergeCell ref="AD125:AD145"/>
    <mergeCell ref="AD146:AD181"/>
    <mergeCell ref="AD182:AD194"/>
    <mergeCell ref="AD195:AD202"/>
    <mergeCell ref="AD203:AD212"/>
    <mergeCell ref="AD213:AD235"/>
    <mergeCell ref="AD236:AD242"/>
    <mergeCell ref="AD243:AD273"/>
    <mergeCell ref="AD274:AD286"/>
    <mergeCell ref="AE3:AE4"/>
    <mergeCell ref="AE6:AE22"/>
    <mergeCell ref="AE23:AE36"/>
    <mergeCell ref="AE37:AE58"/>
    <mergeCell ref="AE59:AE78"/>
    <mergeCell ref="AE79:AE95"/>
    <mergeCell ref="AE96:AE109"/>
    <mergeCell ref="AE110:AE124"/>
    <mergeCell ref="AE125:AE145"/>
    <mergeCell ref="AE146:AE181"/>
    <mergeCell ref="AE182:AE194"/>
    <mergeCell ref="AE195:AE202"/>
    <mergeCell ref="AE203:AE212"/>
    <mergeCell ref="AE213:AE235"/>
    <mergeCell ref="AE236:AE242"/>
    <mergeCell ref="AE243:AE273"/>
    <mergeCell ref="AE274:AE286"/>
  </mergeCells>
  <pageMargins left="0.275" right="0.118055555555556" top="0.786805555555556" bottom="0.590277777777778" header="0.313888888888889" footer="0.196527777777778"/>
  <pageSetup paperSize="9" orientation="landscape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A1:I16"/>
  <sheetViews>
    <sheetView tabSelected="1" workbookViewId="0">
      <pane xSplit="6" ySplit="3" topLeftCell="G4" activePane="bottomRight" state="frozen"/>
      <selection/>
      <selection pane="topRight"/>
      <selection pane="bottomLeft"/>
      <selection pane="bottomRight" activeCell="H15" sqref="H15"/>
    </sheetView>
  </sheetViews>
  <sheetFormatPr defaultColWidth="15.9083333333333" defaultRowHeight="36" customHeight="1"/>
  <cols>
    <col min="1" max="1" width="13.9083333333333" style="98" customWidth="1"/>
    <col min="2" max="2" width="13.125" style="98" customWidth="1"/>
    <col min="3" max="3" width="17.6333333333333" style="98" customWidth="1"/>
    <col min="4" max="4" width="13.45" style="98" customWidth="1"/>
    <col min="5" max="5" width="15" style="98" customWidth="1"/>
    <col min="6" max="6" width="15.725" style="98" customWidth="1"/>
    <col min="7" max="7" width="19.375" style="98" customWidth="1"/>
    <col min="8" max="8" width="20.6333333333333" style="232" customWidth="1"/>
    <col min="9" max="9" width="52.45" style="98" customWidth="1"/>
    <col min="10" max="16367" width="15.9083333333333" customWidth="1"/>
  </cols>
  <sheetData>
    <row r="1" ht="34" customHeight="1" spans="1:9">
      <c r="A1" s="233" t="s">
        <v>396</v>
      </c>
      <c r="B1" s="234"/>
      <c r="C1" s="234"/>
      <c r="D1" s="234"/>
      <c r="E1" s="234"/>
      <c r="F1" s="234"/>
      <c r="G1" s="234"/>
      <c r="H1" s="234"/>
      <c r="I1" s="234"/>
    </row>
    <row r="2" s="228" customFormat="1" ht="58" customHeight="1" spans="1:9">
      <c r="A2" s="235" t="s">
        <v>397</v>
      </c>
      <c r="B2" s="235" t="s">
        <v>398</v>
      </c>
      <c r="C2" s="235" t="s">
        <v>399</v>
      </c>
      <c r="D2" s="235" t="s">
        <v>400</v>
      </c>
      <c r="E2" s="235" t="s">
        <v>401</v>
      </c>
      <c r="F2" s="236" t="s">
        <v>402</v>
      </c>
      <c r="G2" s="237" t="s">
        <v>403</v>
      </c>
      <c r="H2" s="237" t="s">
        <v>404</v>
      </c>
      <c r="I2" s="236" t="s">
        <v>405</v>
      </c>
    </row>
    <row r="3" s="229" customFormat="1" ht="20" customHeight="1" spans="1:9">
      <c r="A3" s="238" t="s">
        <v>406</v>
      </c>
      <c r="B3" s="239"/>
      <c r="C3" s="239"/>
      <c r="D3" s="112"/>
      <c r="E3" s="239"/>
      <c r="F3" s="240"/>
      <c r="G3" s="241"/>
      <c r="H3" s="242">
        <v>0</v>
      </c>
      <c r="I3" s="243"/>
    </row>
    <row r="4" s="230" customFormat="1" ht="27" customHeight="1" spans="1:9">
      <c r="A4" s="244">
        <v>45473</v>
      </c>
      <c r="B4" s="245">
        <f>SUM('6月份'!M30)</f>
        <v>2923.6198</v>
      </c>
      <c r="C4" s="245">
        <f>SUM('6月份'!AA30)</f>
        <v>11011.24</v>
      </c>
      <c r="D4" s="246">
        <f t="shared" ref="D4:D10" si="0">SUM(B4-C4)</f>
        <v>-8087.6202</v>
      </c>
      <c r="E4" s="247">
        <v>7.12</v>
      </c>
      <c r="F4" s="248">
        <f t="shared" ref="F4:F10" si="1">SUM(D4*E4)</f>
        <v>-57583.855824</v>
      </c>
      <c r="G4" s="249"/>
      <c r="H4" s="250">
        <f>SUM(H3+F4-G4)</f>
        <v>-57583.855824</v>
      </c>
      <c r="I4" s="251"/>
    </row>
    <row r="5" s="230" customFormat="1" ht="27" customHeight="1" spans="1:9">
      <c r="A5" s="244">
        <v>45504</v>
      </c>
      <c r="B5" s="245">
        <f>SUM('7月份'!M70)</f>
        <v>9966.99059</v>
      </c>
      <c r="C5" s="245">
        <f>SUM('7月份'!AA70)</f>
        <v>53789.19</v>
      </c>
      <c r="D5" s="246">
        <f t="shared" si="0"/>
        <v>-43822.19941</v>
      </c>
      <c r="E5" s="252">
        <v>8.11607727212674</v>
      </c>
      <c r="F5" s="248">
        <f t="shared" si="1"/>
        <v>-355664.356646107</v>
      </c>
      <c r="G5" s="249"/>
      <c r="H5" s="250">
        <f>SUM(H4+F5-G5)</f>
        <v>-413248.212470107</v>
      </c>
      <c r="I5" s="251"/>
    </row>
    <row r="6" s="230" customFormat="1" ht="27" customHeight="1" spans="1:9">
      <c r="A6" s="244">
        <v>45535</v>
      </c>
      <c r="B6" s="245">
        <f>SUM('8月份'!M115)</f>
        <v>38626.5958</v>
      </c>
      <c r="C6" s="245">
        <f>SUM('8月份'!AA115)</f>
        <v>88314.16</v>
      </c>
      <c r="D6" s="246">
        <f t="shared" si="0"/>
        <v>-49687.5642</v>
      </c>
      <c r="E6" s="252">
        <v>7.13010128363421</v>
      </c>
      <c r="F6" s="248">
        <f t="shared" si="1"/>
        <v>-354277.365283077</v>
      </c>
      <c r="G6" s="249"/>
      <c r="H6" s="250">
        <f t="shared" ref="H6:H10" si="2">SUM(H5+F6-G6)</f>
        <v>-767525.577753184</v>
      </c>
      <c r="I6" s="253"/>
    </row>
    <row r="7" s="230" customFormat="1" ht="27" customHeight="1" spans="1:9">
      <c r="A7" s="244">
        <v>45930</v>
      </c>
      <c r="B7" s="245">
        <f>SUM('9月份'!M106)</f>
        <v>54126.620801</v>
      </c>
      <c r="C7" s="245">
        <f>SUM('9月份'!AA106)</f>
        <v>86219.44</v>
      </c>
      <c r="D7" s="246">
        <f t="shared" si="0"/>
        <v>-32092.819199</v>
      </c>
      <c r="E7" s="252">
        <v>7.16861</v>
      </c>
      <c r="F7" s="248">
        <f t="shared" si="1"/>
        <v>-230060.904638143</v>
      </c>
      <c r="G7" s="249"/>
      <c r="H7" s="250">
        <f t="shared" si="2"/>
        <v>-997586.482391328</v>
      </c>
      <c r="I7" s="251"/>
    </row>
    <row r="8" s="230" customFormat="1" ht="27" customHeight="1" spans="1:9">
      <c r="A8" s="244">
        <v>45961</v>
      </c>
      <c r="B8" s="245">
        <f>SUM('10月份'!M202)</f>
        <v>80141.838412</v>
      </c>
      <c r="C8" s="245">
        <f>SUM('10月份'!AA202)</f>
        <v>152383.16</v>
      </c>
      <c r="D8" s="246">
        <f t="shared" si="0"/>
        <v>-72241.321588</v>
      </c>
      <c r="E8" s="252">
        <v>7.20333695295215</v>
      </c>
      <c r="F8" s="248">
        <f t="shared" si="1"/>
        <v>-520378.58132494</v>
      </c>
      <c r="G8" s="249"/>
      <c r="H8" s="250">
        <f t="shared" si="2"/>
        <v>-1517965.06371627</v>
      </c>
      <c r="I8" s="251"/>
    </row>
    <row r="9" s="230" customFormat="1" ht="27" customHeight="1" spans="1:9">
      <c r="A9" s="244">
        <v>45991</v>
      </c>
      <c r="B9" s="245">
        <f>SUM('11月份'!M6)</f>
        <v>12206.3</v>
      </c>
      <c r="C9" s="245">
        <f>SUM('11月份'!AA6)</f>
        <v>10888.25</v>
      </c>
      <c r="D9" s="246">
        <f t="shared" si="0"/>
        <v>1318.05</v>
      </c>
      <c r="E9" s="247">
        <v>7.12</v>
      </c>
      <c r="F9" s="248">
        <f t="shared" si="1"/>
        <v>9384.516</v>
      </c>
      <c r="G9" s="249"/>
      <c r="H9" s="250">
        <f t="shared" si="2"/>
        <v>-1508580.54771627</v>
      </c>
      <c r="I9" s="251"/>
    </row>
    <row r="10" s="230" customFormat="1" ht="27" customHeight="1" spans="1:9">
      <c r="A10" s="244">
        <v>46022</v>
      </c>
      <c r="B10" s="254">
        <f>SUM('12月份'!M288)</f>
        <v>90368.230025</v>
      </c>
      <c r="C10" s="245">
        <f>SUM('12月份'!AA288)</f>
        <v>203119.41</v>
      </c>
      <c r="D10" s="246">
        <f t="shared" si="0"/>
        <v>-112751.179975</v>
      </c>
      <c r="E10" s="247">
        <v>7.26931728657867</v>
      </c>
      <c r="F10" s="248">
        <f t="shared" si="1"/>
        <v>-819624.10167441</v>
      </c>
      <c r="G10" s="249"/>
      <c r="H10" s="250">
        <f t="shared" si="2"/>
        <v>-2328204.64939068</v>
      </c>
      <c r="I10" s="251"/>
    </row>
    <row r="11" s="231" customFormat="1" ht="20" customHeight="1" spans="1:9">
      <c r="A11" s="255" t="s">
        <v>407</v>
      </c>
      <c r="B11" s="256"/>
      <c r="C11" s="256"/>
      <c r="D11" s="256"/>
      <c r="E11" s="255"/>
      <c r="F11" s="257">
        <f>SUM(F4:F10)</f>
        <v>-2328204.64939068</v>
      </c>
      <c r="G11" s="258">
        <f>SUM(G4:G10)</f>
        <v>0</v>
      </c>
      <c r="H11" s="259">
        <f>SUM(H3+F11-G11)</f>
        <v>-2328204.64939068</v>
      </c>
      <c r="I11" s="258"/>
    </row>
    <row r="12" ht="8" customHeight="1"/>
    <row r="13" ht="39" customHeight="1" spans="1:9">
      <c r="B13" s="260"/>
      <c r="F13" s="261"/>
    </row>
    <row r="14" customHeight="1" spans="1:9">
      <c r="B14" s="262"/>
    </row>
    <row r="15" customHeight="1" spans="1:9">
      <c r="B15" s="260"/>
    </row>
    <row r="16" customHeight="1" spans="1:9">
      <c r="B16" s="260"/>
    </row>
  </sheetData>
  <mergeCells count="1">
    <mergeCell ref="A1:I1"/>
  </mergeCells>
  <pageMargins left="0.314583333333333" right="0.156944444444444" top="0.865972222222222" bottom="0.118055555555556" header="0.196527777777778" footer="0.0784722222222222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7409" r:id="rId3">
          <controlPr defaultSize="0" r:id="rId4">
            <anchor moveWithCells="1">
              <from>
                <xdr:col>5</xdr:col>
                <xdr:colOff>0</xdr:colOff>
                <xdr:row>12</xdr:row>
                <xdr:rowOff>0</xdr:rowOff>
              </from>
              <to>
                <xdr:col>5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409" r:id="rId3"/>
      </mc:Fallback>
    </mc:AlternateContent>
    <mc:AlternateContent xmlns:mc="http://schemas.openxmlformats.org/markup-compatibility/2006">
      <mc:Choice Requires="x14">
        <control shapeId="17410" r:id="rId5">
          <controlPr defaultSize="0" r:id="rId6">
            <anchor moveWithCells="1">
              <from>
                <xdr:col>5</xdr:col>
                <xdr:colOff>685800</xdr:colOff>
                <xdr:row>12</xdr:row>
                <xdr:rowOff>0</xdr:rowOff>
              </from>
              <to>
                <xdr:col>6</xdr:col>
                <xdr:colOff>401955</xdr:colOff>
                <xdr:row>12</xdr:row>
                <xdr:rowOff>228600</xdr:rowOff>
              </to>
            </anchor>
          </controlPr>
        </control>
      </mc:Choice>
      <mc:Fallback>
        <control shapeId="17410" r:id="rId5"/>
      </mc:Fallback>
    </mc:AlternateContent>
    <mc:AlternateContent xmlns:mc="http://schemas.openxmlformats.org/markup-compatibility/2006">
      <mc:Choice Requires="x14">
        <control shapeId="17411" r:id="rId7">
          <controlPr defaultSize="0" r:id="rId8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1" r:id="rId7"/>
      </mc:Fallback>
    </mc:AlternateContent>
    <mc:AlternateContent xmlns:mc="http://schemas.openxmlformats.org/markup-compatibility/2006">
      <mc:Choice Requires="x14">
        <control shapeId="17412" r:id="rId9">
          <controlPr defaultSize="0" r:id="rId1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2" r:id="rId9"/>
      </mc:Fallback>
    </mc:AlternateContent>
    <mc:AlternateContent xmlns:mc="http://schemas.openxmlformats.org/markup-compatibility/2006">
      <mc:Choice Requires="x14">
        <control shapeId="17413" r:id="rId11">
          <controlPr defaultSize="0" r:id="rId12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3" r:id="rId11"/>
      </mc:Fallback>
    </mc:AlternateContent>
    <mc:AlternateContent xmlns:mc="http://schemas.openxmlformats.org/markup-compatibility/2006">
      <mc:Choice Requires="x14">
        <control shapeId="17414" r:id="rId13">
          <controlPr defaultSize="0" r:id="rId14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4" r:id="rId13"/>
      </mc:Fallback>
    </mc:AlternateContent>
    <mc:AlternateContent xmlns:mc="http://schemas.openxmlformats.org/markup-compatibility/2006">
      <mc:Choice Requires="x14">
        <control shapeId="17415" r:id="rId15">
          <controlPr defaultSize="0" r:id="rId16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5" r:id="rId15"/>
      </mc:Fallback>
    </mc:AlternateContent>
    <mc:AlternateContent xmlns:mc="http://schemas.openxmlformats.org/markup-compatibility/2006">
      <mc:Choice Requires="x14">
        <control shapeId="17416" r:id="rId17">
          <controlPr defaultSize="0" r:id="rId16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6" r:id="rId17"/>
      </mc:Fallback>
    </mc:AlternateContent>
    <mc:AlternateContent xmlns:mc="http://schemas.openxmlformats.org/markup-compatibility/2006">
      <mc:Choice Requires="x14">
        <control shapeId="17417" r:id="rId18">
          <controlPr defaultSize="0" r:id="rId1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7" r:id="rId18"/>
      </mc:Fallback>
    </mc:AlternateContent>
    <mc:AlternateContent xmlns:mc="http://schemas.openxmlformats.org/markup-compatibility/2006">
      <mc:Choice Requires="x14">
        <control shapeId="17418" r:id="rId20">
          <controlPr defaultSize="0" r:id="rId2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8" r:id="rId20"/>
      </mc:Fallback>
    </mc:AlternateContent>
    <mc:AlternateContent xmlns:mc="http://schemas.openxmlformats.org/markup-compatibility/2006">
      <mc:Choice Requires="x14">
        <control shapeId="17419" r:id="rId22">
          <controlPr defaultSize="0" r:id="rId2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19" r:id="rId22"/>
      </mc:Fallback>
    </mc:AlternateContent>
    <mc:AlternateContent xmlns:mc="http://schemas.openxmlformats.org/markup-compatibility/2006">
      <mc:Choice Requires="x14">
        <control shapeId="17420" r:id="rId24">
          <controlPr defaultSize="0" r:id="rId2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0" r:id="rId24"/>
      </mc:Fallback>
    </mc:AlternateContent>
    <mc:AlternateContent xmlns:mc="http://schemas.openxmlformats.org/markup-compatibility/2006">
      <mc:Choice Requires="x14">
        <control shapeId="17421" r:id="rId26">
          <controlPr defaultSize="0" r:id="rId2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1" r:id="rId26"/>
      </mc:Fallback>
    </mc:AlternateContent>
    <mc:AlternateContent xmlns:mc="http://schemas.openxmlformats.org/markup-compatibility/2006">
      <mc:Choice Requires="x14">
        <control shapeId="17422" r:id="rId28">
          <controlPr defaultSize="0" r:id="rId2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2" r:id="rId28"/>
      </mc:Fallback>
    </mc:AlternateContent>
    <mc:AlternateContent xmlns:mc="http://schemas.openxmlformats.org/markup-compatibility/2006">
      <mc:Choice Requires="x14">
        <control shapeId="17423" r:id="rId30">
          <controlPr defaultSize="0" r:id="rId3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3" r:id="rId30"/>
      </mc:Fallback>
    </mc:AlternateContent>
    <mc:AlternateContent xmlns:mc="http://schemas.openxmlformats.org/markup-compatibility/2006">
      <mc:Choice Requires="x14">
        <control shapeId="17424" r:id="rId32">
          <controlPr defaultSize="0" r:id="rId3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4" r:id="rId32"/>
      </mc:Fallback>
    </mc:AlternateContent>
    <mc:AlternateContent xmlns:mc="http://schemas.openxmlformats.org/markup-compatibility/2006">
      <mc:Choice Requires="x14">
        <control shapeId="17425" r:id="rId34">
          <controlPr defaultSize="0" r:id="rId3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5" r:id="rId34"/>
      </mc:Fallback>
    </mc:AlternateContent>
    <mc:AlternateContent xmlns:mc="http://schemas.openxmlformats.org/markup-compatibility/2006">
      <mc:Choice Requires="x14">
        <control shapeId="17426" r:id="rId36">
          <controlPr defaultSize="0" r:id="rId3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6" r:id="rId36"/>
      </mc:Fallback>
    </mc:AlternateContent>
    <mc:AlternateContent xmlns:mc="http://schemas.openxmlformats.org/markup-compatibility/2006">
      <mc:Choice Requires="x14">
        <control shapeId="17427" r:id="rId38">
          <controlPr defaultSize="0" r:id="rId3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7" r:id="rId38"/>
      </mc:Fallback>
    </mc:AlternateContent>
    <mc:AlternateContent xmlns:mc="http://schemas.openxmlformats.org/markup-compatibility/2006">
      <mc:Choice Requires="x14">
        <control shapeId="17428" r:id="rId40">
          <controlPr defaultSize="0" r:id="rId4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8" r:id="rId40"/>
      </mc:Fallback>
    </mc:AlternateContent>
    <mc:AlternateContent xmlns:mc="http://schemas.openxmlformats.org/markup-compatibility/2006">
      <mc:Choice Requires="x14">
        <control shapeId="17429" r:id="rId42">
          <controlPr defaultSize="0" r:id="rId4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29" r:id="rId42"/>
      </mc:Fallback>
    </mc:AlternateContent>
    <mc:AlternateContent xmlns:mc="http://schemas.openxmlformats.org/markup-compatibility/2006">
      <mc:Choice Requires="x14">
        <control shapeId="17430" r:id="rId44">
          <controlPr defaultSize="0" r:id="rId4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0" r:id="rId44"/>
      </mc:Fallback>
    </mc:AlternateContent>
    <mc:AlternateContent xmlns:mc="http://schemas.openxmlformats.org/markup-compatibility/2006">
      <mc:Choice Requires="x14">
        <control shapeId="17431" r:id="rId46">
          <controlPr defaultSize="0" r:id="rId4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1" r:id="rId46"/>
      </mc:Fallback>
    </mc:AlternateContent>
    <mc:AlternateContent xmlns:mc="http://schemas.openxmlformats.org/markup-compatibility/2006">
      <mc:Choice Requires="x14">
        <control shapeId="17432" r:id="rId48">
          <controlPr defaultSize="0" r:id="rId4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2" r:id="rId48"/>
      </mc:Fallback>
    </mc:AlternateContent>
    <mc:AlternateContent xmlns:mc="http://schemas.openxmlformats.org/markup-compatibility/2006">
      <mc:Choice Requires="x14">
        <control shapeId="17433" r:id="rId50">
          <controlPr defaultSize="0" r:id="rId5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3" r:id="rId50"/>
      </mc:Fallback>
    </mc:AlternateContent>
    <mc:AlternateContent xmlns:mc="http://schemas.openxmlformats.org/markup-compatibility/2006">
      <mc:Choice Requires="x14">
        <control shapeId="17434" r:id="rId52">
          <controlPr defaultSize="0" r:id="rId5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4" r:id="rId52"/>
      </mc:Fallback>
    </mc:AlternateContent>
    <mc:AlternateContent xmlns:mc="http://schemas.openxmlformats.org/markup-compatibility/2006">
      <mc:Choice Requires="x14">
        <control shapeId="17435" r:id="rId54">
          <controlPr defaultSize="0" r:id="rId5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5" r:id="rId54"/>
      </mc:Fallback>
    </mc:AlternateContent>
    <mc:AlternateContent xmlns:mc="http://schemas.openxmlformats.org/markup-compatibility/2006">
      <mc:Choice Requires="x14">
        <control shapeId="17436" r:id="rId56">
          <controlPr defaultSize="0" r:id="rId5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6" r:id="rId56"/>
      </mc:Fallback>
    </mc:AlternateContent>
    <mc:AlternateContent xmlns:mc="http://schemas.openxmlformats.org/markup-compatibility/2006">
      <mc:Choice Requires="x14">
        <control shapeId="17437" r:id="rId58">
          <controlPr defaultSize="0" r:id="rId5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7" r:id="rId58"/>
      </mc:Fallback>
    </mc:AlternateContent>
    <mc:AlternateContent xmlns:mc="http://schemas.openxmlformats.org/markup-compatibility/2006">
      <mc:Choice Requires="x14">
        <control shapeId="17438" r:id="rId60">
          <controlPr defaultSize="0" r:id="rId6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8" r:id="rId60"/>
      </mc:Fallback>
    </mc:AlternateContent>
    <mc:AlternateContent xmlns:mc="http://schemas.openxmlformats.org/markup-compatibility/2006">
      <mc:Choice Requires="x14">
        <control shapeId="17439" r:id="rId62">
          <controlPr defaultSize="0" r:id="rId6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39" r:id="rId62"/>
      </mc:Fallback>
    </mc:AlternateContent>
    <mc:AlternateContent xmlns:mc="http://schemas.openxmlformats.org/markup-compatibility/2006">
      <mc:Choice Requires="x14">
        <control shapeId="17440" r:id="rId64">
          <controlPr defaultSize="0" r:id="rId6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40" r:id="rId64"/>
      </mc:Fallback>
    </mc:AlternateContent>
    <mc:AlternateContent xmlns:mc="http://schemas.openxmlformats.org/markup-compatibility/2006">
      <mc:Choice Requires="x14">
        <control shapeId="17441" r:id="rId66">
          <controlPr defaultSize="0" r:id="rId16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3</xdr:row>
                <xdr:rowOff>228600</xdr:rowOff>
              </to>
            </anchor>
          </controlPr>
        </control>
      </mc:Choice>
      <mc:Fallback>
        <control shapeId="17441" r:id="rId66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J11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H6" sqref="H6"/>
    </sheetView>
  </sheetViews>
  <sheetFormatPr defaultColWidth="9" defaultRowHeight="13.5"/>
  <cols>
    <col min="1" max="1" width="9" style="98"/>
    <col min="2" max="2" width="17" style="98" customWidth="1"/>
    <col min="3" max="3" width="15.725" style="193" customWidth="1"/>
    <col min="4" max="4" width="12" style="98" customWidth="1"/>
    <col min="5" max="6" width="17" style="100" customWidth="1"/>
    <col min="7" max="7" width="17" style="98" customWidth="1"/>
    <col min="8" max="9" width="16.8166666666667" style="98" customWidth="1"/>
    <col min="10" max="10" width="17" style="98" customWidth="1"/>
    <col min="11" max="16384" width="9" style="98"/>
  </cols>
  <sheetData>
    <row r="1" ht="41" customHeight="1" spans="1:10">
      <c r="A1" s="194" t="s">
        <v>408</v>
      </c>
      <c r="B1" s="194"/>
      <c r="C1" s="195"/>
      <c r="D1" s="194"/>
      <c r="E1" s="196"/>
      <c r="F1" s="196"/>
      <c r="G1" s="194"/>
      <c r="H1" s="194"/>
      <c r="I1" s="194"/>
      <c r="J1" s="194"/>
    </row>
    <row r="2" s="115" customFormat="1" ht="26" customHeight="1" spans="1:10">
      <c r="A2" s="197" t="s">
        <v>70</v>
      </c>
      <c r="B2" s="198" t="s">
        <v>75</v>
      </c>
      <c r="C2" s="199"/>
      <c r="D2" s="199"/>
      <c r="E2" s="200"/>
      <c r="F2" s="201" t="s">
        <v>10</v>
      </c>
      <c r="G2" s="202" t="s">
        <v>76</v>
      </c>
      <c r="H2" s="202" t="s">
        <v>77</v>
      </c>
      <c r="I2" s="203" t="s">
        <v>15</v>
      </c>
      <c r="J2" s="204" t="s">
        <v>16</v>
      </c>
    </row>
    <row r="3" s="115" customFormat="1" ht="34" customHeight="1" spans="1:10">
      <c r="A3" s="205"/>
      <c r="B3" s="206" t="s">
        <v>17</v>
      </c>
      <c r="C3" s="207" t="s">
        <v>78</v>
      </c>
      <c r="D3" s="208" t="s">
        <v>22</v>
      </c>
      <c r="E3" s="209" t="s">
        <v>79</v>
      </c>
      <c r="F3" s="210"/>
      <c r="G3" s="211"/>
      <c r="H3" s="211"/>
      <c r="I3" s="212" t="s">
        <v>409</v>
      </c>
      <c r="J3" s="213"/>
    </row>
    <row r="4" s="111" customFormat="1" ht="27" customHeight="1" spans="1:10">
      <c r="A4" s="214">
        <v>6</v>
      </c>
      <c r="B4" s="215">
        <f>SUM('6月份'!I30)</f>
        <v>218631.69</v>
      </c>
      <c r="C4" s="216">
        <f>SUM('6月份'!M30)</f>
        <v>2923.6198</v>
      </c>
      <c r="D4" s="217">
        <v>7.12</v>
      </c>
      <c r="E4" s="143">
        <f t="shared" ref="E4:E10" si="0">SUM(C4*D4)</f>
        <v>20816.172976</v>
      </c>
      <c r="F4" s="218">
        <f t="shared" ref="F4:F10" si="1">SUM(B4+E4)</f>
        <v>239447.862976</v>
      </c>
      <c r="G4" s="215">
        <f>SUM('6月份'!W30)</f>
        <v>118888.2</v>
      </c>
      <c r="H4" s="215">
        <f>SUM('6月份'!AC30)</f>
        <v>78394.1246</v>
      </c>
      <c r="I4" s="219">
        <f>SUM(G4:H4)</f>
        <v>197282.3246</v>
      </c>
      <c r="J4" s="220">
        <f>SUM(F4-I4)</f>
        <v>42165.538376</v>
      </c>
    </row>
    <row r="5" s="111" customFormat="1" ht="27" customHeight="1" spans="1:10">
      <c r="A5" s="214">
        <v>7</v>
      </c>
      <c r="B5" s="215">
        <f>SUM('7月份'!I70)</f>
        <v>769507.52</v>
      </c>
      <c r="C5" s="216">
        <f>SUM('7月份'!M70)</f>
        <v>9966.99059</v>
      </c>
      <c r="D5" s="221">
        <v>8.11607727212674</v>
      </c>
      <c r="E5" s="143">
        <f t="shared" si="0"/>
        <v>80892.8657990001</v>
      </c>
      <c r="F5" s="218">
        <f t="shared" si="1"/>
        <v>850400.385799</v>
      </c>
      <c r="G5" s="215">
        <f>SUM('7月份'!W70)</f>
        <v>324549.62</v>
      </c>
      <c r="H5" s="215">
        <f>SUM('7月份'!AC70)</f>
        <v>383414.7604</v>
      </c>
      <c r="I5" s="219">
        <f t="shared" ref="I5:I10" si="2">SUM(G5:H5)</f>
        <v>707964.3804</v>
      </c>
      <c r="J5" s="220">
        <f t="shared" ref="J5:J10" si="3">SUM(F5-I5)</f>
        <v>142436.005399</v>
      </c>
    </row>
    <row r="6" s="111" customFormat="1" ht="27" customHeight="1" spans="1:10">
      <c r="A6" s="214">
        <v>8</v>
      </c>
      <c r="B6" s="215">
        <f>SUM('8月份'!I115)</f>
        <v>1199917.239</v>
      </c>
      <c r="C6" s="216">
        <f>SUM('8月份'!M115)</f>
        <v>38626.5958</v>
      </c>
      <c r="D6" s="222">
        <v>7.13010128363421</v>
      </c>
      <c r="E6" s="143">
        <f t="shared" si="0"/>
        <v>275411.540296</v>
      </c>
      <c r="F6" s="218">
        <f t="shared" si="1"/>
        <v>1475328.779296</v>
      </c>
      <c r="G6" s="215">
        <f>SUM('8月份'!W115)</f>
        <v>559823.56</v>
      </c>
      <c r="H6" s="215">
        <f>SUM('8月份'!AC115)</f>
        <v>626139.4908</v>
      </c>
      <c r="I6" s="219">
        <f t="shared" si="2"/>
        <v>1185963.0508</v>
      </c>
      <c r="J6" s="220">
        <f t="shared" si="3"/>
        <v>289365.728496</v>
      </c>
    </row>
    <row r="7" s="111" customFormat="1" ht="27" customHeight="1" spans="1:10">
      <c r="A7" s="214">
        <v>9</v>
      </c>
      <c r="B7" s="215">
        <f>SUM('9月份'!I106)</f>
        <v>723931.46</v>
      </c>
      <c r="C7" s="216">
        <f>SUM('9月份'!M106)</f>
        <v>54126.620801</v>
      </c>
      <c r="D7" s="222">
        <v>7.16861</v>
      </c>
      <c r="E7" s="143">
        <f t="shared" si="0"/>
        <v>388012.635140257</v>
      </c>
      <c r="F7" s="218">
        <f t="shared" si="1"/>
        <v>1111944.09514026</v>
      </c>
      <c r="G7" s="215">
        <f>SUM('9月份'!W106)</f>
        <v>310293.82</v>
      </c>
      <c r="H7" s="215">
        <f>SUM('9月份'!AC106)</f>
        <v>615824.7136</v>
      </c>
      <c r="I7" s="219">
        <f t="shared" si="2"/>
        <v>926118.5336</v>
      </c>
      <c r="J7" s="220">
        <f t="shared" si="3"/>
        <v>185825.56154026</v>
      </c>
    </row>
    <row r="8" s="111" customFormat="1" ht="27" customHeight="1" spans="1:10">
      <c r="A8" s="214">
        <v>10</v>
      </c>
      <c r="B8" s="215">
        <f>SUM('10月份'!I202)</f>
        <v>1576194.11</v>
      </c>
      <c r="C8" s="216">
        <f>SUM('10月份'!M202)</f>
        <v>80141.838412</v>
      </c>
      <c r="D8" s="222">
        <v>7.20333695295215</v>
      </c>
      <c r="E8" s="143">
        <f t="shared" si="0"/>
        <v>577288.66611068</v>
      </c>
      <c r="F8" s="218">
        <f t="shared" si="1"/>
        <v>2153482.77611068</v>
      </c>
      <c r="G8" s="215">
        <f>SUM('10月份'!W202)</f>
        <v>761230.6</v>
      </c>
      <c r="H8" s="215">
        <f>SUM('10月份'!AC202)</f>
        <v>1101621.3568</v>
      </c>
      <c r="I8" s="219">
        <f t="shared" si="2"/>
        <v>1862851.9568</v>
      </c>
      <c r="J8" s="220">
        <f t="shared" si="3"/>
        <v>290630.81931068</v>
      </c>
    </row>
    <row r="9" s="115" customFormat="1" ht="27" customHeight="1" spans="1:10">
      <c r="A9" s="214">
        <v>11</v>
      </c>
      <c r="B9" s="215">
        <f>SUM('11月份'!I6)</f>
        <v>51892</v>
      </c>
      <c r="C9" s="216">
        <f>SUM('11月份'!M6)</f>
        <v>12206.3</v>
      </c>
      <c r="D9" s="223">
        <v>7.12</v>
      </c>
      <c r="E9" s="143">
        <f t="shared" si="0"/>
        <v>86908.856</v>
      </c>
      <c r="F9" s="218">
        <f t="shared" si="1"/>
        <v>138800.856</v>
      </c>
      <c r="G9" s="215">
        <f>SUM('11月份'!W6)</f>
        <v>45476</v>
      </c>
      <c r="H9" s="215">
        <f>SUM('11月份'!AC6)</f>
        <v>77524.34</v>
      </c>
      <c r="I9" s="219">
        <f t="shared" si="2"/>
        <v>123000.34</v>
      </c>
      <c r="J9" s="220">
        <f t="shared" si="3"/>
        <v>15800.516</v>
      </c>
    </row>
    <row r="10" s="115" customFormat="1" ht="27" customHeight="1" spans="1:10">
      <c r="A10" s="214">
        <v>12</v>
      </c>
      <c r="B10" s="215">
        <f>SUM('12月份'!I288)</f>
        <v>2079762.39</v>
      </c>
      <c r="C10" s="216">
        <f>SUM('12月份'!M288)</f>
        <v>90368.230025</v>
      </c>
      <c r="D10" s="223">
        <v>7.26931728657867</v>
      </c>
      <c r="E10" s="143">
        <f t="shared" si="0"/>
        <v>656915.33667825</v>
      </c>
      <c r="F10" s="218">
        <f t="shared" si="1"/>
        <v>2736677.72667825</v>
      </c>
      <c r="G10" s="215">
        <f>SUM('12月份'!W288)</f>
        <v>899667.7</v>
      </c>
      <c r="H10" s="215">
        <f>SUM('12月份'!AC288)</f>
        <v>1479152.8419</v>
      </c>
      <c r="I10" s="219">
        <f t="shared" si="2"/>
        <v>2378820.5419</v>
      </c>
      <c r="J10" s="220">
        <f t="shared" si="3"/>
        <v>357857.18477825</v>
      </c>
    </row>
    <row r="11" s="111" customFormat="1" ht="43" customHeight="1" spans="1:10">
      <c r="A11" s="224" t="s">
        <v>407</v>
      </c>
      <c r="B11" s="225">
        <f>SUM(B4:B9)</f>
        <v>4540074.019</v>
      </c>
      <c r="C11" s="226">
        <f>SUM(C4:C9)</f>
        <v>197991.965403</v>
      </c>
      <c r="D11" s="227"/>
      <c r="E11" s="225">
        <f>SUM(E4:E9)</f>
        <v>1429330.73632194</v>
      </c>
      <c r="F11" s="225">
        <f>SUM(F4:F9)</f>
        <v>5969404.75532194</v>
      </c>
      <c r="G11" s="225">
        <f>SUM(G4:G9)</f>
        <v>2120261.8</v>
      </c>
      <c r="H11" s="225">
        <f>SUM(H4:H9)</f>
        <v>2882918.7862</v>
      </c>
      <c r="I11" s="225">
        <f>SUM(I4:I10)</f>
        <v>7382001.1281</v>
      </c>
      <c r="J11" s="225">
        <f>SUM(J4:J10)</f>
        <v>1324081.35390019</v>
      </c>
    </row>
  </sheetData>
  <mergeCells count="7">
    <mergeCell ref="A1:J1"/>
    <mergeCell ref="B2:E2"/>
    <mergeCell ref="A2:A3"/>
    <mergeCell ref="F2:F3"/>
    <mergeCell ref="G2:G3"/>
    <mergeCell ref="H2:H3"/>
    <mergeCell ref="J2:J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K20"/>
  <sheetViews>
    <sheetView workbookViewId="0">
      <selection activeCell="I16" sqref="I16"/>
    </sheetView>
  </sheetViews>
  <sheetFormatPr defaultColWidth="15.125" defaultRowHeight="61" customHeight="1"/>
  <cols>
    <col min="1" max="1" width="26.875" style="98" customWidth="1"/>
    <col min="2" max="2" width="16.5" style="100" customWidth="1"/>
    <col min="3" max="8" width="15.875" style="101" customWidth="1"/>
    <col min="9" max="9" width="18.75" customWidth="1"/>
    <col min="10" max="10" width="12" customWidth="1"/>
    <col min="11" max="11" width="21.25" customWidth="1"/>
    <col min="12" max="12" width="17.625" customWidth="1"/>
    <col min="13" max="16367" width="15.125" customWidth="1"/>
  </cols>
  <sheetData>
    <row r="1" customFormat="1" ht="36" customHeight="1" spans="1:11">
      <c r="A1" s="159" t="s">
        <v>410</v>
      </c>
      <c r="B1" s="159"/>
      <c r="C1" s="159"/>
      <c r="D1" s="159"/>
      <c r="E1" s="159"/>
      <c r="F1" s="159"/>
      <c r="G1" s="159"/>
      <c r="H1" s="159"/>
      <c r="I1" s="159"/>
    </row>
    <row r="2" customFormat="1" ht="41" customHeight="1" spans="1:11">
      <c r="A2" s="160" t="s">
        <v>411</v>
      </c>
      <c r="B2" s="161" t="s">
        <v>412</v>
      </c>
      <c r="C2" s="162" t="s">
        <v>413</v>
      </c>
      <c r="D2" s="161" t="s">
        <v>414</v>
      </c>
      <c r="E2" s="162" t="s">
        <v>415</v>
      </c>
      <c r="F2" s="161" t="s">
        <v>416</v>
      </c>
      <c r="G2" s="162" t="s">
        <v>417</v>
      </c>
      <c r="H2" s="161" t="s">
        <v>418</v>
      </c>
      <c r="I2" s="163" t="s">
        <v>407</v>
      </c>
      <c r="J2" s="100"/>
      <c r="K2" s="164"/>
    </row>
    <row r="3" customFormat="1" ht="28" customHeight="1" spans="1:11">
      <c r="A3" s="165" t="s">
        <v>419</v>
      </c>
      <c r="B3" s="143">
        <f>SUM('6月份'!O30)</f>
        <v>239447.862976</v>
      </c>
      <c r="C3" s="166">
        <f>SUM('7月份'!O70)</f>
        <v>850400.385799</v>
      </c>
      <c r="D3" s="166">
        <f>SUM('8月份'!O115)</f>
        <v>1475328.779296</v>
      </c>
      <c r="E3" s="166">
        <f>SUM('9月份'!O106)</f>
        <v>1111944.42705448</v>
      </c>
      <c r="F3" s="166">
        <f>SUM('10月份'!O202)</f>
        <v>2153482.77611068</v>
      </c>
      <c r="G3" s="166">
        <f>SUM('11月份'!P6)</f>
        <v>138800.856</v>
      </c>
      <c r="H3" s="166">
        <f>SUM('12月份'!O288)</f>
        <v>2736677.72667825</v>
      </c>
      <c r="I3" s="166">
        <f t="shared" ref="I3:I6" si="0">SUM(B3:H3)</f>
        <v>8706082.81391441</v>
      </c>
      <c r="J3" s="100"/>
      <c r="K3" s="164"/>
    </row>
    <row r="4" customFormat="1" ht="28" customHeight="1" spans="1:11">
      <c r="A4" s="167" t="s">
        <v>420</v>
      </c>
      <c r="B4" s="143">
        <f>SUM('6月份'!AD30)</f>
        <v>197282.3246</v>
      </c>
      <c r="C4" s="166">
        <f>SUM('7月份'!AD70)</f>
        <v>707964.3804</v>
      </c>
      <c r="D4" s="166">
        <f>SUM('8月份'!AD115)</f>
        <v>1185963.0508</v>
      </c>
      <c r="E4" s="166">
        <f>SUM('9月份'!AD106)</f>
        <v>926118.5336</v>
      </c>
      <c r="F4" s="166">
        <f>SUM('10月份'!AD202)</f>
        <v>1862851.9568</v>
      </c>
      <c r="G4" s="166">
        <f>SUM('11月份'!AD6)</f>
        <v>123000.34</v>
      </c>
      <c r="H4" s="166">
        <f>SUM('12月份'!AD288)</f>
        <v>2378820.5419</v>
      </c>
      <c r="I4" s="168">
        <f t="shared" si="0"/>
        <v>7382001.1281</v>
      </c>
      <c r="J4" s="100"/>
      <c r="K4" s="164"/>
    </row>
    <row r="5" customFormat="1" ht="28" customHeight="1" spans="1:11">
      <c r="A5" s="169" t="s">
        <v>421</v>
      </c>
      <c r="B5" s="170">
        <f t="shared" ref="B5:H5" si="1">SUM(B3-B4)</f>
        <v>42165.538376</v>
      </c>
      <c r="C5" s="170">
        <f t="shared" si="1"/>
        <v>142436.005399</v>
      </c>
      <c r="D5" s="170">
        <f t="shared" si="1"/>
        <v>289365.728496</v>
      </c>
      <c r="E5" s="170">
        <f t="shared" si="1"/>
        <v>185825.89345448</v>
      </c>
      <c r="F5" s="170">
        <f t="shared" si="1"/>
        <v>290630.81931068</v>
      </c>
      <c r="G5" s="170">
        <f t="shared" si="1"/>
        <v>15800.516</v>
      </c>
      <c r="H5" s="170">
        <f t="shared" si="1"/>
        <v>357857.18477825</v>
      </c>
      <c r="I5" s="170">
        <f t="shared" si="0"/>
        <v>1324081.68581441</v>
      </c>
      <c r="J5" s="100"/>
      <c r="K5" s="164"/>
    </row>
    <row r="6" customFormat="1" ht="28" customHeight="1" spans="1:11">
      <c r="A6" s="165" t="s">
        <v>419</v>
      </c>
      <c r="B6" s="143">
        <v>239447.862976</v>
      </c>
      <c r="C6" s="166">
        <v>850400.385799</v>
      </c>
      <c r="D6" s="166">
        <v>1654420.6054172</v>
      </c>
      <c r="E6" s="166">
        <v>1753117.70865448</v>
      </c>
      <c r="F6" s="166">
        <v>1615843.00538948</v>
      </c>
      <c r="G6" s="166">
        <v>1257555.83692394</v>
      </c>
      <c r="H6" s="166">
        <v>1335122.34075431</v>
      </c>
      <c r="I6" s="166">
        <f t="shared" si="0"/>
        <v>8705907.74591441</v>
      </c>
      <c r="J6" s="100"/>
      <c r="K6" s="164"/>
    </row>
    <row r="7" customFormat="1" ht="28" customHeight="1" spans="1:11">
      <c r="A7" s="171" t="s">
        <v>422</v>
      </c>
      <c r="B7" s="172">
        <f t="shared" ref="B7:H7" si="2">SUM(B5/B6)</f>
        <v>0.176094861954255</v>
      </c>
      <c r="C7" s="172">
        <f t="shared" si="2"/>
        <v>0.16749287485938</v>
      </c>
      <c r="D7" s="172">
        <f t="shared" si="2"/>
        <v>0.174904572361168</v>
      </c>
      <c r="E7" s="172">
        <f t="shared" si="2"/>
        <v>0.105997385422056</v>
      </c>
      <c r="F7" s="172">
        <f t="shared" si="2"/>
        <v>0.179863277769753</v>
      </c>
      <c r="G7" s="172">
        <f t="shared" si="2"/>
        <v>0.0125644647625739</v>
      </c>
      <c r="H7" s="172">
        <f t="shared" si="2"/>
        <v>0.268033253474037</v>
      </c>
      <c r="I7" s="172"/>
      <c r="J7" s="100"/>
      <c r="K7" s="164"/>
    </row>
    <row r="8" customFormat="1" ht="34" customHeight="1" spans="1:11">
      <c r="A8" s="98"/>
      <c r="B8" s="100"/>
      <c r="C8" s="101"/>
      <c r="D8" s="101"/>
      <c r="E8" s="101"/>
      <c r="F8" s="101"/>
      <c r="G8" s="101"/>
      <c r="H8" s="101"/>
      <c r="I8" s="101"/>
    </row>
    <row r="9" customFormat="1" ht="33" customHeight="1" spans="1:11">
      <c r="A9" s="173" t="s">
        <v>423</v>
      </c>
      <c r="B9" s="174"/>
      <c r="C9" s="174"/>
      <c r="D9" s="174"/>
      <c r="E9" s="174"/>
      <c r="F9" s="174"/>
      <c r="G9" s="174"/>
      <c r="H9" s="174"/>
      <c r="I9" s="174"/>
    </row>
    <row r="10" customFormat="1" ht="38" customHeight="1" spans="1:11">
      <c r="A10" s="160" t="s">
        <v>424</v>
      </c>
      <c r="B10" s="161" t="s">
        <v>412</v>
      </c>
      <c r="C10" s="162" t="s">
        <v>413</v>
      </c>
      <c r="D10" s="161" t="s">
        <v>414</v>
      </c>
      <c r="E10" s="162" t="s">
        <v>415</v>
      </c>
      <c r="F10" s="161" t="s">
        <v>416</v>
      </c>
      <c r="G10" s="162" t="s">
        <v>417</v>
      </c>
      <c r="H10" s="161" t="s">
        <v>418</v>
      </c>
      <c r="I10" s="175" t="s">
        <v>407</v>
      </c>
    </row>
    <row r="11" s="89" customFormat="1" ht="28" customHeight="1" spans="1:11">
      <c r="A11" s="176" t="s">
        <v>425</v>
      </c>
      <c r="B11" s="177">
        <v>42165.538376</v>
      </c>
      <c r="C11" s="177">
        <v>142436.005399</v>
      </c>
      <c r="D11" s="177">
        <v>289365.728496</v>
      </c>
      <c r="E11" s="177">
        <v>185825.89345448</v>
      </c>
      <c r="F11" s="177">
        <v>290630.81931068</v>
      </c>
      <c r="G11" s="177">
        <v>15800.516</v>
      </c>
      <c r="H11" s="177">
        <v>357857.18477825</v>
      </c>
      <c r="I11" s="177">
        <f t="shared" ref="I11:I18" si="3">SUM(B11:H11)</f>
        <v>1324081.68581441</v>
      </c>
    </row>
    <row r="12" s="157" customFormat="1" ht="23" customHeight="1" spans="1:11">
      <c r="A12" s="178" t="s">
        <v>426</v>
      </c>
      <c r="B12" s="179">
        <v>4279.35928129327</v>
      </c>
      <c r="C12" s="179">
        <v>29329.5374392257</v>
      </c>
      <c r="D12" s="179">
        <v>37562.2079199846</v>
      </c>
      <c r="E12" s="179">
        <v>22988.5025818097</v>
      </c>
      <c r="F12" s="179">
        <v>29605.3776109393</v>
      </c>
      <c r="G12" s="179">
        <v>18532.9502920653</v>
      </c>
      <c r="H12" s="179">
        <v>22873.9001469926</v>
      </c>
      <c r="I12" s="180">
        <f t="shared" si="3"/>
        <v>165171.83527231</v>
      </c>
    </row>
    <row r="13" s="158" customFormat="1" ht="23" customHeight="1" spans="1:11">
      <c r="A13" s="178" t="s">
        <v>427</v>
      </c>
      <c r="B13" s="180">
        <v>17799.44</v>
      </c>
      <c r="C13" s="180">
        <v>17799.44</v>
      </c>
      <c r="D13" s="180">
        <v>25832.12</v>
      </c>
      <c r="E13" s="180">
        <v>22999.44</v>
      </c>
      <c r="F13" s="180">
        <v>25938.76</v>
      </c>
      <c r="G13" s="180">
        <v>23799.44</v>
      </c>
      <c r="H13" s="180">
        <v>24930.32</v>
      </c>
      <c r="I13" s="180">
        <f t="shared" si="3"/>
        <v>159098.96</v>
      </c>
    </row>
    <row r="14" s="157" customFormat="1" ht="23" customHeight="1" spans="1:11">
      <c r="A14" s="181" t="s">
        <v>428</v>
      </c>
      <c r="B14" s="182">
        <f>SUM(日常经营汇总!B34:B37)</f>
        <v>4647.36</v>
      </c>
      <c r="C14" s="182">
        <f>SUM(日常经营汇总!C34:C37)</f>
        <v>4776.96</v>
      </c>
      <c r="D14" s="179">
        <v>4776.96</v>
      </c>
      <c r="E14" s="179">
        <v>4776.96</v>
      </c>
      <c r="F14" s="179">
        <v>4776.96</v>
      </c>
      <c r="G14" s="179">
        <v>4776.96</v>
      </c>
      <c r="H14" s="179">
        <v>4776.96</v>
      </c>
      <c r="I14" s="183">
        <f t="shared" si="3"/>
        <v>33309.12</v>
      </c>
      <c r="J14" s="184">
        <f>SUM(I14:I15)</f>
        <v>56051.43</v>
      </c>
    </row>
    <row r="15" s="158" customFormat="1" ht="23" customHeight="1" spans="1:11">
      <c r="A15" s="178" t="s">
        <v>429</v>
      </c>
      <c r="B15" s="180">
        <v>1189.89</v>
      </c>
      <c r="C15" s="180">
        <v>1222.29</v>
      </c>
      <c r="D15" s="180">
        <v>3592.07</v>
      </c>
      <c r="E15" s="180">
        <v>3592.07</v>
      </c>
      <c r="F15" s="180">
        <v>3592.07</v>
      </c>
      <c r="G15" s="180">
        <v>4776.96</v>
      </c>
      <c r="H15" s="180">
        <v>4776.96</v>
      </c>
      <c r="I15" s="183">
        <f t="shared" si="3"/>
        <v>22742.31</v>
      </c>
      <c r="J15" s="184"/>
    </row>
    <row r="16" s="158" customFormat="1" ht="23" customHeight="1" spans="1:11">
      <c r="A16" s="178" t="s">
        <v>430</v>
      </c>
      <c r="B16" s="180"/>
      <c r="C16" s="180"/>
      <c r="D16" s="180"/>
      <c r="E16" s="180"/>
      <c r="F16" s="180">
        <f>SUM(日常经营汇总!B46)</f>
        <v>1434.4262295082</v>
      </c>
      <c r="G16" s="180">
        <f>SUM(日常经营汇总!C46)</f>
        <v>1428.57142857143</v>
      </c>
      <c r="H16" s="180">
        <f>SUM(日常经营汇总!D46)</f>
        <v>1548.67256637168</v>
      </c>
      <c r="I16" s="180">
        <f t="shared" si="3"/>
        <v>4411.67022445131</v>
      </c>
    </row>
    <row r="17" s="158" customFormat="1" ht="28" customHeight="1" spans="1:10">
      <c r="A17" s="185" t="s">
        <v>431</v>
      </c>
      <c r="B17" s="180">
        <v>471465.604236453</v>
      </c>
      <c r="C17" s="180">
        <v>111769.51</v>
      </c>
      <c r="D17" s="180">
        <v>32326.94</v>
      </c>
      <c r="E17" s="180">
        <v>31406.74</v>
      </c>
      <c r="F17" s="180">
        <v>311151.897278237</v>
      </c>
      <c r="G17" s="180">
        <v>122311.847278237</v>
      </c>
      <c r="H17" s="180">
        <v>80591.5353393743</v>
      </c>
      <c r="I17" s="186">
        <f t="shared" si="3"/>
        <v>1161024.0741323</v>
      </c>
    </row>
    <row r="18" s="158" customFormat="1" ht="23" customHeight="1" spans="1:10">
      <c r="A18" s="187" t="s">
        <v>432</v>
      </c>
      <c r="B18" s="180">
        <v>3190.52440669098</v>
      </c>
      <c r="C18" s="180">
        <v>1862.280388833</v>
      </c>
      <c r="D18" s="180">
        <v>8200.50200819711</v>
      </c>
      <c r="E18" s="180">
        <v>2965.36169491399</v>
      </c>
      <c r="F18" s="180">
        <v>3630.84648338934</v>
      </c>
      <c r="G18" s="180">
        <v>3903.07596205413</v>
      </c>
      <c r="H18" s="180">
        <v>15163.9794905386</v>
      </c>
      <c r="I18" s="180">
        <f t="shared" si="3"/>
        <v>38916.5704346172</v>
      </c>
    </row>
    <row r="19" s="98" customFormat="1" ht="28" customHeight="1" spans="1:10">
      <c r="A19" s="188" t="s">
        <v>433</v>
      </c>
      <c r="B19" s="177">
        <f>SUM(B12:B18)</f>
        <v>502572.177924437</v>
      </c>
      <c r="C19" s="177">
        <f t="shared" ref="C19:I19" si="4">SUM(C12:C18)</f>
        <v>166760.017828059</v>
      </c>
      <c r="D19" s="177">
        <f t="shared" si="4"/>
        <v>112290.799928182</v>
      </c>
      <c r="E19" s="177">
        <f t="shared" si="4"/>
        <v>88729.0742767237</v>
      </c>
      <c r="F19" s="177">
        <f t="shared" si="4"/>
        <v>380130.337602074</v>
      </c>
      <c r="G19" s="177">
        <f t="shared" si="4"/>
        <v>179529.804960928</v>
      </c>
      <c r="H19" s="177">
        <f t="shared" si="4"/>
        <v>154662.327543277</v>
      </c>
      <c r="I19" s="177">
        <f t="shared" si="4"/>
        <v>1584674.54006368</v>
      </c>
    </row>
    <row r="20" s="89" customFormat="1" ht="28" customHeight="1" spans="1:10">
      <c r="A20" s="189" t="s">
        <v>434</v>
      </c>
      <c r="B20" s="190">
        <f>SUM(B11-B19)</f>
        <v>-460406.639548437</v>
      </c>
      <c r="C20" s="190">
        <f t="shared" ref="C20:I20" si="5">SUM(C11-C19)</f>
        <v>-24324.0124290587</v>
      </c>
      <c r="D20" s="190">
        <f t="shared" si="5"/>
        <v>177074.928567818</v>
      </c>
      <c r="E20" s="190">
        <f t="shared" si="5"/>
        <v>97096.8191777563</v>
      </c>
      <c r="F20" s="190">
        <f t="shared" si="5"/>
        <v>-89499.5182913938</v>
      </c>
      <c r="G20" s="190">
        <f t="shared" si="5"/>
        <v>-163729.288960928</v>
      </c>
      <c r="H20" s="190">
        <f t="shared" si="5"/>
        <v>203194.857234973</v>
      </c>
      <c r="I20" s="191">
        <f t="shared" si="5"/>
        <v>-260592.85424927</v>
      </c>
      <c r="J20" s="192"/>
    </row>
  </sheetData>
  <mergeCells count="3">
    <mergeCell ref="A1:I1"/>
    <mergeCell ref="A9:I9"/>
    <mergeCell ref="J14:J15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1:Q46"/>
  <sheetViews>
    <sheetView topLeftCell="A23" workbookViewId="0">
      <selection activeCell="H44" sqref="H44"/>
    </sheetView>
  </sheetViews>
  <sheetFormatPr defaultColWidth="15.125" defaultRowHeight="61" customHeight="1"/>
  <cols>
    <col min="1" max="1" width="16.5" style="98" customWidth="1"/>
    <col min="2" max="2" width="12" style="100" customWidth="1"/>
    <col min="3" max="3" width="12" style="101" customWidth="1"/>
    <col min="4" max="4" width="11.625" style="101" customWidth="1"/>
    <col min="5" max="5" width="12.5" style="101" customWidth="1"/>
    <col min="6" max="6" width="11.625" style="101" customWidth="1"/>
    <col min="7" max="7" width="12" style="101" customWidth="1"/>
    <col min="8" max="8" width="11.625" style="101" customWidth="1"/>
    <col min="9" max="9" width="12.875" customWidth="1"/>
    <col min="10" max="10" width="13.5" customWidth="1"/>
    <col min="11" max="15" width="10.875" customWidth="1"/>
    <col min="16" max="16" width="9.75" customWidth="1"/>
    <col min="17" max="17" width="12" customWidth="1"/>
    <col min="18" max="16367" width="15.125" customWidth="1"/>
  </cols>
  <sheetData>
    <row r="1" customFormat="1" ht="24" customHeight="1" spans="1:17">
      <c r="A1" s="102" t="s">
        <v>435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  <c r="L1" s="103"/>
      <c r="M1" s="103"/>
      <c r="N1" s="103"/>
      <c r="O1" s="103"/>
      <c r="P1" s="103"/>
      <c r="Q1" s="103"/>
    </row>
    <row r="2" customFormat="1" ht="23" customHeight="1" spans="1:17">
      <c r="A2" s="104" t="s">
        <v>436</v>
      </c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06"/>
      <c r="M2" s="106"/>
      <c r="N2" s="106"/>
      <c r="O2" s="106"/>
      <c r="P2" s="106"/>
      <c r="Q2" s="107"/>
    </row>
    <row r="3" customFormat="1" ht="28" customHeight="1" spans="1:17">
      <c r="A3" s="108" t="s">
        <v>437</v>
      </c>
      <c r="B3" s="109" t="s">
        <v>438</v>
      </c>
      <c r="C3" s="109" t="s">
        <v>412</v>
      </c>
      <c r="D3" s="109" t="s">
        <v>413</v>
      </c>
      <c r="E3" s="109" t="s">
        <v>414</v>
      </c>
      <c r="F3" s="109" t="s">
        <v>415</v>
      </c>
      <c r="G3" s="109" t="s">
        <v>416</v>
      </c>
      <c r="H3" s="109" t="s">
        <v>417</v>
      </c>
      <c r="I3" s="109" t="s">
        <v>418</v>
      </c>
      <c r="J3" s="110" t="s">
        <v>407</v>
      </c>
      <c r="K3" s="111"/>
      <c r="L3" s="111"/>
      <c r="M3" s="111"/>
      <c r="N3" s="111"/>
      <c r="O3" s="111"/>
      <c r="P3" s="111"/>
      <c r="Q3" s="111"/>
    </row>
    <row r="4" s="98" customFormat="1" ht="22" customHeight="1" spans="1:17">
      <c r="A4" s="112" t="s">
        <v>439</v>
      </c>
      <c r="B4" s="113">
        <v>325350.29</v>
      </c>
      <c r="C4" s="113">
        <v>146115.314236453</v>
      </c>
      <c r="D4" s="113">
        <v>111769.51</v>
      </c>
      <c r="E4" s="113">
        <v>32326.94</v>
      </c>
      <c r="F4" s="113">
        <v>31406.74</v>
      </c>
      <c r="G4" s="113">
        <v>311151.897278237</v>
      </c>
      <c r="H4" s="113">
        <v>122311.847278237</v>
      </c>
      <c r="I4" s="113">
        <v>80591.5353393743</v>
      </c>
      <c r="J4" s="114">
        <f>SUM(B4:I4)</f>
        <v>1161024.0741323</v>
      </c>
      <c r="K4" s="111"/>
      <c r="L4" s="111"/>
      <c r="M4" s="111"/>
      <c r="N4" s="111"/>
      <c r="O4" s="111"/>
      <c r="P4" s="111"/>
      <c r="Q4" s="111"/>
    </row>
    <row r="5" customFormat="1" ht="13" customHeight="1" spans="1:17">
      <c r="A5" s="115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customFormat="1" ht="21" customHeight="1" spans="1:17">
      <c r="A6" s="104" t="s">
        <v>440</v>
      </c>
      <c r="B6" s="104"/>
      <c r="C6" s="104"/>
      <c r="D6" s="104"/>
      <c r="E6" s="104"/>
      <c r="F6" s="104"/>
      <c r="G6" s="104"/>
      <c r="H6" s="104"/>
      <c r="I6" s="104"/>
      <c r="J6" s="111"/>
      <c r="K6" s="111"/>
      <c r="L6" s="111"/>
      <c r="M6" s="111"/>
      <c r="N6" s="111"/>
      <c r="O6" s="111"/>
      <c r="P6" s="111"/>
      <c r="Q6" s="111"/>
    </row>
    <row r="7" customFormat="1" ht="30" customHeight="1" spans="1:17">
      <c r="A7" s="108" t="s">
        <v>437</v>
      </c>
      <c r="B7" s="109" t="s">
        <v>412</v>
      </c>
      <c r="C7" s="109" t="s">
        <v>413</v>
      </c>
      <c r="D7" s="109" t="s">
        <v>414</v>
      </c>
      <c r="E7" s="109" t="s">
        <v>415</v>
      </c>
      <c r="F7" s="109" t="s">
        <v>416</v>
      </c>
      <c r="G7" s="109" t="s">
        <v>417</v>
      </c>
      <c r="H7" s="109" t="s">
        <v>418</v>
      </c>
      <c r="I7" s="110" t="s">
        <v>407</v>
      </c>
      <c r="J7" s="111"/>
      <c r="K7" s="111"/>
      <c r="L7" s="111"/>
      <c r="M7" s="111"/>
      <c r="N7" s="111"/>
      <c r="O7" s="111"/>
      <c r="P7" s="111"/>
      <c r="Q7" s="111"/>
    </row>
    <row r="8" s="98" customFormat="1" ht="21" customHeight="1" spans="1:17">
      <c r="A8" s="112" t="s">
        <v>439</v>
      </c>
      <c r="B8" s="113">
        <v>3190.52440669098</v>
      </c>
      <c r="C8" s="113">
        <v>1862.280388833</v>
      </c>
      <c r="D8" s="113">
        <v>8200.50200819711</v>
      </c>
      <c r="E8" s="113">
        <v>2965.36169491399</v>
      </c>
      <c r="F8" s="113">
        <v>3630.84648338934</v>
      </c>
      <c r="G8" s="113">
        <v>3903.07596205413</v>
      </c>
      <c r="H8" s="113">
        <v>15163.9794905386</v>
      </c>
      <c r="I8" s="114">
        <f t="shared" ref="I8:I17" si="0">SUM(B8:H8)</f>
        <v>38916.5704346172</v>
      </c>
      <c r="J8" s="111"/>
      <c r="K8" s="111"/>
      <c r="L8" s="111"/>
      <c r="M8" s="111"/>
      <c r="N8" s="111"/>
      <c r="O8" s="111"/>
      <c r="P8" s="111"/>
      <c r="Q8" s="111"/>
    </row>
    <row r="9" customFormat="1" ht="9" customHeight="1" spans="1:17">
      <c r="A9" s="115"/>
      <c r="B9" s="111"/>
      <c r="C9" s="111"/>
      <c r="D9" s="111"/>
      <c r="E9" s="111"/>
      <c r="F9" s="111"/>
      <c r="G9" s="111"/>
      <c r="H9" s="111"/>
      <c r="I9" s="115"/>
      <c r="J9" s="111"/>
      <c r="K9" s="111"/>
      <c r="L9" s="111"/>
      <c r="M9" s="111"/>
      <c r="N9" s="111"/>
      <c r="O9" s="111"/>
      <c r="P9" s="111"/>
      <c r="Q9" s="111"/>
    </row>
    <row r="10" customFormat="1" ht="22" customHeight="1" spans="1:17">
      <c r="A10" s="116" t="s">
        <v>441</v>
      </c>
      <c r="B10" s="117"/>
      <c r="C10" s="117"/>
      <c r="D10" s="117"/>
      <c r="E10" s="117"/>
      <c r="F10" s="117"/>
      <c r="G10" s="117"/>
      <c r="H10" s="117"/>
      <c r="I10" s="118"/>
      <c r="J10" s="111"/>
      <c r="K10" s="115"/>
      <c r="L10" s="111"/>
      <c r="M10" s="115"/>
      <c r="N10" s="115"/>
      <c r="O10" s="115"/>
      <c r="P10" s="115"/>
      <c r="Q10" s="115"/>
    </row>
    <row r="11" customFormat="1" ht="25" customHeight="1" spans="1:17">
      <c r="A11" s="108" t="s">
        <v>442</v>
      </c>
      <c r="B11" s="119" t="s">
        <v>412</v>
      </c>
      <c r="C11" s="119" t="s">
        <v>413</v>
      </c>
      <c r="D11" s="119" t="s">
        <v>414</v>
      </c>
      <c r="E11" s="119" t="s">
        <v>415</v>
      </c>
      <c r="F11" s="119" t="s">
        <v>416</v>
      </c>
      <c r="G11" s="119" t="s">
        <v>417</v>
      </c>
      <c r="H11" s="119" t="s">
        <v>418</v>
      </c>
      <c r="I11" s="120" t="s">
        <v>407</v>
      </c>
      <c r="J11" s="111"/>
      <c r="K11" s="115"/>
      <c r="L11" s="111"/>
      <c r="M11" s="115"/>
      <c r="N11" s="115"/>
      <c r="O11" s="115"/>
      <c r="P11" s="115"/>
      <c r="Q11" s="115"/>
    </row>
    <row r="12" customFormat="1" ht="15" customHeight="1" spans="1:17">
      <c r="A12" s="121" t="s">
        <v>443</v>
      </c>
      <c r="B12" s="122">
        <v>904.721642692452</v>
      </c>
      <c r="C12" s="122">
        <v>6437.0555714122</v>
      </c>
      <c r="D12" s="122">
        <v>9218.3049234106</v>
      </c>
      <c r="E12" s="122">
        <v>8757.3454187294</v>
      </c>
      <c r="F12" s="122">
        <v>10865.2302738803</v>
      </c>
      <c r="G12" s="122">
        <v>6335.41679006264</v>
      </c>
      <c r="H12" s="122"/>
      <c r="I12" s="113">
        <f t="shared" si="0"/>
        <v>42518.0746201876</v>
      </c>
      <c r="J12" s="111"/>
      <c r="K12" s="115"/>
      <c r="L12" s="111"/>
      <c r="M12" s="115"/>
      <c r="N12" s="115"/>
      <c r="O12" s="115"/>
      <c r="P12" s="115"/>
      <c r="Q12" s="115"/>
    </row>
    <row r="13" customFormat="1" ht="15" customHeight="1" spans="1:17">
      <c r="A13" s="121" t="s">
        <v>444</v>
      </c>
      <c r="B13" s="122">
        <v>1016.8909079693</v>
      </c>
      <c r="C13" s="122">
        <v>1163.93448865025</v>
      </c>
      <c r="D13" s="122">
        <v>3953.44589528343</v>
      </c>
      <c r="E13" s="122">
        <v>62.229424596</v>
      </c>
      <c r="F13" s="122">
        <v>4571.7208321492</v>
      </c>
      <c r="G13" s="122">
        <v>701.660592613834</v>
      </c>
      <c r="H13" s="122"/>
      <c r="I13" s="113">
        <f t="shared" si="0"/>
        <v>11469.882141262</v>
      </c>
      <c r="J13" s="111"/>
      <c r="K13" s="115"/>
      <c r="L13" s="111"/>
      <c r="M13" s="115"/>
      <c r="N13" s="115"/>
      <c r="O13" s="115"/>
      <c r="P13" s="115"/>
      <c r="Q13" s="115"/>
    </row>
    <row r="14" customFormat="1" ht="15" customHeight="1" spans="1:17">
      <c r="A14" s="123" t="s">
        <v>445</v>
      </c>
      <c r="B14" s="122">
        <v>442.199</v>
      </c>
      <c r="C14" s="122">
        <v>292.787379163294</v>
      </c>
      <c r="D14" s="122">
        <v>2070.04710129057</v>
      </c>
      <c r="E14" s="122">
        <v>4853.235</v>
      </c>
      <c r="F14" s="122">
        <v>165.315831505235</v>
      </c>
      <c r="G14" s="122">
        <v>293.627051024485</v>
      </c>
      <c r="H14" s="122">
        <v>8575.4676676696</v>
      </c>
      <c r="I14" s="113">
        <f t="shared" si="0"/>
        <v>16692.6790306532</v>
      </c>
      <c r="J14" s="111"/>
      <c r="K14" s="115"/>
      <c r="L14" s="111"/>
      <c r="M14" s="115"/>
      <c r="N14" s="115"/>
      <c r="O14" s="115"/>
      <c r="P14" s="115"/>
      <c r="Q14" s="115"/>
    </row>
    <row r="15" customFormat="1" ht="15" customHeight="1" spans="1:17">
      <c r="A15" s="121" t="s">
        <v>446</v>
      </c>
      <c r="B15" s="122">
        <v>1915.54773063152</v>
      </c>
      <c r="C15" s="122">
        <v>21435.76</v>
      </c>
      <c r="D15" s="122">
        <v>19017.72</v>
      </c>
      <c r="E15" s="122">
        <v>8331.13653333644</v>
      </c>
      <c r="F15" s="122">
        <v>10006.5404878901</v>
      </c>
      <c r="G15" s="122">
        <v>9937.03191656444</v>
      </c>
      <c r="H15" s="122">
        <v>4811.61727851376</v>
      </c>
      <c r="I15" s="113">
        <f t="shared" si="0"/>
        <v>75455.3539469363</v>
      </c>
      <c r="J15" s="111"/>
      <c r="K15" s="115"/>
      <c r="L15" s="111"/>
      <c r="M15" s="115"/>
      <c r="N15" s="115"/>
      <c r="O15" s="115"/>
      <c r="P15" s="115"/>
      <c r="Q15" s="115"/>
    </row>
    <row r="16" customFormat="1" ht="15" customHeight="1" spans="1:17">
      <c r="A16" s="121" t="s">
        <v>447</v>
      </c>
      <c r="B16" s="122"/>
      <c r="C16" s="122"/>
      <c r="D16" s="122">
        <v>3302.69</v>
      </c>
      <c r="E16" s="122">
        <v>984.556205147824</v>
      </c>
      <c r="F16" s="122">
        <v>3996.57018551448</v>
      </c>
      <c r="G16" s="122">
        <v>1265.21394179986</v>
      </c>
      <c r="H16" s="122">
        <v>9486.8152008092</v>
      </c>
      <c r="I16" s="113">
        <f t="shared" si="0"/>
        <v>19035.8455332714</v>
      </c>
      <c r="J16" s="111"/>
      <c r="K16" s="115"/>
      <c r="L16" s="111"/>
      <c r="M16" s="115"/>
      <c r="N16" s="115"/>
      <c r="O16" s="115"/>
      <c r="P16" s="115"/>
      <c r="Q16" s="115"/>
    </row>
    <row r="17" customFormat="1" ht="15" customHeight="1" spans="1:17">
      <c r="A17" s="112" t="s">
        <v>448</v>
      </c>
      <c r="B17" s="113">
        <f t="shared" ref="B17:H17" si="1">SUM(B12:B16)</f>
        <v>4279.35928129327</v>
      </c>
      <c r="C17" s="113">
        <f t="shared" si="1"/>
        <v>29329.5374392257</v>
      </c>
      <c r="D17" s="113">
        <f t="shared" si="1"/>
        <v>37562.2079199846</v>
      </c>
      <c r="E17" s="113">
        <f t="shared" si="1"/>
        <v>22988.5025818097</v>
      </c>
      <c r="F17" s="113">
        <f t="shared" si="1"/>
        <v>29605.3776109393</v>
      </c>
      <c r="G17" s="113">
        <f t="shared" si="1"/>
        <v>18532.9502920653</v>
      </c>
      <c r="H17" s="113">
        <f t="shared" si="1"/>
        <v>22873.9001469926</v>
      </c>
      <c r="I17" s="114">
        <f t="shared" si="0"/>
        <v>165171.83527231</v>
      </c>
      <c r="J17" s="111"/>
      <c r="K17" s="115"/>
      <c r="L17" s="111"/>
      <c r="M17" s="115"/>
      <c r="N17" s="115"/>
      <c r="O17" s="115"/>
      <c r="P17" s="115"/>
      <c r="Q17" s="115"/>
    </row>
    <row r="18" customFormat="1" ht="14" customHeight="1" spans="1:17">
      <c r="A18" s="115"/>
      <c r="B18" s="111"/>
      <c r="C18" s="111"/>
      <c r="D18" s="111"/>
      <c r="E18" s="111"/>
      <c r="F18" s="111"/>
      <c r="G18" s="111"/>
      <c r="H18" s="111"/>
      <c r="I18" s="115"/>
      <c r="J18" s="111"/>
      <c r="K18" s="115"/>
      <c r="L18" s="115"/>
      <c r="M18" s="115"/>
      <c r="N18" s="115"/>
      <c r="O18" s="115"/>
      <c r="P18" s="115"/>
      <c r="Q18" s="115"/>
    </row>
    <row r="19" customFormat="1" ht="23" customHeight="1" spans="1:17">
      <c r="A19" s="124" t="s">
        <v>449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</row>
    <row r="20" customFormat="1" ht="16" customHeight="1" spans="1:17">
      <c r="A20" s="108" t="s">
        <v>450</v>
      </c>
      <c r="B20" s="125" t="s">
        <v>412</v>
      </c>
      <c r="C20" s="126"/>
      <c r="D20" s="127" t="s">
        <v>413</v>
      </c>
      <c r="E20" s="127"/>
      <c r="F20" s="127" t="s">
        <v>414</v>
      </c>
      <c r="G20" s="127"/>
      <c r="H20" s="127" t="s">
        <v>415</v>
      </c>
      <c r="I20" s="127"/>
      <c r="J20" s="127" t="s">
        <v>416</v>
      </c>
      <c r="K20" s="127"/>
      <c r="L20" s="127" t="s">
        <v>417</v>
      </c>
      <c r="M20" s="127"/>
      <c r="N20" s="127" t="s">
        <v>418</v>
      </c>
      <c r="O20" s="127"/>
      <c r="P20" s="128" t="s">
        <v>451</v>
      </c>
      <c r="Q20" s="120" t="s">
        <v>407</v>
      </c>
    </row>
    <row r="21" customFormat="1" ht="18" customHeight="1" spans="1:17">
      <c r="A21" s="129"/>
      <c r="B21" s="125" t="s">
        <v>452</v>
      </c>
      <c r="C21" s="126" t="s">
        <v>453</v>
      </c>
      <c r="D21" s="127" t="s">
        <v>452</v>
      </c>
      <c r="E21" s="127" t="s">
        <v>453</v>
      </c>
      <c r="F21" s="127" t="s">
        <v>452</v>
      </c>
      <c r="G21" s="127" t="s">
        <v>453</v>
      </c>
      <c r="H21" s="127" t="s">
        <v>452</v>
      </c>
      <c r="I21" s="127" t="s">
        <v>453</v>
      </c>
      <c r="J21" s="127" t="s">
        <v>452</v>
      </c>
      <c r="K21" s="127" t="s">
        <v>453</v>
      </c>
      <c r="L21" s="127" t="s">
        <v>452</v>
      </c>
      <c r="M21" s="127" t="s">
        <v>453</v>
      </c>
      <c r="N21" s="127" t="s">
        <v>452</v>
      </c>
      <c r="O21" s="127" t="s">
        <v>453</v>
      </c>
      <c r="P21" s="130"/>
      <c r="Q21" s="120"/>
    </row>
    <row r="22" customFormat="1" ht="16" customHeight="1" spans="1:17">
      <c r="A22" s="131" t="s">
        <v>454</v>
      </c>
      <c r="B22" s="113">
        <v>4448.36</v>
      </c>
      <c r="C22" s="113"/>
      <c r="D22" s="113">
        <v>4448.36</v>
      </c>
      <c r="E22" s="113"/>
      <c r="F22" s="113">
        <v>4748.36</v>
      </c>
      <c r="G22" s="113">
        <v>1706.67</v>
      </c>
      <c r="H22" s="113">
        <v>4748.36</v>
      </c>
      <c r="I22" s="113">
        <v>1000</v>
      </c>
      <c r="J22" s="113">
        <v>4748.36</v>
      </c>
      <c r="K22" s="113">
        <v>1733.33</v>
      </c>
      <c r="L22" s="113">
        <v>4748.36</v>
      </c>
      <c r="M22" s="113">
        <v>1200</v>
      </c>
      <c r="N22" s="113">
        <v>4731.08</v>
      </c>
      <c r="O22" s="113">
        <v>1000</v>
      </c>
      <c r="P22" s="113">
        <v>500</v>
      </c>
      <c r="Q22" s="113">
        <f t="shared" ref="Q22:Q25" si="2">SUM(B22:P22)</f>
        <v>39761.24</v>
      </c>
    </row>
    <row r="23" customFormat="1" ht="16" customHeight="1" spans="1:17">
      <c r="A23" s="132" t="s">
        <v>455</v>
      </c>
      <c r="B23" s="113">
        <v>4449.36</v>
      </c>
      <c r="C23" s="113"/>
      <c r="D23" s="113">
        <v>4449.36</v>
      </c>
      <c r="E23" s="113"/>
      <c r="F23" s="113">
        <v>4749.36</v>
      </c>
      <c r="G23" s="113">
        <v>1707.67</v>
      </c>
      <c r="H23" s="113">
        <v>4749.36</v>
      </c>
      <c r="I23" s="113">
        <v>1000</v>
      </c>
      <c r="J23" s="113">
        <v>4749.36</v>
      </c>
      <c r="K23" s="113">
        <v>1734.33</v>
      </c>
      <c r="L23" s="113">
        <v>4749.36</v>
      </c>
      <c r="M23" s="113">
        <v>1200</v>
      </c>
      <c r="N23" s="113">
        <v>4732.08</v>
      </c>
      <c r="O23" s="113">
        <v>1000</v>
      </c>
      <c r="P23" s="113">
        <v>500</v>
      </c>
      <c r="Q23" s="113">
        <f t="shared" si="2"/>
        <v>39770.24</v>
      </c>
    </row>
    <row r="24" customFormat="1" ht="16" customHeight="1" spans="1:17">
      <c r="A24" s="132" t="s">
        <v>456</v>
      </c>
      <c r="B24" s="113">
        <v>4450.36</v>
      </c>
      <c r="C24" s="113"/>
      <c r="D24" s="113">
        <v>4450.36</v>
      </c>
      <c r="E24" s="113"/>
      <c r="F24" s="113">
        <v>4750.36</v>
      </c>
      <c r="G24" s="113">
        <v>1708.67</v>
      </c>
      <c r="H24" s="113">
        <v>4750.36</v>
      </c>
      <c r="I24" s="113">
        <v>1000</v>
      </c>
      <c r="J24" s="113">
        <v>4750.36</v>
      </c>
      <c r="K24" s="113">
        <v>1735.33</v>
      </c>
      <c r="L24" s="113">
        <v>4750.36</v>
      </c>
      <c r="M24" s="113">
        <v>1200</v>
      </c>
      <c r="N24" s="113">
        <v>4733.08</v>
      </c>
      <c r="O24" s="113">
        <v>1000</v>
      </c>
      <c r="P24" s="113">
        <v>500</v>
      </c>
      <c r="Q24" s="113">
        <f t="shared" si="2"/>
        <v>39779.24</v>
      </c>
    </row>
    <row r="25" customFormat="1" ht="16" customHeight="1" spans="1:17">
      <c r="A25" s="132" t="s">
        <v>457</v>
      </c>
      <c r="B25" s="113">
        <v>4451.36</v>
      </c>
      <c r="C25" s="113"/>
      <c r="D25" s="113">
        <v>4451.36</v>
      </c>
      <c r="E25" s="113"/>
      <c r="F25" s="113">
        <v>4751.36</v>
      </c>
      <c r="G25" s="113">
        <v>1709.67</v>
      </c>
      <c r="H25" s="113">
        <v>4751.36</v>
      </c>
      <c r="I25" s="113">
        <v>1000</v>
      </c>
      <c r="J25" s="113">
        <v>4751.36</v>
      </c>
      <c r="K25" s="113">
        <v>1736.33</v>
      </c>
      <c r="L25" s="113">
        <v>4751.36</v>
      </c>
      <c r="M25" s="113">
        <v>1200</v>
      </c>
      <c r="N25" s="113">
        <v>4734.08</v>
      </c>
      <c r="O25" s="113">
        <v>1000</v>
      </c>
      <c r="P25" s="113">
        <v>500</v>
      </c>
      <c r="Q25" s="113">
        <f t="shared" si="2"/>
        <v>39788.24</v>
      </c>
    </row>
    <row r="26" customFormat="1" ht="16" customHeight="1" spans="1:17">
      <c r="A26" s="133" t="s">
        <v>448</v>
      </c>
      <c r="B26" s="134">
        <f t="shared" ref="B26:Q26" si="3">SUM(B22:B25)</f>
        <v>17799.44</v>
      </c>
      <c r="C26" s="134"/>
      <c r="D26" s="134">
        <f t="shared" si="3"/>
        <v>17799.44</v>
      </c>
      <c r="E26" s="135"/>
      <c r="F26" s="134">
        <f t="shared" si="3"/>
        <v>18999.44</v>
      </c>
      <c r="G26" s="134">
        <f t="shared" si="3"/>
        <v>6832.68</v>
      </c>
      <c r="H26" s="134">
        <f t="shared" si="3"/>
        <v>18999.44</v>
      </c>
      <c r="I26" s="134">
        <f t="shared" si="3"/>
        <v>4000</v>
      </c>
      <c r="J26" s="134">
        <f t="shared" si="3"/>
        <v>18999.44</v>
      </c>
      <c r="K26" s="134">
        <f t="shared" si="3"/>
        <v>6939.32</v>
      </c>
      <c r="L26" s="134">
        <f t="shared" si="3"/>
        <v>18999.44</v>
      </c>
      <c r="M26" s="134">
        <f t="shared" si="3"/>
        <v>4800</v>
      </c>
      <c r="N26" s="134">
        <f t="shared" si="3"/>
        <v>18930.32</v>
      </c>
      <c r="O26" s="134">
        <f t="shared" si="3"/>
        <v>4000</v>
      </c>
      <c r="P26" s="134">
        <f t="shared" si="3"/>
        <v>2000</v>
      </c>
      <c r="Q26" s="136">
        <f t="shared" si="3"/>
        <v>159098.96</v>
      </c>
    </row>
    <row r="27" customFormat="1" ht="15" customHeight="1" spans="1:17">
      <c r="A27" s="137"/>
      <c r="B27" s="138"/>
      <c r="C27" s="138"/>
      <c r="D27" s="138"/>
      <c r="E27" s="139"/>
      <c r="F27" s="138"/>
      <c r="G27" s="138">
        <f t="shared" ref="G27:K27" si="4">SUM(F26:G26)</f>
        <v>25832.12</v>
      </c>
      <c r="H27" s="138"/>
      <c r="I27" s="138">
        <f t="shared" si="4"/>
        <v>22999.44</v>
      </c>
      <c r="J27" s="138"/>
      <c r="K27" s="138">
        <f t="shared" si="4"/>
        <v>25938.76</v>
      </c>
      <c r="L27" s="138"/>
      <c r="M27" s="138">
        <f>SUM(L26:M26)</f>
        <v>23799.44</v>
      </c>
      <c r="N27" s="138"/>
      <c r="O27" s="138">
        <f>SUM(N26:O26)</f>
        <v>22930.32</v>
      </c>
      <c r="P27" s="138">
        <f>SUM(P26)</f>
        <v>2000</v>
      </c>
      <c r="Q27" s="138"/>
    </row>
    <row r="28" customFormat="1" ht="23" customHeight="1" spans="1:17">
      <c r="A28" s="140" t="s">
        <v>458</v>
      </c>
      <c r="B28" s="140"/>
      <c r="C28" s="140"/>
      <c r="D28" s="140"/>
      <c r="E28" s="141"/>
      <c r="F28" s="142"/>
      <c r="G28" s="142"/>
      <c r="H28" s="142"/>
      <c r="I28" s="142"/>
      <c r="J28"/>
      <c r="K28"/>
      <c r="L28" s="138"/>
      <c r="M28" s="138"/>
      <c r="N28" s="138"/>
      <c r="O28" s="138"/>
      <c r="P28" s="138"/>
      <c r="Q28" s="138"/>
    </row>
    <row r="29" customFormat="1" ht="26" customHeight="1" spans="1:17">
      <c r="A29" s="108" t="s">
        <v>442</v>
      </c>
      <c r="B29" s="143" t="s">
        <v>412</v>
      </c>
      <c r="C29" s="143" t="s">
        <v>413</v>
      </c>
      <c r="D29" s="143" t="s">
        <v>414</v>
      </c>
      <c r="E29" s="143" t="s">
        <v>415</v>
      </c>
      <c r="F29" s="143" t="s">
        <v>416</v>
      </c>
      <c r="G29" s="143" t="s">
        <v>417</v>
      </c>
      <c r="H29" s="143" t="s">
        <v>418</v>
      </c>
      <c r="I29" s="144" t="s">
        <v>407</v>
      </c>
    </row>
    <row r="30" s="99" customFormat="1" ht="15" customHeight="1" spans="1:17">
      <c r="A30" s="145" t="s">
        <v>454</v>
      </c>
      <c r="B30" s="146">
        <v>1189.89</v>
      </c>
      <c r="C30" s="146">
        <v>1222.29</v>
      </c>
      <c r="D30" s="146">
        <v>1222.29</v>
      </c>
      <c r="E30" s="146">
        <v>1222.29</v>
      </c>
      <c r="F30" s="146">
        <v>1222.29</v>
      </c>
      <c r="G30" s="146">
        <v>1222.29</v>
      </c>
      <c r="H30" s="146">
        <v>1222.29</v>
      </c>
      <c r="I30" s="146">
        <f>SUM(B30:H30)</f>
        <v>8523.63</v>
      </c>
    </row>
    <row r="31" s="99" customFormat="1" ht="15" customHeight="1" spans="1:17">
      <c r="A31" s="132" t="s">
        <v>455</v>
      </c>
      <c r="B31" s="146"/>
      <c r="C31" s="146"/>
      <c r="D31" s="146">
        <v>1184.89</v>
      </c>
      <c r="E31" s="146">
        <v>1184.89</v>
      </c>
      <c r="F31" s="146">
        <v>1184.89</v>
      </c>
      <c r="G31" s="146">
        <v>1184.89</v>
      </c>
      <c r="H31" s="146">
        <v>1184.89</v>
      </c>
      <c r="I31" s="146">
        <f t="shared" ref="I31:I38" si="5">SUM(B31:H31)</f>
        <v>5924.45</v>
      </c>
    </row>
    <row r="32" s="99" customFormat="1" ht="15" customHeight="1" spans="1:17">
      <c r="A32" s="132" t="s">
        <v>456</v>
      </c>
      <c r="B32" s="146"/>
      <c r="C32" s="146"/>
      <c r="D32" s="146">
        <v>1184.89</v>
      </c>
      <c r="E32" s="146">
        <v>1184.89</v>
      </c>
      <c r="F32" s="146">
        <v>1184.89</v>
      </c>
      <c r="G32" s="146">
        <v>1184.89</v>
      </c>
      <c r="H32" s="146">
        <v>1184.89</v>
      </c>
      <c r="I32" s="146">
        <f t="shared" si="5"/>
        <v>5924.45</v>
      </c>
    </row>
    <row r="33" s="99" customFormat="1" ht="15" customHeight="1" spans="1:17">
      <c r="A33" s="132" t="s">
        <v>457</v>
      </c>
      <c r="B33" s="146"/>
      <c r="C33" s="146"/>
      <c r="D33" s="146"/>
      <c r="E33" s="146"/>
      <c r="F33" s="146"/>
      <c r="G33" s="146">
        <v>1184.89</v>
      </c>
      <c r="H33" s="146">
        <v>1184.89</v>
      </c>
      <c r="I33" s="146">
        <f t="shared" si="5"/>
        <v>2369.78</v>
      </c>
    </row>
    <row r="34" s="99" customFormat="1" ht="15" customHeight="1" spans="1:17">
      <c r="A34" s="132" t="s">
        <v>446</v>
      </c>
      <c r="B34" s="147">
        <v>1189.89</v>
      </c>
      <c r="C34" s="147">
        <v>1222.29</v>
      </c>
      <c r="D34" s="147">
        <v>1222.29</v>
      </c>
      <c r="E34" s="147">
        <v>1222.29</v>
      </c>
      <c r="F34" s="147">
        <v>1222.29</v>
      </c>
      <c r="G34" s="147">
        <v>1222.29</v>
      </c>
      <c r="H34" s="147">
        <v>1222.29</v>
      </c>
      <c r="I34" s="146">
        <f t="shared" si="5"/>
        <v>8523.63</v>
      </c>
    </row>
    <row r="35" s="99" customFormat="1" ht="15" customHeight="1" spans="1:17">
      <c r="A35" s="132" t="s">
        <v>445</v>
      </c>
      <c r="B35" s="147">
        <v>1152.49</v>
      </c>
      <c r="C35" s="147">
        <v>1184.89</v>
      </c>
      <c r="D35" s="147">
        <v>1184.89</v>
      </c>
      <c r="E35" s="147">
        <v>1184.89</v>
      </c>
      <c r="F35" s="147">
        <v>1184.89</v>
      </c>
      <c r="G35" s="147">
        <v>1184.89</v>
      </c>
      <c r="H35" s="147">
        <v>1184.89</v>
      </c>
      <c r="I35" s="146">
        <f t="shared" si="5"/>
        <v>8261.83</v>
      </c>
    </row>
    <row r="36" s="99" customFormat="1" ht="15" customHeight="1" spans="1:17">
      <c r="A36" s="132" t="s">
        <v>444</v>
      </c>
      <c r="B36" s="147">
        <v>1152.49</v>
      </c>
      <c r="C36" s="147">
        <v>1184.89</v>
      </c>
      <c r="D36" s="147">
        <v>1184.89</v>
      </c>
      <c r="E36" s="147">
        <v>1184.89</v>
      </c>
      <c r="F36" s="147">
        <v>1184.89</v>
      </c>
      <c r="G36" s="147">
        <v>1184.89</v>
      </c>
      <c r="H36" s="147">
        <v>1184.89</v>
      </c>
      <c r="I36" s="146">
        <f t="shared" si="5"/>
        <v>8261.83</v>
      </c>
    </row>
    <row r="37" s="99" customFormat="1" ht="15" customHeight="1" spans="1:17">
      <c r="A37" s="132" t="s">
        <v>447</v>
      </c>
      <c r="B37" s="147">
        <v>1152.49</v>
      </c>
      <c r="C37" s="147">
        <v>1184.89</v>
      </c>
      <c r="D37" s="147">
        <v>1184.89</v>
      </c>
      <c r="E37" s="147">
        <v>1184.89</v>
      </c>
      <c r="F37" s="147">
        <v>1184.89</v>
      </c>
      <c r="G37" s="147">
        <v>1184.89</v>
      </c>
      <c r="H37" s="147">
        <v>1184.89</v>
      </c>
      <c r="I37" s="146">
        <f t="shared" si="5"/>
        <v>8261.83</v>
      </c>
    </row>
    <row r="38" s="99" customFormat="1" ht="15" customHeight="1" spans="1:17">
      <c r="A38" s="148" t="s">
        <v>448</v>
      </c>
      <c r="B38" s="146">
        <f>SUM(B30:B37)</f>
        <v>5837.25</v>
      </c>
      <c r="C38" s="146">
        <f t="shared" ref="C38:H38" si="6">SUM(C30:C37)</f>
        <v>5999.25</v>
      </c>
      <c r="D38" s="146">
        <f t="shared" si="6"/>
        <v>8369.03</v>
      </c>
      <c r="E38" s="146">
        <f t="shared" si="6"/>
        <v>8369.03</v>
      </c>
      <c r="F38" s="146">
        <f t="shared" si="6"/>
        <v>8369.03</v>
      </c>
      <c r="G38" s="146">
        <f t="shared" si="6"/>
        <v>9553.92</v>
      </c>
      <c r="H38" s="146">
        <f t="shared" si="6"/>
        <v>9553.92</v>
      </c>
      <c r="I38" s="149">
        <f t="shared" si="5"/>
        <v>56051.43</v>
      </c>
    </row>
    <row r="39" ht="14" customHeight="1"/>
    <row r="40" customFormat="1" ht="23" customHeight="1" spans="1:17">
      <c r="A40" s="140" t="s">
        <v>459</v>
      </c>
      <c r="B40" s="140"/>
      <c r="C40" s="140"/>
      <c r="D40" s="140"/>
      <c r="E40" s="141"/>
      <c r="F40"/>
      <c r="G40"/>
      <c r="H40"/>
      <c r="I40"/>
      <c r="L40" s="138"/>
      <c r="M40" s="138"/>
      <c r="N40" s="138"/>
      <c r="O40" s="138"/>
      <c r="P40" s="138"/>
      <c r="Q40" s="138"/>
    </row>
    <row r="41" ht="36" customHeight="1" spans="1:17">
      <c r="A41" s="108" t="s">
        <v>442</v>
      </c>
      <c r="B41" s="143" t="s">
        <v>416</v>
      </c>
      <c r="C41" s="143" t="s">
        <v>417</v>
      </c>
      <c r="D41" s="143" t="s">
        <v>418</v>
      </c>
      <c r="E41" s="144" t="s">
        <v>407</v>
      </c>
      <c r="F41"/>
      <c r="G41"/>
      <c r="H41"/>
    </row>
    <row r="42" ht="23" customHeight="1" spans="1:17">
      <c r="A42" s="150" t="s">
        <v>460</v>
      </c>
      <c r="B42" s="151">
        <v>409.83606557377</v>
      </c>
      <c r="C42" s="152">
        <v>408.163265306122</v>
      </c>
      <c r="D42" s="152">
        <v>442.477876106195</v>
      </c>
      <c r="E42" s="152">
        <f>SUM(B42:D42)</f>
        <v>1260.47720698609</v>
      </c>
      <c r="F42"/>
      <c r="G42"/>
      <c r="H42"/>
    </row>
    <row r="43" ht="23" customHeight="1" spans="1:17">
      <c r="A43" s="150" t="s">
        <v>461</v>
      </c>
      <c r="B43" s="146">
        <v>368.852459016393</v>
      </c>
      <c r="C43" s="152">
        <v>367.34693877551</v>
      </c>
      <c r="D43" s="152">
        <v>398.230088495575</v>
      </c>
      <c r="E43" s="152">
        <f>SUM(B43:D43)</f>
        <v>1134.42948628748</v>
      </c>
      <c r="F43"/>
      <c r="G43"/>
      <c r="H43"/>
    </row>
    <row r="44" ht="23" customHeight="1" spans="1:17">
      <c r="A44" s="150" t="s">
        <v>462</v>
      </c>
      <c r="B44" s="146">
        <v>327.868852459016</v>
      </c>
      <c r="C44" s="152">
        <v>326.530612244898</v>
      </c>
      <c r="D44" s="152">
        <v>353.982300884956</v>
      </c>
      <c r="E44" s="152">
        <f>SUM(B44:D44)</f>
        <v>1008.38176558887</v>
      </c>
      <c r="F44"/>
      <c r="G44"/>
      <c r="H44"/>
    </row>
    <row r="45" ht="23" customHeight="1" spans="1:17">
      <c r="A45" s="153" t="s">
        <v>463</v>
      </c>
      <c r="B45" s="146">
        <v>327.868852459016</v>
      </c>
      <c r="C45" s="152">
        <v>326.530612244898</v>
      </c>
      <c r="D45" s="152">
        <v>353.982300884956</v>
      </c>
      <c r="E45" s="152">
        <f>SUM(B45:D45)</f>
        <v>1008.38176558887</v>
      </c>
      <c r="F45"/>
      <c r="G45"/>
      <c r="H45"/>
    </row>
    <row r="46" ht="23" customHeight="1" spans="1:17">
      <c r="A46" s="154" t="s">
        <v>448</v>
      </c>
      <c r="B46" s="155">
        <f>SUM(B42:B45)</f>
        <v>1434.4262295082</v>
      </c>
      <c r="C46" s="155">
        <f>SUM(C42:C45)</f>
        <v>1428.57142857143</v>
      </c>
      <c r="D46" s="155">
        <f>SUM(D42:D45)</f>
        <v>1548.67256637168</v>
      </c>
      <c r="E46" s="156">
        <f>SUM(B46:D46)</f>
        <v>4411.67022445131</v>
      </c>
      <c r="F46"/>
      <c r="G46"/>
      <c r="H46"/>
    </row>
  </sheetData>
  <mergeCells count="17">
    <mergeCell ref="A1:J1"/>
    <mergeCell ref="A2:J2"/>
    <mergeCell ref="A6:I6"/>
    <mergeCell ref="A10:I10"/>
    <mergeCell ref="A19:Q19"/>
    <mergeCell ref="B20:C20"/>
    <mergeCell ref="D20:E20"/>
    <mergeCell ref="F20:G20"/>
    <mergeCell ref="H20:I20"/>
    <mergeCell ref="J20:K20"/>
    <mergeCell ref="L20:M20"/>
    <mergeCell ref="N20:O20"/>
    <mergeCell ref="A28:D28"/>
    <mergeCell ref="A40:D40"/>
    <mergeCell ref="A20:A21"/>
    <mergeCell ref="P20:P21"/>
    <mergeCell ref="Q20:Q2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8"/>
  </sheetPr>
  <dimension ref="A1:N55"/>
  <sheetViews>
    <sheetView workbookViewId="0">
      <selection activeCell="D18" sqref="D18"/>
    </sheetView>
  </sheetViews>
  <sheetFormatPr defaultColWidth="9" defaultRowHeight="13.5"/>
  <cols>
    <col min="1" max="1" width="20.25" style="1" customWidth="1"/>
    <col min="2" max="2" width="14.375" style="1" customWidth="1"/>
    <col min="3" max="3" width="9" style="1"/>
    <col min="4" max="4" width="23.625" style="1" customWidth="1"/>
    <col min="5" max="5" width="12" style="1" customWidth="1"/>
    <col min="6" max="6" width="9" style="1"/>
    <col min="7" max="7" width="23.5" style="1" customWidth="1"/>
    <col min="8" max="8" width="12" style="1" customWidth="1"/>
    <col min="9" max="9" width="9" style="1"/>
    <col min="10" max="10" width="26.25" style="1" customWidth="1"/>
    <col min="11" max="11" width="12" style="1" customWidth="1"/>
    <col min="12" max="12" width="9" style="1"/>
    <col min="13" max="13" width="27.875" style="1" customWidth="1"/>
    <col min="14" max="14" width="12" style="1" customWidth="1"/>
    <col min="15" max="16384" width="9" style="1"/>
  </cols>
  <sheetData>
    <row r="1" s="1" customFormat="1" ht="34" customHeight="1" spans="1:14">
      <c r="A1" s="2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spans="1:14">
      <c r="A2" s="3" t="s">
        <v>438</v>
      </c>
      <c r="B2" s="3"/>
      <c r="D2" s="3" t="s">
        <v>412</v>
      </c>
      <c r="E2" s="3"/>
      <c r="G2" s="3" t="s">
        <v>413</v>
      </c>
      <c r="H2" s="3"/>
      <c r="J2" s="3" t="s">
        <v>414</v>
      </c>
      <c r="K2" s="3"/>
      <c r="M2" s="3" t="s">
        <v>415</v>
      </c>
      <c r="N2" s="3"/>
    </row>
    <row r="3" s="1" customFormat="1" ht="14" customHeight="1" spans="1:14">
      <c r="A3" s="4" t="s">
        <v>465</v>
      </c>
      <c r="B3" s="5">
        <v>26390</v>
      </c>
      <c r="D3" s="6" t="s">
        <v>466</v>
      </c>
      <c r="E3" s="7">
        <v>27107</v>
      </c>
      <c r="G3" s="8" t="s">
        <v>467</v>
      </c>
      <c r="H3" s="9">
        <v>120</v>
      </c>
      <c r="J3" s="10" t="s">
        <v>468</v>
      </c>
      <c r="K3" s="7">
        <v>28543</v>
      </c>
      <c r="M3" s="11" t="s">
        <v>469</v>
      </c>
      <c r="N3" s="12">
        <v>120</v>
      </c>
    </row>
    <row r="4" s="1" customFormat="1" ht="14" customHeight="1" spans="1:14">
      <c r="A4" s="4" t="s">
        <v>470</v>
      </c>
      <c r="B4" s="13">
        <v>79170</v>
      </c>
      <c r="D4" s="14" t="s">
        <v>471</v>
      </c>
      <c r="E4" s="15">
        <v>98</v>
      </c>
      <c r="G4" s="16" t="s">
        <v>472</v>
      </c>
      <c r="H4" s="5">
        <v>27994</v>
      </c>
      <c r="J4" s="17" t="s">
        <v>473</v>
      </c>
      <c r="K4" s="9">
        <v>120</v>
      </c>
      <c r="M4" s="18" t="s">
        <v>474</v>
      </c>
      <c r="N4" s="19">
        <v>27280</v>
      </c>
    </row>
    <row r="5" s="1" customFormat="1" ht="14" customHeight="1" spans="1:14">
      <c r="A5" s="8" t="s">
        <v>475</v>
      </c>
      <c r="B5" s="9">
        <v>680</v>
      </c>
      <c r="D5" s="14" t="s">
        <v>476</v>
      </c>
      <c r="E5" s="9">
        <v>221.16</v>
      </c>
      <c r="G5" s="20" t="s">
        <v>477</v>
      </c>
      <c r="H5" s="15">
        <v>2980</v>
      </c>
      <c r="J5" s="8" t="s">
        <v>478</v>
      </c>
      <c r="K5" s="9">
        <v>270</v>
      </c>
      <c r="M5" s="21" t="s">
        <v>479</v>
      </c>
      <c r="N5" s="12">
        <v>540</v>
      </c>
    </row>
    <row r="6" s="1" customFormat="1" ht="14" customHeight="1" spans="1:14">
      <c r="A6" s="8" t="s">
        <v>480</v>
      </c>
      <c r="B6" s="9">
        <v>150</v>
      </c>
      <c r="D6" s="14" t="s">
        <v>481</v>
      </c>
      <c r="E6" s="22">
        <v>150</v>
      </c>
      <c r="G6" s="23" t="s">
        <v>482</v>
      </c>
      <c r="H6" s="24">
        <v>442.64</v>
      </c>
      <c r="J6" s="25" t="s">
        <v>483</v>
      </c>
      <c r="K6" s="26">
        <v>500</v>
      </c>
      <c r="M6" s="27" t="s">
        <v>484</v>
      </c>
      <c r="N6" s="26">
        <v>3400</v>
      </c>
    </row>
    <row r="7" s="1" customFormat="1" ht="14" customHeight="1" spans="1:14">
      <c r="A7" s="21" t="s">
        <v>485</v>
      </c>
      <c r="B7" s="26">
        <v>5680</v>
      </c>
      <c r="D7" s="14" t="s">
        <v>486</v>
      </c>
      <c r="E7" s="15">
        <v>52</v>
      </c>
      <c r="G7" s="23" t="s">
        <v>487</v>
      </c>
      <c r="H7" s="24">
        <v>2000.88</v>
      </c>
      <c r="J7" s="28" t="s">
        <v>488</v>
      </c>
      <c r="K7" s="12">
        <v>500</v>
      </c>
      <c r="M7" s="21" t="s">
        <v>489</v>
      </c>
      <c r="N7" s="12">
        <v>66.74</v>
      </c>
    </row>
    <row r="8" s="1" customFormat="1" ht="14" customHeight="1" spans="1:14">
      <c r="A8" s="29" t="s">
        <v>490</v>
      </c>
      <c r="B8" s="15">
        <v>100</v>
      </c>
      <c r="D8" s="30" t="s">
        <v>491</v>
      </c>
      <c r="E8" s="15">
        <v>500</v>
      </c>
      <c r="G8" s="23" t="s">
        <v>492</v>
      </c>
      <c r="H8" s="24">
        <v>119.8</v>
      </c>
      <c r="J8" s="31" t="s">
        <v>493</v>
      </c>
      <c r="K8" s="26">
        <v>900</v>
      </c>
      <c r="M8" s="32"/>
      <c r="N8" s="33">
        <f ca="1">SUM(N3:N13)</f>
        <v>31406.74</v>
      </c>
    </row>
    <row r="9" s="1" customFormat="1" ht="14" customHeight="1" spans="1:14">
      <c r="A9" s="29" t="s">
        <v>494</v>
      </c>
      <c r="B9" s="22">
        <v>650</v>
      </c>
      <c r="D9" s="30" t="s">
        <v>495</v>
      </c>
      <c r="E9" s="15">
        <v>500</v>
      </c>
      <c r="G9" s="4" t="s">
        <v>496</v>
      </c>
      <c r="H9" s="34">
        <v>65300</v>
      </c>
      <c r="J9" s="23" t="s">
        <v>497</v>
      </c>
      <c r="K9" s="9">
        <v>924</v>
      </c>
      <c r="M9" s="1" t="s">
        <v>498</v>
      </c>
    </row>
    <row r="10" s="1" customFormat="1" ht="14" customHeight="1" spans="1:14">
      <c r="A10" s="35" t="s">
        <v>499</v>
      </c>
      <c r="B10" s="36">
        <v>1210</v>
      </c>
      <c r="D10" s="30" t="s">
        <v>500</v>
      </c>
      <c r="E10" s="15">
        <v>4288</v>
      </c>
      <c r="G10" s="37" t="s">
        <v>501</v>
      </c>
      <c r="H10" s="34">
        <v>12812.19</v>
      </c>
      <c r="J10" s="23" t="s">
        <v>502</v>
      </c>
      <c r="K10" s="9">
        <v>352.75</v>
      </c>
      <c r="M10" s="38" t="s">
        <v>503</v>
      </c>
      <c r="N10" s="39">
        <v>139.5</v>
      </c>
    </row>
    <row r="11" s="1" customFormat="1" ht="14" customHeight="1" spans="1:14">
      <c r="A11" s="35" t="s">
        <v>504</v>
      </c>
      <c r="B11" s="9">
        <v>350</v>
      </c>
      <c r="D11" s="30" t="s">
        <v>505</v>
      </c>
      <c r="E11" s="15">
        <v>200</v>
      </c>
      <c r="G11" s="32"/>
      <c r="H11" s="40">
        <f>SUM(H3:H10)</f>
        <v>111769.51</v>
      </c>
      <c r="J11" s="21" t="s">
        <v>506</v>
      </c>
      <c r="K11" s="12">
        <v>217.19</v>
      </c>
      <c r="M11" s="41" t="s">
        <v>507</v>
      </c>
      <c r="N11" s="42">
        <v>3</v>
      </c>
    </row>
    <row r="12" s="1" customFormat="1" ht="14" customHeight="1" spans="1:14">
      <c r="A12" s="35" t="s">
        <v>508</v>
      </c>
      <c r="B12" s="9">
        <v>200</v>
      </c>
      <c r="D12" s="23" t="s">
        <v>509</v>
      </c>
      <c r="E12" s="15">
        <v>850</v>
      </c>
      <c r="G12" s="1" t="s">
        <v>498</v>
      </c>
      <c r="J12" s="32"/>
      <c r="K12" s="33">
        <f ca="1">SUM(K3:K12)</f>
        <v>32326.94</v>
      </c>
      <c r="M12" s="43" t="s">
        <v>510</v>
      </c>
      <c r="N12" s="39">
        <v>2500.5945598206</v>
      </c>
    </row>
    <row r="13" s="1" customFormat="1" ht="14" customHeight="1" spans="1:14">
      <c r="A13" s="35" t="s">
        <v>511</v>
      </c>
      <c r="B13" s="9">
        <v>250</v>
      </c>
      <c r="D13" s="8" t="s">
        <v>512</v>
      </c>
      <c r="E13" s="15">
        <v>516.08</v>
      </c>
      <c r="G13" s="38" t="s">
        <v>513</v>
      </c>
      <c r="H13" s="39">
        <v>76.5</v>
      </c>
      <c r="J13" s="1" t="s">
        <v>498</v>
      </c>
      <c r="M13" s="44" t="s">
        <v>514</v>
      </c>
      <c r="N13" s="45">
        <v>322.267135093385</v>
      </c>
    </row>
    <row r="14" s="1" customFormat="1" ht="14" customHeight="1" spans="1:14">
      <c r="A14" s="35" t="s">
        <v>515</v>
      </c>
      <c r="B14" s="15">
        <v>136.69</v>
      </c>
      <c r="D14" s="8" t="s">
        <v>502</v>
      </c>
      <c r="E14" s="9">
        <v>408.45</v>
      </c>
      <c r="G14" s="46" t="s">
        <v>516</v>
      </c>
      <c r="H14" s="39">
        <v>30</v>
      </c>
      <c r="J14" s="38" t="s">
        <v>513</v>
      </c>
      <c r="K14" s="39">
        <v>93</v>
      </c>
      <c r="M14" s="47"/>
      <c r="N14" s="48">
        <f>SUM(N10:N13)</f>
        <v>2965.36169491399</v>
      </c>
    </row>
    <row r="15" s="1" customFormat="1" ht="14" customHeight="1" spans="1:14">
      <c r="A15" s="35" t="s">
        <v>502</v>
      </c>
      <c r="B15" s="15">
        <v>163</v>
      </c>
      <c r="D15" s="49" t="s">
        <v>517</v>
      </c>
      <c r="E15" s="50">
        <v>108374.384236453</v>
      </c>
      <c r="G15" s="46" t="s">
        <v>518</v>
      </c>
      <c r="H15" s="39">
        <v>100</v>
      </c>
      <c r="J15" s="46" t="s">
        <v>516</v>
      </c>
      <c r="K15" s="39">
        <v>30</v>
      </c>
    </row>
    <row r="16" s="1" customFormat="1" ht="14" customHeight="1" spans="1:14">
      <c r="A16" s="51" t="s">
        <v>519</v>
      </c>
      <c r="B16" s="26">
        <v>399</v>
      </c>
      <c r="D16" s="52" t="s">
        <v>520</v>
      </c>
      <c r="E16" s="50">
        <v>2850.24</v>
      </c>
      <c r="G16" s="46" t="s">
        <v>521</v>
      </c>
      <c r="H16" s="39">
        <v>32.96</v>
      </c>
      <c r="J16" s="46" t="s">
        <v>522</v>
      </c>
      <c r="K16" s="39">
        <v>450</v>
      </c>
    </row>
    <row r="17" s="1" customFormat="1" ht="14" customHeight="1" spans="1:11">
      <c r="A17" s="53" t="s">
        <v>523</v>
      </c>
      <c r="B17" s="12">
        <v>34846</v>
      </c>
      <c r="D17" s="32"/>
      <c r="E17" s="40">
        <f>SUM(E3:E16)</f>
        <v>146115.314236453</v>
      </c>
      <c r="G17" s="54" t="s">
        <v>524</v>
      </c>
      <c r="H17" s="39">
        <v>100</v>
      </c>
      <c r="J17" s="55" t="s">
        <v>507</v>
      </c>
      <c r="K17" s="42">
        <v>3</v>
      </c>
    </row>
    <row r="18" s="1" customFormat="1" ht="14" customHeight="1" spans="1:11">
      <c r="A18" s="51" t="s">
        <v>525</v>
      </c>
      <c r="B18" s="56">
        <v>5100</v>
      </c>
      <c r="D18" s="57" t="s">
        <v>498</v>
      </c>
      <c r="G18" s="55" t="s">
        <v>507</v>
      </c>
      <c r="H18" s="42">
        <v>3</v>
      </c>
      <c r="J18" s="43" t="s">
        <v>510</v>
      </c>
      <c r="K18" s="39">
        <v>7068.89</v>
      </c>
    </row>
    <row r="19" s="1" customFormat="1" ht="14" customHeight="1" spans="1:11">
      <c r="A19" s="58" t="s">
        <v>526</v>
      </c>
      <c r="B19" s="12">
        <v>4050</v>
      </c>
      <c r="D19" s="38" t="s">
        <v>503</v>
      </c>
      <c r="E19" s="39">
        <v>111.5</v>
      </c>
      <c r="G19" s="43" t="s">
        <v>510</v>
      </c>
      <c r="H19" s="39">
        <v>1278.02</v>
      </c>
      <c r="J19" s="44" t="s">
        <v>514</v>
      </c>
      <c r="K19" s="45">
        <v>455.612008197104</v>
      </c>
    </row>
    <row r="20" s="1" customFormat="1" ht="14" customHeight="1" spans="1:11">
      <c r="A20" s="59" t="s">
        <v>527</v>
      </c>
      <c r="B20" s="15">
        <v>1200</v>
      </c>
      <c r="D20" s="41" t="s">
        <v>507</v>
      </c>
      <c r="E20" s="42">
        <v>3</v>
      </c>
      <c r="G20" s="44" t="s">
        <v>514</v>
      </c>
      <c r="H20" s="45">
        <v>241.800388833003</v>
      </c>
      <c r="J20" s="60" t="s">
        <v>528</v>
      </c>
      <c r="K20" s="39">
        <v>100</v>
      </c>
    </row>
    <row r="21" s="1" customFormat="1" ht="14" customHeight="1" spans="1:11">
      <c r="A21" s="59" t="s">
        <v>512</v>
      </c>
      <c r="B21" s="15">
        <v>6743.41</v>
      </c>
      <c r="D21" s="61" t="s">
        <v>510</v>
      </c>
      <c r="E21" s="39">
        <v>2619.81</v>
      </c>
      <c r="G21" s="47"/>
      <c r="H21" s="48">
        <f>SUM(H13:H20)</f>
        <v>1862.280388833</v>
      </c>
      <c r="J21" s="47"/>
      <c r="K21" s="48">
        <f>SUM(K14:K20)</f>
        <v>8200.50200819711</v>
      </c>
    </row>
    <row r="22" s="1" customFormat="1" ht="14" customHeight="1" spans="1:11">
      <c r="A22" s="62" t="s">
        <v>487</v>
      </c>
      <c r="B22" s="15">
        <v>3654.91</v>
      </c>
      <c r="D22" s="44" t="s">
        <v>514</v>
      </c>
      <c r="E22" s="45">
        <v>456.21440669098</v>
      </c>
    </row>
    <row r="23" s="1" customFormat="1" ht="14" customHeight="1" spans="1:11">
      <c r="A23" s="63" t="s">
        <v>529</v>
      </c>
      <c r="B23" s="15">
        <v>1129</v>
      </c>
      <c r="D23" s="47"/>
      <c r="E23" s="48">
        <f>SUM(E19:E22)</f>
        <v>3190.52440669098</v>
      </c>
    </row>
    <row r="24" s="1" customFormat="1" ht="14" customHeight="1" spans="1:11">
      <c r="A24" s="64" t="s">
        <v>530</v>
      </c>
      <c r="B24" s="9">
        <v>649</v>
      </c>
    </row>
    <row r="25" s="1" customFormat="1" ht="14" customHeight="1" spans="1:11">
      <c r="A25" s="65" t="s">
        <v>531</v>
      </c>
      <c r="B25" s="15">
        <v>920.24</v>
      </c>
    </row>
    <row r="26" s="1" customFormat="1" ht="14" customHeight="1" spans="1:11">
      <c r="A26" s="66" t="s">
        <v>532</v>
      </c>
      <c r="B26" s="5">
        <v>1200</v>
      </c>
      <c r="D26" s="3" t="s">
        <v>416</v>
      </c>
      <c r="E26" s="3"/>
      <c r="G26" s="3" t="s">
        <v>417</v>
      </c>
      <c r="H26" s="3"/>
      <c r="J26" s="3" t="s">
        <v>418</v>
      </c>
      <c r="K26" s="3"/>
    </row>
    <row r="27" s="1" customFormat="1" ht="14" customHeight="1" spans="1:11">
      <c r="A27" s="67" t="s">
        <v>533</v>
      </c>
      <c r="B27" s="5">
        <v>4750</v>
      </c>
      <c r="D27" s="68" t="s">
        <v>534</v>
      </c>
      <c r="E27" s="69">
        <v>27849</v>
      </c>
      <c r="G27" s="70" t="s">
        <v>535</v>
      </c>
      <c r="H27" s="71">
        <v>27722</v>
      </c>
      <c r="J27" s="10" t="s">
        <v>536</v>
      </c>
      <c r="K27" s="50">
        <v>27289</v>
      </c>
    </row>
    <row r="28" s="1" customFormat="1" ht="24" spans="1:11">
      <c r="A28" s="67" t="s">
        <v>537</v>
      </c>
      <c r="B28" s="5">
        <v>1930</v>
      </c>
      <c r="D28" s="72" t="s">
        <v>538</v>
      </c>
      <c r="E28" s="73">
        <v>23140.5</v>
      </c>
      <c r="G28" s="6" t="s">
        <v>539</v>
      </c>
      <c r="H28" s="74">
        <v>9641.87327823692</v>
      </c>
      <c r="J28" s="75" t="s">
        <v>540</v>
      </c>
      <c r="K28" s="76">
        <v>5423.5</v>
      </c>
    </row>
    <row r="29" s="1" customFormat="1" spans="1:11">
      <c r="A29" s="6" t="s">
        <v>541</v>
      </c>
      <c r="B29" s="5">
        <v>3907.93</v>
      </c>
      <c r="D29" s="10" t="s">
        <v>542</v>
      </c>
      <c r="E29" s="7">
        <v>231404.95</v>
      </c>
      <c r="G29" s="6" t="s">
        <v>543</v>
      </c>
      <c r="H29" s="74">
        <v>964.187</v>
      </c>
      <c r="J29" s="6" t="s">
        <v>544</v>
      </c>
      <c r="K29" s="77">
        <v>9641.87327823692</v>
      </c>
    </row>
    <row r="30" s="1" customFormat="1" spans="1:11">
      <c r="A30" s="10" t="s">
        <v>545</v>
      </c>
      <c r="B30" s="7">
        <v>5580</v>
      </c>
      <c r="D30" s="10" t="s">
        <v>546</v>
      </c>
      <c r="E30" s="78">
        <v>9641.87327823692</v>
      </c>
      <c r="G30" s="6" t="s">
        <v>547</v>
      </c>
      <c r="H30" s="74">
        <v>964.187</v>
      </c>
      <c r="J30" s="6" t="s">
        <v>548</v>
      </c>
      <c r="K30" s="77">
        <v>964.187</v>
      </c>
    </row>
    <row r="31" s="1" customFormat="1" spans="1:11">
      <c r="A31" s="4" t="s">
        <v>549</v>
      </c>
      <c r="B31" s="50">
        <v>36000</v>
      </c>
      <c r="D31" s="79" t="s">
        <v>550</v>
      </c>
      <c r="E31" s="78">
        <v>964.187</v>
      </c>
      <c r="G31" s="80" t="s">
        <v>551</v>
      </c>
      <c r="H31" s="24">
        <v>34160</v>
      </c>
      <c r="J31" s="6" t="s">
        <v>552</v>
      </c>
      <c r="K31" s="77">
        <v>964.187</v>
      </c>
    </row>
    <row r="32" s="1" customFormat="1" spans="1:11">
      <c r="A32" s="50" t="s">
        <v>553</v>
      </c>
      <c r="B32" s="50">
        <v>88950</v>
      </c>
      <c r="D32" s="10" t="s">
        <v>554</v>
      </c>
      <c r="E32" s="78">
        <v>964.187</v>
      </c>
      <c r="G32" s="81" t="s">
        <v>555</v>
      </c>
      <c r="H32" s="15">
        <v>3800</v>
      </c>
      <c r="J32" s="17" t="s">
        <v>556</v>
      </c>
      <c r="K32" s="82">
        <v>7000.75403056871</v>
      </c>
    </row>
    <row r="33" s="1" customFormat="1" spans="1:11">
      <c r="A33" s="37" t="s">
        <v>557</v>
      </c>
      <c r="B33" s="34">
        <v>9211.11</v>
      </c>
      <c r="D33" s="25" t="s">
        <v>558</v>
      </c>
      <c r="E33" s="26">
        <v>5351</v>
      </c>
      <c r="G33" s="52" t="s">
        <v>497</v>
      </c>
      <c r="H33" s="83">
        <v>21190</v>
      </c>
      <c r="J33" s="17" t="s">
        <v>559</v>
      </c>
      <c r="K33" s="82">
        <v>724</v>
      </c>
    </row>
    <row r="34" s="1" customFormat="1" spans="1:11">
      <c r="A34" s="32"/>
      <c r="B34" s="40">
        <f>SUM(B3:B33)</f>
        <v>325350.29</v>
      </c>
      <c r="D34" s="28" t="s">
        <v>560</v>
      </c>
      <c r="E34" s="84">
        <v>1300</v>
      </c>
      <c r="G34" s="21" t="s">
        <v>506</v>
      </c>
      <c r="H34" s="85">
        <v>69.6</v>
      </c>
      <c r="J34" s="8" t="s">
        <v>561</v>
      </c>
      <c r="K34" s="86">
        <v>6810</v>
      </c>
    </row>
    <row r="35" s="1" customFormat="1" spans="1:11">
      <c r="D35" s="11" t="s">
        <v>562</v>
      </c>
      <c r="E35" s="12">
        <v>546</v>
      </c>
      <c r="G35" s="20" t="s">
        <v>563</v>
      </c>
      <c r="H35" s="87">
        <v>23800</v>
      </c>
      <c r="J35" s="88" t="s">
        <v>564</v>
      </c>
      <c r="K35" s="15">
        <v>5000</v>
      </c>
    </row>
    <row r="36" s="1" customFormat="1" spans="1:11">
      <c r="A36" s="89" t="s">
        <v>565</v>
      </c>
      <c r="B36" s="90">
        <f>SUM(B34+E17)</f>
        <v>471465.604236453</v>
      </c>
      <c r="D36" s="23" t="s">
        <v>566</v>
      </c>
      <c r="E36" s="24">
        <v>3417.8</v>
      </c>
      <c r="G36" s="20"/>
      <c r="H36" s="87"/>
      <c r="J36" s="23" t="s">
        <v>567</v>
      </c>
      <c r="K36" s="15">
        <v>923.28</v>
      </c>
    </row>
    <row r="37" s="1" customFormat="1" spans="1:11">
      <c r="D37" s="80" t="s">
        <v>568</v>
      </c>
      <c r="E37" s="24">
        <v>1076.4</v>
      </c>
      <c r="G37" s="20"/>
      <c r="H37" s="87"/>
      <c r="J37" s="4" t="s">
        <v>569</v>
      </c>
      <c r="K37" s="34">
        <v>8850</v>
      </c>
    </row>
    <row r="38" s="1" customFormat="1" spans="1:11">
      <c r="D38" s="4" t="s">
        <v>570</v>
      </c>
      <c r="E38" s="34">
        <v>5496</v>
      </c>
      <c r="G38" s="20"/>
      <c r="H38" s="87"/>
      <c r="J38" s="37" t="s">
        <v>571</v>
      </c>
      <c r="K38" s="91">
        <v>7000.75403056871</v>
      </c>
    </row>
    <row r="39" s="1" customFormat="1" spans="1:11">
      <c r="D39" s="32"/>
      <c r="E39" s="40">
        <f>SUM(E27:E38)</f>
        <v>311151.897278237</v>
      </c>
      <c r="G39" s="20"/>
      <c r="H39" s="87"/>
      <c r="J39" s="37" t="s">
        <v>572</v>
      </c>
      <c r="K39" s="92"/>
    </row>
    <row r="40" s="1" customFormat="1" spans="1:11">
      <c r="D40" s="1" t="s">
        <v>498</v>
      </c>
      <c r="G40" s="20"/>
      <c r="H40" s="87"/>
      <c r="J40" s="37" t="s">
        <v>573</v>
      </c>
      <c r="K40" s="92"/>
    </row>
    <row r="41" s="1" customFormat="1" spans="1:11">
      <c r="D41" s="38" t="s">
        <v>503</v>
      </c>
      <c r="E41" s="54">
        <v>124.5</v>
      </c>
      <c r="G41" s="32"/>
      <c r="H41" s="93">
        <f>SUM(H27:H40)</f>
        <v>122311.847278237</v>
      </c>
      <c r="J41" s="37" t="s">
        <v>574</v>
      </c>
      <c r="K41" s="92"/>
    </row>
    <row r="42" s="1" customFormat="1" spans="1:11">
      <c r="D42" s="46" t="s">
        <v>575</v>
      </c>
      <c r="E42" s="54">
        <v>228.64</v>
      </c>
      <c r="G42" s="1" t="s">
        <v>498</v>
      </c>
      <c r="J42" s="37" t="s">
        <v>576</v>
      </c>
      <c r="K42" s="92"/>
    </row>
    <row r="43" s="1" customFormat="1" spans="1:11">
      <c r="D43" s="46" t="s">
        <v>577</v>
      </c>
      <c r="E43" s="54">
        <v>428.67</v>
      </c>
      <c r="G43" s="38" t="s">
        <v>503</v>
      </c>
      <c r="H43" s="54">
        <v>100.5</v>
      </c>
      <c r="J43" s="37" t="s">
        <v>578</v>
      </c>
      <c r="K43" s="92"/>
    </row>
    <row r="44" s="1" customFormat="1" spans="1:11">
      <c r="D44" s="94" t="s">
        <v>507</v>
      </c>
      <c r="E44" s="95">
        <v>3</v>
      </c>
      <c r="G44" s="46" t="s">
        <v>575</v>
      </c>
      <c r="H44" s="54">
        <v>227.37</v>
      </c>
      <c r="J44" s="37" t="s">
        <v>579</v>
      </c>
      <c r="K44" s="92"/>
    </row>
    <row r="45" s="1" customFormat="1" spans="1:11">
      <c r="D45" s="43" t="s">
        <v>510</v>
      </c>
      <c r="E45" s="39">
        <v>2464.56</v>
      </c>
      <c r="G45" s="94" t="s">
        <v>507</v>
      </c>
      <c r="H45" s="95">
        <v>3</v>
      </c>
      <c r="J45" s="37" t="s">
        <v>580</v>
      </c>
      <c r="K45" s="92"/>
    </row>
    <row r="46" s="1" customFormat="1" spans="1:11">
      <c r="D46" s="44" t="s">
        <v>514</v>
      </c>
      <c r="E46" s="45">
        <v>381.476483389341</v>
      </c>
      <c r="G46" s="43" t="s">
        <v>510</v>
      </c>
      <c r="H46" s="39">
        <v>3061.1</v>
      </c>
      <c r="J46" s="37" t="s">
        <v>581</v>
      </c>
      <c r="K46" s="92"/>
    </row>
    <row r="47" spans="1:11">
      <c r="D47" s="47"/>
      <c r="E47" s="48">
        <f>SUM(E41:E46)</f>
        <v>3630.84648338934</v>
      </c>
      <c r="G47" s="44" t="s">
        <v>514</v>
      </c>
      <c r="H47" s="45">
        <v>511.105962054135</v>
      </c>
      <c r="J47" s="37" t="s">
        <v>582</v>
      </c>
      <c r="K47" s="96"/>
    </row>
    <row r="48" spans="1:11">
      <c r="H48" s="97">
        <f>SUM(H43:H47)</f>
        <v>3903.07596205413</v>
      </c>
      <c r="J48" s="32"/>
      <c r="K48" s="33">
        <f>SUM(K27:K47)</f>
        <v>80591.5353393743</v>
      </c>
    </row>
    <row r="49" spans="10:11">
      <c r="J49" s="1" t="s">
        <v>498</v>
      </c>
    </row>
    <row r="50" spans="10:11">
      <c r="J50" s="38" t="s">
        <v>503</v>
      </c>
      <c r="K50" s="54">
        <v>82.5</v>
      </c>
    </row>
    <row r="51" spans="10:11">
      <c r="J51" s="46" t="s">
        <v>583</v>
      </c>
      <c r="K51" s="54">
        <v>10</v>
      </c>
    </row>
    <row r="52" spans="10:11">
      <c r="J52" s="94" t="s">
        <v>507</v>
      </c>
      <c r="K52" s="95">
        <v>3</v>
      </c>
    </row>
    <row r="53" spans="10:11">
      <c r="J53" s="43" t="s">
        <v>510</v>
      </c>
      <c r="K53" s="54">
        <v>14280.5494905386</v>
      </c>
    </row>
    <row r="54" spans="10:11">
      <c r="J54" s="43" t="s">
        <v>514</v>
      </c>
      <c r="K54" s="45">
        <v>787.93</v>
      </c>
    </row>
    <row r="55" spans="10:11">
      <c r="J55" s="47"/>
      <c r="K55" s="48">
        <f>SUM(K50:K54)</f>
        <v>15163.9794905386</v>
      </c>
    </row>
  </sheetData>
  <mergeCells count="12">
    <mergeCell ref="A1:N1"/>
    <mergeCell ref="A2:B2"/>
    <mergeCell ref="D2:E2"/>
    <mergeCell ref="G2:H2"/>
    <mergeCell ref="J2:K2"/>
    <mergeCell ref="M2:N2"/>
    <mergeCell ref="D26:E26"/>
    <mergeCell ref="G26:H26"/>
    <mergeCell ref="J26:K26"/>
    <mergeCell ref="G35:G40"/>
    <mergeCell ref="H35:H40"/>
    <mergeCell ref="K38:K4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6月份</vt:lpstr>
      <vt:lpstr>7月份</vt:lpstr>
      <vt:lpstr>8月份</vt:lpstr>
      <vt:lpstr>9月份</vt:lpstr>
      <vt:lpstr>10月份</vt:lpstr>
      <vt:lpstr>11月份</vt:lpstr>
      <vt:lpstr>12月份</vt:lpstr>
      <vt:lpstr>应收统计表</vt:lpstr>
      <vt:lpstr>24年6-12月份利润表</vt:lpstr>
      <vt:lpstr>利润总额</vt:lpstr>
      <vt:lpstr>日常经营汇总</vt:lpstr>
      <vt:lpstr>经营-明细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2018-03-08T09:57:00Z</dcterms:created>
  <dcterms:modified xsi:type="dcterms:W3CDTF">2026-03-10T07:22:11Z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 linkTarget="0">
    <vt:lpwstr>14</vt:lpwstr>
  </property>
  <property fmtid="{D5CDD505-2E9C-101B-9397-08002B2CF9AE}" pid="4" name="ICV">
    <vt:lpwstr>1568712F828945DF91C9C6DAECB2230C</vt:lpwstr>
  </property>
  <property fmtid="{D5CDD505-2E9C-101B-9397-08002B2CF9AE}" pid="5" name="CalculationRule">
    <vt:i4>0</vt:i4>
  </property>
</Properties>
</file>