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30" windowHeight="12975" activeTab="10"/>
  </bookViews>
  <sheets>
    <sheet name="黄颖" sheetId="1" r:id="rId1"/>
    <sheet name="三凤" sheetId="7" r:id="rId2"/>
    <sheet name="朱小飞" sheetId="4" r:id="rId3"/>
    <sheet name="吕沛霖" sheetId="3" r:id="rId4"/>
    <sheet name="罗珮文" sheetId="16" r:id="rId5"/>
    <sheet name="苏慧琪" sheetId="18" r:id="rId6"/>
    <sheet name="陆总" sheetId="14" r:id="rId7"/>
    <sheet name="浦生" sheetId="5" r:id="rId8"/>
    <sheet name="无人" sheetId="17" r:id="rId9"/>
    <sheet name="提成总表" sheetId="9" r:id="rId10"/>
    <sheet name="黄颖 陈三凤 朱小飞 吕沛霖 2025年10月份发放" sheetId="19" r:id="rId11"/>
  </sheets>
  <definedNames>
    <definedName name="_xlnm._FilterDatabase" localSheetId="0" hidden="1">黄颖!$A$3:$AB$36</definedName>
    <definedName name="_xlnm._FilterDatabase" localSheetId="3" hidden="1">吕沛霖!$A$2:$AB$28</definedName>
    <definedName name="_xlnm._FilterDatabase" localSheetId="1" hidden="1">三凤!#REF!</definedName>
    <definedName name="_xlnm.Print_Area" localSheetId="9">提成总表!$A$1:$G$18</definedName>
    <definedName name="_xlnm.Print_Area" localSheetId="10">'黄颖 陈三凤 朱小飞 吕沛霖 2025年10月份发放'!$A$1:$N$15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到付106.44转预付792.
</t>
        </r>
      </text>
    </comment>
    <comment ref="J7" authorId="0">
      <text>
        <r>
          <rPr>
            <sz val="9"/>
            <rFont val="宋体"/>
            <charset val="134"/>
          </rPr>
          <t xml:space="preserve">到付USD117.15转预付870.
</t>
        </r>
      </text>
    </comment>
    <comment ref="J8" authorId="0">
      <text>
        <r>
          <rPr>
            <sz val="9"/>
            <rFont val="宋体"/>
            <charset val="134"/>
          </rPr>
          <t xml:space="preserve">到付转预付2195.
</t>
        </r>
      </text>
    </comment>
    <comment ref="J9" authorId="0">
      <text>
        <r>
          <rPr>
            <sz val="9"/>
            <rFont val="宋体"/>
            <charset val="134"/>
          </rPr>
          <t>到付USD62.22转预付463.</t>
        </r>
      </text>
    </comment>
    <comment ref="J10" authorId="0">
      <text>
        <r>
          <rPr>
            <sz val="9"/>
            <rFont val="宋体"/>
            <charset val="134"/>
          </rPr>
          <t xml:space="preserve">到付USD134.5转预付1003.
</t>
        </r>
      </text>
    </comment>
    <comment ref="J14" authorId="0">
      <text>
        <r>
          <rPr>
            <sz val="9"/>
            <rFont val="宋体"/>
            <charset val="134"/>
          </rPr>
          <t xml:space="preserve">到付USD304.4转预付2222.
</t>
        </r>
      </text>
    </comment>
    <comment ref="J17" authorId="0">
      <text>
        <r>
          <rPr>
            <sz val="9"/>
            <rFont val="宋体"/>
            <charset val="134"/>
          </rPr>
          <t xml:space="preserve">到付USD236.75转预付1810.4
</t>
        </r>
      </text>
    </comment>
    <comment ref="J19" authorId="0">
      <text>
        <r>
          <rPr>
            <sz val="9"/>
            <rFont val="宋体"/>
            <charset val="134"/>
          </rPr>
          <t xml:space="preserve">到付USD346.79转预付2906.
</t>
        </r>
      </text>
    </comment>
    <comment ref="J20" authorId="0">
      <text>
        <r>
          <rPr>
            <sz val="9"/>
            <rFont val="宋体"/>
            <charset val="134"/>
          </rPr>
          <t xml:space="preserve">到付USD29.73转预付228.
</t>
        </r>
      </text>
    </comment>
    <comment ref="J21" authorId="0">
      <text>
        <r>
          <rPr>
            <sz val="9"/>
            <rFont val="宋体"/>
            <charset val="134"/>
          </rPr>
          <t xml:space="preserve">到付USD304.4转预付2222.
</t>
        </r>
      </text>
    </comment>
    <comment ref="J23" authorId="0">
      <text>
        <r>
          <rPr>
            <sz val="9"/>
            <rFont val="宋体"/>
            <charset val="134"/>
          </rPr>
          <t xml:space="preserve">合计9904.
</t>
        </r>
      </text>
    </comment>
    <comment ref="J24" authorId="0">
      <text>
        <r>
          <rPr>
            <sz val="9"/>
            <rFont val="宋体"/>
            <charset val="134"/>
          </rPr>
          <t xml:space="preserve">到付USD120.51转预付876.
</t>
        </r>
      </text>
    </comment>
    <comment ref="J31" authorId="0">
      <text>
        <r>
          <rPr>
            <sz val="9"/>
            <rFont val="宋体"/>
            <charset val="134"/>
          </rPr>
          <t xml:space="preserve">合计50166元
</t>
        </r>
      </text>
    </comment>
  </commentList>
</comments>
</file>

<file path=xl/comments2.xml><?xml version="1.0" encoding="utf-8"?>
<comments xmlns="http://schemas.openxmlformats.org/spreadsheetml/2006/main">
  <authors>
    <author>30993</author>
  </authors>
  <commentList>
    <comment ref="J13" authorId="0">
      <text>
        <r>
          <rPr>
            <sz val="9"/>
            <rFont val="宋体"/>
            <charset val="134"/>
          </rPr>
          <t xml:space="preserve">USD13117.04转预付合计95754.39
</t>
        </r>
      </text>
    </comment>
  </commentList>
</comments>
</file>

<file path=xl/comments3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到付USD51.3转预付369.36
</t>
        </r>
      </text>
    </comment>
    <comment ref="J6" authorId="0">
      <text>
        <r>
          <rPr>
            <sz val="9"/>
            <rFont val="宋体"/>
            <charset val="134"/>
          </rPr>
          <t xml:space="preserve">到付USD15.81转预付113.83
</t>
        </r>
      </text>
    </comment>
    <comment ref="J7" authorId="0">
      <text>
        <r>
          <rPr>
            <sz val="9"/>
            <rFont val="宋体"/>
            <charset val="134"/>
          </rPr>
          <t xml:space="preserve">到付USD3186转预付22939.2
</t>
        </r>
      </text>
    </comment>
    <comment ref="J8" authorId="0">
      <text>
        <r>
          <rPr>
            <sz val="9"/>
            <rFont val="宋体"/>
            <charset val="134"/>
          </rPr>
          <t xml:space="preserve">到付USD2772转预付19958.4
</t>
        </r>
      </text>
    </comment>
    <comment ref="J9" authorId="0">
      <text>
        <r>
          <rPr>
            <sz val="9"/>
            <rFont val="宋体"/>
            <charset val="134"/>
          </rPr>
          <t xml:space="preserve">到付USD25.84转预付186.05
</t>
        </r>
      </text>
    </comment>
    <comment ref="J10" authorId="0">
      <text>
        <r>
          <rPr>
            <sz val="9"/>
            <rFont val="宋体"/>
            <charset val="134"/>
          </rPr>
          <t xml:space="preserve">到付USD2404.7转预付17313.84
</t>
        </r>
      </text>
    </comment>
    <comment ref="J11" authorId="0">
      <text>
        <r>
          <rPr>
            <sz val="9"/>
            <rFont val="宋体"/>
            <charset val="134"/>
          </rPr>
          <t xml:space="preserve">到付USD560.79转预付4037.69
</t>
        </r>
      </text>
    </comment>
    <comment ref="J12" authorId="0">
      <text>
        <r>
          <rPr>
            <sz val="9"/>
            <rFont val="宋体"/>
            <charset val="134"/>
          </rPr>
          <t xml:space="preserve">到付USD775.66转预付5584.75
</t>
        </r>
      </text>
    </comment>
    <comment ref="J13" authorId="0">
      <text>
        <r>
          <rPr>
            <sz val="9"/>
            <rFont val="宋体"/>
            <charset val="134"/>
          </rPr>
          <t xml:space="preserve">到付USD185.92转预付1338.62.
</t>
        </r>
      </text>
    </comment>
    <comment ref="J14" authorId="0">
      <text>
        <r>
          <rPr>
            <sz val="9"/>
            <rFont val="宋体"/>
            <charset val="134"/>
          </rPr>
          <t xml:space="preserve">到付USD16.79转预付120.89
</t>
        </r>
      </text>
    </comment>
  </commentList>
</comments>
</file>

<file path=xl/sharedStrings.xml><?xml version="1.0" encoding="utf-8"?>
<sst xmlns="http://schemas.openxmlformats.org/spreadsheetml/2006/main" count="1009" uniqueCount="180">
  <si>
    <t>LOS毛利表</t>
  </si>
  <si>
    <t>JOB</t>
  </si>
  <si>
    <t>集装编号 </t>
  </si>
  <si>
    <t>运单编号 </t>
  </si>
  <si>
    <t>日期</t>
  </si>
  <si>
    <t>业务</t>
  </si>
  <si>
    <t>发货人 </t>
  </si>
  <si>
    <t>收货人 </t>
  </si>
  <si>
    <t>计费体积</t>
  </si>
  <si>
    <t>计费重量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</si>
  <si>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</si>
  <si>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</si>
  <si>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</si>
  <si>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</si>
  <si>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</si>
  <si>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</si>
  <si>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</si>
  <si>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</si>
  <si>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</si>
  <si>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LOS
Income(NGN)收到(奈拉)</t>
  </si>
  <si>
    <t>LOS
收到USD</t>
  </si>
  <si>
    <t>美元汇率
dollar currency rate</t>
  </si>
  <si>
    <t>应收
到付款USD</t>
  </si>
  <si>
    <t>汇率</t>
  </si>
  <si>
    <t>人民币</t>
  </si>
  <si>
    <t>代理商</t>
  </si>
  <si>
    <t>运费+出口报关费</t>
  </si>
  <si>
    <t>提货费</t>
  </si>
  <si>
    <t>装卸费</t>
  </si>
  <si>
    <t>包装费</t>
  </si>
  <si>
    <t>进口报关费</t>
  </si>
  <si>
    <t>到门配送费</t>
  </si>
  <si>
    <t>转运费</t>
  </si>
  <si>
    <t>目的港支出</t>
  </si>
  <si>
    <r>
      <rPr>
        <b/>
        <sz val="10"/>
        <color theme="1"/>
        <rFont val="Microsoft JhengHei"/>
        <charset val="134"/>
      </rPr>
      <t>汇</t>
    </r>
    <r>
      <rPr>
        <b/>
        <sz val="10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</si>
  <si>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</si>
  <si>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黄颖</t>
  </si>
  <si>
    <t>ying</t>
  </si>
  <si>
    <t>Nura</t>
  </si>
  <si>
    <t>makus</t>
  </si>
  <si>
    <t>wangweijun</t>
  </si>
  <si>
    <t>baikaibo</t>
  </si>
  <si>
    <t>linxiao</t>
  </si>
  <si>
    <t>liangdawei</t>
  </si>
  <si>
    <t>Jacky</t>
  </si>
  <si>
    <t>JOB120387</t>
  </si>
  <si>
    <t>COLL004326</t>
  </si>
  <si>
    <t>登凯=45460.5
报关=2800
拖车费=1670
杂费=86
过磅费=64</t>
  </si>
  <si>
    <t>yuhuichao</t>
  </si>
  <si>
    <t>Frank</t>
  </si>
  <si>
    <t>Mr Rell</t>
  </si>
  <si>
    <t>MISS Huang</t>
  </si>
  <si>
    <t>sven</t>
  </si>
  <si>
    <t>ss</t>
  </si>
  <si>
    <t>fanglijuan</t>
  </si>
  <si>
    <t>wuchengxing</t>
  </si>
  <si>
    <t>JOB120390</t>
  </si>
  <si>
    <t>COLL004328</t>
  </si>
  <si>
    <t>登凯=45460.5
陆总=1500  
拖车费=1670
杂费=86
过磅费=61</t>
  </si>
  <si>
    <t>JOB0202178</t>
  </si>
  <si>
    <t>COLL004395</t>
  </si>
  <si>
    <t>赛捷</t>
  </si>
  <si>
    <t>合     计</t>
  </si>
  <si>
    <t>基本任务：小于6千</t>
  </si>
  <si>
    <t>不够基本任务6千，
公司将根据空运提成里抽出补足基数</t>
  </si>
  <si>
    <t>黄颖 提成</t>
  </si>
  <si>
    <t>名称</t>
  </si>
  <si>
    <t>毛利</t>
  </si>
  <si>
    <t>基本任务：6千-3.5万</t>
  </si>
  <si>
    <t>按40%提成</t>
  </si>
  <si>
    <t>LOS</t>
  </si>
  <si>
    <t>基数</t>
  </si>
  <si>
    <t>基本任务：3.5万以上</t>
  </si>
  <si>
    <t>按50%提成</t>
  </si>
  <si>
    <t>提成计数</t>
  </si>
  <si>
    <t>提成点数</t>
  </si>
  <si>
    <t>提成金额</t>
  </si>
  <si>
    <t>Bella</t>
  </si>
  <si>
    <t>Bella Chan</t>
  </si>
  <si>
    <t>zhong zi xin</t>
  </si>
  <si>
    <t>FENG</t>
  </si>
  <si>
    <t>JOB120399</t>
  </si>
  <si>
    <t>COLL004330</t>
  </si>
  <si>
    <t>Alice</t>
  </si>
  <si>
    <t>登凯=45639
创泽=3175  
拖车费=1670
杂费=61
过磅费=70</t>
  </si>
  <si>
    <t>new hope 边鹏飞</t>
  </si>
  <si>
    <t>三凤 提成</t>
  </si>
  <si>
    <t>备注</t>
  </si>
  <si>
    <t>总利润减zhong zi xin
利润的
一半27023.92</t>
  </si>
  <si>
    <t>朱小飞</t>
  </si>
  <si>
    <t>Isabel Zhu</t>
  </si>
  <si>
    <t>Halifa Success</t>
  </si>
  <si>
    <t>Ife Oyelami</t>
  </si>
  <si>
    <t>Maryam Tukur</t>
  </si>
  <si>
    <t>Sadiq</t>
  </si>
  <si>
    <t>Joy</t>
  </si>
  <si>
    <t>合计</t>
  </si>
  <si>
    <t>朱小飞 提成</t>
  </si>
  <si>
    <t>总利润减Halifa
利润的
一半332.49</t>
  </si>
  <si>
    <t>吕沛霖</t>
  </si>
  <si>
    <t>Paul</t>
  </si>
  <si>
    <t>JOB120375</t>
  </si>
  <si>
    <t>COLL004323</t>
  </si>
  <si>
    <t>喵喵速运-Layne</t>
  </si>
  <si>
    <t>KE ZONG</t>
  </si>
  <si>
    <t>登凯=46552.5
创泽=1215
拖车费=1670
杂费=61
过磅费=70</t>
  </si>
  <si>
    <t>Candice Ding</t>
  </si>
  <si>
    <t>JOB120376</t>
  </si>
  <si>
    <t>COLL004324</t>
  </si>
  <si>
    <t>WENDY</t>
  </si>
  <si>
    <t>登凯=46552.5
报关=500 
拖车费=1670
杂费=61
过磅费=68</t>
  </si>
  <si>
    <t>Mr. Wen Pu</t>
  </si>
  <si>
    <t>LEO WEI</t>
  </si>
  <si>
    <t>BI AN</t>
  </si>
  <si>
    <t>MA ZONG</t>
  </si>
  <si>
    <t>JOB120404</t>
  </si>
  <si>
    <t>COLL004342</t>
  </si>
  <si>
    <t>吕沛霖 提成</t>
  </si>
  <si>
    <t>罗珮文</t>
  </si>
  <si>
    <t>Shirley</t>
  </si>
  <si>
    <t>Yusky</t>
  </si>
  <si>
    <t>Abubakar Badaru Abubakar</t>
  </si>
  <si>
    <t>SKY JET</t>
  </si>
  <si>
    <t>罗珮文 提成</t>
  </si>
  <si>
    <t>苏慧琪</t>
  </si>
  <si>
    <t>KAY</t>
  </si>
  <si>
    <t>WENXIAOBING</t>
  </si>
  <si>
    <t>苏慧琪 提成</t>
  </si>
  <si>
    <t>陆总</t>
  </si>
  <si>
    <t>陆梓龙</t>
  </si>
  <si>
    <t>xiantian</t>
  </si>
  <si>
    <t>xinlong</t>
  </si>
  <si>
    <t>luk</t>
  </si>
  <si>
    <t>WANG</t>
  </si>
  <si>
    <t>陆总 提成</t>
  </si>
  <si>
    <t>Sam.Pao</t>
  </si>
  <si>
    <t>Mr. Jiang</t>
  </si>
  <si>
    <t>Nick Wang</t>
  </si>
  <si>
    <t>ShanShan</t>
  </si>
  <si>
    <t>JOB120381</t>
  </si>
  <si>
    <t>COLL004325</t>
  </si>
  <si>
    <t>登凯=46552.5
报关=300
拖车费=1670
杂费=166
过磅费=71</t>
  </si>
  <si>
    <t>ChenGaoHong</t>
  </si>
  <si>
    <t>AiGeLi</t>
  </si>
  <si>
    <t>MaiKaiNian</t>
  </si>
  <si>
    <t>Sampao</t>
  </si>
  <si>
    <t>登凯=45401
报关=2960
拖车费=1670
杂费=89
过磅费=70</t>
  </si>
  <si>
    <t>浦生 提成</t>
  </si>
  <si>
    <t>任务</t>
  </si>
  <si>
    <t>提成计数40%</t>
  </si>
  <si>
    <t>实提成计数</t>
  </si>
  <si>
    <t>提成点数50%</t>
  </si>
  <si>
    <t>合计提成金额</t>
  </si>
  <si>
    <t>JOB120360</t>
  </si>
  <si>
    <t>COLL004315</t>
  </si>
  <si>
    <t>无人</t>
  </si>
  <si>
    <t>dejare James</t>
  </si>
  <si>
    <t>James</t>
  </si>
  <si>
    <t>登凯=43870.25
创泽=1270
拖车费=1670
杂费=84
过磅费=69</t>
  </si>
  <si>
    <t>Adam e</t>
  </si>
  <si>
    <t>Mailmail Abv sales person 1</t>
  </si>
  <si>
    <t>Obetta U</t>
  </si>
  <si>
    <t>无人 提成</t>
  </si>
  <si>
    <r>
      <rPr>
        <b/>
        <sz val="18"/>
        <color theme="1"/>
        <rFont val="Tahoma"/>
        <charset val="134"/>
      </rPr>
      <t>24</t>
    </r>
    <r>
      <rPr>
        <b/>
        <sz val="18"/>
        <color theme="1"/>
        <rFont val="宋体"/>
        <charset val="134"/>
      </rPr>
      <t>年</t>
    </r>
    <r>
      <rPr>
        <b/>
        <sz val="18"/>
        <color theme="1"/>
        <rFont val="Tahoma"/>
        <charset val="134"/>
      </rPr>
      <t>12</t>
    </r>
    <r>
      <rPr>
        <b/>
        <sz val="18"/>
        <color theme="1"/>
        <rFont val="宋体"/>
        <charset val="134"/>
      </rPr>
      <t>月份业务员提成总表</t>
    </r>
    <r>
      <rPr>
        <b/>
        <sz val="18"/>
        <color theme="1"/>
        <rFont val="Tahoma"/>
        <charset val="134"/>
      </rPr>
      <t>-</t>
    </r>
    <r>
      <rPr>
        <b/>
        <sz val="18"/>
        <color theme="1"/>
        <rFont val="宋体"/>
        <charset val="134"/>
      </rPr>
      <t>68³</t>
    </r>
  </si>
  <si>
    <t xml:space="preserve">           名称
姓名</t>
  </si>
  <si>
    <t>LOS毛利</t>
  </si>
  <si>
    <t>计费体积
立方</t>
  </si>
  <si>
    <r>
      <rPr>
        <sz val="18"/>
        <color theme="1"/>
        <rFont val="Tahoma"/>
        <charset val="134"/>
      </rPr>
      <t>6</t>
    </r>
    <r>
      <rPr>
        <sz val="18"/>
        <color theme="1"/>
        <rFont val="宋体"/>
        <charset val="134"/>
      </rPr>
      <t>千</t>
    </r>
    <r>
      <rPr>
        <sz val="18"/>
        <color theme="1"/>
        <rFont val="Tahoma"/>
        <charset val="134"/>
      </rPr>
      <t>-3.5</t>
    </r>
    <r>
      <rPr>
        <sz val="18"/>
        <color theme="1"/>
        <rFont val="宋体"/>
        <charset val="134"/>
      </rPr>
      <t>万</t>
    </r>
  </si>
  <si>
    <r>
      <rPr>
        <sz val="18"/>
        <color theme="1"/>
        <rFont val="Tahoma"/>
        <charset val="134"/>
      </rPr>
      <t>3.5</t>
    </r>
    <r>
      <rPr>
        <sz val="18"/>
        <color theme="1"/>
        <rFont val="宋体"/>
        <charset val="134"/>
      </rPr>
      <t>万以上</t>
    </r>
  </si>
  <si>
    <t>合计
提成金额</t>
  </si>
  <si>
    <t>提成点
数40%</t>
  </si>
  <si>
    <t>提成点
数50%</t>
  </si>
  <si>
    <t>黄  颖</t>
  </si>
  <si>
    <t>陈三凤</t>
  </si>
  <si>
    <t>zhong zi xin利润的一半27023.92</t>
  </si>
  <si>
    <r>
      <rPr>
        <sz val="10"/>
        <color theme="1"/>
        <rFont val="微软雅黑"/>
        <charset val="134"/>
      </rPr>
      <t xml:space="preserve">Halifa利润的一半332.49
</t>
    </r>
    <r>
      <rPr>
        <sz val="10"/>
        <color rgb="FFFF0000"/>
        <rFont val="微软雅黑"/>
        <charset val="134"/>
      </rPr>
      <t>不够基数，下个月基本数为7967.02</t>
    </r>
  </si>
  <si>
    <t>领款人：</t>
  </si>
  <si>
    <t>浦海森</t>
  </si>
  <si>
    <t>日期：</t>
  </si>
  <si>
    <t>确认人：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</si>
</sst>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177" formatCode="0.00_ &quot;³&quot;"/>
    <numFmt numFmtId="178" formatCode="&quot;JOB&quot;000000"/>
    <numFmt numFmtId="179" formatCode="000000"/>
    <numFmt numFmtId="180" formatCode="m&quot;月&quot;d&quot;日&quot;;@"/>
    <numFmt numFmtId="181" formatCode="0_ "/>
    <numFmt numFmtId="182" formatCode="0.00_ "/>
    <numFmt numFmtId="183" formatCode="&quot;US$&quot;#,##0.00;\-&quot;US$&quot;#,##0.00"/>
    <numFmt numFmtId="184" formatCode="_ * #,##0.00_ ;_ * \-#,##0.00_ ;_ * &quot;-&quot;_ ;_ @_ "/>
  </numFmts>
  <fonts count="53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1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8"/>
      <color theme="1"/>
      <name val="Tahoma"/>
      <charset val="134"/>
    </font>
    <font>
      <sz val="18"/>
      <color theme="1"/>
      <name val="Tahoma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12"/>
      <name val="微软雅黑"/>
      <charset val="134"/>
    </font>
    <font>
      <b/>
      <sz val="12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0"/>
      <color rgb="FFFF0000"/>
      <name val="微软雅黑"/>
      <charset val="134"/>
    </font>
    <font>
      <sz val="12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10"/>
      <name val="Microsoft JhengHei"/>
      <charset val="134"/>
    </font>
    <font>
      <sz val="9"/>
      <name val="宋体"/>
      <charset val="134"/>
    </font>
    <font>
      <sz val="9"/>
      <name val="Microsoft JhengHei"/>
      <charset val="134"/>
    </font>
    <font>
      <sz val="9"/>
      <color theme="1"/>
      <name val="Microsoft JhengHei"/>
      <charset val="134"/>
    </font>
    <font>
      <b/>
      <sz val="10"/>
      <name val="宋体"/>
      <charset val="134"/>
      <scheme val="minor"/>
    </font>
    <font>
      <b/>
      <sz val="9"/>
      <color rgb="FFFF0000"/>
      <name val="Microsoft JhengHei"/>
      <charset val="134"/>
    </font>
    <font>
      <b/>
      <sz val="9"/>
      <color theme="1"/>
      <name val="宋体"/>
      <charset val="134"/>
    </font>
    <font>
      <b/>
      <sz val="10"/>
      <name val="宋体"/>
      <charset val="134"/>
    </font>
    <font>
      <sz val="9"/>
      <color rgb="FFFF0000"/>
      <name val="宋体"/>
      <charset val="134"/>
      <scheme val="minor"/>
    </font>
    <font>
      <sz val="9"/>
      <color rgb="FFFF0000"/>
      <name val="Microsoft JhengHei"/>
      <charset val="134"/>
    </font>
    <font>
      <b/>
      <sz val="10"/>
      <color theme="1"/>
      <name val="Microsoft JhengHei"/>
      <charset val="134"/>
    </font>
    <font>
      <b/>
      <sz val="9"/>
      <name val="宋体"/>
      <charset val="134"/>
    </font>
    <font>
      <b/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1"/>
      <name val="宋体"/>
      <charset val="134"/>
    </font>
    <font>
      <sz val="18"/>
      <color theme="1"/>
      <name val="宋体"/>
      <charset val="134"/>
    </font>
    <font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12" borderId="16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3" borderId="19" applyNumberFormat="0" applyAlignment="0" applyProtection="0">
      <alignment vertical="center"/>
    </xf>
    <xf numFmtId="0" fontId="40" fillId="14" borderId="20" applyNumberFormat="0" applyAlignment="0" applyProtection="0">
      <alignment vertical="center"/>
    </xf>
    <xf numFmtId="0" fontId="41" fillId="14" borderId="19" applyNumberFormat="0" applyAlignment="0" applyProtection="0">
      <alignment vertical="center"/>
    </xf>
    <xf numFmtId="0" fontId="42" fillId="15" borderId="21" applyNumberFormat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</cellStyleXfs>
  <cellXfs count="24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176" fontId="5" fillId="0" borderId="0" xfId="0" applyNumberFormat="1" applyFont="1" applyFill="1">
      <alignment vertical="center"/>
    </xf>
    <xf numFmtId="0" fontId="5" fillId="0" borderId="0" xfId="0" applyNumberFormat="1" applyFont="1" applyFill="1" applyAlignment="1">
      <alignment horizontal="center" vertical="center"/>
    </xf>
    <xf numFmtId="176" fontId="0" fillId="0" borderId="0" xfId="0" applyNumberFormat="1" applyFill="1">
      <alignment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8" fillId="2" borderId="2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9" fillId="3" borderId="2" xfId="0" applyNumberFormat="1" applyFont="1" applyFill="1" applyBorder="1" applyAlignment="1">
      <alignment horizontal="center" vertical="center" wrapText="1"/>
    </xf>
    <xf numFmtId="176" fontId="10" fillId="3" borderId="2" xfId="0" applyNumberFormat="1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177" fontId="2" fillId="2" borderId="2" xfId="0" applyNumberFormat="1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vertical="center"/>
    </xf>
    <xf numFmtId="176" fontId="2" fillId="3" borderId="2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0" fontId="0" fillId="0" borderId="0" xfId="0" applyNumberFormat="1" applyFill="1">
      <alignment vertical="center"/>
    </xf>
    <xf numFmtId="0" fontId="10" fillId="2" borderId="2" xfId="0" applyFont="1" applyFill="1" applyBorder="1" applyAlignment="1">
      <alignment horizontal="center" vertical="center"/>
    </xf>
    <xf numFmtId="176" fontId="3" fillId="2" borderId="2" xfId="0" applyNumberFormat="1" applyFont="1" applyFill="1" applyBorder="1" applyAlignment="1">
      <alignment horizontal="center" vertical="center"/>
    </xf>
    <xf numFmtId="177" fontId="3" fillId="2" borderId="2" xfId="0" applyNumberFormat="1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/>
    </xf>
    <xf numFmtId="0" fontId="0" fillId="0" borderId="0" xfId="0" applyNumberFormat="1" applyFill="1" applyAlignment="1">
      <alignment vertical="center"/>
    </xf>
    <xf numFmtId="0" fontId="4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0" fillId="0" borderId="0" xfId="0" applyNumberFormat="1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2" xfId="0" applyNumberFormat="1" applyFont="1" applyFill="1" applyBorder="1" applyAlignment="1">
      <alignment horizontal="center" vertical="center"/>
    </xf>
    <xf numFmtId="176" fontId="10" fillId="5" borderId="2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9" fillId="4" borderId="2" xfId="0" applyNumberFormat="1" applyFont="1" applyFill="1" applyBorder="1" applyAlignment="1">
      <alignment horizontal="center" vertical="center" wrapText="1"/>
    </xf>
    <xf numFmtId="176" fontId="10" fillId="4" borderId="2" xfId="0" applyNumberFormat="1" applyFont="1" applyFill="1" applyBorder="1" applyAlignment="1">
      <alignment horizontal="center" vertical="center"/>
    </xf>
    <xf numFmtId="176" fontId="10" fillId="5" borderId="2" xfId="0" applyNumberFormat="1" applyFont="1" applyFill="1" applyBorder="1" applyAlignment="1">
      <alignment horizontal="center" vertical="center"/>
    </xf>
    <xf numFmtId="176" fontId="2" fillId="4" borderId="2" xfId="0" applyNumberFormat="1" applyFont="1" applyFill="1" applyBorder="1" applyAlignment="1">
      <alignment horizontal="center" vertical="center"/>
    </xf>
    <xf numFmtId="0" fontId="3" fillId="4" borderId="2" xfId="0" applyNumberFormat="1" applyFont="1" applyFill="1" applyBorder="1" applyAlignment="1">
      <alignment horizontal="center" vertical="center"/>
    </xf>
    <xf numFmtId="176" fontId="3" fillId="4" borderId="2" xfId="0" applyNumberFormat="1" applyFont="1" applyFill="1" applyBorder="1" applyAlignment="1">
      <alignment horizontal="center" vertical="center"/>
    </xf>
    <xf numFmtId="176" fontId="12" fillId="5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0" fontId="1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4" borderId="2" xfId="0" applyNumberFormat="1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1" fillId="4" borderId="2" xfId="0" applyNumberFormat="1" applyFont="1" applyFill="1" applyBorder="1" applyAlignment="1">
      <alignment horizontal="center" vertical="center"/>
    </xf>
    <xf numFmtId="176" fontId="1" fillId="5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5" fillId="0" borderId="0" xfId="0" applyNumberFormat="1" applyFont="1" applyFill="1" applyAlignment="1">
      <alignment vertical="center"/>
    </xf>
    <xf numFmtId="176" fontId="0" fillId="0" borderId="0" xfId="0" applyNumberFormat="1" applyFill="1" applyAlignment="1">
      <alignment vertical="center"/>
    </xf>
    <xf numFmtId="176" fontId="4" fillId="0" borderId="0" xfId="0" applyNumberFormat="1" applyFont="1" applyFill="1" applyAlignment="1">
      <alignment vertical="center"/>
    </xf>
    <xf numFmtId="0" fontId="8" fillId="2" borderId="3" xfId="0" applyNumberFormat="1" applyFont="1" applyFill="1" applyBorder="1" applyAlignment="1">
      <alignment horizontal="center" vertical="center" wrapText="1"/>
    </xf>
    <xf numFmtId="0" fontId="8" fillId="2" borderId="4" xfId="0" applyNumberFormat="1" applyFont="1" applyFill="1" applyBorder="1" applyAlignment="1">
      <alignment horizontal="center" vertical="center"/>
    </xf>
    <xf numFmtId="176" fontId="2" fillId="3" borderId="0" xfId="0" applyNumberFormat="1" applyFont="1" applyFill="1" applyAlignment="1">
      <alignment vertical="center"/>
    </xf>
    <xf numFmtId="0" fontId="11" fillId="0" borderId="0" xfId="0" applyNumberFormat="1" applyFont="1" applyFill="1" applyAlignment="1">
      <alignment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6" xfId="0" applyNumberFormat="1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4" borderId="2" xfId="0" applyNumberFormat="1" applyFont="1" applyFill="1" applyBorder="1" applyAlignment="1">
      <alignment vertical="center"/>
    </xf>
    <xf numFmtId="176" fontId="11" fillId="0" borderId="0" xfId="0" applyNumberFormat="1" applyFont="1" applyFill="1" applyAlignment="1">
      <alignment vertical="center"/>
    </xf>
    <xf numFmtId="0" fontId="0" fillId="3" borderId="2" xfId="0" applyFont="1" applyFill="1" applyBorder="1" applyAlignment="1">
      <alignment horizontal="left" vertical="center" wrapText="1"/>
    </xf>
    <xf numFmtId="0" fontId="14" fillId="3" borderId="8" xfId="0" applyFont="1" applyFill="1" applyBorder="1" applyAlignment="1">
      <alignment horizontal="left" vertical="center"/>
    </xf>
    <xf numFmtId="0" fontId="14" fillId="3" borderId="9" xfId="0" applyFont="1" applyFill="1" applyBorder="1" applyAlignment="1">
      <alignment horizontal="left" vertical="center"/>
    </xf>
    <xf numFmtId="0" fontId="14" fillId="3" borderId="10" xfId="0" applyFont="1" applyFill="1" applyBorder="1" applyAlignment="1">
      <alignment horizontal="left" vertical="center"/>
    </xf>
    <xf numFmtId="0" fontId="14" fillId="3" borderId="11" xfId="0" applyFont="1" applyFill="1" applyBorder="1" applyAlignment="1">
      <alignment horizontal="left" vertical="center"/>
    </xf>
    <xf numFmtId="0" fontId="14" fillId="3" borderId="12" xfId="0" applyFont="1" applyFill="1" applyBorder="1" applyAlignment="1">
      <alignment horizontal="left" vertical="center"/>
    </xf>
    <xf numFmtId="0" fontId="14" fillId="3" borderId="13" xfId="0" applyFont="1" applyFill="1" applyBorder="1" applyAlignment="1">
      <alignment horizontal="left" vertical="center"/>
    </xf>
    <xf numFmtId="0" fontId="0" fillId="0" borderId="2" xfId="0" applyFill="1" applyBorder="1" applyAlignment="1">
      <alignment horizontal="center" vertical="center"/>
    </xf>
    <xf numFmtId="0" fontId="15" fillId="0" borderId="0" xfId="0" applyFont="1">
      <alignment vertical="center"/>
    </xf>
    <xf numFmtId="0" fontId="16" fillId="0" borderId="0" xfId="0" applyFont="1" applyFill="1" applyBorder="1" applyAlignment="1">
      <alignment vertical="center"/>
    </xf>
    <xf numFmtId="0" fontId="16" fillId="0" borderId="0" xfId="0" applyFont="1" applyFill="1" applyBorder="1">
      <alignment vertical="center"/>
    </xf>
    <xf numFmtId="0" fontId="11" fillId="0" borderId="0" xfId="0" applyFont="1">
      <alignment vertical="center"/>
    </xf>
    <xf numFmtId="178" fontId="17" fillId="0" borderId="3" xfId="0" applyNumberFormat="1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179" fontId="18" fillId="6" borderId="2" xfId="1" applyNumberFormat="1" applyFont="1" applyFill="1" applyBorder="1" applyAlignment="1">
      <alignment horizontal="center" vertical="center"/>
    </xf>
    <xf numFmtId="180" fontId="19" fillId="6" borderId="2" xfId="1" applyNumberFormat="1" applyFont="1" applyFill="1" applyBorder="1" applyAlignment="1">
      <alignment horizontal="center" vertical="center"/>
    </xf>
    <xf numFmtId="180" fontId="19" fillId="6" borderId="3" xfId="1" applyNumberFormat="1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178" fontId="17" fillId="0" borderId="14" xfId="0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180" fontId="19" fillId="6" borderId="14" xfId="1" applyNumberFormat="1" applyFont="1" applyFill="1" applyBorder="1" applyAlignment="1">
      <alignment horizontal="center" vertical="center"/>
    </xf>
    <xf numFmtId="0" fontId="17" fillId="6" borderId="14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vertical="center"/>
    </xf>
    <xf numFmtId="181" fontId="21" fillId="0" borderId="2" xfId="0" applyNumberFormat="1" applyFont="1" applyFill="1" applyBorder="1" applyAlignment="1">
      <alignment vertical="center"/>
    </xf>
    <xf numFmtId="58" fontId="21" fillId="0" borderId="2" xfId="0" applyNumberFormat="1" applyFont="1" applyFill="1" applyBorder="1" applyAlignment="1">
      <alignment vertical="center"/>
    </xf>
    <xf numFmtId="0" fontId="0" fillId="0" borderId="2" xfId="0" applyFill="1" applyBorder="1" applyAlignment="1">
      <alignment vertical="center"/>
    </xf>
    <xf numFmtId="178" fontId="16" fillId="0" borderId="0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180" fontId="16" fillId="0" borderId="0" xfId="0" applyNumberFormat="1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left" vertical="center" wrapText="1"/>
    </xf>
    <xf numFmtId="0" fontId="0" fillId="3" borderId="9" xfId="0" applyFont="1" applyFill="1" applyBorder="1" applyAlignment="1">
      <alignment horizontal="left" vertical="center" wrapText="1"/>
    </xf>
    <xf numFmtId="0" fontId="0" fillId="3" borderId="11" xfId="0" applyFont="1" applyFill="1" applyBorder="1" applyAlignment="1">
      <alignment horizontal="left" vertical="center" wrapText="1"/>
    </xf>
    <xf numFmtId="0" fontId="0" fillId="3" borderId="12" xfId="0" applyFont="1" applyFill="1" applyBorder="1" applyAlignment="1">
      <alignment horizontal="left" vertical="center" wrapText="1"/>
    </xf>
    <xf numFmtId="176" fontId="15" fillId="5" borderId="5" xfId="0" applyNumberFormat="1" applyFont="1" applyFill="1" applyBorder="1" applyAlignment="1">
      <alignment horizontal="center" vertical="center"/>
    </xf>
    <xf numFmtId="182" fontId="15" fillId="5" borderId="6" xfId="0" applyNumberFormat="1" applyFont="1" applyFill="1" applyBorder="1" applyAlignment="1">
      <alignment horizontal="center" vertical="center"/>
    </xf>
    <xf numFmtId="183" fontId="15" fillId="5" borderId="6" xfId="0" applyNumberFormat="1" applyFont="1" applyFill="1" applyBorder="1" applyAlignment="1">
      <alignment horizontal="center" vertical="center"/>
    </xf>
    <xf numFmtId="0" fontId="15" fillId="5" borderId="6" xfId="0" applyNumberFormat="1" applyFont="1" applyFill="1" applyBorder="1" applyAlignment="1">
      <alignment horizontal="center" vertical="center"/>
    </xf>
    <xf numFmtId="176" fontId="22" fillId="0" borderId="7" xfId="0" applyNumberFormat="1" applyFont="1" applyFill="1" applyBorder="1" applyAlignment="1">
      <alignment horizontal="right" vertical="center"/>
    </xf>
    <xf numFmtId="176" fontId="17" fillId="5" borderId="2" xfId="0" applyNumberFormat="1" applyFont="1" applyFill="1" applyBorder="1" applyAlignment="1">
      <alignment horizontal="right" vertical="center"/>
    </xf>
    <xf numFmtId="182" fontId="23" fillId="5" borderId="2" xfId="0" applyNumberFormat="1" applyFont="1" applyFill="1" applyBorder="1" applyAlignment="1">
      <alignment horizontal="center" vertical="center" wrapText="1"/>
    </xf>
    <xf numFmtId="183" fontId="23" fillId="5" borderId="2" xfId="0" applyNumberFormat="1" applyFont="1" applyFill="1" applyBorder="1" applyAlignment="1">
      <alignment horizontal="center" vertical="center" wrapText="1"/>
    </xf>
    <xf numFmtId="183" fontId="17" fillId="5" borderId="2" xfId="0" applyNumberFormat="1" applyFont="1" applyFill="1" applyBorder="1" applyAlignment="1">
      <alignment horizontal="center" vertical="center" wrapText="1"/>
    </xf>
    <xf numFmtId="0" fontId="24" fillId="5" borderId="2" xfId="0" applyNumberFormat="1" applyFont="1" applyFill="1" applyBorder="1" applyAlignment="1">
      <alignment horizontal="center" vertical="center"/>
    </xf>
    <xf numFmtId="176" fontId="25" fillId="0" borderId="2" xfId="0" applyNumberFormat="1" applyFont="1" applyFill="1" applyBorder="1" applyAlignment="1">
      <alignment horizontal="right" vertical="center"/>
    </xf>
    <xf numFmtId="176" fontId="20" fillId="0" borderId="2" xfId="0" applyNumberFormat="1" applyFont="1" applyFill="1" applyBorder="1" applyAlignment="1">
      <alignment vertical="center"/>
    </xf>
    <xf numFmtId="182" fontId="26" fillId="0" borderId="2" xfId="0" applyNumberFormat="1" applyFont="1" applyFill="1" applyBorder="1" applyAlignment="1">
      <alignment vertical="center"/>
    </xf>
    <xf numFmtId="183" fontId="20" fillId="0" borderId="2" xfId="0" applyNumberFormat="1" applyFont="1" applyFill="1" applyBorder="1" applyAlignment="1">
      <alignment vertical="center"/>
    </xf>
    <xf numFmtId="182" fontId="27" fillId="0" borderId="2" xfId="0" applyNumberFormat="1" applyFont="1" applyFill="1" applyBorder="1" applyAlignment="1">
      <alignment horizontal="center" vertical="center"/>
    </xf>
    <xf numFmtId="183" fontId="27" fillId="0" borderId="2" xfId="0" applyNumberFormat="1" applyFont="1" applyFill="1" applyBorder="1" applyAlignment="1">
      <alignment vertical="center"/>
    </xf>
    <xf numFmtId="182" fontId="27" fillId="0" borderId="2" xfId="0" applyNumberFormat="1" applyFont="1" applyFill="1" applyBorder="1" applyAlignment="1">
      <alignment vertical="center"/>
    </xf>
    <xf numFmtId="0" fontId="20" fillId="0" borderId="5" xfId="0" applyFont="1" applyFill="1" applyBorder="1" applyAlignment="1">
      <alignment vertical="center"/>
    </xf>
    <xf numFmtId="0" fontId="0" fillId="3" borderId="10" xfId="0" applyFont="1" applyFill="1" applyBorder="1" applyAlignment="1">
      <alignment horizontal="left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3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/>
    </xf>
    <xf numFmtId="177" fontId="0" fillId="3" borderId="2" xfId="0" applyNumberFormat="1" applyFill="1" applyBorder="1" applyAlignment="1">
      <alignment horizontal="center" vertical="center"/>
    </xf>
    <xf numFmtId="176" fontId="0" fillId="3" borderId="2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76" fontId="0" fillId="7" borderId="2" xfId="0" applyNumberForma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176" fontId="0" fillId="8" borderId="2" xfId="0" applyNumberFormat="1" applyFill="1" applyBorder="1" applyAlignment="1">
      <alignment horizontal="center" vertical="center"/>
    </xf>
    <xf numFmtId="176" fontId="15" fillId="3" borderId="3" xfId="0" applyNumberFormat="1" applyFont="1" applyFill="1" applyBorder="1" applyAlignment="1">
      <alignment horizontal="center" vertical="center"/>
    </xf>
    <xf numFmtId="0" fontId="17" fillId="9" borderId="5" xfId="0" applyFont="1" applyFill="1" applyBorder="1" applyAlignment="1">
      <alignment horizontal="center" vertical="center"/>
    </xf>
    <xf numFmtId="176" fontId="17" fillId="9" borderId="6" xfId="0" applyNumberFormat="1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176" fontId="17" fillId="0" borderId="6" xfId="0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176" fontId="24" fillId="0" borderId="8" xfId="0" applyNumberFormat="1" applyFont="1" applyFill="1" applyBorder="1" applyAlignment="1">
      <alignment horizontal="center" vertical="center" wrapText="1"/>
    </xf>
    <xf numFmtId="7" fontId="28" fillId="5" borderId="3" xfId="0" applyNumberFormat="1" applyFont="1" applyFill="1" applyBorder="1" applyAlignment="1">
      <alignment horizontal="center" vertical="center" wrapText="1"/>
    </xf>
    <xf numFmtId="176" fontId="15" fillId="3" borderId="14" xfId="0" applyNumberFormat="1" applyFont="1" applyFill="1" applyBorder="1" applyAlignment="1">
      <alignment horizontal="center" vertical="center"/>
    </xf>
    <xf numFmtId="184" fontId="29" fillId="9" borderId="2" xfId="4" applyNumberFormat="1" applyFont="1" applyFill="1" applyBorder="1" applyAlignment="1">
      <alignment horizontal="center" vertical="center"/>
    </xf>
    <xf numFmtId="176" fontId="25" fillId="9" borderId="2" xfId="4" applyNumberFormat="1" applyFont="1" applyFill="1" applyBorder="1" applyAlignment="1">
      <alignment horizontal="center" vertical="center"/>
    </xf>
    <xf numFmtId="184" fontId="25" fillId="0" borderId="2" xfId="4" applyNumberFormat="1" applyFont="1" applyFill="1" applyBorder="1" applyAlignment="1">
      <alignment horizontal="center" vertical="center"/>
    </xf>
    <xf numFmtId="176" fontId="25" fillId="0" borderId="2" xfId="4" applyNumberFormat="1" applyFont="1" applyFill="1" applyBorder="1" applyAlignment="1">
      <alignment horizontal="center" vertical="center"/>
    </xf>
    <xf numFmtId="176" fontId="24" fillId="0" borderId="15" xfId="0" applyNumberFormat="1" applyFont="1" applyFill="1" applyBorder="1" applyAlignment="1">
      <alignment horizontal="center" vertical="center" wrapText="1"/>
    </xf>
    <xf numFmtId="7" fontId="28" fillId="5" borderId="14" xfId="0" applyNumberFormat="1" applyFont="1" applyFill="1" applyBorder="1" applyAlignment="1">
      <alignment horizontal="center" vertical="center" wrapText="1"/>
    </xf>
    <xf numFmtId="176" fontId="21" fillId="0" borderId="3" xfId="0" applyNumberFormat="1" applyFont="1" applyFill="1" applyBorder="1" applyAlignment="1">
      <alignment horizontal="center" vertical="center"/>
    </xf>
    <xf numFmtId="176" fontId="21" fillId="0" borderId="3" xfId="0" applyNumberFormat="1" applyFont="1" applyFill="1" applyBorder="1" applyAlignment="1">
      <alignment horizontal="center" vertical="center" wrapText="1"/>
    </xf>
    <xf numFmtId="176" fontId="21" fillId="0" borderId="2" xfId="0" applyNumberFormat="1" applyFont="1" applyFill="1" applyBorder="1" applyAlignment="1">
      <alignment vertical="center"/>
    </xf>
    <xf numFmtId="176" fontId="21" fillId="0" borderId="14" xfId="0" applyNumberFormat="1" applyFont="1" applyFill="1" applyBorder="1" applyAlignment="1">
      <alignment horizontal="center" vertical="center"/>
    </xf>
    <xf numFmtId="0" fontId="0" fillId="0" borderId="2" xfId="0" applyNumberFormat="1" applyFill="1" applyBorder="1" applyAlignment="1">
      <alignment vertical="center"/>
    </xf>
    <xf numFmtId="176" fontId="0" fillId="0" borderId="2" xfId="0" applyNumberFormat="1" applyFill="1" applyBorder="1" applyAlignment="1">
      <alignment vertical="center"/>
    </xf>
    <xf numFmtId="0" fontId="0" fillId="0" borderId="2" xfId="0" applyBorder="1">
      <alignment vertical="center"/>
    </xf>
    <xf numFmtId="183" fontId="24" fillId="5" borderId="2" xfId="0" applyNumberFormat="1" applyFont="1" applyFill="1" applyBorder="1" applyAlignment="1">
      <alignment horizontal="center" vertical="center"/>
    </xf>
    <xf numFmtId="182" fontId="24" fillId="5" borderId="2" xfId="0" applyNumberFormat="1" applyFont="1" applyFill="1" applyBorder="1" applyAlignment="1">
      <alignment horizontal="center" vertical="center"/>
    </xf>
    <xf numFmtId="176" fontId="24" fillId="3" borderId="3" xfId="0" applyNumberFormat="1" applyFont="1" applyFill="1" applyBorder="1" applyAlignment="1">
      <alignment horizontal="center" vertical="center"/>
    </xf>
    <xf numFmtId="176" fontId="15" fillId="7" borderId="3" xfId="0" applyNumberFormat="1" applyFont="1" applyFill="1" applyBorder="1" applyAlignment="1">
      <alignment horizontal="center" vertical="center"/>
    </xf>
    <xf numFmtId="183" fontId="30" fillId="5" borderId="2" xfId="0" applyNumberFormat="1" applyFont="1" applyFill="1" applyBorder="1" applyAlignment="1">
      <alignment vertical="center" wrapText="1"/>
    </xf>
    <xf numFmtId="183" fontId="24" fillId="5" borderId="2" xfId="0" applyNumberFormat="1" applyFont="1" applyFill="1" applyBorder="1" applyAlignment="1">
      <alignment horizontal="right" vertical="center"/>
    </xf>
    <xf numFmtId="182" fontId="28" fillId="5" borderId="2" xfId="0" applyNumberFormat="1" applyFont="1" applyFill="1" applyBorder="1" applyAlignment="1">
      <alignment horizontal="center" vertical="center"/>
    </xf>
    <xf numFmtId="176" fontId="24" fillId="5" borderId="2" xfId="0" applyNumberFormat="1" applyFont="1" applyFill="1" applyBorder="1" applyAlignment="1">
      <alignment horizontal="center" vertical="center"/>
    </xf>
    <xf numFmtId="176" fontId="24" fillId="3" borderId="2" xfId="0" applyNumberFormat="1" applyFont="1" applyFill="1" applyBorder="1" applyAlignment="1">
      <alignment horizontal="center" vertical="center"/>
    </xf>
    <xf numFmtId="176" fontId="15" fillId="7" borderId="4" xfId="0" applyNumberFormat="1" applyFont="1" applyFill="1" applyBorder="1" applyAlignment="1">
      <alignment horizontal="center" vertical="center"/>
    </xf>
    <xf numFmtId="183" fontId="21" fillId="0" borderId="2" xfId="0" applyNumberFormat="1" applyFont="1" applyFill="1" applyBorder="1" applyAlignment="1">
      <alignment vertical="center"/>
    </xf>
    <xf numFmtId="182" fontId="21" fillId="0" borderId="2" xfId="0" applyNumberFormat="1" applyFont="1" applyFill="1" applyBorder="1" applyAlignment="1">
      <alignment vertical="center"/>
    </xf>
    <xf numFmtId="176" fontId="5" fillId="0" borderId="2" xfId="0" applyNumberFormat="1" applyFont="1" applyBorder="1">
      <alignment vertical="center"/>
    </xf>
    <xf numFmtId="176" fontId="0" fillId="0" borderId="2" xfId="0" applyNumberFormat="1" applyBorder="1">
      <alignment vertical="center"/>
    </xf>
    <xf numFmtId="176" fontId="16" fillId="0" borderId="0" xfId="0" applyNumberFormat="1" applyFont="1" applyFill="1" applyBorder="1" applyAlignment="1">
      <alignment horizontal="center" vertical="center"/>
    </xf>
    <xf numFmtId="176" fontId="27" fillId="0" borderId="2" xfId="0" applyNumberFormat="1" applyFont="1" applyFill="1" applyBorder="1" applyAlignment="1">
      <alignment vertical="center"/>
    </xf>
    <xf numFmtId="182" fontId="16" fillId="0" borderId="2" xfId="0" applyNumberFormat="1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176" fontId="0" fillId="2" borderId="2" xfId="0" applyNumberForma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2" xfId="0" applyFill="1" applyBorder="1" applyAlignment="1">
      <alignment vertical="center"/>
    </xf>
    <xf numFmtId="176" fontId="0" fillId="10" borderId="2" xfId="0" applyNumberForma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2" xfId="0" applyFill="1" applyBorder="1" applyAlignment="1">
      <alignment vertical="center"/>
    </xf>
    <xf numFmtId="176" fontId="0" fillId="11" borderId="2" xfId="0" applyNumberFormat="1" applyFill="1" applyBorder="1" applyAlignment="1">
      <alignment horizontal="center" vertical="center"/>
    </xf>
    <xf numFmtId="176" fontId="16" fillId="0" borderId="0" xfId="0" applyNumberFormat="1" applyFont="1" applyBorder="1" applyAlignment="1">
      <alignment horizontal="center" vertical="center"/>
    </xf>
    <xf numFmtId="0" fontId="0" fillId="7" borderId="2" xfId="0" applyFill="1" applyBorder="1" applyAlignment="1">
      <alignment vertical="center"/>
    </xf>
    <xf numFmtId="0" fontId="16" fillId="0" borderId="0" xfId="0" applyFont="1" applyFill="1">
      <alignment vertical="center"/>
    </xf>
    <xf numFmtId="0" fontId="16" fillId="0" borderId="0" xfId="0" applyFont="1" applyAlignment="1">
      <alignment horizontal="center" vertical="center"/>
    </xf>
    <xf numFmtId="0" fontId="20" fillId="0" borderId="2" xfId="0" applyFont="1" applyFill="1" applyBorder="1">
      <alignment vertical="center"/>
    </xf>
    <xf numFmtId="181" fontId="16" fillId="0" borderId="2" xfId="0" applyNumberFormat="1" applyFont="1" applyFill="1" applyBorder="1">
      <alignment vertical="center"/>
    </xf>
    <xf numFmtId="58" fontId="16" fillId="0" borderId="2" xfId="0" applyNumberFormat="1" applyFont="1" applyFill="1" applyBorder="1" applyAlignment="1">
      <alignment horizontal="center" vertical="center"/>
    </xf>
    <xf numFmtId="58" fontId="16" fillId="0" borderId="2" xfId="0" applyNumberFormat="1" applyFont="1" applyFill="1" applyBorder="1">
      <alignment vertical="center"/>
    </xf>
    <xf numFmtId="0" fontId="16" fillId="9" borderId="0" xfId="0" applyFont="1" applyFill="1" applyAlignment="1">
      <alignment horizontal="center" vertical="center"/>
    </xf>
    <xf numFmtId="181" fontId="16" fillId="0" borderId="0" xfId="0" applyNumberFormat="1" applyFont="1" applyAlignment="1">
      <alignment horizontal="center" vertical="center"/>
    </xf>
    <xf numFmtId="176" fontId="16" fillId="0" borderId="0" xfId="0" applyNumberFormat="1" applyFont="1" applyAlignment="1">
      <alignment horizontal="center" vertical="center"/>
    </xf>
    <xf numFmtId="0" fontId="16" fillId="0" borderId="0" xfId="0" applyFont="1" applyFill="1" applyAlignment="1">
      <alignment vertical="center"/>
    </xf>
    <xf numFmtId="176" fontId="20" fillId="0" borderId="2" xfId="0" applyNumberFormat="1" applyFont="1" applyFill="1" applyBorder="1">
      <alignment vertical="center"/>
    </xf>
    <xf numFmtId="176" fontId="20" fillId="0" borderId="2" xfId="0" applyNumberFormat="1" applyFont="1" applyFill="1" applyBorder="1" applyAlignment="1">
      <alignment horizontal="center" vertical="center"/>
    </xf>
    <xf numFmtId="183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21" fillId="0" borderId="4" xfId="0" applyNumberFormat="1" applyFont="1" applyFill="1" applyBorder="1" applyAlignment="1">
      <alignment horizontal="center" vertical="center"/>
    </xf>
    <xf numFmtId="176" fontId="5" fillId="0" borderId="2" xfId="0" applyNumberFormat="1" applyFont="1" applyFill="1" applyBorder="1">
      <alignment vertical="center"/>
    </xf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>
      <alignment vertical="center"/>
    </xf>
    <xf numFmtId="0" fontId="16" fillId="0" borderId="2" xfId="0" applyFont="1" applyFill="1" applyBorder="1" applyAlignment="1">
      <alignment vertical="center"/>
    </xf>
    <xf numFmtId="176" fontId="16" fillId="0" borderId="2" xfId="0" applyNumberFormat="1" applyFont="1" applyBorder="1">
      <alignment vertical="center"/>
    </xf>
    <xf numFmtId="0" fontId="20" fillId="8" borderId="2" xfId="0" applyFont="1" applyFill="1" applyBorder="1" applyAlignment="1">
      <alignment vertical="center"/>
    </xf>
    <xf numFmtId="176" fontId="27" fillId="8" borderId="2" xfId="0" applyNumberFormat="1" applyFont="1" applyFill="1" applyBorder="1" applyAlignment="1">
      <alignment vertical="center"/>
    </xf>
    <xf numFmtId="182" fontId="21" fillId="8" borderId="2" xfId="0" applyNumberFormat="1" applyFont="1" applyFill="1" applyBorder="1" applyAlignment="1">
      <alignment vertical="center"/>
    </xf>
    <xf numFmtId="183" fontId="20" fillId="8" borderId="2" xfId="0" applyNumberFormat="1" applyFont="1" applyFill="1" applyBorder="1" applyAlignment="1">
      <alignment vertical="center"/>
    </xf>
    <xf numFmtId="182" fontId="27" fillId="8" borderId="2" xfId="0" applyNumberFormat="1" applyFont="1" applyFill="1" applyBorder="1" applyAlignment="1">
      <alignment horizontal="center" vertical="center"/>
    </xf>
    <xf numFmtId="176" fontId="20" fillId="8" borderId="2" xfId="0" applyNumberFormat="1" applyFont="1" applyFill="1" applyBorder="1" applyAlignment="1">
      <alignment vertical="center"/>
    </xf>
    <xf numFmtId="183" fontId="21" fillId="8" borderId="2" xfId="0" applyNumberFormat="1" applyFont="1" applyFill="1" applyBorder="1" applyAlignment="1">
      <alignment vertical="center"/>
    </xf>
    <xf numFmtId="0" fontId="20" fillId="8" borderId="5" xfId="0" applyFont="1" applyFill="1" applyBorder="1" applyAlignment="1">
      <alignment vertical="center"/>
    </xf>
    <xf numFmtId="0" fontId="27" fillId="0" borderId="2" xfId="0" applyFont="1" applyFill="1" applyBorder="1" applyAlignment="1">
      <alignment vertical="center"/>
    </xf>
    <xf numFmtId="0" fontId="0" fillId="3" borderId="4" xfId="0" applyFill="1" applyBorder="1" applyAlignment="1">
      <alignment horizontal="center" vertical="center"/>
    </xf>
    <xf numFmtId="176" fontId="0" fillId="3" borderId="3" xfId="0" applyNumberFormat="1" applyFill="1" applyBorder="1" applyAlignment="1">
      <alignment horizontal="center" vertical="center" wrapText="1"/>
    </xf>
    <xf numFmtId="176" fontId="0" fillId="3" borderId="14" xfId="0" applyNumberFormat="1" applyFill="1" applyBorder="1" applyAlignment="1">
      <alignment horizontal="center" vertical="center" wrapText="1"/>
    </xf>
    <xf numFmtId="176" fontId="0" fillId="3" borderId="4" xfId="0" applyNumberFormat="1" applyFill="1" applyBorder="1" applyAlignment="1">
      <alignment horizontal="center" vertical="center" wrapText="1"/>
    </xf>
    <xf numFmtId="176" fontId="21" fillId="8" borderId="14" xfId="0" applyNumberFormat="1" applyFont="1" applyFill="1" applyBorder="1" applyAlignment="1">
      <alignment horizontal="center" vertical="center"/>
    </xf>
    <xf numFmtId="176" fontId="21" fillId="8" borderId="2" xfId="0" applyNumberFormat="1" applyFont="1" applyFill="1" applyBorder="1" applyAlignment="1">
      <alignment vertical="center"/>
    </xf>
    <xf numFmtId="176" fontId="21" fillId="8" borderId="4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vertical="center"/>
    </xf>
    <xf numFmtId="178" fontId="16" fillId="0" borderId="2" xfId="0" applyNumberFormat="1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vertical="center"/>
    </xf>
    <xf numFmtId="0" fontId="16" fillId="0" borderId="0" xfId="0" applyFont="1" applyBorder="1" applyAlignment="1">
      <alignment horizontal="center" vertical="center"/>
    </xf>
    <xf numFmtId="176" fontId="27" fillId="0" borderId="3" xfId="0" applyNumberFormat="1" applyFont="1" applyFill="1" applyBorder="1" applyAlignment="1">
      <alignment vertical="center"/>
    </xf>
    <xf numFmtId="176" fontId="21" fillId="0" borderId="2" xfId="0" applyNumberFormat="1" applyFont="1" applyFill="1" applyBorder="1" applyAlignment="1">
      <alignment horizontal="center" vertical="center"/>
    </xf>
    <xf numFmtId="183" fontId="21" fillId="0" borderId="2" xfId="0" applyNumberFormat="1" applyFont="1" applyFill="1" applyBorder="1" applyAlignment="1">
      <alignment horizontal="center" vertical="center"/>
    </xf>
    <xf numFmtId="182" fontId="21" fillId="0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6"/>
  <sheetViews>
    <sheetView workbookViewId="0">
      <pane xSplit="14" ySplit="4" topLeftCell="AB27" activePane="bottomRight" state="frozen"/>
      <selection/>
      <selection pane="topRight"/>
      <selection pane="bottomLeft"/>
      <selection pane="bottomRight" activeCell="M44" sqref="M44"/>
    </sheetView>
  </sheetViews>
  <sheetFormatPr defaultColWidth="9" defaultRowHeight="13.5"/>
  <cols>
    <col min="2" max="2" width="10.375" customWidth="1"/>
    <col min="3" max="3" width="13.125" customWidth="1"/>
    <col min="4" max="4" width="7.375" customWidth="1"/>
    <col min="6" max="6" width="11.125"/>
    <col min="7" max="7" width="5.75" customWidth="1"/>
    <col min="8" max="8" width="10.125"/>
    <col min="9" max="9" width="11.25"/>
    <col min="10" max="10" width="10.25" customWidth="1"/>
    <col min="11" max="11" width="10.125"/>
    <col min="12" max="12" width="11.25"/>
    <col min="13" max="13" width="15.125" customWidth="1"/>
    <col min="14" max="14" width="12.5" customWidth="1"/>
    <col min="15" max="15" width="15.625" customWidth="1"/>
    <col min="16" max="17" width="14.75"/>
    <col min="18" max="18" width="12.5" customWidth="1"/>
    <col min="19" max="19" width="10.25"/>
    <col min="20" max="20" width="11.125"/>
    <col min="21" max="21" width="10.25"/>
    <col min="22" max="22" width="12.5"/>
    <col min="23" max="23" width="10.75"/>
    <col min="24" max="24" width="12.25" customWidth="1"/>
    <col min="25" max="25" width="12.5"/>
    <col min="26" max="26" width="11.125"/>
    <col min="27" max="27" width="13.625"/>
    <col min="28" max="28" width="14.75"/>
    <col min="29" max="29" width="10.125"/>
    <col min="30" max="30" width="11.125"/>
    <col min="31" max="31" width="14.75"/>
    <col min="32" max="32" width="13.625"/>
  </cols>
  <sheetData>
    <row r="1" ht="24" customHeight="1" spans="1:1">
      <c r="A1" s="90" t="s">
        <v>0</v>
      </c>
    </row>
    <row r="2" customFormat="1" ht="6" customHeight="1" spans="1:1">
      <c r="A2" s="90"/>
    </row>
    <row r="3" s="87" customFormat="1" ht="23" customHeight="1" spans="1:32">
      <c r="A3" s="91" t="s">
        <v>1</v>
      </c>
      <c r="B3" s="92" t="s">
        <v>2</v>
      </c>
      <c r="C3" s="93" t="s">
        <v>3</v>
      </c>
      <c r="D3" s="94" t="s">
        <v>4</v>
      </c>
      <c r="E3" s="95" t="s">
        <v>5</v>
      </c>
      <c r="F3" s="96" t="s">
        <v>6</v>
      </c>
      <c r="G3" s="96" t="s">
        <v>7</v>
      </c>
      <c r="H3" s="96" t="s">
        <v>8</v>
      </c>
      <c r="I3" s="96" t="s">
        <v>9</v>
      </c>
      <c r="J3" s="113" t="s">
        <v>10</v>
      </c>
      <c r="K3" s="114"/>
      <c r="L3" s="115"/>
      <c r="M3" s="114"/>
      <c r="N3" s="115"/>
      <c r="O3" s="116"/>
      <c r="P3" s="117"/>
      <c r="Q3" s="143" t="s">
        <v>11</v>
      </c>
      <c r="R3" s="144" t="s">
        <v>12</v>
      </c>
      <c r="S3" s="145"/>
      <c r="T3" s="146"/>
      <c r="U3" s="147"/>
      <c r="V3" s="148"/>
      <c r="W3" s="149" t="s">
        <v>13</v>
      </c>
      <c r="X3" s="150" t="s">
        <v>14</v>
      </c>
      <c r="Y3" s="165" t="s">
        <v>15</v>
      </c>
      <c r="Z3" s="165"/>
      <c r="AA3" s="165"/>
      <c r="AB3" s="165"/>
      <c r="AC3" s="166"/>
      <c r="AD3" s="165"/>
      <c r="AE3" s="167" t="s">
        <v>16</v>
      </c>
      <c r="AF3" s="168" t="s">
        <v>17</v>
      </c>
    </row>
    <row r="4" s="87" customFormat="1" ht="27" customHeight="1" spans="1:32">
      <c r="A4" s="97"/>
      <c r="B4" s="98"/>
      <c r="C4" s="93"/>
      <c r="D4" s="94"/>
      <c r="E4" s="99"/>
      <c r="F4" s="100"/>
      <c r="G4" s="100"/>
      <c r="H4" s="100"/>
      <c r="I4" s="100"/>
      <c r="J4" s="118" t="s">
        <v>18</v>
      </c>
      <c r="K4" s="119" t="s">
        <v>19</v>
      </c>
      <c r="L4" s="120" t="s">
        <v>20</v>
      </c>
      <c r="M4" s="119" t="s">
        <v>21</v>
      </c>
      <c r="N4" s="121" t="s">
        <v>22</v>
      </c>
      <c r="O4" s="122" t="s">
        <v>23</v>
      </c>
      <c r="P4" s="123" t="s">
        <v>24</v>
      </c>
      <c r="Q4" s="151"/>
      <c r="R4" s="152" t="s">
        <v>25</v>
      </c>
      <c r="S4" s="153" t="s">
        <v>26</v>
      </c>
      <c r="T4" s="154" t="s">
        <v>27</v>
      </c>
      <c r="U4" s="155" t="s">
        <v>28</v>
      </c>
      <c r="V4" s="154" t="s">
        <v>29</v>
      </c>
      <c r="W4" s="156"/>
      <c r="X4" s="157"/>
      <c r="Y4" s="169" t="s">
        <v>30</v>
      </c>
      <c r="Z4" s="169" t="s">
        <v>31</v>
      </c>
      <c r="AA4" s="169" t="s">
        <v>32</v>
      </c>
      <c r="AB4" s="170" t="s">
        <v>33</v>
      </c>
      <c r="AC4" s="171" t="s">
        <v>34</v>
      </c>
      <c r="AD4" s="172" t="s">
        <v>24</v>
      </c>
      <c r="AE4" s="173" t="s">
        <v>35</v>
      </c>
      <c r="AF4" s="174"/>
    </row>
    <row r="5" s="88" customFormat="1" ht="12.75" spans="1:32">
      <c r="A5" s="101"/>
      <c r="B5" s="102"/>
      <c r="C5" s="103">
        <v>241123000017</v>
      </c>
      <c r="D5" s="104">
        <v>45631</v>
      </c>
      <c r="E5" s="104" t="s">
        <v>36</v>
      </c>
      <c r="F5" s="102" t="s">
        <v>37</v>
      </c>
      <c r="G5" s="102" t="s">
        <v>38</v>
      </c>
      <c r="H5" s="102">
        <v>0.3608</v>
      </c>
      <c r="I5" s="102">
        <v>202</v>
      </c>
      <c r="J5" s="180">
        <v>792</v>
      </c>
      <c r="K5" s="176"/>
      <c r="L5" s="126"/>
      <c r="M5" s="127"/>
      <c r="N5" s="126"/>
      <c r="O5" s="102"/>
      <c r="P5" s="124">
        <v>792</v>
      </c>
      <c r="Q5" s="161"/>
      <c r="R5" s="161"/>
      <c r="S5" s="160">
        <v>249.181479411765</v>
      </c>
      <c r="T5" s="160"/>
      <c r="U5" s="160">
        <v>13.2647058823529</v>
      </c>
      <c r="V5" s="160"/>
      <c r="W5" s="160"/>
      <c r="X5" s="160">
        <v>262.446185294118</v>
      </c>
      <c r="Y5" s="175">
        <v>58.7944823529412</v>
      </c>
      <c r="Z5" s="175"/>
      <c r="AA5" s="175"/>
      <c r="AB5" s="175">
        <v>58.7944823529412</v>
      </c>
      <c r="AC5" s="176">
        <v>7.24</v>
      </c>
      <c r="AD5" s="160">
        <v>425.672052235294</v>
      </c>
      <c r="AE5" s="160">
        <v>688.118237529412</v>
      </c>
      <c r="AF5" s="160">
        <v>103.881762470588</v>
      </c>
    </row>
    <row r="6" s="88" customFormat="1" ht="12.75" spans="1:32">
      <c r="A6" s="101"/>
      <c r="B6" s="102"/>
      <c r="C6" s="103">
        <v>241125000061</v>
      </c>
      <c r="D6" s="104">
        <v>45631</v>
      </c>
      <c r="E6" s="104" t="s">
        <v>36</v>
      </c>
      <c r="F6" s="102" t="s">
        <v>37</v>
      </c>
      <c r="G6" s="102" t="s">
        <v>39</v>
      </c>
      <c r="H6" s="102">
        <v>0.8795</v>
      </c>
      <c r="I6" s="102">
        <v>210</v>
      </c>
      <c r="J6" s="180">
        <v>2670.5</v>
      </c>
      <c r="K6" s="176"/>
      <c r="L6" s="126"/>
      <c r="M6" s="127"/>
      <c r="N6" s="126"/>
      <c r="O6" s="102"/>
      <c r="P6" s="124">
        <v>2670.5</v>
      </c>
      <c r="Q6" s="161"/>
      <c r="R6" s="161"/>
      <c r="S6" s="160">
        <v>607.414387867647</v>
      </c>
      <c r="T6" s="160"/>
      <c r="U6" s="160">
        <v>32.3345588235294</v>
      </c>
      <c r="V6" s="160"/>
      <c r="W6" s="160"/>
      <c r="X6" s="160">
        <v>639.748946691176</v>
      </c>
      <c r="Y6" s="175">
        <v>143.319698529412</v>
      </c>
      <c r="Z6" s="175">
        <v>104.36</v>
      </c>
      <c r="AA6" s="175"/>
      <c r="AB6" s="175">
        <v>247.679698529412</v>
      </c>
      <c r="AC6" s="176">
        <v>7.24</v>
      </c>
      <c r="AD6" s="160">
        <v>1793.20101735294</v>
      </c>
      <c r="AE6" s="160">
        <v>2432.94996404412</v>
      </c>
      <c r="AF6" s="160">
        <v>237.55003595588</v>
      </c>
    </row>
    <row r="7" s="88" customFormat="1" ht="12.75" spans="1:32">
      <c r="A7" s="101"/>
      <c r="B7" s="102"/>
      <c r="C7" s="103">
        <v>241127000042</v>
      </c>
      <c r="D7" s="104">
        <v>45631</v>
      </c>
      <c r="E7" s="104" t="s">
        <v>36</v>
      </c>
      <c r="F7" s="102" t="s">
        <v>37</v>
      </c>
      <c r="G7" s="102" t="s">
        <v>40</v>
      </c>
      <c r="H7" s="102">
        <v>0.3625</v>
      </c>
      <c r="I7" s="102">
        <v>15</v>
      </c>
      <c r="J7" s="180">
        <v>870</v>
      </c>
      <c r="K7" s="176"/>
      <c r="L7" s="126"/>
      <c r="M7" s="127"/>
      <c r="N7" s="126"/>
      <c r="O7" s="102"/>
      <c r="P7" s="124">
        <v>870</v>
      </c>
      <c r="Q7" s="161"/>
      <c r="R7" s="161"/>
      <c r="S7" s="160">
        <v>250.355560661765</v>
      </c>
      <c r="T7" s="160"/>
      <c r="U7" s="160">
        <v>13.3272058823529</v>
      </c>
      <c r="V7" s="160"/>
      <c r="W7" s="160">
        <v>62</v>
      </c>
      <c r="X7" s="160">
        <v>325.682766544118</v>
      </c>
      <c r="Y7" s="175">
        <v>59.0715073529412</v>
      </c>
      <c r="Z7" s="175"/>
      <c r="AA7" s="175"/>
      <c r="AB7" s="175">
        <v>59.0715073529412</v>
      </c>
      <c r="AC7" s="176">
        <v>7.24</v>
      </c>
      <c r="AD7" s="160">
        <v>427.677713235294</v>
      </c>
      <c r="AE7" s="160">
        <v>753.360479779412</v>
      </c>
      <c r="AF7" s="160">
        <v>116.639520220588</v>
      </c>
    </row>
    <row r="8" s="88" customFormat="1" ht="12.75" spans="1:32">
      <c r="A8" s="101"/>
      <c r="B8" s="102"/>
      <c r="C8" s="103">
        <v>241127000053</v>
      </c>
      <c r="D8" s="104">
        <v>45631</v>
      </c>
      <c r="E8" s="104" t="s">
        <v>36</v>
      </c>
      <c r="F8" s="102" t="s">
        <v>37</v>
      </c>
      <c r="G8" s="102" t="s">
        <v>41</v>
      </c>
      <c r="H8" s="102">
        <v>0.6069</v>
      </c>
      <c r="I8" s="102">
        <v>165</v>
      </c>
      <c r="J8" s="180">
        <v>2195</v>
      </c>
      <c r="K8" s="176"/>
      <c r="L8" s="126"/>
      <c r="M8" s="127"/>
      <c r="N8" s="126"/>
      <c r="O8" s="102"/>
      <c r="P8" s="124">
        <v>2195</v>
      </c>
      <c r="Q8" s="161"/>
      <c r="R8" s="161"/>
      <c r="S8" s="160">
        <v>419.14700625</v>
      </c>
      <c r="T8" s="160"/>
      <c r="U8" s="160">
        <v>22.3125</v>
      </c>
      <c r="V8" s="160"/>
      <c r="W8" s="160"/>
      <c r="X8" s="160">
        <v>441.45950625</v>
      </c>
      <c r="Y8" s="175">
        <v>98.897925</v>
      </c>
      <c r="Z8" s="175">
        <v>111.31</v>
      </c>
      <c r="AA8" s="175"/>
      <c r="AB8" s="175">
        <v>210.207925</v>
      </c>
      <c r="AC8" s="176">
        <v>7.24</v>
      </c>
      <c r="AD8" s="160">
        <v>1521.905377</v>
      </c>
      <c r="AE8" s="160">
        <v>1963.36488325</v>
      </c>
      <c r="AF8" s="160">
        <v>231.63511675</v>
      </c>
    </row>
    <row r="9" s="88" customFormat="1" ht="12.75" spans="1:32">
      <c r="A9" s="101"/>
      <c r="B9" s="102"/>
      <c r="C9" s="103">
        <v>241128000041</v>
      </c>
      <c r="D9" s="104">
        <v>45631</v>
      </c>
      <c r="E9" s="104" t="s">
        <v>36</v>
      </c>
      <c r="F9" s="102" t="s">
        <v>37</v>
      </c>
      <c r="G9" s="102" t="s">
        <v>42</v>
      </c>
      <c r="H9" s="102">
        <v>0.2074</v>
      </c>
      <c r="I9" s="102">
        <v>60</v>
      </c>
      <c r="J9" s="180">
        <v>463</v>
      </c>
      <c r="K9" s="176"/>
      <c r="L9" s="126"/>
      <c r="M9" s="127"/>
      <c r="N9" s="126"/>
      <c r="O9" s="102"/>
      <c r="P9" s="124">
        <v>463</v>
      </c>
      <c r="Q9" s="161"/>
      <c r="R9" s="161"/>
      <c r="S9" s="160">
        <v>143.2379125</v>
      </c>
      <c r="T9" s="160"/>
      <c r="U9" s="160">
        <v>7.625</v>
      </c>
      <c r="V9" s="160"/>
      <c r="W9" s="160"/>
      <c r="X9" s="160">
        <v>150.8629125</v>
      </c>
      <c r="Y9" s="175">
        <v>33.79705</v>
      </c>
      <c r="Z9" s="175"/>
      <c r="AA9" s="175"/>
      <c r="AB9" s="175">
        <v>33.79705</v>
      </c>
      <c r="AC9" s="176">
        <v>7.24</v>
      </c>
      <c r="AD9" s="160">
        <v>244.690642</v>
      </c>
      <c r="AE9" s="160">
        <v>395.5535545</v>
      </c>
      <c r="AF9" s="160">
        <v>67.4464455</v>
      </c>
    </row>
    <row r="10" s="88" customFormat="1" ht="12.75" spans="1:32">
      <c r="A10" s="101"/>
      <c r="B10" s="102"/>
      <c r="C10" s="103">
        <v>241129000035</v>
      </c>
      <c r="D10" s="104">
        <v>45631</v>
      </c>
      <c r="E10" s="104" t="s">
        <v>36</v>
      </c>
      <c r="F10" s="102" t="s">
        <v>37</v>
      </c>
      <c r="G10" s="102" t="s">
        <v>43</v>
      </c>
      <c r="H10" s="102">
        <v>0.3468</v>
      </c>
      <c r="I10" s="102">
        <v>269</v>
      </c>
      <c r="J10" s="180">
        <v>1003</v>
      </c>
      <c r="K10" s="176"/>
      <c r="L10" s="126"/>
      <c r="M10" s="127"/>
      <c r="N10" s="126"/>
      <c r="O10" s="102"/>
      <c r="P10" s="124">
        <v>1003</v>
      </c>
      <c r="Q10" s="161"/>
      <c r="R10" s="161"/>
      <c r="S10" s="160">
        <v>239.512575</v>
      </c>
      <c r="T10" s="160"/>
      <c r="U10" s="160">
        <v>12.75</v>
      </c>
      <c r="V10" s="160"/>
      <c r="W10" s="160"/>
      <c r="X10" s="160">
        <v>252.262575</v>
      </c>
      <c r="Y10" s="175">
        <v>56.5131</v>
      </c>
      <c r="Z10" s="175"/>
      <c r="AA10" s="175"/>
      <c r="AB10" s="175">
        <v>56.5131</v>
      </c>
      <c r="AC10" s="176">
        <v>7.24</v>
      </c>
      <c r="AD10" s="160">
        <v>409.154844</v>
      </c>
      <c r="AE10" s="160">
        <v>661.417419</v>
      </c>
      <c r="AF10" s="160">
        <v>341.582581</v>
      </c>
    </row>
    <row r="11" s="88" customFormat="1" ht="12.75" spans="1:32">
      <c r="A11" s="101"/>
      <c r="B11" s="102"/>
      <c r="C11" s="103">
        <v>241202000031</v>
      </c>
      <c r="D11" s="104">
        <v>45631</v>
      </c>
      <c r="E11" s="104" t="s">
        <v>36</v>
      </c>
      <c r="F11" s="102" t="s">
        <v>37</v>
      </c>
      <c r="G11" s="102" t="s">
        <v>44</v>
      </c>
      <c r="H11" s="102">
        <v>0.6255</v>
      </c>
      <c r="I11" s="102">
        <v>265</v>
      </c>
      <c r="J11" s="124"/>
      <c r="K11" s="129">
        <v>283185</v>
      </c>
      <c r="L11" s="126"/>
      <c r="M11" s="127">
        <v>1588.51723918582</v>
      </c>
      <c r="N11" s="128">
        <v>178.27002</v>
      </c>
      <c r="O11" s="102">
        <v>7.27</v>
      </c>
      <c r="P11" s="124">
        <v>1296.0230454</v>
      </c>
      <c r="Q11" s="161"/>
      <c r="R11" s="161"/>
      <c r="S11" s="160">
        <v>431.992836397059</v>
      </c>
      <c r="T11" s="160"/>
      <c r="U11" s="160">
        <v>22.9963235294118</v>
      </c>
      <c r="V11" s="160"/>
      <c r="W11" s="160"/>
      <c r="X11" s="160">
        <v>454.989159926471</v>
      </c>
      <c r="Y11" s="175">
        <v>101.928904411765</v>
      </c>
      <c r="Z11" s="175"/>
      <c r="AA11" s="175"/>
      <c r="AB11" s="175">
        <v>101.928904411765</v>
      </c>
      <c r="AC11" s="176">
        <v>7.24</v>
      </c>
      <c r="AD11" s="160">
        <v>737.965267941177</v>
      </c>
      <c r="AE11" s="160">
        <v>1192.95442786765</v>
      </c>
      <c r="AF11" s="160">
        <v>103.068617532353</v>
      </c>
    </row>
    <row r="12" s="88" customFormat="1" ht="12.75" spans="1:32">
      <c r="A12" s="101"/>
      <c r="B12" s="102"/>
      <c r="C12" s="103">
        <v>241202000044</v>
      </c>
      <c r="D12" s="104">
        <v>45636</v>
      </c>
      <c r="E12" s="104" t="s">
        <v>36</v>
      </c>
      <c r="F12" s="102" t="s">
        <v>37</v>
      </c>
      <c r="G12" s="102" t="s">
        <v>44</v>
      </c>
      <c r="H12" s="102">
        <v>3.774</v>
      </c>
      <c r="I12" s="102">
        <v>1521</v>
      </c>
      <c r="J12" s="124"/>
      <c r="K12" s="129">
        <v>1698783.75</v>
      </c>
      <c r="L12" s="126"/>
      <c r="M12" s="127">
        <v>1579.39697473973</v>
      </c>
      <c r="N12" s="128">
        <v>1075.5901</v>
      </c>
      <c r="O12" s="102">
        <v>7.27</v>
      </c>
      <c r="P12" s="124">
        <v>7819.540027</v>
      </c>
      <c r="Q12" s="161"/>
      <c r="R12" s="161"/>
      <c r="S12" s="160">
        <v>2751.05175</v>
      </c>
      <c r="T12" s="160"/>
      <c r="U12" s="160">
        <v>116.55</v>
      </c>
      <c r="V12" s="160"/>
      <c r="W12" s="160"/>
      <c r="X12" s="160">
        <v>2867.60175</v>
      </c>
      <c r="Y12" s="175">
        <v>645.0765</v>
      </c>
      <c r="Z12" s="175"/>
      <c r="AA12" s="175">
        <v>3.08691</v>
      </c>
      <c r="AB12" s="175">
        <v>648.16341</v>
      </c>
      <c r="AC12" s="176">
        <v>7.3</v>
      </c>
      <c r="AD12" s="160">
        <v>4731.592893</v>
      </c>
      <c r="AE12" s="160">
        <v>7599.194643</v>
      </c>
      <c r="AF12" s="160">
        <v>220.345384</v>
      </c>
    </row>
    <row r="13" s="88" customFormat="1" ht="12.75" spans="1:32">
      <c r="A13" s="101"/>
      <c r="B13" s="102"/>
      <c r="C13" s="103">
        <v>241205000007</v>
      </c>
      <c r="D13" s="104">
        <v>45636</v>
      </c>
      <c r="E13" s="104" t="s">
        <v>36</v>
      </c>
      <c r="F13" s="102" t="s">
        <v>37</v>
      </c>
      <c r="G13" s="102" t="s">
        <v>44</v>
      </c>
      <c r="H13" s="102">
        <v>1.2288</v>
      </c>
      <c r="I13" s="102">
        <v>508</v>
      </c>
      <c r="J13" s="124"/>
      <c r="K13" s="129">
        <v>552776.25</v>
      </c>
      <c r="L13" s="126"/>
      <c r="M13" s="127">
        <v>1578.41384636805</v>
      </c>
      <c r="N13" s="128">
        <v>350.20996</v>
      </c>
      <c r="O13" s="102">
        <v>7.27</v>
      </c>
      <c r="P13" s="124">
        <v>2546.0264092</v>
      </c>
      <c r="Q13" s="161"/>
      <c r="R13" s="161"/>
      <c r="S13" s="160">
        <v>895.731952941176</v>
      </c>
      <c r="T13" s="160"/>
      <c r="U13" s="160">
        <v>37.9482352941176</v>
      </c>
      <c r="V13" s="160"/>
      <c r="W13" s="160"/>
      <c r="X13" s="160">
        <v>933.680188235294</v>
      </c>
      <c r="Y13" s="175">
        <v>210.034447058824</v>
      </c>
      <c r="Z13" s="175"/>
      <c r="AA13" s="175">
        <v>1.00508611764706</v>
      </c>
      <c r="AB13" s="175">
        <v>211.039533176471</v>
      </c>
      <c r="AC13" s="176">
        <v>7.3</v>
      </c>
      <c r="AD13" s="160">
        <v>1540.58859218824</v>
      </c>
      <c r="AE13" s="160">
        <v>2474.26878042353</v>
      </c>
      <c r="AF13" s="160">
        <v>71.75762877647</v>
      </c>
    </row>
    <row r="14" s="88" customFormat="1" ht="63.75" spans="1:32">
      <c r="A14" s="101" t="s">
        <v>45</v>
      </c>
      <c r="B14" s="102" t="s">
        <v>46</v>
      </c>
      <c r="C14" s="103">
        <v>241127000030</v>
      </c>
      <c r="D14" s="104">
        <v>45643</v>
      </c>
      <c r="E14" s="104" t="s">
        <v>36</v>
      </c>
      <c r="F14" s="102" t="s">
        <v>37</v>
      </c>
      <c r="G14" s="102" t="s">
        <v>41</v>
      </c>
      <c r="H14" s="102">
        <v>0.4598</v>
      </c>
      <c r="I14" s="102">
        <v>114</v>
      </c>
      <c r="J14" s="180">
        <v>860.5</v>
      </c>
      <c r="K14" s="176"/>
      <c r="L14" s="126"/>
      <c r="M14" s="127"/>
      <c r="N14" s="126"/>
      <c r="O14" s="102"/>
      <c r="P14" s="124">
        <v>860.5</v>
      </c>
      <c r="Q14" s="158">
        <v>30945.6869</v>
      </c>
      <c r="R14" s="159" t="s">
        <v>47</v>
      </c>
      <c r="S14" s="160">
        <v>338.632557352941</v>
      </c>
      <c r="T14" s="160"/>
      <c r="U14" s="160">
        <v>13.5235294117647</v>
      </c>
      <c r="V14" s="160"/>
      <c r="W14" s="160"/>
      <c r="X14" s="160">
        <v>352.156086764706</v>
      </c>
      <c r="Y14" s="175">
        <v>82.9668529411765</v>
      </c>
      <c r="Z14" s="175">
        <v>76.28</v>
      </c>
      <c r="AA14" s="175">
        <v>0.374737</v>
      </c>
      <c r="AB14" s="175">
        <v>159.621589941176</v>
      </c>
      <c r="AC14" s="176">
        <v>7.25</v>
      </c>
      <c r="AD14" s="160">
        <v>1157.25652707353</v>
      </c>
      <c r="AE14" s="160">
        <v>1509.41261383824</v>
      </c>
      <c r="AF14" s="160">
        <v>-648.91261383824</v>
      </c>
    </row>
    <row r="15" s="88" customFormat="1" ht="12.75" spans="1:32">
      <c r="A15" s="101"/>
      <c r="B15" s="102"/>
      <c r="C15" s="103">
        <v>241209000092</v>
      </c>
      <c r="D15" s="104">
        <v>45643</v>
      </c>
      <c r="E15" s="104" t="s">
        <v>36</v>
      </c>
      <c r="F15" s="102" t="s">
        <v>37</v>
      </c>
      <c r="G15" s="102" t="s">
        <v>48</v>
      </c>
      <c r="H15" s="102">
        <v>0.1652</v>
      </c>
      <c r="I15" s="102">
        <v>33</v>
      </c>
      <c r="J15" s="180">
        <v>565</v>
      </c>
      <c r="K15" s="176"/>
      <c r="L15" s="126"/>
      <c r="M15" s="127"/>
      <c r="N15" s="126"/>
      <c r="O15" s="102"/>
      <c r="P15" s="124">
        <v>565</v>
      </c>
      <c r="Q15" s="161"/>
      <c r="R15" s="161"/>
      <c r="S15" s="160">
        <v>121.666155882353</v>
      </c>
      <c r="T15" s="160"/>
      <c r="U15" s="160">
        <v>4.85882352941177</v>
      </c>
      <c r="V15" s="160"/>
      <c r="W15" s="160"/>
      <c r="X15" s="160">
        <v>126.524979411765</v>
      </c>
      <c r="Y15" s="175">
        <v>29.8088823529412</v>
      </c>
      <c r="Z15" s="175">
        <v>19.6</v>
      </c>
      <c r="AA15" s="175">
        <v>0.134638</v>
      </c>
      <c r="AB15" s="175">
        <v>49.5435203529412</v>
      </c>
      <c r="AC15" s="176">
        <v>7.25</v>
      </c>
      <c r="AD15" s="160">
        <v>359.190522558824</v>
      </c>
      <c r="AE15" s="160">
        <v>485.715501970588</v>
      </c>
      <c r="AF15" s="160">
        <v>79.284498029412</v>
      </c>
    </row>
    <row r="16" s="88" customFormat="1" ht="12.75" spans="1:32">
      <c r="A16" s="101"/>
      <c r="B16" s="102"/>
      <c r="C16" s="103">
        <v>241210000030</v>
      </c>
      <c r="D16" s="104">
        <v>45643</v>
      </c>
      <c r="E16" s="104" t="s">
        <v>36</v>
      </c>
      <c r="F16" s="102" t="s">
        <v>37</v>
      </c>
      <c r="G16" s="102" t="s">
        <v>49</v>
      </c>
      <c r="H16" s="102">
        <v>0.5114</v>
      </c>
      <c r="I16" s="102">
        <v>65</v>
      </c>
      <c r="J16" s="124"/>
      <c r="K16" s="129">
        <v>312494</v>
      </c>
      <c r="L16" s="126"/>
      <c r="M16" s="127">
        <v>1651.48504386428</v>
      </c>
      <c r="N16" s="128">
        <v>189.22</v>
      </c>
      <c r="O16" s="102">
        <v>7.27</v>
      </c>
      <c r="P16" s="124">
        <v>1375.6294</v>
      </c>
      <c r="Q16" s="161"/>
      <c r="R16" s="161"/>
      <c r="S16" s="160">
        <v>376.634819117647</v>
      </c>
      <c r="T16" s="160"/>
      <c r="U16" s="160">
        <v>15.0411764705882</v>
      </c>
      <c r="V16" s="160"/>
      <c r="W16" s="160"/>
      <c r="X16" s="160">
        <v>391.675995588235</v>
      </c>
      <c r="Y16" s="175">
        <v>92.2776176470588</v>
      </c>
      <c r="Z16" s="175"/>
      <c r="AA16" s="175">
        <v>0.416791</v>
      </c>
      <c r="AB16" s="175">
        <v>92.6944086470588</v>
      </c>
      <c r="AC16" s="176">
        <v>7.25</v>
      </c>
      <c r="AD16" s="160">
        <v>672.034462691176</v>
      </c>
      <c r="AE16" s="160">
        <v>1063.71045827941</v>
      </c>
      <c r="AF16" s="160">
        <v>311.91894172059</v>
      </c>
    </row>
    <row r="17" s="88" customFormat="1" ht="12.75" spans="1:32">
      <c r="A17" s="101"/>
      <c r="B17" s="102"/>
      <c r="C17" s="103">
        <v>241210000041</v>
      </c>
      <c r="D17" s="104">
        <v>45643</v>
      </c>
      <c r="E17" s="104" t="s">
        <v>36</v>
      </c>
      <c r="F17" s="102" t="s">
        <v>37</v>
      </c>
      <c r="G17" s="102" t="s">
        <v>50</v>
      </c>
      <c r="H17" s="102">
        <v>0.7637</v>
      </c>
      <c r="I17" s="102">
        <v>207</v>
      </c>
      <c r="J17" s="180">
        <v>1810.4</v>
      </c>
      <c r="K17" s="176"/>
      <c r="L17" s="126"/>
      <c r="M17" s="127"/>
      <c r="N17" s="126"/>
      <c r="O17" s="102"/>
      <c r="P17" s="124">
        <v>1810.4</v>
      </c>
      <c r="Q17" s="161"/>
      <c r="R17" s="161"/>
      <c r="S17" s="160">
        <v>562.448203676471</v>
      </c>
      <c r="T17" s="160"/>
      <c r="U17" s="160">
        <v>22.4617647058824</v>
      </c>
      <c r="V17" s="160"/>
      <c r="W17" s="160"/>
      <c r="X17" s="160">
        <v>584.909968382353</v>
      </c>
      <c r="Y17" s="175">
        <v>137.802926470588</v>
      </c>
      <c r="Z17" s="175"/>
      <c r="AA17" s="175">
        <v>0.6224155</v>
      </c>
      <c r="AB17" s="175">
        <v>138.425341970588</v>
      </c>
      <c r="AC17" s="176">
        <v>7.25</v>
      </c>
      <c r="AD17" s="160">
        <v>1003.58372928676</v>
      </c>
      <c r="AE17" s="160">
        <v>1588.49369766912</v>
      </c>
      <c r="AF17" s="160">
        <v>221.90630233088</v>
      </c>
    </row>
    <row r="18" s="88" customFormat="1" ht="12.75" spans="1:32">
      <c r="A18" s="101"/>
      <c r="B18" s="102"/>
      <c r="C18" s="103">
        <v>241212000006</v>
      </c>
      <c r="D18" s="104">
        <v>45643</v>
      </c>
      <c r="E18" s="104" t="s">
        <v>36</v>
      </c>
      <c r="F18" s="102" t="s">
        <v>37</v>
      </c>
      <c r="G18" s="102" t="s">
        <v>51</v>
      </c>
      <c r="H18" s="102">
        <v>3.0701</v>
      </c>
      <c r="I18" s="102">
        <v>1383</v>
      </c>
      <c r="J18" s="124"/>
      <c r="K18" s="129">
        <v>1406444</v>
      </c>
      <c r="L18" s="126"/>
      <c r="M18" s="127">
        <v>1607.40131202999</v>
      </c>
      <c r="N18" s="128">
        <v>874.98</v>
      </c>
      <c r="O18" s="102">
        <v>7.3</v>
      </c>
      <c r="P18" s="124">
        <v>6387.354</v>
      </c>
      <c r="Q18" s="161"/>
      <c r="R18" s="161"/>
      <c r="S18" s="160">
        <v>2261.06092720588</v>
      </c>
      <c r="T18" s="160"/>
      <c r="U18" s="160">
        <v>90.2970588235294</v>
      </c>
      <c r="V18" s="160"/>
      <c r="W18" s="160"/>
      <c r="X18" s="160">
        <v>2351.35798602941</v>
      </c>
      <c r="Y18" s="175">
        <v>553.972455882353</v>
      </c>
      <c r="Z18" s="175"/>
      <c r="AA18" s="175">
        <v>2.5021315</v>
      </c>
      <c r="AB18" s="175">
        <v>556.474587382353</v>
      </c>
      <c r="AC18" s="176">
        <v>7.25</v>
      </c>
      <c r="AD18" s="160">
        <v>4034.44075852206</v>
      </c>
      <c r="AE18" s="160">
        <v>6385.79874455147</v>
      </c>
      <c r="AF18" s="160">
        <v>1.55525544853026</v>
      </c>
    </row>
    <row r="19" s="88" customFormat="1" ht="12.75" spans="1:32">
      <c r="A19" s="101"/>
      <c r="B19" s="102"/>
      <c r="C19" s="103">
        <v>241213000032</v>
      </c>
      <c r="D19" s="104">
        <v>45643</v>
      </c>
      <c r="E19" s="104" t="s">
        <v>36</v>
      </c>
      <c r="F19" s="102" t="s">
        <v>37</v>
      </c>
      <c r="G19" s="102" t="s">
        <v>52</v>
      </c>
      <c r="H19" s="102">
        <v>1.137</v>
      </c>
      <c r="I19" s="102">
        <v>240</v>
      </c>
      <c r="J19" s="180">
        <v>2906</v>
      </c>
      <c r="K19" s="176"/>
      <c r="L19" s="126"/>
      <c r="M19" s="127"/>
      <c r="N19" s="126"/>
      <c r="O19" s="102"/>
      <c r="P19" s="124">
        <v>2906</v>
      </c>
      <c r="Q19" s="161"/>
      <c r="R19" s="161"/>
      <c r="S19" s="160">
        <v>837.375419117647</v>
      </c>
      <c r="T19" s="160"/>
      <c r="U19" s="160">
        <v>33.4411764705882</v>
      </c>
      <c r="V19" s="160"/>
      <c r="W19" s="160"/>
      <c r="X19" s="160">
        <v>870.816595588235</v>
      </c>
      <c r="Y19" s="175">
        <v>205.161617647059</v>
      </c>
      <c r="Z19" s="175">
        <v>41.99</v>
      </c>
      <c r="AA19" s="175">
        <v>0.926655</v>
      </c>
      <c r="AB19" s="175">
        <v>248.078272647059</v>
      </c>
      <c r="AC19" s="176">
        <v>7.25</v>
      </c>
      <c r="AD19" s="160">
        <v>1798.56747669118</v>
      </c>
      <c r="AE19" s="160">
        <v>2669.38407227941</v>
      </c>
      <c r="AF19" s="160">
        <v>236.61592772059</v>
      </c>
    </row>
    <row r="20" s="88" customFormat="1" ht="12.75" spans="1:32">
      <c r="A20" s="101"/>
      <c r="B20" s="102"/>
      <c r="C20" s="103">
        <v>241213000053</v>
      </c>
      <c r="D20" s="104">
        <v>45643</v>
      </c>
      <c r="E20" s="104" t="s">
        <v>36</v>
      </c>
      <c r="F20" s="102" t="s">
        <v>37</v>
      </c>
      <c r="G20" s="102" t="s">
        <v>52</v>
      </c>
      <c r="H20" s="102">
        <v>0.0959</v>
      </c>
      <c r="I20" s="102">
        <v>16</v>
      </c>
      <c r="J20" s="180">
        <v>228</v>
      </c>
      <c r="K20" s="176"/>
      <c r="L20" s="126"/>
      <c r="M20" s="127"/>
      <c r="N20" s="126"/>
      <c r="O20" s="102"/>
      <c r="P20" s="124">
        <v>228</v>
      </c>
      <c r="Q20" s="161"/>
      <c r="R20" s="161"/>
      <c r="S20" s="160">
        <v>70.6282345588235</v>
      </c>
      <c r="T20" s="160"/>
      <c r="U20" s="160">
        <v>2.82058823529412</v>
      </c>
      <c r="V20" s="160"/>
      <c r="W20" s="160"/>
      <c r="X20" s="160">
        <v>73.4488227941177</v>
      </c>
      <c r="Y20" s="175">
        <v>17.3043088235294</v>
      </c>
      <c r="Z20" s="175">
        <v>35.58</v>
      </c>
      <c r="AA20" s="175">
        <v>0.0781585</v>
      </c>
      <c r="AB20" s="175">
        <v>52.9624673235294</v>
      </c>
      <c r="AC20" s="176">
        <v>7.25</v>
      </c>
      <c r="AD20" s="160">
        <v>383.977888095588</v>
      </c>
      <c r="AE20" s="160">
        <v>457.426710889706</v>
      </c>
      <c r="AF20" s="160">
        <v>-229.426710889706</v>
      </c>
    </row>
    <row r="21" s="88" customFormat="1" ht="12.75" spans="1:32">
      <c r="A21" s="101"/>
      <c r="B21" s="102"/>
      <c r="C21" s="103">
        <v>241214000030</v>
      </c>
      <c r="D21" s="104">
        <v>45643</v>
      </c>
      <c r="E21" s="104" t="s">
        <v>36</v>
      </c>
      <c r="F21" s="102" t="s">
        <v>37</v>
      </c>
      <c r="G21" s="102" t="s">
        <v>53</v>
      </c>
      <c r="H21" s="102">
        <v>0.823</v>
      </c>
      <c r="I21" s="102">
        <v>696</v>
      </c>
      <c r="J21" s="180">
        <v>3584</v>
      </c>
      <c r="K21" s="181"/>
      <c r="L21" s="126"/>
      <c r="M21" s="127"/>
      <c r="N21" s="126"/>
      <c r="O21" s="102"/>
      <c r="P21" s="124">
        <v>3584</v>
      </c>
      <c r="Q21" s="161"/>
      <c r="R21" s="161"/>
      <c r="S21" s="160">
        <v>606.121345588235</v>
      </c>
      <c r="T21" s="160"/>
      <c r="U21" s="160">
        <v>24.2058823529412</v>
      </c>
      <c r="V21" s="160"/>
      <c r="W21" s="160"/>
      <c r="X21" s="160">
        <v>630.327227941176</v>
      </c>
      <c r="Y21" s="175">
        <v>148.503088235294</v>
      </c>
      <c r="Z21" s="175">
        <v>136.53</v>
      </c>
      <c r="AA21" s="175">
        <v>0.670745</v>
      </c>
      <c r="AB21" s="175">
        <v>285.703833235294</v>
      </c>
      <c r="AC21" s="176">
        <v>7.25</v>
      </c>
      <c r="AD21" s="160">
        <v>2071.35279095588</v>
      </c>
      <c r="AE21" s="160">
        <v>2701.68001889706</v>
      </c>
      <c r="AF21" s="160">
        <v>882.31998110294</v>
      </c>
    </row>
    <row r="22" s="88" customFormat="1" ht="12.75" spans="1:32">
      <c r="A22" s="101"/>
      <c r="B22" s="102"/>
      <c r="C22" s="103">
        <v>241212000021</v>
      </c>
      <c r="D22" s="104">
        <v>45643</v>
      </c>
      <c r="E22" s="104" t="s">
        <v>36</v>
      </c>
      <c r="F22" s="102" t="s">
        <v>37</v>
      </c>
      <c r="G22" s="102" t="s">
        <v>53</v>
      </c>
      <c r="H22" s="102">
        <v>1.9011</v>
      </c>
      <c r="I22" s="102">
        <v>816.18</v>
      </c>
      <c r="J22" s="124"/>
      <c r="K22" s="129">
        <v>846007</v>
      </c>
      <c r="L22" s="126"/>
      <c r="M22" s="127">
        <v>1561.4458943172</v>
      </c>
      <c r="N22" s="128">
        <v>541.81</v>
      </c>
      <c r="O22" s="102">
        <v>7.27</v>
      </c>
      <c r="P22" s="124">
        <v>3938.9587</v>
      </c>
      <c r="Q22" s="161"/>
      <c r="R22" s="161"/>
      <c r="S22" s="160">
        <v>1400.11821397059</v>
      </c>
      <c r="T22" s="160"/>
      <c r="U22" s="160">
        <v>55.9147058823529</v>
      </c>
      <c r="V22" s="160"/>
      <c r="W22" s="160"/>
      <c r="X22" s="160">
        <v>1456.03291985294</v>
      </c>
      <c r="Y22" s="175">
        <v>343.036720588235</v>
      </c>
      <c r="Z22" s="175"/>
      <c r="AA22" s="175">
        <v>1.5493965</v>
      </c>
      <c r="AB22" s="175">
        <v>344.586117088235</v>
      </c>
      <c r="AC22" s="176">
        <v>7.25</v>
      </c>
      <c r="AD22" s="160">
        <v>2498.24934888971</v>
      </c>
      <c r="AE22" s="160">
        <v>3954.28226874265</v>
      </c>
      <c r="AF22" s="160">
        <v>-15.3235687426509</v>
      </c>
    </row>
    <row r="23" s="88" customFormat="1" ht="12.75" spans="1:32">
      <c r="A23" s="101"/>
      <c r="B23" s="102"/>
      <c r="C23" s="103">
        <v>241209000079</v>
      </c>
      <c r="D23" s="104">
        <v>45643</v>
      </c>
      <c r="E23" s="104" t="s">
        <v>36</v>
      </c>
      <c r="F23" s="102" t="s">
        <v>37</v>
      </c>
      <c r="G23" s="102" t="s">
        <v>54</v>
      </c>
      <c r="H23" s="102">
        <v>0.0757</v>
      </c>
      <c r="I23" s="102">
        <v>16</v>
      </c>
      <c r="J23" s="180">
        <v>195</v>
      </c>
      <c r="K23" s="176"/>
      <c r="L23" s="126"/>
      <c r="M23" s="127"/>
      <c r="N23" s="126"/>
      <c r="O23" s="102"/>
      <c r="P23" s="124">
        <v>195</v>
      </c>
      <c r="Q23" s="161"/>
      <c r="R23" s="161"/>
      <c r="S23" s="160">
        <v>55.7513801470588</v>
      </c>
      <c r="T23" s="160"/>
      <c r="U23" s="160">
        <v>2.22647058823529</v>
      </c>
      <c r="V23" s="160"/>
      <c r="W23" s="160"/>
      <c r="X23" s="160">
        <v>57.9778507352941</v>
      </c>
      <c r="Y23" s="175">
        <v>13.6593970588235</v>
      </c>
      <c r="Z23" s="175"/>
      <c r="AA23" s="175">
        <v>0.0616955</v>
      </c>
      <c r="AB23" s="175">
        <v>13.7210925588235</v>
      </c>
      <c r="AC23" s="176">
        <v>7.25</v>
      </c>
      <c r="AD23" s="160">
        <v>99.4779210514706</v>
      </c>
      <c r="AE23" s="160">
        <v>157.455771786765</v>
      </c>
      <c r="AF23" s="160">
        <v>37.544228213235</v>
      </c>
    </row>
    <row r="24" s="88" customFormat="1" ht="12.75" spans="1:32">
      <c r="A24" s="101"/>
      <c r="B24" s="102"/>
      <c r="C24" s="103">
        <v>241217000024</v>
      </c>
      <c r="D24" s="104">
        <v>45643</v>
      </c>
      <c r="E24" s="104" t="s">
        <v>36</v>
      </c>
      <c r="F24" s="102" t="s">
        <v>37</v>
      </c>
      <c r="G24" s="102" t="s">
        <v>55</v>
      </c>
      <c r="H24" s="102">
        <v>0.4017</v>
      </c>
      <c r="I24" s="102">
        <v>36</v>
      </c>
      <c r="J24" s="180">
        <v>876</v>
      </c>
      <c r="K24" s="176"/>
      <c r="L24" s="126"/>
      <c r="M24" s="127"/>
      <c r="N24" s="126"/>
      <c r="O24" s="102"/>
      <c r="P24" s="124">
        <v>876</v>
      </c>
      <c r="Q24" s="208"/>
      <c r="R24" s="208"/>
      <c r="S24" s="160">
        <v>295.843188970588</v>
      </c>
      <c r="T24" s="160"/>
      <c r="U24" s="160">
        <v>11.8147058823529</v>
      </c>
      <c r="V24" s="160"/>
      <c r="W24" s="160"/>
      <c r="X24" s="160">
        <v>307.657894852941</v>
      </c>
      <c r="Y24" s="175">
        <v>72.4832205882353</v>
      </c>
      <c r="Z24" s="175"/>
      <c r="AA24" s="175">
        <v>0.3273855</v>
      </c>
      <c r="AB24" s="175">
        <v>72.8106060882353</v>
      </c>
      <c r="AC24" s="176">
        <v>7.25</v>
      </c>
      <c r="AD24" s="160">
        <v>527.876894139706</v>
      </c>
      <c r="AE24" s="160">
        <v>835.534788992647</v>
      </c>
      <c r="AF24" s="160">
        <v>40.465211007353</v>
      </c>
    </row>
    <row r="25" s="88" customFormat="1" ht="63.75" spans="1:32">
      <c r="A25" s="101" t="s">
        <v>56</v>
      </c>
      <c r="B25" s="102" t="s">
        <v>57</v>
      </c>
      <c r="C25" s="103">
        <v>241212000021</v>
      </c>
      <c r="D25" s="104">
        <v>46010</v>
      </c>
      <c r="E25" s="104" t="s">
        <v>36</v>
      </c>
      <c r="F25" s="102" t="s">
        <v>37</v>
      </c>
      <c r="G25" s="102" t="s">
        <v>53</v>
      </c>
      <c r="H25" s="102">
        <v>0.1207</v>
      </c>
      <c r="I25" s="102">
        <v>51.82</v>
      </c>
      <c r="J25" s="124"/>
      <c r="K25" s="129">
        <v>53713</v>
      </c>
      <c r="L25" s="102"/>
      <c r="M25" s="127">
        <v>1561.42441860465</v>
      </c>
      <c r="N25" s="128">
        <v>34.4</v>
      </c>
      <c r="O25" s="102">
        <v>7.27</v>
      </c>
      <c r="P25" s="124">
        <v>250.088</v>
      </c>
      <c r="Q25" s="158">
        <v>37717.588</v>
      </c>
      <c r="R25" s="159" t="s">
        <v>58</v>
      </c>
      <c r="S25" s="160">
        <v>86.5800625</v>
      </c>
      <c r="T25" s="160">
        <v>0.157762</v>
      </c>
      <c r="U25" s="160">
        <v>3.3725</v>
      </c>
      <c r="V25" s="160"/>
      <c r="W25" s="160"/>
      <c r="X25" s="160">
        <v>90.1103245</v>
      </c>
      <c r="Y25" s="175">
        <v>21.365675</v>
      </c>
      <c r="Z25" s="175"/>
      <c r="AA25" s="175">
        <v>0.102098</v>
      </c>
      <c r="AB25" s="175">
        <v>21.467773</v>
      </c>
      <c r="AC25" s="176">
        <v>7.25</v>
      </c>
      <c r="AD25" s="160">
        <v>155.64135425</v>
      </c>
      <c r="AE25" s="160">
        <v>245.75167875</v>
      </c>
      <c r="AF25" s="160">
        <v>4.33632125</v>
      </c>
    </row>
    <row r="26" s="88" customFormat="1" ht="12.75" spans="1:32">
      <c r="A26" s="101"/>
      <c r="B26" s="102"/>
      <c r="C26" s="103">
        <v>241219000033</v>
      </c>
      <c r="D26" s="104">
        <v>46010</v>
      </c>
      <c r="E26" s="104" t="s">
        <v>36</v>
      </c>
      <c r="F26" s="102" t="s">
        <v>37</v>
      </c>
      <c r="G26" s="102" t="s">
        <v>51</v>
      </c>
      <c r="H26" s="102">
        <v>15.7779</v>
      </c>
      <c r="I26" s="102">
        <v>9654</v>
      </c>
      <c r="J26" s="180">
        <v>37467.5</v>
      </c>
      <c r="K26" s="176"/>
      <c r="L26" s="102"/>
      <c r="M26" s="127"/>
      <c r="N26" s="126"/>
      <c r="O26" s="102"/>
      <c r="P26" s="124">
        <v>37467.5</v>
      </c>
      <c r="Q26" s="208"/>
      <c r="R26" s="208"/>
      <c r="S26" s="160">
        <v>11317.7429007353</v>
      </c>
      <c r="T26" s="160">
        <v>20.6226434117647</v>
      </c>
      <c r="U26" s="160">
        <v>440.853088235294</v>
      </c>
      <c r="V26" s="160"/>
      <c r="W26" s="160"/>
      <c r="X26" s="160">
        <v>11779.2186323824</v>
      </c>
      <c r="Y26" s="175">
        <v>2792.92032794118</v>
      </c>
      <c r="Z26" s="175"/>
      <c r="AA26" s="175">
        <v>13.3462471764706</v>
      </c>
      <c r="AB26" s="175">
        <v>2806.26657511765</v>
      </c>
      <c r="AC26" s="176">
        <v>7.25</v>
      </c>
      <c r="AD26" s="160">
        <v>20345.4326696029</v>
      </c>
      <c r="AE26" s="160">
        <v>32124.6513019853</v>
      </c>
      <c r="AF26" s="160">
        <v>5342.8486980147</v>
      </c>
    </row>
    <row r="27" s="88" customFormat="1" ht="12.75" spans="1:32">
      <c r="A27" s="101"/>
      <c r="B27" s="102"/>
      <c r="C27" s="103">
        <v>241205000022</v>
      </c>
      <c r="D27" s="104">
        <v>46018</v>
      </c>
      <c r="E27" s="104" t="s">
        <v>36</v>
      </c>
      <c r="F27" s="102" t="s">
        <v>37</v>
      </c>
      <c r="G27" s="102" t="s">
        <v>42</v>
      </c>
      <c r="H27" s="102">
        <v>1.5787</v>
      </c>
      <c r="I27" s="102">
        <v>305</v>
      </c>
      <c r="J27" s="180">
        <v>3483.9</v>
      </c>
      <c r="K27" s="212"/>
      <c r="L27" s="102"/>
      <c r="M27" s="127"/>
      <c r="N27" s="126"/>
      <c r="O27" s="130"/>
      <c r="P27" s="124">
        <v>3483.9</v>
      </c>
      <c r="Q27" s="161"/>
      <c r="R27" s="161"/>
      <c r="S27" s="160">
        <v>1175.08677205882</v>
      </c>
      <c r="T27" s="160"/>
      <c r="U27" s="160">
        <v>48.7539705882353</v>
      </c>
      <c r="V27" s="160"/>
      <c r="W27" s="160"/>
      <c r="X27" s="160">
        <v>1223.84074264706</v>
      </c>
      <c r="Y27" s="175">
        <v>267.407403014706</v>
      </c>
      <c r="Z27" s="175"/>
      <c r="AA27" s="175">
        <v>1.37927304411765</v>
      </c>
      <c r="AB27" s="175">
        <v>268.786676058824</v>
      </c>
      <c r="AC27" s="176">
        <v>7.26</v>
      </c>
      <c r="AD27" s="160">
        <v>1951.39126818706</v>
      </c>
      <c r="AE27" s="160">
        <v>3175.23201083412</v>
      </c>
      <c r="AF27" s="160">
        <v>308.66798916588</v>
      </c>
    </row>
    <row r="28" s="88" customFormat="1" ht="12.75" spans="1:32">
      <c r="A28" s="101"/>
      <c r="B28" s="102"/>
      <c r="C28" s="103">
        <v>241210000059</v>
      </c>
      <c r="D28" s="104">
        <v>46018</v>
      </c>
      <c r="E28" s="104" t="s">
        <v>36</v>
      </c>
      <c r="F28" s="102" t="s">
        <v>37</v>
      </c>
      <c r="G28" s="102" t="s">
        <v>42</v>
      </c>
      <c r="H28" s="102">
        <v>3.2498</v>
      </c>
      <c r="I28" s="102">
        <v>683</v>
      </c>
      <c r="J28" s="124"/>
      <c r="K28" s="129">
        <v>1855578</v>
      </c>
      <c r="L28" s="102"/>
      <c r="M28" s="127">
        <v>1576.5318606627</v>
      </c>
      <c r="N28" s="128">
        <v>1177</v>
      </c>
      <c r="O28" s="130">
        <v>7.22</v>
      </c>
      <c r="P28" s="124">
        <v>8497.94</v>
      </c>
      <c r="Q28" s="161"/>
      <c r="R28" s="161"/>
      <c r="S28" s="160">
        <v>2418.95039705882</v>
      </c>
      <c r="T28" s="160"/>
      <c r="U28" s="160">
        <v>100.361470588235</v>
      </c>
      <c r="V28" s="160"/>
      <c r="W28" s="160"/>
      <c r="X28" s="160">
        <v>2519.31186764706</v>
      </c>
      <c r="Y28" s="175">
        <v>550.465939264706</v>
      </c>
      <c r="Z28" s="175">
        <v>251.58</v>
      </c>
      <c r="AA28" s="175">
        <v>2.83927379411765</v>
      </c>
      <c r="AB28" s="175">
        <v>804.885213058824</v>
      </c>
      <c r="AC28" s="176">
        <v>7.26</v>
      </c>
      <c r="AD28" s="160">
        <v>5843.46664680706</v>
      </c>
      <c r="AE28" s="160">
        <v>8362.77851445412</v>
      </c>
      <c r="AF28" s="160">
        <v>135.161485545885</v>
      </c>
    </row>
    <row r="29" s="88" customFormat="1" ht="12.75" spans="1:32">
      <c r="A29" s="101"/>
      <c r="B29" s="102"/>
      <c r="C29" s="103">
        <v>241218000004</v>
      </c>
      <c r="D29" s="104">
        <v>46018</v>
      </c>
      <c r="E29" s="104" t="s">
        <v>36</v>
      </c>
      <c r="F29" s="102" t="s">
        <v>37</v>
      </c>
      <c r="G29" s="102" t="s">
        <v>53</v>
      </c>
      <c r="H29" s="102">
        <v>2.7589</v>
      </c>
      <c r="I29" s="102">
        <v>1023</v>
      </c>
      <c r="J29" s="180">
        <v>5703</v>
      </c>
      <c r="K29" s="176"/>
      <c r="L29" s="102"/>
      <c r="M29" s="127"/>
      <c r="N29" s="126"/>
      <c r="O29" s="130"/>
      <c r="P29" s="124">
        <v>5703</v>
      </c>
      <c r="Q29" s="161"/>
      <c r="R29" s="161"/>
      <c r="S29" s="160">
        <v>2053.55475735294</v>
      </c>
      <c r="T29" s="160"/>
      <c r="U29" s="160">
        <v>85.2013235294118</v>
      </c>
      <c r="V29" s="160"/>
      <c r="W29" s="160"/>
      <c r="X29" s="160">
        <v>2138.75608088235</v>
      </c>
      <c r="Y29" s="175">
        <v>467.315059338235</v>
      </c>
      <c r="Z29" s="175"/>
      <c r="AA29" s="175">
        <v>2.41038601470588</v>
      </c>
      <c r="AB29" s="175">
        <v>469.725445352941</v>
      </c>
      <c r="AC29" s="176">
        <v>7.26</v>
      </c>
      <c r="AD29" s="160">
        <v>3410.20673326235</v>
      </c>
      <c r="AE29" s="160">
        <v>5548.96281414471</v>
      </c>
      <c r="AF29" s="160">
        <v>154.03718585529</v>
      </c>
    </row>
    <row r="30" s="88" customFormat="1" ht="12.75" spans="1:32">
      <c r="A30" s="101"/>
      <c r="B30" s="102"/>
      <c r="C30" s="103">
        <v>241219000030</v>
      </c>
      <c r="D30" s="104">
        <v>46018</v>
      </c>
      <c r="E30" s="104" t="s">
        <v>36</v>
      </c>
      <c r="F30" s="102" t="s">
        <v>37</v>
      </c>
      <c r="G30" s="102" t="s">
        <v>38</v>
      </c>
      <c r="H30" s="102">
        <v>0.5462</v>
      </c>
      <c r="I30" s="102">
        <v>242</v>
      </c>
      <c r="J30" s="180">
        <v>1156</v>
      </c>
      <c r="K30" s="176"/>
      <c r="L30" s="102"/>
      <c r="M30" s="127"/>
      <c r="N30" s="126"/>
      <c r="O30" s="130"/>
      <c r="P30" s="124">
        <v>1156</v>
      </c>
      <c r="Q30" s="161"/>
      <c r="R30" s="161"/>
      <c r="S30" s="160">
        <v>406.557544117647</v>
      </c>
      <c r="T30" s="160"/>
      <c r="U30" s="160">
        <v>16.8679411764706</v>
      </c>
      <c r="V30" s="160"/>
      <c r="W30" s="160"/>
      <c r="X30" s="160">
        <v>423.425485294118</v>
      </c>
      <c r="Y30" s="175">
        <v>92.5178460294118</v>
      </c>
      <c r="Z30" s="175"/>
      <c r="AA30" s="175">
        <v>0.477202088235294</v>
      </c>
      <c r="AB30" s="175">
        <v>92.995048117647</v>
      </c>
      <c r="AC30" s="176">
        <v>7.26</v>
      </c>
      <c r="AD30" s="160">
        <v>675.144049334118</v>
      </c>
      <c r="AE30" s="160">
        <v>1098.56953462824</v>
      </c>
      <c r="AF30" s="160">
        <v>57.43046537176</v>
      </c>
    </row>
    <row r="31" s="88" customFormat="1" ht="12.75" spans="1:32">
      <c r="A31" s="101"/>
      <c r="B31" s="102"/>
      <c r="C31" s="103">
        <v>241216000051</v>
      </c>
      <c r="D31" s="104">
        <v>46018</v>
      </c>
      <c r="E31" s="104" t="s">
        <v>36</v>
      </c>
      <c r="F31" s="102" t="s">
        <v>37</v>
      </c>
      <c r="G31" s="102" t="s">
        <v>38</v>
      </c>
      <c r="H31" s="102">
        <v>13.6398</v>
      </c>
      <c r="I31" s="102">
        <v>2540</v>
      </c>
      <c r="J31" s="180">
        <v>28688</v>
      </c>
      <c r="K31" s="212"/>
      <c r="L31" s="102"/>
      <c r="M31" s="127"/>
      <c r="N31" s="126"/>
      <c r="O31" s="130"/>
      <c r="P31" s="124">
        <v>28688</v>
      </c>
      <c r="Q31" s="161"/>
      <c r="R31" s="161"/>
      <c r="S31" s="160">
        <v>10152.6246617647</v>
      </c>
      <c r="T31" s="160"/>
      <c r="U31" s="160">
        <v>421.229117647059</v>
      </c>
      <c r="V31" s="160"/>
      <c r="W31" s="160"/>
      <c r="X31" s="160">
        <v>10573.8537794118</v>
      </c>
      <c r="Y31" s="175">
        <v>2310.37150544118</v>
      </c>
      <c r="Z31" s="175"/>
      <c r="AA31" s="175">
        <v>11.9167723235294</v>
      </c>
      <c r="AB31" s="175">
        <v>2322.28827776471</v>
      </c>
      <c r="AC31" s="176">
        <v>7.26</v>
      </c>
      <c r="AD31" s="160">
        <v>16859.8128965718</v>
      </c>
      <c r="AE31" s="160">
        <v>27433.6666759835</v>
      </c>
      <c r="AF31" s="160">
        <v>1254.3333240165</v>
      </c>
    </row>
    <row r="32" s="88" customFormat="1" ht="12.75" spans="1:32">
      <c r="A32" s="101"/>
      <c r="B32" s="102"/>
      <c r="C32" s="103">
        <v>241221000013</v>
      </c>
      <c r="D32" s="104">
        <v>46018</v>
      </c>
      <c r="E32" s="104" t="s">
        <v>36</v>
      </c>
      <c r="F32" s="102" t="s">
        <v>37</v>
      </c>
      <c r="G32" s="102" t="s">
        <v>53</v>
      </c>
      <c r="H32" s="102">
        <v>2.0286</v>
      </c>
      <c r="I32" s="102">
        <v>791</v>
      </c>
      <c r="J32" s="180">
        <v>4194.5</v>
      </c>
      <c r="K32" s="176"/>
      <c r="L32" s="102"/>
      <c r="M32" s="127"/>
      <c r="N32" s="126"/>
      <c r="O32" s="130"/>
      <c r="P32" s="124">
        <v>4194.5</v>
      </c>
      <c r="Q32" s="161"/>
      <c r="R32" s="161"/>
      <c r="S32" s="160">
        <v>1509.96454411765</v>
      </c>
      <c r="T32" s="160"/>
      <c r="U32" s="160">
        <v>62.6479411764706</v>
      </c>
      <c r="V32" s="160"/>
      <c r="W32" s="160"/>
      <c r="X32" s="160">
        <v>1572.61248529412</v>
      </c>
      <c r="Y32" s="175">
        <v>343.613516029412</v>
      </c>
      <c r="Z32" s="175"/>
      <c r="AA32" s="175">
        <v>1.77234008823529</v>
      </c>
      <c r="AB32" s="175">
        <v>345.385856117647</v>
      </c>
      <c r="AC32" s="176">
        <v>7.26</v>
      </c>
      <c r="AD32" s="160">
        <v>2507.50131541412</v>
      </c>
      <c r="AE32" s="160">
        <v>4080.11380070824</v>
      </c>
      <c r="AF32" s="160">
        <v>114.38619929176</v>
      </c>
    </row>
    <row r="33" s="88" customFormat="1" ht="12.75" spans="1:32">
      <c r="A33" s="101"/>
      <c r="B33" s="102"/>
      <c r="C33" s="103">
        <v>241222000003</v>
      </c>
      <c r="D33" s="104">
        <v>46018</v>
      </c>
      <c r="E33" s="104" t="s">
        <v>36</v>
      </c>
      <c r="F33" s="102" t="s">
        <v>37</v>
      </c>
      <c r="G33" s="102" t="s">
        <v>53</v>
      </c>
      <c r="H33" s="102">
        <v>11.2441</v>
      </c>
      <c r="I33" s="102">
        <v>3412</v>
      </c>
      <c r="J33" s="180">
        <v>24501</v>
      </c>
      <c r="K33" s="176"/>
      <c r="L33" s="102"/>
      <c r="M33" s="127"/>
      <c r="N33" s="126"/>
      <c r="O33" s="130"/>
      <c r="P33" s="124">
        <v>24501</v>
      </c>
      <c r="Q33" s="161"/>
      <c r="R33" s="161"/>
      <c r="S33" s="160">
        <v>8369.41355147059</v>
      </c>
      <c r="T33" s="160"/>
      <c r="U33" s="160">
        <v>347.244264705882</v>
      </c>
      <c r="V33" s="160"/>
      <c r="W33" s="160"/>
      <c r="X33" s="160">
        <v>8716.65781617647</v>
      </c>
      <c r="Y33" s="175">
        <v>1904.57691786765</v>
      </c>
      <c r="Z33" s="175"/>
      <c r="AA33" s="175">
        <v>9.82370560294118</v>
      </c>
      <c r="AB33" s="175">
        <v>1914.40062347059</v>
      </c>
      <c r="AC33" s="176">
        <v>7.26</v>
      </c>
      <c r="AD33" s="160">
        <v>13898.5485263965</v>
      </c>
      <c r="AE33" s="160">
        <v>22615.2063425729</v>
      </c>
      <c r="AF33" s="160">
        <v>1885.7936574271</v>
      </c>
    </row>
    <row r="34" s="88" customFormat="1" ht="12.75" spans="1:32">
      <c r="A34" s="101"/>
      <c r="B34" s="102"/>
      <c r="C34" s="103">
        <v>241209000079</v>
      </c>
      <c r="D34" s="104">
        <v>46020</v>
      </c>
      <c r="E34" s="104" t="s">
        <v>36</v>
      </c>
      <c r="F34" s="102" t="s">
        <v>37</v>
      </c>
      <c r="G34" s="102" t="s">
        <v>54</v>
      </c>
      <c r="H34" s="102">
        <v>3.7703</v>
      </c>
      <c r="I34" s="102">
        <v>879</v>
      </c>
      <c r="J34" s="180">
        <v>9709</v>
      </c>
      <c r="K34" s="176"/>
      <c r="L34" s="102"/>
      <c r="M34" s="127"/>
      <c r="N34" s="126"/>
      <c r="O34" s="130"/>
      <c r="P34" s="124">
        <v>9709</v>
      </c>
      <c r="Q34" s="161"/>
      <c r="R34" s="161"/>
      <c r="S34" s="160">
        <v>2782.81407352941</v>
      </c>
      <c r="T34" s="160"/>
      <c r="U34" s="160">
        <v>99.8020588235294</v>
      </c>
      <c r="V34" s="160"/>
      <c r="W34" s="160"/>
      <c r="X34" s="160">
        <v>2882.61613235294</v>
      </c>
      <c r="Y34" s="175">
        <v>617.832407529412</v>
      </c>
      <c r="Z34" s="175"/>
      <c r="AA34" s="175">
        <v>7.43525338235294</v>
      </c>
      <c r="AB34" s="175">
        <v>625.267660911765</v>
      </c>
      <c r="AC34" s="176">
        <v>7.25</v>
      </c>
      <c r="AD34" s="160">
        <v>4533.19054161029</v>
      </c>
      <c r="AE34" s="160">
        <v>7415.80667396324</v>
      </c>
      <c r="AF34" s="160">
        <v>2293.19332603676</v>
      </c>
    </row>
    <row r="35" s="88" customFormat="1" ht="12.75" spans="1:32">
      <c r="A35" s="234" t="s">
        <v>59</v>
      </c>
      <c r="B35" s="235" t="s">
        <v>60</v>
      </c>
      <c r="C35" s="103">
        <v>241124000003</v>
      </c>
      <c r="D35" s="104">
        <v>46018</v>
      </c>
      <c r="E35" s="104" t="s">
        <v>36</v>
      </c>
      <c r="F35" s="235" t="s">
        <v>37</v>
      </c>
      <c r="G35" s="235" t="s">
        <v>51</v>
      </c>
      <c r="H35" s="235">
        <v>18.78</v>
      </c>
      <c r="I35" s="235">
        <v>11408</v>
      </c>
      <c r="J35" s="237">
        <v>37467.5</v>
      </c>
      <c r="K35" s="235"/>
      <c r="L35" s="235"/>
      <c r="M35" s="127"/>
      <c r="N35" s="102"/>
      <c r="O35" s="212"/>
      <c r="P35" s="160">
        <v>37467.5</v>
      </c>
      <c r="Q35" s="160">
        <v>37467.5</v>
      </c>
      <c r="R35" s="238" t="s">
        <v>61</v>
      </c>
      <c r="S35" s="238">
        <v>32772</v>
      </c>
      <c r="T35" s="238"/>
      <c r="U35" s="238"/>
      <c r="V35" s="238">
        <v>628.5</v>
      </c>
      <c r="W35" s="238"/>
      <c r="X35" s="238">
        <v>33400.5</v>
      </c>
      <c r="Y35" s="239"/>
      <c r="Z35" s="239"/>
      <c r="AA35" s="239"/>
      <c r="AB35" s="239">
        <v>0</v>
      </c>
      <c r="AC35" s="240"/>
      <c r="AD35" s="238">
        <v>0</v>
      </c>
      <c r="AE35" s="238">
        <v>33400.5</v>
      </c>
      <c r="AF35" s="238">
        <v>4067</v>
      </c>
    </row>
    <row r="36" spans="1:32">
      <c r="A36" s="231" t="s">
        <v>62</v>
      </c>
      <c r="B36" s="232"/>
      <c r="C36" s="164"/>
      <c r="D36" s="164"/>
      <c r="E36" s="164"/>
      <c r="F36" s="164"/>
      <c r="G36" s="164"/>
      <c r="H36" s="164">
        <f>SUM(H5:H35)</f>
        <v>91.2918</v>
      </c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78"/>
      <c r="AC36" s="178"/>
      <c r="AD36" s="178"/>
      <c r="AE36" s="178"/>
      <c r="AF36" s="178">
        <f>SUM(AF5:AF35)</f>
        <v>18029.0431962844</v>
      </c>
    </row>
    <row r="37" s="194" customFormat="1" ht="20" customHeight="1" spans="1:25">
      <c r="A37" s="1"/>
      <c r="B37" s="1"/>
      <c r="D37" s="200"/>
      <c r="E37" s="200"/>
      <c r="F37" s="236"/>
      <c r="G37" s="236"/>
      <c r="H37" s="236"/>
      <c r="I37" s="191"/>
      <c r="J37" s="191"/>
      <c r="K37" s="191"/>
      <c r="L37" s="191"/>
      <c r="M37" s="201"/>
      <c r="N37" s="191"/>
      <c r="O37" s="191"/>
      <c r="P37" s="191"/>
      <c r="Q37" s="191"/>
      <c r="R37" s="201"/>
      <c r="S37" s="201"/>
      <c r="T37" s="201"/>
      <c r="U37" s="201"/>
      <c r="V37" s="201"/>
      <c r="W37" s="201"/>
      <c r="X37" s="201"/>
      <c r="Y37" s="201"/>
    </row>
    <row r="38" s="1" customFormat="1" ht="23" customHeight="1" spans="3:20">
      <c r="C38" s="74" t="s">
        <v>63</v>
      </c>
      <c r="D38" s="74"/>
      <c r="E38" s="74"/>
      <c r="F38" s="109" t="s">
        <v>64</v>
      </c>
      <c r="G38" s="110"/>
      <c r="H38" s="110"/>
      <c r="I38" s="131"/>
      <c r="J38"/>
      <c r="K38" s="136" t="s">
        <v>65</v>
      </c>
      <c r="L38" s="136"/>
      <c r="M38" s="136"/>
      <c r="N38"/>
      <c r="O38"/>
      <c r="P38"/>
      <c r="Q38"/>
      <c r="R38"/>
      <c r="S38"/>
      <c r="T38"/>
    </row>
    <row r="39" s="1" customFormat="1" ht="23" customHeight="1" spans="3:20">
      <c r="C39" s="74"/>
      <c r="D39" s="74"/>
      <c r="E39" s="74"/>
      <c r="F39" s="111"/>
      <c r="G39" s="112"/>
      <c r="H39" s="112"/>
      <c r="I39" s="135"/>
      <c r="J39"/>
      <c r="K39" s="136" t="s">
        <v>66</v>
      </c>
      <c r="L39" s="136" t="s">
        <v>8</v>
      </c>
      <c r="M39" s="136" t="s">
        <v>67</v>
      </c>
      <c r="N39"/>
      <c r="O39"/>
      <c r="P39"/>
      <c r="Q39"/>
      <c r="R39"/>
      <c r="S39"/>
      <c r="T39"/>
    </row>
    <row r="40" s="1" customFormat="1" ht="23" customHeight="1" spans="3:20">
      <c r="C40" s="74" t="s">
        <v>68</v>
      </c>
      <c r="D40" s="74"/>
      <c r="E40" s="74"/>
      <c r="F40" s="80" t="s">
        <v>69</v>
      </c>
      <c r="G40" s="81"/>
      <c r="H40" s="81"/>
      <c r="I40" s="82"/>
      <c r="J40"/>
      <c r="K40" s="136" t="s">
        <v>70</v>
      </c>
      <c r="L40" s="137">
        <f>SUM(H36)</f>
        <v>91.2918</v>
      </c>
      <c r="M40" s="138">
        <f>SUM(AF36)</f>
        <v>18029.0431962844</v>
      </c>
      <c r="N40"/>
      <c r="O40"/>
      <c r="P40"/>
      <c r="Q40"/>
      <c r="R40"/>
      <c r="S40"/>
      <c r="T40"/>
    </row>
    <row r="41" s="1" customFormat="1" ht="23" customHeight="1" spans="3:20">
      <c r="C41" s="74"/>
      <c r="D41" s="74"/>
      <c r="E41" s="74"/>
      <c r="F41" s="83"/>
      <c r="G41" s="84"/>
      <c r="H41" s="84"/>
      <c r="I41" s="85"/>
      <c r="J41"/>
      <c r="K41" s="139" t="s">
        <v>71</v>
      </c>
      <c r="L41" s="139"/>
      <c r="M41" s="140">
        <v>6000</v>
      </c>
      <c r="N41"/>
      <c r="O41"/>
      <c r="P41"/>
      <c r="Q41"/>
      <c r="R41"/>
      <c r="S41"/>
      <c r="T41"/>
    </row>
    <row r="42" s="1" customFormat="1" ht="23" customHeight="1" spans="3:20">
      <c r="C42" s="74" t="s">
        <v>72</v>
      </c>
      <c r="D42" s="74"/>
      <c r="E42" s="74"/>
      <c r="F42" s="80" t="s">
        <v>73</v>
      </c>
      <c r="G42" s="81"/>
      <c r="H42" s="81"/>
      <c r="I42" s="82"/>
      <c r="J42"/>
      <c r="K42" s="141" t="s">
        <v>74</v>
      </c>
      <c r="L42" s="141"/>
      <c r="M42" s="142">
        <f>SUM(M40-M41)</f>
        <v>12029.0431962844</v>
      </c>
      <c r="N42"/>
      <c r="O42"/>
      <c r="P42"/>
      <c r="Q42"/>
      <c r="R42"/>
      <c r="S42"/>
      <c r="T42"/>
    </row>
    <row r="43" s="1" customFormat="1" ht="23" customHeight="1" spans="3:20">
      <c r="C43" s="74"/>
      <c r="D43" s="74"/>
      <c r="E43" s="74"/>
      <c r="F43" s="83"/>
      <c r="G43" s="84"/>
      <c r="H43" s="84"/>
      <c r="I43" s="85"/>
      <c r="J43"/>
      <c r="K43" s="136" t="s">
        <v>75</v>
      </c>
      <c r="L43" s="136"/>
      <c r="M43" s="136">
        <v>0.4</v>
      </c>
      <c r="N43"/>
      <c r="O43"/>
      <c r="P43"/>
      <c r="Q43"/>
      <c r="R43"/>
      <c r="S43"/>
      <c r="T43"/>
    </row>
    <row r="44" s="1" customFormat="1" ht="39" customHeight="1" spans="5:20">
      <c r="E44"/>
      <c r="F44" s="236"/>
      <c r="G44" s="236"/>
      <c r="H44" s="236"/>
      <c r="I44" s="191"/>
      <c r="J44" s="191"/>
      <c r="K44" s="139" t="s">
        <v>76</v>
      </c>
      <c r="L44" s="139"/>
      <c r="M44" s="140">
        <f>SUM(M42*M43)</f>
        <v>4811.61727851376</v>
      </c>
      <c r="N44"/>
      <c r="O44"/>
      <c r="P44"/>
      <c r="Q44"/>
      <c r="R44"/>
      <c r="S44"/>
      <c r="T44"/>
    </row>
    <row r="46" spans="11:14">
      <c r="K46" s="191"/>
      <c r="L46" s="191"/>
      <c r="M46" s="191"/>
      <c r="N46" s="191"/>
    </row>
  </sheetData>
  <autoFilter xmlns:etc="http://www.wps.cn/officeDocument/2017/etCustomData" ref="A3:AB36" etc:filterBottomFollowUsedRange="0">
    <extLst/>
  </autoFilter>
  <mergeCells count="24">
    <mergeCell ref="J3:P3"/>
    <mergeCell ref="R3:V3"/>
    <mergeCell ref="Y3:AD3"/>
    <mergeCell ref="A36:B36"/>
    <mergeCell ref="K38:M38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  <mergeCell ref="C38:E39"/>
    <mergeCell ref="C40:E41"/>
    <mergeCell ref="F40:I41"/>
    <mergeCell ref="C42:E43"/>
    <mergeCell ref="F42:I43"/>
    <mergeCell ref="F38:I39"/>
  </mergeCells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9"/>
  <sheetViews>
    <sheetView workbookViewId="0">
      <pane xSplit="15" ySplit="3" topLeftCell="AE4" activePane="bottomRight" state="frozen"/>
      <selection/>
      <selection pane="topRight"/>
      <selection pane="bottomLeft"/>
      <selection pane="bottomRight" activeCell="M21" sqref="M21"/>
    </sheetView>
  </sheetViews>
  <sheetFormatPr defaultColWidth="9" defaultRowHeight="13.5"/>
  <cols>
    <col min="3" max="3" width="13.125" customWidth="1"/>
    <col min="4" max="4" width="12.125"/>
    <col min="6" max="6" width="14.75"/>
    <col min="8" max="8" width="10.125"/>
    <col min="9" max="9" width="11.125"/>
    <col min="10" max="10" width="11.25"/>
    <col min="11" max="11" width="17.75" customWidth="1"/>
    <col min="12" max="12" width="9" customWidth="1"/>
    <col min="13" max="13" width="14.5" customWidth="1"/>
    <col min="14" max="14" width="10.25" customWidth="1"/>
    <col min="15" max="15" width="13.625"/>
    <col min="16" max="17" width="12.875"/>
    <col min="18" max="18" width="12.5" customWidth="1"/>
    <col min="19" max="19" width="10.125"/>
    <col min="20" max="20" width="12" style="4"/>
    <col min="21" max="21" width="10.25" style="4"/>
    <col min="22" max="22" width="12.5" style="4"/>
    <col min="23" max="23" width="10.125" style="4"/>
    <col min="24" max="24" width="12" style="4"/>
    <col min="25" max="25" width="12.625" style="4"/>
    <col min="26" max="26" width="10.125"/>
    <col min="27" max="28" width="13.625"/>
    <col min="30" max="30" width="10.125"/>
    <col min="31" max="32" width="13.625"/>
    <col min="33" max="33" width="10.375"/>
  </cols>
  <sheetData>
    <row r="1" customFormat="1" ht="27" customHeight="1" spans="1:25">
      <c r="A1" s="38" t="s">
        <v>0</v>
      </c>
      <c r="T1" s="4"/>
      <c r="U1" s="4"/>
      <c r="V1" s="4"/>
      <c r="W1" s="4"/>
      <c r="X1" s="4"/>
      <c r="Y1" s="4"/>
    </row>
    <row r="2" s="87" customFormat="1" ht="23" customHeight="1" spans="1:32">
      <c r="A2" s="91" t="s">
        <v>1</v>
      </c>
      <c r="B2" s="92" t="s">
        <v>2</v>
      </c>
      <c r="C2" s="93" t="s">
        <v>3</v>
      </c>
      <c r="D2" s="94" t="s">
        <v>4</v>
      </c>
      <c r="E2" s="95" t="s">
        <v>5</v>
      </c>
      <c r="F2" s="96" t="s">
        <v>6</v>
      </c>
      <c r="G2" s="96" t="s">
        <v>7</v>
      </c>
      <c r="H2" s="96" t="s">
        <v>8</v>
      </c>
      <c r="I2" s="96" t="s">
        <v>9</v>
      </c>
      <c r="J2" s="113" t="s">
        <v>10</v>
      </c>
      <c r="K2" s="114"/>
      <c r="L2" s="115"/>
      <c r="M2" s="114"/>
      <c r="N2" s="115"/>
      <c r="O2" s="116"/>
      <c r="P2" s="117"/>
      <c r="Q2" s="143" t="s">
        <v>11</v>
      </c>
      <c r="R2" s="144" t="s">
        <v>12</v>
      </c>
      <c r="S2" s="145"/>
      <c r="T2" s="146"/>
      <c r="U2" s="147"/>
      <c r="V2" s="148"/>
      <c r="W2" s="149" t="s">
        <v>13</v>
      </c>
      <c r="X2" s="150" t="s">
        <v>14</v>
      </c>
      <c r="Y2" s="165" t="s">
        <v>15</v>
      </c>
      <c r="Z2" s="165"/>
      <c r="AA2" s="165"/>
      <c r="AB2" s="165"/>
      <c r="AC2" s="166"/>
      <c r="AD2" s="165"/>
      <c r="AE2" s="167" t="s">
        <v>16</v>
      </c>
      <c r="AF2" s="168" t="s">
        <v>17</v>
      </c>
    </row>
    <row r="3" s="87" customFormat="1" ht="27" customHeight="1" spans="1:32">
      <c r="A3" s="97"/>
      <c r="B3" s="98"/>
      <c r="C3" s="93"/>
      <c r="D3" s="94"/>
      <c r="E3" s="99"/>
      <c r="F3" s="100"/>
      <c r="G3" s="100"/>
      <c r="H3" s="100"/>
      <c r="I3" s="100"/>
      <c r="J3" s="118" t="s">
        <v>18</v>
      </c>
      <c r="K3" s="119" t="s">
        <v>19</v>
      </c>
      <c r="L3" s="120" t="s">
        <v>20</v>
      </c>
      <c r="M3" s="119" t="s">
        <v>21</v>
      </c>
      <c r="N3" s="121" t="s">
        <v>22</v>
      </c>
      <c r="O3" s="122" t="s">
        <v>23</v>
      </c>
      <c r="P3" s="123" t="s">
        <v>24</v>
      </c>
      <c r="Q3" s="151"/>
      <c r="R3" s="152" t="s">
        <v>25</v>
      </c>
      <c r="S3" s="153" t="s">
        <v>26</v>
      </c>
      <c r="T3" s="154" t="s">
        <v>27</v>
      </c>
      <c r="U3" s="155" t="s">
        <v>28</v>
      </c>
      <c r="V3" s="154" t="s">
        <v>29</v>
      </c>
      <c r="W3" s="156"/>
      <c r="X3" s="157"/>
      <c r="Y3" s="169" t="s">
        <v>30</v>
      </c>
      <c r="Z3" s="169" t="s">
        <v>31</v>
      </c>
      <c r="AA3" s="169" t="s">
        <v>32</v>
      </c>
      <c r="AB3" s="170" t="s">
        <v>33</v>
      </c>
      <c r="AC3" s="171" t="s">
        <v>34</v>
      </c>
      <c r="AD3" s="172" t="s">
        <v>24</v>
      </c>
      <c r="AE3" s="173" t="s">
        <v>35</v>
      </c>
      <c r="AF3" s="174"/>
    </row>
    <row r="4" s="88" customFormat="1" ht="12.75" spans="1:32">
      <c r="A4" s="101"/>
      <c r="B4" s="102"/>
      <c r="C4" s="103">
        <v>241123000018</v>
      </c>
      <c r="D4" s="104">
        <v>45631</v>
      </c>
      <c r="E4" s="104" t="s">
        <v>77</v>
      </c>
      <c r="F4" s="102" t="s">
        <v>78</v>
      </c>
      <c r="G4" s="214" t="s">
        <v>79</v>
      </c>
      <c r="H4" s="214">
        <v>11.1459</v>
      </c>
      <c r="I4" s="214">
        <v>16993</v>
      </c>
      <c r="J4" s="215">
        <v>36986</v>
      </c>
      <c r="K4" s="216"/>
      <c r="L4" s="217"/>
      <c r="M4" s="218"/>
      <c r="N4" s="217"/>
      <c r="O4" s="214"/>
      <c r="P4" s="219">
        <v>36986</v>
      </c>
      <c r="Q4" s="227"/>
      <c r="R4" s="227"/>
      <c r="S4" s="228">
        <v>7697.76012022059</v>
      </c>
      <c r="T4" s="228"/>
      <c r="U4" s="228">
        <v>409.775735294118</v>
      </c>
      <c r="V4" s="228">
        <v>280</v>
      </c>
      <c r="W4" s="228"/>
      <c r="X4" s="228">
        <v>8387.53585551471</v>
      </c>
      <c r="Y4" s="220">
        <v>1816.28996911765</v>
      </c>
      <c r="Z4" s="220">
        <v>288.81</v>
      </c>
      <c r="AA4" s="220"/>
      <c r="AB4" s="220">
        <v>2105.09996911765</v>
      </c>
      <c r="AC4" s="216">
        <v>7.24</v>
      </c>
      <c r="AD4" s="228">
        <v>15240.9237764118</v>
      </c>
      <c r="AE4" s="228">
        <v>23628.4596319265</v>
      </c>
      <c r="AF4" s="228">
        <v>13357.5403680735</v>
      </c>
    </row>
    <row r="5" s="88" customFormat="1" ht="12.75" spans="1:32">
      <c r="A5" s="101"/>
      <c r="B5" s="102"/>
      <c r="C5" s="103">
        <v>241203000015</v>
      </c>
      <c r="D5" s="104">
        <v>45636</v>
      </c>
      <c r="E5" s="104" t="s">
        <v>77</v>
      </c>
      <c r="F5" s="102" t="s">
        <v>78</v>
      </c>
      <c r="G5" s="214" t="s">
        <v>79</v>
      </c>
      <c r="H5" s="214">
        <v>7.8671</v>
      </c>
      <c r="I5" s="214">
        <v>16682</v>
      </c>
      <c r="J5" s="215">
        <v>33835.5</v>
      </c>
      <c r="K5" s="216"/>
      <c r="L5" s="217"/>
      <c r="M5" s="218"/>
      <c r="N5" s="214"/>
      <c r="O5" s="214"/>
      <c r="P5" s="219">
        <v>33835.5</v>
      </c>
      <c r="Q5" s="227"/>
      <c r="R5" s="227"/>
      <c r="S5" s="228">
        <v>5734.71097573529</v>
      </c>
      <c r="T5" s="228"/>
      <c r="U5" s="228">
        <v>242.954558823529</v>
      </c>
      <c r="V5" s="228"/>
      <c r="W5" s="228"/>
      <c r="X5" s="228">
        <v>5977.66553455882</v>
      </c>
      <c r="Y5" s="220">
        <v>1344.69563676471</v>
      </c>
      <c r="Z5" s="220"/>
      <c r="AA5" s="220">
        <v>6.43482502941176</v>
      </c>
      <c r="AB5" s="220">
        <v>1351.13046179412</v>
      </c>
      <c r="AC5" s="216">
        <v>7.3</v>
      </c>
      <c r="AD5" s="228">
        <v>9863.25237109706</v>
      </c>
      <c r="AE5" s="228">
        <v>15840.9179056559</v>
      </c>
      <c r="AF5" s="228">
        <v>17994.5820943441</v>
      </c>
    </row>
    <row r="6" s="88" customFormat="1" ht="12.75" spans="1:32">
      <c r="A6" s="101"/>
      <c r="B6" s="102"/>
      <c r="C6" s="103">
        <v>241203000014</v>
      </c>
      <c r="D6" s="104">
        <v>45636</v>
      </c>
      <c r="E6" s="104" t="s">
        <v>77</v>
      </c>
      <c r="F6" s="102" t="s">
        <v>78</v>
      </c>
      <c r="G6" s="214" t="s">
        <v>79</v>
      </c>
      <c r="H6" s="214">
        <v>13.3392</v>
      </c>
      <c r="I6" s="214">
        <v>17441</v>
      </c>
      <c r="J6" s="215">
        <v>35368.5</v>
      </c>
      <c r="K6" s="216"/>
      <c r="L6" s="217"/>
      <c r="M6" s="218"/>
      <c r="N6" s="214"/>
      <c r="O6" s="214"/>
      <c r="P6" s="219">
        <v>35368.5</v>
      </c>
      <c r="Q6" s="227"/>
      <c r="R6" s="227"/>
      <c r="S6" s="228">
        <v>9582.94012941177</v>
      </c>
      <c r="T6" s="228"/>
      <c r="U6" s="228">
        <v>196.164705882353</v>
      </c>
      <c r="V6" s="228"/>
      <c r="W6" s="228"/>
      <c r="X6" s="228">
        <v>9779.10483529412</v>
      </c>
      <c r="Y6" s="220">
        <v>2269.67468823529</v>
      </c>
      <c r="Z6" s="220"/>
      <c r="AA6" s="220">
        <v>27.4865985882353</v>
      </c>
      <c r="AB6" s="220">
        <v>2297.16128682353</v>
      </c>
      <c r="AC6" s="216">
        <v>7.25</v>
      </c>
      <c r="AD6" s="228">
        <v>16654.4193294706</v>
      </c>
      <c r="AE6" s="228">
        <v>26433.5241647647</v>
      </c>
      <c r="AF6" s="228">
        <v>8934.9758352353</v>
      </c>
    </row>
    <row r="7" s="88" customFormat="1" ht="12.75" spans="1:32">
      <c r="A7" s="101"/>
      <c r="B7" s="102"/>
      <c r="C7" s="103">
        <v>241211000002</v>
      </c>
      <c r="D7" s="104">
        <v>45638</v>
      </c>
      <c r="E7" s="104" t="s">
        <v>77</v>
      </c>
      <c r="F7" s="102" t="s">
        <v>78</v>
      </c>
      <c r="G7" s="214" t="s">
        <v>79</v>
      </c>
      <c r="H7" s="214">
        <v>13.0793</v>
      </c>
      <c r="I7" s="214">
        <v>19192</v>
      </c>
      <c r="J7" s="215">
        <v>38909</v>
      </c>
      <c r="K7" s="216"/>
      <c r="L7" s="217"/>
      <c r="M7" s="218"/>
      <c r="N7" s="214"/>
      <c r="O7" s="214"/>
      <c r="P7" s="219">
        <v>38909</v>
      </c>
      <c r="Q7" s="227"/>
      <c r="R7" s="227"/>
      <c r="S7" s="228">
        <v>9378.5312992647</v>
      </c>
      <c r="T7" s="228"/>
      <c r="U7" s="228">
        <v>346.216764705882</v>
      </c>
      <c r="V7" s="228"/>
      <c r="W7" s="228"/>
      <c r="X7" s="228">
        <v>9724.74806397059</v>
      </c>
      <c r="Y7" s="220">
        <v>2235.40047383824</v>
      </c>
      <c r="Z7" s="220"/>
      <c r="AA7" s="220">
        <v>26.9510517058824</v>
      </c>
      <c r="AB7" s="220">
        <v>2262.35152554412</v>
      </c>
      <c r="AC7" s="216">
        <v>7.25</v>
      </c>
      <c r="AD7" s="228">
        <v>16402.0485601949</v>
      </c>
      <c r="AE7" s="228">
        <v>26126.7966241654</v>
      </c>
      <c r="AF7" s="228">
        <v>12782.2033758346</v>
      </c>
    </row>
    <row r="8" s="88" customFormat="1" ht="12.75" spans="1:33">
      <c r="A8" s="101"/>
      <c r="B8" s="102"/>
      <c r="C8" s="103">
        <v>241227000020</v>
      </c>
      <c r="D8" s="104">
        <v>46020</v>
      </c>
      <c r="E8" s="104" t="s">
        <v>77</v>
      </c>
      <c r="F8" s="102" t="s">
        <v>78</v>
      </c>
      <c r="G8" s="214" t="s">
        <v>79</v>
      </c>
      <c r="H8" s="214">
        <v>13.5726</v>
      </c>
      <c r="I8" s="214">
        <v>6092</v>
      </c>
      <c r="J8" s="215">
        <v>27674.5</v>
      </c>
      <c r="K8" s="233"/>
      <c r="L8" s="214"/>
      <c r="M8" s="218"/>
      <c r="N8" s="217"/>
      <c r="O8" s="221"/>
      <c r="P8" s="219">
        <v>27674.5</v>
      </c>
      <c r="Q8" s="227"/>
      <c r="R8" s="227"/>
      <c r="S8" s="228">
        <v>10017.7763823529</v>
      </c>
      <c r="T8" s="228"/>
      <c r="U8" s="228">
        <v>359.274705882353</v>
      </c>
      <c r="V8" s="228"/>
      <c r="W8" s="228"/>
      <c r="X8" s="228">
        <v>10377.0510882353</v>
      </c>
      <c r="Y8" s="220">
        <v>2224.11801035294</v>
      </c>
      <c r="Z8" s="220"/>
      <c r="AA8" s="220">
        <v>26.7659655882353</v>
      </c>
      <c r="AB8" s="220">
        <v>2250.88397594118</v>
      </c>
      <c r="AC8" s="216">
        <v>7.25</v>
      </c>
      <c r="AD8" s="228">
        <v>16318.9088255735</v>
      </c>
      <c r="AE8" s="228">
        <v>26695.9599138088</v>
      </c>
      <c r="AF8" s="228">
        <v>978.540086191198</v>
      </c>
      <c r="AG8" s="88">
        <f>SUM(AF4:AF8)</f>
        <v>54047.8417596787</v>
      </c>
    </row>
    <row r="9" s="88" customFormat="1" ht="12.75" spans="1:33">
      <c r="A9" s="101"/>
      <c r="B9" s="102"/>
      <c r="C9" s="103">
        <v>241120000012</v>
      </c>
      <c r="D9" s="104">
        <v>45631</v>
      </c>
      <c r="E9" s="104" t="s">
        <v>77</v>
      </c>
      <c r="F9" s="102" t="s">
        <v>78</v>
      </c>
      <c r="G9" s="102" t="s">
        <v>80</v>
      </c>
      <c r="H9" s="102">
        <v>0.1878</v>
      </c>
      <c r="I9" s="102">
        <v>62</v>
      </c>
      <c r="J9" s="124"/>
      <c r="K9" s="129">
        <v>94651.2</v>
      </c>
      <c r="L9" s="126"/>
      <c r="M9" s="127">
        <v>1680.00011927583</v>
      </c>
      <c r="N9" s="128">
        <v>56.339996</v>
      </c>
      <c r="O9" s="102">
        <v>7.3</v>
      </c>
      <c r="P9" s="124">
        <v>411.2819708</v>
      </c>
      <c r="Q9" s="161"/>
      <c r="R9" s="161"/>
      <c r="S9" s="160">
        <v>129.701446323529</v>
      </c>
      <c r="T9" s="160"/>
      <c r="U9" s="160">
        <v>6.90441176470588</v>
      </c>
      <c r="V9" s="160"/>
      <c r="W9" s="160"/>
      <c r="X9" s="160">
        <v>136.605858088235</v>
      </c>
      <c r="Y9" s="175">
        <v>30.6031147058824</v>
      </c>
      <c r="Z9" s="175"/>
      <c r="AA9" s="175"/>
      <c r="AB9" s="175">
        <v>30.6031147058824</v>
      </c>
      <c r="AC9" s="176">
        <v>7.24</v>
      </c>
      <c r="AD9" s="160">
        <v>221.566550470588</v>
      </c>
      <c r="AE9" s="160">
        <v>358.172408558824</v>
      </c>
      <c r="AF9" s="160">
        <v>53.1095622411764</v>
      </c>
      <c r="AG9" s="230">
        <f>SUM(AG8/2)</f>
        <v>27023.9208798393</v>
      </c>
    </row>
    <row r="10" s="88" customFormat="1" ht="12.75" spans="1:32">
      <c r="A10" s="101"/>
      <c r="B10" s="102"/>
      <c r="C10" s="103">
        <v>241128000012</v>
      </c>
      <c r="D10" s="104">
        <v>45636</v>
      </c>
      <c r="E10" s="104" t="s">
        <v>77</v>
      </c>
      <c r="F10" s="102" t="s">
        <v>78</v>
      </c>
      <c r="G10" s="102" t="s">
        <v>80</v>
      </c>
      <c r="H10" s="102">
        <v>0.196</v>
      </c>
      <c r="I10" s="102">
        <v>106</v>
      </c>
      <c r="J10" s="124"/>
      <c r="K10" s="129">
        <v>98784</v>
      </c>
      <c r="L10" s="126"/>
      <c r="M10" s="127">
        <v>1679.99942857162</v>
      </c>
      <c r="N10" s="128">
        <v>58.80002</v>
      </c>
      <c r="O10" s="102">
        <v>7.3</v>
      </c>
      <c r="P10" s="124">
        <v>429.240146</v>
      </c>
      <c r="Q10" s="161"/>
      <c r="R10" s="161"/>
      <c r="S10" s="160">
        <v>142.873911764706</v>
      </c>
      <c r="T10" s="160"/>
      <c r="U10" s="160">
        <v>6.05294117647059</v>
      </c>
      <c r="V10" s="160"/>
      <c r="W10" s="160"/>
      <c r="X10" s="160">
        <v>148.926852941176</v>
      </c>
      <c r="Y10" s="175">
        <v>33.5015882352941</v>
      </c>
      <c r="Z10" s="175"/>
      <c r="AA10" s="175">
        <v>0.160316470588235</v>
      </c>
      <c r="AB10" s="175">
        <v>33.6619047058824</v>
      </c>
      <c r="AC10" s="176">
        <v>7.3</v>
      </c>
      <c r="AD10" s="160">
        <v>245.731904352941</v>
      </c>
      <c r="AE10" s="160">
        <v>394.658757294118</v>
      </c>
      <c r="AF10" s="160">
        <v>34.581388705882</v>
      </c>
    </row>
    <row r="11" s="88" customFormat="1" ht="63.75" spans="1:32">
      <c r="A11" s="101" t="s">
        <v>81</v>
      </c>
      <c r="B11" s="102" t="s">
        <v>82</v>
      </c>
      <c r="C11" s="103">
        <v>241125000030</v>
      </c>
      <c r="D11" s="104">
        <v>46018</v>
      </c>
      <c r="E11" s="104" t="s">
        <v>77</v>
      </c>
      <c r="F11" s="102" t="s">
        <v>78</v>
      </c>
      <c r="G11" s="102" t="s">
        <v>83</v>
      </c>
      <c r="H11" s="102">
        <v>0.0122</v>
      </c>
      <c r="I11" s="102">
        <v>2</v>
      </c>
      <c r="J11" s="180">
        <v>202</v>
      </c>
      <c r="K11" s="176"/>
      <c r="L11" s="102"/>
      <c r="M11" s="127"/>
      <c r="N11" s="126"/>
      <c r="O11" s="130"/>
      <c r="P11" s="124">
        <v>202</v>
      </c>
      <c r="Q11" s="158">
        <v>44190.2200433</v>
      </c>
      <c r="R11" s="159" t="s">
        <v>84</v>
      </c>
      <c r="S11" s="160">
        <v>9.08092647058824</v>
      </c>
      <c r="T11" s="160"/>
      <c r="U11" s="160">
        <v>0.376764705882353</v>
      </c>
      <c r="V11" s="160"/>
      <c r="W11" s="160"/>
      <c r="X11" s="160">
        <v>9.45769117647059</v>
      </c>
      <c r="Y11" s="175">
        <v>2.06649161764706</v>
      </c>
      <c r="Z11" s="175"/>
      <c r="AA11" s="175">
        <v>0.0106588529411765</v>
      </c>
      <c r="AB11" s="175">
        <v>2.07715047058824</v>
      </c>
      <c r="AC11" s="176">
        <v>7.26</v>
      </c>
      <c r="AD11" s="160">
        <v>15.0801124164706</v>
      </c>
      <c r="AE11" s="160">
        <v>24.5378035929412</v>
      </c>
      <c r="AF11" s="160">
        <v>177.462196407059</v>
      </c>
    </row>
    <row r="12" s="88" customFormat="1" ht="12.75" spans="1:32">
      <c r="A12" s="101"/>
      <c r="B12" s="102"/>
      <c r="C12" s="103">
        <v>241220000030</v>
      </c>
      <c r="D12" s="104">
        <v>46018</v>
      </c>
      <c r="E12" s="104" t="s">
        <v>77</v>
      </c>
      <c r="F12" s="102" t="s">
        <v>78</v>
      </c>
      <c r="G12" s="102" t="s">
        <v>85</v>
      </c>
      <c r="H12" s="102">
        <v>0.8815</v>
      </c>
      <c r="I12" s="102">
        <v>304</v>
      </c>
      <c r="J12" s="124"/>
      <c r="K12" s="129">
        <v>414128.7</v>
      </c>
      <c r="L12" s="102"/>
      <c r="M12" s="127">
        <v>1566.00029608627</v>
      </c>
      <c r="N12" s="128">
        <v>264.44995</v>
      </c>
      <c r="O12" s="130">
        <v>7.27</v>
      </c>
      <c r="P12" s="124">
        <v>1922.5511365</v>
      </c>
      <c r="Q12" s="161"/>
      <c r="R12" s="161"/>
      <c r="S12" s="160">
        <v>656.134154411765</v>
      </c>
      <c r="T12" s="160"/>
      <c r="U12" s="160">
        <v>27.2227941176471</v>
      </c>
      <c r="V12" s="160"/>
      <c r="W12" s="160"/>
      <c r="X12" s="160">
        <v>683.356948529412</v>
      </c>
      <c r="Y12" s="175">
        <v>149.312488602941</v>
      </c>
      <c r="Z12" s="175"/>
      <c r="AA12" s="175">
        <v>0.770145808823529</v>
      </c>
      <c r="AB12" s="175">
        <v>150.082634411765</v>
      </c>
      <c r="AC12" s="176">
        <v>7.26</v>
      </c>
      <c r="AD12" s="160">
        <v>1089.59992582941</v>
      </c>
      <c r="AE12" s="160">
        <v>1772.95687435882</v>
      </c>
      <c r="AF12" s="160">
        <v>149.594262141177</v>
      </c>
    </row>
    <row r="13" customFormat="1" spans="1:32">
      <c r="A13" s="231" t="s">
        <v>62</v>
      </c>
      <c r="B13" s="232"/>
      <c r="C13" s="164"/>
      <c r="D13" s="164"/>
      <c r="E13" s="164"/>
      <c r="F13" s="164"/>
      <c r="G13" s="164"/>
      <c r="H13" s="164">
        <f>SUM(H4:H8)</f>
        <v>59.0041</v>
      </c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4"/>
      <c r="W13" s="164"/>
      <c r="X13" s="164"/>
      <c r="Y13" s="164"/>
      <c r="Z13" s="164"/>
      <c r="AA13" s="164"/>
      <c r="AB13" s="178"/>
      <c r="AC13" s="178"/>
      <c r="AD13" s="178"/>
      <c r="AE13" s="178"/>
      <c r="AF13" s="178">
        <f>SUM(AF4:AF12)</f>
        <v>54462.589169174</v>
      </c>
    </row>
    <row r="14" s="194" customFormat="1" ht="22" customHeight="1" spans="1:32">
      <c r="A14" s="1"/>
      <c r="B14" s="1"/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7"/>
      <c r="T14" s="207"/>
      <c r="U14" s="207"/>
      <c r="V14" s="207"/>
      <c r="W14" s="207"/>
      <c r="X14" s="207"/>
      <c r="Y14" s="207"/>
      <c r="AF14" s="194">
        <v>27023.92</v>
      </c>
    </row>
    <row r="15" s="1" customFormat="1" ht="23" customHeight="1" spans="3:32">
      <c r="C15" s="74" t="s">
        <v>63</v>
      </c>
      <c r="D15" s="74"/>
      <c r="E15" s="74"/>
      <c r="F15" s="109" t="s">
        <v>64</v>
      </c>
      <c r="G15" s="110"/>
      <c r="H15" s="110"/>
      <c r="I15" s="131"/>
      <c r="J15"/>
      <c r="K15" s="136" t="s">
        <v>86</v>
      </c>
      <c r="L15" s="136"/>
      <c r="M15" s="136"/>
      <c r="N15" s="136"/>
      <c r="O15"/>
      <c r="P15"/>
      <c r="AF15" s="1">
        <f>SUM(AF13-AF14)</f>
        <v>27438.669169174</v>
      </c>
    </row>
    <row r="16" s="1" customFormat="1" ht="23" customHeight="1" spans="3:16">
      <c r="C16" s="74"/>
      <c r="D16" s="74"/>
      <c r="E16" s="74"/>
      <c r="F16" s="111"/>
      <c r="G16" s="112"/>
      <c r="H16" s="112"/>
      <c r="I16" s="135"/>
      <c r="J16"/>
      <c r="K16" s="223" t="s">
        <v>66</v>
      </c>
      <c r="L16" s="223" t="s">
        <v>8</v>
      </c>
      <c r="M16" s="223" t="s">
        <v>67</v>
      </c>
      <c r="N16" s="223" t="s">
        <v>87</v>
      </c>
      <c r="O16"/>
      <c r="P16"/>
    </row>
    <row r="17" s="1" customFormat="1" ht="23" customHeight="1" spans="3:16">
      <c r="C17" s="74" t="s">
        <v>68</v>
      </c>
      <c r="D17" s="74"/>
      <c r="E17" s="74"/>
      <c r="F17" s="80" t="s">
        <v>69</v>
      </c>
      <c r="G17" s="81"/>
      <c r="H17" s="81"/>
      <c r="I17" s="82"/>
      <c r="J17"/>
      <c r="K17" s="136" t="s">
        <v>70</v>
      </c>
      <c r="L17" s="137">
        <f>SUM(H13)</f>
        <v>59.0041</v>
      </c>
      <c r="M17" s="138">
        <v>27438.669169174</v>
      </c>
      <c r="N17" s="224" t="s">
        <v>88</v>
      </c>
      <c r="O17"/>
      <c r="P17"/>
    </row>
    <row r="18" s="1" customFormat="1" ht="23" customHeight="1" spans="3:16">
      <c r="C18" s="74"/>
      <c r="D18" s="74"/>
      <c r="E18" s="74"/>
      <c r="F18" s="83"/>
      <c r="G18" s="84"/>
      <c r="H18" s="84"/>
      <c r="I18" s="85"/>
      <c r="J18"/>
      <c r="K18" s="139" t="s">
        <v>71</v>
      </c>
      <c r="L18" s="139"/>
      <c r="M18" s="140">
        <v>6000</v>
      </c>
      <c r="N18" s="225"/>
      <c r="O18"/>
      <c r="P18"/>
    </row>
    <row r="19" s="1" customFormat="1" ht="23" customHeight="1" spans="3:16">
      <c r="C19" s="74" t="s">
        <v>72</v>
      </c>
      <c r="D19" s="74"/>
      <c r="E19" s="74"/>
      <c r="F19" s="80" t="s">
        <v>73</v>
      </c>
      <c r="G19" s="81"/>
      <c r="H19" s="81"/>
      <c r="I19" s="82"/>
      <c r="J19"/>
      <c r="K19" s="141" t="s">
        <v>74</v>
      </c>
      <c r="L19" s="141"/>
      <c r="M19" s="142">
        <f>SUM(M17-M18)</f>
        <v>21438.669169174</v>
      </c>
      <c r="N19" s="225"/>
      <c r="O19"/>
      <c r="P19"/>
    </row>
    <row r="20" s="1" customFormat="1" ht="23" customHeight="1" spans="3:16">
      <c r="C20" s="74"/>
      <c r="D20" s="74"/>
      <c r="E20" s="74"/>
      <c r="F20" s="83"/>
      <c r="G20" s="84"/>
      <c r="H20" s="84"/>
      <c r="I20" s="85"/>
      <c r="J20"/>
      <c r="K20" s="136" t="s">
        <v>75</v>
      </c>
      <c r="L20" s="136"/>
      <c r="M20" s="136">
        <v>0.4</v>
      </c>
      <c r="N20" s="225"/>
      <c r="O20"/>
      <c r="P20"/>
    </row>
    <row r="21" s="1" customFormat="1" ht="23" customHeight="1" spans="5:16">
      <c r="E21"/>
      <c r="F21"/>
      <c r="G21"/>
      <c r="H21"/>
      <c r="I21"/>
      <c r="J21"/>
      <c r="K21" s="139" t="s">
        <v>76</v>
      </c>
      <c r="L21" s="139"/>
      <c r="M21" s="140">
        <f>SUM(M19*M20)</f>
        <v>8575.4676676696</v>
      </c>
      <c r="N21" s="226"/>
      <c r="O21"/>
      <c r="P21"/>
    </row>
    <row r="22" s="1" customFormat="1" ht="23" customHeight="1" spans="5:16">
      <c r="E22"/>
      <c r="F22"/>
      <c r="G22"/>
      <c r="H22"/>
      <c r="I22"/>
      <c r="J22"/>
      <c r="K22"/>
      <c r="L22"/>
      <c r="M22"/>
      <c r="N22"/>
      <c r="O22"/>
      <c r="P22"/>
    </row>
    <row r="23" s="1" customFormat="1" ht="23" customHeight="1" spans="5:13">
      <c r="E23"/>
      <c r="F23"/>
      <c r="G23"/>
      <c r="H23"/>
      <c r="I23"/>
      <c r="J23"/>
      <c r="K23"/>
      <c r="L23"/>
      <c r="M23"/>
    </row>
    <row r="24" s="1" customFormat="1" ht="23" customHeight="1" spans="5:15">
      <c r="E24"/>
      <c r="F24"/>
      <c r="G24"/>
      <c r="H24"/>
      <c r="I24"/>
      <c r="J24"/>
      <c r="K24"/>
      <c r="L24"/>
      <c r="M24"/>
      <c r="N24"/>
      <c r="O24"/>
    </row>
    <row r="25" s="1" customFormat="1" ht="23" customHeight="1" spans="5:19"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 s="35"/>
    </row>
    <row r="26" ht="21" customHeight="1" spans="4:4">
      <c r="D26" s="1"/>
    </row>
    <row r="27" ht="21" customHeight="1" spans="4:13">
      <c r="D27" s="1"/>
      <c r="K27" s="191"/>
      <c r="L27" s="191"/>
      <c r="M27" s="1"/>
    </row>
    <row r="28" spans="4:4">
      <c r="D28" s="1"/>
    </row>
    <row r="29" spans="4:4">
      <c r="D29" s="1"/>
    </row>
    <row r="30" spans="4:4">
      <c r="D30" s="1"/>
    </row>
    <row r="31" spans="4:4">
      <c r="D31" s="1"/>
    </row>
    <row r="32" spans="4:4">
      <c r="D32" s="1"/>
    </row>
    <row r="33" spans="4:4">
      <c r="D33" s="1"/>
    </row>
    <row r="34" spans="4:4">
      <c r="D34" s="1"/>
    </row>
    <row r="35" spans="4:4">
      <c r="D35" s="1"/>
    </row>
    <row r="36" spans="4:4">
      <c r="D36" s="1"/>
    </row>
    <row r="37" spans="4:4">
      <c r="D37" s="1"/>
    </row>
    <row r="38" spans="4:4">
      <c r="D38" s="1"/>
    </row>
    <row r="39" spans="4:4">
      <c r="D39" s="1"/>
    </row>
  </sheetData>
  <mergeCells count="25">
    <mergeCell ref="J2:P2"/>
    <mergeCell ref="R2:V2"/>
    <mergeCell ref="Y2:AD2"/>
    <mergeCell ref="A13:B13"/>
    <mergeCell ref="K15:N15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N17:N21"/>
    <mergeCell ref="Q2:Q3"/>
    <mergeCell ref="W2:W3"/>
    <mergeCell ref="X2:X3"/>
    <mergeCell ref="AF2:AF3"/>
    <mergeCell ref="C19:E20"/>
    <mergeCell ref="F19:I20"/>
    <mergeCell ref="C17:E18"/>
    <mergeCell ref="F17:I18"/>
    <mergeCell ref="C15:E16"/>
    <mergeCell ref="F15:I16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5"/>
  <sheetViews>
    <sheetView workbookViewId="0">
      <pane xSplit="15" ySplit="4" topLeftCell="P11" activePane="bottomRight" state="frozen"/>
      <selection/>
      <selection pane="topRight"/>
      <selection pane="bottomLeft"/>
      <selection pane="bottomRight" activeCell="M27" sqref="M27"/>
    </sheetView>
  </sheetViews>
  <sheetFormatPr defaultColWidth="9" defaultRowHeight="13.5"/>
  <cols>
    <col min="3" max="3" width="11.25" customWidth="1"/>
    <col min="4" max="4" width="11.25"/>
    <col min="8" max="8" width="10.125"/>
    <col min="9" max="9" width="11.125"/>
    <col min="10" max="10" width="10.375"/>
    <col min="11" max="11" width="10.125"/>
    <col min="12" max="12" width="11.125"/>
    <col min="13" max="13" width="15.125" customWidth="1"/>
    <col min="14" max="14" width="11.375" customWidth="1"/>
    <col min="15" max="16" width="14.75"/>
    <col min="17" max="17" width="11"/>
    <col min="18" max="18" width="12.5" customWidth="1"/>
    <col min="19" max="19" width="11"/>
    <col min="20" max="20" width="11.125"/>
    <col min="21" max="21" width="12.625"/>
    <col min="22" max="22" width="12.5"/>
    <col min="23" max="23" width="11"/>
    <col min="24" max="24" width="10.375"/>
    <col min="25" max="25" width="12"/>
    <col min="26" max="26" width="9.25"/>
    <col min="27" max="27" width="12.5"/>
    <col min="28" max="28" width="13.625"/>
    <col min="29" max="29" width="9.25"/>
    <col min="30" max="30" width="10.125"/>
    <col min="31" max="31" width="12"/>
    <col min="32" max="32" width="12.625"/>
    <col min="33" max="33" width="9.625"/>
  </cols>
  <sheetData>
    <row r="1" customFormat="1" ht="24" customHeight="1" spans="1:1">
      <c r="A1" s="90" t="s">
        <v>0</v>
      </c>
    </row>
    <row r="2" customFormat="1" ht="6" customHeight="1" spans="1:1">
      <c r="A2" s="90"/>
    </row>
    <row r="3" s="87" customFormat="1" ht="23" customHeight="1" spans="1:32">
      <c r="A3" s="91" t="s">
        <v>1</v>
      </c>
      <c r="B3" s="92" t="s">
        <v>2</v>
      </c>
      <c r="C3" s="93" t="s">
        <v>3</v>
      </c>
      <c r="D3" s="94" t="s">
        <v>4</v>
      </c>
      <c r="E3" s="95" t="s">
        <v>5</v>
      </c>
      <c r="F3" s="96" t="s">
        <v>6</v>
      </c>
      <c r="G3" s="96" t="s">
        <v>7</v>
      </c>
      <c r="H3" s="96" t="s">
        <v>8</v>
      </c>
      <c r="I3" s="96" t="s">
        <v>9</v>
      </c>
      <c r="J3" s="113" t="s">
        <v>10</v>
      </c>
      <c r="K3" s="114"/>
      <c r="L3" s="115"/>
      <c r="M3" s="114"/>
      <c r="N3" s="115"/>
      <c r="O3" s="116"/>
      <c r="P3" s="117"/>
      <c r="Q3" s="143" t="s">
        <v>11</v>
      </c>
      <c r="R3" s="144" t="s">
        <v>12</v>
      </c>
      <c r="S3" s="145"/>
      <c r="T3" s="146"/>
      <c r="U3" s="147"/>
      <c r="V3" s="148"/>
      <c r="W3" s="149" t="s">
        <v>13</v>
      </c>
      <c r="X3" s="150" t="s">
        <v>14</v>
      </c>
      <c r="Y3" s="165" t="s">
        <v>15</v>
      </c>
      <c r="Z3" s="165"/>
      <c r="AA3" s="165"/>
      <c r="AB3" s="165"/>
      <c r="AC3" s="166"/>
      <c r="AD3" s="165"/>
      <c r="AE3" s="167" t="s">
        <v>16</v>
      </c>
      <c r="AF3" s="168" t="s">
        <v>17</v>
      </c>
    </row>
    <row r="4" s="87" customFormat="1" ht="27" customHeight="1" spans="1:32">
      <c r="A4" s="97"/>
      <c r="B4" s="98"/>
      <c r="C4" s="93"/>
      <c r="D4" s="94"/>
      <c r="E4" s="99"/>
      <c r="F4" s="100"/>
      <c r="G4" s="100"/>
      <c r="H4" s="100"/>
      <c r="I4" s="100"/>
      <c r="J4" s="118" t="s">
        <v>18</v>
      </c>
      <c r="K4" s="119" t="s">
        <v>19</v>
      </c>
      <c r="L4" s="120" t="s">
        <v>20</v>
      </c>
      <c r="M4" s="119" t="s">
        <v>21</v>
      </c>
      <c r="N4" s="121" t="s">
        <v>22</v>
      </c>
      <c r="O4" s="122" t="s">
        <v>23</v>
      </c>
      <c r="P4" s="123" t="s">
        <v>24</v>
      </c>
      <c r="Q4" s="151"/>
      <c r="R4" s="152" t="s">
        <v>25</v>
      </c>
      <c r="S4" s="153" t="s">
        <v>26</v>
      </c>
      <c r="T4" s="154" t="s">
        <v>27</v>
      </c>
      <c r="U4" s="155" t="s">
        <v>28</v>
      </c>
      <c r="V4" s="154" t="s">
        <v>29</v>
      </c>
      <c r="W4" s="156"/>
      <c r="X4" s="157"/>
      <c r="Y4" s="169" t="s">
        <v>30</v>
      </c>
      <c r="Z4" s="169" t="s">
        <v>31</v>
      </c>
      <c r="AA4" s="169" t="s">
        <v>32</v>
      </c>
      <c r="AB4" s="170" t="s">
        <v>33</v>
      </c>
      <c r="AC4" s="171" t="s">
        <v>34</v>
      </c>
      <c r="AD4" s="172" t="s">
        <v>24</v>
      </c>
      <c r="AE4" s="173" t="s">
        <v>35</v>
      </c>
      <c r="AF4" s="174"/>
    </row>
    <row r="5" s="88" customFormat="1" ht="12.75" spans="1:32">
      <c r="A5" s="101"/>
      <c r="B5" s="102"/>
      <c r="C5" s="103">
        <v>241202000011</v>
      </c>
      <c r="D5" s="104">
        <v>45631</v>
      </c>
      <c r="E5" s="104" t="s">
        <v>89</v>
      </c>
      <c r="F5" s="102" t="s">
        <v>90</v>
      </c>
      <c r="G5" s="214" t="s">
        <v>91</v>
      </c>
      <c r="H5" s="214">
        <v>0.4399</v>
      </c>
      <c r="I5" s="214">
        <v>73</v>
      </c>
      <c r="J5" s="215">
        <v>900.59</v>
      </c>
      <c r="K5" s="216"/>
      <c r="L5" s="217"/>
      <c r="M5" s="218"/>
      <c r="N5" s="217"/>
      <c r="O5" s="214"/>
      <c r="P5" s="219">
        <v>900.59</v>
      </c>
      <c r="Q5" s="227"/>
      <c r="R5" s="227"/>
      <c r="S5" s="228">
        <v>303.810789338235</v>
      </c>
      <c r="T5" s="228"/>
      <c r="U5" s="228">
        <v>16.1727941176471</v>
      </c>
      <c r="V5" s="228"/>
      <c r="W5" s="228"/>
      <c r="X5" s="228">
        <v>319.983583455882</v>
      </c>
      <c r="Y5" s="220">
        <v>71.6842926470588</v>
      </c>
      <c r="Z5" s="220"/>
      <c r="AA5" s="220"/>
      <c r="AB5" s="220">
        <v>71.6842926470588</v>
      </c>
      <c r="AC5" s="216">
        <v>7.24</v>
      </c>
      <c r="AD5" s="228">
        <v>518.994278764706</v>
      </c>
      <c r="AE5" s="228">
        <v>838.977862220588</v>
      </c>
      <c r="AF5" s="228">
        <v>61.612137779412</v>
      </c>
    </row>
    <row r="6" s="88" customFormat="1" ht="12.75" spans="1:32">
      <c r="A6" s="101"/>
      <c r="B6" s="102"/>
      <c r="C6" s="103">
        <v>241204000060</v>
      </c>
      <c r="D6" s="104">
        <v>45631</v>
      </c>
      <c r="E6" s="104" t="s">
        <v>89</v>
      </c>
      <c r="F6" s="102" t="s">
        <v>90</v>
      </c>
      <c r="G6" s="214" t="s">
        <v>91</v>
      </c>
      <c r="H6" s="214">
        <v>0.6256</v>
      </c>
      <c r="I6" s="214">
        <v>144</v>
      </c>
      <c r="J6" s="215">
        <v>1269.02</v>
      </c>
      <c r="K6" s="216"/>
      <c r="L6" s="217"/>
      <c r="M6" s="218"/>
      <c r="N6" s="217"/>
      <c r="O6" s="214"/>
      <c r="P6" s="219">
        <v>1269.02</v>
      </c>
      <c r="Q6" s="229"/>
      <c r="R6" s="229"/>
      <c r="S6" s="228">
        <v>432.0619</v>
      </c>
      <c r="T6" s="228"/>
      <c r="U6" s="228">
        <v>23</v>
      </c>
      <c r="V6" s="228"/>
      <c r="W6" s="228"/>
      <c r="X6" s="228">
        <v>455.0619</v>
      </c>
      <c r="Y6" s="220">
        <v>101.9452</v>
      </c>
      <c r="Z6" s="220"/>
      <c r="AA6" s="220"/>
      <c r="AB6" s="220">
        <v>101.9452</v>
      </c>
      <c r="AC6" s="216">
        <v>7.24</v>
      </c>
      <c r="AD6" s="228">
        <v>738.083248</v>
      </c>
      <c r="AE6" s="228">
        <v>1193.145148</v>
      </c>
      <c r="AF6" s="228">
        <v>75.8748519999999</v>
      </c>
    </row>
    <row r="7" s="88" customFormat="1" ht="12.75" spans="1:32">
      <c r="A7" s="101"/>
      <c r="B7" s="102"/>
      <c r="C7" s="103">
        <v>241219000017</v>
      </c>
      <c r="D7" s="104">
        <v>46010</v>
      </c>
      <c r="E7" s="104" t="s">
        <v>89</v>
      </c>
      <c r="F7" s="102" t="s">
        <v>90</v>
      </c>
      <c r="G7" s="214" t="s">
        <v>91</v>
      </c>
      <c r="H7" s="214">
        <v>2.2361</v>
      </c>
      <c r="I7" s="214">
        <v>234</v>
      </c>
      <c r="J7" s="215">
        <v>4542.5</v>
      </c>
      <c r="K7" s="216"/>
      <c r="L7" s="217"/>
      <c r="M7" s="218"/>
      <c r="N7" s="220"/>
      <c r="O7" s="214"/>
      <c r="P7" s="219">
        <v>4542.5</v>
      </c>
      <c r="Q7" s="227"/>
      <c r="R7" s="227"/>
      <c r="S7" s="228">
        <v>1603.99070220588</v>
      </c>
      <c r="T7" s="228">
        <v>2.92271423529412</v>
      </c>
      <c r="U7" s="228">
        <v>62.4792647058824</v>
      </c>
      <c r="V7" s="228"/>
      <c r="W7" s="228"/>
      <c r="X7" s="228">
        <v>1669.39268114706</v>
      </c>
      <c r="Y7" s="220">
        <v>395.822583823529</v>
      </c>
      <c r="Z7" s="220"/>
      <c r="AA7" s="220">
        <v>1.89147752941176</v>
      </c>
      <c r="AB7" s="220">
        <v>397.714061352941</v>
      </c>
      <c r="AC7" s="216">
        <v>7.25</v>
      </c>
      <c r="AD7" s="228">
        <v>2883.42694480882</v>
      </c>
      <c r="AE7" s="228">
        <v>4552.81962595588</v>
      </c>
      <c r="AF7" s="228">
        <v>-10.3196259558799</v>
      </c>
    </row>
    <row r="8" s="88" customFormat="1" ht="12.75" spans="1:32">
      <c r="A8" s="101"/>
      <c r="B8" s="102"/>
      <c r="C8" s="103">
        <v>241219000017</v>
      </c>
      <c r="D8" s="104">
        <v>46018</v>
      </c>
      <c r="E8" s="104" t="s">
        <v>89</v>
      </c>
      <c r="F8" s="102" t="s">
        <v>90</v>
      </c>
      <c r="G8" s="214" t="s">
        <v>91</v>
      </c>
      <c r="H8" s="214">
        <v>1.1975</v>
      </c>
      <c r="I8" s="214">
        <v>205</v>
      </c>
      <c r="J8" s="215">
        <v>2430</v>
      </c>
      <c r="K8" s="216"/>
      <c r="L8" s="214"/>
      <c r="M8" s="218"/>
      <c r="N8" s="217"/>
      <c r="O8" s="221"/>
      <c r="P8" s="219">
        <v>2430</v>
      </c>
      <c r="Q8" s="227"/>
      <c r="R8" s="227"/>
      <c r="S8" s="228">
        <v>891.345036764706</v>
      </c>
      <c r="T8" s="228"/>
      <c r="U8" s="228">
        <v>36.9816176470588</v>
      </c>
      <c r="V8" s="228"/>
      <c r="W8" s="228"/>
      <c r="X8" s="228">
        <v>928.326654411765</v>
      </c>
      <c r="Y8" s="220">
        <v>202.838009191176</v>
      </c>
      <c r="Z8" s="220"/>
      <c r="AA8" s="220">
        <v>1.04622757352941</v>
      </c>
      <c r="AB8" s="220">
        <v>203.884236764706</v>
      </c>
      <c r="AC8" s="216">
        <v>7.26</v>
      </c>
      <c r="AD8" s="228">
        <v>1480.19955891176</v>
      </c>
      <c r="AE8" s="228">
        <v>2408.52621332353</v>
      </c>
      <c r="AF8" s="228">
        <v>21.4737866764699</v>
      </c>
    </row>
    <row r="9" s="88" customFormat="1" ht="12.75" spans="1:32">
      <c r="A9" s="101"/>
      <c r="B9" s="102"/>
      <c r="C9" s="103">
        <v>241223000069</v>
      </c>
      <c r="D9" s="104">
        <v>46018</v>
      </c>
      <c r="E9" s="104" t="s">
        <v>89</v>
      </c>
      <c r="F9" s="102" t="s">
        <v>90</v>
      </c>
      <c r="G9" s="214" t="s">
        <v>91</v>
      </c>
      <c r="H9" s="214">
        <v>5.4144</v>
      </c>
      <c r="I9" s="214">
        <v>1858</v>
      </c>
      <c r="J9" s="215">
        <v>10997.45</v>
      </c>
      <c r="K9" s="216"/>
      <c r="L9" s="214"/>
      <c r="M9" s="218"/>
      <c r="N9" s="217"/>
      <c r="O9" s="221"/>
      <c r="P9" s="219">
        <v>10997.45</v>
      </c>
      <c r="Q9" s="227"/>
      <c r="R9" s="227"/>
      <c r="S9" s="228">
        <v>4030.14494117647</v>
      </c>
      <c r="T9" s="228"/>
      <c r="U9" s="228">
        <v>167.209411764706</v>
      </c>
      <c r="V9" s="228"/>
      <c r="W9" s="228"/>
      <c r="X9" s="228">
        <v>4197.35435294118</v>
      </c>
      <c r="Y9" s="220">
        <v>917.115755294118</v>
      </c>
      <c r="Z9" s="220"/>
      <c r="AA9" s="220">
        <v>4.73043388235294</v>
      </c>
      <c r="AB9" s="220">
        <v>921.84618917647</v>
      </c>
      <c r="AC9" s="216">
        <v>7.26</v>
      </c>
      <c r="AD9" s="228">
        <v>6692.60333342118</v>
      </c>
      <c r="AE9" s="228">
        <v>10889.9576863624</v>
      </c>
      <c r="AF9" s="228">
        <v>107.4923136376</v>
      </c>
    </row>
    <row r="10" s="88" customFormat="1" ht="12.75" spans="1:32">
      <c r="A10" s="101"/>
      <c r="B10" s="102"/>
      <c r="C10" s="103">
        <v>241224000009</v>
      </c>
      <c r="D10" s="104">
        <v>46018</v>
      </c>
      <c r="E10" s="104" t="s">
        <v>89</v>
      </c>
      <c r="F10" s="102" t="s">
        <v>90</v>
      </c>
      <c r="G10" s="214" t="s">
        <v>91</v>
      </c>
      <c r="H10" s="214">
        <v>3.9648</v>
      </c>
      <c r="I10" s="214">
        <v>516</v>
      </c>
      <c r="J10" s="215">
        <v>8070.22</v>
      </c>
      <c r="K10" s="216"/>
      <c r="L10" s="214"/>
      <c r="M10" s="218"/>
      <c r="N10" s="217"/>
      <c r="O10" s="221"/>
      <c r="P10" s="219">
        <v>8070.22</v>
      </c>
      <c r="Q10" s="227"/>
      <c r="R10" s="227"/>
      <c r="S10" s="228">
        <v>2951.15223529412</v>
      </c>
      <c r="T10" s="228"/>
      <c r="U10" s="228">
        <v>122.442352941176</v>
      </c>
      <c r="V10" s="228"/>
      <c r="W10" s="228"/>
      <c r="X10" s="228">
        <v>3073.59458823529</v>
      </c>
      <c r="Y10" s="220">
        <v>671.575898823529</v>
      </c>
      <c r="Z10" s="220"/>
      <c r="AA10" s="220">
        <v>3.46395247058823</v>
      </c>
      <c r="AB10" s="220">
        <v>675.039851294118</v>
      </c>
      <c r="AC10" s="216">
        <v>7.26</v>
      </c>
      <c r="AD10" s="228">
        <v>4900.78932039529</v>
      </c>
      <c r="AE10" s="228">
        <v>7974.38390863059</v>
      </c>
      <c r="AF10" s="228">
        <v>95.8360913694105</v>
      </c>
    </row>
    <row r="11" s="88" customFormat="1" ht="12.75" spans="1:32">
      <c r="A11" s="101"/>
      <c r="B11" s="102"/>
      <c r="C11" s="103">
        <v>241220000032</v>
      </c>
      <c r="D11" s="104">
        <v>46020</v>
      </c>
      <c r="E11" s="104" t="s">
        <v>89</v>
      </c>
      <c r="F11" s="102" t="s">
        <v>90</v>
      </c>
      <c r="G11" s="214" t="s">
        <v>91</v>
      </c>
      <c r="H11" s="214">
        <v>0.1307</v>
      </c>
      <c r="I11" s="214">
        <v>18</v>
      </c>
      <c r="J11" s="215">
        <v>264.26</v>
      </c>
      <c r="K11" s="216"/>
      <c r="L11" s="214"/>
      <c r="M11" s="218"/>
      <c r="N11" s="217"/>
      <c r="O11" s="221"/>
      <c r="P11" s="219">
        <v>264.26</v>
      </c>
      <c r="Q11" s="227"/>
      <c r="R11" s="227"/>
      <c r="S11" s="228">
        <v>96.4681323529412</v>
      </c>
      <c r="T11" s="228"/>
      <c r="U11" s="228">
        <v>3.45970588235294</v>
      </c>
      <c r="V11" s="228"/>
      <c r="W11" s="228"/>
      <c r="X11" s="228">
        <v>99.9278382352941</v>
      </c>
      <c r="Y11" s="220">
        <v>21.4175783529412</v>
      </c>
      <c r="Z11" s="220"/>
      <c r="AA11" s="220">
        <v>0.257748088235294</v>
      </c>
      <c r="AB11" s="220">
        <v>21.6753264411765</v>
      </c>
      <c r="AC11" s="216">
        <v>7.25</v>
      </c>
      <c r="AD11" s="228">
        <v>157.146116698529</v>
      </c>
      <c r="AE11" s="228">
        <v>257.073954933824</v>
      </c>
      <c r="AF11" s="228">
        <v>7.18604506617601</v>
      </c>
    </row>
    <row r="12" s="88" customFormat="1" ht="12.75" spans="1:33">
      <c r="A12" s="101"/>
      <c r="B12" s="102"/>
      <c r="C12" s="103">
        <v>241220000033</v>
      </c>
      <c r="D12" s="104">
        <v>46020</v>
      </c>
      <c r="E12" s="104" t="s">
        <v>89</v>
      </c>
      <c r="F12" s="102" t="s">
        <v>90</v>
      </c>
      <c r="G12" s="214" t="s">
        <v>91</v>
      </c>
      <c r="H12" s="214">
        <v>4.4833</v>
      </c>
      <c r="I12" s="214">
        <v>535</v>
      </c>
      <c r="J12" s="215">
        <v>9724.04</v>
      </c>
      <c r="K12" s="216"/>
      <c r="L12" s="214"/>
      <c r="M12" s="218"/>
      <c r="N12" s="217"/>
      <c r="O12" s="221"/>
      <c r="P12" s="219">
        <v>9724.04</v>
      </c>
      <c r="Q12" s="227"/>
      <c r="R12" s="227"/>
      <c r="S12" s="228">
        <v>3309.07098529412</v>
      </c>
      <c r="T12" s="228"/>
      <c r="U12" s="228">
        <v>118.675588235294</v>
      </c>
      <c r="V12" s="228">
        <v>600</v>
      </c>
      <c r="W12" s="228"/>
      <c r="X12" s="228">
        <v>4027.74657352941</v>
      </c>
      <c r="Y12" s="220">
        <v>734.670459294118</v>
      </c>
      <c r="Z12" s="220"/>
      <c r="AA12" s="220">
        <v>8.84133132352941</v>
      </c>
      <c r="AB12" s="220">
        <v>743.511790617647</v>
      </c>
      <c r="AC12" s="216">
        <v>7.25</v>
      </c>
      <c r="AD12" s="228">
        <v>5390.46048197794</v>
      </c>
      <c r="AE12" s="228">
        <v>9418.20705550735</v>
      </c>
      <c r="AF12" s="228">
        <v>305.832944492651</v>
      </c>
      <c r="AG12" s="230">
        <f>SUM(AF5:AF12)</f>
        <v>664.988545065839</v>
      </c>
    </row>
    <row r="13" s="88" customFormat="1" ht="12.75" spans="1:33">
      <c r="A13" s="101"/>
      <c r="B13" s="102"/>
      <c r="C13" s="103">
        <v>241202000005</v>
      </c>
      <c r="D13" s="104">
        <v>45631</v>
      </c>
      <c r="E13" s="104" t="s">
        <v>89</v>
      </c>
      <c r="F13" s="102" t="s">
        <v>90</v>
      </c>
      <c r="G13" s="102" t="s">
        <v>92</v>
      </c>
      <c r="H13" s="102">
        <v>0.8261</v>
      </c>
      <c r="I13" s="102">
        <v>59</v>
      </c>
      <c r="J13" s="124"/>
      <c r="K13" s="129">
        <v>424545</v>
      </c>
      <c r="L13" s="126"/>
      <c r="M13" s="127">
        <v>1657.79589310837</v>
      </c>
      <c r="N13" s="128">
        <v>256.09003</v>
      </c>
      <c r="O13" s="102">
        <v>7.27</v>
      </c>
      <c r="P13" s="124">
        <v>1861.7745181</v>
      </c>
      <c r="Q13" s="161"/>
      <c r="R13" s="161"/>
      <c r="S13" s="160">
        <v>570.534423897059</v>
      </c>
      <c r="T13" s="160"/>
      <c r="U13" s="160">
        <v>30.3713235294118</v>
      </c>
      <c r="V13" s="160"/>
      <c r="W13" s="160"/>
      <c r="X13" s="160">
        <v>600.90574742647</v>
      </c>
      <c r="Y13" s="175">
        <v>134.617854411765</v>
      </c>
      <c r="Z13" s="175"/>
      <c r="AA13" s="175"/>
      <c r="AB13" s="175">
        <v>134.617854411765</v>
      </c>
      <c r="AC13" s="176">
        <v>7.24</v>
      </c>
      <c r="AD13" s="160">
        <v>974.633265941177</v>
      </c>
      <c r="AE13" s="160">
        <v>1575.53901336765</v>
      </c>
      <c r="AF13" s="160">
        <v>286.235504732353</v>
      </c>
      <c r="AG13" s="230">
        <f>SUM(AG12/2)</f>
        <v>332.49427253292</v>
      </c>
    </row>
    <row r="14" s="88" customFormat="1" ht="12.75" spans="1:32">
      <c r="A14" s="101"/>
      <c r="B14" s="102"/>
      <c r="C14" s="103">
        <v>241217000014</v>
      </c>
      <c r="D14" s="104">
        <v>45643</v>
      </c>
      <c r="E14" s="104" t="s">
        <v>89</v>
      </c>
      <c r="F14" s="102" t="s">
        <v>90</v>
      </c>
      <c r="G14" s="102" t="s">
        <v>93</v>
      </c>
      <c r="H14" s="102">
        <v>1.1639</v>
      </c>
      <c r="I14" s="102">
        <v>148</v>
      </c>
      <c r="J14" s="124"/>
      <c r="K14" s="129">
        <v>687330</v>
      </c>
      <c r="L14" s="126"/>
      <c r="M14" s="127">
        <v>1536.00160901046</v>
      </c>
      <c r="N14" s="128">
        <v>447.48</v>
      </c>
      <c r="O14" s="102">
        <v>7.27</v>
      </c>
      <c r="P14" s="124">
        <v>3253.1796</v>
      </c>
      <c r="Q14" s="161"/>
      <c r="R14" s="161"/>
      <c r="S14" s="160">
        <v>857.186675735294</v>
      </c>
      <c r="T14" s="160"/>
      <c r="U14" s="160">
        <v>34.2323529411765</v>
      </c>
      <c r="V14" s="160"/>
      <c r="W14" s="160"/>
      <c r="X14" s="160">
        <v>891.419028676471</v>
      </c>
      <c r="Y14" s="175">
        <v>210.015485294118</v>
      </c>
      <c r="Z14" s="175">
        <v>66.75</v>
      </c>
      <c r="AA14" s="175">
        <v>0.9485785</v>
      </c>
      <c r="AB14" s="175">
        <v>277.714063794118</v>
      </c>
      <c r="AC14" s="176">
        <v>7.25</v>
      </c>
      <c r="AD14" s="160">
        <v>2013.42696250735</v>
      </c>
      <c r="AE14" s="160">
        <v>2904.84599118382</v>
      </c>
      <c r="AF14" s="160">
        <v>348.33360881618</v>
      </c>
    </row>
    <row r="15" s="88" customFormat="1" ht="12.75" spans="1:32">
      <c r="A15" s="101"/>
      <c r="B15" s="102"/>
      <c r="C15" s="103">
        <v>241217000015</v>
      </c>
      <c r="D15" s="104">
        <v>45643</v>
      </c>
      <c r="E15" s="104" t="s">
        <v>89</v>
      </c>
      <c r="F15" s="102" t="s">
        <v>90</v>
      </c>
      <c r="G15" s="102" t="s">
        <v>94</v>
      </c>
      <c r="H15" s="102">
        <v>0.322</v>
      </c>
      <c r="I15" s="102">
        <v>85</v>
      </c>
      <c r="J15" s="124"/>
      <c r="K15" s="129">
        <v>186847</v>
      </c>
      <c r="L15" s="126"/>
      <c r="M15" s="127">
        <v>1582.1083827265</v>
      </c>
      <c r="N15" s="128">
        <v>118.1</v>
      </c>
      <c r="O15" s="102">
        <v>7.25</v>
      </c>
      <c r="P15" s="124">
        <v>856.225</v>
      </c>
      <c r="Q15" s="161"/>
      <c r="R15" s="161"/>
      <c r="S15" s="160">
        <v>237.145897058824</v>
      </c>
      <c r="T15" s="160"/>
      <c r="U15" s="160">
        <v>9.47058823529412</v>
      </c>
      <c r="V15" s="160"/>
      <c r="W15" s="160"/>
      <c r="X15" s="160">
        <v>246.616485294118</v>
      </c>
      <c r="Y15" s="175">
        <v>58.1020588235294</v>
      </c>
      <c r="Z15" s="175"/>
      <c r="AA15" s="175">
        <v>0.26243</v>
      </c>
      <c r="AB15" s="175">
        <v>58.3644888235294</v>
      </c>
      <c r="AC15" s="176">
        <v>7.25</v>
      </c>
      <c r="AD15" s="160">
        <v>423.142543970588</v>
      </c>
      <c r="AE15" s="160">
        <v>669.759029264706</v>
      </c>
      <c r="AF15" s="160">
        <v>186.465970735294</v>
      </c>
    </row>
    <row r="16" s="88" customFormat="1" ht="12.75" spans="1:32">
      <c r="A16" s="101"/>
      <c r="B16" s="102"/>
      <c r="C16" s="103">
        <v>241216000032</v>
      </c>
      <c r="D16" s="104">
        <v>46018</v>
      </c>
      <c r="E16" s="104" t="s">
        <v>89</v>
      </c>
      <c r="F16" s="102" t="s">
        <v>90</v>
      </c>
      <c r="G16" s="102" t="s">
        <v>95</v>
      </c>
      <c r="H16" s="102">
        <v>1.8673</v>
      </c>
      <c r="I16" s="102">
        <v>857</v>
      </c>
      <c r="J16" s="124"/>
      <c r="K16" s="129">
        <v>984715.9</v>
      </c>
      <c r="L16" s="102"/>
      <c r="M16" s="127">
        <v>1582</v>
      </c>
      <c r="N16" s="128">
        <v>622.45</v>
      </c>
      <c r="O16" s="130">
        <v>7.24</v>
      </c>
      <c r="P16" s="124">
        <v>4506.538</v>
      </c>
      <c r="Q16" s="161"/>
      <c r="R16" s="161"/>
      <c r="S16" s="160">
        <v>1389.90278676471</v>
      </c>
      <c r="T16" s="160"/>
      <c r="U16" s="160">
        <v>57.6666176470588</v>
      </c>
      <c r="V16" s="160"/>
      <c r="W16" s="160"/>
      <c r="X16" s="160">
        <v>1447.56940441176</v>
      </c>
      <c r="Y16" s="175">
        <v>316.291786691176</v>
      </c>
      <c r="Z16" s="175">
        <v>8.14</v>
      </c>
      <c r="AA16" s="175">
        <v>1.63141607352941</v>
      </c>
      <c r="AB16" s="175">
        <v>326.063202764706</v>
      </c>
      <c r="AC16" s="176">
        <v>7.26</v>
      </c>
      <c r="AD16" s="160">
        <v>2367.21885207176</v>
      </c>
      <c r="AE16" s="160">
        <v>3814.78825648353</v>
      </c>
      <c r="AF16" s="160">
        <v>691.749743516471</v>
      </c>
    </row>
    <row r="17" s="88" customFormat="1" ht="12.75" spans="1:32">
      <c r="A17" s="101"/>
      <c r="B17" s="102"/>
      <c r="C17" s="103">
        <v>241217000015</v>
      </c>
      <c r="D17" s="104">
        <v>46018</v>
      </c>
      <c r="E17" s="104" t="s">
        <v>89</v>
      </c>
      <c r="F17" s="102" t="s">
        <v>90</v>
      </c>
      <c r="G17" s="102" t="s">
        <v>94</v>
      </c>
      <c r="H17" s="102">
        <v>2.0946</v>
      </c>
      <c r="I17" s="102">
        <v>144</v>
      </c>
      <c r="J17" s="124"/>
      <c r="K17" s="129">
        <v>1215438</v>
      </c>
      <c r="L17" s="102"/>
      <c r="M17" s="127">
        <v>1581.98360015619</v>
      </c>
      <c r="N17" s="128">
        <v>768.3</v>
      </c>
      <c r="O17" s="130">
        <v>7.25</v>
      </c>
      <c r="P17" s="124">
        <v>5570.175</v>
      </c>
      <c r="Q17" s="161"/>
      <c r="R17" s="161"/>
      <c r="S17" s="160">
        <v>1559.09086764706</v>
      </c>
      <c r="T17" s="160"/>
      <c r="U17" s="160">
        <v>64.6861764705882</v>
      </c>
      <c r="V17" s="160"/>
      <c r="W17" s="160"/>
      <c r="X17" s="160">
        <v>1623.77704411765</v>
      </c>
      <c r="Y17" s="175">
        <v>354.792896911765</v>
      </c>
      <c r="Z17" s="175">
        <v>103.35</v>
      </c>
      <c r="AA17" s="175">
        <v>1.83000273529412</v>
      </c>
      <c r="AB17" s="175">
        <v>459.972899647059</v>
      </c>
      <c r="AC17" s="176">
        <v>7.26</v>
      </c>
      <c r="AD17" s="160">
        <v>3339.40325143765</v>
      </c>
      <c r="AE17" s="160">
        <v>4963.18029555529</v>
      </c>
      <c r="AF17" s="160">
        <v>606.994704444707</v>
      </c>
    </row>
    <row r="18" s="88" customFormat="1" ht="12.75" spans="1:32">
      <c r="A18" s="101"/>
      <c r="B18" s="102"/>
      <c r="C18" s="103">
        <v>241226000023</v>
      </c>
      <c r="D18" s="104">
        <v>46018</v>
      </c>
      <c r="E18" s="104" t="s">
        <v>89</v>
      </c>
      <c r="F18" s="102" t="s">
        <v>90</v>
      </c>
      <c r="G18" s="102" t="s">
        <v>93</v>
      </c>
      <c r="H18" s="102">
        <v>0.8304</v>
      </c>
      <c r="I18" s="102">
        <v>88</v>
      </c>
      <c r="J18" s="124"/>
      <c r="K18" s="129">
        <v>488305</v>
      </c>
      <c r="L18" s="102"/>
      <c r="M18" s="127">
        <v>1581.29857512953</v>
      </c>
      <c r="N18" s="128">
        <v>308.8</v>
      </c>
      <c r="O18" s="130">
        <v>7.27</v>
      </c>
      <c r="P18" s="124">
        <v>2244.976</v>
      </c>
      <c r="Q18" s="161"/>
      <c r="R18" s="161"/>
      <c r="S18" s="160">
        <v>618.098470588235</v>
      </c>
      <c r="T18" s="160"/>
      <c r="U18" s="160">
        <v>25.6447058823529</v>
      </c>
      <c r="V18" s="160"/>
      <c r="W18" s="160"/>
      <c r="X18" s="160">
        <v>643.743176470588</v>
      </c>
      <c r="Y18" s="175">
        <v>140.656937647059</v>
      </c>
      <c r="Z18" s="175">
        <v>35.59</v>
      </c>
      <c r="AA18" s="175">
        <v>0.725500941176471</v>
      </c>
      <c r="AB18" s="175">
        <v>176.972438588235</v>
      </c>
      <c r="AC18" s="176">
        <v>7.26</v>
      </c>
      <c r="AD18" s="160">
        <v>1284.81990415059</v>
      </c>
      <c r="AE18" s="160">
        <v>1928.56308062118</v>
      </c>
      <c r="AF18" s="160">
        <v>316.412919378824</v>
      </c>
    </row>
    <row r="19" s="88" customFormat="1" ht="12.75" spans="1:32">
      <c r="A19" s="101"/>
      <c r="B19" s="102"/>
      <c r="C19" s="103">
        <v>241225000006</v>
      </c>
      <c r="D19" s="104">
        <v>46020</v>
      </c>
      <c r="E19" s="104" t="s">
        <v>89</v>
      </c>
      <c r="F19" s="102" t="s">
        <v>90</v>
      </c>
      <c r="G19" s="102" t="s">
        <v>95</v>
      </c>
      <c r="H19" s="102">
        <v>2.399</v>
      </c>
      <c r="I19" s="102">
        <v>1988</v>
      </c>
      <c r="J19" s="124"/>
      <c r="K19" s="222">
        <v>1244263</v>
      </c>
      <c r="L19" s="102"/>
      <c r="M19" s="127">
        <v>1573.02528445006</v>
      </c>
      <c r="N19" s="128">
        <v>791</v>
      </c>
      <c r="O19" s="130">
        <v>7.25</v>
      </c>
      <c r="P19" s="124">
        <v>5734.75</v>
      </c>
      <c r="Q19" s="161"/>
      <c r="R19" s="161"/>
      <c r="S19" s="160">
        <v>1785.66742647059</v>
      </c>
      <c r="T19" s="160"/>
      <c r="U19" s="160">
        <v>74.0867647058824</v>
      </c>
      <c r="V19" s="160"/>
      <c r="W19" s="160"/>
      <c r="X19" s="160">
        <v>1859.75419117647</v>
      </c>
      <c r="Y19" s="175">
        <v>406.353556617647</v>
      </c>
      <c r="Z19" s="175"/>
      <c r="AA19" s="175">
        <v>2.09594985294118</v>
      </c>
      <c r="AB19" s="175">
        <v>408.449506470588</v>
      </c>
      <c r="AC19" s="176">
        <v>7.26</v>
      </c>
      <c r="AD19" s="160">
        <v>2965.34341697647</v>
      </c>
      <c r="AE19" s="160">
        <v>4825.09760815294</v>
      </c>
      <c r="AF19" s="160">
        <v>909.652391847059</v>
      </c>
    </row>
    <row r="20" s="88" customFormat="1" ht="12.75" spans="1:32">
      <c r="A20" s="101"/>
      <c r="B20" s="102"/>
      <c r="C20" s="103">
        <v>241225000006</v>
      </c>
      <c r="D20" s="104">
        <v>46020</v>
      </c>
      <c r="E20" s="104" t="s">
        <v>89</v>
      </c>
      <c r="F20" s="102" t="s">
        <v>90</v>
      </c>
      <c r="G20" s="102" t="s">
        <v>95</v>
      </c>
      <c r="H20" s="102">
        <v>1.7317</v>
      </c>
      <c r="I20" s="102">
        <v>1184</v>
      </c>
      <c r="J20" s="124"/>
      <c r="K20" s="222">
        <v>898163</v>
      </c>
      <c r="L20" s="102"/>
      <c r="M20" s="127">
        <v>1572.9649737303</v>
      </c>
      <c r="N20" s="128">
        <v>571</v>
      </c>
      <c r="O20" s="130">
        <v>7.25</v>
      </c>
      <c r="P20" s="124">
        <v>4139.75</v>
      </c>
      <c r="Q20" s="161"/>
      <c r="R20" s="161"/>
      <c r="S20" s="160">
        <v>1278.14739705882</v>
      </c>
      <c r="T20" s="160"/>
      <c r="U20" s="160">
        <v>45.8391176470588</v>
      </c>
      <c r="V20" s="160"/>
      <c r="W20" s="160"/>
      <c r="X20" s="160">
        <v>1323.98651470588</v>
      </c>
      <c r="Y20" s="175">
        <v>283.770623058824</v>
      </c>
      <c r="Z20" s="175">
        <v>52.28</v>
      </c>
      <c r="AA20" s="175">
        <v>3.41501426470588</v>
      </c>
      <c r="AB20" s="175">
        <v>339.465637323529</v>
      </c>
      <c r="AC20" s="176">
        <v>7.25</v>
      </c>
      <c r="AD20" s="160">
        <v>2461.12587059559</v>
      </c>
      <c r="AE20" s="160">
        <v>3785.11238530147</v>
      </c>
      <c r="AF20" s="160">
        <v>354.637614698529</v>
      </c>
    </row>
    <row r="21" s="193" customFormat="1" ht="19" customHeight="1" spans="1:32">
      <c r="A21" s="101" t="s">
        <v>96</v>
      </c>
      <c r="B21" s="195"/>
      <c r="C21" s="196"/>
      <c r="D21" s="197"/>
      <c r="E21" s="198"/>
      <c r="F21" s="195"/>
      <c r="G21" s="195"/>
      <c r="H21" s="195">
        <f>SUM(H5:H20)</f>
        <v>29.7273</v>
      </c>
      <c r="I21" s="203"/>
      <c r="J21" s="203"/>
      <c r="K21" s="203"/>
      <c r="L21" s="203"/>
      <c r="M21" s="204"/>
      <c r="N21" s="20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209"/>
      <c r="AC21" s="209"/>
      <c r="AD21" s="209"/>
      <c r="AE21" s="209"/>
      <c r="AF21" s="209">
        <f>SUM(AF5:AF20)</f>
        <v>4365.47100323526</v>
      </c>
    </row>
    <row r="22" s="194" customFormat="1" ht="20" customHeight="1" spans="1:32">
      <c r="A22" s="199"/>
      <c r="B22" s="199"/>
      <c r="D22" s="200"/>
      <c r="H22" s="201"/>
      <c r="I22" s="205"/>
      <c r="J22" s="206"/>
      <c r="K22" s="201"/>
      <c r="L22" s="201"/>
      <c r="M22" s="207"/>
      <c r="N22" s="207"/>
      <c r="O22" s="207"/>
      <c r="P22" s="207"/>
      <c r="Q22" s="207"/>
      <c r="R22" s="207"/>
      <c r="S22" s="207"/>
      <c r="T22" s="207"/>
      <c r="U22" s="207"/>
      <c r="V22" s="207"/>
      <c r="W22" s="207"/>
      <c r="X22" s="207"/>
      <c r="Y22" s="207"/>
      <c r="AF22" s="194">
        <v>332.49</v>
      </c>
    </row>
    <row r="23" s="1" customFormat="1" ht="23" customHeight="1" spans="3:32">
      <c r="C23" s="74" t="s">
        <v>63</v>
      </c>
      <c r="D23" s="74"/>
      <c r="E23" s="74"/>
      <c r="F23" s="109" t="s">
        <v>64</v>
      </c>
      <c r="G23" s="110"/>
      <c r="H23" s="110"/>
      <c r="I23" s="131"/>
      <c r="J23"/>
      <c r="K23" s="136" t="s">
        <v>97</v>
      </c>
      <c r="L23" s="136"/>
      <c r="M23" s="136"/>
      <c r="N23" s="136"/>
      <c r="O23"/>
      <c r="P23"/>
      <c r="AF23" s="1">
        <f>SUM(AF21-AF22)</f>
        <v>4032.98100323526</v>
      </c>
    </row>
    <row r="24" s="1" customFormat="1" ht="23" customHeight="1" spans="3:16">
      <c r="C24" s="74"/>
      <c r="D24" s="74"/>
      <c r="E24" s="74"/>
      <c r="F24" s="111"/>
      <c r="G24" s="112"/>
      <c r="H24" s="112"/>
      <c r="I24" s="135"/>
      <c r="J24"/>
      <c r="K24" s="223" t="s">
        <v>66</v>
      </c>
      <c r="L24" s="223" t="s">
        <v>8</v>
      </c>
      <c r="M24" s="223" t="s">
        <v>67</v>
      </c>
      <c r="N24" s="223" t="s">
        <v>87</v>
      </c>
      <c r="O24"/>
      <c r="P24"/>
    </row>
    <row r="25" s="1" customFormat="1" ht="23" customHeight="1" spans="3:16">
      <c r="C25" s="74" t="s">
        <v>68</v>
      </c>
      <c r="D25" s="74"/>
      <c r="E25" s="74"/>
      <c r="F25" s="80" t="s">
        <v>69</v>
      </c>
      <c r="G25" s="81"/>
      <c r="H25" s="81"/>
      <c r="I25" s="82"/>
      <c r="J25"/>
      <c r="K25" s="136" t="s">
        <v>70</v>
      </c>
      <c r="L25" s="137">
        <f>SUM(H21)</f>
        <v>29.7273</v>
      </c>
      <c r="M25" s="138">
        <v>4032.98100323526</v>
      </c>
      <c r="N25" s="224" t="s">
        <v>98</v>
      </c>
      <c r="O25"/>
      <c r="P25"/>
    </row>
    <row r="26" s="1" customFormat="1" ht="23" customHeight="1" spans="3:16">
      <c r="C26" s="74"/>
      <c r="D26" s="74"/>
      <c r="E26" s="74"/>
      <c r="F26" s="83"/>
      <c r="G26" s="84"/>
      <c r="H26" s="84"/>
      <c r="I26" s="85"/>
      <c r="J26"/>
      <c r="K26" s="139" t="s">
        <v>71</v>
      </c>
      <c r="L26" s="139"/>
      <c r="M26" s="140">
        <v>6000</v>
      </c>
      <c r="N26" s="225"/>
      <c r="O26"/>
      <c r="P26"/>
    </row>
    <row r="27" s="1" customFormat="1" ht="23" customHeight="1" spans="3:16">
      <c r="C27" s="74" t="s">
        <v>72</v>
      </c>
      <c r="D27" s="74"/>
      <c r="E27" s="74"/>
      <c r="F27" s="80" t="s">
        <v>73</v>
      </c>
      <c r="G27" s="81"/>
      <c r="H27" s="81"/>
      <c r="I27" s="82"/>
      <c r="J27"/>
      <c r="K27" s="141" t="s">
        <v>74</v>
      </c>
      <c r="L27" s="141"/>
      <c r="M27" s="142">
        <f>SUM(M25-M26)</f>
        <v>-1967.01899676474</v>
      </c>
      <c r="N27" s="225"/>
      <c r="O27"/>
      <c r="P27"/>
    </row>
    <row r="28" s="1" customFormat="1" ht="23" customHeight="1" spans="3:16">
      <c r="C28" s="74"/>
      <c r="D28" s="74"/>
      <c r="E28" s="74"/>
      <c r="F28" s="83"/>
      <c r="G28" s="84"/>
      <c r="H28" s="84"/>
      <c r="I28" s="85"/>
      <c r="J28"/>
      <c r="K28" s="136" t="s">
        <v>75</v>
      </c>
      <c r="L28" s="136"/>
      <c r="M28" s="136"/>
      <c r="N28" s="225"/>
      <c r="O28"/>
      <c r="P28"/>
    </row>
    <row r="29" s="1" customFormat="1" ht="23" customHeight="1" spans="5:16">
      <c r="E29"/>
      <c r="F29"/>
      <c r="G29"/>
      <c r="H29"/>
      <c r="I29"/>
      <c r="J29"/>
      <c r="K29" s="139" t="s">
        <v>76</v>
      </c>
      <c r="L29" s="139"/>
      <c r="M29" s="140"/>
      <c r="N29" s="226"/>
      <c r="O29"/>
      <c r="P29"/>
    </row>
    <row r="30" s="1" customFormat="1" ht="23" customHeight="1" spans="5:16">
      <c r="E30"/>
      <c r="F30"/>
      <c r="G30"/>
      <c r="H30"/>
      <c r="I30"/>
      <c r="J30"/>
      <c r="K30" s="202"/>
      <c r="L30" s="202"/>
      <c r="M30" s="202"/>
      <c r="N30" s="202"/>
      <c r="O30"/>
      <c r="P30"/>
    </row>
    <row r="31" s="1" customFormat="1" ht="23" customHeight="1" spans="5:13">
      <c r="E31"/>
      <c r="F31"/>
      <c r="G31"/>
      <c r="H31"/>
      <c r="I31"/>
      <c r="J31"/>
      <c r="K31"/>
      <c r="L31"/>
      <c r="M31"/>
    </row>
    <row r="32" s="1" customFormat="1" ht="23" customHeight="1" spans="5:13">
      <c r="E32"/>
      <c r="F32"/>
      <c r="G32"/>
      <c r="H32"/>
      <c r="I32"/>
      <c r="J32"/>
      <c r="K32"/>
      <c r="L32"/>
      <c r="M32"/>
    </row>
    <row r="33" s="1" customFormat="1" ht="23" customHeight="1" spans="5:19">
      <c r="E33"/>
      <c r="F33"/>
      <c r="G33"/>
      <c r="H33"/>
      <c r="I33"/>
      <c r="J33"/>
      <c r="K33"/>
      <c r="L33"/>
      <c r="M33"/>
      <c r="O33"/>
      <c r="P33"/>
      <c r="Q33"/>
      <c r="R33"/>
      <c r="S33" s="35"/>
    </row>
    <row r="34" s="1" customFormat="1" ht="23" customHeight="1" spans="5:19">
      <c r="E34" s="202"/>
      <c r="F34" s="202"/>
      <c r="G34" s="202"/>
      <c r="H34" s="202"/>
      <c r="I34" s="202"/>
      <c r="J34" s="202"/>
      <c r="K34" s="202"/>
      <c r="L34" s="202"/>
      <c r="N34" s="202"/>
      <c r="O34" s="202"/>
      <c r="P34" s="202"/>
      <c r="Q34" s="202"/>
      <c r="S34" s="35"/>
    </row>
    <row r="35" ht="25" customHeight="1"/>
  </sheetData>
  <mergeCells count="24">
    <mergeCell ref="J3:P3"/>
    <mergeCell ref="R3:V3"/>
    <mergeCell ref="Y3:AD3"/>
    <mergeCell ref="K23:N2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N25:N29"/>
    <mergeCell ref="Q3:Q4"/>
    <mergeCell ref="W3:W4"/>
    <mergeCell ref="X3:X4"/>
    <mergeCell ref="AF3:AF4"/>
    <mergeCell ref="C23:E24"/>
    <mergeCell ref="F23:I24"/>
    <mergeCell ref="C25:E26"/>
    <mergeCell ref="F25:I26"/>
    <mergeCell ref="C27:E28"/>
    <mergeCell ref="F27:I28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9"/>
  <sheetViews>
    <sheetView workbookViewId="0">
      <pane xSplit="14" ySplit="3" topLeftCell="AC4" activePane="bottomRight" state="frozen"/>
      <selection/>
      <selection pane="topRight"/>
      <selection pane="bottomLeft"/>
      <selection pane="bottomRight" activeCell="M24" sqref="M24"/>
    </sheetView>
  </sheetViews>
  <sheetFormatPr defaultColWidth="9" defaultRowHeight="13.5"/>
  <cols>
    <col min="3" max="3" width="11.25" customWidth="1"/>
    <col min="4" max="4" width="11.25"/>
    <col min="8" max="8" width="10.125"/>
    <col min="9" max="9" width="12"/>
    <col min="10" max="10" width="11.25"/>
    <col min="11" max="11" width="10"/>
    <col min="12" max="13" width="13.625"/>
    <col min="14" max="14" width="11.375"/>
    <col min="15" max="16" width="14.75"/>
    <col min="17" max="17" width="11.125"/>
    <col min="18" max="18" width="12.5" customWidth="1"/>
    <col min="19" max="19" width="10.125"/>
    <col min="20" max="20" width="13.625"/>
    <col min="21" max="21" width="11.25"/>
    <col min="22" max="22" width="12.5"/>
    <col min="23" max="23" width="10.125"/>
    <col min="24" max="24" width="13.625"/>
    <col min="25" max="25" width="12.5"/>
    <col min="26" max="26" width="10.125"/>
    <col min="27" max="27" width="13.625"/>
    <col min="28" max="28" width="11.25"/>
    <col min="29" max="30" width="10.125"/>
    <col min="31" max="31" width="11.25"/>
    <col min="32" max="32" width="10.375"/>
  </cols>
  <sheetData>
    <row r="1" customFormat="1" ht="24" customHeight="1" spans="1:1">
      <c r="A1" s="90" t="s">
        <v>0</v>
      </c>
    </row>
    <row r="2" s="87" customFormat="1" ht="23" customHeight="1" spans="1:32">
      <c r="A2" s="91" t="s">
        <v>1</v>
      </c>
      <c r="B2" s="92" t="s">
        <v>2</v>
      </c>
      <c r="C2" s="93" t="s">
        <v>3</v>
      </c>
      <c r="D2" s="94" t="s">
        <v>4</v>
      </c>
      <c r="E2" s="95" t="s">
        <v>5</v>
      </c>
      <c r="F2" s="96" t="s">
        <v>6</v>
      </c>
      <c r="G2" s="96" t="s">
        <v>7</v>
      </c>
      <c r="H2" s="96" t="s">
        <v>8</v>
      </c>
      <c r="I2" s="96" t="s">
        <v>9</v>
      </c>
      <c r="J2" s="113" t="s">
        <v>10</v>
      </c>
      <c r="K2" s="114"/>
      <c r="L2" s="115"/>
      <c r="M2" s="114"/>
      <c r="N2" s="115"/>
      <c r="O2" s="116"/>
      <c r="P2" s="117"/>
      <c r="Q2" s="143" t="s">
        <v>11</v>
      </c>
      <c r="R2" s="144" t="s">
        <v>12</v>
      </c>
      <c r="S2" s="145"/>
      <c r="T2" s="146"/>
      <c r="U2" s="147"/>
      <c r="V2" s="148"/>
      <c r="W2" s="149" t="s">
        <v>13</v>
      </c>
      <c r="X2" s="150" t="s">
        <v>14</v>
      </c>
      <c r="Y2" s="165" t="s">
        <v>15</v>
      </c>
      <c r="Z2" s="165"/>
      <c r="AA2" s="165"/>
      <c r="AB2" s="165"/>
      <c r="AC2" s="166"/>
      <c r="AD2" s="165"/>
      <c r="AE2" s="167" t="s">
        <v>16</v>
      </c>
      <c r="AF2" s="168" t="s">
        <v>17</v>
      </c>
    </row>
    <row r="3" s="87" customFormat="1" ht="27" customHeight="1" spans="1:32">
      <c r="A3" s="97"/>
      <c r="B3" s="98"/>
      <c r="C3" s="93"/>
      <c r="D3" s="94"/>
      <c r="E3" s="99"/>
      <c r="F3" s="100"/>
      <c r="G3" s="100"/>
      <c r="H3" s="100"/>
      <c r="I3" s="100"/>
      <c r="J3" s="118" t="s">
        <v>18</v>
      </c>
      <c r="K3" s="119" t="s">
        <v>19</v>
      </c>
      <c r="L3" s="120" t="s">
        <v>20</v>
      </c>
      <c r="M3" s="119" t="s">
        <v>21</v>
      </c>
      <c r="N3" s="121" t="s">
        <v>22</v>
      </c>
      <c r="O3" s="122" t="s">
        <v>23</v>
      </c>
      <c r="P3" s="123" t="s">
        <v>24</v>
      </c>
      <c r="Q3" s="151"/>
      <c r="R3" s="152" t="s">
        <v>25</v>
      </c>
      <c r="S3" s="153" t="s">
        <v>26</v>
      </c>
      <c r="T3" s="154" t="s">
        <v>27</v>
      </c>
      <c r="U3" s="155" t="s">
        <v>28</v>
      </c>
      <c r="V3" s="154" t="s">
        <v>29</v>
      </c>
      <c r="W3" s="156"/>
      <c r="X3" s="157"/>
      <c r="Y3" s="169" t="s">
        <v>30</v>
      </c>
      <c r="Z3" s="169" t="s">
        <v>31</v>
      </c>
      <c r="AA3" s="169" t="s">
        <v>32</v>
      </c>
      <c r="AB3" s="170" t="s">
        <v>33</v>
      </c>
      <c r="AC3" s="171" t="s">
        <v>34</v>
      </c>
      <c r="AD3" s="172" t="s">
        <v>24</v>
      </c>
      <c r="AE3" s="173" t="s">
        <v>35</v>
      </c>
      <c r="AF3" s="174"/>
    </row>
    <row r="4" s="88" customFormat="1" ht="12.75" spans="1:32">
      <c r="A4" s="101"/>
      <c r="B4" s="102"/>
      <c r="C4" s="103">
        <v>241130000012</v>
      </c>
      <c r="D4" s="104">
        <v>45631</v>
      </c>
      <c r="E4" s="104" t="s">
        <v>99</v>
      </c>
      <c r="F4" s="102" t="s">
        <v>100</v>
      </c>
      <c r="G4" s="102" t="s">
        <v>100</v>
      </c>
      <c r="H4" s="102">
        <v>0.0882</v>
      </c>
      <c r="I4" s="102">
        <v>30</v>
      </c>
      <c r="J4" s="124"/>
      <c r="K4" s="129">
        <v>56179</v>
      </c>
      <c r="L4" s="126"/>
      <c r="M4" s="127">
        <v>1679.99401913876</v>
      </c>
      <c r="N4" s="128">
        <v>33.44</v>
      </c>
      <c r="O4" s="102">
        <v>7.27</v>
      </c>
      <c r="P4" s="124">
        <v>243.1088</v>
      </c>
      <c r="Q4" s="161"/>
      <c r="R4" s="161"/>
      <c r="S4" s="160">
        <v>60.9140977941177</v>
      </c>
      <c r="T4" s="160"/>
      <c r="U4" s="160">
        <v>3.24264705882353</v>
      </c>
      <c r="V4" s="160"/>
      <c r="W4" s="160"/>
      <c r="X4" s="160">
        <v>64.1567448529412</v>
      </c>
      <c r="Y4" s="175">
        <v>14.3727088235294</v>
      </c>
      <c r="Z4" s="175"/>
      <c r="AA4" s="175"/>
      <c r="AB4" s="175">
        <v>14.3727088235294</v>
      </c>
      <c r="AC4" s="176">
        <v>7.24</v>
      </c>
      <c r="AD4" s="160">
        <v>104.058411882353</v>
      </c>
      <c r="AE4" s="160">
        <v>168.215156735294</v>
      </c>
      <c r="AF4" s="160">
        <v>74.8936432647058</v>
      </c>
    </row>
    <row r="5" s="88" customFormat="1" ht="63.75" spans="1:32">
      <c r="A5" s="101" t="s">
        <v>101</v>
      </c>
      <c r="B5" s="102" t="s">
        <v>102</v>
      </c>
      <c r="C5" s="103">
        <v>241109000014</v>
      </c>
      <c r="D5" s="104">
        <v>45636</v>
      </c>
      <c r="E5" s="104" t="s">
        <v>99</v>
      </c>
      <c r="F5" s="102" t="s">
        <v>103</v>
      </c>
      <c r="G5" s="102" t="s">
        <v>104</v>
      </c>
      <c r="H5" s="102">
        <v>1.5052</v>
      </c>
      <c r="I5" s="102">
        <v>360</v>
      </c>
      <c r="J5" s="180">
        <v>3329.55</v>
      </c>
      <c r="K5" s="176"/>
      <c r="L5" s="126"/>
      <c r="M5" s="127"/>
      <c r="N5" s="126"/>
      <c r="O5" s="102"/>
      <c r="P5" s="124">
        <v>3329.55</v>
      </c>
      <c r="Q5" s="158">
        <v>137719.0330822</v>
      </c>
      <c r="R5" s="159" t="s">
        <v>105</v>
      </c>
      <c r="S5" s="160">
        <v>1097.21332647059</v>
      </c>
      <c r="T5" s="160"/>
      <c r="U5" s="160">
        <v>46.4841176470588</v>
      </c>
      <c r="V5" s="160"/>
      <c r="W5" s="160"/>
      <c r="X5" s="160">
        <v>1143.69744411765</v>
      </c>
      <c r="Y5" s="175">
        <v>257.278523529412</v>
      </c>
      <c r="Z5" s="175"/>
      <c r="AA5" s="175">
        <v>1.23116505882353</v>
      </c>
      <c r="AB5" s="175">
        <v>258.509688588235</v>
      </c>
      <c r="AC5" s="176">
        <v>7.3</v>
      </c>
      <c r="AD5" s="160">
        <v>1887.12072669412</v>
      </c>
      <c r="AE5" s="160">
        <v>3030.81817081177</v>
      </c>
      <c r="AF5" s="160">
        <v>298.73182918823</v>
      </c>
    </row>
    <row r="6" s="88" customFormat="1" ht="12.75" spans="1:32">
      <c r="A6" s="101"/>
      <c r="B6" s="102"/>
      <c r="C6" s="103">
        <v>241127000004</v>
      </c>
      <c r="D6" s="104">
        <v>45636</v>
      </c>
      <c r="E6" s="104" t="s">
        <v>99</v>
      </c>
      <c r="F6" s="102" t="s">
        <v>103</v>
      </c>
      <c r="G6" s="102" t="s">
        <v>106</v>
      </c>
      <c r="H6" s="102">
        <v>2.3335</v>
      </c>
      <c r="I6" s="102">
        <v>2600</v>
      </c>
      <c r="J6" s="124"/>
      <c r="K6" s="129">
        <v>1863312</v>
      </c>
      <c r="L6" s="126"/>
      <c r="M6" s="127">
        <v>1600</v>
      </c>
      <c r="N6" s="128">
        <v>1164.57</v>
      </c>
      <c r="O6" s="102">
        <v>7.28</v>
      </c>
      <c r="P6" s="124">
        <v>8478.0696</v>
      </c>
      <c r="Q6" s="161"/>
      <c r="R6" s="161"/>
      <c r="S6" s="160">
        <v>1701.00139338235</v>
      </c>
      <c r="T6" s="160"/>
      <c r="U6" s="160">
        <v>72.0639705882353</v>
      </c>
      <c r="V6" s="160"/>
      <c r="W6" s="160"/>
      <c r="X6" s="160">
        <v>1773.06536397059</v>
      </c>
      <c r="Y6" s="175">
        <v>398.856919117647</v>
      </c>
      <c r="Z6" s="175"/>
      <c r="AA6" s="175">
        <v>1.90866573529412</v>
      </c>
      <c r="AB6" s="175">
        <v>400.765584852941</v>
      </c>
      <c r="AC6" s="176">
        <v>7.3</v>
      </c>
      <c r="AD6" s="160">
        <v>2925.58876942647</v>
      </c>
      <c r="AE6" s="160">
        <v>4698.65413339706</v>
      </c>
      <c r="AF6" s="160">
        <v>3779.41546660294</v>
      </c>
    </row>
    <row r="7" s="88" customFormat="1" ht="63.75" spans="1:32">
      <c r="A7" s="101" t="s">
        <v>107</v>
      </c>
      <c r="B7" s="102" t="s">
        <v>108</v>
      </c>
      <c r="C7" s="103">
        <v>241122000025</v>
      </c>
      <c r="D7" s="104">
        <v>45636</v>
      </c>
      <c r="E7" s="104" t="s">
        <v>99</v>
      </c>
      <c r="F7" s="102" t="s">
        <v>103</v>
      </c>
      <c r="G7" s="102" t="s">
        <v>109</v>
      </c>
      <c r="H7" s="102">
        <v>3.6276</v>
      </c>
      <c r="I7" s="102">
        <v>1507</v>
      </c>
      <c r="J7" s="124"/>
      <c r="K7" s="129">
        <v>2696680</v>
      </c>
      <c r="L7" s="126"/>
      <c r="M7" s="127">
        <v>1630.00483558994</v>
      </c>
      <c r="N7" s="128">
        <v>1654.4</v>
      </c>
      <c r="O7" s="102">
        <v>7.27</v>
      </c>
      <c r="P7" s="124">
        <v>12027.488</v>
      </c>
      <c r="Q7" s="158">
        <v>71273.186</v>
      </c>
      <c r="R7" s="159" t="s">
        <v>110</v>
      </c>
      <c r="S7" s="160">
        <v>2606.08384411765</v>
      </c>
      <c r="T7" s="160"/>
      <c r="U7" s="160">
        <v>53.3470588235294</v>
      </c>
      <c r="V7" s="160"/>
      <c r="W7" s="160"/>
      <c r="X7" s="160">
        <v>2659.43090294118</v>
      </c>
      <c r="Y7" s="175">
        <v>617.238807352941</v>
      </c>
      <c r="Z7" s="175">
        <v>315.51</v>
      </c>
      <c r="AA7" s="175">
        <v>7.47498988235294</v>
      </c>
      <c r="AB7" s="175">
        <v>940.223797235294</v>
      </c>
      <c r="AC7" s="176">
        <v>7.25</v>
      </c>
      <c r="AD7" s="160">
        <v>6816.62252995588</v>
      </c>
      <c r="AE7" s="160">
        <v>9476.05343289706</v>
      </c>
      <c r="AF7" s="160">
        <v>2551.43456710294</v>
      </c>
    </row>
    <row r="8" s="88" customFormat="1" ht="12.75" spans="1:32">
      <c r="A8" s="101"/>
      <c r="B8" s="102"/>
      <c r="C8" s="103">
        <v>241202000029</v>
      </c>
      <c r="D8" s="104">
        <v>45636</v>
      </c>
      <c r="E8" s="104" t="s">
        <v>99</v>
      </c>
      <c r="F8" s="102" t="s">
        <v>103</v>
      </c>
      <c r="G8" s="102" t="s">
        <v>111</v>
      </c>
      <c r="H8" s="102">
        <v>8.2313</v>
      </c>
      <c r="I8" s="102">
        <v>1683</v>
      </c>
      <c r="J8" s="124"/>
      <c r="K8" s="129">
        <v>4862127</v>
      </c>
      <c r="L8" s="126"/>
      <c r="M8" s="127">
        <v>1630</v>
      </c>
      <c r="N8" s="128">
        <v>2982.9</v>
      </c>
      <c r="O8" s="102">
        <v>7.28</v>
      </c>
      <c r="P8" s="124">
        <v>21715.512</v>
      </c>
      <c r="Q8" s="161"/>
      <c r="R8" s="161"/>
      <c r="S8" s="160">
        <v>5913.40223455882</v>
      </c>
      <c r="T8" s="160"/>
      <c r="U8" s="160">
        <v>121.048529411765</v>
      </c>
      <c r="V8" s="160"/>
      <c r="W8" s="160"/>
      <c r="X8" s="160">
        <v>6034.45076397059</v>
      </c>
      <c r="Y8" s="175">
        <v>1400.56174742647</v>
      </c>
      <c r="Z8" s="175">
        <v>715.9</v>
      </c>
      <c r="AA8" s="175">
        <v>16.9613199411765</v>
      </c>
      <c r="AB8" s="175">
        <v>2133.42306736765</v>
      </c>
      <c r="AC8" s="176">
        <v>7.25</v>
      </c>
      <c r="AD8" s="160">
        <v>15467.3172384154</v>
      </c>
      <c r="AE8" s="160">
        <v>21501.768002386</v>
      </c>
      <c r="AF8" s="160">
        <v>213.743997614001</v>
      </c>
    </row>
    <row r="9" s="88" customFormat="1" ht="12.75" spans="1:32">
      <c r="A9" s="101"/>
      <c r="B9" s="102"/>
      <c r="C9" s="103">
        <v>241204000017</v>
      </c>
      <c r="D9" s="104">
        <v>45636</v>
      </c>
      <c r="E9" s="104" t="s">
        <v>99</v>
      </c>
      <c r="F9" s="102" t="s">
        <v>103</v>
      </c>
      <c r="G9" s="102" t="s">
        <v>49</v>
      </c>
      <c r="H9" s="102">
        <v>0.5672</v>
      </c>
      <c r="I9" s="102">
        <v>104</v>
      </c>
      <c r="J9" s="124"/>
      <c r="K9" s="129">
        <v>270180</v>
      </c>
      <c r="L9" s="126"/>
      <c r="M9" s="127">
        <v>1580</v>
      </c>
      <c r="N9" s="128">
        <v>171</v>
      </c>
      <c r="O9" s="102">
        <v>7.29</v>
      </c>
      <c r="P9" s="124">
        <v>1246.59</v>
      </c>
      <c r="Q9" s="161"/>
      <c r="R9" s="161"/>
      <c r="S9" s="160">
        <v>407.478982352941</v>
      </c>
      <c r="T9" s="160"/>
      <c r="U9" s="160">
        <v>8.34117647058824</v>
      </c>
      <c r="V9" s="160"/>
      <c r="W9" s="160"/>
      <c r="X9" s="160">
        <v>415.820158823529</v>
      </c>
      <c r="Y9" s="175">
        <v>96.5094970588235</v>
      </c>
      <c r="Z9" s="175">
        <v>49.33</v>
      </c>
      <c r="AA9" s="175">
        <v>1.16876564705882</v>
      </c>
      <c r="AB9" s="175">
        <v>147.008262705882</v>
      </c>
      <c r="AC9" s="176">
        <v>7.25</v>
      </c>
      <c r="AD9" s="160">
        <v>1065.80990461765</v>
      </c>
      <c r="AE9" s="160">
        <v>1481.63006344118</v>
      </c>
      <c r="AF9" s="160">
        <v>-235.04006344118</v>
      </c>
    </row>
    <row r="10" s="88" customFormat="1" ht="12.75" spans="1:32">
      <c r="A10" s="101"/>
      <c r="B10" s="102"/>
      <c r="C10" s="103">
        <v>241216000056</v>
      </c>
      <c r="D10" s="104">
        <v>45636</v>
      </c>
      <c r="E10" s="104" t="s">
        <v>99</v>
      </c>
      <c r="F10" s="102" t="s">
        <v>103</v>
      </c>
      <c r="G10" s="102" t="s">
        <v>112</v>
      </c>
      <c r="H10" s="102">
        <v>0.3809</v>
      </c>
      <c r="I10" s="102">
        <v>90</v>
      </c>
      <c r="J10" s="124"/>
      <c r="K10" s="129">
        <v>197726.1</v>
      </c>
      <c r="L10" s="126"/>
      <c r="M10" s="127">
        <v>1573</v>
      </c>
      <c r="N10" s="128">
        <v>125.7</v>
      </c>
      <c r="O10" s="102">
        <v>7.28</v>
      </c>
      <c r="P10" s="124">
        <v>915.096</v>
      </c>
      <c r="Q10" s="208"/>
      <c r="R10" s="208"/>
      <c r="S10" s="160">
        <v>273.640240441176</v>
      </c>
      <c r="T10" s="160"/>
      <c r="U10" s="160">
        <v>5.60147058823529</v>
      </c>
      <c r="V10" s="160"/>
      <c r="W10" s="160"/>
      <c r="X10" s="160">
        <v>279.241711029412</v>
      </c>
      <c r="Y10" s="175">
        <v>64.8104150735294</v>
      </c>
      <c r="Z10" s="175"/>
      <c r="AA10" s="175">
        <v>0.784878058823529</v>
      </c>
      <c r="AB10" s="175">
        <v>65.5952931323529</v>
      </c>
      <c r="AC10" s="176">
        <v>7.25</v>
      </c>
      <c r="AD10" s="160">
        <v>475.565875209559</v>
      </c>
      <c r="AE10" s="160">
        <v>754.807586238971</v>
      </c>
      <c r="AF10" s="160">
        <v>160.288413761029</v>
      </c>
    </row>
    <row r="11" s="88" customFormat="1" ht="12.75" spans="1:32">
      <c r="A11" s="101"/>
      <c r="B11" s="102"/>
      <c r="C11" s="103">
        <v>241209000082</v>
      </c>
      <c r="D11" s="104">
        <v>45638</v>
      </c>
      <c r="E11" s="104" t="s">
        <v>99</v>
      </c>
      <c r="F11" s="102" t="s">
        <v>103</v>
      </c>
      <c r="G11" s="102" t="s">
        <v>113</v>
      </c>
      <c r="H11" s="102">
        <v>2.4778</v>
      </c>
      <c r="I11" s="102">
        <v>1373</v>
      </c>
      <c r="J11" s="180">
        <v>6015.2</v>
      </c>
      <c r="K11" s="176"/>
      <c r="L11" s="126"/>
      <c r="M11" s="127"/>
      <c r="N11" s="126"/>
      <c r="O11" s="102"/>
      <c r="P11" s="124">
        <v>6015.2</v>
      </c>
      <c r="Q11" s="161"/>
      <c r="R11" s="161"/>
      <c r="S11" s="160">
        <v>1776.71013382353</v>
      </c>
      <c r="T11" s="160"/>
      <c r="U11" s="160">
        <v>65.5888235294118</v>
      </c>
      <c r="V11" s="160"/>
      <c r="W11" s="160"/>
      <c r="X11" s="160">
        <v>1842.29895735294</v>
      </c>
      <c r="Y11" s="175">
        <v>423.484077441176</v>
      </c>
      <c r="Z11" s="175"/>
      <c r="AA11" s="175">
        <v>5.10572552941176</v>
      </c>
      <c r="AB11" s="175">
        <v>428.589802970588</v>
      </c>
      <c r="AC11" s="176">
        <v>7.25</v>
      </c>
      <c r="AD11" s="160">
        <v>3107.27607153676</v>
      </c>
      <c r="AE11" s="160">
        <v>4949.57502888971</v>
      </c>
      <c r="AF11" s="160">
        <v>1065.62497111029</v>
      </c>
    </row>
    <row r="12" s="88" customFormat="1" ht="12.75" spans="1:32">
      <c r="A12" s="101"/>
      <c r="B12" s="102"/>
      <c r="C12" s="103">
        <v>250110000026</v>
      </c>
      <c r="D12" s="104">
        <v>45643</v>
      </c>
      <c r="E12" s="104" t="s">
        <v>99</v>
      </c>
      <c r="F12" s="102" t="s">
        <v>103</v>
      </c>
      <c r="G12" s="102" t="s">
        <v>104</v>
      </c>
      <c r="H12" s="102">
        <v>1.0248</v>
      </c>
      <c r="I12" s="102">
        <v>276</v>
      </c>
      <c r="J12" s="180">
        <v>2271.15</v>
      </c>
      <c r="K12" s="176"/>
      <c r="L12" s="126"/>
      <c r="M12" s="127"/>
      <c r="N12" s="126"/>
      <c r="O12" s="102"/>
      <c r="P12" s="124">
        <v>2271.15</v>
      </c>
      <c r="Q12" s="161"/>
      <c r="R12" s="161"/>
      <c r="S12" s="160">
        <v>754.742594117647</v>
      </c>
      <c r="T12" s="160"/>
      <c r="U12" s="160">
        <v>30.1411764705882</v>
      </c>
      <c r="V12" s="160"/>
      <c r="W12" s="160"/>
      <c r="X12" s="160">
        <v>784.883770588235</v>
      </c>
      <c r="Y12" s="175">
        <v>184.916117647059</v>
      </c>
      <c r="Z12" s="175"/>
      <c r="AA12" s="175">
        <v>0.835212</v>
      </c>
      <c r="AB12" s="175">
        <v>185.751329647059</v>
      </c>
      <c r="AC12" s="176">
        <v>7.25</v>
      </c>
      <c r="AD12" s="160">
        <v>1346.69713994118</v>
      </c>
      <c r="AE12" s="160">
        <v>2131.58091052941</v>
      </c>
      <c r="AF12" s="160">
        <v>139.56908947059</v>
      </c>
    </row>
    <row r="13" s="88" customFormat="1" ht="12.75" spans="1:32">
      <c r="A13" s="101"/>
      <c r="B13" s="102"/>
      <c r="C13" s="103">
        <v>241126000018</v>
      </c>
      <c r="D13" s="104">
        <v>46018</v>
      </c>
      <c r="E13" s="104" t="s">
        <v>99</v>
      </c>
      <c r="F13" s="102" t="s">
        <v>103</v>
      </c>
      <c r="G13" s="102" t="s">
        <v>114</v>
      </c>
      <c r="H13" s="102">
        <v>4.3979</v>
      </c>
      <c r="I13" s="102">
        <v>10079</v>
      </c>
      <c r="J13" s="180">
        <v>20016.76</v>
      </c>
      <c r="K13" s="176"/>
      <c r="L13" s="126"/>
      <c r="M13" s="127"/>
      <c r="N13" s="126"/>
      <c r="O13" s="130"/>
      <c r="P13" s="124">
        <v>20016.76</v>
      </c>
      <c r="Q13" s="161"/>
      <c r="R13" s="161"/>
      <c r="S13" s="160">
        <v>3273.525125</v>
      </c>
      <c r="T13" s="160"/>
      <c r="U13" s="160">
        <v>135.8175</v>
      </c>
      <c r="V13" s="160"/>
      <c r="W13" s="160">
        <v>255</v>
      </c>
      <c r="X13" s="160">
        <v>3664.342625</v>
      </c>
      <c r="Y13" s="175">
        <v>744.93635125</v>
      </c>
      <c r="Z13" s="175"/>
      <c r="AA13" s="175">
        <v>3.84234175</v>
      </c>
      <c r="AB13" s="175">
        <v>748.778693</v>
      </c>
      <c r="AC13" s="176">
        <v>7.26</v>
      </c>
      <c r="AD13" s="160">
        <v>5436.13331118</v>
      </c>
      <c r="AE13" s="160">
        <v>9100.47593618</v>
      </c>
      <c r="AF13" s="160">
        <v>10916.28406382</v>
      </c>
    </row>
    <row r="14" s="88" customFormat="1" ht="12.75" spans="1:32">
      <c r="A14" s="101" t="s">
        <v>115</v>
      </c>
      <c r="B14" s="102" t="s">
        <v>116</v>
      </c>
      <c r="C14" s="103">
        <v>241126000018</v>
      </c>
      <c r="D14" s="104">
        <v>46020</v>
      </c>
      <c r="E14" s="104" t="s">
        <v>99</v>
      </c>
      <c r="F14" s="102" t="s">
        <v>103</v>
      </c>
      <c r="G14" s="102" t="s">
        <v>114</v>
      </c>
      <c r="H14" s="102">
        <v>4.16</v>
      </c>
      <c r="I14" s="102">
        <v>10000</v>
      </c>
      <c r="J14" s="180">
        <v>18934.4</v>
      </c>
      <c r="K14" s="212"/>
      <c r="L14" s="126"/>
      <c r="M14" s="127"/>
      <c r="N14" s="126"/>
      <c r="O14" s="130"/>
      <c r="P14" s="124">
        <v>18934.4</v>
      </c>
      <c r="Q14" s="161"/>
      <c r="R14" s="161"/>
      <c r="S14" s="160">
        <v>3070.44705882353</v>
      </c>
      <c r="T14" s="160"/>
      <c r="U14" s="160">
        <v>110.117647058824</v>
      </c>
      <c r="V14" s="160"/>
      <c r="W14" s="160"/>
      <c r="X14" s="160">
        <v>3180.56470588235</v>
      </c>
      <c r="Y14" s="175">
        <v>681.69185882353</v>
      </c>
      <c r="Z14" s="175"/>
      <c r="AA14" s="175">
        <v>8.20376470588235</v>
      </c>
      <c r="AB14" s="175">
        <v>689.895623529412</v>
      </c>
      <c r="AC14" s="176">
        <v>7.25</v>
      </c>
      <c r="AD14" s="160">
        <v>5001.74327058824</v>
      </c>
      <c r="AE14" s="160">
        <v>8182.30797647059</v>
      </c>
      <c r="AF14" s="160">
        <v>10752.0920235294</v>
      </c>
    </row>
    <row r="15" ht="28" customHeight="1" spans="1:32">
      <c r="A15" s="210" t="s">
        <v>96</v>
      </c>
      <c r="B15" s="211"/>
      <c r="C15" s="211"/>
      <c r="D15" s="211"/>
      <c r="E15" s="211"/>
      <c r="F15" s="211"/>
      <c r="G15" s="211"/>
      <c r="H15" s="211">
        <f>SUM(H4:H14)</f>
        <v>28.7944</v>
      </c>
      <c r="I15" s="211"/>
      <c r="J15" s="211"/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13"/>
      <c r="Z15" s="213"/>
      <c r="AA15" s="213"/>
      <c r="AB15" s="213"/>
      <c r="AC15" s="213"/>
      <c r="AD15" s="213"/>
      <c r="AE15" s="213"/>
      <c r="AF15" s="213">
        <f>SUM(AF4:AF14)</f>
        <v>29717.038002023</v>
      </c>
    </row>
    <row r="18" s="1" customFormat="1" ht="23" customHeight="1" spans="3:16">
      <c r="C18" s="74" t="s">
        <v>63</v>
      </c>
      <c r="D18" s="74"/>
      <c r="E18" s="74"/>
      <c r="F18" s="109" t="s">
        <v>64</v>
      </c>
      <c r="G18" s="110"/>
      <c r="H18" s="110"/>
      <c r="I18" s="131"/>
      <c r="J18"/>
      <c r="K18" s="132" t="s">
        <v>117</v>
      </c>
      <c r="L18" s="133"/>
      <c r="M18" s="134"/>
      <c r="N18"/>
      <c r="O18"/>
      <c r="P18"/>
    </row>
    <row r="19" s="1" customFormat="1" ht="23" customHeight="1" spans="3:16">
      <c r="C19" s="74"/>
      <c r="D19" s="74"/>
      <c r="E19" s="74"/>
      <c r="F19" s="111"/>
      <c r="G19" s="112"/>
      <c r="H19" s="112"/>
      <c r="I19" s="135"/>
      <c r="J19"/>
      <c r="K19" s="136" t="s">
        <v>66</v>
      </c>
      <c r="L19" s="136" t="s">
        <v>8</v>
      </c>
      <c r="M19" s="136" t="s">
        <v>67</v>
      </c>
      <c r="N19"/>
      <c r="O19"/>
      <c r="P19"/>
    </row>
    <row r="20" s="1" customFormat="1" ht="23" customHeight="1" spans="3:16">
      <c r="C20" s="74" t="s">
        <v>68</v>
      </c>
      <c r="D20" s="74"/>
      <c r="E20" s="74"/>
      <c r="F20" s="80" t="s">
        <v>69</v>
      </c>
      <c r="G20" s="81"/>
      <c r="H20" s="81"/>
      <c r="I20" s="82"/>
      <c r="J20"/>
      <c r="K20" s="136" t="s">
        <v>70</v>
      </c>
      <c r="L20" s="137">
        <f>SUM(H15)</f>
        <v>28.7944</v>
      </c>
      <c r="M20" s="138">
        <f>SUM(AF15)</f>
        <v>29717.038002023</v>
      </c>
      <c r="N20"/>
      <c r="O20"/>
      <c r="P20"/>
    </row>
    <row r="21" s="1" customFormat="1" ht="23" customHeight="1" spans="3:16">
      <c r="C21" s="74"/>
      <c r="D21" s="74"/>
      <c r="E21" s="74"/>
      <c r="F21" s="83"/>
      <c r="G21" s="84"/>
      <c r="H21" s="84"/>
      <c r="I21" s="85"/>
      <c r="J21"/>
      <c r="K21" s="139" t="s">
        <v>71</v>
      </c>
      <c r="L21" s="139"/>
      <c r="M21" s="140">
        <v>6000</v>
      </c>
      <c r="N21"/>
      <c r="O21"/>
      <c r="P21"/>
    </row>
    <row r="22" s="1" customFormat="1" ht="23" customHeight="1" spans="3:16">
      <c r="C22" s="74" t="s">
        <v>72</v>
      </c>
      <c r="D22" s="74"/>
      <c r="E22" s="74"/>
      <c r="F22" s="80" t="s">
        <v>73</v>
      </c>
      <c r="G22" s="81"/>
      <c r="H22" s="81"/>
      <c r="I22" s="82"/>
      <c r="J22"/>
      <c r="K22" s="141" t="s">
        <v>74</v>
      </c>
      <c r="L22" s="141"/>
      <c r="M22" s="142">
        <f>SUM(M20-M21)</f>
        <v>23717.038002023</v>
      </c>
      <c r="N22"/>
      <c r="O22"/>
      <c r="P22"/>
    </row>
    <row r="23" s="1" customFormat="1" ht="23" customHeight="1" spans="3:16">
      <c r="C23" s="74"/>
      <c r="D23" s="74"/>
      <c r="E23" s="74"/>
      <c r="F23" s="83"/>
      <c r="G23" s="84"/>
      <c r="H23" s="84"/>
      <c r="I23" s="85"/>
      <c r="J23"/>
      <c r="K23" s="136" t="s">
        <v>75</v>
      </c>
      <c r="L23" s="136"/>
      <c r="M23" s="136">
        <v>0.4</v>
      </c>
      <c r="N23"/>
      <c r="O23"/>
      <c r="P23"/>
    </row>
    <row r="24" s="1" customFormat="1" ht="23" customHeight="1" spans="5:16">
      <c r="E24"/>
      <c r="F24"/>
      <c r="G24"/>
      <c r="H24"/>
      <c r="I24"/>
      <c r="J24"/>
      <c r="K24" s="139" t="s">
        <v>76</v>
      </c>
      <c r="L24" s="139"/>
      <c r="M24" s="140">
        <f>SUM(M22*M23)</f>
        <v>9486.8152008092</v>
      </c>
      <c r="N24"/>
      <c r="O24"/>
      <c r="P24"/>
    </row>
    <row r="25" s="1" customFormat="1" ht="23" customHeight="1" spans="5:16">
      <c r="E25"/>
      <c r="F25"/>
      <c r="G25"/>
      <c r="H25"/>
      <c r="I25"/>
      <c r="J25"/>
      <c r="K25"/>
      <c r="L25"/>
      <c r="M25"/>
      <c r="N25"/>
      <c r="O25"/>
      <c r="P25"/>
    </row>
    <row r="26" s="1" customFormat="1" ht="23" customHeight="1" spans="5:13">
      <c r="E26"/>
      <c r="F26"/>
      <c r="G26"/>
      <c r="H26"/>
      <c r="I26"/>
      <c r="J26"/>
      <c r="K26"/>
      <c r="L26"/>
      <c r="M26"/>
    </row>
    <row r="27" s="1" customFormat="1" ht="23" customHeight="1" spans="5:13">
      <c r="E27"/>
      <c r="F27"/>
      <c r="G27"/>
      <c r="H27"/>
      <c r="I27"/>
      <c r="J27"/>
      <c r="K27"/>
      <c r="L27"/>
      <c r="M27"/>
    </row>
    <row r="28" s="1" customFormat="1" ht="23" customHeight="1" spans="5:19">
      <c r="E28"/>
      <c r="F28"/>
      <c r="G28"/>
      <c r="H28"/>
      <c r="I28"/>
      <c r="J28"/>
      <c r="K28"/>
      <c r="L28"/>
      <c r="M28"/>
      <c r="O28"/>
      <c r="P28"/>
      <c r="Q28"/>
      <c r="R28"/>
      <c r="S28" s="35"/>
    </row>
    <row r="29" ht="28" customHeight="1"/>
  </sheetData>
  <autoFilter xmlns:etc="http://www.wps.cn/officeDocument/2017/etCustomData" ref="A2:AB28" etc:filterBottomFollowUsedRange="0">
    <extLst/>
  </autoFilter>
  <mergeCells count="23">
    <mergeCell ref="J2:P2"/>
    <mergeCell ref="R2:V2"/>
    <mergeCell ref="Y2:AD2"/>
    <mergeCell ref="K18:M18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Q2:Q3"/>
    <mergeCell ref="W2:W3"/>
    <mergeCell ref="X2:X3"/>
    <mergeCell ref="AF2:AF3"/>
    <mergeCell ref="C20:E21"/>
    <mergeCell ref="F20:I21"/>
    <mergeCell ref="C22:E23"/>
    <mergeCell ref="F22:I23"/>
    <mergeCell ref="C18:E19"/>
    <mergeCell ref="F18:I19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9"/>
  <sheetViews>
    <sheetView workbookViewId="0">
      <pane xSplit="14" ySplit="4" topLeftCell="O17" activePane="bottomRight" state="frozen"/>
      <selection/>
      <selection pane="topRight"/>
      <selection pane="bottomLeft"/>
      <selection pane="bottomRight" activeCell="M39" sqref="M39"/>
    </sheetView>
  </sheetViews>
  <sheetFormatPr defaultColWidth="9" defaultRowHeight="13.5"/>
  <cols>
    <col min="3" max="3" width="11.25" customWidth="1"/>
    <col min="4" max="4" width="11.25"/>
    <col min="8" max="8" width="10.125"/>
    <col min="9" max="9" width="11.125"/>
    <col min="10" max="10" width="10.375"/>
    <col min="11" max="11" width="10.125"/>
    <col min="12" max="12" width="11.125"/>
    <col min="13" max="13" width="15.125" customWidth="1"/>
    <col min="14" max="14" width="11.375" customWidth="1"/>
    <col min="15" max="16" width="14.75"/>
    <col min="17" max="17" width="11"/>
    <col min="18" max="18" width="12.5" customWidth="1"/>
    <col min="19" max="19" width="11"/>
    <col min="20" max="20" width="11.125"/>
    <col min="21" max="21" width="12.625"/>
    <col min="22" max="22" width="12.5"/>
    <col min="23" max="23" width="11"/>
    <col min="24" max="24" width="10.375"/>
    <col min="25" max="25" width="12"/>
    <col min="26" max="26" width="9.25"/>
    <col min="27" max="27" width="12.5"/>
    <col min="28" max="28" width="13.625"/>
    <col min="29" max="29" width="9.25"/>
    <col min="30" max="30" width="10.125"/>
    <col min="31" max="31" width="12"/>
    <col min="32" max="32" width="12.875"/>
  </cols>
  <sheetData>
    <row r="1" customFormat="1" ht="24" customHeight="1" spans="1:1">
      <c r="A1" s="90" t="s">
        <v>0</v>
      </c>
    </row>
    <row r="2" customFormat="1" ht="6" customHeight="1" spans="1:1">
      <c r="A2" s="90"/>
    </row>
    <row r="3" s="87" customFormat="1" ht="23" customHeight="1" spans="1:32">
      <c r="A3" s="91" t="s">
        <v>1</v>
      </c>
      <c r="B3" s="92" t="s">
        <v>2</v>
      </c>
      <c r="C3" s="93" t="s">
        <v>3</v>
      </c>
      <c r="D3" s="94" t="s">
        <v>4</v>
      </c>
      <c r="E3" s="95" t="s">
        <v>5</v>
      </c>
      <c r="F3" s="96" t="s">
        <v>6</v>
      </c>
      <c r="G3" s="96" t="s">
        <v>7</v>
      </c>
      <c r="H3" s="96" t="s">
        <v>8</v>
      </c>
      <c r="I3" s="96" t="s">
        <v>9</v>
      </c>
      <c r="J3" s="113" t="s">
        <v>10</v>
      </c>
      <c r="K3" s="114"/>
      <c r="L3" s="115"/>
      <c r="M3" s="114"/>
      <c r="N3" s="115"/>
      <c r="O3" s="116"/>
      <c r="P3" s="117"/>
      <c r="Q3" s="143" t="s">
        <v>11</v>
      </c>
      <c r="R3" s="144" t="s">
        <v>12</v>
      </c>
      <c r="S3" s="145"/>
      <c r="T3" s="146"/>
      <c r="U3" s="147"/>
      <c r="V3" s="148"/>
      <c r="W3" s="149" t="s">
        <v>13</v>
      </c>
      <c r="X3" s="150" t="s">
        <v>14</v>
      </c>
      <c r="Y3" s="165" t="s">
        <v>15</v>
      </c>
      <c r="Z3" s="165"/>
      <c r="AA3" s="165"/>
      <c r="AB3" s="165"/>
      <c r="AC3" s="166"/>
      <c r="AD3" s="165"/>
      <c r="AE3" s="167" t="s">
        <v>16</v>
      </c>
      <c r="AF3" s="168" t="s">
        <v>17</v>
      </c>
    </row>
    <row r="4" s="87" customFormat="1" ht="27" customHeight="1" spans="1:32">
      <c r="A4" s="97"/>
      <c r="B4" s="98"/>
      <c r="C4" s="93"/>
      <c r="D4" s="94"/>
      <c r="E4" s="99"/>
      <c r="F4" s="100"/>
      <c r="G4" s="100"/>
      <c r="H4" s="100"/>
      <c r="I4" s="100"/>
      <c r="J4" s="118" t="s">
        <v>18</v>
      </c>
      <c r="K4" s="119" t="s">
        <v>19</v>
      </c>
      <c r="L4" s="120" t="s">
        <v>20</v>
      </c>
      <c r="M4" s="119" t="s">
        <v>21</v>
      </c>
      <c r="N4" s="121" t="s">
        <v>22</v>
      </c>
      <c r="O4" s="122" t="s">
        <v>23</v>
      </c>
      <c r="P4" s="123" t="s">
        <v>24</v>
      </c>
      <c r="Q4" s="151"/>
      <c r="R4" s="152" t="s">
        <v>25</v>
      </c>
      <c r="S4" s="153" t="s">
        <v>26</v>
      </c>
      <c r="T4" s="154" t="s">
        <v>27</v>
      </c>
      <c r="U4" s="155" t="s">
        <v>28</v>
      </c>
      <c r="V4" s="154" t="s">
        <v>29</v>
      </c>
      <c r="W4" s="156"/>
      <c r="X4" s="157"/>
      <c r="Y4" s="169" t="s">
        <v>30</v>
      </c>
      <c r="Z4" s="169" t="s">
        <v>31</v>
      </c>
      <c r="AA4" s="169" t="s">
        <v>32</v>
      </c>
      <c r="AB4" s="170" t="s">
        <v>33</v>
      </c>
      <c r="AC4" s="171" t="s">
        <v>34</v>
      </c>
      <c r="AD4" s="172" t="s">
        <v>24</v>
      </c>
      <c r="AE4" s="173" t="s">
        <v>35</v>
      </c>
      <c r="AF4" s="174"/>
    </row>
    <row r="5" s="88" customFormat="1" ht="12.75" spans="1:32">
      <c r="A5" s="101"/>
      <c r="B5" s="102"/>
      <c r="C5" s="103">
        <v>241118000063</v>
      </c>
      <c r="D5" s="104">
        <v>45631</v>
      </c>
      <c r="E5" s="104" t="s">
        <v>118</v>
      </c>
      <c r="F5" s="102" t="s">
        <v>119</v>
      </c>
      <c r="G5" s="102" t="s">
        <v>120</v>
      </c>
      <c r="H5" s="102">
        <v>1.6585</v>
      </c>
      <c r="I5" s="102">
        <v>270</v>
      </c>
      <c r="J5" s="124"/>
      <c r="K5" s="129">
        <v>719837.28</v>
      </c>
      <c r="L5" s="126"/>
      <c r="M5" s="127">
        <v>1608</v>
      </c>
      <c r="N5" s="128">
        <v>447.66</v>
      </c>
      <c r="O5" s="130">
        <v>7.3</v>
      </c>
      <c r="P5" s="124">
        <v>3267.918</v>
      </c>
      <c r="Q5" s="161"/>
      <c r="R5" s="161"/>
      <c r="S5" s="160">
        <v>1145.41985477941</v>
      </c>
      <c r="T5" s="160"/>
      <c r="U5" s="160">
        <v>60.9742647058824</v>
      </c>
      <c r="V5" s="160"/>
      <c r="W5" s="160"/>
      <c r="X5" s="160">
        <v>1206.39411948529</v>
      </c>
      <c r="Y5" s="175">
        <v>270.262330882353</v>
      </c>
      <c r="Z5" s="175"/>
      <c r="AA5" s="175"/>
      <c r="AB5" s="175">
        <v>270.262330882353</v>
      </c>
      <c r="AC5" s="176">
        <v>7.24</v>
      </c>
      <c r="AD5" s="160">
        <v>1956.69927558824</v>
      </c>
      <c r="AE5" s="160">
        <v>3163.09339507353</v>
      </c>
      <c r="AF5" s="160">
        <v>104.82460492647</v>
      </c>
    </row>
    <row r="6" s="88" customFormat="1" ht="12.75" spans="1:32">
      <c r="A6" s="101"/>
      <c r="B6" s="102"/>
      <c r="C6" s="103">
        <v>241118000066</v>
      </c>
      <c r="D6" s="104">
        <v>45631</v>
      </c>
      <c r="E6" s="104" t="s">
        <v>118</v>
      </c>
      <c r="F6" s="102" t="s">
        <v>119</v>
      </c>
      <c r="G6" s="102" t="s">
        <v>120</v>
      </c>
      <c r="H6" s="102">
        <v>1.2581</v>
      </c>
      <c r="I6" s="102">
        <v>125</v>
      </c>
      <c r="J6" s="124"/>
      <c r="K6" s="129">
        <v>546173.28</v>
      </c>
      <c r="L6" s="126"/>
      <c r="M6" s="127">
        <v>1608</v>
      </c>
      <c r="N6" s="128">
        <v>339.66</v>
      </c>
      <c r="O6" s="130">
        <v>7.3</v>
      </c>
      <c r="P6" s="124">
        <v>2479.518</v>
      </c>
      <c r="Q6" s="161"/>
      <c r="R6" s="161"/>
      <c r="S6" s="160">
        <v>868.889188602941</v>
      </c>
      <c r="T6" s="160"/>
      <c r="U6" s="160">
        <v>46.2536764705882</v>
      </c>
      <c r="V6" s="160"/>
      <c r="W6" s="160"/>
      <c r="X6" s="160">
        <v>915.142865073529</v>
      </c>
      <c r="Y6" s="175">
        <v>205.014795588235</v>
      </c>
      <c r="Z6" s="175"/>
      <c r="AA6" s="175"/>
      <c r="AB6" s="175">
        <v>205.014795588235</v>
      </c>
      <c r="AC6" s="176">
        <v>7.24</v>
      </c>
      <c r="AD6" s="160">
        <v>1484.30712005882</v>
      </c>
      <c r="AE6" s="160">
        <v>2399.44998513235</v>
      </c>
      <c r="AF6" s="160">
        <v>80.068014867647</v>
      </c>
    </row>
    <row r="7" s="88" customFormat="1" ht="12.75" spans="1:32">
      <c r="A7" s="101"/>
      <c r="B7" s="102"/>
      <c r="C7" s="103">
        <v>241127000012</v>
      </c>
      <c r="D7" s="104">
        <v>45631</v>
      </c>
      <c r="E7" s="104" t="s">
        <v>118</v>
      </c>
      <c r="F7" s="102" t="s">
        <v>119</v>
      </c>
      <c r="G7" s="102" t="s">
        <v>120</v>
      </c>
      <c r="H7" s="102">
        <v>3.0636</v>
      </c>
      <c r="I7" s="102">
        <v>768</v>
      </c>
      <c r="J7" s="124"/>
      <c r="K7" s="129">
        <v>1330089.36</v>
      </c>
      <c r="L7" s="126"/>
      <c r="M7" s="127">
        <v>1608</v>
      </c>
      <c r="N7" s="128">
        <v>827.17</v>
      </c>
      <c r="O7" s="130">
        <v>7.3</v>
      </c>
      <c r="P7" s="124">
        <v>6038.341</v>
      </c>
      <c r="Q7" s="161"/>
      <c r="R7" s="161"/>
      <c r="S7" s="160">
        <v>2115.83253970588</v>
      </c>
      <c r="T7" s="160"/>
      <c r="U7" s="160">
        <v>112.632352941176</v>
      </c>
      <c r="V7" s="160"/>
      <c r="W7" s="160"/>
      <c r="X7" s="160">
        <v>2228.46489264706</v>
      </c>
      <c r="Y7" s="175">
        <v>499.231641176471</v>
      </c>
      <c r="Z7" s="175"/>
      <c r="AA7" s="175"/>
      <c r="AB7" s="175">
        <v>499.231641176471</v>
      </c>
      <c r="AC7" s="176">
        <v>7.24</v>
      </c>
      <c r="AD7" s="160">
        <v>3614.43708211765</v>
      </c>
      <c r="AE7" s="160">
        <v>5842.90197476471</v>
      </c>
      <c r="AF7" s="160">
        <v>195.439025235293</v>
      </c>
    </row>
    <row r="8" s="88" customFormat="1" ht="12.75" spans="1:32">
      <c r="A8" s="101"/>
      <c r="B8" s="102"/>
      <c r="C8" s="103">
        <v>241127000014</v>
      </c>
      <c r="D8" s="104">
        <v>45631</v>
      </c>
      <c r="E8" s="104" t="s">
        <v>118</v>
      </c>
      <c r="F8" s="102" t="s">
        <v>119</v>
      </c>
      <c r="G8" s="102" t="s">
        <v>120</v>
      </c>
      <c r="H8" s="102">
        <v>0.4158</v>
      </c>
      <c r="I8" s="102">
        <v>55</v>
      </c>
      <c r="J8" s="124"/>
      <c r="K8" s="129">
        <v>180530.16</v>
      </c>
      <c r="L8" s="126"/>
      <c r="M8" s="127">
        <v>1608</v>
      </c>
      <c r="N8" s="128">
        <v>112.27</v>
      </c>
      <c r="O8" s="130">
        <v>7.3</v>
      </c>
      <c r="P8" s="124">
        <v>819.571</v>
      </c>
      <c r="Q8" s="161"/>
      <c r="R8" s="161"/>
      <c r="S8" s="160">
        <v>287.166461029412</v>
      </c>
      <c r="T8" s="160"/>
      <c r="U8" s="160">
        <v>15.2867647058824</v>
      </c>
      <c r="V8" s="160"/>
      <c r="W8" s="160"/>
      <c r="X8" s="160">
        <v>302.453225735294</v>
      </c>
      <c r="Y8" s="175">
        <v>67.7570558823529</v>
      </c>
      <c r="Z8" s="175"/>
      <c r="AA8" s="175"/>
      <c r="AB8" s="175">
        <v>67.7570558823529</v>
      </c>
      <c r="AC8" s="176">
        <v>7.24</v>
      </c>
      <c r="AD8" s="160">
        <v>490.561084588235</v>
      </c>
      <c r="AE8" s="160">
        <v>793.014310323529</v>
      </c>
      <c r="AF8" s="160">
        <v>26.5566896764706</v>
      </c>
    </row>
    <row r="9" s="88" customFormat="1" ht="12.75" spans="1:32">
      <c r="A9" s="101"/>
      <c r="B9" s="102"/>
      <c r="C9" s="103">
        <v>241204000043</v>
      </c>
      <c r="D9" s="104">
        <v>45631</v>
      </c>
      <c r="E9" s="104" t="s">
        <v>118</v>
      </c>
      <c r="F9" s="102" t="s">
        <v>119</v>
      </c>
      <c r="G9" s="102" t="s">
        <v>120</v>
      </c>
      <c r="H9" s="102">
        <v>1.3963</v>
      </c>
      <c r="I9" s="102">
        <v>248</v>
      </c>
      <c r="J9" s="124"/>
      <c r="K9" s="129">
        <v>606216</v>
      </c>
      <c r="L9" s="126"/>
      <c r="M9" s="127">
        <v>1608</v>
      </c>
      <c r="N9" s="128">
        <v>377</v>
      </c>
      <c r="O9" s="130">
        <v>7.3</v>
      </c>
      <c r="P9" s="124">
        <v>2752.1</v>
      </c>
      <c r="Q9" s="161"/>
      <c r="R9" s="161"/>
      <c r="S9" s="160">
        <v>964.335087867647</v>
      </c>
      <c r="T9" s="160"/>
      <c r="U9" s="160">
        <v>51.3345588235294</v>
      </c>
      <c r="V9" s="160"/>
      <c r="W9" s="160"/>
      <c r="X9" s="160">
        <v>1015.66964669118</v>
      </c>
      <c r="Y9" s="175">
        <v>227.535298529412</v>
      </c>
      <c r="Z9" s="175"/>
      <c r="AA9" s="175"/>
      <c r="AB9" s="175">
        <v>227.535298529412</v>
      </c>
      <c r="AC9" s="176">
        <v>7.24</v>
      </c>
      <c r="AD9" s="160">
        <v>1647.35556135294</v>
      </c>
      <c r="AE9" s="160">
        <v>2663.02520804412</v>
      </c>
      <c r="AF9" s="160">
        <v>89.0747919558821</v>
      </c>
    </row>
    <row r="10" s="88" customFormat="1" ht="12.75" spans="1:32">
      <c r="A10" s="101"/>
      <c r="B10" s="102"/>
      <c r="C10" s="103">
        <v>241204000044</v>
      </c>
      <c r="D10" s="104">
        <v>45631</v>
      </c>
      <c r="E10" s="104" t="s">
        <v>118</v>
      </c>
      <c r="F10" s="102" t="s">
        <v>119</v>
      </c>
      <c r="G10" s="102" t="s">
        <v>120</v>
      </c>
      <c r="H10" s="102">
        <v>0.7235</v>
      </c>
      <c r="I10" s="102">
        <v>107</v>
      </c>
      <c r="J10" s="124"/>
      <c r="K10" s="129">
        <v>314122.8</v>
      </c>
      <c r="L10" s="126"/>
      <c r="M10" s="127">
        <v>1608</v>
      </c>
      <c r="N10" s="128">
        <v>195.35</v>
      </c>
      <c r="O10" s="130">
        <v>7.3</v>
      </c>
      <c r="P10" s="124">
        <v>1426.055</v>
      </c>
      <c r="Q10" s="161"/>
      <c r="R10" s="161"/>
      <c r="S10" s="160">
        <v>499.675167279412</v>
      </c>
      <c r="T10" s="160"/>
      <c r="U10" s="160">
        <v>26.5992647058824</v>
      </c>
      <c r="V10" s="160"/>
      <c r="W10" s="160"/>
      <c r="X10" s="160">
        <v>526.274431985294</v>
      </c>
      <c r="Y10" s="175">
        <v>117.898580882353</v>
      </c>
      <c r="Z10" s="175"/>
      <c r="AA10" s="175"/>
      <c r="AB10" s="175">
        <v>117.898580882353</v>
      </c>
      <c r="AC10" s="176">
        <v>7.24</v>
      </c>
      <c r="AD10" s="160">
        <v>853.585725588236</v>
      </c>
      <c r="AE10" s="160">
        <v>1379.86015757353</v>
      </c>
      <c r="AF10" s="160">
        <v>46.1948424264704</v>
      </c>
    </row>
    <row r="11" s="88" customFormat="1" ht="12.75" spans="1:32">
      <c r="A11" s="101"/>
      <c r="B11" s="102"/>
      <c r="C11" s="103">
        <v>241204000045</v>
      </c>
      <c r="D11" s="104">
        <v>45631</v>
      </c>
      <c r="E11" s="104" t="s">
        <v>118</v>
      </c>
      <c r="F11" s="102" t="s">
        <v>119</v>
      </c>
      <c r="G11" s="102" t="s">
        <v>120</v>
      </c>
      <c r="H11" s="102">
        <v>0.26</v>
      </c>
      <c r="I11" s="102">
        <v>48</v>
      </c>
      <c r="J11" s="124"/>
      <c r="K11" s="129">
        <v>112929.84</v>
      </c>
      <c r="L11" s="126"/>
      <c r="M11" s="127">
        <v>1608</v>
      </c>
      <c r="N11" s="128">
        <v>70.23</v>
      </c>
      <c r="O11" s="130">
        <v>7.3</v>
      </c>
      <c r="P11" s="124">
        <v>512.679</v>
      </c>
      <c r="Q11" s="161"/>
      <c r="R11" s="161"/>
      <c r="S11" s="160">
        <v>179.565367647059</v>
      </c>
      <c r="T11" s="160"/>
      <c r="U11" s="160">
        <v>9.55882352941176</v>
      </c>
      <c r="V11" s="160"/>
      <c r="W11" s="160"/>
      <c r="X11" s="160">
        <v>189.124191176471</v>
      </c>
      <c r="Y11" s="175">
        <v>42.3685294117647</v>
      </c>
      <c r="Z11" s="175"/>
      <c r="AA11" s="175"/>
      <c r="AB11" s="175">
        <v>42.3685294117647</v>
      </c>
      <c r="AC11" s="176">
        <v>7.24</v>
      </c>
      <c r="AD11" s="160">
        <v>306.748152941176</v>
      </c>
      <c r="AE11" s="160">
        <v>495.872344117647</v>
      </c>
      <c r="AF11" s="160">
        <v>16.8066558823529</v>
      </c>
    </row>
    <row r="12" s="88" customFormat="1" ht="12.75" spans="1:32">
      <c r="A12" s="101"/>
      <c r="B12" s="102"/>
      <c r="C12" s="103">
        <v>241204000046</v>
      </c>
      <c r="D12" s="104">
        <v>45631</v>
      </c>
      <c r="E12" s="104" t="s">
        <v>118</v>
      </c>
      <c r="F12" s="102" t="s">
        <v>119</v>
      </c>
      <c r="G12" s="102" t="s">
        <v>120</v>
      </c>
      <c r="H12" s="102">
        <v>0.2492</v>
      </c>
      <c r="I12" s="102">
        <v>51</v>
      </c>
      <c r="J12" s="124"/>
      <c r="K12" s="129">
        <v>108090.06</v>
      </c>
      <c r="L12" s="126"/>
      <c r="M12" s="127">
        <v>1606.57045184304</v>
      </c>
      <c r="N12" s="128">
        <v>67.28</v>
      </c>
      <c r="O12" s="130">
        <v>7.3</v>
      </c>
      <c r="P12" s="124">
        <v>491.144</v>
      </c>
      <c r="Q12" s="161"/>
      <c r="R12" s="161"/>
      <c r="S12" s="160">
        <v>172.106498529412</v>
      </c>
      <c r="T12" s="160"/>
      <c r="U12" s="160">
        <v>9.16176470588235</v>
      </c>
      <c r="V12" s="160"/>
      <c r="W12" s="160"/>
      <c r="X12" s="160">
        <v>181.268263235294</v>
      </c>
      <c r="Y12" s="175">
        <v>40.6086058823529</v>
      </c>
      <c r="Z12" s="175"/>
      <c r="AA12" s="175"/>
      <c r="AB12" s="175">
        <v>40.6086058823529</v>
      </c>
      <c r="AC12" s="176">
        <v>7.24</v>
      </c>
      <c r="AD12" s="160">
        <v>294.006306588235</v>
      </c>
      <c r="AE12" s="160">
        <v>475.274569823529</v>
      </c>
      <c r="AF12" s="160">
        <v>15.8694301764705</v>
      </c>
    </row>
    <row r="13" s="88" customFormat="1" ht="12.75" spans="1:32">
      <c r="A13" s="101"/>
      <c r="B13" s="102"/>
      <c r="C13" s="103">
        <v>241204000047</v>
      </c>
      <c r="D13" s="104">
        <v>45631</v>
      </c>
      <c r="E13" s="104" t="s">
        <v>118</v>
      </c>
      <c r="F13" s="102" t="s">
        <v>119</v>
      </c>
      <c r="G13" s="102" t="s">
        <v>120</v>
      </c>
      <c r="H13" s="102">
        <v>0.2023</v>
      </c>
      <c r="I13" s="102">
        <v>17</v>
      </c>
      <c r="J13" s="124"/>
      <c r="K13" s="129">
        <v>87064.28</v>
      </c>
      <c r="L13" s="126"/>
      <c r="M13" s="127">
        <v>1594</v>
      </c>
      <c r="N13" s="128">
        <v>54.62</v>
      </c>
      <c r="O13" s="102">
        <v>7.29</v>
      </c>
      <c r="P13" s="124">
        <v>398.1798</v>
      </c>
      <c r="Q13" s="161"/>
      <c r="R13" s="161"/>
      <c r="S13" s="160">
        <v>139.71566875</v>
      </c>
      <c r="T13" s="160"/>
      <c r="U13" s="160">
        <v>7.4375</v>
      </c>
      <c r="V13" s="160"/>
      <c r="W13" s="160"/>
      <c r="X13" s="160">
        <v>147.15316875</v>
      </c>
      <c r="Y13" s="175">
        <v>32.965975</v>
      </c>
      <c r="Z13" s="175"/>
      <c r="AA13" s="175"/>
      <c r="AB13" s="175">
        <v>32.965975</v>
      </c>
      <c r="AC13" s="176">
        <v>7.24</v>
      </c>
      <c r="AD13" s="160">
        <v>238.673659</v>
      </c>
      <c r="AE13" s="160">
        <v>385.82682775</v>
      </c>
      <c r="AF13" s="160">
        <v>12.35297225</v>
      </c>
    </row>
    <row r="14" s="88" customFormat="1" ht="12.75" spans="1:32">
      <c r="A14" s="101"/>
      <c r="B14" s="102"/>
      <c r="C14" s="103">
        <v>241204000048</v>
      </c>
      <c r="D14" s="104">
        <v>45631</v>
      </c>
      <c r="E14" s="104" t="s">
        <v>118</v>
      </c>
      <c r="F14" s="102" t="s">
        <v>119</v>
      </c>
      <c r="G14" s="102" t="s">
        <v>120</v>
      </c>
      <c r="H14" s="102">
        <v>0.5307</v>
      </c>
      <c r="I14" s="102">
        <v>90</v>
      </c>
      <c r="J14" s="124"/>
      <c r="K14" s="129">
        <v>228404.26</v>
      </c>
      <c r="L14" s="126"/>
      <c r="M14" s="127">
        <v>1594</v>
      </c>
      <c r="N14" s="128">
        <v>143.29</v>
      </c>
      <c r="O14" s="102">
        <v>7.29</v>
      </c>
      <c r="P14" s="124">
        <v>1044.5841</v>
      </c>
      <c r="Q14" s="161"/>
      <c r="R14" s="161"/>
      <c r="S14" s="160">
        <v>366.520540808824</v>
      </c>
      <c r="T14" s="160"/>
      <c r="U14" s="160">
        <v>19.5110294117647</v>
      </c>
      <c r="V14" s="160"/>
      <c r="W14" s="160"/>
      <c r="X14" s="160">
        <v>386.031570220588</v>
      </c>
      <c r="Y14" s="175">
        <v>86.4806867647059</v>
      </c>
      <c r="Z14" s="175"/>
      <c r="AA14" s="175"/>
      <c r="AB14" s="175">
        <v>86.4806867647059</v>
      </c>
      <c r="AC14" s="176">
        <v>7.24</v>
      </c>
      <c r="AD14" s="160">
        <v>626.120172176471</v>
      </c>
      <c r="AE14" s="160">
        <v>1012.15174239706</v>
      </c>
      <c r="AF14" s="160">
        <v>32.4323576029412</v>
      </c>
    </row>
    <row r="15" s="88" customFormat="1" ht="12.75" spans="1:32">
      <c r="A15" s="101"/>
      <c r="B15" s="102"/>
      <c r="C15" s="103">
        <v>241204000050</v>
      </c>
      <c r="D15" s="104">
        <v>45631</v>
      </c>
      <c r="E15" s="104" t="s">
        <v>118</v>
      </c>
      <c r="F15" s="102" t="s">
        <v>119</v>
      </c>
      <c r="G15" s="102" t="s">
        <v>120</v>
      </c>
      <c r="H15" s="102">
        <v>14.6981</v>
      </c>
      <c r="I15" s="102">
        <v>2994</v>
      </c>
      <c r="J15" s="124"/>
      <c r="K15" s="129">
        <v>6392673.24</v>
      </c>
      <c r="L15" s="126"/>
      <c r="M15" s="127">
        <v>1594</v>
      </c>
      <c r="N15" s="128">
        <v>4010.46</v>
      </c>
      <c r="O15" s="102">
        <v>7.27</v>
      </c>
      <c r="P15" s="124">
        <v>29156.0442</v>
      </c>
      <c r="Q15" s="161"/>
      <c r="R15" s="161"/>
      <c r="S15" s="160">
        <v>10151.0374238971</v>
      </c>
      <c r="T15" s="160"/>
      <c r="U15" s="160">
        <v>540.371323529412</v>
      </c>
      <c r="V15" s="160"/>
      <c r="W15" s="160"/>
      <c r="X15" s="160">
        <v>10691.4087474265</v>
      </c>
      <c r="Y15" s="175">
        <v>2395.14185441177</v>
      </c>
      <c r="Z15" s="175"/>
      <c r="AA15" s="175"/>
      <c r="AB15" s="175">
        <v>2395.14185441177</v>
      </c>
      <c r="AC15" s="176">
        <v>7.24</v>
      </c>
      <c r="AD15" s="160">
        <v>17340.8270259412</v>
      </c>
      <c r="AE15" s="160">
        <v>28032.2357733677</v>
      </c>
      <c r="AF15" s="160">
        <v>1123.80842663235</v>
      </c>
    </row>
    <row r="16" s="88" customFormat="1" ht="12.75" spans="1:32">
      <c r="A16" s="101"/>
      <c r="B16" s="102"/>
      <c r="C16" s="103">
        <v>241204000052</v>
      </c>
      <c r="D16" s="104">
        <v>45631</v>
      </c>
      <c r="E16" s="104" t="s">
        <v>118</v>
      </c>
      <c r="F16" s="102" t="s">
        <v>119</v>
      </c>
      <c r="G16" s="102" t="s">
        <v>120</v>
      </c>
      <c r="H16" s="102">
        <v>21.052</v>
      </c>
      <c r="I16" s="102">
        <v>2202</v>
      </c>
      <c r="J16" s="124"/>
      <c r="K16" s="129">
        <v>9257809.04</v>
      </c>
      <c r="L16" s="126"/>
      <c r="M16" s="127">
        <v>1616.79084323546</v>
      </c>
      <c r="N16" s="128">
        <v>5726.04</v>
      </c>
      <c r="O16" s="102">
        <v>7.22</v>
      </c>
      <c r="P16" s="124">
        <v>41342.0088</v>
      </c>
      <c r="Q16" s="161"/>
      <c r="R16" s="161"/>
      <c r="S16" s="160">
        <v>14539.2696911765</v>
      </c>
      <c r="T16" s="160"/>
      <c r="U16" s="160">
        <v>773.970588235294</v>
      </c>
      <c r="V16" s="160"/>
      <c r="W16" s="160"/>
      <c r="X16" s="160">
        <v>15313.2402794118</v>
      </c>
      <c r="Y16" s="175">
        <v>3430.54723529412</v>
      </c>
      <c r="Z16" s="175"/>
      <c r="AA16" s="175"/>
      <c r="AB16" s="175">
        <v>3430.54723529412</v>
      </c>
      <c r="AC16" s="176">
        <v>7.24</v>
      </c>
      <c r="AD16" s="160">
        <v>24837.1619835294</v>
      </c>
      <c r="AE16" s="160">
        <v>40150.4022629412</v>
      </c>
      <c r="AF16" s="160">
        <v>1191.60653705883</v>
      </c>
    </row>
    <row r="17" s="88" customFormat="1" ht="12.75" spans="1:32">
      <c r="A17" s="101"/>
      <c r="B17" s="102"/>
      <c r="C17" s="103">
        <v>241204000053</v>
      </c>
      <c r="D17" s="104">
        <v>45631</v>
      </c>
      <c r="E17" s="104" t="s">
        <v>118</v>
      </c>
      <c r="F17" s="102" t="s">
        <v>119</v>
      </c>
      <c r="G17" s="102" t="s">
        <v>120</v>
      </c>
      <c r="H17" s="102">
        <v>0.1958</v>
      </c>
      <c r="I17" s="102">
        <v>447</v>
      </c>
      <c r="J17" s="124"/>
      <c r="K17" s="129">
        <v>85649.4</v>
      </c>
      <c r="L17" s="126"/>
      <c r="M17" s="127">
        <v>1620</v>
      </c>
      <c r="N17" s="128">
        <v>52.87</v>
      </c>
      <c r="O17" s="102">
        <v>7.22</v>
      </c>
      <c r="P17" s="124">
        <v>381.7214</v>
      </c>
      <c r="Q17" s="161"/>
      <c r="R17" s="161"/>
      <c r="S17" s="160">
        <v>135.226534558824</v>
      </c>
      <c r="T17" s="160"/>
      <c r="U17" s="160">
        <v>7.19852941176471</v>
      </c>
      <c r="V17" s="160"/>
      <c r="W17" s="160"/>
      <c r="X17" s="160">
        <v>142.425063970588</v>
      </c>
      <c r="Y17" s="175">
        <v>31.9067617647059</v>
      </c>
      <c r="Z17" s="175"/>
      <c r="AA17" s="175"/>
      <c r="AB17" s="175">
        <v>31.9067617647059</v>
      </c>
      <c r="AC17" s="176">
        <v>7.24</v>
      </c>
      <c r="AD17" s="160">
        <v>231.004955176471</v>
      </c>
      <c r="AE17" s="160">
        <v>373.430019147059</v>
      </c>
      <c r="AF17" s="160">
        <v>8.29138085294102</v>
      </c>
    </row>
    <row r="18" s="88" customFormat="1" ht="12.75" spans="1:32">
      <c r="A18" s="101"/>
      <c r="B18" s="102"/>
      <c r="C18" s="103">
        <v>241204000049</v>
      </c>
      <c r="D18" s="104">
        <v>45636</v>
      </c>
      <c r="E18" s="104" t="s">
        <v>118</v>
      </c>
      <c r="F18" s="102" t="s">
        <v>119</v>
      </c>
      <c r="G18" s="102" t="s">
        <v>120</v>
      </c>
      <c r="H18" s="102">
        <v>14.985</v>
      </c>
      <c r="I18" s="102">
        <v>2696</v>
      </c>
      <c r="J18" s="124"/>
      <c r="K18" s="129">
        <v>6707917.9</v>
      </c>
      <c r="L18" s="126"/>
      <c r="M18" s="127">
        <v>1582.87741280853</v>
      </c>
      <c r="N18" s="128">
        <v>4237.8</v>
      </c>
      <c r="O18" s="102">
        <v>7.18</v>
      </c>
      <c r="P18" s="124">
        <v>30427.404</v>
      </c>
      <c r="Q18" s="161"/>
      <c r="R18" s="161"/>
      <c r="S18" s="160">
        <v>10923.2937132353</v>
      </c>
      <c r="T18" s="160"/>
      <c r="U18" s="160">
        <v>462.772058823529</v>
      </c>
      <c r="V18" s="160"/>
      <c r="W18" s="160"/>
      <c r="X18" s="160">
        <v>11386.0657720588</v>
      </c>
      <c r="Y18" s="175">
        <v>2561.33316176471</v>
      </c>
      <c r="Z18" s="175"/>
      <c r="AA18" s="175">
        <v>12.2568485294118</v>
      </c>
      <c r="AB18" s="175">
        <v>2573.59001029412</v>
      </c>
      <c r="AC18" s="176">
        <v>7.3</v>
      </c>
      <c r="AD18" s="160">
        <v>18787.2070751471</v>
      </c>
      <c r="AE18" s="160">
        <v>30173.2728472059</v>
      </c>
      <c r="AF18" s="160">
        <v>254.1311527941</v>
      </c>
    </row>
    <row r="19" s="88" customFormat="1" ht="12.75" spans="1:32">
      <c r="A19" s="101"/>
      <c r="B19" s="102"/>
      <c r="C19" s="103">
        <v>241204000051</v>
      </c>
      <c r="D19" s="104">
        <v>45636</v>
      </c>
      <c r="E19" s="104" t="s">
        <v>118</v>
      </c>
      <c r="F19" s="102" t="s">
        <v>119</v>
      </c>
      <c r="G19" s="102" t="s">
        <v>120</v>
      </c>
      <c r="H19" s="102">
        <v>2.1818</v>
      </c>
      <c r="I19" s="102">
        <v>358</v>
      </c>
      <c r="J19" s="124"/>
      <c r="K19" s="129">
        <v>966443.8</v>
      </c>
      <c r="L19" s="126"/>
      <c r="M19" s="127">
        <v>1582</v>
      </c>
      <c r="N19" s="128">
        <v>610.9</v>
      </c>
      <c r="O19" s="102">
        <v>7.18</v>
      </c>
      <c r="P19" s="124">
        <v>4386.262</v>
      </c>
      <c r="Q19" s="161"/>
      <c r="R19" s="161"/>
      <c r="S19" s="160">
        <v>1590.41990147059</v>
      </c>
      <c r="T19" s="160"/>
      <c r="U19" s="160">
        <v>67.3791176470588</v>
      </c>
      <c r="V19" s="160"/>
      <c r="W19" s="160"/>
      <c r="X19" s="160">
        <v>1657.79901911765</v>
      </c>
      <c r="Y19" s="175">
        <v>372.927373529412</v>
      </c>
      <c r="Z19" s="175"/>
      <c r="AA19" s="175">
        <v>1.78458405882353</v>
      </c>
      <c r="AB19" s="175">
        <v>374.711957588235</v>
      </c>
      <c r="AC19" s="176">
        <v>7.3</v>
      </c>
      <c r="AD19" s="160">
        <v>2735.39729039412</v>
      </c>
      <c r="AE19" s="160">
        <v>4393.19630951177</v>
      </c>
      <c r="AF19" s="160">
        <v>-6.93430951177015</v>
      </c>
    </row>
    <row r="20" s="88" customFormat="1" ht="12.75" spans="1:32">
      <c r="A20" s="101"/>
      <c r="B20" s="102"/>
      <c r="C20" s="103">
        <v>241210000005</v>
      </c>
      <c r="D20" s="104">
        <v>45636</v>
      </c>
      <c r="E20" s="104" t="s">
        <v>118</v>
      </c>
      <c r="F20" s="102" t="s">
        <v>119</v>
      </c>
      <c r="G20" s="102" t="s">
        <v>121</v>
      </c>
      <c r="H20" s="102">
        <v>17.6161</v>
      </c>
      <c r="I20" s="102">
        <v>1662</v>
      </c>
      <c r="J20" s="124"/>
      <c r="K20" s="129">
        <v>7918392</v>
      </c>
      <c r="L20" s="126"/>
      <c r="M20" s="127">
        <v>1550</v>
      </c>
      <c r="N20" s="128">
        <v>5108.64</v>
      </c>
      <c r="O20" s="102">
        <v>7.27</v>
      </c>
      <c r="P20" s="124">
        <v>37139.8128</v>
      </c>
      <c r="Q20" s="208"/>
      <c r="R20" s="208"/>
      <c r="S20" s="160">
        <v>12841.2301889706</v>
      </c>
      <c r="T20" s="160"/>
      <c r="U20" s="160">
        <v>544.026617647059</v>
      </c>
      <c r="V20" s="160">
        <v>200</v>
      </c>
      <c r="W20" s="160"/>
      <c r="X20" s="160">
        <v>13585.2568066176</v>
      </c>
      <c r="Y20" s="175">
        <v>3011.05779852941</v>
      </c>
      <c r="Z20" s="175"/>
      <c r="AA20" s="175">
        <v>14.4089335588235</v>
      </c>
      <c r="AB20" s="175">
        <v>3025.46673208824</v>
      </c>
      <c r="AC20" s="176">
        <v>7.3</v>
      </c>
      <c r="AD20" s="160">
        <v>22085.9071442441</v>
      </c>
      <c r="AE20" s="160">
        <v>35671.1639508618</v>
      </c>
      <c r="AF20" s="160">
        <v>1468.6488491382</v>
      </c>
    </row>
    <row r="21" s="88" customFormat="1" ht="12.75" spans="1:32">
      <c r="A21" s="101"/>
      <c r="B21" s="102"/>
      <c r="C21" s="103">
        <v>241210000006</v>
      </c>
      <c r="D21" s="104">
        <v>45636</v>
      </c>
      <c r="E21" s="104" t="s">
        <v>118</v>
      </c>
      <c r="F21" s="102" t="s">
        <v>119</v>
      </c>
      <c r="G21" s="102" t="s">
        <v>122</v>
      </c>
      <c r="H21" s="102">
        <v>35.4</v>
      </c>
      <c r="I21" s="102">
        <v>5354</v>
      </c>
      <c r="J21" s="180">
        <v>56540.88</v>
      </c>
      <c r="K21" s="176"/>
      <c r="L21" s="126"/>
      <c r="M21" s="127"/>
      <c r="N21" s="128"/>
      <c r="O21" s="102"/>
      <c r="P21" s="124">
        <v>56540.88</v>
      </c>
      <c r="Q21" s="161"/>
      <c r="R21" s="161"/>
      <c r="S21" s="160">
        <v>25431.5161764706</v>
      </c>
      <c r="T21" s="160"/>
      <c r="U21" s="160">
        <v>520.588235294118</v>
      </c>
      <c r="V21" s="160"/>
      <c r="W21" s="160"/>
      <c r="X21" s="160">
        <v>25952.1044117647</v>
      </c>
      <c r="Y21" s="175">
        <v>6023.33602941176</v>
      </c>
      <c r="Z21" s="175"/>
      <c r="AA21" s="175">
        <v>72.9448235294118</v>
      </c>
      <c r="AB21" s="175">
        <v>6096.28085294118</v>
      </c>
      <c r="AC21" s="176">
        <v>7.25</v>
      </c>
      <c r="AD21" s="160">
        <v>44198.0361838235</v>
      </c>
      <c r="AE21" s="160">
        <v>70150.1405955882</v>
      </c>
      <c r="AF21" s="160">
        <v>-13609.2605955882</v>
      </c>
    </row>
    <row r="22" s="88" customFormat="1" ht="12.75" spans="1:32">
      <c r="A22" s="101"/>
      <c r="B22" s="102"/>
      <c r="C22" s="103">
        <v>241209000084</v>
      </c>
      <c r="D22" s="104">
        <v>45638</v>
      </c>
      <c r="E22" s="104" t="s">
        <v>118</v>
      </c>
      <c r="F22" s="102" t="s">
        <v>119</v>
      </c>
      <c r="G22" s="102" t="s">
        <v>120</v>
      </c>
      <c r="H22" s="102">
        <v>3.5753</v>
      </c>
      <c r="I22" s="102">
        <v>397</v>
      </c>
      <c r="J22" s="124"/>
      <c r="K22" s="129">
        <v>1527152.06</v>
      </c>
      <c r="L22" s="126"/>
      <c r="M22" s="127">
        <v>1582</v>
      </c>
      <c r="N22" s="128">
        <v>965.33</v>
      </c>
      <c r="O22" s="102">
        <v>7.18</v>
      </c>
      <c r="P22" s="124">
        <v>6931.0694</v>
      </c>
      <c r="Q22" s="161"/>
      <c r="R22" s="161"/>
      <c r="S22" s="160">
        <v>2563.67412279412</v>
      </c>
      <c r="T22" s="160"/>
      <c r="U22" s="160">
        <v>94.640294117647</v>
      </c>
      <c r="V22" s="160"/>
      <c r="W22" s="160"/>
      <c r="X22" s="160">
        <v>2658.31441691176</v>
      </c>
      <c r="Y22" s="175">
        <v>611.059255014706</v>
      </c>
      <c r="Z22" s="175"/>
      <c r="AA22" s="175">
        <v>7.36722111764706</v>
      </c>
      <c r="AB22" s="175">
        <v>618.426476132353</v>
      </c>
      <c r="AC22" s="176">
        <v>7.25</v>
      </c>
      <c r="AD22" s="160">
        <v>4483.59195195956</v>
      </c>
      <c r="AE22" s="160">
        <v>7141.90636887132</v>
      </c>
      <c r="AF22" s="160">
        <v>-210.836968871323</v>
      </c>
    </row>
    <row r="23" s="88" customFormat="1" ht="12.75" spans="1:32">
      <c r="A23" s="101"/>
      <c r="B23" s="102"/>
      <c r="C23" s="103">
        <v>241211000045</v>
      </c>
      <c r="D23" s="104">
        <v>45638</v>
      </c>
      <c r="E23" s="104" t="s">
        <v>118</v>
      </c>
      <c r="F23" s="102" t="s">
        <v>119</v>
      </c>
      <c r="G23" s="102" t="s">
        <v>120</v>
      </c>
      <c r="H23" s="102">
        <v>10.4649</v>
      </c>
      <c r="I23" s="102">
        <v>835</v>
      </c>
      <c r="J23" s="124"/>
      <c r="K23" s="129">
        <v>4470020.1</v>
      </c>
      <c r="L23" s="126"/>
      <c r="M23" s="127">
        <v>1582</v>
      </c>
      <c r="N23" s="128">
        <v>2825.55</v>
      </c>
      <c r="O23" s="102">
        <v>7.18</v>
      </c>
      <c r="P23" s="124">
        <v>20287.449</v>
      </c>
      <c r="Q23" s="161"/>
      <c r="R23" s="161"/>
      <c r="S23" s="160">
        <v>7503.87193455882</v>
      </c>
      <c r="T23" s="160"/>
      <c r="U23" s="160">
        <v>277.012058823529</v>
      </c>
      <c r="V23" s="160"/>
      <c r="W23" s="160"/>
      <c r="X23" s="160">
        <v>7780.88399338235</v>
      </c>
      <c r="Y23" s="175">
        <v>1788.56990960294</v>
      </c>
      <c r="Z23" s="175"/>
      <c r="AA23" s="175">
        <v>21.5638498235294</v>
      </c>
      <c r="AB23" s="175">
        <v>1810.13375942647</v>
      </c>
      <c r="AC23" s="176">
        <v>7.25</v>
      </c>
      <c r="AD23" s="160">
        <v>13123.4697558419</v>
      </c>
      <c r="AE23" s="160">
        <v>20904.3537492243</v>
      </c>
      <c r="AF23" s="160">
        <v>-616.904749224301</v>
      </c>
    </row>
    <row r="24" s="88" customFormat="1" ht="12.75" spans="1:32">
      <c r="A24" s="101"/>
      <c r="B24" s="102"/>
      <c r="C24" s="103">
        <v>241212000002</v>
      </c>
      <c r="D24" s="104">
        <v>45638</v>
      </c>
      <c r="E24" s="104" t="s">
        <v>118</v>
      </c>
      <c r="F24" s="102" t="s">
        <v>119</v>
      </c>
      <c r="G24" s="102" t="s">
        <v>122</v>
      </c>
      <c r="H24" s="102">
        <v>29.57</v>
      </c>
      <c r="I24" s="102">
        <v>4902</v>
      </c>
      <c r="J24" s="180">
        <v>47229.2</v>
      </c>
      <c r="K24" s="176"/>
      <c r="L24" s="126"/>
      <c r="M24" s="127"/>
      <c r="N24" s="128"/>
      <c r="O24" s="102"/>
      <c r="P24" s="124">
        <v>47229.2</v>
      </c>
      <c r="Q24" s="161"/>
      <c r="R24" s="161"/>
      <c r="S24" s="160">
        <v>21203.2119852941</v>
      </c>
      <c r="T24" s="160"/>
      <c r="U24" s="160">
        <v>782.735294117647</v>
      </c>
      <c r="V24" s="160"/>
      <c r="W24" s="160"/>
      <c r="X24" s="160">
        <v>21985.9472794118</v>
      </c>
      <c r="Y24" s="175">
        <v>5053.84783676471</v>
      </c>
      <c r="Z24" s="175"/>
      <c r="AA24" s="175">
        <v>60.9315941176471</v>
      </c>
      <c r="AB24" s="175">
        <v>5114.77943088235</v>
      </c>
      <c r="AC24" s="176">
        <v>7.25</v>
      </c>
      <c r="AD24" s="160">
        <v>37082.1508738971</v>
      </c>
      <c r="AE24" s="160">
        <v>59068.0981533088</v>
      </c>
      <c r="AF24" s="160">
        <v>-11838.8981533088</v>
      </c>
    </row>
    <row r="25" s="88" customFormat="1" ht="12.75" spans="1:32">
      <c r="A25" s="101"/>
      <c r="B25" s="102"/>
      <c r="C25" s="103">
        <v>241217000016</v>
      </c>
      <c r="D25" s="104">
        <v>45643</v>
      </c>
      <c r="E25" s="104" t="s">
        <v>118</v>
      </c>
      <c r="F25" s="102" t="s">
        <v>119</v>
      </c>
      <c r="G25" s="102" t="s">
        <v>121</v>
      </c>
      <c r="H25" s="102">
        <v>0.6596</v>
      </c>
      <c r="I25" s="102">
        <v>58</v>
      </c>
      <c r="J25" s="124"/>
      <c r="K25" s="129">
        <v>296670</v>
      </c>
      <c r="L25" s="126"/>
      <c r="M25" s="127">
        <v>1550</v>
      </c>
      <c r="N25" s="128">
        <v>191.4</v>
      </c>
      <c r="O25" s="102">
        <v>7.27</v>
      </c>
      <c r="P25" s="124">
        <v>1391.478</v>
      </c>
      <c r="Q25" s="161"/>
      <c r="R25" s="161"/>
      <c r="S25" s="160">
        <v>485.78085</v>
      </c>
      <c r="T25" s="160"/>
      <c r="U25" s="160">
        <v>19.4</v>
      </c>
      <c r="V25" s="160"/>
      <c r="W25" s="160"/>
      <c r="X25" s="160">
        <v>505.18085</v>
      </c>
      <c r="Y25" s="175">
        <v>119.019</v>
      </c>
      <c r="Z25" s="175"/>
      <c r="AA25" s="175">
        <v>0.537574</v>
      </c>
      <c r="AB25" s="175">
        <v>119.556574</v>
      </c>
      <c r="AC25" s="176">
        <v>7.25</v>
      </c>
      <c r="AD25" s="160">
        <v>866.7851615</v>
      </c>
      <c r="AE25" s="160">
        <v>1371.9660115</v>
      </c>
      <c r="AF25" s="160">
        <v>19.5119885000001</v>
      </c>
    </row>
    <row r="26" s="88" customFormat="1" ht="12.75" spans="1:32">
      <c r="A26" s="101"/>
      <c r="B26" s="102"/>
      <c r="C26" s="103">
        <v>241219000028</v>
      </c>
      <c r="D26" s="104">
        <v>46010</v>
      </c>
      <c r="E26" s="104" t="s">
        <v>118</v>
      </c>
      <c r="F26" s="102" t="s">
        <v>119</v>
      </c>
      <c r="G26" s="102" t="s">
        <v>122</v>
      </c>
      <c r="H26" s="102">
        <v>22.11</v>
      </c>
      <c r="I26" s="102">
        <v>2603</v>
      </c>
      <c r="J26" s="180">
        <v>36919.28</v>
      </c>
      <c r="K26" s="176"/>
      <c r="L26" s="102"/>
      <c r="M26" s="127"/>
      <c r="N26" s="128"/>
      <c r="O26" s="102"/>
      <c r="P26" s="124">
        <v>36919.28</v>
      </c>
      <c r="Q26" s="161"/>
      <c r="R26" s="161"/>
      <c r="S26" s="160">
        <v>15859.8606617647</v>
      </c>
      <c r="T26" s="160">
        <v>28.8990705882353</v>
      </c>
      <c r="U26" s="160">
        <v>617.779411764706</v>
      </c>
      <c r="V26" s="160"/>
      <c r="W26" s="160"/>
      <c r="X26" s="160">
        <v>16506.5391441176</v>
      </c>
      <c r="Y26" s="175">
        <v>3913.79514705882</v>
      </c>
      <c r="Z26" s="175"/>
      <c r="AA26" s="175">
        <v>18.7024588235294</v>
      </c>
      <c r="AB26" s="175">
        <v>3932.49760588235</v>
      </c>
      <c r="AC26" s="176">
        <v>7.25</v>
      </c>
      <c r="AD26" s="160">
        <v>28510.6076426471</v>
      </c>
      <c r="AE26" s="160">
        <v>45017.1467867647</v>
      </c>
      <c r="AF26" s="160">
        <v>-8097.8667867647</v>
      </c>
    </row>
    <row r="27" s="88" customFormat="1" ht="12.75" spans="1:32">
      <c r="A27" s="101"/>
      <c r="B27" s="102"/>
      <c r="C27" s="103">
        <v>241224000024</v>
      </c>
      <c r="D27" s="104">
        <v>46018</v>
      </c>
      <c r="E27" s="104" t="s">
        <v>118</v>
      </c>
      <c r="F27" s="102" t="s">
        <v>119</v>
      </c>
      <c r="G27" s="102" t="s">
        <v>120</v>
      </c>
      <c r="H27" s="102">
        <v>1.4079</v>
      </c>
      <c r="I27" s="102">
        <v>246</v>
      </c>
      <c r="J27" s="124"/>
      <c r="K27" s="129">
        <v>605826.9</v>
      </c>
      <c r="L27" s="102"/>
      <c r="M27" s="127">
        <v>1582</v>
      </c>
      <c r="N27" s="128">
        <v>382.95</v>
      </c>
      <c r="O27" s="102">
        <v>7.18</v>
      </c>
      <c r="P27" s="124">
        <v>2749.581</v>
      </c>
      <c r="Q27" s="161"/>
      <c r="R27" s="161"/>
      <c r="S27" s="160">
        <v>1047.95380147059</v>
      </c>
      <c r="T27" s="160"/>
      <c r="U27" s="160">
        <v>43.4792647058824</v>
      </c>
      <c r="V27" s="160"/>
      <c r="W27" s="160"/>
      <c r="X27" s="160">
        <v>1091.43306617647</v>
      </c>
      <c r="Y27" s="175">
        <v>238.476520367647</v>
      </c>
      <c r="Z27" s="175"/>
      <c r="AA27" s="175">
        <v>1.23004910294118</v>
      </c>
      <c r="AB27" s="175">
        <v>239.706569470588</v>
      </c>
      <c r="AC27" s="176">
        <v>7.26</v>
      </c>
      <c r="AD27" s="160">
        <v>1740.26969435647</v>
      </c>
      <c r="AE27" s="160">
        <v>2831.70276053294</v>
      </c>
      <c r="AF27" s="160">
        <v>-82.1217605329402</v>
      </c>
    </row>
    <row r="28" s="88" customFormat="1" ht="12.75" spans="1:32">
      <c r="A28" s="101"/>
      <c r="B28" s="102"/>
      <c r="C28" s="103">
        <v>241224000025</v>
      </c>
      <c r="D28" s="104">
        <v>46018</v>
      </c>
      <c r="E28" s="104" t="s">
        <v>118</v>
      </c>
      <c r="F28" s="102" t="s">
        <v>119</v>
      </c>
      <c r="G28" s="102" t="s">
        <v>120</v>
      </c>
      <c r="H28" s="102">
        <v>2.2252</v>
      </c>
      <c r="I28" s="102">
        <v>847</v>
      </c>
      <c r="J28" s="124"/>
      <c r="K28" s="129">
        <v>957505.5</v>
      </c>
      <c r="L28" s="102"/>
      <c r="M28" s="127">
        <v>1582</v>
      </c>
      <c r="N28" s="128">
        <v>605.25</v>
      </c>
      <c r="O28" s="102">
        <v>7.18</v>
      </c>
      <c r="P28" s="124">
        <v>4345.695</v>
      </c>
      <c r="Q28" s="161"/>
      <c r="R28" s="161"/>
      <c r="S28" s="160">
        <v>1656.30144117647</v>
      </c>
      <c r="T28" s="160"/>
      <c r="U28" s="160">
        <v>68.7194117647059</v>
      </c>
      <c r="V28" s="160"/>
      <c r="W28" s="160"/>
      <c r="X28" s="160">
        <v>1725.02085294118</v>
      </c>
      <c r="Y28" s="175">
        <v>376.914520294118</v>
      </c>
      <c r="Z28" s="175"/>
      <c r="AA28" s="175">
        <v>1.94410488235294</v>
      </c>
      <c r="AB28" s="175">
        <v>378.858625176471</v>
      </c>
      <c r="AC28" s="176">
        <v>7.26</v>
      </c>
      <c r="AD28" s="160">
        <v>2750.51361878118</v>
      </c>
      <c r="AE28" s="160">
        <v>4475.53447172235</v>
      </c>
      <c r="AF28" s="160">
        <v>-129.839471722353</v>
      </c>
    </row>
    <row r="29" s="88" customFormat="1" ht="12.75" spans="1:32">
      <c r="A29" s="101"/>
      <c r="B29" s="102"/>
      <c r="C29" s="103">
        <v>241224000026</v>
      </c>
      <c r="D29" s="104">
        <v>46018</v>
      </c>
      <c r="E29" s="104" t="s">
        <v>118</v>
      </c>
      <c r="F29" s="102" t="s">
        <v>119</v>
      </c>
      <c r="G29" s="102" t="s">
        <v>120</v>
      </c>
      <c r="H29" s="102">
        <v>0.8547</v>
      </c>
      <c r="I29" s="102">
        <v>81</v>
      </c>
      <c r="J29" s="124"/>
      <c r="K29" s="129">
        <v>367783.36</v>
      </c>
      <c r="L29" s="102"/>
      <c r="M29" s="127">
        <v>1582</v>
      </c>
      <c r="N29" s="128">
        <v>232.48</v>
      </c>
      <c r="O29" s="102">
        <v>7.18</v>
      </c>
      <c r="P29" s="124">
        <v>1669.2064</v>
      </c>
      <c r="Q29" s="161"/>
      <c r="R29" s="161"/>
      <c r="S29" s="160">
        <v>636.185889705882</v>
      </c>
      <c r="T29" s="160"/>
      <c r="U29" s="160">
        <v>26.3951470588235</v>
      </c>
      <c r="V29" s="160"/>
      <c r="W29" s="160"/>
      <c r="X29" s="160">
        <v>662.581036764706</v>
      </c>
      <c r="Y29" s="175">
        <v>144.772982426471</v>
      </c>
      <c r="Z29" s="175"/>
      <c r="AA29" s="175">
        <v>0.746731279411765</v>
      </c>
      <c r="AB29" s="175">
        <v>145.519713705882</v>
      </c>
      <c r="AC29" s="176">
        <v>7.26</v>
      </c>
      <c r="AD29" s="160">
        <v>1056.47312150471</v>
      </c>
      <c r="AE29" s="160">
        <v>1719.05415826941</v>
      </c>
      <c r="AF29" s="160">
        <v>-49.8477582694115</v>
      </c>
    </row>
    <row r="30" s="88" customFormat="1" ht="12.75" spans="1:32">
      <c r="A30" s="101"/>
      <c r="B30" s="102"/>
      <c r="C30" s="103">
        <v>241226000032</v>
      </c>
      <c r="D30" s="104">
        <v>46018</v>
      </c>
      <c r="E30" s="104" t="s">
        <v>118</v>
      </c>
      <c r="F30" s="102" t="s">
        <v>119</v>
      </c>
      <c r="G30" s="102" t="s">
        <v>120</v>
      </c>
      <c r="H30" s="102">
        <v>0.19</v>
      </c>
      <c r="I30" s="102">
        <v>26</v>
      </c>
      <c r="J30" s="124"/>
      <c r="K30" s="129">
        <v>81805.22</v>
      </c>
      <c r="L30" s="102"/>
      <c r="M30" s="127">
        <v>1582</v>
      </c>
      <c r="N30" s="128">
        <v>51.71</v>
      </c>
      <c r="O30" s="102">
        <v>7.18</v>
      </c>
      <c r="P30" s="124">
        <v>371.2778</v>
      </c>
      <c r="Q30" s="161"/>
      <c r="R30" s="161"/>
      <c r="S30" s="160">
        <v>141.424264705882</v>
      </c>
      <c r="T30" s="160"/>
      <c r="U30" s="160">
        <v>5.86764705882353</v>
      </c>
      <c r="V30" s="160"/>
      <c r="W30" s="160"/>
      <c r="X30" s="160">
        <v>147.291911764706</v>
      </c>
      <c r="Y30" s="175">
        <v>32.1830661764706</v>
      </c>
      <c r="Z30" s="175"/>
      <c r="AA30" s="175">
        <v>0.165998529411765</v>
      </c>
      <c r="AB30" s="175">
        <v>32.3490647058824</v>
      </c>
      <c r="AC30" s="176">
        <v>7.26</v>
      </c>
      <c r="AD30" s="160">
        <v>234.854209764706</v>
      </c>
      <c r="AE30" s="160">
        <v>382.146121529412</v>
      </c>
      <c r="AF30" s="160">
        <v>-10.8683215294118</v>
      </c>
    </row>
    <row r="31" s="88" customFormat="1" ht="12.75" spans="1:32">
      <c r="A31" s="101"/>
      <c r="B31" s="102"/>
      <c r="C31" s="103">
        <v>241226000033</v>
      </c>
      <c r="D31" s="104">
        <v>46018</v>
      </c>
      <c r="E31" s="104" t="s">
        <v>118</v>
      </c>
      <c r="F31" s="102" t="s">
        <v>119</v>
      </c>
      <c r="G31" s="102" t="s">
        <v>120</v>
      </c>
      <c r="H31" s="102">
        <v>1.481</v>
      </c>
      <c r="I31" s="102">
        <v>251</v>
      </c>
      <c r="J31" s="124"/>
      <c r="K31" s="129">
        <v>637277.06</v>
      </c>
      <c r="L31" s="102"/>
      <c r="M31" s="127">
        <v>1582</v>
      </c>
      <c r="N31" s="128">
        <v>402.83</v>
      </c>
      <c r="O31" s="102">
        <v>7.18</v>
      </c>
      <c r="P31" s="124">
        <v>2892.3194</v>
      </c>
      <c r="Q31" s="161"/>
      <c r="R31" s="161"/>
      <c r="S31" s="160">
        <v>1102.36492647059</v>
      </c>
      <c r="T31" s="160"/>
      <c r="U31" s="160">
        <v>45.7367647058824</v>
      </c>
      <c r="V31" s="160"/>
      <c r="W31" s="160"/>
      <c r="X31" s="160">
        <v>1148.10169117647</v>
      </c>
      <c r="Y31" s="175">
        <v>250.858531617647</v>
      </c>
      <c r="Z31" s="175"/>
      <c r="AA31" s="175">
        <v>1.29391485294118</v>
      </c>
      <c r="AB31" s="175">
        <v>252.152446470588</v>
      </c>
      <c r="AC31" s="176">
        <v>7.26</v>
      </c>
      <c r="AD31" s="160">
        <v>1830.62676137647</v>
      </c>
      <c r="AE31" s="160">
        <v>2978.72845255294</v>
      </c>
      <c r="AF31" s="160">
        <v>-86.4090525529414</v>
      </c>
    </row>
    <row r="32" s="88" customFormat="1" ht="12.75" spans="1:32">
      <c r="A32" s="101"/>
      <c r="B32" s="102"/>
      <c r="C32" s="103">
        <v>241226000034</v>
      </c>
      <c r="D32" s="104">
        <v>46018</v>
      </c>
      <c r="E32" s="104" t="s">
        <v>118</v>
      </c>
      <c r="F32" s="102" t="s">
        <v>119</v>
      </c>
      <c r="G32" s="102" t="s">
        <v>120</v>
      </c>
      <c r="H32" s="102">
        <v>0.3501</v>
      </c>
      <c r="I32" s="102">
        <v>96</v>
      </c>
      <c r="J32" s="124"/>
      <c r="K32" s="129">
        <v>150653.86</v>
      </c>
      <c r="L32" s="102"/>
      <c r="M32" s="127">
        <v>1582</v>
      </c>
      <c r="N32" s="128">
        <v>95.23</v>
      </c>
      <c r="O32" s="102">
        <v>7.18</v>
      </c>
      <c r="P32" s="124">
        <v>683.7514</v>
      </c>
      <c r="Q32" s="208"/>
      <c r="R32" s="208"/>
      <c r="S32" s="160">
        <v>260.592816176471</v>
      </c>
      <c r="T32" s="160"/>
      <c r="U32" s="160">
        <v>10.8119117647059</v>
      </c>
      <c r="V32" s="160"/>
      <c r="W32" s="160"/>
      <c r="X32" s="160">
        <v>271.404727941176</v>
      </c>
      <c r="Y32" s="175">
        <v>59.3015340441176</v>
      </c>
      <c r="Z32" s="175"/>
      <c r="AA32" s="175">
        <v>0.305874132352941</v>
      </c>
      <c r="AB32" s="175">
        <v>59.6074081764706</v>
      </c>
      <c r="AC32" s="176">
        <v>7.26</v>
      </c>
      <c r="AD32" s="160">
        <v>432.749783361176</v>
      </c>
      <c r="AE32" s="160">
        <v>704.154511302353</v>
      </c>
      <c r="AF32" s="160">
        <v>-20.4031113023528</v>
      </c>
    </row>
    <row r="33" s="88" customFormat="1" ht="12.75" spans="1:32">
      <c r="A33" s="101"/>
      <c r="B33" s="102"/>
      <c r="C33" s="103">
        <v>241229000001</v>
      </c>
      <c r="D33" s="104">
        <v>46020</v>
      </c>
      <c r="E33" s="104" t="s">
        <v>118</v>
      </c>
      <c r="F33" s="102" t="s">
        <v>119</v>
      </c>
      <c r="G33" s="102" t="s">
        <v>122</v>
      </c>
      <c r="H33" s="102">
        <v>32.35</v>
      </c>
      <c r="I33" s="102">
        <v>3811</v>
      </c>
      <c r="J33" s="180">
        <v>53783.17</v>
      </c>
      <c r="K33" s="176"/>
      <c r="L33" s="102"/>
      <c r="M33" s="127"/>
      <c r="N33" s="128"/>
      <c r="O33" s="130"/>
      <c r="P33" s="124">
        <v>53783.17</v>
      </c>
      <c r="Q33" s="161"/>
      <c r="R33" s="161"/>
      <c r="S33" s="160">
        <v>23877.1544117647</v>
      </c>
      <c r="T33" s="160"/>
      <c r="U33" s="160">
        <v>856.323529411765</v>
      </c>
      <c r="V33" s="160"/>
      <c r="W33" s="160"/>
      <c r="X33" s="160">
        <v>24733.4779411765</v>
      </c>
      <c r="Y33" s="175">
        <v>5301.13741176471</v>
      </c>
      <c r="Z33" s="175"/>
      <c r="AA33" s="175">
        <v>63.7961029411765</v>
      </c>
      <c r="AB33" s="175">
        <v>5364.93351470588</v>
      </c>
      <c r="AC33" s="176">
        <v>7.25</v>
      </c>
      <c r="AD33" s="160">
        <v>38895.7679816177</v>
      </c>
      <c r="AE33" s="160">
        <v>63629.2459227941</v>
      </c>
      <c r="AF33" s="160">
        <v>-9846.0759227941</v>
      </c>
    </row>
    <row r="34" s="88" customFormat="1" ht="12.75" spans="1:32">
      <c r="A34" s="101"/>
      <c r="B34" s="102"/>
      <c r="C34" s="103">
        <v>241229000003</v>
      </c>
      <c r="D34" s="104">
        <v>46020</v>
      </c>
      <c r="E34" s="104" t="s">
        <v>118</v>
      </c>
      <c r="F34" s="102" t="s">
        <v>119</v>
      </c>
      <c r="G34" s="102" t="s">
        <v>122</v>
      </c>
      <c r="H34" s="102">
        <v>1.51</v>
      </c>
      <c r="I34" s="102">
        <v>270</v>
      </c>
      <c r="J34" s="180">
        <v>2510.44</v>
      </c>
      <c r="K34" s="176"/>
      <c r="L34" s="102"/>
      <c r="M34" s="127"/>
      <c r="N34" s="128"/>
      <c r="O34" s="130"/>
      <c r="P34" s="124">
        <v>2510.44</v>
      </c>
      <c r="Q34" s="208"/>
      <c r="R34" s="208"/>
      <c r="S34" s="160">
        <v>1114.51323529412</v>
      </c>
      <c r="T34" s="160"/>
      <c r="U34" s="160">
        <v>39.9705882352941</v>
      </c>
      <c r="V34" s="160"/>
      <c r="W34" s="160"/>
      <c r="X34" s="160">
        <v>1154.48382352941</v>
      </c>
      <c r="Y34" s="175">
        <v>247.441035294118</v>
      </c>
      <c r="Z34" s="175"/>
      <c r="AA34" s="175">
        <v>2.97780882352941</v>
      </c>
      <c r="AB34" s="175">
        <v>250.418844117647</v>
      </c>
      <c r="AC34" s="176">
        <v>7.25</v>
      </c>
      <c r="AD34" s="160">
        <v>1815.53661985294</v>
      </c>
      <c r="AE34" s="160">
        <v>2970.02044338235</v>
      </c>
      <c r="AF34" s="160">
        <v>-459.58044338235</v>
      </c>
    </row>
    <row r="35" s="193" customFormat="1" ht="19" customHeight="1" spans="1:32">
      <c r="A35" s="101" t="s">
        <v>96</v>
      </c>
      <c r="B35" s="195"/>
      <c r="C35" s="196"/>
      <c r="D35" s="197"/>
      <c r="E35" s="198"/>
      <c r="F35" s="195"/>
      <c r="G35" s="195"/>
      <c r="H35" s="195">
        <f>SUM(H5:H34)</f>
        <v>222.6355</v>
      </c>
      <c r="I35" s="203"/>
      <c r="J35" s="203"/>
      <c r="K35" s="203"/>
      <c r="L35" s="203"/>
      <c r="M35" s="204"/>
      <c r="N35" s="20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209"/>
      <c r="AC35" s="209"/>
      <c r="AD35" s="209"/>
      <c r="AE35" s="209"/>
      <c r="AF35" s="209">
        <f>SUM(AF5:AF34)</f>
        <v>-40380.2296853785</v>
      </c>
    </row>
    <row r="36" s="194" customFormat="1" ht="20" customHeight="1" spans="1:25">
      <c r="A36" s="199"/>
      <c r="B36" s="199"/>
      <c r="D36" s="200"/>
      <c r="H36" s="201"/>
      <c r="I36" s="205"/>
      <c r="J36" s="206"/>
      <c r="K36" s="201"/>
      <c r="L36" s="201"/>
      <c r="M36" s="207"/>
      <c r="N36" s="207"/>
      <c r="O36" s="207"/>
      <c r="P36" s="207"/>
      <c r="Q36" s="207"/>
      <c r="R36" s="207"/>
      <c r="S36" s="207"/>
      <c r="T36" s="207"/>
      <c r="U36" s="207"/>
      <c r="V36" s="207"/>
      <c r="W36" s="207"/>
      <c r="X36" s="207"/>
      <c r="Y36" s="207"/>
    </row>
    <row r="37" s="1" customFormat="1" ht="23" customHeight="1" spans="3:16">
      <c r="C37" s="74" t="s">
        <v>63</v>
      </c>
      <c r="D37" s="74"/>
      <c r="E37" s="74"/>
      <c r="F37" s="109" t="s">
        <v>64</v>
      </c>
      <c r="G37" s="110"/>
      <c r="H37" s="110"/>
      <c r="I37" s="131"/>
      <c r="J37"/>
      <c r="K37" s="132" t="s">
        <v>123</v>
      </c>
      <c r="L37" s="133"/>
      <c r="M37" s="134"/>
      <c r="N37" s="207"/>
      <c r="O37"/>
      <c r="P37"/>
    </row>
    <row r="38" s="1" customFormat="1" ht="23" customHeight="1" spans="3:16">
      <c r="C38" s="74"/>
      <c r="D38" s="74"/>
      <c r="E38" s="74"/>
      <c r="F38" s="111"/>
      <c r="G38" s="112"/>
      <c r="H38" s="112"/>
      <c r="I38" s="135"/>
      <c r="J38"/>
      <c r="K38" s="136" t="s">
        <v>66</v>
      </c>
      <c r="L38" s="136" t="s">
        <v>8</v>
      </c>
      <c r="M38" s="136" t="s">
        <v>67</v>
      </c>
      <c r="N38" s="207"/>
      <c r="O38"/>
      <c r="P38"/>
    </row>
    <row r="39" s="1" customFormat="1" ht="23" customHeight="1" spans="3:16">
      <c r="C39" s="74" t="s">
        <v>68</v>
      </c>
      <c r="D39" s="74"/>
      <c r="E39" s="74"/>
      <c r="F39" s="80" t="s">
        <v>69</v>
      </c>
      <c r="G39" s="81"/>
      <c r="H39" s="81"/>
      <c r="I39" s="82"/>
      <c r="J39"/>
      <c r="K39" s="136" t="s">
        <v>70</v>
      </c>
      <c r="L39" s="137">
        <f>SUM(H35)</f>
        <v>222.6355</v>
      </c>
      <c r="M39" s="138">
        <f>SUM(AF35)</f>
        <v>-40380.2296853785</v>
      </c>
      <c r="N39" s="207"/>
      <c r="O39"/>
      <c r="P39"/>
    </row>
    <row r="40" s="1" customFormat="1" ht="23" customHeight="1" spans="3:16">
      <c r="C40" s="74"/>
      <c r="D40" s="74"/>
      <c r="E40" s="74"/>
      <c r="F40" s="83"/>
      <c r="G40" s="84"/>
      <c r="H40" s="84"/>
      <c r="I40" s="85"/>
      <c r="J40"/>
      <c r="K40" s="139" t="s">
        <v>71</v>
      </c>
      <c r="L40" s="139"/>
      <c r="M40" s="140"/>
      <c r="N40"/>
      <c r="O40"/>
      <c r="P40"/>
    </row>
    <row r="41" s="1" customFormat="1" ht="23" customHeight="1" spans="3:16">
      <c r="C41" s="74" t="s">
        <v>72</v>
      </c>
      <c r="D41" s="74"/>
      <c r="E41" s="74"/>
      <c r="F41" s="80" t="s">
        <v>73</v>
      </c>
      <c r="G41" s="81"/>
      <c r="H41" s="81"/>
      <c r="I41" s="82"/>
      <c r="J41"/>
      <c r="K41" s="141" t="s">
        <v>74</v>
      </c>
      <c r="L41" s="141"/>
      <c r="M41" s="142"/>
      <c r="N41"/>
      <c r="O41"/>
      <c r="P41"/>
    </row>
    <row r="42" s="1" customFormat="1" ht="23" customHeight="1" spans="3:16">
      <c r="C42" s="74"/>
      <c r="D42" s="74"/>
      <c r="E42" s="74"/>
      <c r="F42" s="83"/>
      <c r="G42" s="84"/>
      <c r="H42" s="84"/>
      <c r="I42" s="85"/>
      <c r="J42"/>
      <c r="K42" s="136" t="s">
        <v>75</v>
      </c>
      <c r="L42" s="136"/>
      <c r="M42" s="136"/>
      <c r="N42"/>
      <c r="O42"/>
      <c r="P42"/>
    </row>
    <row r="43" s="1" customFormat="1" ht="23" customHeight="1" spans="5:16">
      <c r="E43"/>
      <c r="F43"/>
      <c r="G43"/>
      <c r="H43"/>
      <c r="I43"/>
      <c r="J43"/>
      <c r="K43" s="139" t="s">
        <v>76</v>
      </c>
      <c r="L43" s="139"/>
      <c r="M43" s="140"/>
      <c r="N43"/>
      <c r="O43"/>
      <c r="P43"/>
    </row>
    <row r="44" s="1" customFormat="1" ht="23" customHeight="1" spans="5:16">
      <c r="E44"/>
      <c r="F44"/>
      <c r="G44"/>
      <c r="H44"/>
      <c r="I44"/>
      <c r="J44"/>
      <c r="K44"/>
      <c r="L44"/>
      <c r="M44"/>
      <c r="N44"/>
      <c r="O44"/>
      <c r="P44"/>
    </row>
    <row r="45" s="1" customFormat="1" ht="23" customHeight="1" spans="5:13">
      <c r="E45"/>
      <c r="F45"/>
      <c r="G45"/>
      <c r="H45"/>
      <c r="I45"/>
      <c r="J45"/>
      <c r="K45"/>
      <c r="L45"/>
      <c r="M45"/>
    </row>
    <row r="46" s="1" customFormat="1" ht="23" customHeight="1" spans="5:13">
      <c r="E46"/>
      <c r="F46"/>
      <c r="G46"/>
      <c r="H46"/>
      <c r="I46"/>
      <c r="J46"/>
      <c r="K46"/>
      <c r="L46"/>
      <c r="M46"/>
    </row>
    <row r="47" s="1" customFormat="1" ht="23" customHeight="1" spans="5:19">
      <c r="E47"/>
      <c r="F47"/>
      <c r="G47"/>
      <c r="H47"/>
      <c r="I47"/>
      <c r="J47"/>
      <c r="K47"/>
      <c r="L47"/>
      <c r="M47"/>
      <c r="O47"/>
      <c r="P47"/>
      <c r="Q47"/>
      <c r="R47"/>
      <c r="S47" s="35"/>
    </row>
    <row r="48" s="1" customFormat="1" ht="23" customHeight="1" spans="5:19">
      <c r="E48" s="202"/>
      <c r="F48" s="202"/>
      <c r="G48" s="202"/>
      <c r="H48" s="202"/>
      <c r="I48" s="202"/>
      <c r="J48" s="202"/>
      <c r="K48" s="202"/>
      <c r="L48" s="202"/>
      <c r="N48" s="202"/>
      <c r="O48" s="202"/>
      <c r="P48" s="202"/>
      <c r="Q48" s="202"/>
      <c r="S48" s="35"/>
    </row>
    <row r="49" ht="25" customHeight="1"/>
  </sheetData>
  <mergeCells count="23">
    <mergeCell ref="J3:P3"/>
    <mergeCell ref="R3:V3"/>
    <mergeCell ref="Y3:AD3"/>
    <mergeCell ref="K37:M37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  <mergeCell ref="C37:E38"/>
    <mergeCell ref="F37:I38"/>
    <mergeCell ref="C39:E40"/>
    <mergeCell ref="F39:I40"/>
    <mergeCell ref="C41:E42"/>
    <mergeCell ref="F41:I42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0"/>
  <sheetViews>
    <sheetView workbookViewId="0">
      <pane xSplit="14" ySplit="4" topLeftCell="AB5" activePane="bottomRight" state="frozen"/>
      <selection/>
      <selection pane="topRight"/>
      <selection pane="bottomLeft"/>
      <selection pane="bottomRight" activeCell="M10" sqref="M10"/>
    </sheetView>
  </sheetViews>
  <sheetFormatPr defaultColWidth="9" defaultRowHeight="13.5"/>
  <cols>
    <col min="3" max="3" width="11.25" customWidth="1"/>
    <col min="4" max="4" width="11.25"/>
    <col min="8" max="8" width="10.125"/>
    <col min="9" max="9" width="11.125"/>
    <col min="10" max="10" width="10.375"/>
    <col min="11" max="11" width="10.125"/>
    <col min="12" max="12" width="11.125"/>
    <col min="13" max="13" width="11.25"/>
    <col min="14" max="14" width="11.375" customWidth="1"/>
    <col min="15" max="16" width="14.75"/>
    <col min="17" max="17" width="11"/>
    <col min="18" max="18" width="12.5" customWidth="1"/>
    <col min="19" max="19" width="11"/>
    <col min="20" max="20" width="11.125"/>
    <col min="21" max="21" width="12.625"/>
    <col min="22" max="22" width="12.5"/>
    <col min="23" max="23" width="11"/>
    <col min="24" max="24" width="10.375"/>
    <col min="25" max="25" width="12"/>
    <col min="26" max="26" width="9.25"/>
    <col min="27" max="27" width="12.5"/>
    <col min="28" max="28" width="13.625"/>
    <col min="29" max="29" width="9.25"/>
    <col min="30" max="30" width="10.125"/>
    <col min="31" max="32" width="12"/>
  </cols>
  <sheetData>
    <row r="1" customFormat="1" ht="24" customHeight="1" spans="1:1">
      <c r="A1" s="90" t="s">
        <v>0</v>
      </c>
    </row>
    <row r="2" customFormat="1" ht="6" customHeight="1" spans="1:1">
      <c r="A2" s="90"/>
    </row>
    <row r="3" s="87" customFormat="1" ht="23" customHeight="1" spans="1:32">
      <c r="A3" s="91" t="s">
        <v>1</v>
      </c>
      <c r="B3" s="92" t="s">
        <v>2</v>
      </c>
      <c r="C3" s="93" t="s">
        <v>3</v>
      </c>
      <c r="D3" s="94" t="s">
        <v>4</v>
      </c>
      <c r="E3" s="95" t="s">
        <v>5</v>
      </c>
      <c r="F3" s="96" t="s">
        <v>6</v>
      </c>
      <c r="G3" s="96" t="s">
        <v>7</v>
      </c>
      <c r="H3" s="96" t="s">
        <v>8</v>
      </c>
      <c r="I3" s="96" t="s">
        <v>9</v>
      </c>
      <c r="J3" s="113" t="s">
        <v>10</v>
      </c>
      <c r="K3" s="114"/>
      <c r="L3" s="115"/>
      <c r="M3" s="114"/>
      <c r="N3" s="115"/>
      <c r="O3" s="116"/>
      <c r="P3" s="117"/>
      <c r="Q3" s="143" t="s">
        <v>11</v>
      </c>
      <c r="R3" s="144" t="s">
        <v>12</v>
      </c>
      <c r="S3" s="145"/>
      <c r="T3" s="146"/>
      <c r="U3" s="147"/>
      <c r="V3" s="148"/>
      <c r="W3" s="149" t="s">
        <v>13</v>
      </c>
      <c r="X3" s="150" t="s">
        <v>14</v>
      </c>
      <c r="Y3" s="165" t="s">
        <v>15</v>
      </c>
      <c r="Z3" s="165"/>
      <c r="AA3" s="165"/>
      <c r="AB3" s="165"/>
      <c r="AC3" s="166"/>
      <c r="AD3" s="165"/>
      <c r="AE3" s="167" t="s">
        <v>16</v>
      </c>
      <c r="AF3" s="168" t="s">
        <v>17</v>
      </c>
    </row>
    <row r="4" s="87" customFormat="1" ht="27" customHeight="1" spans="1:32">
      <c r="A4" s="97"/>
      <c r="B4" s="98"/>
      <c r="C4" s="93"/>
      <c r="D4" s="94"/>
      <c r="E4" s="99"/>
      <c r="F4" s="100"/>
      <c r="G4" s="100"/>
      <c r="H4" s="100"/>
      <c r="I4" s="100"/>
      <c r="J4" s="118" t="s">
        <v>18</v>
      </c>
      <c r="K4" s="119" t="s">
        <v>19</v>
      </c>
      <c r="L4" s="120" t="s">
        <v>20</v>
      </c>
      <c r="M4" s="119" t="s">
        <v>21</v>
      </c>
      <c r="N4" s="121" t="s">
        <v>22</v>
      </c>
      <c r="O4" s="122" t="s">
        <v>23</v>
      </c>
      <c r="P4" s="123" t="s">
        <v>24</v>
      </c>
      <c r="Q4" s="151"/>
      <c r="R4" s="152" t="s">
        <v>25</v>
      </c>
      <c r="S4" s="153" t="s">
        <v>26</v>
      </c>
      <c r="T4" s="154" t="s">
        <v>27</v>
      </c>
      <c r="U4" s="155" t="s">
        <v>28</v>
      </c>
      <c r="V4" s="154" t="s">
        <v>29</v>
      </c>
      <c r="W4" s="156"/>
      <c r="X4" s="157"/>
      <c r="Y4" s="169" t="s">
        <v>30</v>
      </c>
      <c r="Z4" s="169" t="s">
        <v>31</v>
      </c>
      <c r="AA4" s="169" t="s">
        <v>32</v>
      </c>
      <c r="AB4" s="170" t="s">
        <v>33</v>
      </c>
      <c r="AC4" s="171" t="s">
        <v>34</v>
      </c>
      <c r="AD4" s="172" t="s">
        <v>24</v>
      </c>
      <c r="AE4" s="173" t="s">
        <v>35</v>
      </c>
      <c r="AF4" s="174"/>
    </row>
    <row r="5" s="88" customFormat="1" ht="12.75" spans="1:32">
      <c r="A5" s="101"/>
      <c r="B5" s="102"/>
      <c r="C5" s="103">
        <v>241223000042</v>
      </c>
      <c r="D5" s="104">
        <v>46018</v>
      </c>
      <c r="E5" s="104" t="s">
        <v>124</v>
      </c>
      <c r="F5" s="102" t="s">
        <v>125</v>
      </c>
      <c r="G5" s="102" t="s">
        <v>126</v>
      </c>
      <c r="H5" s="102">
        <v>0.0662</v>
      </c>
      <c r="I5" s="102">
        <v>13</v>
      </c>
      <c r="J5" s="180">
        <v>155.7</v>
      </c>
      <c r="K5" s="176"/>
      <c r="L5" s="102"/>
      <c r="M5" s="127"/>
      <c r="N5" s="126"/>
      <c r="O5" s="130"/>
      <c r="P5" s="124">
        <f>SUM(J5)</f>
        <v>155.7</v>
      </c>
      <c r="Q5" s="161"/>
      <c r="R5" s="161"/>
      <c r="S5" s="160">
        <f>SUM(50615/68)*H5</f>
        <v>49.2751911764706</v>
      </c>
      <c r="T5" s="160"/>
      <c r="U5" s="160">
        <f>SUM(2100/68)*H5</f>
        <v>2.04441176470588</v>
      </c>
      <c r="V5" s="160"/>
      <c r="W5" s="160"/>
      <c r="X5" s="160">
        <f>SUM(S5:W5)</f>
        <v>51.3196029411765</v>
      </c>
      <c r="Y5" s="175">
        <f>SUM(11518.15/68)*H5</f>
        <v>11.2132577941176</v>
      </c>
      <c r="Z5" s="175"/>
      <c r="AA5" s="175">
        <f>SUM(59.41/68)*H5</f>
        <v>0.0578373823529412</v>
      </c>
      <c r="AB5" s="175">
        <f>SUM(Y5:AA5)</f>
        <v>11.2710951764706</v>
      </c>
      <c r="AC5" s="176">
        <v>7.26</v>
      </c>
      <c r="AD5" s="160">
        <f>SUM(AB5*AC5)</f>
        <v>81.8281509811764</v>
      </c>
      <c r="AE5" s="160">
        <f>SUM(X5+AD5)</f>
        <v>133.147753922353</v>
      </c>
      <c r="AF5" s="160">
        <f>SUM(P5-AE5)</f>
        <v>22.5522460776471</v>
      </c>
    </row>
    <row r="6" s="193" customFormat="1" ht="19" customHeight="1" spans="1:32">
      <c r="A6" s="101" t="s">
        <v>96</v>
      </c>
      <c r="B6" s="195"/>
      <c r="C6" s="196"/>
      <c r="D6" s="197"/>
      <c r="E6" s="198"/>
      <c r="F6" s="195"/>
      <c r="G6" s="195"/>
      <c r="H6" s="195">
        <f>SUM(H5:H5)</f>
        <v>0.0662</v>
      </c>
      <c r="I6" s="203"/>
      <c r="J6" s="203"/>
      <c r="K6" s="203"/>
      <c r="L6" s="203"/>
      <c r="M6" s="204"/>
      <c r="N6" s="20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209"/>
      <c r="AC6" s="209"/>
      <c r="AD6" s="209"/>
      <c r="AE6" s="209"/>
      <c r="AF6" s="209">
        <f>SUM(AF5:AF5)</f>
        <v>22.5522460776471</v>
      </c>
    </row>
    <row r="7" s="194" customFormat="1" ht="20" customHeight="1" spans="1:25">
      <c r="A7" s="199"/>
      <c r="B7" s="199"/>
      <c r="D7" s="200"/>
      <c r="H7" s="201"/>
      <c r="I7" s="205"/>
      <c r="J7" s="206"/>
      <c r="K7" s="201"/>
      <c r="L7" s="201"/>
      <c r="M7" s="207"/>
      <c r="N7" s="207"/>
      <c r="O7" s="207"/>
      <c r="P7" s="207"/>
      <c r="Q7" s="207"/>
      <c r="R7" s="207"/>
      <c r="S7" s="207"/>
      <c r="T7" s="207"/>
      <c r="U7" s="207"/>
      <c r="V7" s="207"/>
      <c r="W7" s="207"/>
      <c r="X7" s="207"/>
      <c r="Y7" s="207"/>
    </row>
    <row r="8" s="1" customFormat="1" ht="23" customHeight="1" spans="3:16">
      <c r="C8" s="74" t="s">
        <v>63</v>
      </c>
      <c r="D8" s="74"/>
      <c r="E8" s="74"/>
      <c r="F8" s="109" t="s">
        <v>64</v>
      </c>
      <c r="G8" s="110"/>
      <c r="H8" s="110"/>
      <c r="I8" s="131"/>
      <c r="J8"/>
      <c r="K8" s="132" t="s">
        <v>127</v>
      </c>
      <c r="L8" s="133"/>
      <c r="M8" s="134"/>
      <c r="N8" s="207"/>
      <c r="O8"/>
      <c r="P8"/>
    </row>
    <row r="9" s="1" customFormat="1" ht="23" customHeight="1" spans="3:16">
      <c r="C9" s="74"/>
      <c r="D9" s="74"/>
      <c r="E9" s="74"/>
      <c r="F9" s="111"/>
      <c r="G9" s="112"/>
      <c r="H9" s="112"/>
      <c r="I9" s="135"/>
      <c r="J9"/>
      <c r="K9" s="136" t="s">
        <v>66</v>
      </c>
      <c r="L9" s="136" t="s">
        <v>8</v>
      </c>
      <c r="M9" s="136" t="s">
        <v>67</v>
      </c>
      <c r="N9" s="207"/>
      <c r="O9"/>
      <c r="P9"/>
    </row>
    <row r="10" s="1" customFormat="1" ht="23" customHeight="1" spans="3:16">
      <c r="C10" s="74" t="s">
        <v>68</v>
      </c>
      <c r="D10" s="74"/>
      <c r="E10" s="74"/>
      <c r="F10" s="80" t="s">
        <v>69</v>
      </c>
      <c r="G10" s="81"/>
      <c r="H10" s="81"/>
      <c r="I10" s="82"/>
      <c r="J10"/>
      <c r="K10" s="136" t="s">
        <v>70</v>
      </c>
      <c r="L10" s="137">
        <f>SUM(H6)</f>
        <v>0.0662</v>
      </c>
      <c r="M10" s="138">
        <f>SUM(AF6)</f>
        <v>22.5522460776471</v>
      </c>
      <c r="N10" s="207"/>
      <c r="O10"/>
      <c r="P10"/>
    </row>
    <row r="11" s="1" customFormat="1" ht="23" customHeight="1" spans="3:16">
      <c r="C11" s="74"/>
      <c r="D11" s="74"/>
      <c r="E11" s="74"/>
      <c r="F11" s="83"/>
      <c r="G11" s="84"/>
      <c r="H11" s="84"/>
      <c r="I11" s="85"/>
      <c r="J11"/>
      <c r="K11" s="139" t="s">
        <v>71</v>
      </c>
      <c r="L11" s="139"/>
      <c r="M11" s="140"/>
      <c r="N11"/>
      <c r="O11"/>
      <c r="P11"/>
    </row>
    <row r="12" s="1" customFormat="1" ht="23" customHeight="1" spans="3:16">
      <c r="C12" s="74" t="s">
        <v>72</v>
      </c>
      <c r="D12" s="74"/>
      <c r="E12" s="74"/>
      <c r="F12" s="80" t="s">
        <v>73</v>
      </c>
      <c r="G12" s="81"/>
      <c r="H12" s="81"/>
      <c r="I12" s="82"/>
      <c r="J12"/>
      <c r="K12" s="141" t="s">
        <v>74</v>
      </c>
      <c r="L12" s="141"/>
      <c r="M12" s="142"/>
      <c r="N12"/>
      <c r="O12"/>
      <c r="P12"/>
    </row>
    <row r="13" s="1" customFormat="1" ht="23" customHeight="1" spans="3:16">
      <c r="C13" s="74"/>
      <c r="D13" s="74"/>
      <c r="E13" s="74"/>
      <c r="F13" s="83"/>
      <c r="G13" s="84"/>
      <c r="H13" s="84"/>
      <c r="I13" s="85"/>
      <c r="J13"/>
      <c r="K13" s="136" t="s">
        <v>75</v>
      </c>
      <c r="L13" s="136"/>
      <c r="M13" s="136"/>
      <c r="N13"/>
      <c r="O13"/>
      <c r="P13"/>
    </row>
    <row r="14" s="1" customFormat="1" ht="23" customHeight="1" spans="5:16">
      <c r="E14"/>
      <c r="F14"/>
      <c r="G14"/>
      <c r="H14"/>
      <c r="I14"/>
      <c r="J14"/>
      <c r="K14" s="139" t="s">
        <v>76</v>
      </c>
      <c r="L14" s="139"/>
      <c r="M14" s="140"/>
      <c r="N14"/>
      <c r="O14"/>
      <c r="P14"/>
    </row>
    <row r="15" s="1" customFormat="1" ht="23" customHeight="1" spans="5:16">
      <c r="E15"/>
      <c r="F15"/>
      <c r="G15"/>
      <c r="H15"/>
      <c r="I15"/>
      <c r="J15"/>
      <c r="K15"/>
      <c r="L15"/>
      <c r="M15"/>
      <c r="N15"/>
      <c r="O15"/>
      <c r="P15"/>
    </row>
    <row r="16" s="1" customFormat="1" ht="23" customHeight="1" spans="5:14">
      <c r="E16"/>
      <c r="F16"/>
      <c r="G16"/>
      <c r="H16"/>
      <c r="I16"/>
      <c r="J16"/>
      <c r="K16" s="191"/>
      <c r="L16" s="191"/>
      <c r="M16" s="191"/>
      <c r="N16" s="191"/>
    </row>
    <row r="17" s="1" customFormat="1" ht="23" customHeight="1" spans="5:13">
      <c r="E17"/>
      <c r="F17"/>
      <c r="G17"/>
      <c r="H17"/>
      <c r="I17"/>
      <c r="J17"/>
      <c r="K17"/>
      <c r="L17"/>
      <c r="M17"/>
    </row>
    <row r="18" s="1" customFormat="1" ht="23" customHeight="1" spans="5:19">
      <c r="E18"/>
      <c r="F18"/>
      <c r="G18"/>
      <c r="H18"/>
      <c r="I18"/>
      <c r="J18"/>
      <c r="K18"/>
      <c r="L18"/>
      <c r="M18"/>
      <c r="O18"/>
      <c r="P18"/>
      <c r="Q18"/>
      <c r="R18"/>
      <c r="S18" s="35"/>
    </row>
    <row r="19" s="1" customFormat="1" ht="23" customHeight="1" spans="5:19">
      <c r="E19" s="202"/>
      <c r="F19" s="202"/>
      <c r="G19" s="202"/>
      <c r="H19" s="202"/>
      <c r="I19" s="202"/>
      <c r="J19" s="202"/>
      <c r="K19" s="202"/>
      <c r="L19" s="202"/>
      <c r="N19" s="202"/>
      <c r="O19" s="202"/>
      <c r="P19" s="202"/>
      <c r="Q19" s="202"/>
      <c r="S19" s="35"/>
    </row>
    <row r="20" ht="25" customHeight="1"/>
  </sheetData>
  <mergeCells count="23">
    <mergeCell ref="J3:P3"/>
    <mergeCell ref="R3:V3"/>
    <mergeCell ref="Y3:AD3"/>
    <mergeCell ref="K8:M8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  <mergeCell ref="C8:E9"/>
    <mergeCell ref="F8:I9"/>
    <mergeCell ref="C10:E11"/>
    <mergeCell ref="F10:I11"/>
    <mergeCell ref="C12:E13"/>
    <mergeCell ref="F12:I13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9"/>
  <sheetViews>
    <sheetView workbookViewId="0">
      <pane xSplit="14" ySplit="4" topLeftCell="AC5" activePane="bottomRight" state="frozen"/>
      <selection/>
      <selection pane="topRight"/>
      <selection pane="bottomLeft"/>
      <selection pane="bottomRight" activeCell="M19" sqref="M19"/>
    </sheetView>
  </sheetViews>
  <sheetFormatPr defaultColWidth="9" defaultRowHeight="13.5"/>
  <cols>
    <col min="3" max="3" width="11.25" customWidth="1"/>
    <col min="4" max="4" width="11.25"/>
    <col min="8" max="8" width="10.125"/>
    <col min="9" max="9" width="11.125"/>
    <col min="10" max="10" width="10.375"/>
    <col min="11" max="11" width="10.125"/>
    <col min="12" max="12" width="11.125"/>
    <col min="13" max="13" width="15.125" customWidth="1"/>
    <col min="14" max="14" width="11.375" customWidth="1"/>
    <col min="15" max="16" width="14.75"/>
    <col min="17" max="17" width="11"/>
    <col min="18" max="18" width="12.5" customWidth="1"/>
    <col min="19" max="19" width="11"/>
    <col min="20" max="20" width="11.125"/>
    <col min="21" max="21" width="12.625"/>
    <col min="22" max="22" width="12.5"/>
    <col min="23" max="23" width="11"/>
    <col min="24" max="24" width="10.375"/>
    <col min="25" max="25" width="12"/>
    <col min="26" max="26" width="9.25"/>
    <col min="27" max="27" width="12.5"/>
    <col min="28" max="28" width="13.625"/>
    <col min="29" max="29" width="9.25"/>
    <col min="30" max="30" width="10.125"/>
    <col min="31" max="32" width="12"/>
  </cols>
  <sheetData>
    <row r="1" customFormat="1" ht="24" customHeight="1" spans="1:1">
      <c r="A1" s="90" t="s">
        <v>0</v>
      </c>
    </row>
    <row r="2" customFormat="1" ht="6" customHeight="1" spans="1:1">
      <c r="A2" s="90"/>
    </row>
    <row r="3" s="87" customFormat="1" ht="23" customHeight="1" spans="1:32">
      <c r="A3" s="91" t="s">
        <v>1</v>
      </c>
      <c r="B3" s="92" t="s">
        <v>2</v>
      </c>
      <c r="C3" s="93" t="s">
        <v>3</v>
      </c>
      <c r="D3" s="94" t="s">
        <v>4</v>
      </c>
      <c r="E3" s="95" t="s">
        <v>5</v>
      </c>
      <c r="F3" s="96" t="s">
        <v>6</v>
      </c>
      <c r="G3" s="96" t="s">
        <v>7</v>
      </c>
      <c r="H3" s="96" t="s">
        <v>8</v>
      </c>
      <c r="I3" s="96" t="s">
        <v>9</v>
      </c>
      <c r="J3" s="113" t="s">
        <v>10</v>
      </c>
      <c r="K3" s="114"/>
      <c r="L3" s="115"/>
      <c r="M3" s="114"/>
      <c r="N3" s="115"/>
      <c r="O3" s="116"/>
      <c r="P3" s="117"/>
      <c r="Q3" s="143" t="s">
        <v>11</v>
      </c>
      <c r="R3" s="144" t="s">
        <v>12</v>
      </c>
      <c r="S3" s="145"/>
      <c r="T3" s="146"/>
      <c r="U3" s="147"/>
      <c r="V3" s="148"/>
      <c r="W3" s="149" t="s">
        <v>13</v>
      </c>
      <c r="X3" s="150" t="s">
        <v>14</v>
      </c>
      <c r="Y3" s="165" t="s">
        <v>15</v>
      </c>
      <c r="Z3" s="165"/>
      <c r="AA3" s="165"/>
      <c r="AB3" s="165"/>
      <c r="AC3" s="166"/>
      <c r="AD3" s="165"/>
      <c r="AE3" s="167" t="s">
        <v>16</v>
      </c>
      <c r="AF3" s="168" t="s">
        <v>17</v>
      </c>
    </row>
    <row r="4" s="87" customFormat="1" ht="27" customHeight="1" spans="1:32">
      <c r="A4" s="97"/>
      <c r="B4" s="98"/>
      <c r="C4" s="93"/>
      <c r="D4" s="94"/>
      <c r="E4" s="99"/>
      <c r="F4" s="100"/>
      <c r="G4" s="100"/>
      <c r="H4" s="100"/>
      <c r="I4" s="100"/>
      <c r="J4" s="118" t="s">
        <v>18</v>
      </c>
      <c r="K4" s="119" t="s">
        <v>19</v>
      </c>
      <c r="L4" s="120" t="s">
        <v>20</v>
      </c>
      <c r="M4" s="119" t="s">
        <v>21</v>
      </c>
      <c r="N4" s="121" t="s">
        <v>22</v>
      </c>
      <c r="O4" s="122" t="s">
        <v>23</v>
      </c>
      <c r="P4" s="123" t="s">
        <v>24</v>
      </c>
      <c r="Q4" s="151"/>
      <c r="R4" s="152" t="s">
        <v>25</v>
      </c>
      <c r="S4" s="153" t="s">
        <v>26</v>
      </c>
      <c r="T4" s="154" t="s">
        <v>27</v>
      </c>
      <c r="U4" s="155" t="s">
        <v>28</v>
      </c>
      <c r="V4" s="154" t="s">
        <v>29</v>
      </c>
      <c r="W4" s="156"/>
      <c r="X4" s="157"/>
      <c r="Y4" s="169" t="s">
        <v>30</v>
      </c>
      <c r="Z4" s="169" t="s">
        <v>31</v>
      </c>
      <c r="AA4" s="169" t="s">
        <v>32</v>
      </c>
      <c r="AB4" s="170" t="s">
        <v>33</v>
      </c>
      <c r="AC4" s="171" t="s">
        <v>34</v>
      </c>
      <c r="AD4" s="172" t="s">
        <v>24</v>
      </c>
      <c r="AE4" s="173" t="s">
        <v>35</v>
      </c>
      <c r="AF4" s="174"/>
    </row>
    <row r="5" s="88" customFormat="1" ht="12.75" spans="1:32">
      <c r="A5" s="101"/>
      <c r="B5" s="102"/>
      <c r="C5" s="103">
        <v>241129000029</v>
      </c>
      <c r="D5" s="104">
        <v>45631</v>
      </c>
      <c r="E5" s="104" t="s">
        <v>128</v>
      </c>
      <c r="F5" s="102" t="s">
        <v>129</v>
      </c>
      <c r="G5" s="102" t="s">
        <v>130</v>
      </c>
      <c r="H5" s="102">
        <v>0.19</v>
      </c>
      <c r="I5" s="102">
        <v>24</v>
      </c>
      <c r="J5" s="180">
        <v>369.36</v>
      </c>
      <c r="K5" s="176"/>
      <c r="L5" s="126"/>
      <c r="M5" s="127"/>
      <c r="N5" s="126"/>
      <c r="O5" s="102"/>
      <c r="P5" s="124">
        <v>369.36</v>
      </c>
      <c r="Q5" s="161"/>
      <c r="R5" s="161"/>
      <c r="S5" s="160">
        <v>131.220845588235</v>
      </c>
      <c r="T5" s="160"/>
      <c r="U5" s="160">
        <v>6.98529411764706</v>
      </c>
      <c r="V5" s="160"/>
      <c r="W5" s="160"/>
      <c r="X5" s="160">
        <v>138.206139705882</v>
      </c>
      <c r="Y5" s="175">
        <v>30.9616176470588</v>
      </c>
      <c r="Z5" s="175"/>
      <c r="AA5" s="175"/>
      <c r="AB5" s="175">
        <v>30.9616176470588</v>
      </c>
      <c r="AC5" s="176">
        <v>7.24</v>
      </c>
      <c r="AD5" s="160">
        <v>224.162111764706</v>
      </c>
      <c r="AE5" s="160">
        <v>362.368251470588</v>
      </c>
      <c r="AF5" s="160">
        <v>6.99174852941201</v>
      </c>
    </row>
    <row r="6" s="88" customFormat="1" ht="12.75" spans="1:32">
      <c r="A6" s="101"/>
      <c r="B6" s="102"/>
      <c r="C6" s="103">
        <v>241204000039</v>
      </c>
      <c r="D6" s="104">
        <v>45631</v>
      </c>
      <c r="E6" s="104" t="s">
        <v>128</v>
      </c>
      <c r="F6" s="102" t="s">
        <v>129</v>
      </c>
      <c r="G6" s="102" t="s">
        <v>131</v>
      </c>
      <c r="H6" s="102">
        <v>0.0608</v>
      </c>
      <c r="I6" s="102">
        <v>12</v>
      </c>
      <c r="J6" s="180">
        <v>113.83</v>
      </c>
      <c r="K6" s="176"/>
      <c r="L6" s="126"/>
      <c r="M6" s="127"/>
      <c r="N6" s="126"/>
      <c r="O6" s="102"/>
      <c r="P6" s="124">
        <v>113.83</v>
      </c>
      <c r="Q6" s="161"/>
      <c r="R6" s="161"/>
      <c r="S6" s="160">
        <v>41.9906705882353</v>
      </c>
      <c r="T6" s="160"/>
      <c r="U6" s="160">
        <v>2.23529411764706</v>
      </c>
      <c r="V6" s="160"/>
      <c r="W6" s="160"/>
      <c r="X6" s="160">
        <v>44.2259647058824</v>
      </c>
      <c r="Y6" s="175">
        <v>9.90771764705882</v>
      </c>
      <c r="Z6" s="175"/>
      <c r="AA6" s="175"/>
      <c r="AB6" s="175">
        <v>9.90771764705882</v>
      </c>
      <c r="AC6" s="176">
        <v>7.24</v>
      </c>
      <c r="AD6" s="160">
        <v>71.7318757647059</v>
      </c>
      <c r="AE6" s="160">
        <v>115.957840470588</v>
      </c>
      <c r="AF6" s="160">
        <v>-2.127840470588</v>
      </c>
    </row>
    <row r="7" s="88" customFormat="1" ht="12.75" spans="1:32">
      <c r="A7" s="101"/>
      <c r="B7" s="102"/>
      <c r="C7" s="103">
        <v>241216000026</v>
      </c>
      <c r="D7" s="104">
        <v>45638</v>
      </c>
      <c r="E7" s="104" t="s">
        <v>128</v>
      </c>
      <c r="F7" s="102" t="s">
        <v>129</v>
      </c>
      <c r="G7" s="102" t="s">
        <v>132</v>
      </c>
      <c r="H7" s="102">
        <v>12.7436</v>
      </c>
      <c r="I7" s="102">
        <v>1324.23</v>
      </c>
      <c r="J7" s="180">
        <v>22939.2</v>
      </c>
      <c r="K7" s="181"/>
      <c r="L7" s="126"/>
      <c r="M7" s="127"/>
      <c r="N7" s="126"/>
      <c r="O7" s="102"/>
      <c r="P7" s="124">
        <v>22939.2</v>
      </c>
      <c r="Q7" s="161"/>
      <c r="R7" s="161"/>
      <c r="S7" s="160">
        <v>9289.42847941177</v>
      </c>
      <c r="T7" s="160"/>
      <c r="U7" s="160">
        <v>393.552352941176</v>
      </c>
      <c r="V7" s="160"/>
      <c r="W7" s="160"/>
      <c r="X7" s="160">
        <v>9682.98083235294</v>
      </c>
      <c r="Y7" s="175">
        <v>2178.21857058824</v>
      </c>
      <c r="Z7" s="175"/>
      <c r="AA7" s="175">
        <v>10.4235151764706</v>
      </c>
      <c r="AB7" s="175">
        <v>2188.64208576471</v>
      </c>
      <c r="AC7" s="176">
        <v>7.3</v>
      </c>
      <c r="AD7" s="160">
        <v>15977.0872260824</v>
      </c>
      <c r="AE7" s="160">
        <v>25660.0680584353</v>
      </c>
      <c r="AF7" s="160">
        <v>-2720.8680584353</v>
      </c>
    </row>
    <row r="8" s="88" customFormat="1" ht="12.75" spans="1:32">
      <c r="A8" s="101"/>
      <c r="B8" s="102"/>
      <c r="C8" s="103">
        <v>241216000026</v>
      </c>
      <c r="D8" s="104">
        <v>45638</v>
      </c>
      <c r="E8" s="104" t="s">
        <v>128</v>
      </c>
      <c r="F8" s="102" t="s">
        <v>129</v>
      </c>
      <c r="G8" s="102" t="s">
        <v>132</v>
      </c>
      <c r="H8" s="102">
        <v>11.0893</v>
      </c>
      <c r="I8" s="102">
        <v>1146.94</v>
      </c>
      <c r="J8" s="180">
        <v>19958.4</v>
      </c>
      <c r="K8" s="181"/>
      <c r="L8" s="126"/>
      <c r="M8" s="127"/>
      <c r="N8" s="126"/>
      <c r="O8" s="102"/>
      <c r="P8" s="124">
        <v>19958.4</v>
      </c>
      <c r="Q8" s="161"/>
      <c r="R8" s="161"/>
      <c r="S8" s="160">
        <v>7966.60204338235</v>
      </c>
      <c r="T8" s="160"/>
      <c r="U8" s="160">
        <v>163.077941176471</v>
      </c>
      <c r="V8" s="160"/>
      <c r="W8" s="160"/>
      <c r="X8" s="160">
        <v>8129.67998455882</v>
      </c>
      <c r="Y8" s="175">
        <v>1886.85254889706</v>
      </c>
      <c r="Z8" s="175"/>
      <c r="AA8" s="175">
        <v>22.8504811176471</v>
      </c>
      <c r="AB8" s="175">
        <v>1909.70303001471</v>
      </c>
      <c r="AC8" s="176">
        <v>7.25</v>
      </c>
      <c r="AD8" s="160">
        <v>13845.3469676066</v>
      </c>
      <c r="AE8" s="160">
        <v>21975.0269521654</v>
      </c>
      <c r="AF8" s="160">
        <v>-2016.6269521654</v>
      </c>
    </row>
    <row r="9" s="88" customFormat="1" ht="12.75" spans="1:32">
      <c r="A9" s="101"/>
      <c r="B9" s="102"/>
      <c r="C9" s="103">
        <v>241212000013</v>
      </c>
      <c r="D9" s="104">
        <v>45638</v>
      </c>
      <c r="E9" s="104" t="s">
        <v>128</v>
      </c>
      <c r="F9" s="102" t="s">
        <v>129</v>
      </c>
      <c r="G9" s="102" t="s">
        <v>132</v>
      </c>
      <c r="H9" s="102">
        <v>0.0957</v>
      </c>
      <c r="I9" s="102">
        <v>26</v>
      </c>
      <c r="J9" s="180">
        <v>186.05</v>
      </c>
      <c r="K9" s="176"/>
      <c r="L9" s="126"/>
      <c r="M9" s="127"/>
      <c r="N9" s="126"/>
      <c r="O9" s="102"/>
      <c r="P9" s="124">
        <v>186.05</v>
      </c>
      <c r="Q9" s="161"/>
      <c r="R9" s="161"/>
      <c r="S9" s="160">
        <v>68.6218257352941</v>
      </c>
      <c r="T9" s="160"/>
      <c r="U9" s="160">
        <v>2.53323529411765</v>
      </c>
      <c r="V9" s="160"/>
      <c r="W9" s="160"/>
      <c r="X9" s="160">
        <v>71.1550610294118</v>
      </c>
      <c r="Y9" s="175">
        <v>16.3562136617647</v>
      </c>
      <c r="Z9" s="175"/>
      <c r="AA9" s="175">
        <v>0.197198294117647</v>
      </c>
      <c r="AB9" s="175">
        <v>16.5534119558824</v>
      </c>
      <c r="AC9" s="176">
        <v>7.25</v>
      </c>
      <c r="AD9" s="160">
        <v>120.012236680147</v>
      </c>
      <c r="AE9" s="160">
        <v>191.167297709559</v>
      </c>
      <c r="AF9" s="160">
        <v>-5.11729770955898</v>
      </c>
    </row>
    <row r="10" s="88" customFormat="1" ht="12.75" spans="1:32">
      <c r="A10" s="101"/>
      <c r="B10" s="102"/>
      <c r="C10" s="103">
        <v>241216000026</v>
      </c>
      <c r="D10" s="104">
        <v>45638</v>
      </c>
      <c r="E10" s="104" t="s">
        <v>128</v>
      </c>
      <c r="F10" s="102" t="s">
        <v>129</v>
      </c>
      <c r="G10" s="102" t="s">
        <v>132</v>
      </c>
      <c r="H10" s="102">
        <v>9.6179</v>
      </c>
      <c r="I10" s="102">
        <v>931.83</v>
      </c>
      <c r="J10" s="180">
        <v>17313.84</v>
      </c>
      <c r="K10" s="176"/>
      <c r="L10" s="126"/>
      <c r="M10" s="127"/>
      <c r="N10" s="126"/>
      <c r="O10" s="102"/>
      <c r="P10" s="124">
        <v>17313.84</v>
      </c>
      <c r="Q10" s="208"/>
      <c r="R10" s="208"/>
      <c r="S10" s="160">
        <v>6896.52933897059</v>
      </c>
      <c r="T10" s="160"/>
      <c r="U10" s="160">
        <v>254.591470588235</v>
      </c>
      <c r="V10" s="160"/>
      <c r="W10" s="160"/>
      <c r="X10" s="160">
        <v>7151.12080955882</v>
      </c>
      <c r="Y10" s="175">
        <v>1643.80801857353</v>
      </c>
      <c r="Z10" s="175"/>
      <c r="AA10" s="175">
        <v>19.8185315882353</v>
      </c>
      <c r="AB10" s="175">
        <v>1663.62655016176</v>
      </c>
      <c r="AC10" s="176">
        <v>7.25</v>
      </c>
      <c r="AD10" s="160">
        <v>12061.2924886728</v>
      </c>
      <c r="AE10" s="160">
        <v>19212.4132982316</v>
      </c>
      <c r="AF10" s="160">
        <v>-1898.5732982316</v>
      </c>
    </row>
    <row r="11" s="88" customFormat="1" ht="12.75" spans="1:32">
      <c r="A11" s="101"/>
      <c r="B11" s="102"/>
      <c r="C11" s="103">
        <v>241219000027</v>
      </c>
      <c r="D11" s="104">
        <v>46010</v>
      </c>
      <c r="E11" s="104" t="s">
        <v>128</v>
      </c>
      <c r="F11" s="102" t="s">
        <v>129</v>
      </c>
      <c r="G11" s="102" t="s">
        <v>130</v>
      </c>
      <c r="H11" s="102">
        <v>0.9378</v>
      </c>
      <c r="I11" s="102">
        <v>1454</v>
      </c>
      <c r="J11" s="180">
        <v>4037.69</v>
      </c>
      <c r="K11" s="176"/>
      <c r="L11" s="102"/>
      <c r="M11" s="127"/>
      <c r="N11" s="126"/>
      <c r="O11" s="102"/>
      <c r="P11" s="124">
        <v>4037.69</v>
      </c>
      <c r="Q11" s="161"/>
      <c r="R11" s="161"/>
      <c r="S11" s="160">
        <v>672.699110294118</v>
      </c>
      <c r="T11" s="160">
        <v>1.22575976470588</v>
      </c>
      <c r="U11" s="160">
        <v>26.2032352941176</v>
      </c>
      <c r="V11" s="160"/>
      <c r="W11" s="160"/>
      <c r="X11" s="160">
        <v>700.128105352941</v>
      </c>
      <c r="Y11" s="175">
        <v>166.004391176471</v>
      </c>
      <c r="Z11" s="175"/>
      <c r="AA11" s="175">
        <v>0.793268470588235</v>
      </c>
      <c r="AB11" s="175">
        <v>166.797659647059</v>
      </c>
      <c r="AC11" s="176">
        <v>7.25</v>
      </c>
      <c r="AD11" s="160">
        <v>1209.28303244118</v>
      </c>
      <c r="AE11" s="160">
        <v>1909.41113779412</v>
      </c>
      <c r="AF11" s="160">
        <v>2128.27886220588</v>
      </c>
    </row>
    <row r="12" s="88" customFormat="1" ht="12.75" spans="1:32">
      <c r="A12" s="101"/>
      <c r="B12" s="102"/>
      <c r="C12" s="103">
        <v>241227000049</v>
      </c>
      <c r="D12" s="104">
        <v>46020</v>
      </c>
      <c r="E12" s="104" t="s">
        <v>128</v>
      </c>
      <c r="F12" s="102" t="s">
        <v>129</v>
      </c>
      <c r="G12" s="102" t="s">
        <v>133</v>
      </c>
      <c r="H12" s="102">
        <v>2.8728</v>
      </c>
      <c r="I12" s="102">
        <v>1490</v>
      </c>
      <c r="J12" s="180">
        <v>5584.75</v>
      </c>
      <c r="K12" s="176"/>
      <c r="L12" s="102"/>
      <c r="M12" s="127"/>
      <c r="N12" s="126"/>
      <c r="O12" s="102"/>
      <c r="P12" s="124">
        <v>5584.75</v>
      </c>
      <c r="Q12" s="161"/>
      <c r="R12" s="161"/>
      <c r="S12" s="160">
        <v>2120.37988235294</v>
      </c>
      <c r="T12" s="160"/>
      <c r="U12" s="160">
        <v>76.0447058823529</v>
      </c>
      <c r="V12" s="160"/>
      <c r="W12" s="160"/>
      <c r="X12" s="160">
        <v>2196.42458823529</v>
      </c>
      <c r="Y12" s="175">
        <v>470.760666352941</v>
      </c>
      <c r="Z12" s="175"/>
      <c r="AA12" s="175">
        <v>5.66533058823529</v>
      </c>
      <c r="AB12" s="175">
        <v>476.425996941176</v>
      </c>
      <c r="AC12" s="176">
        <v>7.25</v>
      </c>
      <c r="AD12" s="160">
        <v>3454.08847782353</v>
      </c>
      <c r="AE12" s="160">
        <v>5650.51306605882</v>
      </c>
      <c r="AF12" s="160">
        <v>-65.7630660588202</v>
      </c>
    </row>
    <row r="13" s="88" customFormat="1" ht="12.75" spans="1:32">
      <c r="A13" s="101"/>
      <c r="B13" s="102"/>
      <c r="C13" s="103">
        <v>241227000050</v>
      </c>
      <c r="D13" s="104">
        <v>46020</v>
      </c>
      <c r="E13" s="104" t="s">
        <v>128</v>
      </c>
      <c r="F13" s="102" t="s">
        <v>129</v>
      </c>
      <c r="G13" s="102" t="s">
        <v>131</v>
      </c>
      <c r="H13" s="102">
        <v>0.4118</v>
      </c>
      <c r="I13" s="102">
        <v>482</v>
      </c>
      <c r="J13" s="180">
        <v>1338.62</v>
      </c>
      <c r="K13" s="176"/>
      <c r="L13" s="102"/>
      <c r="M13" s="127"/>
      <c r="N13" s="126"/>
      <c r="O13" s="102"/>
      <c r="P13" s="124">
        <v>1338.62</v>
      </c>
      <c r="Q13" s="161"/>
      <c r="R13" s="161"/>
      <c r="S13" s="160">
        <v>303.944735294118</v>
      </c>
      <c r="T13" s="160"/>
      <c r="U13" s="160">
        <v>10.9005882352941</v>
      </c>
      <c r="V13" s="160"/>
      <c r="W13" s="160"/>
      <c r="X13" s="160">
        <v>314.845323529412</v>
      </c>
      <c r="Y13" s="175">
        <v>67.4809392941176</v>
      </c>
      <c r="Z13" s="175"/>
      <c r="AA13" s="175">
        <v>0.812093823529412</v>
      </c>
      <c r="AB13" s="175">
        <v>68.2930331176471</v>
      </c>
      <c r="AC13" s="176">
        <v>7.25</v>
      </c>
      <c r="AD13" s="160">
        <v>495.124490102941</v>
      </c>
      <c r="AE13" s="160">
        <v>809.969813632353</v>
      </c>
      <c r="AF13" s="160">
        <v>528.650186367647</v>
      </c>
    </row>
    <row r="14" s="88" customFormat="1" ht="12.75" spans="1:32">
      <c r="A14" s="101"/>
      <c r="B14" s="102"/>
      <c r="C14" s="103">
        <v>241227000051</v>
      </c>
      <c r="D14" s="104">
        <v>46020</v>
      </c>
      <c r="E14" s="104" t="s">
        <v>128</v>
      </c>
      <c r="F14" s="102" t="s">
        <v>129</v>
      </c>
      <c r="G14" s="102" t="s">
        <v>132</v>
      </c>
      <c r="H14" s="102">
        <v>0.0622</v>
      </c>
      <c r="I14" s="102">
        <v>8</v>
      </c>
      <c r="J14" s="180">
        <v>120.89</v>
      </c>
      <c r="K14" s="176"/>
      <c r="L14" s="102"/>
      <c r="M14" s="127"/>
      <c r="N14" s="126"/>
      <c r="O14" s="102"/>
      <c r="P14" s="124">
        <v>120.89</v>
      </c>
      <c r="Q14" s="161"/>
      <c r="R14" s="161"/>
      <c r="S14" s="160">
        <v>45.9090882352941</v>
      </c>
      <c r="T14" s="160"/>
      <c r="U14" s="160">
        <v>1.64647058823529</v>
      </c>
      <c r="V14" s="160"/>
      <c r="W14" s="160"/>
      <c r="X14" s="160">
        <v>47.5555588235294</v>
      </c>
      <c r="Y14" s="175">
        <v>10.1926042352941</v>
      </c>
      <c r="Z14" s="175"/>
      <c r="AA14" s="175">
        <v>0.122662058823529</v>
      </c>
      <c r="AB14" s="175">
        <v>10.3152662941176</v>
      </c>
      <c r="AC14" s="176">
        <v>7.25</v>
      </c>
      <c r="AD14" s="160">
        <v>74.7856806323529</v>
      </c>
      <c r="AE14" s="160">
        <v>122.341239455882</v>
      </c>
      <c r="AF14" s="160">
        <v>-1.451239455882</v>
      </c>
    </row>
    <row r="15" s="193" customFormat="1" ht="19" customHeight="1" spans="1:32">
      <c r="A15" s="101" t="s">
        <v>96</v>
      </c>
      <c r="B15" s="195"/>
      <c r="C15" s="196"/>
      <c r="D15" s="197"/>
      <c r="E15" s="198"/>
      <c r="F15" s="195"/>
      <c r="G15" s="195"/>
      <c r="H15" s="195">
        <f>SUM(H5:H14)</f>
        <v>38.0819</v>
      </c>
      <c r="I15" s="203"/>
      <c r="J15" s="203"/>
      <c r="K15" s="203"/>
      <c r="L15" s="203"/>
      <c r="M15" s="204"/>
      <c r="N15" s="20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209"/>
      <c r="AC15" s="209"/>
      <c r="AD15" s="209"/>
      <c r="AE15" s="209"/>
      <c r="AF15" s="209">
        <f>SUM(AF5:AF14)</f>
        <v>-4046.60695542421</v>
      </c>
    </row>
    <row r="16" s="194" customFormat="1" ht="20" customHeight="1" spans="1:25">
      <c r="A16" s="199"/>
      <c r="B16" s="199"/>
      <c r="D16" s="200"/>
      <c r="H16" s="201"/>
      <c r="I16" s="205"/>
      <c r="J16" s="206"/>
      <c r="K16" s="201"/>
      <c r="L16" s="201"/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7"/>
      <c r="X16" s="207"/>
      <c r="Y16" s="207"/>
    </row>
    <row r="17" s="1" customFormat="1" ht="23" customHeight="1" spans="3:16">
      <c r="C17" s="74" t="s">
        <v>63</v>
      </c>
      <c r="D17" s="74"/>
      <c r="E17" s="74"/>
      <c r="F17" s="109" t="s">
        <v>64</v>
      </c>
      <c r="G17" s="110"/>
      <c r="H17" s="110"/>
      <c r="I17" s="131"/>
      <c r="J17"/>
      <c r="K17" s="132" t="s">
        <v>134</v>
      </c>
      <c r="L17" s="133"/>
      <c r="M17" s="134"/>
      <c r="N17"/>
      <c r="O17"/>
      <c r="P17"/>
    </row>
    <row r="18" s="1" customFormat="1" ht="23" customHeight="1" spans="3:16">
      <c r="C18" s="74"/>
      <c r="D18" s="74"/>
      <c r="E18" s="74"/>
      <c r="F18" s="111"/>
      <c r="G18" s="112"/>
      <c r="H18" s="112"/>
      <c r="I18" s="135"/>
      <c r="J18"/>
      <c r="K18" s="136" t="s">
        <v>66</v>
      </c>
      <c r="L18" s="136" t="s">
        <v>8</v>
      </c>
      <c r="M18" s="136" t="s">
        <v>67</v>
      </c>
      <c r="N18"/>
      <c r="O18"/>
      <c r="P18"/>
    </row>
    <row r="19" s="1" customFormat="1" ht="23" customHeight="1" spans="3:16">
      <c r="C19" s="74" t="s">
        <v>68</v>
      </c>
      <c r="D19" s="74"/>
      <c r="E19" s="74"/>
      <c r="F19" s="80" t="s">
        <v>69</v>
      </c>
      <c r="G19" s="81"/>
      <c r="H19" s="81"/>
      <c r="I19" s="82"/>
      <c r="J19"/>
      <c r="K19" s="136" t="s">
        <v>70</v>
      </c>
      <c r="L19" s="137">
        <f>SUM(H15)</f>
        <v>38.0819</v>
      </c>
      <c r="M19" s="138">
        <f>SUM(AF15)</f>
        <v>-4046.60695542421</v>
      </c>
      <c r="N19"/>
      <c r="O19"/>
      <c r="P19"/>
    </row>
    <row r="20" s="1" customFormat="1" ht="23" customHeight="1" spans="3:16">
      <c r="C20" s="74"/>
      <c r="D20" s="74"/>
      <c r="E20" s="74"/>
      <c r="F20" s="83"/>
      <c r="G20" s="84"/>
      <c r="H20" s="84"/>
      <c r="I20" s="85"/>
      <c r="J20"/>
      <c r="K20" s="141" t="s">
        <v>74</v>
      </c>
      <c r="L20" s="141"/>
      <c r="M20" s="142"/>
      <c r="N20"/>
      <c r="O20"/>
      <c r="P20"/>
    </row>
    <row r="21" s="1" customFormat="1" ht="23" customHeight="1" spans="3:16">
      <c r="C21" s="74" t="s">
        <v>72</v>
      </c>
      <c r="D21" s="74"/>
      <c r="E21" s="74"/>
      <c r="F21" s="80" t="s">
        <v>73</v>
      </c>
      <c r="G21" s="81"/>
      <c r="H21" s="81"/>
      <c r="I21" s="82"/>
      <c r="J21"/>
      <c r="K21" s="136" t="s">
        <v>75</v>
      </c>
      <c r="L21" s="136"/>
      <c r="M21" s="136"/>
      <c r="N21"/>
      <c r="O21"/>
      <c r="P21"/>
    </row>
    <row r="22" s="1" customFormat="1" ht="23" customHeight="1" spans="3:16">
      <c r="C22" s="74"/>
      <c r="D22" s="74"/>
      <c r="E22" s="74"/>
      <c r="F22" s="83"/>
      <c r="G22" s="84"/>
      <c r="H22" s="84"/>
      <c r="I22" s="85"/>
      <c r="J22"/>
      <c r="K22" s="139" t="s">
        <v>76</v>
      </c>
      <c r="L22" s="139"/>
      <c r="M22" s="140"/>
      <c r="N22"/>
      <c r="O22"/>
      <c r="P22"/>
    </row>
    <row r="23" s="1" customFormat="1" ht="23" customHeight="1" spans="5:16">
      <c r="E23"/>
      <c r="F23"/>
      <c r="G23"/>
      <c r="H23"/>
      <c r="I23"/>
      <c r="J23"/>
      <c r="K23" s="202"/>
      <c r="L23" s="202"/>
      <c r="M23" s="202"/>
      <c r="N23"/>
      <c r="O23"/>
      <c r="P23"/>
    </row>
    <row r="24" s="1" customFormat="1" ht="23" customHeight="1" spans="5:16">
      <c r="E24"/>
      <c r="F24"/>
      <c r="G24"/>
      <c r="H24"/>
      <c r="I24"/>
      <c r="J24"/>
      <c r="K24" s="202"/>
      <c r="L24" s="202"/>
      <c r="M24" s="202"/>
      <c r="N24" s="202"/>
      <c r="O24"/>
      <c r="P24"/>
    </row>
    <row r="25" s="1" customFormat="1" ht="23" customHeight="1" spans="5:13">
      <c r="E25"/>
      <c r="F25"/>
      <c r="G25"/>
      <c r="H25"/>
      <c r="I25"/>
      <c r="J25"/>
      <c r="K25"/>
      <c r="L25"/>
      <c r="M25"/>
    </row>
    <row r="26" s="1" customFormat="1" ht="23" customHeight="1" spans="5:13">
      <c r="E26"/>
      <c r="F26"/>
      <c r="G26"/>
      <c r="H26"/>
      <c r="I26"/>
      <c r="J26"/>
      <c r="K26"/>
      <c r="L26"/>
      <c r="M26"/>
    </row>
    <row r="27" s="1" customFormat="1" ht="23" customHeight="1" spans="5:19">
      <c r="E27"/>
      <c r="F27"/>
      <c r="G27"/>
      <c r="H27"/>
      <c r="I27"/>
      <c r="J27"/>
      <c r="K27"/>
      <c r="L27"/>
      <c r="M27"/>
      <c r="O27"/>
      <c r="P27"/>
      <c r="Q27"/>
      <c r="R27"/>
      <c r="S27" s="35"/>
    </row>
    <row r="28" s="1" customFormat="1" ht="23" customHeight="1" spans="5:19">
      <c r="E28" s="202"/>
      <c r="F28" s="202"/>
      <c r="G28" s="202"/>
      <c r="H28" s="202"/>
      <c r="I28" s="202"/>
      <c r="J28" s="202"/>
      <c r="K28" s="202"/>
      <c r="L28" s="202"/>
      <c r="N28" s="202"/>
      <c r="O28" s="202"/>
      <c r="P28" s="202"/>
      <c r="Q28" s="202"/>
      <c r="S28" s="35"/>
    </row>
    <row r="29" ht="25" customHeight="1"/>
  </sheetData>
  <mergeCells count="23">
    <mergeCell ref="J3:P3"/>
    <mergeCell ref="R3:V3"/>
    <mergeCell ref="Y3:AD3"/>
    <mergeCell ref="K17:M17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  <mergeCell ref="C19:E20"/>
    <mergeCell ref="F19:I20"/>
    <mergeCell ref="C17:E18"/>
    <mergeCell ref="F17:I18"/>
    <mergeCell ref="C21:E22"/>
    <mergeCell ref="F21:I22"/>
  </mergeCells>
  <pageMargins left="0.75" right="0.75" top="1" bottom="1" header="0.5" footer="0.5"/>
  <pageSetup paperSize="9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6"/>
  <sheetViews>
    <sheetView workbookViewId="0">
      <pane xSplit="14" ySplit="4" topLeftCell="AE30" activePane="bottomRight" state="frozen"/>
      <selection/>
      <selection pane="topRight"/>
      <selection pane="bottomLeft"/>
      <selection pane="bottomRight" activeCell="M44" sqref="M44"/>
    </sheetView>
  </sheetViews>
  <sheetFormatPr defaultColWidth="9" defaultRowHeight="13.5"/>
  <cols>
    <col min="3" max="3" width="11.25" customWidth="1"/>
    <col min="4" max="4" width="10.125"/>
    <col min="8" max="8" width="10.125"/>
    <col min="9" max="9" width="15.875"/>
    <col min="10" max="10" width="12"/>
    <col min="11" max="11" width="11"/>
    <col min="12" max="12" width="15.875"/>
    <col min="13" max="13" width="17.25"/>
    <col min="14" max="14" width="11.25"/>
    <col min="15" max="15" width="17.25"/>
    <col min="16" max="16" width="14.75"/>
    <col min="17" max="17" width="11.125"/>
    <col min="18" max="18" width="12.5" customWidth="1"/>
    <col min="19" max="19" width="10.375"/>
    <col min="20" max="20" width="17.25"/>
    <col min="21" max="21" width="10.375"/>
    <col min="22" max="22" width="12.5"/>
    <col min="23" max="23" width="10.375"/>
    <col min="24" max="24" width="17.25"/>
    <col min="25" max="25" width="15.875"/>
    <col min="26" max="26" width="11.125"/>
    <col min="27" max="27" width="13.625"/>
    <col min="28" max="28" width="14.75"/>
    <col min="29" max="29" width="9.25"/>
    <col min="30" max="30" width="10.125"/>
    <col min="31" max="32" width="14.75"/>
  </cols>
  <sheetData>
    <row r="1" customFormat="1" ht="24" customHeight="1" spans="1:1">
      <c r="A1" s="90" t="s">
        <v>0</v>
      </c>
    </row>
    <row r="2" customFormat="1" ht="6" customHeight="1" spans="1:1">
      <c r="A2" s="90"/>
    </row>
    <row r="3" s="87" customFormat="1" ht="23" customHeight="1" spans="1:32">
      <c r="A3" s="91" t="s">
        <v>1</v>
      </c>
      <c r="B3" s="92" t="s">
        <v>2</v>
      </c>
      <c r="C3" s="93" t="s">
        <v>3</v>
      </c>
      <c r="D3" s="94" t="s">
        <v>4</v>
      </c>
      <c r="E3" s="95" t="s">
        <v>5</v>
      </c>
      <c r="F3" s="96" t="s">
        <v>6</v>
      </c>
      <c r="G3" s="96" t="s">
        <v>7</v>
      </c>
      <c r="H3" s="96" t="s">
        <v>8</v>
      </c>
      <c r="I3" s="96" t="s">
        <v>9</v>
      </c>
      <c r="J3" s="113" t="s">
        <v>10</v>
      </c>
      <c r="K3" s="114"/>
      <c r="L3" s="115"/>
      <c r="M3" s="114"/>
      <c r="N3" s="115"/>
      <c r="O3" s="116"/>
      <c r="P3" s="117"/>
      <c r="Q3" s="143" t="s">
        <v>11</v>
      </c>
      <c r="R3" s="144" t="s">
        <v>12</v>
      </c>
      <c r="S3" s="145"/>
      <c r="T3" s="146"/>
      <c r="U3" s="147"/>
      <c r="V3" s="148"/>
      <c r="W3" s="149" t="s">
        <v>13</v>
      </c>
      <c r="X3" s="150" t="s">
        <v>14</v>
      </c>
      <c r="Y3" s="165" t="s">
        <v>15</v>
      </c>
      <c r="Z3" s="165"/>
      <c r="AA3" s="165"/>
      <c r="AB3" s="165"/>
      <c r="AC3" s="166"/>
      <c r="AD3" s="165"/>
      <c r="AE3" s="167" t="s">
        <v>16</v>
      </c>
      <c r="AF3" s="168" t="s">
        <v>17</v>
      </c>
    </row>
    <row r="4" s="87" customFormat="1" ht="27" customHeight="1" spans="1:32">
      <c r="A4" s="97"/>
      <c r="B4" s="98"/>
      <c r="C4" s="93"/>
      <c r="D4" s="94"/>
      <c r="E4" s="99"/>
      <c r="F4" s="100"/>
      <c r="G4" s="100"/>
      <c r="H4" s="100"/>
      <c r="I4" s="100"/>
      <c r="J4" s="118" t="s">
        <v>18</v>
      </c>
      <c r="K4" s="119" t="s">
        <v>19</v>
      </c>
      <c r="L4" s="120" t="s">
        <v>20</v>
      </c>
      <c r="M4" s="119" t="s">
        <v>21</v>
      </c>
      <c r="N4" s="121" t="s">
        <v>22</v>
      </c>
      <c r="O4" s="122" t="s">
        <v>23</v>
      </c>
      <c r="P4" s="123" t="s">
        <v>24</v>
      </c>
      <c r="Q4" s="151"/>
      <c r="R4" s="152" t="s">
        <v>25</v>
      </c>
      <c r="S4" s="153" t="s">
        <v>26</v>
      </c>
      <c r="T4" s="154" t="s">
        <v>27</v>
      </c>
      <c r="U4" s="155" t="s">
        <v>28</v>
      </c>
      <c r="V4" s="154" t="s">
        <v>29</v>
      </c>
      <c r="W4" s="156"/>
      <c r="X4" s="157"/>
      <c r="Y4" s="169" t="s">
        <v>30</v>
      </c>
      <c r="Z4" s="169" t="s">
        <v>31</v>
      </c>
      <c r="AA4" s="169" t="s">
        <v>32</v>
      </c>
      <c r="AB4" s="170" t="s">
        <v>33</v>
      </c>
      <c r="AC4" s="171" t="s">
        <v>34</v>
      </c>
      <c r="AD4" s="172" t="s">
        <v>24</v>
      </c>
      <c r="AE4" s="173" t="s">
        <v>35</v>
      </c>
      <c r="AF4" s="174"/>
    </row>
    <row r="5" s="88" customFormat="1" ht="12.75" spans="1:32">
      <c r="A5" s="101"/>
      <c r="B5" s="102"/>
      <c r="C5" s="103">
        <v>241120000023</v>
      </c>
      <c r="D5" s="104">
        <v>45631</v>
      </c>
      <c r="E5" s="104" t="s">
        <v>135</v>
      </c>
      <c r="F5" s="102" t="s">
        <v>135</v>
      </c>
      <c r="G5" s="102" t="s">
        <v>136</v>
      </c>
      <c r="H5" s="102">
        <v>1.3317</v>
      </c>
      <c r="I5" s="102">
        <v>326</v>
      </c>
      <c r="J5" s="180">
        <v>4965</v>
      </c>
      <c r="K5" s="176"/>
      <c r="L5" s="126"/>
      <c r="M5" s="127"/>
      <c r="N5" s="126"/>
      <c r="O5" s="102"/>
      <c r="P5" s="124">
        <v>4965</v>
      </c>
      <c r="Q5" s="161"/>
      <c r="R5" s="161"/>
      <c r="S5" s="160">
        <v>919.720000367647</v>
      </c>
      <c r="T5" s="160"/>
      <c r="U5" s="160">
        <v>48.9595588235294</v>
      </c>
      <c r="V5" s="160">
        <v>500</v>
      </c>
      <c r="W5" s="160"/>
      <c r="X5" s="160">
        <v>1468.67955919118</v>
      </c>
      <c r="Y5" s="175">
        <v>217.008348529412</v>
      </c>
      <c r="Z5" s="175"/>
      <c r="AA5" s="175"/>
      <c r="AB5" s="175">
        <v>217.008348529412</v>
      </c>
      <c r="AC5" s="176">
        <v>7.24</v>
      </c>
      <c r="AD5" s="160">
        <v>1571.14044335294</v>
      </c>
      <c r="AE5" s="160">
        <v>3039.82000254412</v>
      </c>
      <c r="AF5" s="160">
        <v>1925.17999745588</v>
      </c>
    </row>
    <row r="6" s="88" customFormat="1" ht="12.75" spans="1:32">
      <c r="A6" s="101"/>
      <c r="B6" s="102"/>
      <c r="C6" s="103">
        <v>241121000013</v>
      </c>
      <c r="D6" s="104">
        <v>45631</v>
      </c>
      <c r="E6" s="104" t="s">
        <v>135</v>
      </c>
      <c r="F6" s="102" t="s">
        <v>135</v>
      </c>
      <c r="G6" s="102" t="s">
        <v>136</v>
      </c>
      <c r="H6" s="102">
        <v>2.2982</v>
      </c>
      <c r="I6" s="102">
        <v>612</v>
      </c>
      <c r="J6" s="180">
        <v>7707</v>
      </c>
      <c r="K6" s="176"/>
      <c r="L6" s="126"/>
      <c r="M6" s="127"/>
      <c r="N6" s="126"/>
      <c r="O6" s="102"/>
      <c r="P6" s="124">
        <v>7707</v>
      </c>
      <c r="Q6" s="161"/>
      <c r="R6" s="161"/>
      <c r="S6" s="160">
        <v>1587.21972279412</v>
      </c>
      <c r="T6" s="160"/>
      <c r="U6" s="160">
        <v>84.4926470588235</v>
      </c>
      <c r="V6" s="160">
        <v>400</v>
      </c>
      <c r="W6" s="160"/>
      <c r="X6" s="160">
        <v>2071.71236985294</v>
      </c>
      <c r="Y6" s="175">
        <v>374.505208823529</v>
      </c>
      <c r="Z6" s="175"/>
      <c r="AA6" s="175"/>
      <c r="AB6" s="175">
        <v>374.505208823529</v>
      </c>
      <c r="AC6" s="176">
        <v>7.24</v>
      </c>
      <c r="AD6" s="160">
        <v>2711.41771188235</v>
      </c>
      <c r="AE6" s="160">
        <v>4783.13008173529</v>
      </c>
      <c r="AF6" s="160">
        <v>2923.86991826471</v>
      </c>
    </row>
    <row r="7" s="88" customFormat="1" ht="12.75" spans="1:32">
      <c r="A7" s="101"/>
      <c r="B7" s="102"/>
      <c r="C7" s="103">
        <v>241121000018</v>
      </c>
      <c r="D7" s="104">
        <v>45631</v>
      </c>
      <c r="E7" s="104" t="s">
        <v>135</v>
      </c>
      <c r="F7" s="102" t="s">
        <v>135</v>
      </c>
      <c r="G7" s="102" t="s">
        <v>137</v>
      </c>
      <c r="H7" s="102">
        <v>0.0768</v>
      </c>
      <c r="I7" s="102">
        <v>14</v>
      </c>
      <c r="J7" s="180">
        <v>296.22</v>
      </c>
      <c r="K7" s="176"/>
      <c r="L7" s="126"/>
      <c r="M7" s="127"/>
      <c r="N7" s="126"/>
      <c r="O7" s="102"/>
      <c r="P7" s="124">
        <v>296.22</v>
      </c>
      <c r="Q7" s="161"/>
      <c r="R7" s="161"/>
      <c r="S7" s="160">
        <v>53.0408470588235</v>
      </c>
      <c r="T7" s="160"/>
      <c r="U7" s="160">
        <v>2.82352941176471</v>
      </c>
      <c r="V7" s="160"/>
      <c r="W7" s="160"/>
      <c r="X7" s="160">
        <v>55.8643764705882</v>
      </c>
      <c r="Y7" s="175">
        <v>12.5150117647059</v>
      </c>
      <c r="Z7" s="175">
        <v>4.51</v>
      </c>
      <c r="AA7" s="175"/>
      <c r="AB7" s="175">
        <v>17.0250117647059</v>
      </c>
      <c r="AC7" s="176">
        <v>7.24</v>
      </c>
      <c r="AD7" s="160">
        <v>123.261085176471</v>
      </c>
      <c r="AE7" s="160">
        <v>179.125461647059</v>
      </c>
      <c r="AF7" s="160">
        <v>117.094538352941</v>
      </c>
    </row>
    <row r="8" s="88" customFormat="1" ht="12.75" spans="1:32">
      <c r="A8" s="101"/>
      <c r="B8" s="102"/>
      <c r="C8" s="103">
        <v>241121000019</v>
      </c>
      <c r="D8" s="104">
        <v>45631</v>
      </c>
      <c r="E8" s="104" t="s">
        <v>135</v>
      </c>
      <c r="F8" s="102" t="s">
        <v>135</v>
      </c>
      <c r="G8" s="102" t="s">
        <v>136</v>
      </c>
      <c r="H8" s="102">
        <v>1.4834</v>
      </c>
      <c r="I8" s="102">
        <v>471</v>
      </c>
      <c r="J8" s="180">
        <v>3598</v>
      </c>
      <c r="K8" s="176"/>
      <c r="L8" s="126"/>
      <c r="M8" s="127"/>
      <c r="N8" s="126"/>
      <c r="O8" s="102"/>
      <c r="P8" s="124">
        <v>3598</v>
      </c>
      <c r="Q8" s="161"/>
      <c r="R8" s="161"/>
      <c r="S8" s="160">
        <v>1024.48948602941</v>
      </c>
      <c r="T8" s="160"/>
      <c r="U8" s="160">
        <v>54.5367647058824</v>
      </c>
      <c r="V8" s="160"/>
      <c r="W8" s="160"/>
      <c r="X8" s="160">
        <v>1079.02625073529</v>
      </c>
      <c r="Y8" s="175">
        <v>241.728755882353</v>
      </c>
      <c r="Z8" s="175"/>
      <c r="AA8" s="175"/>
      <c r="AB8" s="175">
        <v>241.728755882353</v>
      </c>
      <c r="AC8" s="176">
        <v>7.24</v>
      </c>
      <c r="AD8" s="160">
        <v>1750.11619258824</v>
      </c>
      <c r="AE8" s="160">
        <v>2829.14244332353</v>
      </c>
      <c r="AF8" s="160">
        <v>768.85755667647</v>
      </c>
    </row>
    <row r="9" s="88" customFormat="1" ht="12.75" spans="1:32">
      <c r="A9" s="101"/>
      <c r="B9" s="102"/>
      <c r="C9" s="103">
        <v>241206000037</v>
      </c>
      <c r="D9" s="104">
        <v>45636</v>
      </c>
      <c r="E9" s="104" t="s">
        <v>135</v>
      </c>
      <c r="F9" s="102" t="s">
        <v>135</v>
      </c>
      <c r="G9" s="102" t="s">
        <v>136</v>
      </c>
      <c r="H9" s="102">
        <v>0.6414</v>
      </c>
      <c r="I9" s="102">
        <v>108</v>
      </c>
      <c r="J9" s="180">
        <v>2673</v>
      </c>
      <c r="K9" s="176"/>
      <c r="L9" s="126"/>
      <c r="M9" s="127"/>
      <c r="N9" s="126"/>
      <c r="O9" s="102"/>
      <c r="P9" s="124">
        <v>2673</v>
      </c>
      <c r="Q9" s="161"/>
      <c r="R9" s="161"/>
      <c r="S9" s="160">
        <v>467.547586764706</v>
      </c>
      <c r="T9" s="160"/>
      <c r="U9" s="160">
        <v>19.8079411764706</v>
      </c>
      <c r="V9" s="160">
        <v>300</v>
      </c>
      <c r="W9" s="160"/>
      <c r="X9" s="160">
        <v>787.355527941176</v>
      </c>
      <c r="Y9" s="175">
        <v>109.632238235294</v>
      </c>
      <c r="Z9" s="175"/>
      <c r="AA9" s="175">
        <v>0.524627470588235</v>
      </c>
      <c r="AB9" s="175">
        <v>110.156865705882</v>
      </c>
      <c r="AC9" s="176">
        <v>7.3</v>
      </c>
      <c r="AD9" s="160">
        <v>804.145119652941</v>
      </c>
      <c r="AE9" s="160">
        <v>1591.50064759412</v>
      </c>
      <c r="AF9" s="160">
        <v>1081.49935240588</v>
      </c>
    </row>
    <row r="10" s="88" customFormat="1" ht="12.75" spans="1:32">
      <c r="A10" s="101"/>
      <c r="B10" s="102"/>
      <c r="C10" s="103">
        <v>241206000040</v>
      </c>
      <c r="D10" s="104">
        <v>45636</v>
      </c>
      <c r="E10" s="104" t="s">
        <v>135</v>
      </c>
      <c r="F10" s="102" t="s">
        <v>135</v>
      </c>
      <c r="G10" s="102" t="s">
        <v>136</v>
      </c>
      <c r="H10" s="102">
        <v>0.7876</v>
      </c>
      <c r="I10" s="102">
        <v>213</v>
      </c>
      <c r="J10" s="180">
        <v>2732</v>
      </c>
      <c r="K10" s="176"/>
      <c r="L10" s="126"/>
      <c r="M10" s="127"/>
      <c r="N10" s="126"/>
      <c r="O10" s="102"/>
      <c r="P10" s="124">
        <v>2732</v>
      </c>
      <c r="Q10" s="161"/>
      <c r="R10" s="161"/>
      <c r="S10" s="160">
        <v>574.119861764706</v>
      </c>
      <c r="T10" s="160"/>
      <c r="U10" s="160">
        <v>24.3229411764706</v>
      </c>
      <c r="V10" s="160">
        <v>300</v>
      </c>
      <c r="W10" s="160"/>
      <c r="X10" s="160">
        <v>898.442802941177</v>
      </c>
      <c r="Y10" s="175">
        <v>134.621688235294</v>
      </c>
      <c r="Z10" s="175"/>
      <c r="AA10" s="175">
        <v>0.644210470588235</v>
      </c>
      <c r="AB10" s="175">
        <v>135.265898705882</v>
      </c>
      <c r="AC10" s="176">
        <v>7.3</v>
      </c>
      <c r="AD10" s="160">
        <v>987.441060552941</v>
      </c>
      <c r="AE10" s="160">
        <v>1885.88386349412</v>
      </c>
      <c r="AF10" s="160">
        <v>846.11613650588</v>
      </c>
    </row>
    <row r="11" s="88" customFormat="1" ht="12.75" spans="1:32">
      <c r="A11" s="101"/>
      <c r="B11" s="102"/>
      <c r="C11" s="103">
        <v>241209000071</v>
      </c>
      <c r="D11" s="104">
        <v>45636</v>
      </c>
      <c r="E11" s="104" t="s">
        <v>135</v>
      </c>
      <c r="F11" s="102" t="s">
        <v>135</v>
      </c>
      <c r="G11" s="102" t="s">
        <v>138</v>
      </c>
      <c r="H11" s="102">
        <v>0.1971</v>
      </c>
      <c r="I11" s="102">
        <v>30.5</v>
      </c>
      <c r="J11" s="180">
        <v>788.4</v>
      </c>
      <c r="K11" s="176"/>
      <c r="L11" s="126"/>
      <c r="M11" s="127"/>
      <c r="N11" s="126"/>
      <c r="O11" s="102"/>
      <c r="P11" s="124">
        <v>788.4</v>
      </c>
      <c r="Q11" s="161"/>
      <c r="R11" s="161"/>
      <c r="S11" s="160">
        <v>141.597509558824</v>
      </c>
      <c r="T11" s="160"/>
      <c r="U11" s="160">
        <v>2.89852941176471</v>
      </c>
      <c r="V11" s="160"/>
      <c r="W11" s="160"/>
      <c r="X11" s="160">
        <v>144.496038970588</v>
      </c>
      <c r="Y11" s="175">
        <v>33.5367099264706</v>
      </c>
      <c r="Z11" s="175">
        <v>0.84</v>
      </c>
      <c r="AA11" s="175">
        <v>0.406141941176471</v>
      </c>
      <c r="AB11" s="175">
        <v>34.7828518676471</v>
      </c>
      <c r="AC11" s="176">
        <v>7.25</v>
      </c>
      <c r="AD11" s="160">
        <v>252.175676040441</v>
      </c>
      <c r="AE11" s="160">
        <v>396.671715011029</v>
      </c>
      <c r="AF11" s="160">
        <v>391.728284988971</v>
      </c>
    </row>
    <row r="12" s="88" customFormat="1" ht="63.75" spans="1:32">
      <c r="A12" s="101" t="s">
        <v>139</v>
      </c>
      <c r="B12" s="102" t="s">
        <v>140</v>
      </c>
      <c r="C12" s="103">
        <v>241023000034</v>
      </c>
      <c r="D12" s="104">
        <v>45638</v>
      </c>
      <c r="E12" s="104" t="s">
        <v>135</v>
      </c>
      <c r="F12" s="102" t="s">
        <v>135</v>
      </c>
      <c r="G12" s="102" t="s">
        <v>137</v>
      </c>
      <c r="H12" s="102">
        <v>0.3134</v>
      </c>
      <c r="I12" s="102">
        <v>126</v>
      </c>
      <c r="J12" s="180">
        <v>906</v>
      </c>
      <c r="K12" s="176"/>
      <c r="L12" s="126"/>
      <c r="M12" s="127"/>
      <c r="N12" s="126"/>
      <c r="O12" s="102"/>
      <c r="P12" s="124">
        <v>906</v>
      </c>
      <c r="Q12" s="158">
        <v>75691.5184</v>
      </c>
      <c r="R12" s="159" t="s">
        <v>141</v>
      </c>
      <c r="S12" s="160">
        <v>224.723930882353</v>
      </c>
      <c r="T12" s="160"/>
      <c r="U12" s="160">
        <v>8.29588235294118</v>
      </c>
      <c r="V12" s="160"/>
      <c r="W12" s="160"/>
      <c r="X12" s="160">
        <v>233.019813235294</v>
      </c>
      <c r="Y12" s="175">
        <v>53.5636087941176</v>
      </c>
      <c r="Z12" s="175"/>
      <c r="AA12" s="175">
        <v>0.645788352941177</v>
      </c>
      <c r="AB12" s="175">
        <v>54.2093971470588</v>
      </c>
      <c r="AC12" s="176">
        <v>7.25</v>
      </c>
      <c r="AD12" s="160">
        <v>393.018129316176</v>
      </c>
      <c r="AE12" s="160">
        <v>626.037942551471</v>
      </c>
      <c r="AF12" s="160">
        <v>279.962057448529</v>
      </c>
    </row>
    <row r="13" s="88" customFormat="1" ht="12.75" spans="1:32">
      <c r="A13" s="101"/>
      <c r="B13" s="102"/>
      <c r="C13" s="103">
        <v>241115000013</v>
      </c>
      <c r="D13" s="104">
        <v>45638</v>
      </c>
      <c r="E13" s="104" t="s">
        <v>135</v>
      </c>
      <c r="F13" s="102" t="s">
        <v>135</v>
      </c>
      <c r="G13" s="102" t="s">
        <v>142</v>
      </c>
      <c r="H13" s="102">
        <v>0.367</v>
      </c>
      <c r="I13" s="102">
        <v>106</v>
      </c>
      <c r="J13" s="180">
        <v>780</v>
      </c>
      <c r="K13" s="176"/>
      <c r="L13" s="126"/>
      <c r="M13" s="127"/>
      <c r="N13" s="126"/>
      <c r="O13" s="102"/>
      <c r="P13" s="124">
        <v>780</v>
      </c>
      <c r="Q13" s="161"/>
      <c r="R13" s="161"/>
      <c r="S13" s="160">
        <v>263.157889705882</v>
      </c>
      <c r="T13" s="160"/>
      <c r="U13" s="160">
        <v>9.71470588235294</v>
      </c>
      <c r="V13" s="160">
        <v>240</v>
      </c>
      <c r="W13" s="160"/>
      <c r="X13" s="160">
        <v>512.872595588235</v>
      </c>
      <c r="Y13" s="175">
        <v>62.7244557352941</v>
      </c>
      <c r="Z13" s="175"/>
      <c r="AA13" s="175">
        <v>0.756235882352941</v>
      </c>
      <c r="AB13" s="175">
        <v>63.4806916176471</v>
      </c>
      <c r="AC13" s="176">
        <v>7.25</v>
      </c>
      <c r="AD13" s="160">
        <v>460.235014227941</v>
      </c>
      <c r="AE13" s="160">
        <v>973.107609816176</v>
      </c>
      <c r="AF13" s="160">
        <v>-193.107609816176</v>
      </c>
    </row>
    <row r="14" s="88" customFormat="1" ht="12.75" spans="1:32">
      <c r="A14" s="101"/>
      <c r="B14" s="102"/>
      <c r="C14" s="103">
        <v>241126000049</v>
      </c>
      <c r="D14" s="104">
        <v>45638</v>
      </c>
      <c r="E14" s="104" t="s">
        <v>135</v>
      </c>
      <c r="F14" s="102" t="s">
        <v>135</v>
      </c>
      <c r="G14" s="102" t="s">
        <v>143</v>
      </c>
      <c r="H14" s="102">
        <v>2.7422</v>
      </c>
      <c r="I14" s="102">
        <v>1148</v>
      </c>
      <c r="J14" s="180">
        <v>7878</v>
      </c>
      <c r="K14" s="176"/>
      <c r="L14" s="126"/>
      <c r="M14" s="127"/>
      <c r="N14" s="126"/>
      <c r="O14" s="102"/>
      <c r="P14" s="124">
        <v>7878</v>
      </c>
      <c r="Q14" s="161"/>
      <c r="R14" s="161"/>
      <c r="S14" s="160">
        <v>1966.29854264706</v>
      </c>
      <c r="T14" s="160"/>
      <c r="U14" s="160">
        <v>72.5876470588235</v>
      </c>
      <c r="V14" s="160">
        <v>1000</v>
      </c>
      <c r="W14" s="160"/>
      <c r="X14" s="160">
        <v>3038.88618970588</v>
      </c>
      <c r="Y14" s="175">
        <v>468.673031382353</v>
      </c>
      <c r="Z14" s="175"/>
      <c r="AA14" s="175">
        <v>5.65054505882353</v>
      </c>
      <c r="AB14" s="175">
        <v>474.323576441176</v>
      </c>
      <c r="AC14" s="176">
        <v>7.25</v>
      </c>
      <c r="AD14" s="160">
        <v>3438.84592919853</v>
      </c>
      <c r="AE14" s="160">
        <v>6477.73211890441</v>
      </c>
      <c r="AF14" s="160">
        <v>1400.26788109559</v>
      </c>
    </row>
    <row r="15" s="88" customFormat="1" ht="12.75" spans="1:32">
      <c r="A15" s="101"/>
      <c r="B15" s="102"/>
      <c r="C15" s="103">
        <v>241209000067</v>
      </c>
      <c r="D15" s="104">
        <v>45643</v>
      </c>
      <c r="E15" s="104" t="s">
        <v>135</v>
      </c>
      <c r="F15" s="102" t="s">
        <v>135</v>
      </c>
      <c r="G15" s="102" t="s">
        <v>144</v>
      </c>
      <c r="H15" s="102">
        <v>0.023</v>
      </c>
      <c r="I15" s="102">
        <v>43</v>
      </c>
      <c r="J15" s="180">
        <v>152.5</v>
      </c>
      <c r="K15" s="176"/>
      <c r="L15" s="126"/>
      <c r="M15" s="127"/>
      <c r="N15" s="126"/>
      <c r="O15" s="102"/>
      <c r="P15" s="124">
        <v>152.5</v>
      </c>
      <c r="Q15" s="161"/>
      <c r="R15" s="161"/>
      <c r="S15" s="160">
        <v>16.9389926470588</v>
      </c>
      <c r="T15" s="160"/>
      <c r="U15" s="160">
        <v>0.676470588235294</v>
      </c>
      <c r="V15" s="160"/>
      <c r="W15" s="160"/>
      <c r="X15" s="160">
        <v>17.6154632352941</v>
      </c>
      <c r="Y15" s="175">
        <v>4.15014705882353</v>
      </c>
      <c r="Z15" s="175"/>
      <c r="AA15" s="175">
        <v>0.018745</v>
      </c>
      <c r="AB15" s="175">
        <v>4.16889205882353</v>
      </c>
      <c r="AC15" s="176">
        <v>7.25</v>
      </c>
      <c r="AD15" s="160">
        <v>30.2244674264706</v>
      </c>
      <c r="AE15" s="160">
        <v>47.8399306617647</v>
      </c>
      <c r="AF15" s="160">
        <v>104.660069338235</v>
      </c>
    </row>
    <row r="16" s="88" customFormat="1" ht="12.75" spans="1:32">
      <c r="A16" s="101"/>
      <c r="B16" s="102"/>
      <c r="C16" s="103">
        <v>241211000027</v>
      </c>
      <c r="D16" s="104">
        <v>45643</v>
      </c>
      <c r="E16" s="104" t="s">
        <v>135</v>
      </c>
      <c r="F16" s="102" t="s">
        <v>135</v>
      </c>
      <c r="G16" s="102" t="s">
        <v>138</v>
      </c>
      <c r="H16" s="102">
        <v>23.8172</v>
      </c>
      <c r="I16" s="102">
        <v>4565</v>
      </c>
      <c r="J16" s="180">
        <v>54267</v>
      </c>
      <c r="K16" s="176"/>
      <c r="L16" s="126"/>
      <c r="M16" s="127"/>
      <c r="N16" s="126"/>
      <c r="O16" s="102"/>
      <c r="P16" s="124">
        <v>54267</v>
      </c>
      <c r="Q16" s="161"/>
      <c r="R16" s="161"/>
      <c r="S16" s="160">
        <v>17540.8424205882</v>
      </c>
      <c r="T16" s="160"/>
      <c r="U16" s="160">
        <v>700.505882352941</v>
      </c>
      <c r="V16" s="160"/>
      <c r="W16" s="160"/>
      <c r="X16" s="160">
        <v>18241.3483029412</v>
      </c>
      <c r="Y16" s="175">
        <v>4297.60358823529</v>
      </c>
      <c r="Z16" s="175">
        <v>136.87</v>
      </c>
      <c r="AA16" s="175">
        <v>19.411018</v>
      </c>
      <c r="AB16" s="175">
        <v>4453.88460623529</v>
      </c>
      <c r="AC16" s="176">
        <v>7.25</v>
      </c>
      <c r="AD16" s="160">
        <v>32290.6633952059</v>
      </c>
      <c r="AE16" s="160">
        <v>50532.0116981471</v>
      </c>
      <c r="AF16" s="160">
        <v>3734.9883018529</v>
      </c>
    </row>
    <row r="17" s="88" customFormat="1" ht="12.75" spans="1:32">
      <c r="A17" s="101"/>
      <c r="B17" s="102"/>
      <c r="C17" s="103">
        <v>241212000015</v>
      </c>
      <c r="D17" s="104">
        <v>45643</v>
      </c>
      <c r="E17" s="104" t="s">
        <v>135</v>
      </c>
      <c r="F17" s="102" t="s">
        <v>135</v>
      </c>
      <c r="G17" s="102" t="s">
        <v>144</v>
      </c>
      <c r="H17" s="102">
        <v>2.957</v>
      </c>
      <c r="I17" s="102">
        <v>1339</v>
      </c>
      <c r="J17" s="180">
        <v>7123.63</v>
      </c>
      <c r="K17" s="176"/>
      <c r="L17" s="126"/>
      <c r="M17" s="127"/>
      <c r="N17" s="126"/>
      <c r="O17" s="102"/>
      <c r="P17" s="124">
        <v>7123.63</v>
      </c>
      <c r="Q17" s="161"/>
      <c r="R17" s="161"/>
      <c r="S17" s="160">
        <v>2177.76527205882</v>
      </c>
      <c r="T17" s="160"/>
      <c r="U17" s="160">
        <v>86.9705882352941</v>
      </c>
      <c r="V17" s="160"/>
      <c r="W17" s="160"/>
      <c r="X17" s="160">
        <v>2264.73586029412</v>
      </c>
      <c r="Y17" s="175">
        <v>533.564558823529</v>
      </c>
      <c r="Z17" s="175"/>
      <c r="AA17" s="175">
        <v>2.409955</v>
      </c>
      <c r="AB17" s="175">
        <v>535.974513823529</v>
      </c>
      <c r="AC17" s="176">
        <v>7.25</v>
      </c>
      <c r="AD17" s="160">
        <v>3885.81522522059</v>
      </c>
      <c r="AE17" s="160">
        <v>6150.55108551471</v>
      </c>
      <c r="AF17" s="160">
        <v>973.07891448529</v>
      </c>
    </row>
    <row r="18" s="88" customFormat="1" ht="12.75" spans="1:32">
      <c r="A18" s="101"/>
      <c r="B18" s="102"/>
      <c r="C18" s="103">
        <v>241214000027</v>
      </c>
      <c r="D18" s="104">
        <v>45643</v>
      </c>
      <c r="E18" s="104" t="s">
        <v>135</v>
      </c>
      <c r="F18" s="102" t="s">
        <v>135</v>
      </c>
      <c r="G18" s="102" t="s">
        <v>145</v>
      </c>
      <c r="H18" s="102">
        <v>0.0295</v>
      </c>
      <c r="I18" s="102">
        <v>50</v>
      </c>
      <c r="J18" s="180">
        <v>555.8</v>
      </c>
      <c r="K18" s="181"/>
      <c r="L18" s="126"/>
      <c r="M18" s="127"/>
      <c r="N18" s="126"/>
      <c r="O18" s="102"/>
      <c r="P18" s="124">
        <v>555.8</v>
      </c>
      <c r="Q18" s="161"/>
      <c r="R18" s="161"/>
      <c r="S18" s="160">
        <v>21.7260992647059</v>
      </c>
      <c r="T18" s="160"/>
      <c r="U18" s="160">
        <v>0.867647058823529</v>
      </c>
      <c r="V18" s="160"/>
      <c r="W18" s="160"/>
      <c r="X18" s="160">
        <v>22.5937463235294</v>
      </c>
      <c r="Y18" s="175">
        <v>5.32301470588235</v>
      </c>
      <c r="Z18" s="175">
        <v>44.59</v>
      </c>
      <c r="AA18" s="175">
        <v>0.0240425</v>
      </c>
      <c r="AB18" s="175">
        <v>49.9370572058824</v>
      </c>
      <c r="AC18" s="176">
        <v>7.25</v>
      </c>
      <c r="AD18" s="160">
        <v>362.043664742647</v>
      </c>
      <c r="AE18" s="160">
        <v>384.637411066176</v>
      </c>
      <c r="AF18" s="160">
        <v>171.162588933824</v>
      </c>
    </row>
    <row r="19" s="88" customFormat="1" ht="12.75" spans="1:32">
      <c r="A19" s="101"/>
      <c r="B19" s="102"/>
      <c r="C19" s="103">
        <v>241128000030</v>
      </c>
      <c r="D19" s="104">
        <v>45643</v>
      </c>
      <c r="E19" s="104" t="s">
        <v>135</v>
      </c>
      <c r="F19" s="102" t="s">
        <v>135</v>
      </c>
      <c r="G19" s="102" t="s">
        <v>138</v>
      </c>
      <c r="H19" s="102">
        <v>6.1439</v>
      </c>
      <c r="I19" s="102">
        <v>3510</v>
      </c>
      <c r="J19" s="180">
        <v>18062</v>
      </c>
      <c r="K19" s="176"/>
      <c r="L19" s="126"/>
      <c r="M19" s="127"/>
      <c r="N19" s="126"/>
      <c r="O19" s="102"/>
      <c r="P19" s="124">
        <v>18062</v>
      </c>
      <c r="Q19" s="161"/>
      <c r="R19" s="161"/>
      <c r="S19" s="160">
        <v>4524.84682279412</v>
      </c>
      <c r="T19" s="160"/>
      <c r="U19" s="160">
        <v>180.702941176471</v>
      </c>
      <c r="V19" s="160"/>
      <c r="W19" s="160"/>
      <c r="X19" s="160">
        <v>4705.54976397059</v>
      </c>
      <c r="Y19" s="175">
        <v>1108.61254411765</v>
      </c>
      <c r="Z19" s="175"/>
      <c r="AA19" s="175">
        <v>5.0072785</v>
      </c>
      <c r="AB19" s="175">
        <v>1113.61982261765</v>
      </c>
      <c r="AC19" s="176">
        <v>7.25</v>
      </c>
      <c r="AD19" s="160">
        <v>8073.74371397794</v>
      </c>
      <c r="AE19" s="160">
        <v>12779.2934779485</v>
      </c>
      <c r="AF19" s="160">
        <v>5282.7065220515</v>
      </c>
    </row>
    <row r="20" s="88" customFormat="1" ht="12.75" spans="1:32">
      <c r="A20" s="101"/>
      <c r="B20" s="102"/>
      <c r="C20" s="103">
        <v>241126000049</v>
      </c>
      <c r="D20" s="104">
        <v>45638</v>
      </c>
      <c r="E20" s="104" t="s">
        <v>135</v>
      </c>
      <c r="F20" s="102" t="s">
        <v>135</v>
      </c>
      <c r="G20" s="102" t="s">
        <v>143</v>
      </c>
      <c r="H20" s="102">
        <v>20.5166</v>
      </c>
      <c r="I20" s="102">
        <v>8722</v>
      </c>
      <c r="J20" s="180">
        <v>58944</v>
      </c>
      <c r="K20" s="176"/>
      <c r="L20" s="126"/>
      <c r="M20" s="127"/>
      <c r="N20" s="126"/>
      <c r="O20" s="102"/>
      <c r="P20" s="124">
        <v>58944</v>
      </c>
      <c r="Q20" s="161"/>
      <c r="R20" s="161"/>
      <c r="S20" s="160">
        <v>15110.0233279412</v>
      </c>
      <c r="T20" s="160"/>
      <c r="U20" s="160">
        <v>603.429411764706</v>
      </c>
      <c r="V20" s="160"/>
      <c r="W20" s="160"/>
      <c r="X20" s="160">
        <v>15713.4527397059</v>
      </c>
      <c r="Y20" s="175">
        <v>3702.03944117647</v>
      </c>
      <c r="Z20" s="175">
        <v>1082.8</v>
      </c>
      <c r="AA20" s="175">
        <v>16.721029</v>
      </c>
      <c r="AB20" s="175">
        <v>4801.56047017647</v>
      </c>
      <c r="AC20" s="176">
        <v>7.25</v>
      </c>
      <c r="AD20" s="160">
        <v>34811.3134087794</v>
      </c>
      <c r="AE20" s="160">
        <v>50524.7661484853</v>
      </c>
      <c r="AF20" s="160">
        <v>8419.2338515147</v>
      </c>
    </row>
    <row r="21" s="88" customFormat="1" ht="12.75" spans="1:32">
      <c r="A21" s="101"/>
      <c r="B21" s="102"/>
      <c r="C21" s="103">
        <v>241115000013</v>
      </c>
      <c r="D21" s="104">
        <v>45638</v>
      </c>
      <c r="E21" s="104" t="s">
        <v>135</v>
      </c>
      <c r="F21" s="102" t="s">
        <v>135</v>
      </c>
      <c r="G21" s="102" t="s">
        <v>142</v>
      </c>
      <c r="H21" s="102">
        <v>6.3827</v>
      </c>
      <c r="I21" s="102">
        <v>2355</v>
      </c>
      <c r="J21" s="180">
        <v>13563</v>
      </c>
      <c r="K21" s="176"/>
      <c r="L21" s="126"/>
      <c r="M21" s="127"/>
      <c r="N21" s="126"/>
      <c r="O21" s="102"/>
      <c r="P21" s="124">
        <v>13563</v>
      </c>
      <c r="Q21" s="161"/>
      <c r="R21" s="161"/>
      <c r="S21" s="160">
        <v>4700.71775514706</v>
      </c>
      <c r="T21" s="160"/>
      <c r="U21" s="160">
        <v>187.726470588235</v>
      </c>
      <c r="V21" s="160"/>
      <c r="W21" s="160"/>
      <c r="X21" s="160">
        <v>4888.44422573529</v>
      </c>
      <c r="Y21" s="175">
        <v>1151.70189705882</v>
      </c>
      <c r="Z21" s="175"/>
      <c r="AA21" s="175">
        <v>5.2019005</v>
      </c>
      <c r="AB21" s="175">
        <v>1156.90379755882</v>
      </c>
      <c r="AC21" s="176">
        <v>7.25</v>
      </c>
      <c r="AD21" s="160">
        <v>8387.55253230147</v>
      </c>
      <c r="AE21" s="160">
        <v>13275.9967580368</v>
      </c>
      <c r="AF21" s="160">
        <v>287.003241963201</v>
      </c>
    </row>
    <row r="22" s="88" customFormat="1" ht="12.75" spans="1:32">
      <c r="A22" s="101"/>
      <c r="B22" s="102"/>
      <c r="C22" s="103">
        <v>241219000026</v>
      </c>
      <c r="D22" s="104">
        <v>46010</v>
      </c>
      <c r="E22" s="104" t="s">
        <v>135</v>
      </c>
      <c r="F22" s="102" t="s">
        <v>135</v>
      </c>
      <c r="G22" s="102" t="s">
        <v>138</v>
      </c>
      <c r="H22" s="102">
        <v>6.1439</v>
      </c>
      <c r="I22" s="102">
        <v>3510</v>
      </c>
      <c r="J22" s="180">
        <v>18062</v>
      </c>
      <c r="K22" s="176"/>
      <c r="L22" s="102"/>
      <c r="M22" s="127"/>
      <c r="N22" s="126"/>
      <c r="O22" s="102"/>
      <c r="P22" s="124">
        <v>18062</v>
      </c>
      <c r="Q22" s="161"/>
      <c r="R22" s="161"/>
      <c r="S22" s="160">
        <v>4407.11885661765</v>
      </c>
      <c r="T22" s="160">
        <v>8.03043870588235</v>
      </c>
      <c r="U22" s="160">
        <v>171.667794117647</v>
      </c>
      <c r="V22" s="160"/>
      <c r="W22" s="160"/>
      <c r="X22" s="160">
        <v>4586.81708944118</v>
      </c>
      <c r="Y22" s="175">
        <v>1087.56065147059</v>
      </c>
      <c r="Z22" s="175"/>
      <c r="AA22" s="175">
        <v>5.19701658823529</v>
      </c>
      <c r="AB22" s="175">
        <v>1092.75766805882</v>
      </c>
      <c r="AC22" s="176">
        <v>7.25</v>
      </c>
      <c r="AD22" s="160">
        <v>7922.49309342647</v>
      </c>
      <c r="AE22" s="160">
        <v>12509.3101828676</v>
      </c>
      <c r="AF22" s="160">
        <v>5552.6898171324</v>
      </c>
    </row>
    <row r="23" s="88" customFormat="1" ht="12.75" spans="1:32">
      <c r="A23" s="101"/>
      <c r="B23" s="102"/>
      <c r="C23" s="103">
        <v>241115000013</v>
      </c>
      <c r="D23" s="104">
        <v>45638</v>
      </c>
      <c r="E23" s="104" t="s">
        <v>135</v>
      </c>
      <c r="F23" s="102" t="s">
        <v>135</v>
      </c>
      <c r="G23" s="102" t="s">
        <v>142</v>
      </c>
      <c r="H23" s="102">
        <v>25.3204</v>
      </c>
      <c r="I23" s="102">
        <v>5102</v>
      </c>
      <c r="J23" s="180">
        <v>53816</v>
      </c>
      <c r="K23" s="176"/>
      <c r="L23" s="126"/>
      <c r="M23" s="127"/>
      <c r="N23" s="126"/>
      <c r="O23" s="102"/>
      <c r="P23" s="124">
        <v>53816</v>
      </c>
      <c r="Q23" s="161"/>
      <c r="R23" s="161"/>
      <c r="S23" s="160">
        <v>18162.7325147059</v>
      </c>
      <c r="T23" s="160">
        <v>33.0952522352941</v>
      </c>
      <c r="U23" s="160">
        <v>707.481764705882</v>
      </c>
      <c r="V23" s="160"/>
      <c r="W23" s="160"/>
      <c r="X23" s="160">
        <v>18903.3095316471</v>
      </c>
      <c r="Y23" s="175">
        <v>4482.08315882353</v>
      </c>
      <c r="Z23" s="175"/>
      <c r="AA23" s="175">
        <v>21.4180795294118</v>
      </c>
      <c r="AB23" s="175">
        <v>4503.50123835294</v>
      </c>
      <c r="AC23" s="176">
        <v>7.25</v>
      </c>
      <c r="AD23" s="160">
        <v>32650.3839780588</v>
      </c>
      <c r="AE23" s="160">
        <v>51553.6935097059</v>
      </c>
      <c r="AF23" s="160">
        <v>2262.3064902941</v>
      </c>
    </row>
    <row r="24" s="88" customFormat="1" ht="12.75" spans="1:32">
      <c r="A24" s="101"/>
      <c r="B24" s="102"/>
      <c r="C24" s="103">
        <v>241211000027</v>
      </c>
      <c r="D24" s="104">
        <v>45643</v>
      </c>
      <c r="E24" s="104" t="s">
        <v>135</v>
      </c>
      <c r="F24" s="102" t="s">
        <v>135</v>
      </c>
      <c r="G24" s="102" t="s">
        <v>138</v>
      </c>
      <c r="H24" s="102">
        <v>0.228</v>
      </c>
      <c r="I24" s="102">
        <v>45</v>
      </c>
      <c r="J24" s="180">
        <v>520</v>
      </c>
      <c r="K24" s="176"/>
      <c r="L24" s="102"/>
      <c r="M24" s="127"/>
      <c r="N24" s="126"/>
      <c r="O24" s="130"/>
      <c r="P24" s="124">
        <v>520</v>
      </c>
      <c r="Q24" s="161"/>
      <c r="R24" s="161"/>
      <c r="S24" s="160">
        <v>169.709117647059</v>
      </c>
      <c r="T24" s="160"/>
      <c r="U24" s="160">
        <v>7.04117647058824</v>
      </c>
      <c r="V24" s="160"/>
      <c r="W24" s="160"/>
      <c r="X24" s="160">
        <v>176.750294117647</v>
      </c>
      <c r="Y24" s="175">
        <v>38.6196794117647</v>
      </c>
      <c r="Z24" s="175"/>
      <c r="AA24" s="175">
        <v>0.199198235294118</v>
      </c>
      <c r="AB24" s="175">
        <v>38.8188776470588</v>
      </c>
      <c r="AC24" s="176">
        <v>7.26</v>
      </c>
      <c r="AD24" s="160">
        <v>281.825051717647</v>
      </c>
      <c r="AE24" s="160">
        <v>458.575345835294</v>
      </c>
      <c r="AF24" s="160">
        <v>61.424654164706</v>
      </c>
    </row>
    <row r="25" s="88" customFormat="1" ht="12.75" spans="1:32">
      <c r="A25" s="101"/>
      <c r="B25" s="102"/>
      <c r="C25" s="103">
        <v>241213000046</v>
      </c>
      <c r="D25" s="104">
        <v>46018</v>
      </c>
      <c r="E25" s="104" t="s">
        <v>135</v>
      </c>
      <c r="F25" s="102" t="s">
        <v>135</v>
      </c>
      <c r="G25" s="102" t="s">
        <v>136</v>
      </c>
      <c r="H25" s="102">
        <v>5.2541</v>
      </c>
      <c r="I25" s="102">
        <v>1423</v>
      </c>
      <c r="J25" s="180">
        <v>15725.5</v>
      </c>
      <c r="K25" s="176"/>
      <c r="L25" s="102"/>
      <c r="M25" s="127"/>
      <c r="N25" s="126"/>
      <c r="O25" s="130"/>
      <c r="P25" s="124">
        <v>15725.5</v>
      </c>
      <c r="Q25" s="161"/>
      <c r="R25" s="161"/>
      <c r="S25" s="160">
        <v>3910.82752205882</v>
      </c>
      <c r="T25" s="160"/>
      <c r="U25" s="160">
        <v>162.258970588235</v>
      </c>
      <c r="V25" s="160"/>
      <c r="W25" s="160"/>
      <c r="X25" s="160">
        <v>4073.08649264706</v>
      </c>
      <c r="Y25" s="175">
        <v>889.963410514706</v>
      </c>
      <c r="Z25" s="175"/>
      <c r="AA25" s="175">
        <v>4.59038354411765</v>
      </c>
      <c r="AB25" s="175">
        <v>894.553794058824</v>
      </c>
      <c r="AC25" s="176">
        <v>7.26</v>
      </c>
      <c r="AD25" s="160">
        <v>6494.46054486706</v>
      </c>
      <c r="AE25" s="160">
        <v>10567.5470375141</v>
      </c>
      <c r="AF25" s="160">
        <v>5157.9529624859</v>
      </c>
    </row>
    <row r="26" s="88" customFormat="1" ht="12.75" spans="1:32">
      <c r="A26" s="101"/>
      <c r="B26" s="102"/>
      <c r="C26" s="103">
        <v>241223000048</v>
      </c>
      <c r="D26" s="104">
        <v>46018</v>
      </c>
      <c r="E26" s="104" t="s">
        <v>135</v>
      </c>
      <c r="F26" s="102" t="s">
        <v>135</v>
      </c>
      <c r="G26" s="102" t="s">
        <v>136</v>
      </c>
      <c r="H26" s="102">
        <v>0.8576</v>
      </c>
      <c r="I26" s="102">
        <v>189</v>
      </c>
      <c r="J26" s="180">
        <v>3063</v>
      </c>
      <c r="K26" s="176"/>
      <c r="L26" s="102"/>
      <c r="M26" s="127"/>
      <c r="N26" s="126"/>
      <c r="O26" s="130"/>
      <c r="P26" s="124">
        <v>3063</v>
      </c>
      <c r="Q26" s="161"/>
      <c r="R26" s="161"/>
      <c r="S26" s="160">
        <v>638.344470588235</v>
      </c>
      <c r="T26" s="160"/>
      <c r="U26" s="160">
        <v>26.4847058823529</v>
      </c>
      <c r="V26" s="160"/>
      <c r="W26" s="160">
        <v>53.42</v>
      </c>
      <c r="X26" s="160">
        <v>718.249176470588</v>
      </c>
      <c r="Y26" s="175">
        <v>145.264197647059</v>
      </c>
      <c r="Z26" s="175"/>
      <c r="AA26" s="175">
        <v>0.749264941176471</v>
      </c>
      <c r="AB26" s="175">
        <v>146.013462588235</v>
      </c>
      <c r="AC26" s="176">
        <v>7.26</v>
      </c>
      <c r="AD26" s="160">
        <v>1060.05773839059</v>
      </c>
      <c r="AE26" s="160">
        <v>1778.30691486118</v>
      </c>
      <c r="AF26" s="160">
        <v>1284.69308513882</v>
      </c>
    </row>
    <row r="27" s="88" customFormat="1" ht="12.75" spans="1:32">
      <c r="A27" s="101"/>
      <c r="B27" s="102"/>
      <c r="C27" s="103">
        <v>241224000043</v>
      </c>
      <c r="D27" s="104">
        <v>46018</v>
      </c>
      <c r="E27" s="104" t="s">
        <v>135</v>
      </c>
      <c r="F27" s="102" t="s">
        <v>135</v>
      </c>
      <c r="G27" s="102" t="s">
        <v>136</v>
      </c>
      <c r="H27" s="102">
        <v>0.4278</v>
      </c>
      <c r="I27" s="102">
        <v>118</v>
      </c>
      <c r="J27" s="180">
        <v>1777</v>
      </c>
      <c r="K27" s="176"/>
      <c r="L27" s="102"/>
      <c r="M27" s="127"/>
      <c r="N27" s="126"/>
      <c r="O27" s="130"/>
      <c r="P27" s="124">
        <v>1777</v>
      </c>
      <c r="Q27" s="161"/>
      <c r="R27" s="161"/>
      <c r="S27" s="160">
        <v>318.427897058824</v>
      </c>
      <c r="T27" s="160"/>
      <c r="U27" s="160">
        <v>13.2114705882353</v>
      </c>
      <c r="V27" s="160"/>
      <c r="W27" s="160">
        <v>57.82</v>
      </c>
      <c r="X27" s="160">
        <v>389.459367647059</v>
      </c>
      <c r="Y27" s="175">
        <v>72.4627142647059</v>
      </c>
      <c r="Z27" s="175"/>
      <c r="AA27" s="175">
        <v>0.373758794117647</v>
      </c>
      <c r="AB27" s="175">
        <v>72.8364730588235</v>
      </c>
      <c r="AC27" s="176">
        <v>7.26</v>
      </c>
      <c r="AD27" s="160">
        <v>528.792794407059</v>
      </c>
      <c r="AE27" s="160">
        <v>918.252162054118</v>
      </c>
      <c r="AF27" s="160">
        <v>858.747837945882</v>
      </c>
    </row>
    <row r="28" s="88" customFormat="1" ht="12.75" spans="1:32">
      <c r="A28" s="101"/>
      <c r="B28" s="102"/>
      <c r="C28" s="103">
        <v>241023000034</v>
      </c>
      <c r="D28" s="104">
        <v>45617</v>
      </c>
      <c r="E28" s="104" t="s">
        <v>135</v>
      </c>
      <c r="F28" s="102" t="s">
        <v>135</v>
      </c>
      <c r="G28" s="102" t="s">
        <v>137</v>
      </c>
      <c r="H28" s="102">
        <v>0.0452</v>
      </c>
      <c r="I28" s="102">
        <v>13</v>
      </c>
      <c r="J28" s="180">
        <v>131.2</v>
      </c>
      <c r="K28" s="176"/>
      <c r="L28" s="102"/>
      <c r="M28" s="127"/>
      <c r="N28" s="126"/>
      <c r="O28" s="130"/>
      <c r="P28" s="124">
        <v>131.2</v>
      </c>
      <c r="Q28" s="161"/>
      <c r="R28" s="161"/>
      <c r="S28" s="160">
        <v>33.6440882352941</v>
      </c>
      <c r="T28" s="160"/>
      <c r="U28" s="160">
        <v>1.39588235294118</v>
      </c>
      <c r="V28" s="160"/>
      <c r="W28" s="160"/>
      <c r="X28" s="160">
        <v>35.0399705882353</v>
      </c>
      <c r="Y28" s="175">
        <v>7.65618205882353</v>
      </c>
      <c r="Z28" s="175"/>
      <c r="AA28" s="175">
        <v>0.0394901764705882</v>
      </c>
      <c r="AB28" s="175">
        <v>7.69567223529412</v>
      </c>
      <c r="AC28" s="176">
        <v>7.26</v>
      </c>
      <c r="AD28" s="160">
        <v>55.8705804282353</v>
      </c>
      <c r="AE28" s="160">
        <v>90.9105510164706</v>
      </c>
      <c r="AF28" s="160">
        <v>40.2894489835294</v>
      </c>
    </row>
    <row r="29" s="88" customFormat="1" ht="63.75" spans="1:32">
      <c r="A29" s="101" t="s">
        <v>115</v>
      </c>
      <c r="B29" s="102" t="s">
        <v>116</v>
      </c>
      <c r="C29" s="103">
        <v>241128000030</v>
      </c>
      <c r="D29" s="104">
        <v>46020</v>
      </c>
      <c r="E29" s="104" t="s">
        <v>135</v>
      </c>
      <c r="F29" s="102" t="s">
        <v>135</v>
      </c>
      <c r="G29" s="102" t="s">
        <v>138</v>
      </c>
      <c r="H29" s="102">
        <v>5.8708</v>
      </c>
      <c r="I29" s="102">
        <v>3354</v>
      </c>
      <c r="J29" s="180">
        <v>17261.3</v>
      </c>
      <c r="K29" s="176"/>
      <c r="L29" s="102"/>
      <c r="M29" s="127"/>
      <c r="N29" s="126"/>
      <c r="O29" s="130"/>
      <c r="P29" s="124">
        <v>17261.3</v>
      </c>
      <c r="Q29" s="158">
        <v>29064.05</v>
      </c>
      <c r="R29" s="159" t="s">
        <v>146</v>
      </c>
      <c r="S29" s="160">
        <v>4333.16841176471</v>
      </c>
      <c r="T29" s="160"/>
      <c r="U29" s="160">
        <v>155.403529411765</v>
      </c>
      <c r="V29" s="160"/>
      <c r="W29" s="160"/>
      <c r="X29" s="160">
        <v>4488.57194117647</v>
      </c>
      <c r="Y29" s="175">
        <v>962.037635764706</v>
      </c>
      <c r="Z29" s="175">
        <v>114.79</v>
      </c>
      <c r="AA29" s="175">
        <v>11.5775629411765</v>
      </c>
      <c r="AB29" s="175">
        <v>1088.40519870588</v>
      </c>
      <c r="AC29" s="176">
        <v>7.25</v>
      </c>
      <c r="AD29" s="160">
        <v>7890.93769061765</v>
      </c>
      <c r="AE29" s="160">
        <v>12379.5096317941</v>
      </c>
      <c r="AF29" s="160">
        <v>4881.7903682059</v>
      </c>
    </row>
    <row r="30" s="88" customFormat="1" ht="12.75" spans="1:32">
      <c r="A30" s="101"/>
      <c r="B30" s="102"/>
      <c r="C30" s="103">
        <v>241222000001</v>
      </c>
      <c r="D30" s="104">
        <v>46020</v>
      </c>
      <c r="E30" s="104" t="s">
        <v>135</v>
      </c>
      <c r="F30" s="102" t="s">
        <v>135</v>
      </c>
      <c r="G30" s="102" t="s">
        <v>143</v>
      </c>
      <c r="H30" s="102">
        <v>2.8117</v>
      </c>
      <c r="I30" s="102">
        <v>782</v>
      </c>
      <c r="J30" s="180">
        <v>7663</v>
      </c>
      <c r="K30" s="176"/>
      <c r="L30" s="102"/>
      <c r="M30" s="127"/>
      <c r="N30" s="126"/>
      <c r="O30" s="130"/>
      <c r="P30" s="124">
        <v>7663</v>
      </c>
      <c r="Q30" s="161"/>
      <c r="R30" s="161"/>
      <c r="S30" s="160">
        <v>2075.28269117647</v>
      </c>
      <c r="T30" s="160"/>
      <c r="U30" s="160">
        <v>74.4273529411765</v>
      </c>
      <c r="V30" s="160"/>
      <c r="W30" s="160"/>
      <c r="X30" s="160">
        <v>2149.71004411765</v>
      </c>
      <c r="Y30" s="175">
        <v>460.748317176471</v>
      </c>
      <c r="Z30" s="175"/>
      <c r="AA30" s="175">
        <v>5.54483779411765</v>
      </c>
      <c r="AB30" s="175">
        <v>466.293154970588</v>
      </c>
      <c r="AC30" s="176">
        <v>7.25</v>
      </c>
      <c r="AD30" s="160">
        <v>3380.62537353676</v>
      </c>
      <c r="AE30" s="160">
        <v>5530.33541765441</v>
      </c>
      <c r="AF30" s="160">
        <v>2132.66458234559</v>
      </c>
    </row>
    <row r="31" customFormat="1" spans="1:32">
      <c r="A31" s="86" t="s">
        <v>96</v>
      </c>
      <c r="B31" s="105"/>
      <c r="C31" s="105"/>
      <c r="D31" s="105"/>
      <c r="E31" s="105"/>
      <c r="F31" s="105"/>
      <c r="G31" s="105"/>
      <c r="H31" s="105">
        <f>SUM(H5:H30)</f>
        <v>117.0682</v>
      </c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62"/>
      <c r="T31" s="105"/>
      <c r="U31" s="105"/>
      <c r="V31" s="163"/>
      <c r="W31" s="164"/>
      <c r="X31" s="164"/>
      <c r="Y31" s="164"/>
      <c r="Z31" s="164"/>
      <c r="AA31" s="177"/>
      <c r="AB31" s="178"/>
      <c r="AC31" s="178"/>
      <c r="AD31" s="178"/>
      <c r="AE31" s="178"/>
      <c r="AF31" s="178">
        <f>SUM(AF5:AF30)</f>
        <v>50746.8608502151</v>
      </c>
    </row>
    <row r="32" s="89" customFormat="1" ht="26" customHeight="1" spans="1:25">
      <c r="A32" s="106"/>
      <c r="B32" s="107"/>
      <c r="D32" s="108"/>
      <c r="E32" s="108"/>
      <c r="Y32" s="179"/>
    </row>
    <row r="33" s="1" customFormat="1" ht="23" customHeight="1" spans="3:16">
      <c r="C33" s="74" t="s">
        <v>63</v>
      </c>
      <c r="D33" s="74"/>
      <c r="E33" s="74"/>
      <c r="F33" s="109" t="s">
        <v>64</v>
      </c>
      <c r="G33" s="110"/>
      <c r="H33" s="110"/>
      <c r="I33" s="131"/>
      <c r="J33"/>
      <c r="K33" s="132" t="s">
        <v>147</v>
      </c>
      <c r="L33" s="133"/>
      <c r="M33" s="134"/>
      <c r="N33" s="89"/>
      <c r="O33"/>
      <c r="P33"/>
    </row>
    <row r="34" s="1" customFormat="1" ht="23" customHeight="1" spans="3:16">
      <c r="C34" s="74"/>
      <c r="D34" s="74"/>
      <c r="E34" s="74"/>
      <c r="F34" s="111"/>
      <c r="G34" s="112"/>
      <c r="H34" s="112"/>
      <c r="I34" s="135"/>
      <c r="J34"/>
      <c r="K34" s="136" t="s">
        <v>66</v>
      </c>
      <c r="L34" s="136" t="s">
        <v>8</v>
      </c>
      <c r="M34" s="136" t="s">
        <v>67</v>
      </c>
      <c r="N34"/>
      <c r="O34"/>
      <c r="P34"/>
    </row>
    <row r="35" s="1" customFormat="1" ht="23" customHeight="1" spans="3:16">
      <c r="C35" s="74" t="s">
        <v>68</v>
      </c>
      <c r="D35" s="74"/>
      <c r="E35" s="74"/>
      <c r="F35" s="80" t="s">
        <v>69</v>
      </c>
      <c r="G35" s="81"/>
      <c r="H35" s="81"/>
      <c r="I35" s="82"/>
      <c r="J35"/>
      <c r="K35" s="136" t="s">
        <v>70</v>
      </c>
      <c r="L35" s="137">
        <f>SUM(H31)</f>
        <v>117.0682</v>
      </c>
      <c r="M35" s="138">
        <f>SUM(AF31)</f>
        <v>50746.8608502151</v>
      </c>
      <c r="N35"/>
      <c r="O35"/>
      <c r="P35"/>
    </row>
    <row r="36" s="1" customFormat="1" ht="23" customHeight="1" spans="3:16">
      <c r="C36" s="74"/>
      <c r="D36" s="74"/>
      <c r="E36" s="74"/>
      <c r="F36" s="83"/>
      <c r="G36" s="84"/>
      <c r="H36" s="84"/>
      <c r="I36" s="85"/>
      <c r="J36"/>
      <c r="K36" s="182" t="s">
        <v>148</v>
      </c>
      <c r="L36" s="183"/>
      <c r="M36" s="184">
        <v>6000</v>
      </c>
      <c r="N36"/>
      <c r="O36"/>
      <c r="P36"/>
    </row>
    <row r="37" s="1" customFormat="1" ht="23" customHeight="1" spans="3:16">
      <c r="C37" s="74" t="s">
        <v>72</v>
      </c>
      <c r="D37" s="74"/>
      <c r="E37" s="74"/>
      <c r="F37" s="80" t="s">
        <v>73</v>
      </c>
      <c r="G37" s="81"/>
      <c r="H37" s="81"/>
      <c r="I37" s="82"/>
      <c r="J37"/>
      <c r="K37" s="182" t="s">
        <v>74</v>
      </c>
      <c r="L37" s="183"/>
      <c r="M37" s="184">
        <f>SUM(M35-M36)</f>
        <v>44746.8608502151</v>
      </c>
      <c r="N37"/>
      <c r="O37"/>
      <c r="P37"/>
    </row>
    <row r="38" s="1" customFormat="1" ht="23" customHeight="1" spans="3:16">
      <c r="C38" s="74"/>
      <c r="D38" s="74"/>
      <c r="E38" s="74"/>
      <c r="F38" s="83"/>
      <c r="G38" s="84"/>
      <c r="H38" s="84"/>
      <c r="I38" s="85"/>
      <c r="J38"/>
      <c r="K38" s="185" t="s">
        <v>71</v>
      </c>
      <c r="L38" s="186"/>
      <c r="M38" s="187">
        <v>35000</v>
      </c>
      <c r="N38"/>
      <c r="O38"/>
      <c r="P38"/>
    </row>
    <row r="39" s="1" customFormat="1" ht="23" customHeight="1" spans="5:16">
      <c r="E39"/>
      <c r="F39"/>
      <c r="G39"/>
      <c r="H39"/>
      <c r="I39"/>
      <c r="J39"/>
      <c r="K39" s="185" t="s">
        <v>149</v>
      </c>
      <c r="L39" s="186"/>
      <c r="M39" s="185">
        <v>0.4</v>
      </c>
      <c r="N39"/>
      <c r="O39"/>
      <c r="P39"/>
    </row>
    <row r="40" s="1" customFormat="1" ht="23" customHeight="1" spans="5:16">
      <c r="E40"/>
      <c r="F40"/>
      <c r="G40"/>
      <c r="H40"/>
      <c r="I40"/>
      <c r="J40"/>
      <c r="K40" s="185" t="s">
        <v>76</v>
      </c>
      <c r="L40" s="186"/>
      <c r="M40" s="187">
        <f>SUM(M38*M39)</f>
        <v>14000</v>
      </c>
      <c r="N40"/>
      <c r="O40"/>
      <c r="P40"/>
    </row>
    <row r="41" s="1" customFormat="1" ht="23" customHeight="1" spans="5:14">
      <c r="E41"/>
      <c r="F41"/>
      <c r="G41"/>
      <c r="H41"/>
      <c r="I41"/>
      <c r="J41"/>
      <c r="K41" s="188" t="s">
        <v>150</v>
      </c>
      <c r="L41" s="189"/>
      <c r="M41" s="190">
        <f>SUM(M37-M38)</f>
        <v>9746.8608502151</v>
      </c>
      <c r="N41"/>
    </row>
    <row r="42" s="1" customFormat="1" ht="23" customHeight="1" spans="5:14">
      <c r="E42"/>
      <c r="F42"/>
      <c r="G42"/>
      <c r="H42"/>
      <c r="I42"/>
      <c r="J42"/>
      <c r="K42" s="188" t="s">
        <v>151</v>
      </c>
      <c r="L42" s="189"/>
      <c r="M42" s="188">
        <v>0.5</v>
      </c>
      <c r="N42"/>
    </row>
    <row r="43" s="1" customFormat="1" ht="23" customHeight="1" spans="5:19">
      <c r="E43"/>
      <c r="F43"/>
      <c r="G43"/>
      <c r="H43"/>
      <c r="I43"/>
      <c r="J43"/>
      <c r="K43" s="188" t="s">
        <v>76</v>
      </c>
      <c r="L43" s="189"/>
      <c r="M43" s="190">
        <f>SUM(M41*M42)</f>
        <v>4873.43042510755</v>
      </c>
      <c r="N43" s="191"/>
      <c r="O43"/>
      <c r="P43"/>
      <c r="Q43"/>
      <c r="R43"/>
      <c r="S43" s="35"/>
    </row>
    <row r="44" s="1" customFormat="1" ht="23" customHeight="1" spans="5:19">
      <c r="E44"/>
      <c r="F44"/>
      <c r="G44"/>
      <c r="H44"/>
      <c r="I44"/>
      <c r="J44"/>
      <c r="K44" s="139" t="s">
        <v>152</v>
      </c>
      <c r="L44" s="192"/>
      <c r="M44" s="140">
        <f>SUM(M40+M43)</f>
        <v>18873.4304251075</v>
      </c>
      <c r="N44"/>
      <c r="O44"/>
      <c r="P44"/>
      <c r="Q44"/>
      <c r="S44" s="35"/>
    </row>
    <row r="45" ht="22" customHeight="1" spans="11:13">
      <c r="K45" s="191"/>
      <c r="L45" s="191"/>
      <c r="M45" s="1"/>
    </row>
    <row r="46" ht="22" customHeight="1"/>
  </sheetData>
  <mergeCells count="23">
    <mergeCell ref="J3:P3"/>
    <mergeCell ref="R3:V3"/>
    <mergeCell ref="Y3:AD3"/>
    <mergeCell ref="K33:M3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  <mergeCell ref="C33:E34"/>
    <mergeCell ref="C35:E36"/>
    <mergeCell ref="F35:I36"/>
    <mergeCell ref="C37:E38"/>
    <mergeCell ref="F37:I38"/>
    <mergeCell ref="F33:I34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8"/>
  <sheetViews>
    <sheetView workbookViewId="0">
      <pane xSplit="14" ySplit="4" topLeftCell="AE5" activePane="bottomRight" state="frozen"/>
      <selection/>
      <selection pane="topRight"/>
      <selection pane="bottomLeft"/>
      <selection pane="bottomRight" activeCell="M17" sqref="M17"/>
    </sheetView>
  </sheetViews>
  <sheetFormatPr defaultColWidth="9" defaultRowHeight="13.5"/>
  <cols>
    <col min="3" max="3" width="11.25" customWidth="1"/>
    <col min="4" max="4" width="10.125"/>
    <col min="8" max="8" width="10.125"/>
    <col min="9" max="9" width="15.875"/>
    <col min="10" max="10" width="12"/>
    <col min="11" max="11" width="11"/>
    <col min="12" max="12" width="15.875"/>
    <col min="13" max="13" width="17.25"/>
    <col min="14" max="14" width="11.25"/>
    <col min="15" max="15" width="17.25"/>
    <col min="16" max="16" width="14.75"/>
    <col min="17" max="17" width="11.125"/>
    <col min="18" max="18" width="12.5" customWidth="1"/>
    <col min="19" max="19" width="10.375"/>
    <col min="20" max="20" width="17.25"/>
    <col min="21" max="21" width="10.375"/>
    <col min="22" max="22" width="12.5"/>
    <col min="23" max="23" width="10.375"/>
    <col min="24" max="24" width="17.25"/>
    <col min="25" max="25" width="15.875"/>
    <col min="26" max="26" width="11.125"/>
    <col min="27" max="27" width="13.625"/>
    <col min="28" max="28" width="14.75"/>
    <col min="29" max="29" width="9.25"/>
    <col min="30" max="30" width="10.125"/>
    <col min="31" max="32" width="14.75"/>
  </cols>
  <sheetData>
    <row r="1" customFormat="1" ht="24" customHeight="1" spans="1:1">
      <c r="A1" s="90" t="s">
        <v>0</v>
      </c>
    </row>
    <row r="2" customFormat="1" ht="6" customHeight="1" spans="1:1">
      <c r="A2" s="90"/>
    </row>
    <row r="3" s="87" customFormat="1" ht="23" customHeight="1" spans="1:32">
      <c r="A3" s="91" t="s">
        <v>1</v>
      </c>
      <c r="B3" s="92" t="s">
        <v>2</v>
      </c>
      <c r="C3" s="93" t="s">
        <v>3</v>
      </c>
      <c r="D3" s="94" t="s">
        <v>4</v>
      </c>
      <c r="E3" s="95" t="s">
        <v>5</v>
      </c>
      <c r="F3" s="96" t="s">
        <v>6</v>
      </c>
      <c r="G3" s="96" t="s">
        <v>7</v>
      </c>
      <c r="H3" s="96" t="s">
        <v>8</v>
      </c>
      <c r="I3" s="96" t="s">
        <v>9</v>
      </c>
      <c r="J3" s="113" t="s">
        <v>10</v>
      </c>
      <c r="K3" s="114"/>
      <c r="L3" s="115"/>
      <c r="M3" s="114"/>
      <c r="N3" s="115"/>
      <c r="O3" s="116"/>
      <c r="P3" s="117"/>
      <c r="Q3" s="143" t="s">
        <v>11</v>
      </c>
      <c r="R3" s="144" t="s">
        <v>12</v>
      </c>
      <c r="S3" s="145"/>
      <c r="T3" s="146"/>
      <c r="U3" s="147"/>
      <c r="V3" s="148"/>
      <c r="W3" s="149" t="s">
        <v>13</v>
      </c>
      <c r="X3" s="150" t="s">
        <v>14</v>
      </c>
      <c r="Y3" s="165" t="s">
        <v>15</v>
      </c>
      <c r="Z3" s="165"/>
      <c r="AA3" s="165"/>
      <c r="AB3" s="165"/>
      <c r="AC3" s="166"/>
      <c r="AD3" s="165"/>
      <c r="AE3" s="167" t="s">
        <v>16</v>
      </c>
      <c r="AF3" s="168" t="s">
        <v>17</v>
      </c>
    </row>
    <row r="4" s="87" customFormat="1" ht="27" customHeight="1" spans="1:32">
      <c r="A4" s="97"/>
      <c r="B4" s="98"/>
      <c r="C4" s="93"/>
      <c r="D4" s="94"/>
      <c r="E4" s="99"/>
      <c r="F4" s="100"/>
      <c r="G4" s="100"/>
      <c r="H4" s="100"/>
      <c r="I4" s="100"/>
      <c r="J4" s="118" t="s">
        <v>18</v>
      </c>
      <c r="K4" s="119" t="s">
        <v>19</v>
      </c>
      <c r="L4" s="120" t="s">
        <v>20</v>
      </c>
      <c r="M4" s="119" t="s">
        <v>21</v>
      </c>
      <c r="N4" s="121" t="s">
        <v>22</v>
      </c>
      <c r="O4" s="122" t="s">
        <v>23</v>
      </c>
      <c r="P4" s="123" t="s">
        <v>24</v>
      </c>
      <c r="Q4" s="151"/>
      <c r="R4" s="152" t="s">
        <v>25</v>
      </c>
      <c r="S4" s="153" t="s">
        <v>26</v>
      </c>
      <c r="T4" s="154" t="s">
        <v>27</v>
      </c>
      <c r="U4" s="155" t="s">
        <v>28</v>
      </c>
      <c r="V4" s="154" t="s">
        <v>29</v>
      </c>
      <c r="W4" s="156"/>
      <c r="X4" s="157"/>
      <c r="Y4" s="169" t="s">
        <v>30</v>
      </c>
      <c r="Z4" s="169" t="s">
        <v>31</v>
      </c>
      <c r="AA4" s="169" t="s">
        <v>32</v>
      </c>
      <c r="AB4" s="170" t="s">
        <v>33</v>
      </c>
      <c r="AC4" s="171" t="s">
        <v>34</v>
      </c>
      <c r="AD4" s="172" t="s">
        <v>24</v>
      </c>
      <c r="AE4" s="173" t="s">
        <v>35</v>
      </c>
      <c r="AF4" s="174"/>
    </row>
    <row r="5" s="88" customFormat="1" ht="63.75" spans="1:32">
      <c r="A5" s="101" t="s">
        <v>153</v>
      </c>
      <c r="B5" s="102" t="s">
        <v>154</v>
      </c>
      <c r="C5" s="103">
        <v>240925000017</v>
      </c>
      <c r="D5" s="104">
        <v>45631</v>
      </c>
      <c r="E5" s="104" t="s">
        <v>155</v>
      </c>
      <c r="F5" s="102" t="s">
        <v>156</v>
      </c>
      <c r="G5" s="102" t="s">
        <v>157</v>
      </c>
      <c r="H5" s="102">
        <v>0.1799</v>
      </c>
      <c r="I5" s="102">
        <v>17</v>
      </c>
      <c r="J5" s="124"/>
      <c r="K5" s="125">
        <v>84600</v>
      </c>
      <c r="L5" s="126"/>
      <c r="M5" s="127">
        <v>1679.57134004083</v>
      </c>
      <c r="N5" s="128">
        <v>50.369995</v>
      </c>
      <c r="O5" s="102">
        <v>7.27</v>
      </c>
      <c r="P5" s="124">
        <v>366.18986365</v>
      </c>
      <c r="Q5" s="158">
        <v>98060.71832881</v>
      </c>
      <c r="R5" s="159" t="s">
        <v>158</v>
      </c>
      <c r="S5" s="160">
        <v>124.245421691176</v>
      </c>
      <c r="T5" s="160"/>
      <c r="U5" s="160">
        <v>6.61397058823529</v>
      </c>
      <c r="V5" s="160"/>
      <c r="W5" s="160"/>
      <c r="X5" s="160">
        <v>130.859392279412</v>
      </c>
      <c r="Y5" s="175">
        <v>29.3157632352941</v>
      </c>
      <c r="Z5" s="175"/>
      <c r="AA5" s="175"/>
      <c r="AB5" s="175">
        <v>29.3157632352941</v>
      </c>
      <c r="AC5" s="176">
        <v>7.24</v>
      </c>
      <c r="AD5" s="160">
        <v>212.246125823529</v>
      </c>
      <c r="AE5" s="160">
        <v>343.105518102941</v>
      </c>
      <c r="AF5" s="160">
        <v>23.0843455470588</v>
      </c>
    </row>
    <row r="6" s="88" customFormat="1" ht="12.75" spans="1:32">
      <c r="A6" s="101"/>
      <c r="B6" s="102"/>
      <c r="C6" s="103">
        <v>241125000067</v>
      </c>
      <c r="D6" s="104">
        <v>45631</v>
      </c>
      <c r="E6" s="104" t="s">
        <v>155</v>
      </c>
      <c r="F6" s="102" t="s">
        <v>156</v>
      </c>
      <c r="G6" s="102" t="s">
        <v>159</v>
      </c>
      <c r="H6" s="102">
        <v>1.0967</v>
      </c>
      <c r="I6" s="102">
        <v>203</v>
      </c>
      <c r="J6" s="124"/>
      <c r="K6" s="129">
        <v>552736</v>
      </c>
      <c r="L6" s="126"/>
      <c r="M6" s="127">
        <v>1679.99767058738</v>
      </c>
      <c r="N6" s="128">
        <v>329.00998</v>
      </c>
      <c r="O6" s="102">
        <v>7.27</v>
      </c>
      <c r="P6" s="124">
        <v>2391.9025546</v>
      </c>
      <c r="Q6" s="161"/>
      <c r="R6" s="161"/>
      <c r="S6" s="160">
        <v>757.420533455882</v>
      </c>
      <c r="T6" s="160"/>
      <c r="U6" s="160">
        <v>40.3198529411765</v>
      </c>
      <c r="V6" s="160"/>
      <c r="W6" s="160"/>
      <c r="X6" s="160">
        <v>797.740386397059</v>
      </c>
      <c r="Y6" s="175">
        <v>178.713716176471</v>
      </c>
      <c r="Z6" s="175"/>
      <c r="AA6" s="175"/>
      <c r="AB6" s="175">
        <v>178.713716176471</v>
      </c>
      <c r="AC6" s="176">
        <v>7.24</v>
      </c>
      <c r="AD6" s="160">
        <v>1293.88730511765</v>
      </c>
      <c r="AE6" s="160">
        <v>2091.62769151471</v>
      </c>
      <c r="AF6" s="160">
        <v>300.274863085294</v>
      </c>
    </row>
    <row r="7" s="88" customFormat="1" ht="12.75" spans="1:32">
      <c r="A7" s="101"/>
      <c r="B7" s="102"/>
      <c r="C7" s="103">
        <v>241128000039</v>
      </c>
      <c r="D7" s="104">
        <v>45631</v>
      </c>
      <c r="E7" s="104" t="s">
        <v>155</v>
      </c>
      <c r="F7" s="102" t="s">
        <v>156</v>
      </c>
      <c r="G7" s="102" t="s">
        <v>157</v>
      </c>
      <c r="H7" s="102">
        <v>0.5074</v>
      </c>
      <c r="I7" s="102">
        <v>252</v>
      </c>
      <c r="J7" s="124"/>
      <c r="K7" s="129">
        <v>239442</v>
      </c>
      <c r="L7" s="126"/>
      <c r="M7" s="127">
        <v>1572.99929582198</v>
      </c>
      <c r="N7" s="128">
        <v>152.22003</v>
      </c>
      <c r="O7" s="102">
        <v>7.27</v>
      </c>
      <c r="P7" s="124">
        <v>1106.6396181</v>
      </c>
      <c r="Q7" s="161"/>
      <c r="R7" s="161"/>
      <c r="S7" s="160">
        <v>350.428721323529</v>
      </c>
      <c r="T7" s="160"/>
      <c r="U7" s="160">
        <v>18.6544117647059</v>
      </c>
      <c r="V7" s="160"/>
      <c r="W7" s="160"/>
      <c r="X7" s="160">
        <v>369.083133088235</v>
      </c>
      <c r="Y7" s="175">
        <v>82.6838147058824</v>
      </c>
      <c r="Z7" s="175"/>
      <c r="AA7" s="175"/>
      <c r="AB7" s="175">
        <v>82.6838147058824</v>
      </c>
      <c r="AC7" s="176">
        <v>7.24</v>
      </c>
      <c r="AD7" s="160">
        <v>598.630818470588</v>
      </c>
      <c r="AE7" s="160">
        <v>967.713951558824</v>
      </c>
      <c r="AF7" s="160">
        <v>138.925666541176</v>
      </c>
    </row>
    <row r="8" s="88" customFormat="1" ht="12.75" spans="1:32">
      <c r="A8" s="101"/>
      <c r="B8" s="102"/>
      <c r="C8" s="103">
        <v>241202000042</v>
      </c>
      <c r="D8" s="104">
        <v>45631</v>
      </c>
      <c r="E8" s="104" t="s">
        <v>155</v>
      </c>
      <c r="F8" s="102" t="s">
        <v>156</v>
      </c>
      <c r="G8" s="102" t="s">
        <v>157</v>
      </c>
      <c r="H8" s="102">
        <v>0.1256</v>
      </c>
      <c r="I8" s="102">
        <v>54</v>
      </c>
      <c r="J8" s="124"/>
      <c r="K8" s="129">
        <v>63300</v>
      </c>
      <c r="L8" s="126"/>
      <c r="M8" s="127">
        <v>1679.93594905818</v>
      </c>
      <c r="N8" s="128">
        <v>37.680008</v>
      </c>
      <c r="O8" s="102">
        <v>7.27</v>
      </c>
      <c r="P8" s="124">
        <v>273.93365816</v>
      </c>
      <c r="Q8" s="161"/>
      <c r="R8" s="161"/>
      <c r="S8" s="160">
        <v>86.7438852941176</v>
      </c>
      <c r="T8" s="160"/>
      <c r="U8" s="160">
        <v>4.61764705882353</v>
      </c>
      <c r="V8" s="160"/>
      <c r="W8" s="160"/>
      <c r="X8" s="160">
        <v>91.3615323529412</v>
      </c>
      <c r="Y8" s="175">
        <v>20.4672588235294</v>
      </c>
      <c r="Z8" s="175"/>
      <c r="AA8" s="175"/>
      <c r="AB8" s="175">
        <v>20.4672588235294</v>
      </c>
      <c r="AC8" s="176">
        <v>7.24</v>
      </c>
      <c r="AD8" s="160">
        <v>148.182953882353</v>
      </c>
      <c r="AE8" s="160">
        <v>239.544486235294</v>
      </c>
      <c r="AF8" s="160">
        <v>34.3891719247059</v>
      </c>
    </row>
    <row r="9" s="88" customFormat="1" ht="12.75" spans="1:32">
      <c r="A9" s="101"/>
      <c r="B9" s="102"/>
      <c r="C9" s="103">
        <v>241208000009</v>
      </c>
      <c r="D9" s="104">
        <v>45636</v>
      </c>
      <c r="E9" s="104" t="s">
        <v>155</v>
      </c>
      <c r="F9" s="102" t="s">
        <v>160</v>
      </c>
      <c r="G9" s="102" t="s">
        <v>161</v>
      </c>
      <c r="H9" s="102">
        <v>4.1388</v>
      </c>
      <c r="I9" s="102">
        <v>540</v>
      </c>
      <c r="J9" s="124"/>
      <c r="K9" s="129">
        <v>2050281</v>
      </c>
      <c r="L9" s="126"/>
      <c r="M9" s="127">
        <v>1597.9992673593</v>
      </c>
      <c r="N9" s="128">
        <v>1283.03</v>
      </c>
      <c r="O9" s="102">
        <v>7.27</v>
      </c>
      <c r="P9" s="124">
        <v>9327.6281</v>
      </c>
      <c r="Q9" s="161"/>
      <c r="R9" s="161"/>
      <c r="S9" s="160">
        <v>3016.97217352941</v>
      </c>
      <c r="T9" s="160"/>
      <c r="U9" s="160">
        <v>127.815882352941</v>
      </c>
      <c r="V9" s="160"/>
      <c r="W9" s="160"/>
      <c r="X9" s="160">
        <v>3144.78805588235</v>
      </c>
      <c r="Y9" s="175">
        <v>707.430476470588</v>
      </c>
      <c r="Z9" s="175"/>
      <c r="AA9" s="175">
        <v>3.38529494117647</v>
      </c>
      <c r="AB9" s="175">
        <v>710.815771411765</v>
      </c>
      <c r="AC9" s="176">
        <v>7.3</v>
      </c>
      <c r="AD9" s="160">
        <v>5188.95513130588</v>
      </c>
      <c r="AE9" s="160">
        <v>8333.74318718823</v>
      </c>
      <c r="AF9" s="160">
        <v>993.884912811769</v>
      </c>
    </row>
    <row r="10" s="88" customFormat="1" ht="12.75" spans="1:32">
      <c r="A10" s="101"/>
      <c r="B10" s="102"/>
      <c r="C10" s="103">
        <v>241213000056</v>
      </c>
      <c r="D10" s="104">
        <v>45643</v>
      </c>
      <c r="E10" s="104" t="s">
        <v>155</v>
      </c>
      <c r="F10" s="102" t="s">
        <v>156</v>
      </c>
      <c r="G10" s="102" t="s">
        <v>157</v>
      </c>
      <c r="H10" s="102">
        <v>1.2461</v>
      </c>
      <c r="I10" s="102">
        <v>230</v>
      </c>
      <c r="J10" s="124"/>
      <c r="K10" s="129">
        <v>116181</v>
      </c>
      <c r="L10" s="128">
        <v>300</v>
      </c>
      <c r="M10" s="127">
        <v>310.760712566201</v>
      </c>
      <c r="N10" s="128">
        <v>373.86</v>
      </c>
      <c r="O10" s="102">
        <v>7.27</v>
      </c>
      <c r="P10" s="124">
        <v>2717.9622</v>
      </c>
      <c r="Q10" s="161"/>
      <c r="R10" s="161"/>
      <c r="S10" s="160">
        <v>917.7251625</v>
      </c>
      <c r="T10" s="160"/>
      <c r="U10" s="160">
        <v>36.65</v>
      </c>
      <c r="V10" s="160"/>
      <c r="W10" s="160"/>
      <c r="X10" s="160">
        <v>954.3751625</v>
      </c>
      <c r="Y10" s="175">
        <v>224.84775</v>
      </c>
      <c r="Z10" s="175"/>
      <c r="AA10" s="175">
        <v>1.0155715</v>
      </c>
      <c r="AB10" s="175">
        <v>225.8633215</v>
      </c>
      <c r="AC10" s="176">
        <v>7.25</v>
      </c>
      <c r="AD10" s="160">
        <v>1637.509080875</v>
      </c>
      <c r="AE10" s="160">
        <v>2591.884243375</v>
      </c>
      <c r="AF10" s="160">
        <v>126.077956625</v>
      </c>
    </row>
    <row r="11" s="88" customFormat="1" ht="12.75" spans="1:32">
      <c r="A11" s="101"/>
      <c r="B11" s="102"/>
      <c r="C11" s="103">
        <v>241223000044</v>
      </c>
      <c r="D11" s="104">
        <v>46018</v>
      </c>
      <c r="E11" s="104" t="s">
        <v>155</v>
      </c>
      <c r="F11" s="102" t="s">
        <v>156</v>
      </c>
      <c r="G11" s="102" t="s">
        <v>157</v>
      </c>
      <c r="H11" s="102">
        <v>0.7236</v>
      </c>
      <c r="I11" s="102">
        <v>173</v>
      </c>
      <c r="J11" s="124"/>
      <c r="K11" s="129">
        <v>336691</v>
      </c>
      <c r="L11" s="102"/>
      <c r="M11" s="127">
        <v>1550.9990598861</v>
      </c>
      <c r="N11" s="128">
        <v>217.08008</v>
      </c>
      <c r="O11" s="130">
        <v>7.24</v>
      </c>
      <c r="P11" s="124">
        <v>1571.6597792</v>
      </c>
      <c r="Q11" s="161"/>
      <c r="R11" s="161"/>
      <c r="S11" s="160">
        <v>538.603147058824</v>
      </c>
      <c r="T11" s="160"/>
      <c r="U11" s="160">
        <v>22.3464705882353</v>
      </c>
      <c r="V11" s="160"/>
      <c r="W11" s="160"/>
      <c r="X11" s="160">
        <v>560.949617647059</v>
      </c>
      <c r="Y11" s="175">
        <v>122.566666764706</v>
      </c>
      <c r="Z11" s="175"/>
      <c r="AA11" s="175">
        <v>0.632192294117647</v>
      </c>
      <c r="AB11" s="175">
        <v>123.198859058824</v>
      </c>
      <c r="AC11" s="176">
        <v>7.26</v>
      </c>
      <c r="AD11" s="160">
        <v>894.423716767059</v>
      </c>
      <c r="AE11" s="160">
        <v>1455.37333441412</v>
      </c>
      <c r="AF11" s="160">
        <v>116.286444785882</v>
      </c>
    </row>
    <row r="12" s="88" customFormat="1" ht="12.75" spans="1:32">
      <c r="A12" s="101"/>
      <c r="B12" s="102"/>
      <c r="C12" s="103">
        <v>241224000028</v>
      </c>
      <c r="D12" s="104">
        <v>46018</v>
      </c>
      <c r="E12" s="104" t="s">
        <v>155</v>
      </c>
      <c r="F12" s="102" t="s">
        <v>156</v>
      </c>
      <c r="G12" s="102" t="s">
        <v>157</v>
      </c>
      <c r="H12" s="102">
        <v>0.4936</v>
      </c>
      <c r="I12" s="102">
        <v>87</v>
      </c>
      <c r="J12" s="124"/>
      <c r="K12" s="129">
        <v>229672</v>
      </c>
      <c r="L12" s="102"/>
      <c r="M12" s="127">
        <v>1550.99956449214</v>
      </c>
      <c r="N12" s="128">
        <v>148.07999</v>
      </c>
      <c r="O12" s="130">
        <v>7.24</v>
      </c>
      <c r="P12" s="124">
        <v>1072.0991276</v>
      </c>
      <c r="Q12" s="161"/>
      <c r="R12" s="161"/>
      <c r="S12" s="160">
        <v>367.405352941176</v>
      </c>
      <c r="T12" s="160"/>
      <c r="U12" s="160">
        <v>15.2435294117647</v>
      </c>
      <c r="V12" s="160"/>
      <c r="W12" s="160"/>
      <c r="X12" s="160">
        <v>382.648882352941</v>
      </c>
      <c r="Y12" s="175">
        <v>83.6082182352941</v>
      </c>
      <c r="Z12" s="175"/>
      <c r="AA12" s="175">
        <v>0.431246705882353</v>
      </c>
      <c r="AB12" s="175">
        <v>84.0394649411765</v>
      </c>
      <c r="AC12" s="176">
        <v>7.26</v>
      </c>
      <c r="AD12" s="160">
        <v>610.126515472941</v>
      </c>
      <c r="AE12" s="160">
        <v>992.775397825882</v>
      </c>
      <c r="AF12" s="160">
        <v>79.3237297741176</v>
      </c>
    </row>
    <row r="13" customFormat="1" spans="1:32">
      <c r="A13" s="86" t="s">
        <v>96</v>
      </c>
      <c r="B13" s="105"/>
      <c r="C13" s="105"/>
      <c r="D13" s="105"/>
      <c r="E13" s="105"/>
      <c r="F13" s="105"/>
      <c r="G13" s="105"/>
      <c r="H13" s="105">
        <f>SUM(H5:H12)</f>
        <v>8.5117</v>
      </c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62"/>
      <c r="T13" s="105"/>
      <c r="U13" s="105"/>
      <c r="V13" s="163"/>
      <c r="W13" s="164"/>
      <c r="X13" s="164"/>
      <c r="Y13" s="164"/>
      <c r="Z13" s="164"/>
      <c r="AA13" s="177"/>
      <c r="AB13" s="178"/>
      <c r="AC13" s="178"/>
      <c r="AD13" s="178"/>
      <c r="AE13" s="178"/>
      <c r="AF13" s="178">
        <f>SUM(AF5:AF12)</f>
        <v>1812.247091095</v>
      </c>
    </row>
    <row r="14" s="89" customFormat="1" ht="26" customHeight="1" spans="1:25">
      <c r="A14" s="106"/>
      <c r="B14" s="107"/>
      <c r="D14" s="108"/>
      <c r="E14" s="108"/>
      <c r="Y14" s="179"/>
    </row>
    <row r="15" s="1" customFormat="1" ht="23" customHeight="1" spans="3:16">
      <c r="C15" s="74" t="s">
        <v>63</v>
      </c>
      <c r="D15" s="74"/>
      <c r="E15" s="74"/>
      <c r="F15" s="109" t="s">
        <v>64</v>
      </c>
      <c r="G15" s="110"/>
      <c r="H15" s="110"/>
      <c r="I15" s="131"/>
      <c r="J15"/>
      <c r="K15" s="132" t="s">
        <v>162</v>
      </c>
      <c r="L15" s="133"/>
      <c r="M15" s="134"/>
      <c r="N15" s="89"/>
      <c r="O15"/>
      <c r="P15"/>
    </row>
    <row r="16" s="1" customFormat="1" ht="23" customHeight="1" spans="3:16">
      <c r="C16" s="74"/>
      <c r="D16" s="74"/>
      <c r="E16" s="74"/>
      <c r="F16" s="111"/>
      <c r="G16" s="112"/>
      <c r="H16" s="112"/>
      <c r="I16" s="135"/>
      <c r="J16"/>
      <c r="K16" s="136" t="s">
        <v>66</v>
      </c>
      <c r="L16" s="136" t="s">
        <v>8</v>
      </c>
      <c r="M16" s="136" t="s">
        <v>67</v>
      </c>
      <c r="N16" s="89"/>
      <c r="O16"/>
      <c r="P16"/>
    </row>
    <row r="17" s="1" customFormat="1" ht="23" customHeight="1" spans="3:16">
      <c r="C17" s="74" t="s">
        <v>68</v>
      </c>
      <c r="D17" s="74"/>
      <c r="E17" s="74"/>
      <c r="F17" s="80" t="s">
        <v>69</v>
      </c>
      <c r="G17" s="81"/>
      <c r="H17" s="81"/>
      <c r="I17" s="82"/>
      <c r="J17"/>
      <c r="K17" s="136" t="s">
        <v>70</v>
      </c>
      <c r="L17" s="137">
        <f>SUM(H13)</f>
        <v>8.5117</v>
      </c>
      <c r="M17" s="138">
        <f>SUM(AF13)</f>
        <v>1812.247091095</v>
      </c>
      <c r="N17" s="89"/>
      <c r="O17"/>
      <c r="P17"/>
    </row>
    <row r="18" s="1" customFormat="1" ht="23" customHeight="1" spans="3:16">
      <c r="C18" s="74"/>
      <c r="D18" s="74"/>
      <c r="E18" s="74"/>
      <c r="F18" s="83"/>
      <c r="G18" s="84"/>
      <c r="H18" s="84"/>
      <c r="I18" s="85"/>
      <c r="J18"/>
      <c r="K18" s="139" t="s">
        <v>71</v>
      </c>
      <c r="L18" s="139"/>
      <c r="M18" s="140"/>
      <c r="N18"/>
      <c r="O18"/>
      <c r="P18"/>
    </row>
    <row r="19" s="1" customFormat="1" ht="23" customHeight="1" spans="3:16">
      <c r="C19" s="74" t="s">
        <v>72</v>
      </c>
      <c r="D19" s="74"/>
      <c r="E19" s="74"/>
      <c r="F19" s="80" t="s">
        <v>73</v>
      </c>
      <c r="G19" s="81"/>
      <c r="H19" s="81"/>
      <c r="I19" s="82"/>
      <c r="J19"/>
      <c r="K19" s="141" t="s">
        <v>74</v>
      </c>
      <c r="L19" s="141"/>
      <c r="M19" s="142"/>
      <c r="N19"/>
      <c r="O19"/>
      <c r="P19"/>
    </row>
    <row r="20" s="1" customFormat="1" ht="23" customHeight="1" spans="3:16">
      <c r="C20" s="74"/>
      <c r="D20" s="74"/>
      <c r="E20" s="74"/>
      <c r="F20" s="83"/>
      <c r="G20" s="84"/>
      <c r="H20" s="84"/>
      <c r="I20" s="85"/>
      <c r="J20"/>
      <c r="K20" s="136" t="s">
        <v>75</v>
      </c>
      <c r="L20" s="136"/>
      <c r="M20" s="136"/>
      <c r="N20"/>
      <c r="O20"/>
      <c r="P20"/>
    </row>
    <row r="21" s="1" customFormat="1" ht="23" customHeight="1" spans="5:16">
      <c r="E21"/>
      <c r="F21"/>
      <c r="G21"/>
      <c r="H21"/>
      <c r="I21"/>
      <c r="J21"/>
      <c r="K21" s="139" t="s">
        <v>76</v>
      </c>
      <c r="L21" s="139"/>
      <c r="M21" s="140"/>
      <c r="N21"/>
      <c r="O21"/>
      <c r="P21"/>
    </row>
    <row r="22" s="1" customFormat="1" ht="23" customHeight="1" spans="5:16">
      <c r="E22"/>
      <c r="F22"/>
      <c r="G22"/>
      <c r="H22"/>
      <c r="I22"/>
      <c r="J22"/>
      <c r="K22"/>
      <c r="L22"/>
      <c r="M22"/>
      <c r="N22"/>
      <c r="O22"/>
      <c r="P22"/>
    </row>
    <row r="23" s="1" customFormat="1" ht="23" customHeight="1" spans="5:13">
      <c r="E23"/>
      <c r="F23"/>
      <c r="G23"/>
      <c r="H23"/>
      <c r="I23"/>
      <c r="J23"/>
      <c r="K23"/>
      <c r="L23"/>
      <c r="M23"/>
    </row>
    <row r="24" s="1" customFormat="1" ht="23" customHeight="1" spans="5:13">
      <c r="E24"/>
      <c r="F24"/>
      <c r="G24"/>
      <c r="H24"/>
      <c r="I24"/>
      <c r="J24"/>
      <c r="K24"/>
      <c r="L24"/>
      <c r="M24"/>
    </row>
    <row r="25" s="1" customFormat="1" ht="23" customHeight="1" spans="5:19">
      <c r="E25"/>
      <c r="F25"/>
      <c r="G25"/>
      <c r="H25"/>
      <c r="I25"/>
      <c r="J25"/>
      <c r="K25"/>
      <c r="L25"/>
      <c r="M25"/>
      <c r="O25"/>
      <c r="P25"/>
      <c r="Q25"/>
      <c r="R25"/>
      <c r="S25" s="35"/>
    </row>
    <row r="26" s="1" customFormat="1" ht="23" customHeight="1" spans="5:19">
      <c r="E26"/>
      <c r="F26"/>
      <c r="G26"/>
      <c r="H26"/>
      <c r="I26"/>
      <c r="J26"/>
      <c r="K26"/>
      <c r="L26"/>
      <c r="N26"/>
      <c r="O26"/>
      <c r="P26"/>
      <c r="Q26"/>
      <c r="S26" s="35"/>
    </row>
    <row r="27" ht="22" customHeight="1"/>
    <row r="28" ht="22" customHeight="1"/>
  </sheetData>
  <mergeCells count="23">
    <mergeCell ref="J3:P3"/>
    <mergeCell ref="R3:V3"/>
    <mergeCell ref="Y3:AD3"/>
    <mergeCell ref="K15:M15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  <mergeCell ref="C15:E16"/>
    <mergeCell ref="F15:I16"/>
    <mergeCell ref="C17:E18"/>
    <mergeCell ref="F17:I18"/>
    <mergeCell ref="C19:E20"/>
    <mergeCell ref="F19:I20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"/>
  <sheetViews>
    <sheetView workbookViewId="0">
      <selection activeCell="M6" sqref="M6"/>
    </sheetView>
  </sheetViews>
  <sheetFormatPr defaultColWidth="11" defaultRowHeight="33" customHeight="1"/>
  <cols>
    <col min="1" max="1" width="16.25" style="9" customWidth="1"/>
    <col min="2" max="3" width="12.5" style="4" customWidth="1"/>
    <col min="4" max="4" width="10.25" style="10" customWidth="1"/>
    <col min="5" max="5" width="12" style="10" customWidth="1"/>
    <col min="6" max="6" width="11.875" style="11" customWidth="1"/>
    <col min="7" max="7" width="6.375" style="12" customWidth="1"/>
    <col min="8" max="8" width="11.375" style="4" customWidth="1"/>
    <col min="9" max="10" width="11" style="4" customWidth="1"/>
    <col min="11" max="11" width="6.375" style="4" customWidth="1"/>
    <col min="12" max="12" width="11" style="4" customWidth="1"/>
    <col min="13" max="13" width="13.25" style="4" customWidth="1"/>
    <col min="14" max="14" width="30.25" style="4" customWidth="1"/>
    <col min="15" max="15" width="5.875" style="4" customWidth="1"/>
    <col min="16" max="16361" width="11" style="4" customWidth="1"/>
    <col min="16362" max="16384" width="11" style="4"/>
  </cols>
  <sheetData>
    <row r="1" s="1" customFormat="1" customHeight="1" spans="1:14">
      <c r="A1" s="13" t="s">
        <v>163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="1" customFormat="1" ht="6" customHeight="1" spans="1:7">
      <c r="A2" s="14"/>
      <c r="B2" s="14"/>
      <c r="C2" s="14"/>
      <c r="D2" s="14"/>
      <c r="E2" s="14"/>
      <c r="F2" s="14"/>
      <c r="G2" s="14"/>
    </row>
    <row r="3" s="1" customFormat="1" ht="40" customHeight="1" spans="1:20">
      <c r="A3" s="15" t="s">
        <v>164</v>
      </c>
      <c r="B3" s="16" t="s">
        <v>165</v>
      </c>
      <c r="C3" s="66" t="s">
        <v>166</v>
      </c>
      <c r="D3" s="18" t="s">
        <v>167</v>
      </c>
      <c r="E3" s="18"/>
      <c r="F3" s="18"/>
      <c r="G3" s="18"/>
      <c r="H3" s="18"/>
      <c r="I3" s="70" t="s">
        <v>168</v>
      </c>
      <c r="J3" s="71"/>
      <c r="K3" s="72"/>
      <c r="L3" s="73"/>
      <c r="M3" s="43" t="s">
        <v>169</v>
      </c>
      <c r="N3" s="16" t="s">
        <v>87</v>
      </c>
      <c r="P3" s="74" t="s">
        <v>63</v>
      </c>
      <c r="Q3" s="74"/>
      <c r="R3" s="79" t="s">
        <v>64</v>
      </c>
      <c r="S3" s="79"/>
      <c r="T3" s="79"/>
    </row>
    <row r="4" s="2" customFormat="1" ht="55" customHeight="1" spans="1:20">
      <c r="A4" s="19"/>
      <c r="B4" s="16"/>
      <c r="C4" s="67"/>
      <c r="D4" s="21" t="s">
        <v>71</v>
      </c>
      <c r="E4" s="22" t="s">
        <v>74</v>
      </c>
      <c r="F4" s="22" t="s">
        <v>74</v>
      </c>
      <c r="G4" s="23" t="s">
        <v>170</v>
      </c>
      <c r="H4" s="24" t="s">
        <v>76</v>
      </c>
      <c r="I4" s="44" t="s">
        <v>71</v>
      </c>
      <c r="J4" s="45" t="s">
        <v>74</v>
      </c>
      <c r="K4" s="46" t="s">
        <v>171</v>
      </c>
      <c r="L4" s="47" t="s">
        <v>76</v>
      </c>
      <c r="M4" s="48"/>
      <c r="N4" s="16"/>
      <c r="P4" s="74"/>
      <c r="Q4" s="74"/>
      <c r="R4" s="79"/>
      <c r="S4" s="79"/>
      <c r="T4" s="79"/>
    </row>
    <row r="5" s="3" customFormat="1" ht="26" customHeight="1" spans="1:20">
      <c r="A5" s="16" t="s">
        <v>172</v>
      </c>
      <c r="B5" s="25">
        <f>SUM(黄颖!M40)</f>
        <v>18029.0431962844</v>
      </c>
      <c r="C5" s="26">
        <f>SUM(黄颖!L40)</f>
        <v>91.2918</v>
      </c>
      <c r="D5" s="68">
        <v>6000</v>
      </c>
      <c r="E5" s="28">
        <f>SUM(B5-D5)</f>
        <v>12029.0431962844</v>
      </c>
      <c r="F5" s="28"/>
      <c r="G5" s="29">
        <v>0.4</v>
      </c>
      <c r="H5" s="28">
        <f>SUM(E5*G5)</f>
        <v>4811.61727851376</v>
      </c>
      <c r="I5" s="49"/>
      <c r="J5" s="49"/>
      <c r="K5" s="50"/>
      <c r="L5" s="51"/>
      <c r="M5" s="52">
        <f>SUM(H5+L5)</f>
        <v>4811.61727851376</v>
      </c>
      <c r="N5" s="53"/>
      <c r="P5" s="74" t="s">
        <v>68</v>
      </c>
      <c r="Q5" s="74"/>
      <c r="R5" s="80" t="s">
        <v>69</v>
      </c>
      <c r="S5" s="81"/>
      <c r="T5" s="82"/>
    </row>
    <row r="6" s="5" customFormat="1" ht="26" customHeight="1" spans="1:20">
      <c r="A6" s="31" t="s">
        <v>173</v>
      </c>
      <c r="B6" s="32">
        <f>SUM(三凤!M17)</f>
        <v>27438.669169174</v>
      </c>
      <c r="C6" s="33">
        <f>SUM(三凤!L17)</f>
        <v>59.0041</v>
      </c>
      <c r="D6" s="34">
        <v>6000</v>
      </c>
      <c r="E6" s="28">
        <f>SUM(B6-D6)</f>
        <v>21438.669169174</v>
      </c>
      <c r="F6" s="28"/>
      <c r="G6" s="29">
        <v>0.4</v>
      </c>
      <c r="H6" s="28">
        <f>SUM(E6*G6)</f>
        <v>8575.4676676696</v>
      </c>
      <c r="I6" s="49"/>
      <c r="J6" s="49"/>
      <c r="K6" s="50"/>
      <c r="L6" s="51"/>
      <c r="M6" s="52">
        <f>SUM(H6+L6)</f>
        <v>8575.4676676696</v>
      </c>
      <c r="N6" s="57" t="s">
        <v>174</v>
      </c>
      <c r="P6" s="74"/>
      <c r="Q6" s="74"/>
      <c r="R6" s="83"/>
      <c r="S6" s="84"/>
      <c r="T6" s="85"/>
    </row>
    <row r="7" s="6" customFormat="1" ht="26" customHeight="1" spans="1:20">
      <c r="A7" s="16" t="s">
        <v>99</v>
      </c>
      <c r="B7" s="25">
        <f>SUM(吕沛霖!M20)</f>
        <v>29717.038002023</v>
      </c>
      <c r="C7" s="26">
        <f>SUM(吕沛霖!L20)</f>
        <v>28.7944</v>
      </c>
      <c r="D7" s="28">
        <v>6000</v>
      </c>
      <c r="E7" s="28">
        <f>SUM(B7-D7)</f>
        <v>23717.038002023</v>
      </c>
      <c r="F7" s="28"/>
      <c r="G7" s="29">
        <v>0.4</v>
      </c>
      <c r="H7" s="28">
        <f>SUM(E7*G7)</f>
        <v>9486.8152008092</v>
      </c>
      <c r="I7" s="58"/>
      <c r="J7" s="58"/>
      <c r="K7" s="58"/>
      <c r="L7" s="58"/>
      <c r="M7" s="52">
        <f>SUM(H7+L7)</f>
        <v>9486.8152008092</v>
      </c>
      <c r="N7" s="59"/>
      <c r="P7" s="74" t="s">
        <v>72</v>
      </c>
      <c r="Q7" s="74"/>
      <c r="R7" s="80" t="s">
        <v>73</v>
      </c>
      <c r="S7" s="81"/>
      <c r="T7" s="82"/>
    </row>
    <row r="8" s="3" customFormat="1" ht="45" customHeight="1" spans="1:20">
      <c r="A8" s="16" t="s">
        <v>89</v>
      </c>
      <c r="B8" s="25">
        <f>SUM(朱小飞!M25)</f>
        <v>4032.98100323526</v>
      </c>
      <c r="C8" s="26">
        <f>SUM(朱小飞!L25)</f>
        <v>29.7273</v>
      </c>
      <c r="D8" s="28">
        <v>6000</v>
      </c>
      <c r="E8" s="28">
        <f>SUM(B8-D8)</f>
        <v>-1967.01899676474</v>
      </c>
      <c r="F8" s="28"/>
      <c r="G8" s="29">
        <v>0.4</v>
      </c>
      <c r="H8" s="28"/>
      <c r="I8" s="49"/>
      <c r="J8" s="58"/>
      <c r="K8" s="58"/>
      <c r="L8" s="49"/>
      <c r="M8" s="52"/>
      <c r="N8" s="57" t="s">
        <v>175</v>
      </c>
      <c r="P8" s="74"/>
      <c r="Q8" s="74"/>
      <c r="R8" s="83"/>
      <c r="S8" s="84"/>
      <c r="T8" s="85"/>
    </row>
    <row r="9" s="6" customFormat="1" ht="26" customHeight="1" spans="1:20">
      <c r="A9" s="16" t="s">
        <v>128</v>
      </c>
      <c r="B9" s="25">
        <f>SUM(陆总!M19)</f>
        <v>-4046.60695542421</v>
      </c>
      <c r="C9" s="26">
        <f>SUM(陆总!L19)</f>
        <v>38.0819</v>
      </c>
      <c r="D9" s="28"/>
      <c r="E9" s="28"/>
      <c r="F9" s="28"/>
      <c r="G9" s="29"/>
      <c r="H9" s="28"/>
      <c r="I9" s="49"/>
      <c r="J9" s="58"/>
      <c r="K9" s="58"/>
      <c r="L9" s="58"/>
      <c r="M9" s="52"/>
      <c r="N9" s="59"/>
      <c r="P9" s="3"/>
      <c r="Q9" s="3"/>
      <c r="R9" s="3"/>
      <c r="S9" s="3"/>
      <c r="T9" s="3"/>
    </row>
    <row r="10" s="6" customFormat="1" ht="26" customHeight="1" spans="1:21">
      <c r="A10" s="16" t="s">
        <v>124</v>
      </c>
      <c r="B10" s="25">
        <f>SUM(苏慧琪!M10)</f>
        <v>22.5522460776471</v>
      </c>
      <c r="C10" s="26">
        <f>SUM(苏慧琪!L10)</f>
        <v>0.0662</v>
      </c>
      <c r="D10" s="28"/>
      <c r="E10" s="28"/>
      <c r="F10" s="28"/>
      <c r="G10" s="29"/>
      <c r="H10" s="28"/>
      <c r="I10" s="58"/>
      <c r="J10" s="58"/>
      <c r="K10" s="58"/>
      <c r="L10" s="58"/>
      <c r="M10" s="52"/>
      <c r="N10" s="59"/>
      <c r="P10" s="3"/>
      <c r="Q10" s="3"/>
      <c r="R10" s="3"/>
      <c r="S10" s="3"/>
      <c r="T10" s="3"/>
      <c r="U10" s="3"/>
    </row>
    <row r="11" s="6" customFormat="1" ht="26" customHeight="1" spans="1:21">
      <c r="A11" s="16" t="s">
        <v>118</v>
      </c>
      <c r="B11" s="25">
        <f>SUM(罗珮文!M39)</f>
        <v>-40380.2296853785</v>
      </c>
      <c r="C11" s="26">
        <f>SUM(罗珮文!L39)</f>
        <v>222.6355</v>
      </c>
      <c r="D11" s="28"/>
      <c r="E11" s="28"/>
      <c r="F11" s="28"/>
      <c r="G11" s="29"/>
      <c r="H11" s="28"/>
      <c r="I11" s="58"/>
      <c r="J11" s="58"/>
      <c r="K11" s="58"/>
      <c r="L11" s="58"/>
      <c r="M11" s="52"/>
      <c r="N11" s="59"/>
      <c r="P11" s="75" t="s">
        <v>176</v>
      </c>
      <c r="Q11" s="86"/>
      <c r="R11" s="86"/>
      <c r="S11" s="3"/>
      <c r="T11" s="3"/>
      <c r="U11" s="3"/>
    </row>
    <row r="12" s="3" customFormat="1" ht="26" customHeight="1" spans="1:18">
      <c r="A12" s="16" t="s">
        <v>177</v>
      </c>
      <c r="B12" s="25">
        <f>SUM(浦生!M35)</f>
        <v>50746.8608502151</v>
      </c>
      <c r="C12" s="26">
        <f>SUM(浦生!L35)</f>
        <v>117.0682</v>
      </c>
      <c r="D12" s="28">
        <v>6000</v>
      </c>
      <c r="E12" s="28">
        <f>SUM(B12-D12)</f>
        <v>44746.8608502151</v>
      </c>
      <c r="F12" s="28">
        <v>35000</v>
      </c>
      <c r="G12" s="29">
        <v>0.4</v>
      </c>
      <c r="H12" s="28">
        <f>SUM(F12*G12)</f>
        <v>14000</v>
      </c>
      <c r="I12" s="49">
        <v>35000</v>
      </c>
      <c r="J12" s="49">
        <f>SUM(E12-I12)</f>
        <v>9746.8608502151</v>
      </c>
      <c r="K12" s="50">
        <v>0.5</v>
      </c>
      <c r="L12" s="51">
        <f>SUM(J12*K12)</f>
        <v>4873.43042510755</v>
      </c>
      <c r="M12" s="52">
        <f>SUM(H12+L12)</f>
        <v>18873.4304251075</v>
      </c>
      <c r="N12" s="76"/>
      <c r="P12" s="75" t="s">
        <v>178</v>
      </c>
      <c r="Q12" s="86"/>
      <c r="R12" s="86"/>
    </row>
    <row r="13" s="3" customFormat="1" ht="26" customHeight="1" spans="1:14">
      <c r="A13" s="16" t="s">
        <v>155</v>
      </c>
      <c r="B13" s="25">
        <f>SUM(无人!M17)</f>
        <v>1812.247091095</v>
      </c>
      <c r="C13" s="26">
        <f>SUM(无人!L17)</f>
        <v>8.5117</v>
      </c>
      <c r="D13" s="28"/>
      <c r="E13" s="28"/>
      <c r="F13" s="28"/>
      <c r="G13" s="29"/>
      <c r="H13" s="29"/>
      <c r="I13" s="58"/>
      <c r="J13" s="58"/>
      <c r="K13" s="77"/>
      <c r="L13" s="58"/>
      <c r="M13" s="52"/>
      <c r="N13" s="76"/>
    </row>
    <row r="14" s="2" customFormat="1" ht="36" customHeight="1" spans="1:14">
      <c r="A14" s="16" t="s">
        <v>96</v>
      </c>
      <c r="B14" s="25">
        <f>SUM(B5:B13)</f>
        <v>87372.5549173017</v>
      </c>
      <c r="C14" s="26">
        <f>SUM(C5:C13)</f>
        <v>595.1811</v>
      </c>
      <c r="D14" s="28"/>
      <c r="E14" s="28"/>
      <c r="F14" s="28"/>
      <c r="G14" s="29"/>
      <c r="H14" s="29"/>
      <c r="I14" s="58"/>
      <c r="J14" s="58"/>
      <c r="K14" s="60"/>
      <c r="L14" s="45"/>
      <c r="M14" s="61">
        <f>SUM(M5:M13)</f>
        <v>41747.3305721001</v>
      </c>
      <c r="N14" s="62"/>
    </row>
    <row r="15" s="1" customFormat="1" ht="9" customHeight="1" spans="1:13">
      <c r="A15" s="9"/>
      <c r="G15" s="35"/>
      <c r="H15" s="35"/>
      <c r="I15" s="35"/>
      <c r="J15" s="35"/>
      <c r="K15" s="63"/>
      <c r="L15" s="11"/>
      <c r="M15" s="64"/>
    </row>
    <row r="16" s="38" customFormat="1" ht="41" customHeight="1" spans="1:13">
      <c r="A16" s="38" t="s">
        <v>179</v>
      </c>
      <c r="G16" s="69"/>
      <c r="H16" s="69"/>
      <c r="I16" s="69"/>
      <c r="J16" s="69" t="s">
        <v>178</v>
      </c>
      <c r="K16" s="69"/>
      <c r="M16" s="78"/>
    </row>
    <row r="17" s="8" customFormat="1" ht="41" customHeight="1" spans="1:13">
      <c r="A17" s="37"/>
      <c r="E17" s="38"/>
      <c r="F17" s="38"/>
      <c r="G17" s="39"/>
      <c r="H17" s="39"/>
      <c r="I17" s="39"/>
      <c r="J17" s="39"/>
      <c r="K17" s="39"/>
      <c r="M17" s="40"/>
    </row>
    <row r="18" s="4" customFormat="1" ht="57" customHeight="1" spans="1:13">
      <c r="A18" s="9"/>
      <c r="G18" s="30"/>
      <c r="H18" s="30"/>
      <c r="I18" s="30"/>
      <c r="J18" s="30"/>
      <c r="K18" s="54"/>
      <c r="L18" s="11"/>
      <c r="M18" s="12"/>
    </row>
    <row r="19" customHeight="1" spans="4:5">
      <c r="D19" s="8"/>
      <c r="E19" s="40"/>
    </row>
    <row r="20" customHeight="1" spans="4:5">
      <c r="D20" s="8"/>
      <c r="E20" s="40"/>
    </row>
    <row r="21" customHeight="1" spans="4:5">
      <c r="D21" s="8"/>
      <c r="E21" s="40"/>
    </row>
    <row r="22" customHeight="1" spans="4:5">
      <c r="D22" s="8"/>
      <c r="E22" s="40"/>
    </row>
    <row r="23" customHeight="1" spans="4:5">
      <c r="D23" s="8"/>
      <c r="E23" s="40"/>
    </row>
    <row r="24" customHeight="1" spans="4:5">
      <c r="D24" s="8"/>
      <c r="E24" s="40"/>
    </row>
    <row r="25" customHeight="1" spans="4:5">
      <c r="D25" s="8"/>
      <c r="E25" s="40"/>
    </row>
    <row r="26" customHeight="1" spans="4:5">
      <c r="D26" s="8"/>
      <c r="E26" s="40"/>
    </row>
  </sheetData>
  <mergeCells count="16">
    <mergeCell ref="A1:N1"/>
    <mergeCell ref="D3:H3"/>
    <mergeCell ref="I3:L3"/>
    <mergeCell ref="Q11:R11"/>
    <mergeCell ref="Q12:R12"/>
    <mergeCell ref="A3:A4"/>
    <mergeCell ref="B3:B4"/>
    <mergeCell ref="C3:C4"/>
    <mergeCell ref="M3:M4"/>
    <mergeCell ref="N3:N4"/>
    <mergeCell ref="P3:Q4"/>
    <mergeCell ref="R3:T4"/>
    <mergeCell ref="P5:Q6"/>
    <mergeCell ref="R5:T6"/>
    <mergeCell ref="P7:Q8"/>
    <mergeCell ref="R7:T8"/>
  </mergeCells>
  <pageMargins left="0.275" right="0.156944444444444" top="1.29861111111111" bottom="1" header="0.5" footer="0.5"/>
  <pageSetup paperSize="9" scale="95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tabSelected="1" workbookViewId="0">
      <selection activeCell="N10" sqref="N10"/>
    </sheetView>
  </sheetViews>
  <sheetFormatPr defaultColWidth="11" defaultRowHeight="33" customHeight="1"/>
  <cols>
    <col min="1" max="1" width="16.25" style="9" customWidth="1"/>
    <col min="2" max="3" width="12.5" style="4" customWidth="1"/>
    <col min="4" max="4" width="10.25" style="10" customWidth="1"/>
    <col min="5" max="5" width="12" style="10" customWidth="1"/>
    <col min="6" max="6" width="11.875" style="11" customWidth="1"/>
    <col min="7" max="7" width="10.1916666666667" style="12" customWidth="1"/>
    <col min="8" max="8" width="11.375" style="4" customWidth="1"/>
    <col min="9" max="9" width="8.45833333333333" style="4" customWidth="1"/>
    <col min="10" max="10" width="11" style="4" customWidth="1"/>
    <col min="11" max="11" width="8.91666666666667" style="4" customWidth="1"/>
    <col min="12" max="12" width="11" style="4" customWidth="1"/>
    <col min="13" max="13" width="15.7916666666667" style="4" customWidth="1"/>
    <col min="14" max="14" width="33.425" style="4" customWidth="1"/>
    <col min="15" max="15" width="5.875" style="4" customWidth="1"/>
    <col min="16" max="16361" width="11" style="4" customWidth="1"/>
    <col min="16362" max="16384" width="11" style="4"/>
  </cols>
  <sheetData>
    <row r="1" s="1" customFormat="1" customHeight="1" spans="1:14">
      <c r="A1" s="13" t="s">
        <v>163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="1" customFormat="1" ht="6" customHeight="1" spans="1:7">
      <c r="A2" s="14"/>
      <c r="B2" s="14"/>
      <c r="C2" s="14"/>
      <c r="D2" s="14"/>
      <c r="E2" s="14"/>
      <c r="F2" s="14"/>
      <c r="G2" s="14"/>
    </row>
    <row r="3" s="1" customFormat="1" ht="40" customHeight="1" spans="1:14">
      <c r="A3" s="15" t="s">
        <v>164</v>
      </c>
      <c r="B3" s="16" t="s">
        <v>165</v>
      </c>
      <c r="C3" s="17" t="s">
        <v>166</v>
      </c>
      <c r="D3" s="18" t="s">
        <v>167</v>
      </c>
      <c r="E3" s="18"/>
      <c r="F3" s="18"/>
      <c r="G3" s="18"/>
      <c r="H3" s="18"/>
      <c r="I3" s="41" t="s">
        <v>168</v>
      </c>
      <c r="J3" s="41"/>
      <c r="K3" s="42"/>
      <c r="L3" s="41"/>
      <c r="M3" s="43" t="s">
        <v>169</v>
      </c>
      <c r="N3" s="16" t="s">
        <v>87</v>
      </c>
    </row>
    <row r="4" s="2" customFormat="1" ht="55" customHeight="1" spans="1:14">
      <c r="A4" s="19"/>
      <c r="B4" s="16"/>
      <c r="C4" s="20"/>
      <c r="D4" s="21" t="s">
        <v>71</v>
      </c>
      <c r="E4" s="22" t="s">
        <v>74</v>
      </c>
      <c r="F4" s="22" t="s">
        <v>74</v>
      </c>
      <c r="G4" s="23" t="s">
        <v>170</v>
      </c>
      <c r="H4" s="24" t="s">
        <v>76</v>
      </c>
      <c r="I4" s="44" t="s">
        <v>71</v>
      </c>
      <c r="J4" s="45" t="s">
        <v>74</v>
      </c>
      <c r="K4" s="46" t="s">
        <v>171</v>
      </c>
      <c r="L4" s="47" t="s">
        <v>76</v>
      </c>
      <c r="M4" s="48"/>
      <c r="N4" s="16"/>
    </row>
    <row r="5" s="3" customFormat="1" ht="41" customHeight="1" spans="1:14">
      <c r="A5" s="16" t="s">
        <v>172</v>
      </c>
      <c r="B5" s="25">
        <f>SUM(黄颖!M40)</f>
        <v>18029.0431962844</v>
      </c>
      <c r="C5" s="26">
        <f>SUM(黄颖!L40)</f>
        <v>91.2918</v>
      </c>
      <c r="D5" s="27">
        <v>6000</v>
      </c>
      <c r="E5" s="28">
        <f>SUM(B5-D5)</f>
        <v>12029.0431962844</v>
      </c>
      <c r="F5" s="28"/>
      <c r="G5" s="29">
        <v>0.4</v>
      </c>
      <c r="H5" s="28">
        <f>SUM(E5*G5)</f>
        <v>4811.61727851376</v>
      </c>
      <c r="I5" s="49"/>
      <c r="J5" s="49"/>
      <c r="K5" s="50"/>
      <c r="L5" s="51"/>
      <c r="M5" s="52">
        <f>SUM(H5+L5)</f>
        <v>4811.61727851376</v>
      </c>
      <c r="N5" s="53"/>
    </row>
    <row r="6" s="4" customFormat="1" ht="57" customHeight="1" spans="1:14">
      <c r="A6" s="9"/>
      <c r="B6" s="4"/>
      <c r="C6" s="30"/>
      <c r="D6" s="4"/>
      <c r="E6" s="4"/>
      <c r="F6" s="4"/>
      <c r="G6" s="30"/>
      <c r="H6" s="4"/>
      <c r="I6" s="4"/>
      <c r="J6" s="4"/>
      <c r="K6" s="54"/>
      <c r="L6" s="55" t="s">
        <v>176</v>
      </c>
      <c r="M6" s="56"/>
      <c r="N6" s="56"/>
    </row>
    <row r="7" s="5" customFormat="1" ht="35" customHeight="1" spans="1:14">
      <c r="A7" s="31" t="s">
        <v>173</v>
      </c>
      <c r="B7" s="32">
        <f>SUM(三凤!M17)</f>
        <v>27438.669169174</v>
      </c>
      <c r="C7" s="33">
        <f>SUM(三凤!L17)</f>
        <v>59.0041</v>
      </c>
      <c r="D7" s="34">
        <v>6000</v>
      </c>
      <c r="E7" s="28">
        <f>SUM(B7-D7)</f>
        <v>21438.669169174</v>
      </c>
      <c r="F7" s="28"/>
      <c r="G7" s="29">
        <v>0.4</v>
      </c>
      <c r="H7" s="28">
        <f>SUM(E7*G7)</f>
        <v>8575.4676676696</v>
      </c>
      <c r="I7" s="49"/>
      <c r="J7" s="49"/>
      <c r="K7" s="50"/>
      <c r="L7" s="51"/>
      <c r="M7" s="52">
        <f>SUM(H7+L7)</f>
        <v>8575.4676676696</v>
      </c>
      <c r="N7" s="57" t="s">
        <v>174</v>
      </c>
    </row>
    <row r="8" s="4" customFormat="1" ht="57" customHeight="1" spans="1:14">
      <c r="A8" s="9"/>
      <c r="B8" s="4"/>
      <c r="C8" s="30"/>
      <c r="D8" s="4"/>
      <c r="E8" s="4"/>
      <c r="F8" s="4"/>
      <c r="G8" s="30"/>
      <c r="H8" s="4"/>
      <c r="I8" s="4"/>
      <c r="J8" s="4"/>
      <c r="K8" s="54"/>
      <c r="L8" s="55" t="s">
        <v>176</v>
      </c>
      <c r="M8" s="56"/>
      <c r="N8" s="56"/>
    </row>
    <row r="9" s="3" customFormat="1" ht="45" customHeight="1" spans="1:14">
      <c r="A9" s="16" t="s">
        <v>89</v>
      </c>
      <c r="B9" s="25">
        <f>SUM(朱小飞!M25)</f>
        <v>4032.98100323526</v>
      </c>
      <c r="C9" s="26">
        <f>SUM(朱小飞!L25)</f>
        <v>29.7273</v>
      </c>
      <c r="D9" s="28">
        <v>6000</v>
      </c>
      <c r="E9" s="28">
        <f>SUM(B9-D9)</f>
        <v>-1967.01899676474</v>
      </c>
      <c r="F9" s="28"/>
      <c r="G9" s="29">
        <v>0.4</v>
      </c>
      <c r="H9" s="28"/>
      <c r="I9" s="49"/>
      <c r="J9" s="58"/>
      <c r="K9" s="58"/>
      <c r="L9" s="49"/>
      <c r="M9" s="52"/>
      <c r="N9" s="57" t="s">
        <v>175</v>
      </c>
    </row>
    <row r="10" s="4" customFormat="1" ht="57" customHeight="1" spans="1:12">
      <c r="A10" s="9"/>
      <c r="B10" s="4"/>
      <c r="C10" s="30"/>
      <c r="D10" s="4"/>
      <c r="E10" s="4"/>
      <c r="F10" s="4"/>
      <c r="G10" s="30"/>
      <c r="H10" s="4"/>
      <c r="I10" s="4"/>
      <c r="J10" s="4"/>
      <c r="K10" s="54"/>
      <c r="L10" s="55" t="s">
        <v>179</v>
      </c>
    </row>
    <row r="11" s="6" customFormat="1" ht="31" customHeight="1" spans="1:14">
      <c r="A11" s="16" t="s">
        <v>99</v>
      </c>
      <c r="B11" s="25">
        <f>SUM(吕沛霖!M20)</f>
        <v>29717.038002023</v>
      </c>
      <c r="C11" s="26">
        <f>SUM(吕沛霖!L20)</f>
        <v>28.7944</v>
      </c>
      <c r="D11" s="28">
        <v>6000</v>
      </c>
      <c r="E11" s="28">
        <f>SUM(B11-D11)</f>
        <v>23717.038002023</v>
      </c>
      <c r="F11" s="28"/>
      <c r="G11" s="29">
        <v>0.4</v>
      </c>
      <c r="H11" s="28">
        <f>SUM(E11*G11)</f>
        <v>9486.8152008092</v>
      </c>
      <c r="I11" s="58"/>
      <c r="J11" s="58"/>
      <c r="K11" s="58"/>
      <c r="L11" s="58"/>
      <c r="M11" s="52">
        <f>SUM(H11+L11)</f>
        <v>9486.8152008092</v>
      </c>
      <c r="N11" s="59"/>
    </row>
    <row r="12" s="4" customFormat="1" ht="57" customHeight="1" spans="1:14">
      <c r="A12" s="9"/>
      <c r="B12" s="4"/>
      <c r="C12" s="30"/>
      <c r="D12" s="4"/>
      <c r="E12" s="4"/>
      <c r="F12" s="4"/>
      <c r="G12" s="30"/>
      <c r="H12" s="4"/>
      <c r="I12" s="4"/>
      <c r="J12" s="4"/>
      <c r="K12" s="54"/>
      <c r="L12" s="55" t="s">
        <v>176</v>
      </c>
      <c r="M12" s="56"/>
      <c r="N12" s="56"/>
    </row>
    <row r="13" s="2" customFormat="1" ht="36" customHeight="1" spans="1:14">
      <c r="A13" s="16" t="s">
        <v>96</v>
      </c>
      <c r="B13" s="25">
        <f>SUM(B5:B9)</f>
        <v>49500.6933686937</v>
      </c>
      <c r="C13" s="26">
        <f>SUM(C5:C9)</f>
        <v>180.0232</v>
      </c>
      <c r="D13" s="28"/>
      <c r="E13" s="28"/>
      <c r="F13" s="28"/>
      <c r="G13" s="29"/>
      <c r="H13" s="29"/>
      <c r="I13" s="58"/>
      <c r="J13" s="58"/>
      <c r="K13" s="60"/>
      <c r="L13" s="45"/>
      <c r="M13" s="61">
        <f>SUM(M5:M11)</f>
        <v>22873.9001469926</v>
      </c>
      <c r="N13" s="62"/>
    </row>
    <row r="14" s="1" customFormat="1" ht="9" customHeight="1" spans="1:13">
      <c r="A14" s="9"/>
      <c r="G14" s="35"/>
      <c r="H14" s="35"/>
      <c r="I14" s="35"/>
      <c r="J14" s="35"/>
      <c r="K14" s="63"/>
      <c r="L14" s="11"/>
      <c r="M14" s="64"/>
    </row>
    <row r="15" s="7" customFormat="1" ht="41" customHeight="1" spans="1:13">
      <c r="A15" s="7" t="s">
        <v>179</v>
      </c>
      <c r="G15" s="36"/>
      <c r="H15" s="36"/>
      <c r="I15" s="36"/>
      <c r="J15" s="36" t="s">
        <v>178</v>
      </c>
      <c r="K15" s="36"/>
      <c r="M15" s="65"/>
    </row>
    <row r="16" s="8" customFormat="1" ht="41" customHeight="1" spans="1:13">
      <c r="A16" s="37"/>
      <c r="E16" s="38"/>
      <c r="F16" s="38"/>
      <c r="G16" s="39"/>
      <c r="H16" s="39"/>
      <c r="I16" s="39"/>
      <c r="J16" s="39"/>
      <c r="K16" s="39"/>
      <c r="M16" s="40"/>
    </row>
    <row r="17" s="4" customFormat="1" ht="57" customHeight="1" spans="1:13">
      <c r="A17" s="9"/>
      <c r="G17" s="30"/>
      <c r="H17" s="30"/>
      <c r="I17" s="30"/>
      <c r="J17" s="30"/>
      <c r="K17" s="54"/>
      <c r="L17" s="11"/>
      <c r="M17" s="12"/>
    </row>
    <row r="18" customHeight="1" spans="4:5">
      <c r="D18" s="8"/>
      <c r="E18" s="40"/>
    </row>
    <row r="19" customHeight="1" spans="4:5">
      <c r="D19" s="8"/>
      <c r="E19" s="40"/>
    </row>
    <row r="20" customHeight="1" spans="4:5">
      <c r="D20" s="8"/>
      <c r="E20" s="40"/>
    </row>
    <row r="21" customHeight="1" spans="4:5">
      <c r="D21" s="8"/>
      <c r="E21" s="40"/>
    </row>
    <row r="22" customHeight="1" spans="4:5">
      <c r="D22" s="8"/>
      <c r="E22" s="40"/>
    </row>
    <row r="23" customHeight="1" spans="4:5">
      <c r="D23" s="8"/>
      <c r="E23" s="40"/>
    </row>
    <row r="24" customHeight="1" spans="4:5">
      <c r="D24" s="8"/>
      <c r="E24" s="40"/>
    </row>
    <row r="25" customHeight="1" spans="4:5">
      <c r="D25" s="8"/>
      <c r="E25" s="40"/>
    </row>
  </sheetData>
  <mergeCells count="8">
    <mergeCell ref="A1:N1"/>
    <mergeCell ref="D3:H3"/>
    <mergeCell ref="I3:L3"/>
    <mergeCell ref="A3:A4"/>
    <mergeCell ref="B3:B4"/>
    <mergeCell ref="C3:C4"/>
    <mergeCell ref="M3:M4"/>
    <mergeCell ref="N3:N4"/>
  </mergeCells>
  <pageMargins left="0.629861111111111" right="0.156944444444444" top="0.984027777777778" bottom="0.236111111111111" header="0.5" footer="0.275"/>
  <pageSetup paperSize="9" scale="7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黄颖</vt:lpstr>
      <vt:lpstr>三凤</vt:lpstr>
      <vt:lpstr>朱小飞</vt:lpstr>
      <vt:lpstr>吕沛霖</vt:lpstr>
      <vt:lpstr>罗珮文</vt:lpstr>
      <vt:lpstr>苏慧琪</vt:lpstr>
      <vt:lpstr>陆总</vt:lpstr>
      <vt:lpstr>浦生</vt:lpstr>
      <vt:lpstr>无人</vt:lpstr>
      <vt:lpstr>提成总表</vt:lpstr>
      <vt:lpstr>黄颖 陈三凤 朱小飞 吕沛霖 2025年10月份发放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/mg</cp:lastModifiedBy>
  <dcterms:created xsi:type="dcterms:W3CDTF">2021-01-15T02:45:00Z</dcterms:created>
  <dcterms:modified xsi:type="dcterms:W3CDTF">2025-10-20T09:23:13Z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6BE3DA52AC7244678364BCD4CB535940</vt:lpwstr>
  </property>
</Properties>
</file>